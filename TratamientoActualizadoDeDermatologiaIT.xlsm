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2"/>
  <mc:AlternateContent xmlns:mc="http://schemas.openxmlformats.org/markup-compatibility/2006">
    <mc:Choice Requires="x15">
      <x15ac:absPath xmlns:x15ac="http://schemas.microsoft.com/office/spreadsheetml/2010/11/ac" url="C:\Users\Desarrollador\Desktop\"/>
    </mc:Choice>
  </mc:AlternateContent>
  <bookViews>
    <workbookView xWindow="0" yWindow="0" windowWidth="17925" windowHeight="10920"/>
  </bookViews>
  <sheets>
    <sheet name="DATOS" sheetId="1" r:id="rId1"/>
    <sheet name="Cargar imagen" sheetId="2" r:id="rId2"/>
    <sheet name="BD" sheetId="3" r:id="rId3"/>
  </sheets>
  <functionGroups builtInGroupCount="18"/>
  <calcPr calcId="162913"/>
  <extLst>
    <ext uri="GoogleSheetsCustomDataVersion1">
      <go:sheetsCustomData xmlns:go="http://customooxmlschemas.google.com/" r:id="rId8" roundtripDataSignature="AMtx7mgYlnhRCX+sUfTswD7OQGGT/v6Rxg=="/>
    </ext>
  </extLst>
</workbook>
</file>

<file path=xl/calcChain.xml><?xml version="1.0" encoding="utf-8"?>
<calcChain xmlns="http://schemas.openxmlformats.org/spreadsheetml/2006/main">
  <c r="F3" i="1" l="1"/>
  <c r="F4" i="1" s="1"/>
  <c r="F5" i="1" s="1"/>
  <c r="F6" i="1" s="1"/>
  <c r="F7" i="1" s="1"/>
  <c r="F8" i="1" s="1"/>
  <c r="F9" i="1" s="1"/>
  <c r="F10" i="1" s="1"/>
  <c r="F11" i="1" s="1"/>
  <c r="F12" i="1" s="1"/>
  <c r="F13" i="1" s="1"/>
  <c r="F14" i="1" s="1"/>
  <c r="F15" i="1" s="1"/>
  <c r="F16" i="1" s="1"/>
  <c r="F17" i="1" s="1"/>
  <c r="F18" i="1" s="1"/>
  <c r="F19" i="1" s="1"/>
  <c r="F20" i="1" s="1"/>
  <c r="F21" i="1" s="1"/>
  <c r="F22" i="1" s="1"/>
  <c r="F23" i="1" s="1"/>
  <c r="F24" i="1" s="1"/>
  <c r="F25" i="1" s="1"/>
  <c r="F26" i="1" s="1"/>
  <c r="F27" i="1" s="1"/>
  <c r="F28" i="1" s="1"/>
  <c r="F29" i="1" s="1"/>
  <c r="F30" i="1" s="1"/>
  <c r="F31" i="1" s="1"/>
  <c r="F32" i="1" s="1"/>
  <c r="F33" i="1" s="1"/>
  <c r="F34" i="1" s="1"/>
  <c r="F35" i="1" s="1"/>
  <c r="F36" i="1" s="1"/>
  <c r="F37" i="1" s="1"/>
  <c r="F38" i="1" s="1"/>
  <c r="F39" i="1" s="1"/>
  <c r="F40" i="1" s="1"/>
  <c r="F41" i="1" s="1"/>
  <c r="F42" i="1" s="1"/>
  <c r="F43" i="1" s="1"/>
  <c r="F44" i="1" s="1"/>
  <c r="F45" i="1" s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63" i="1" s="1"/>
  <c r="F64" i="1" s="1"/>
  <c r="F65" i="1" s="1"/>
  <c r="F66" i="1" s="1"/>
  <c r="F67" i="1" s="1"/>
  <c r="F68" i="1" s="1"/>
  <c r="F69" i="1" s="1"/>
  <c r="F70" i="1" s="1"/>
  <c r="F71" i="1" s="1"/>
  <c r="F72" i="1" s="1"/>
  <c r="F73" i="1" s="1"/>
  <c r="F74" i="1" s="1"/>
  <c r="F75" i="1" s="1"/>
  <c r="F76" i="1" s="1"/>
  <c r="F77" i="1" s="1"/>
  <c r="F78" i="1" s="1"/>
  <c r="F79" i="1" s="1"/>
  <c r="F80" i="1" s="1"/>
  <c r="F81" i="1" s="1"/>
  <c r="F82" i="1" s="1"/>
  <c r="F83" i="1" s="1"/>
  <c r="F84" i="1" s="1"/>
  <c r="F85" i="1" s="1"/>
  <c r="F86" i="1" s="1"/>
  <c r="F87" i="1" s="1"/>
  <c r="F88" i="1" s="1"/>
  <c r="F89" i="1" s="1"/>
  <c r="F90" i="1" s="1"/>
  <c r="F91" i="1" s="1"/>
  <c r="F92" i="1" s="1"/>
  <c r="F93" i="1" s="1"/>
  <c r="F94" i="1" s="1"/>
  <c r="F95" i="1" s="1"/>
  <c r="F96" i="1" s="1"/>
  <c r="F97" i="1" s="1"/>
  <c r="F98" i="1" s="1"/>
  <c r="F99" i="1" s="1"/>
  <c r="F100" i="1" s="1"/>
  <c r="F101" i="1" s="1"/>
  <c r="F102" i="1" s="1"/>
  <c r="F103" i="1" s="1"/>
  <c r="F104" i="1" s="1"/>
  <c r="F105" i="1" s="1"/>
  <c r="F106" i="1" s="1"/>
  <c r="F107" i="1" s="1"/>
  <c r="F108" i="1" s="1"/>
  <c r="F109" i="1" s="1"/>
  <c r="F110" i="1" s="1"/>
  <c r="F111" i="1" s="1"/>
  <c r="F112" i="1" s="1"/>
  <c r="F113" i="1" s="1"/>
  <c r="F114" i="1" s="1"/>
  <c r="F115" i="1" s="1"/>
  <c r="F116" i="1" s="1"/>
  <c r="F117" i="1" s="1"/>
  <c r="F118" i="1" s="1"/>
  <c r="F119" i="1" s="1"/>
  <c r="F120" i="1" s="1"/>
  <c r="F121" i="1" s="1"/>
  <c r="F122" i="1" s="1"/>
  <c r="F123" i="1" s="1"/>
  <c r="F124" i="1" s="1"/>
  <c r="F125" i="1" s="1"/>
  <c r="F126" i="1" s="1"/>
  <c r="F127" i="1" s="1"/>
  <c r="F128" i="1" s="1"/>
  <c r="F129" i="1" s="1"/>
  <c r="F130" i="1" s="1"/>
  <c r="F131" i="1" s="1"/>
  <c r="F132" i="1" s="1"/>
  <c r="F133" i="1" s="1"/>
  <c r="F134" i="1" s="1"/>
  <c r="F135" i="1" s="1"/>
  <c r="F136" i="1" s="1"/>
  <c r="F137" i="1" s="1"/>
  <c r="F138" i="1" s="1"/>
  <c r="F139" i="1" s="1"/>
  <c r="F140" i="1" s="1"/>
  <c r="F141" i="1" s="1"/>
  <c r="F142" i="1" s="1"/>
  <c r="F143" i="1" s="1"/>
  <c r="F144" i="1" s="1"/>
  <c r="F145" i="1" s="1"/>
  <c r="F146" i="1" s="1"/>
  <c r="F147" i="1" s="1"/>
  <c r="F148" i="1" s="1"/>
  <c r="F149" i="1" s="1"/>
  <c r="F150" i="1" s="1"/>
  <c r="F151" i="1" s="1"/>
  <c r="F152" i="1" s="1"/>
  <c r="F153" i="1" s="1"/>
  <c r="F154" i="1" s="1"/>
  <c r="F155" i="1" s="1"/>
  <c r="F156" i="1" s="1"/>
  <c r="F157" i="1" s="1"/>
  <c r="F158" i="1" s="1"/>
  <c r="F159" i="1" s="1"/>
  <c r="F160" i="1" s="1"/>
  <c r="F161" i="1" s="1"/>
  <c r="F162" i="1" s="1"/>
  <c r="F163" i="1" s="1"/>
  <c r="F164" i="1" s="1"/>
  <c r="F165" i="1" s="1"/>
  <c r="F166" i="1" s="1"/>
  <c r="F167" i="1" s="1"/>
  <c r="F168" i="1" s="1"/>
  <c r="F169" i="1" s="1"/>
  <c r="F170" i="1" s="1"/>
  <c r="F171" i="1" s="1"/>
  <c r="F172" i="1" s="1"/>
  <c r="F173" i="1" s="1"/>
  <c r="F174" i="1" s="1"/>
  <c r="F175" i="1" s="1"/>
  <c r="F176" i="1" s="1"/>
  <c r="F177" i="1" s="1"/>
  <c r="F178" i="1" s="1"/>
  <c r="F179" i="1" s="1"/>
  <c r="F180" i="1" s="1"/>
  <c r="F181" i="1" s="1"/>
  <c r="F182" i="1" s="1"/>
  <c r="F183" i="1" s="1"/>
  <c r="F184" i="1" s="1"/>
  <c r="F185" i="1" s="1"/>
  <c r="F186" i="1" s="1"/>
  <c r="F187" i="1" s="1"/>
  <c r="F188" i="1" s="1"/>
  <c r="F189" i="1" s="1"/>
  <c r="F190" i="1" s="1"/>
  <c r="F191" i="1" s="1"/>
  <c r="F192" i="1" s="1"/>
  <c r="F193" i="1" s="1"/>
  <c r="F194" i="1" s="1"/>
  <c r="F195" i="1" s="1"/>
  <c r="F196" i="1" s="1"/>
  <c r="F197" i="1" s="1"/>
  <c r="F198" i="1" s="1"/>
  <c r="F199" i="1" s="1"/>
  <c r="F200" i="1" s="1"/>
  <c r="F201" i="1" s="1"/>
  <c r="E3" i="1"/>
  <c r="E4" i="1" s="1"/>
  <c r="E5" i="1" s="1"/>
  <c r="E6" i="1" s="1"/>
  <c r="E7" i="1" s="1"/>
  <c r="E8" i="1" s="1"/>
  <c r="E9" i="1" s="1"/>
  <c r="E10" i="1" s="1"/>
  <c r="E11" i="1" s="1"/>
  <c r="E12" i="1" s="1"/>
  <c r="E13" i="1" s="1"/>
  <c r="E14" i="1" s="1"/>
  <c r="E15" i="1" s="1"/>
  <c r="E16" i="1" s="1"/>
  <c r="E17" i="1" s="1"/>
  <c r="E18" i="1" s="1"/>
  <c r="E19" i="1" s="1"/>
  <c r="E20" i="1" s="1"/>
  <c r="E21" i="1" s="1"/>
  <c r="E22" i="1" s="1"/>
  <c r="E23" i="1" s="1"/>
  <c r="E24" i="1" s="1"/>
  <c r="E25" i="1" s="1"/>
  <c r="E26" i="1" s="1"/>
  <c r="E27" i="1" s="1"/>
  <c r="E28" i="1" s="1"/>
  <c r="E29" i="1" s="1"/>
  <c r="E30" i="1" s="1"/>
  <c r="E31" i="1" s="1"/>
  <c r="E32" i="1" s="1"/>
  <c r="E33" i="1" s="1"/>
  <c r="E34" i="1" s="1"/>
  <c r="E35" i="1" s="1"/>
  <c r="E36" i="1" s="1"/>
  <c r="E37" i="1" s="1"/>
  <c r="E38" i="1" s="1"/>
  <c r="E39" i="1" s="1"/>
  <c r="E40" i="1" s="1"/>
  <c r="E41" i="1" s="1"/>
  <c r="E42" i="1" s="1"/>
  <c r="E43" i="1" s="1"/>
  <c r="E44" i="1" s="1"/>
  <c r="E45" i="1" s="1"/>
  <c r="E46" i="1" s="1"/>
  <c r="E47" i="1" s="1"/>
  <c r="E48" i="1" s="1"/>
  <c r="E49" i="1" s="1"/>
  <c r="E50" i="1" s="1"/>
  <c r="E51" i="1" s="1"/>
  <c r="E52" i="1" s="1"/>
  <c r="E53" i="1" s="1"/>
  <c r="E54" i="1" s="1"/>
  <c r="E55" i="1" s="1"/>
  <c r="E56" i="1" s="1"/>
  <c r="E57" i="1" s="1"/>
  <c r="E58" i="1" s="1"/>
  <c r="E59" i="1" s="1"/>
  <c r="E60" i="1" s="1"/>
  <c r="E61" i="1" s="1"/>
  <c r="E62" i="1" s="1"/>
  <c r="E63" i="1" s="1"/>
  <c r="E64" i="1" s="1"/>
  <c r="E65" i="1" s="1"/>
  <c r="E66" i="1" s="1"/>
  <c r="E67" i="1" s="1"/>
  <c r="E68" i="1" s="1"/>
  <c r="E69" i="1" s="1"/>
  <c r="E70" i="1" s="1"/>
  <c r="E71" i="1" s="1"/>
  <c r="E72" i="1" s="1"/>
  <c r="E73" i="1" s="1"/>
  <c r="E74" i="1" s="1"/>
  <c r="E75" i="1" s="1"/>
  <c r="E76" i="1" s="1"/>
  <c r="E77" i="1" s="1"/>
  <c r="E78" i="1" s="1"/>
  <c r="E79" i="1" s="1"/>
  <c r="E80" i="1" s="1"/>
  <c r="E81" i="1" s="1"/>
  <c r="E82" i="1" s="1"/>
  <c r="E83" i="1" s="1"/>
  <c r="E84" i="1" s="1"/>
  <c r="E85" i="1" s="1"/>
  <c r="E86" i="1" s="1"/>
  <c r="E87" i="1" s="1"/>
  <c r="E88" i="1" s="1"/>
  <c r="E89" i="1" s="1"/>
  <c r="E90" i="1" s="1"/>
  <c r="E91" i="1" s="1"/>
  <c r="E92" i="1" s="1"/>
  <c r="E93" i="1" s="1"/>
  <c r="E94" i="1" s="1"/>
  <c r="E95" i="1" s="1"/>
  <c r="E96" i="1" s="1"/>
  <c r="E97" i="1" s="1"/>
  <c r="E98" i="1" s="1"/>
  <c r="E99" i="1" s="1"/>
  <c r="E100" i="1" s="1"/>
  <c r="E101" i="1" s="1"/>
  <c r="E102" i="1" s="1"/>
  <c r="E103" i="1" s="1"/>
  <c r="E104" i="1" s="1"/>
  <c r="E105" i="1" s="1"/>
  <c r="E106" i="1" s="1"/>
  <c r="E107" i="1" s="1"/>
  <c r="E108" i="1" s="1"/>
  <c r="E109" i="1" s="1"/>
  <c r="E110" i="1" s="1"/>
  <c r="E111" i="1" s="1"/>
  <c r="E112" i="1" s="1"/>
  <c r="E113" i="1" s="1"/>
  <c r="E114" i="1" s="1"/>
  <c r="E115" i="1" s="1"/>
  <c r="E116" i="1" s="1"/>
  <c r="E117" i="1" s="1"/>
  <c r="E118" i="1" s="1"/>
  <c r="E119" i="1" s="1"/>
  <c r="E120" i="1" s="1"/>
  <c r="E121" i="1" s="1"/>
  <c r="E122" i="1" s="1"/>
  <c r="E123" i="1" s="1"/>
  <c r="E124" i="1" s="1"/>
  <c r="E125" i="1" s="1"/>
  <c r="E126" i="1" s="1"/>
  <c r="E127" i="1" s="1"/>
  <c r="E128" i="1" s="1"/>
  <c r="E129" i="1" s="1"/>
  <c r="E130" i="1" s="1"/>
  <c r="E131" i="1" s="1"/>
  <c r="E132" i="1" s="1"/>
  <c r="E133" i="1" s="1"/>
  <c r="E134" i="1" s="1"/>
  <c r="E135" i="1" s="1"/>
  <c r="E136" i="1" s="1"/>
  <c r="E137" i="1" s="1"/>
  <c r="E138" i="1" s="1"/>
  <c r="E139" i="1" s="1"/>
  <c r="E140" i="1" s="1"/>
  <c r="E141" i="1" s="1"/>
  <c r="E142" i="1" s="1"/>
  <c r="E143" i="1" s="1"/>
  <c r="E144" i="1" s="1"/>
  <c r="E145" i="1" s="1"/>
  <c r="E146" i="1" s="1"/>
  <c r="E147" i="1" s="1"/>
  <c r="E148" i="1" s="1"/>
  <c r="E149" i="1" s="1"/>
  <c r="E150" i="1" s="1"/>
  <c r="E151" i="1" s="1"/>
  <c r="E152" i="1" s="1"/>
  <c r="E153" i="1" s="1"/>
  <c r="E154" i="1" s="1"/>
  <c r="E155" i="1" s="1"/>
  <c r="E156" i="1" s="1"/>
  <c r="E157" i="1" s="1"/>
  <c r="E158" i="1" s="1"/>
  <c r="E159" i="1" s="1"/>
  <c r="E160" i="1" s="1"/>
  <c r="E161" i="1" s="1"/>
  <c r="E162" i="1" s="1"/>
  <c r="E163" i="1" s="1"/>
  <c r="E164" i="1" s="1"/>
  <c r="E165" i="1" s="1"/>
  <c r="E166" i="1" s="1"/>
  <c r="E167" i="1" s="1"/>
  <c r="E168" i="1" s="1"/>
  <c r="E169" i="1" s="1"/>
  <c r="E170" i="1" s="1"/>
  <c r="E171" i="1" s="1"/>
  <c r="E172" i="1" s="1"/>
  <c r="E173" i="1" s="1"/>
  <c r="E174" i="1" s="1"/>
  <c r="E175" i="1" s="1"/>
  <c r="E176" i="1" s="1"/>
  <c r="E177" i="1" s="1"/>
  <c r="E178" i="1" s="1"/>
  <c r="E179" i="1" s="1"/>
  <c r="E180" i="1" s="1"/>
  <c r="E181" i="1" s="1"/>
  <c r="E182" i="1" s="1"/>
  <c r="E183" i="1" s="1"/>
  <c r="E184" i="1" s="1"/>
  <c r="E185" i="1" s="1"/>
  <c r="E186" i="1" s="1"/>
  <c r="E187" i="1" s="1"/>
  <c r="E188" i="1" s="1"/>
  <c r="E189" i="1" s="1"/>
  <c r="E190" i="1" s="1"/>
  <c r="E191" i="1" s="1"/>
  <c r="E192" i="1" s="1"/>
  <c r="E193" i="1" s="1"/>
  <c r="E194" i="1" s="1"/>
  <c r="E195" i="1" s="1"/>
  <c r="E196" i="1" s="1"/>
  <c r="E197" i="1" s="1"/>
  <c r="E198" i="1" s="1"/>
  <c r="E199" i="1" s="1"/>
  <c r="E200" i="1" s="1"/>
  <c r="E201" i="1" s="1"/>
  <c r="J2" i="3"/>
  <c r="K2" i="3" s="1"/>
  <c r="BB2" i="3"/>
  <c r="J7" i="3"/>
  <c r="K7" i="3" s="1"/>
  <c r="BB7" i="3"/>
  <c r="J9" i="3"/>
  <c r="K9" i="3" s="1"/>
  <c r="BB9" i="3"/>
  <c r="J35" i="3"/>
  <c r="K35" i="3" s="1"/>
  <c r="BB35" i="3"/>
  <c r="J108" i="3"/>
  <c r="K108" i="3" s="1"/>
  <c r="BB108" i="3"/>
  <c r="J119" i="3"/>
  <c r="K119" i="3" s="1"/>
  <c r="BB119" i="3"/>
  <c r="J167" i="3"/>
  <c r="K167" i="3" s="1"/>
  <c r="BB167" i="3"/>
  <c r="J186" i="3"/>
  <c r="K186" i="3" s="1"/>
  <c r="BB186" i="3"/>
  <c r="BB4" i="3"/>
  <c r="BB5" i="3"/>
  <c r="BB6" i="3"/>
  <c r="BB8" i="3"/>
  <c r="BB10" i="3"/>
  <c r="BB11" i="3"/>
  <c r="BB12" i="3"/>
  <c r="BB13" i="3"/>
  <c r="BB14" i="3"/>
  <c r="BB15" i="3"/>
  <c r="BB16" i="3"/>
  <c r="BB17" i="3"/>
  <c r="BB18" i="3"/>
  <c r="BB19" i="3"/>
  <c r="BB20" i="3"/>
  <c r="BB21" i="3"/>
  <c r="BB22" i="3"/>
  <c r="BB23" i="3"/>
  <c r="BB24" i="3"/>
  <c r="BB25" i="3"/>
  <c r="BB26" i="3"/>
  <c r="BB27" i="3"/>
  <c r="BB28" i="3"/>
  <c r="BB29" i="3"/>
  <c r="BB30" i="3"/>
  <c r="BB31" i="3"/>
  <c r="BB32" i="3"/>
  <c r="BB33" i="3"/>
  <c r="BB34" i="3"/>
  <c r="BB36" i="3"/>
  <c r="BB37" i="3"/>
  <c r="BB38" i="3"/>
  <c r="BB39" i="3"/>
  <c r="BB40" i="3"/>
  <c r="BB41" i="3"/>
  <c r="BB42" i="3"/>
  <c r="BB43" i="3"/>
  <c r="BB44" i="3"/>
  <c r="BB45" i="3"/>
  <c r="BB46" i="3"/>
  <c r="BB47" i="3"/>
  <c r="BB48" i="3"/>
  <c r="BB49" i="3"/>
  <c r="BB50" i="3"/>
  <c r="BB51" i="3"/>
  <c r="BB52" i="3"/>
  <c r="BB53" i="3"/>
  <c r="BB54" i="3"/>
  <c r="BB55" i="3"/>
  <c r="BB56" i="3"/>
  <c r="BB57" i="3"/>
  <c r="BB58" i="3"/>
  <c r="BB59" i="3"/>
  <c r="BB60" i="3"/>
  <c r="BB61" i="3"/>
  <c r="BB62" i="3"/>
  <c r="BB63" i="3"/>
  <c r="BB64" i="3"/>
  <c r="BB65" i="3"/>
  <c r="BB66" i="3"/>
  <c r="BB67" i="3"/>
  <c r="BB68" i="3"/>
  <c r="BB69" i="3"/>
  <c r="BB70" i="3"/>
  <c r="BB71" i="3"/>
  <c r="BB72" i="3"/>
  <c r="BB73" i="3"/>
  <c r="BB74" i="3"/>
  <c r="BB75" i="3"/>
  <c r="BB76" i="3"/>
  <c r="BB77" i="3"/>
  <c r="BB78" i="3"/>
  <c r="BB79" i="3"/>
  <c r="BB80" i="3"/>
  <c r="BB81" i="3"/>
  <c r="BB82" i="3"/>
  <c r="BB83" i="3"/>
  <c r="BB84" i="3"/>
  <c r="BB85" i="3"/>
  <c r="BB86" i="3"/>
  <c r="BB87" i="3"/>
  <c r="BB88" i="3"/>
  <c r="BB89" i="3"/>
  <c r="BB90" i="3"/>
  <c r="BB91" i="3"/>
  <c r="BB92" i="3"/>
  <c r="BB93" i="3"/>
  <c r="BB94" i="3"/>
  <c r="BB95" i="3"/>
  <c r="BB96" i="3"/>
  <c r="BB97" i="3"/>
  <c r="BB98" i="3"/>
  <c r="BB99" i="3"/>
  <c r="BB100" i="3"/>
  <c r="BB101" i="3"/>
  <c r="BB102" i="3"/>
  <c r="BB103" i="3"/>
  <c r="BB104" i="3"/>
  <c r="BB105" i="3"/>
  <c r="BB106" i="3"/>
  <c r="BB107" i="3"/>
  <c r="BB109" i="3"/>
  <c r="BB110" i="3"/>
  <c r="BB111" i="3"/>
  <c r="BB112" i="3"/>
  <c r="BB113" i="3"/>
  <c r="BB114" i="3"/>
  <c r="BB115" i="3"/>
  <c r="BB116" i="3"/>
  <c r="BB117" i="3"/>
  <c r="BB118" i="3"/>
  <c r="BB120" i="3"/>
  <c r="BB121" i="3"/>
  <c r="BB122" i="3"/>
  <c r="BB123" i="3"/>
  <c r="BB124" i="3"/>
  <c r="BB125" i="3"/>
  <c r="BB126" i="3"/>
  <c r="BB127" i="3"/>
  <c r="BB128" i="3"/>
  <c r="BB129" i="3"/>
  <c r="BB130" i="3"/>
  <c r="BB131" i="3"/>
  <c r="BB132" i="3"/>
  <c r="BB133" i="3"/>
  <c r="BB134" i="3"/>
  <c r="BB135" i="3"/>
  <c r="BB136" i="3"/>
  <c r="BB137" i="3"/>
  <c r="BB138" i="3"/>
  <c r="BB139" i="3"/>
  <c r="BB140" i="3"/>
  <c r="BB141" i="3"/>
  <c r="BB142" i="3"/>
  <c r="BB143" i="3"/>
  <c r="BB144" i="3"/>
  <c r="BB145" i="3"/>
  <c r="BB146" i="3"/>
  <c r="BB147" i="3"/>
  <c r="BB148" i="3"/>
  <c r="BB149" i="3"/>
  <c r="BB150" i="3"/>
  <c r="BB151" i="3"/>
  <c r="BB152" i="3"/>
  <c r="BB153" i="3"/>
  <c r="BB154" i="3"/>
  <c r="BB155" i="3"/>
  <c r="BB156" i="3"/>
  <c r="BB157" i="3"/>
  <c r="BB158" i="3"/>
  <c r="BB159" i="3"/>
  <c r="BB160" i="3"/>
  <c r="BB161" i="3"/>
  <c r="BB162" i="3"/>
  <c r="BB163" i="3"/>
  <c r="BB164" i="3"/>
  <c r="BB165" i="3"/>
  <c r="BB166" i="3"/>
  <c r="BB168" i="3"/>
  <c r="BB169" i="3"/>
  <c r="BB170" i="3"/>
  <c r="BB171" i="3"/>
  <c r="BB172" i="3"/>
  <c r="BB173" i="3"/>
  <c r="BB174" i="3"/>
  <c r="BB175" i="3"/>
  <c r="BB176" i="3"/>
  <c r="BB177" i="3"/>
  <c r="BB178" i="3"/>
  <c r="BB179" i="3"/>
  <c r="BB180" i="3"/>
  <c r="BB181" i="3"/>
  <c r="BB182" i="3"/>
  <c r="BB183" i="3"/>
  <c r="BB184" i="3"/>
  <c r="BB185" i="3"/>
  <c r="BB187" i="3"/>
  <c r="BB188" i="3"/>
  <c r="BB189" i="3"/>
  <c r="BB190" i="3"/>
  <c r="BB191" i="3"/>
  <c r="BB192" i="3"/>
  <c r="BB193" i="3"/>
  <c r="BB194" i="3"/>
  <c r="BB195" i="3"/>
  <c r="BB196" i="3"/>
  <c r="BB197" i="3"/>
  <c r="BB198" i="3"/>
  <c r="BB199" i="3"/>
  <c r="BB200" i="3"/>
  <c r="BB201" i="3"/>
  <c r="BB202" i="3"/>
  <c r="BB203" i="3"/>
  <c r="BB204" i="3"/>
  <c r="BB205" i="3"/>
  <c r="BB206" i="3"/>
  <c r="BB207" i="3"/>
  <c r="BB208" i="3"/>
  <c r="BB209" i="3"/>
  <c r="BB210" i="3"/>
  <c r="BB211" i="3"/>
  <c r="BB212" i="3"/>
  <c r="BB213" i="3"/>
  <c r="BB214" i="3"/>
  <c r="BB215" i="3"/>
  <c r="BB216" i="3"/>
  <c r="BB217" i="3"/>
  <c r="BB218" i="3"/>
  <c r="BB219" i="3"/>
  <c r="BB220" i="3"/>
  <c r="BB221" i="3"/>
  <c r="BB222" i="3"/>
  <c r="BB223" i="3"/>
  <c r="BB224" i="3"/>
  <c r="BB225" i="3"/>
  <c r="BB226" i="3"/>
  <c r="BB227" i="3"/>
  <c r="BB228" i="3"/>
  <c r="BB229" i="3"/>
  <c r="BB230" i="3"/>
  <c r="BB231" i="3"/>
  <c r="BB232" i="3"/>
  <c r="BB233" i="3"/>
  <c r="BB234" i="3"/>
  <c r="BB235" i="3"/>
  <c r="BB236" i="3"/>
  <c r="BB237" i="3"/>
  <c r="BB238" i="3"/>
  <c r="BB239" i="3"/>
  <c r="BB240" i="3"/>
  <c r="BB241" i="3"/>
  <c r="BB242" i="3"/>
  <c r="BB243" i="3"/>
  <c r="BB244" i="3"/>
  <c r="BB245" i="3"/>
  <c r="BB246" i="3"/>
  <c r="BB247" i="3"/>
  <c r="BB248" i="3"/>
  <c r="BB249" i="3"/>
  <c r="BB250" i="3"/>
  <c r="BB251" i="3"/>
  <c r="BB252" i="3"/>
  <c r="BB253" i="3"/>
  <c r="BB254" i="3"/>
  <c r="BB255" i="3"/>
  <c r="BB256" i="3"/>
  <c r="BB257" i="3"/>
  <c r="BB258" i="3"/>
  <c r="BB259" i="3"/>
  <c r="BB260" i="3"/>
  <c r="BB261" i="3"/>
  <c r="BB262" i="3"/>
  <c r="BB263" i="3"/>
  <c r="BB264" i="3"/>
  <c r="BB265" i="3"/>
  <c r="BB266" i="3"/>
  <c r="BB267" i="3"/>
  <c r="BB268" i="3"/>
  <c r="BB269" i="3"/>
  <c r="BB270" i="3"/>
  <c r="BB271" i="3"/>
  <c r="BB272" i="3"/>
  <c r="BB273" i="3"/>
  <c r="BB274" i="3"/>
  <c r="BB275" i="3"/>
  <c r="BB276" i="3"/>
  <c r="BB277" i="3"/>
  <c r="BB278" i="3"/>
  <c r="BB279" i="3"/>
  <c r="BB280" i="3"/>
  <c r="BB281" i="3"/>
  <c r="BB282" i="3"/>
  <c r="BB283" i="3"/>
  <c r="BB284" i="3"/>
  <c r="BB285" i="3"/>
  <c r="BB286" i="3"/>
  <c r="BB287" i="3"/>
  <c r="BB288" i="3"/>
  <c r="BB289" i="3"/>
  <c r="BB290" i="3"/>
  <c r="BB291" i="3"/>
  <c r="BB292" i="3"/>
  <c r="BB293" i="3"/>
  <c r="BB294" i="3"/>
  <c r="BB295" i="3"/>
  <c r="BB296" i="3"/>
  <c r="BB297" i="3"/>
  <c r="BB298" i="3"/>
  <c r="BB299" i="3"/>
  <c r="BB300" i="3"/>
  <c r="BB301" i="3"/>
  <c r="BB302" i="3"/>
  <c r="BB303" i="3"/>
  <c r="BB304" i="3"/>
  <c r="BB305" i="3"/>
  <c r="BB306" i="3"/>
  <c r="BB307" i="3"/>
  <c r="BB308" i="3"/>
  <c r="BB309" i="3"/>
  <c r="BB310" i="3"/>
  <c r="BB311" i="3"/>
  <c r="BB312" i="3"/>
  <c r="BB313" i="3"/>
  <c r="BB314" i="3"/>
  <c r="BB315" i="3"/>
  <c r="BB316" i="3"/>
  <c r="BB317" i="3"/>
  <c r="BB318" i="3"/>
  <c r="BB319" i="3"/>
  <c r="BB320" i="3"/>
  <c r="BB321" i="3"/>
  <c r="BB322" i="3"/>
  <c r="BB323" i="3"/>
  <c r="BB324" i="3"/>
  <c r="BB325" i="3"/>
  <c r="BB326" i="3"/>
  <c r="BB327" i="3"/>
  <c r="BB328" i="3"/>
  <c r="BB329" i="3"/>
  <c r="BB330" i="3"/>
  <c r="BB331" i="3"/>
  <c r="BB332" i="3"/>
  <c r="BB333" i="3"/>
  <c r="BB334" i="3"/>
  <c r="BB335" i="3"/>
  <c r="BB336" i="3"/>
  <c r="BB337" i="3"/>
  <c r="BB338" i="3"/>
  <c r="BB339" i="3"/>
  <c r="BB340" i="3"/>
  <c r="BB341" i="3"/>
  <c r="BB342" i="3"/>
  <c r="BB343" i="3"/>
  <c r="BB344" i="3"/>
  <c r="BB345" i="3"/>
  <c r="BB346" i="3"/>
  <c r="BB347" i="3"/>
  <c r="BB348" i="3"/>
  <c r="BB349" i="3"/>
  <c r="BB350" i="3"/>
  <c r="BB351" i="3"/>
  <c r="BB352" i="3"/>
  <c r="BB353" i="3"/>
  <c r="BB354" i="3"/>
  <c r="BB355" i="3"/>
  <c r="BB356" i="3"/>
  <c r="BB357" i="3"/>
  <c r="BB358" i="3"/>
  <c r="BB359" i="3"/>
  <c r="BB360" i="3"/>
  <c r="BB361" i="3"/>
  <c r="BB362" i="3"/>
  <c r="BB363" i="3"/>
  <c r="BB364" i="3"/>
  <c r="BB365" i="3"/>
  <c r="BB366" i="3"/>
  <c r="BB367" i="3"/>
  <c r="BB368" i="3"/>
  <c r="BB369" i="3"/>
  <c r="BB370" i="3"/>
  <c r="BB371" i="3"/>
  <c r="BB372" i="3"/>
  <c r="BB373" i="3"/>
  <c r="BB374" i="3"/>
  <c r="BB375" i="3"/>
  <c r="BB376" i="3"/>
  <c r="BB377" i="3"/>
  <c r="BB378" i="3"/>
  <c r="BB379" i="3"/>
  <c r="BB380" i="3"/>
  <c r="BB381" i="3"/>
  <c r="BB382" i="3"/>
  <c r="BB383" i="3"/>
  <c r="BB384" i="3"/>
  <c r="BB385" i="3"/>
  <c r="BB386" i="3"/>
  <c r="BB387" i="3"/>
  <c r="BB388" i="3"/>
  <c r="BB389" i="3"/>
  <c r="BB390" i="3"/>
  <c r="BB391" i="3"/>
  <c r="BB392" i="3"/>
  <c r="BB393" i="3"/>
  <c r="BB394" i="3"/>
  <c r="BB395" i="3"/>
  <c r="BB396" i="3"/>
  <c r="BB397" i="3"/>
  <c r="BB398" i="3"/>
  <c r="BB399" i="3"/>
  <c r="BB400" i="3"/>
  <c r="BB401" i="3"/>
  <c r="BB402" i="3"/>
  <c r="BB403" i="3"/>
  <c r="BB404" i="3"/>
  <c r="BB405" i="3"/>
  <c r="BB406" i="3"/>
  <c r="BB407" i="3"/>
  <c r="BB408" i="3"/>
  <c r="BB409" i="3"/>
  <c r="BB410" i="3"/>
  <c r="BB411" i="3"/>
  <c r="BB412" i="3"/>
  <c r="BB413" i="3"/>
  <c r="BB414" i="3"/>
  <c r="BB415" i="3"/>
  <c r="BB416" i="3"/>
  <c r="BB417" i="3"/>
  <c r="BB418" i="3"/>
  <c r="BB419" i="3"/>
  <c r="BB420" i="3"/>
  <c r="BB421" i="3"/>
  <c r="BB422" i="3"/>
  <c r="BB423" i="3"/>
  <c r="BB424" i="3"/>
  <c r="BB425" i="3"/>
  <c r="BB426" i="3"/>
  <c r="BB427" i="3"/>
  <c r="BB428" i="3"/>
  <c r="BB429" i="3"/>
  <c r="BB430" i="3"/>
  <c r="BB431" i="3"/>
  <c r="BB432" i="3"/>
  <c r="BB433" i="3"/>
  <c r="BB434" i="3"/>
  <c r="BB435" i="3"/>
  <c r="BB436" i="3"/>
  <c r="BB437" i="3"/>
  <c r="BB438" i="3"/>
  <c r="BB439" i="3"/>
  <c r="BB440" i="3"/>
  <c r="BB441" i="3"/>
  <c r="BB442" i="3"/>
  <c r="BB443" i="3"/>
  <c r="BB444" i="3"/>
  <c r="BB445" i="3"/>
  <c r="BB446" i="3"/>
  <c r="BB447" i="3"/>
  <c r="BB448" i="3"/>
  <c r="BB449" i="3"/>
  <c r="BB450" i="3"/>
  <c r="BB451" i="3"/>
  <c r="BB452" i="3"/>
  <c r="BB453" i="3"/>
  <c r="BB454" i="3"/>
  <c r="BB455" i="3"/>
  <c r="BB456" i="3"/>
  <c r="BB457" i="3"/>
  <c r="BB458" i="3"/>
  <c r="BB459" i="3"/>
  <c r="BB460" i="3"/>
  <c r="BB461" i="3"/>
  <c r="BB462" i="3"/>
  <c r="BB463" i="3"/>
  <c r="BB464" i="3"/>
  <c r="BB465" i="3"/>
  <c r="BB466" i="3"/>
  <c r="BB467" i="3"/>
  <c r="BB468" i="3"/>
  <c r="BB469" i="3"/>
  <c r="BB470" i="3"/>
  <c r="BB471" i="3"/>
  <c r="BB472" i="3"/>
  <c r="BB473" i="3"/>
  <c r="BB474" i="3"/>
  <c r="BB475" i="3"/>
  <c r="BB476" i="3"/>
  <c r="BB477" i="3"/>
  <c r="BB478" i="3"/>
  <c r="BB479" i="3"/>
  <c r="BB480" i="3"/>
  <c r="BB481" i="3"/>
  <c r="BB482" i="3"/>
  <c r="BB483" i="3"/>
  <c r="BB484" i="3"/>
  <c r="BB485" i="3"/>
  <c r="BB486" i="3"/>
  <c r="BB487" i="3"/>
  <c r="BB488" i="3"/>
  <c r="BB489" i="3"/>
  <c r="BB490" i="3"/>
  <c r="BB491" i="3"/>
  <c r="BB492" i="3"/>
  <c r="BB493" i="3"/>
  <c r="BB494" i="3"/>
  <c r="BB495" i="3"/>
  <c r="BB496" i="3"/>
  <c r="BB497" i="3"/>
  <c r="BB498" i="3"/>
  <c r="BB499" i="3"/>
  <c r="BB500" i="3"/>
  <c r="BB501" i="3"/>
  <c r="BB502" i="3"/>
  <c r="BB503" i="3"/>
  <c r="BB504" i="3"/>
  <c r="BB505" i="3"/>
  <c r="BB506" i="3"/>
  <c r="BB507" i="3"/>
  <c r="BB508" i="3"/>
  <c r="BB509" i="3"/>
  <c r="BB510" i="3"/>
  <c r="BB511" i="3"/>
  <c r="BB512" i="3"/>
  <c r="BB513" i="3"/>
  <c r="BB514" i="3"/>
  <c r="BB515" i="3"/>
  <c r="BB516" i="3"/>
  <c r="BB517" i="3"/>
  <c r="BB518" i="3"/>
  <c r="BB519" i="3"/>
  <c r="BB520" i="3"/>
  <c r="BB521" i="3"/>
  <c r="BB522" i="3"/>
  <c r="BB523" i="3"/>
  <c r="BB524" i="3"/>
  <c r="BB525" i="3"/>
  <c r="BB526" i="3"/>
  <c r="BB527" i="3"/>
  <c r="BB528" i="3"/>
  <c r="BB529" i="3"/>
  <c r="BB530" i="3"/>
  <c r="BB531" i="3"/>
  <c r="BB532" i="3"/>
  <c r="BB533" i="3"/>
  <c r="BB534" i="3"/>
  <c r="BB535" i="3"/>
  <c r="BB536" i="3"/>
  <c r="BB537" i="3"/>
  <c r="BB538" i="3"/>
  <c r="BB539" i="3"/>
  <c r="BB540" i="3"/>
  <c r="BB541" i="3"/>
  <c r="BB542" i="3"/>
  <c r="BB543" i="3"/>
  <c r="BB544" i="3"/>
  <c r="BB545" i="3"/>
  <c r="BB546" i="3"/>
  <c r="BB547" i="3"/>
  <c r="BB548" i="3"/>
  <c r="BB549" i="3"/>
  <c r="BB550" i="3"/>
  <c r="BB551" i="3"/>
  <c r="BB552" i="3"/>
  <c r="BB553" i="3"/>
  <c r="BB554" i="3"/>
  <c r="BB555" i="3"/>
  <c r="BB556" i="3"/>
  <c r="BB557" i="3"/>
  <c r="BB558" i="3"/>
  <c r="BB559" i="3"/>
  <c r="BB560" i="3"/>
  <c r="BB561" i="3"/>
  <c r="BB562" i="3"/>
  <c r="BB563" i="3"/>
  <c r="BB564" i="3"/>
  <c r="BB565" i="3"/>
  <c r="BB566" i="3"/>
  <c r="BB567" i="3"/>
  <c r="BB568" i="3"/>
  <c r="BB569" i="3"/>
  <c r="BB570" i="3"/>
  <c r="BB571" i="3"/>
  <c r="BB572" i="3"/>
  <c r="BB573" i="3"/>
  <c r="BB574" i="3"/>
  <c r="BB575" i="3"/>
  <c r="BB576" i="3"/>
  <c r="BB577" i="3"/>
  <c r="BB578" i="3"/>
  <c r="BB579" i="3"/>
  <c r="BB580" i="3"/>
  <c r="BB581" i="3"/>
  <c r="BB582" i="3"/>
  <c r="BB583" i="3"/>
  <c r="BB584" i="3"/>
  <c r="BB585" i="3"/>
  <c r="BB586" i="3"/>
  <c r="BB587" i="3"/>
  <c r="BB588" i="3"/>
  <c r="BB589" i="3"/>
  <c r="BB590" i="3"/>
  <c r="BB591" i="3"/>
  <c r="BB592" i="3"/>
  <c r="BB593" i="3"/>
  <c r="BB594" i="3"/>
  <c r="BB595" i="3"/>
  <c r="BB596" i="3"/>
  <c r="BB597" i="3"/>
  <c r="BB598" i="3"/>
  <c r="BB599" i="3"/>
  <c r="BB600" i="3"/>
  <c r="BB601" i="3"/>
  <c r="BB602" i="3"/>
  <c r="BB603" i="3"/>
  <c r="BB604" i="3"/>
  <c r="BB605" i="3"/>
  <c r="BB606" i="3"/>
  <c r="BB607" i="3"/>
  <c r="BB608" i="3"/>
  <c r="BB609" i="3"/>
  <c r="BB610" i="3"/>
  <c r="BB611" i="3"/>
  <c r="BB612" i="3"/>
  <c r="BB613" i="3"/>
  <c r="BB614" i="3"/>
  <c r="BB615" i="3"/>
  <c r="BB616" i="3"/>
  <c r="BB617" i="3"/>
  <c r="BB618" i="3"/>
  <c r="BB619" i="3"/>
  <c r="BB620" i="3"/>
  <c r="BB621" i="3"/>
  <c r="BB622" i="3"/>
  <c r="BB623" i="3"/>
  <c r="BB624" i="3"/>
  <c r="BB625" i="3"/>
  <c r="BB626" i="3"/>
  <c r="BB627" i="3"/>
  <c r="BB628" i="3"/>
  <c r="BB629" i="3"/>
  <c r="BB630" i="3"/>
  <c r="BB631" i="3"/>
  <c r="BB632" i="3"/>
  <c r="BB633" i="3"/>
  <c r="BB634" i="3"/>
  <c r="BB635" i="3"/>
  <c r="BB636" i="3"/>
  <c r="BB637" i="3"/>
  <c r="BB638" i="3"/>
  <c r="BB639" i="3"/>
  <c r="BB640" i="3"/>
  <c r="BB641" i="3"/>
  <c r="BB642" i="3"/>
  <c r="BB643" i="3"/>
  <c r="BB644" i="3"/>
  <c r="BB645" i="3"/>
  <c r="BB646" i="3"/>
  <c r="BB647" i="3"/>
  <c r="BB648" i="3"/>
  <c r="BB649" i="3"/>
  <c r="BB650" i="3"/>
  <c r="BB651" i="3"/>
  <c r="BB652" i="3"/>
  <c r="BB653" i="3"/>
  <c r="BB654" i="3"/>
  <c r="BB655" i="3"/>
  <c r="BB656" i="3"/>
  <c r="BB657" i="3"/>
  <c r="BB658" i="3"/>
  <c r="BB659" i="3"/>
  <c r="BB660" i="3"/>
  <c r="BB661" i="3"/>
  <c r="BB662" i="3"/>
  <c r="BB663" i="3"/>
  <c r="BB664" i="3"/>
  <c r="BB665" i="3"/>
  <c r="BB666" i="3"/>
  <c r="BB667" i="3"/>
  <c r="BB668" i="3"/>
  <c r="BB669" i="3"/>
  <c r="BB670" i="3"/>
  <c r="BB671" i="3"/>
  <c r="BB672" i="3"/>
  <c r="BB673" i="3"/>
  <c r="BB674" i="3"/>
  <c r="BB675" i="3"/>
  <c r="BB676" i="3"/>
  <c r="BB677" i="3"/>
  <c r="BB678" i="3"/>
  <c r="BB679" i="3"/>
  <c r="BB680" i="3"/>
  <c r="BB681" i="3"/>
  <c r="BB682" i="3"/>
  <c r="BB683" i="3"/>
  <c r="BB684" i="3"/>
  <c r="BB685" i="3"/>
  <c r="BB686" i="3"/>
  <c r="BB687" i="3"/>
  <c r="BB688" i="3"/>
  <c r="BB689" i="3"/>
  <c r="BB690" i="3"/>
  <c r="BB691" i="3"/>
  <c r="BB692" i="3"/>
  <c r="BB693" i="3"/>
  <c r="BB694" i="3"/>
  <c r="BB695" i="3"/>
  <c r="BB696" i="3"/>
  <c r="BB697" i="3"/>
  <c r="BB698" i="3"/>
  <c r="BB699" i="3"/>
  <c r="BB700" i="3"/>
  <c r="BB701" i="3"/>
  <c r="BB702" i="3"/>
  <c r="BB703" i="3"/>
  <c r="BB704" i="3"/>
  <c r="BB705" i="3"/>
  <c r="BB706" i="3"/>
  <c r="BB707" i="3"/>
  <c r="BB708" i="3"/>
  <c r="BB709" i="3"/>
  <c r="BB710" i="3"/>
  <c r="BB711" i="3"/>
  <c r="BB712" i="3"/>
  <c r="BB713" i="3"/>
  <c r="BB714" i="3"/>
  <c r="BB715" i="3"/>
  <c r="BB716" i="3"/>
  <c r="BB717" i="3"/>
  <c r="BB718" i="3"/>
  <c r="BB719" i="3"/>
  <c r="BB720" i="3"/>
  <c r="BB721" i="3"/>
  <c r="BB722" i="3"/>
  <c r="BB723" i="3"/>
  <c r="BB724" i="3"/>
  <c r="BB725" i="3"/>
  <c r="BB726" i="3"/>
  <c r="BB727" i="3"/>
  <c r="BB728" i="3"/>
  <c r="BB729" i="3"/>
  <c r="BB730" i="3"/>
  <c r="BB731" i="3"/>
  <c r="BB732" i="3"/>
  <c r="BB733" i="3"/>
  <c r="BB734" i="3"/>
  <c r="BB735" i="3"/>
  <c r="BB736" i="3"/>
  <c r="BB737" i="3"/>
  <c r="BB738" i="3"/>
  <c r="BB739" i="3"/>
  <c r="BB740" i="3"/>
  <c r="BB741" i="3"/>
  <c r="BB742" i="3"/>
  <c r="BB743" i="3"/>
  <c r="BB744" i="3"/>
  <c r="BB745" i="3"/>
  <c r="BB746" i="3"/>
  <c r="BB747" i="3"/>
  <c r="BB748" i="3"/>
  <c r="BB749" i="3"/>
  <c r="BB750" i="3"/>
  <c r="BB751" i="3"/>
  <c r="BB752" i="3"/>
  <c r="BB753" i="3"/>
  <c r="BB754" i="3"/>
  <c r="BB755" i="3"/>
  <c r="BB756" i="3"/>
  <c r="BB757" i="3"/>
  <c r="BB758" i="3"/>
  <c r="BB759" i="3"/>
  <c r="BB760" i="3"/>
  <c r="BB761" i="3"/>
  <c r="BB762" i="3"/>
  <c r="BB763" i="3"/>
  <c r="BB764" i="3"/>
  <c r="BB765" i="3"/>
  <c r="BB766" i="3"/>
  <c r="BB767" i="3"/>
  <c r="BB768" i="3"/>
  <c r="BB769" i="3"/>
  <c r="BB770" i="3"/>
  <c r="BB771" i="3"/>
  <c r="BB772" i="3"/>
  <c r="BB773" i="3"/>
  <c r="BB774" i="3"/>
  <c r="BB775" i="3"/>
  <c r="BB776" i="3"/>
  <c r="BB777" i="3"/>
  <c r="BB778" i="3"/>
  <c r="BB779" i="3"/>
  <c r="BB780" i="3"/>
  <c r="BB781" i="3"/>
  <c r="BB782" i="3"/>
  <c r="BB783" i="3"/>
  <c r="BB784" i="3"/>
  <c r="BB785" i="3"/>
  <c r="BB786" i="3"/>
  <c r="BB787" i="3"/>
  <c r="BB788" i="3"/>
  <c r="BB789" i="3"/>
  <c r="BB790" i="3"/>
  <c r="BB791" i="3"/>
  <c r="BB792" i="3"/>
  <c r="BB793" i="3"/>
  <c r="BB794" i="3"/>
  <c r="BB795" i="3"/>
  <c r="BB796" i="3"/>
  <c r="BB797" i="3"/>
  <c r="BB798" i="3"/>
  <c r="BB799" i="3"/>
  <c r="BB800" i="3"/>
  <c r="BB801" i="3"/>
  <c r="BB802" i="3"/>
  <c r="BB803" i="3"/>
  <c r="BB804" i="3"/>
  <c r="BB805" i="3"/>
  <c r="BB806" i="3"/>
  <c r="BB807" i="3"/>
  <c r="BB808" i="3"/>
  <c r="BB809" i="3"/>
  <c r="BB810" i="3"/>
  <c r="BB811" i="3"/>
  <c r="BB812" i="3"/>
  <c r="BB813" i="3"/>
  <c r="BB814" i="3"/>
  <c r="BB815" i="3"/>
  <c r="BB816" i="3"/>
  <c r="BB817" i="3"/>
  <c r="BB818" i="3"/>
  <c r="BB819" i="3"/>
  <c r="BB820" i="3"/>
  <c r="BB821" i="3"/>
  <c r="BB822" i="3"/>
  <c r="BB823" i="3"/>
  <c r="BB824" i="3"/>
  <c r="BB825" i="3"/>
  <c r="BB826" i="3"/>
  <c r="BB827" i="3"/>
  <c r="BB828" i="3"/>
  <c r="BB829" i="3"/>
  <c r="BB830" i="3"/>
  <c r="BB831" i="3"/>
  <c r="BB832" i="3"/>
  <c r="BB833" i="3"/>
  <c r="BB834" i="3"/>
  <c r="BB835" i="3"/>
  <c r="BB836" i="3"/>
  <c r="BB837" i="3"/>
  <c r="BB838" i="3"/>
  <c r="BB839" i="3"/>
  <c r="BB840" i="3"/>
  <c r="BB841" i="3"/>
  <c r="BB842" i="3"/>
  <c r="BB843" i="3"/>
  <c r="BB844" i="3"/>
  <c r="BB845" i="3"/>
  <c r="BB846" i="3"/>
  <c r="BB847" i="3"/>
  <c r="BB848" i="3"/>
  <c r="BB849" i="3"/>
  <c r="BB850" i="3"/>
  <c r="BB851" i="3"/>
  <c r="BB852" i="3"/>
  <c r="BB853" i="3"/>
  <c r="BB854" i="3"/>
  <c r="BB855" i="3"/>
  <c r="BB856" i="3"/>
  <c r="BB857" i="3"/>
  <c r="BB858" i="3"/>
  <c r="BB859" i="3"/>
  <c r="BB860" i="3"/>
  <c r="BB861" i="3"/>
  <c r="BB862" i="3"/>
  <c r="BB863" i="3"/>
  <c r="BB864" i="3"/>
  <c r="BB865" i="3"/>
  <c r="BB866" i="3"/>
  <c r="BB867" i="3"/>
  <c r="BB868" i="3"/>
  <c r="BB869" i="3"/>
  <c r="BB870" i="3"/>
  <c r="BB871" i="3"/>
  <c r="BB872" i="3"/>
  <c r="BB873" i="3"/>
  <c r="BB874" i="3"/>
  <c r="BB875" i="3"/>
  <c r="BB876" i="3"/>
  <c r="BB877" i="3"/>
  <c r="BB878" i="3"/>
  <c r="BB879" i="3"/>
  <c r="BB880" i="3"/>
  <c r="BB881" i="3"/>
  <c r="BB882" i="3"/>
  <c r="BB883" i="3"/>
  <c r="BB884" i="3"/>
  <c r="BB885" i="3"/>
  <c r="BB886" i="3"/>
  <c r="BB887" i="3"/>
  <c r="BB888" i="3"/>
  <c r="BB889" i="3"/>
  <c r="BB890" i="3"/>
  <c r="BB891" i="3"/>
  <c r="BB892" i="3"/>
  <c r="BB893" i="3"/>
  <c r="BB894" i="3"/>
  <c r="BB895" i="3"/>
  <c r="BB896" i="3"/>
  <c r="BB897" i="3"/>
  <c r="BB898" i="3"/>
  <c r="BB899" i="3"/>
  <c r="BB900" i="3"/>
  <c r="BB901" i="3"/>
  <c r="BB902" i="3"/>
  <c r="BB903" i="3"/>
  <c r="BB904" i="3"/>
  <c r="BB905" i="3"/>
  <c r="BB906" i="3"/>
  <c r="BB907" i="3"/>
  <c r="BB908" i="3"/>
  <c r="BB909" i="3"/>
  <c r="BB910" i="3"/>
  <c r="BB911" i="3"/>
  <c r="BB912" i="3"/>
  <c r="BB913" i="3"/>
  <c r="BB914" i="3"/>
  <c r="BB915" i="3"/>
  <c r="BB916" i="3"/>
  <c r="BB917" i="3"/>
  <c r="BB918" i="3"/>
  <c r="BB919" i="3"/>
  <c r="BB920" i="3"/>
  <c r="BB921" i="3"/>
  <c r="BB922" i="3"/>
  <c r="BB923" i="3"/>
  <c r="BB924" i="3"/>
  <c r="BB925" i="3"/>
  <c r="BB926" i="3"/>
  <c r="BB927" i="3"/>
  <c r="BB928" i="3"/>
  <c r="BB929" i="3"/>
  <c r="BB930" i="3"/>
  <c r="BB931" i="3"/>
  <c r="BB932" i="3"/>
  <c r="BB933" i="3"/>
  <c r="BB934" i="3"/>
  <c r="BB935" i="3"/>
  <c r="BB936" i="3"/>
  <c r="BB937" i="3"/>
  <c r="BB938" i="3"/>
  <c r="BB939" i="3"/>
  <c r="BB940" i="3"/>
  <c r="BB941" i="3"/>
  <c r="BB942" i="3"/>
  <c r="BB943" i="3"/>
  <c r="BB944" i="3"/>
  <c r="BB945" i="3"/>
  <c r="BB946" i="3"/>
  <c r="BB947" i="3"/>
  <c r="BB948" i="3"/>
  <c r="BB949" i="3"/>
  <c r="BB950" i="3"/>
  <c r="BB951" i="3"/>
  <c r="BB952" i="3"/>
  <c r="BB953" i="3"/>
  <c r="BB954" i="3"/>
  <c r="BB955" i="3"/>
  <c r="BB956" i="3"/>
  <c r="BB957" i="3"/>
  <c r="BB958" i="3"/>
  <c r="BB959" i="3"/>
  <c r="BB960" i="3"/>
  <c r="BB961" i="3"/>
  <c r="BB962" i="3"/>
  <c r="BB963" i="3"/>
  <c r="BB964" i="3"/>
  <c r="BB965" i="3"/>
  <c r="BB966" i="3"/>
  <c r="BB967" i="3"/>
  <c r="BB968" i="3"/>
  <c r="BB969" i="3"/>
  <c r="BB970" i="3"/>
  <c r="BB971" i="3"/>
  <c r="BB972" i="3"/>
  <c r="BB973" i="3"/>
  <c r="BB974" i="3"/>
  <c r="BB975" i="3"/>
  <c r="BB976" i="3"/>
  <c r="BB977" i="3"/>
  <c r="BB978" i="3"/>
  <c r="BB979" i="3"/>
  <c r="BB980" i="3"/>
  <c r="BB981" i="3"/>
  <c r="BB982" i="3"/>
  <c r="BB983" i="3"/>
  <c r="BB984" i="3"/>
  <c r="BB985" i="3"/>
  <c r="BB986" i="3"/>
  <c r="BB987" i="3"/>
  <c r="BB988" i="3"/>
  <c r="BB989" i="3"/>
  <c r="BB990" i="3"/>
  <c r="BB991" i="3"/>
  <c r="BB992" i="3"/>
  <c r="BB993" i="3"/>
  <c r="BB994" i="3"/>
  <c r="BB995" i="3"/>
  <c r="BB996" i="3"/>
  <c r="BB997" i="3"/>
  <c r="BB998" i="3"/>
  <c r="BB999" i="3"/>
  <c r="BB1000" i="3"/>
  <c r="BB1001" i="3"/>
  <c r="BB1002" i="3"/>
  <c r="BB1003" i="3"/>
  <c r="BB1004" i="3"/>
  <c r="BB1005" i="3"/>
  <c r="BB1006" i="3"/>
  <c r="BB1007" i="3"/>
  <c r="BB1008" i="3"/>
  <c r="BB1009" i="3"/>
  <c r="BB1010" i="3"/>
  <c r="BB1011" i="3"/>
  <c r="BB1012" i="3"/>
  <c r="BB1013" i="3"/>
  <c r="BB1014" i="3"/>
  <c r="BB1015" i="3"/>
  <c r="BB1016" i="3"/>
  <c r="BB1017" i="3"/>
  <c r="BB1018" i="3"/>
  <c r="BB1019" i="3"/>
  <c r="BB1020" i="3"/>
  <c r="BB1021" i="3"/>
  <c r="BB1022" i="3"/>
  <c r="BB1023" i="3"/>
  <c r="BB1024" i="3"/>
  <c r="BB1025" i="3"/>
  <c r="BB1026" i="3"/>
  <c r="BB1027" i="3"/>
  <c r="BB1028" i="3"/>
  <c r="BB1029" i="3"/>
  <c r="BB1030" i="3"/>
  <c r="BB1031" i="3"/>
  <c r="BB1032" i="3"/>
  <c r="BB1033" i="3"/>
  <c r="BB1034" i="3"/>
  <c r="BB1035" i="3"/>
  <c r="BB1036" i="3"/>
  <c r="BB1037" i="3"/>
  <c r="BB1038" i="3"/>
  <c r="BB1039" i="3"/>
  <c r="BB1040" i="3"/>
  <c r="BB1041" i="3"/>
  <c r="BB1042" i="3"/>
  <c r="BB1043" i="3"/>
  <c r="BB1044" i="3"/>
  <c r="BB1045" i="3"/>
  <c r="BB1046" i="3"/>
  <c r="BB1047" i="3"/>
  <c r="BB1048" i="3"/>
  <c r="BB1049" i="3"/>
  <c r="BB1050" i="3"/>
  <c r="BB1051" i="3"/>
  <c r="BB1052" i="3"/>
  <c r="BB1053" i="3"/>
  <c r="BB1054" i="3"/>
  <c r="BB1055" i="3"/>
  <c r="BB1056" i="3"/>
  <c r="BB1057" i="3"/>
  <c r="BB1058" i="3"/>
  <c r="BB1059" i="3"/>
  <c r="BB1060" i="3"/>
  <c r="BB1061" i="3"/>
  <c r="BB1062" i="3"/>
  <c r="BB1063" i="3"/>
  <c r="BB1064" i="3"/>
  <c r="BB1065" i="3"/>
  <c r="BB1066" i="3"/>
  <c r="BB1067" i="3"/>
  <c r="BB1068" i="3"/>
  <c r="BB1069" i="3"/>
  <c r="BB1070" i="3"/>
  <c r="BB1071" i="3"/>
  <c r="BB1072" i="3"/>
  <c r="BB1073" i="3"/>
  <c r="BB1074" i="3"/>
  <c r="BB1075" i="3"/>
  <c r="BB1076" i="3"/>
  <c r="BB1077" i="3"/>
  <c r="BB1078" i="3"/>
  <c r="BB1079" i="3"/>
  <c r="BB1080" i="3"/>
  <c r="BB1081" i="3"/>
  <c r="BB1082" i="3"/>
  <c r="BB1083" i="3"/>
  <c r="BB1084" i="3"/>
  <c r="BB1085" i="3"/>
  <c r="BB1086" i="3"/>
  <c r="BB1087" i="3"/>
  <c r="BB1088" i="3"/>
  <c r="BB1089" i="3"/>
  <c r="BB1090" i="3"/>
  <c r="BB1091" i="3"/>
  <c r="BB1092" i="3"/>
  <c r="BB1093" i="3"/>
  <c r="BB1094" i="3"/>
  <c r="BB1095" i="3"/>
  <c r="BB1096" i="3"/>
  <c r="BB1097" i="3"/>
  <c r="BB1098" i="3"/>
  <c r="BB1099" i="3"/>
  <c r="BB1100" i="3"/>
  <c r="BB1101" i="3"/>
  <c r="BB1102" i="3"/>
  <c r="BB1103" i="3"/>
  <c r="BB1104" i="3"/>
  <c r="BB1105" i="3"/>
  <c r="BB1106" i="3"/>
  <c r="BB1107" i="3"/>
  <c r="BB1108" i="3"/>
  <c r="BB1109" i="3"/>
  <c r="BB1110" i="3"/>
  <c r="BB1111" i="3"/>
  <c r="BB1112" i="3"/>
  <c r="BB1113" i="3"/>
  <c r="BB1114" i="3"/>
  <c r="BB1115" i="3"/>
  <c r="BB1116" i="3"/>
  <c r="BB1117" i="3"/>
  <c r="BB1118" i="3"/>
  <c r="BB1119" i="3"/>
  <c r="BB1120" i="3"/>
  <c r="BB1121" i="3"/>
  <c r="BB1122" i="3"/>
  <c r="BB1123" i="3"/>
  <c r="BB1124" i="3"/>
  <c r="BB1125" i="3"/>
  <c r="BB1126" i="3"/>
  <c r="BB1127" i="3"/>
  <c r="BB1128" i="3"/>
  <c r="BB1129" i="3"/>
  <c r="BB1130" i="3"/>
  <c r="BB1131" i="3"/>
  <c r="BB1132" i="3"/>
  <c r="BB1133" i="3"/>
  <c r="BB1134" i="3"/>
  <c r="BB1135" i="3"/>
  <c r="BB1136" i="3"/>
  <c r="BB1137" i="3"/>
  <c r="BB1138" i="3"/>
  <c r="BB1139" i="3"/>
  <c r="BB1140" i="3"/>
  <c r="BB1141" i="3"/>
  <c r="BB1142" i="3"/>
  <c r="BB1143" i="3"/>
  <c r="BB1144" i="3"/>
  <c r="BB1145" i="3"/>
  <c r="BB1146" i="3"/>
  <c r="BB1147" i="3"/>
  <c r="BB1148" i="3"/>
  <c r="BB1149" i="3"/>
  <c r="BB1150" i="3"/>
  <c r="BB1151" i="3"/>
  <c r="BB1152" i="3"/>
  <c r="BB1153" i="3"/>
  <c r="BB1154" i="3"/>
  <c r="BB1155" i="3"/>
  <c r="BB1156" i="3"/>
  <c r="BB1157" i="3"/>
  <c r="BB1158" i="3"/>
  <c r="BB1159" i="3"/>
  <c r="BB1160" i="3"/>
  <c r="BB1161" i="3"/>
  <c r="BB1162" i="3"/>
  <c r="BB1163" i="3"/>
  <c r="BB1164" i="3"/>
  <c r="BB1165" i="3"/>
  <c r="BB1166" i="3"/>
  <c r="BB1167" i="3"/>
  <c r="BB1168" i="3"/>
  <c r="BB1169" i="3"/>
  <c r="BB1170" i="3"/>
  <c r="BB1171" i="3"/>
  <c r="BB1172" i="3"/>
  <c r="BB1173" i="3"/>
  <c r="BB1174" i="3"/>
  <c r="BB1175" i="3"/>
  <c r="BB1176" i="3"/>
  <c r="BB1177" i="3"/>
  <c r="BB1178" i="3"/>
  <c r="BB1179" i="3"/>
  <c r="BB1180" i="3"/>
  <c r="BB1181" i="3"/>
  <c r="BB1182" i="3"/>
  <c r="BB1183" i="3"/>
  <c r="BB1184" i="3"/>
  <c r="BB1185" i="3"/>
  <c r="BB1186" i="3"/>
  <c r="BB1187" i="3"/>
  <c r="BB1188" i="3"/>
  <c r="BB1189" i="3"/>
  <c r="BB1190" i="3"/>
  <c r="BB1191" i="3"/>
  <c r="BB1192" i="3"/>
  <c r="BB1193" i="3"/>
  <c r="BB1194" i="3"/>
  <c r="BB1195" i="3"/>
  <c r="BB1196" i="3"/>
  <c r="BB1197" i="3"/>
  <c r="BB1198" i="3"/>
  <c r="BB1199" i="3"/>
  <c r="BB1200" i="3"/>
  <c r="BB1201" i="3"/>
  <c r="BB1202" i="3"/>
  <c r="BB1203" i="3"/>
  <c r="BB1204" i="3"/>
  <c r="BB1205" i="3"/>
  <c r="BB1206" i="3"/>
  <c r="BB1207" i="3"/>
  <c r="BB1208" i="3"/>
  <c r="BB1209" i="3"/>
  <c r="BB1210" i="3"/>
  <c r="BB1211" i="3"/>
  <c r="BB1212" i="3"/>
  <c r="BB1213" i="3"/>
  <c r="BB1214" i="3"/>
  <c r="BB1215" i="3"/>
  <c r="BB1216" i="3"/>
  <c r="BB1217" i="3"/>
  <c r="BB1218" i="3"/>
  <c r="BB1219" i="3"/>
  <c r="BB1220" i="3"/>
  <c r="BB1221" i="3"/>
  <c r="BB1222" i="3"/>
  <c r="BB1223" i="3"/>
  <c r="BB1224" i="3"/>
  <c r="BB1225" i="3"/>
  <c r="BB1226" i="3"/>
  <c r="BB1227" i="3"/>
  <c r="BB1228" i="3"/>
  <c r="BB1229" i="3"/>
  <c r="BB1230" i="3"/>
  <c r="BB1231" i="3"/>
  <c r="BB1232" i="3"/>
  <c r="BB1233" i="3"/>
  <c r="BB1234" i="3"/>
  <c r="BB1235" i="3"/>
  <c r="BB1236" i="3"/>
  <c r="BB1237" i="3"/>
  <c r="BB1238" i="3"/>
  <c r="BB1239" i="3"/>
  <c r="BB1240" i="3"/>
  <c r="BB1241" i="3"/>
  <c r="BB1242" i="3"/>
  <c r="BB1243" i="3"/>
  <c r="BB1244" i="3"/>
  <c r="BB1245" i="3"/>
  <c r="BB1246" i="3"/>
  <c r="BB1247" i="3"/>
  <c r="BB1248" i="3"/>
  <c r="BB1249" i="3"/>
  <c r="BB1250" i="3"/>
  <c r="BB1251" i="3"/>
  <c r="BB1252" i="3"/>
  <c r="BB1253" i="3"/>
  <c r="BB1254" i="3"/>
  <c r="BB1255" i="3"/>
  <c r="BB1256" i="3"/>
  <c r="BB1257" i="3"/>
  <c r="BB1258" i="3"/>
  <c r="BB1259" i="3"/>
  <c r="BB1260" i="3"/>
  <c r="BB1261" i="3"/>
  <c r="BB1262" i="3"/>
  <c r="BB1263" i="3"/>
  <c r="BB1264" i="3"/>
  <c r="BB1265" i="3"/>
  <c r="BB1266" i="3"/>
  <c r="BB1267" i="3"/>
  <c r="BB1268" i="3"/>
  <c r="BB1269" i="3"/>
  <c r="BB1270" i="3"/>
  <c r="BB1271" i="3"/>
  <c r="BB1272" i="3"/>
  <c r="BB1273" i="3"/>
  <c r="BB1274" i="3"/>
  <c r="BB1275" i="3"/>
  <c r="BB1276" i="3"/>
  <c r="BB1277" i="3"/>
  <c r="BB1278" i="3"/>
  <c r="BB1279" i="3"/>
  <c r="BB1280" i="3"/>
  <c r="BB1281" i="3"/>
  <c r="BB1282" i="3"/>
  <c r="BB1283" i="3"/>
  <c r="BB1284" i="3"/>
  <c r="BB1285" i="3"/>
  <c r="BB1286" i="3"/>
  <c r="BB1287" i="3"/>
  <c r="BB1288" i="3"/>
  <c r="BB1289" i="3"/>
  <c r="BB1290" i="3"/>
  <c r="BB1291" i="3"/>
  <c r="BB1292" i="3"/>
  <c r="BB1293" i="3"/>
  <c r="BB1294" i="3"/>
  <c r="BB1295" i="3"/>
  <c r="BB1296" i="3"/>
  <c r="BB1297" i="3"/>
  <c r="BB1298" i="3"/>
  <c r="BB1299" i="3"/>
  <c r="BB1300" i="3"/>
  <c r="BB1301" i="3"/>
  <c r="BB1302" i="3"/>
  <c r="BB1303" i="3"/>
  <c r="BB1304" i="3"/>
  <c r="BB1305" i="3"/>
  <c r="BB1306" i="3"/>
  <c r="BB1307" i="3"/>
  <c r="BB1308" i="3"/>
  <c r="BB1309" i="3"/>
  <c r="BB1310" i="3"/>
  <c r="BB1311" i="3"/>
  <c r="BB1312" i="3"/>
  <c r="BB1313" i="3"/>
  <c r="BB1314" i="3"/>
  <c r="BB1315" i="3"/>
  <c r="BB1316" i="3"/>
  <c r="BB1317" i="3"/>
  <c r="BB1318" i="3"/>
  <c r="BB1319" i="3"/>
  <c r="BB1320" i="3"/>
  <c r="BB1321" i="3"/>
  <c r="BB1322" i="3"/>
  <c r="BB1323" i="3"/>
  <c r="BB1324" i="3"/>
  <c r="BB1325" i="3"/>
  <c r="BB1326" i="3"/>
  <c r="BB1327" i="3"/>
  <c r="BB1328" i="3"/>
  <c r="BB1329" i="3"/>
  <c r="BB1330" i="3"/>
  <c r="BB1331" i="3"/>
  <c r="BB1332" i="3"/>
  <c r="BB1333" i="3"/>
  <c r="BB1334" i="3"/>
  <c r="BB1335" i="3"/>
  <c r="BB1336" i="3"/>
  <c r="BB1337" i="3"/>
  <c r="BB1338" i="3"/>
  <c r="BB1339" i="3"/>
  <c r="BB1340" i="3"/>
  <c r="BB1341" i="3"/>
  <c r="BB1342" i="3"/>
  <c r="BB1343" i="3"/>
  <c r="BB1344" i="3"/>
  <c r="BB1345" i="3"/>
  <c r="BB1346" i="3"/>
  <c r="BB1347" i="3"/>
  <c r="BB1348" i="3"/>
  <c r="BB1349" i="3"/>
  <c r="BB1350" i="3"/>
  <c r="BB1351" i="3"/>
  <c r="BB1352" i="3"/>
  <c r="BB1353" i="3"/>
  <c r="BB1354" i="3"/>
  <c r="BB1355" i="3"/>
  <c r="BB1356" i="3"/>
  <c r="BB1357" i="3"/>
  <c r="BB1358" i="3"/>
  <c r="BB1359" i="3"/>
  <c r="BB1360" i="3"/>
  <c r="BB1361" i="3"/>
  <c r="BB1362" i="3"/>
  <c r="BB1363" i="3"/>
  <c r="BB1364" i="3"/>
  <c r="BB1365" i="3"/>
  <c r="BB1366" i="3"/>
  <c r="BB1367" i="3"/>
  <c r="BB1368" i="3"/>
  <c r="BB1369" i="3"/>
  <c r="BB1370" i="3"/>
  <c r="BB1371" i="3"/>
  <c r="BB1372" i="3"/>
  <c r="BB1373" i="3"/>
  <c r="BB1374" i="3"/>
  <c r="BB1375" i="3"/>
  <c r="BB1376" i="3"/>
  <c r="BB1377" i="3"/>
  <c r="BB1378" i="3"/>
  <c r="BB1379" i="3"/>
  <c r="BB1380" i="3"/>
  <c r="BB1381" i="3"/>
  <c r="BB1382" i="3"/>
  <c r="BB1383" i="3"/>
  <c r="BB1384" i="3"/>
  <c r="BB1385" i="3"/>
  <c r="BB1386" i="3"/>
  <c r="BB1387" i="3"/>
  <c r="BB1388" i="3"/>
  <c r="BB1389" i="3"/>
  <c r="BB1390" i="3"/>
  <c r="BB1391" i="3"/>
  <c r="BB1392" i="3"/>
  <c r="BB1393" i="3"/>
  <c r="BB1394" i="3"/>
  <c r="BB1395" i="3"/>
  <c r="BB1396" i="3"/>
  <c r="BB1397" i="3"/>
  <c r="BB1398" i="3"/>
  <c r="BB1399" i="3"/>
  <c r="BB1400" i="3"/>
  <c r="BB1401" i="3"/>
  <c r="BB1402" i="3"/>
  <c r="BB1403" i="3"/>
  <c r="BB1404" i="3"/>
  <c r="BB1405" i="3"/>
  <c r="BB1406" i="3"/>
  <c r="BB1407" i="3"/>
  <c r="BB1408" i="3"/>
  <c r="BB1409" i="3"/>
  <c r="BB1410" i="3"/>
  <c r="BB1411" i="3"/>
  <c r="BB1412" i="3"/>
  <c r="BB1413" i="3"/>
  <c r="BB1414" i="3"/>
  <c r="BB1415" i="3"/>
  <c r="BB1416" i="3"/>
  <c r="BB1417" i="3"/>
  <c r="BB1418" i="3"/>
  <c r="BB1419" i="3"/>
  <c r="BB1420" i="3"/>
  <c r="BB1421" i="3"/>
  <c r="BB1422" i="3"/>
  <c r="BB1423" i="3"/>
  <c r="BB1424" i="3"/>
  <c r="BB1425" i="3"/>
  <c r="BB1426" i="3"/>
  <c r="BB1427" i="3"/>
  <c r="BB1428" i="3"/>
  <c r="BB1429" i="3"/>
  <c r="BB1430" i="3"/>
  <c r="BB1431" i="3"/>
  <c r="BB1432" i="3"/>
  <c r="BB1433" i="3"/>
  <c r="BB1434" i="3"/>
  <c r="BB1435" i="3"/>
  <c r="BB1436" i="3"/>
  <c r="BB1437" i="3"/>
  <c r="BB1438" i="3"/>
  <c r="BB1439" i="3"/>
  <c r="BB1440" i="3"/>
  <c r="BB1441" i="3"/>
  <c r="BB1442" i="3"/>
  <c r="BB1443" i="3"/>
  <c r="BB1444" i="3"/>
  <c r="BB1445" i="3"/>
  <c r="BB1446" i="3"/>
  <c r="BB1447" i="3"/>
  <c r="BB1448" i="3"/>
  <c r="BB1449" i="3"/>
  <c r="BB1450" i="3"/>
  <c r="BB1451" i="3"/>
  <c r="BB1452" i="3"/>
  <c r="BB1453" i="3"/>
  <c r="BB1454" i="3"/>
  <c r="BB1455" i="3"/>
  <c r="BB1456" i="3"/>
  <c r="BB1457" i="3"/>
  <c r="BB1458" i="3"/>
  <c r="BB1459" i="3"/>
  <c r="BB1460" i="3"/>
  <c r="BB1461" i="3"/>
  <c r="BB1462" i="3"/>
  <c r="BB1463" i="3"/>
  <c r="BB1464" i="3"/>
  <c r="BB1465" i="3"/>
  <c r="BB1466" i="3"/>
  <c r="BB1467" i="3"/>
  <c r="BB1468" i="3"/>
  <c r="BB1469" i="3"/>
  <c r="BB1470" i="3"/>
  <c r="BB1471" i="3"/>
  <c r="BB1472" i="3"/>
  <c r="BB1473" i="3"/>
  <c r="BB1474" i="3"/>
  <c r="BB1475" i="3"/>
  <c r="BB1476" i="3"/>
  <c r="BB1477" i="3"/>
  <c r="BB1478" i="3"/>
  <c r="BB1479" i="3"/>
  <c r="BB1480" i="3"/>
  <c r="BB1481" i="3"/>
  <c r="BB1482" i="3"/>
  <c r="BB1483" i="3"/>
  <c r="BB1484" i="3"/>
  <c r="BB1485" i="3"/>
  <c r="BB1486" i="3"/>
  <c r="BB1487" i="3"/>
  <c r="BB1488" i="3"/>
  <c r="BB1489" i="3"/>
  <c r="BB1490" i="3"/>
  <c r="BB1491" i="3"/>
  <c r="BB1492" i="3"/>
  <c r="BB1493" i="3"/>
  <c r="BB1494" i="3"/>
  <c r="BB1495" i="3"/>
  <c r="BB1496" i="3"/>
  <c r="BB1497" i="3"/>
  <c r="BB1498" i="3"/>
  <c r="BB1499" i="3"/>
  <c r="BB1500" i="3"/>
  <c r="BB1501" i="3"/>
  <c r="BB1502" i="3"/>
  <c r="BB1503" i="3"/>
  <c r="BB1504" i="3"/>
  <c r="BB1505" i="3"/>
  <c r="BB1506" i="3"/>
  <c r="BB1507" i="3"/>
  <c r="BB1508" i="3"/>
  <c r="BB1509" i="3"/>
  <c r="BB1510" i="3"/>
  <c r="BB1511" i="3"/>
  <c r="BB1512" i="3"/>
  <c r="BB1513" i="3"/>
  <c r="BB1514" i="3"/>
  <c r="BB1515" i="3"/>
  <c r="BB1516" i="3"/>
  <c r="BB1517" i="3"/>
  <c r="BB1518" i="3"/>
  <c r="BB1519" i="3"/>
  <c r="BB1520" i="3"/>
  <c r="BB1521" i="3"/>
  <c r="BB1522" i="3"/>
  <c r="BB1523" i="3"/>
  <c r="BB1524" i="3"/>
  <c r="BB1525" i="3"/>
  <c r="BB1526" i="3"/>
  <c r="BB1527" i="3"/>
  <c r="BB1528" i="3"/>
  <c r="BB1529" i="3"/>
  <c r="BB1530" i="3"/>
  <c r="BB1531" i="3"/>
  <c r="BB1532" i="3"/>
  <c r="BB1533" i="3"/>
  <c r="BB1534" i="3"/>
  <c r="BB1535" i="3"/>
  <c r="BB1536" i="3"/>
  <c r="BB1537" i="3"/>
  <c r="BB1538" i="3"/>
  <c r="BB1539" i="3"/>
  <c r="BB1540" i="3"/>
  <c r="BB1541" i="3"/>
  <c r="BB1542" i="3"/>
  <c r="BB1543" i="3"/>
  <c r="BB1544" i="3"/>
  <c r="BB1545" i="3"/>
  <c r="BB1546" i="3"/>
  <c r="BB1547" i="3"/>
  <c r="BB1548" i="3"/>
  <c r="BB1549" i="3"/>
  <c r="BB1550" i="3"/>
  <c r="BB1551" i="3"/>
  <c r="BB1552" i="3"/>
  <c r="BB1553" i="3"/>
  <c r="BB1554" i="3"/>
  <c r="BB1555" i="3"/>
  <c r="BB1556" i="3"/>
  <c r="BB1557" i="3"/>
  <c r="BB1558" i="3"/>
  <c r="BB1559" i="3"/>
  <c r="BB1560" i="3"/>
  <c r="BB1561" i="3"/>
  <c r="BB1562" i="3"/>
  <c r="BB1563" i="3"/>
  <c r="BB1564" i="3"/>
  <c r="BB1565" i="3"/>
  <c r="BB1566" i="3"/>
  <c r="BB1567" i="3"/>
  <c r="BB1568" i="3"/>
  <c r="BB1569" i="3"/>
  <c r="BB1570" i="3"/>
  <c r="BB1571" i="3"/>
  <c r="BB1572" i="3"/>
  <c r="BB1573" i="3"/>
  <c r="BB1574" i="3"/>
  <c r="BB1575" i="3"/>
  <c r="BB1576" i="3"/>
  <c r="BB1577" i="3"/>
  <c r="BB1578" i="3"/>
  <c r="BB1579" i="3"/>
  <c r="BB1580" i="3"/>
  <c r="BB1581" i="3"/>
  <c r="BB1582" i="3"/>
  <c r="BB1583" i="3"/>
  <c r="BB1584" i="3"/>
  <c r="BB1585" i="3"/>
  <c r="BB1586" i="3"/>
  <c r="BB1587" i="3"/>
  <c r="BB1588" i="3"/>
  <c r="BB1589" i="3"/>
  <c r="BB1590" i="3"/>
  <c r="BB1591" i="3"/>
  <c r="BB1592" i="3"/>
  <c r="BB1593" i="3"/>
  <c r="BB1594" i="3"/>
  <c r="BB1595" i="3"/>
  <c r="BB1596" i="3"/>
  <c r="BB1597" i="3"/>
  <c r="BB1598" i="3"/>
  <c r="BB1599" i="3"/>
  <c r="BB1600" i="3"/>
  <c r="BB1601" i="3"/>
  <c r="BB1602" i="3"/>
  <c r="BB1603" i="3"/>
  <c r="BB1604" i="3"/>
  <c r="BB1605" i="3"/>
  <c r="BB1606" i="3"/>
  <c r="BB1607" i="3"/>
  <c r="BB1608" i="3"/>
  <c r="BB1609" i="3"/>
  <c r="BB1610" i="3"/>
  <c r="BB1611" i="3"/>
  <c r="BB1612" i="3"/>
  <c r="BB1613" i="3"/>
  <c r="BB1614" i="3"/>
  <c r="BB1615" i="3"/>
  <c r="BB1616" i="3"/>
  <c r="BB1617" i="3"/>
  <c r="BB1618" i="3"/>
  <c r="BB1619" i="3"/>
  <c r="BB1620" i="3"/>
  <c r="BB1621" i="3"/>
  <c r="BB1622" i="3"/>
  <c r="BB1623" i="3"/>
  <c r="BB1624" i="3"/>
  <c r="BB1625" i="3"/>
  <c r="BB1626" i="3"/>
  <c r="BB1627" i="3"/>
  <c r="BB1628" i="3"/>
  <c r="BB1629" i="3"/>
  <c r="BB1630" i="3"/>
  <c r="BB1631" i="3"/>
  <c r="BB1632" i="3"/>
  <c r="BB1633" i="3"/>
  <c r="BB1634" i="3"/>
  <c r="BB1635" i="3"/>
  <c r="BB1636" i="3"/>
  <c r="BB1637" i="3"/>
  <c r="BB1638" i="3"/>
  <c r="BB1639" i="3"/>
  <c r="BB1640" i="3"/>
  <c r="BB1641" i="3"/>
  <c r="BB1642" i="3"/>
  <c r="BB1643" i="3"/>
  <c r="BB1644" i="3"/>
  <c r="BB1645" i="3"/>
  <c r="BB1646" i="3"/>
  <c r="BB1647" i="3"/>
  <c r="BB1648" i="3"/>
  <c r="BB1649" i="3"/>
  <c r="BB1650" i="3"/>
  <c r="BB1651" i="3"/>
  <c r="BB1652" i="3"/>
  <c r="BB1653" i="3"/>
  <c r="BB1654" i="3"/>
  <c r="BB1655" i="3"/>
  <c r="BB1656" i="3"/>
  <c r="BB1657" i="3"/>
  <c r="BB1658" i="3"/>
  <c r="BB1659" i="3"/>
  <c r="BB1660" i="3"/>
  <c r="BB1661" i="3"/>
  <c r="BB1662" i="3"/>
  <c r="BB1663" i="3"/>
  <c r="BB1664" i="3"/>
  <c r="BB1665" i="3"/>
  <c r="BB1666" i="3"/>
  <c r="BB1667" i="3"/>
  <c r="BB1668" i="3"/>
  <c r="BB1669" i="3"/>
  <c r="BB1670" i="3"/>
  <c r="BB1671" i="3"/>
  <c r="BB1672" i="3"/>
  <c r="BB1673" i="3"/>
  <c r="BB1674" i="3"/>
  <c r="BB1675" i="3"/>
  <c r="BB1676" i="3"/>
  <c r="BB1677" i="3"/>
  <c r="BB1678" i="3"/>
  <c r="BB1679" i="3"/>
  <c r="BB1680" i="3"/>
  <c r="BB1681" i="3"/>
  <c r="BB1682" i="3"/>
  <c r="BB1683" i="3"/>
  <c r="BB1684" i="3"/>
  <c r="BB1685" i="3"/>
  <c r="BB1686" i="3"/>
  <c r="BB1687" i="3"/>
  <c r="BB1688" i="3"/>
  <c r="BB1689" i="3"/>
  <c r="BB1690" i="3"/>
  <c r="BB1691" i="3"/>
  <c r="BB1692" i="3"/>
  <c r="BB1693" i="3"/>
  <c r="BB1694" i="3"/>
  <c r="BB1695" i="3"/>
  <c r="BB1696" i="3"/>
  <c r="BB1697" i="3"/>
  <c r="BB1698" i="3"/>
  <c r="BB1699" i="3"/>
  <c r="BB1700" i="3"/>
  <c r="BB1701" i="3"/>
  <c r="BB1702" i="3"/>
  <c r="BB1703" i="3"/>
  <c r="BB1704" i="3"/>
  <c r="BB1705" i="3"/>
  <c r="BB1706" i="3"/>
  <c r="BB1707" i="3"/>
  <c r="BB1708" i="3"/>
  <c r="BB1709" i="3"/>
  <c r="BB1710" i="3"/>
  <c r="BB1711" i="3"/>
  <c r="BB1712" i="3"/>
  <c r="BB1713" i="3"/>
  <c r="BB1714" i="3"/>
  <c r="BB1715" i="3"/>
  <c r="BB1716" i="3"/>
  <c r="BB1717" i="3"/>
  <c r="BB1718" i="3"/>
  <c r="BB1719" i="3"/>
  <c r="BB1720" i="3"/>
  <c r="BB1721" i="3"/>
  <c r="BB1722" i="3"/>
  <c r="BB1723" i="3"/>
  <c r="BB1724" i="3"/>
  <c r="BB1725" i="3"/>
  <c r="BB1726" i="3"/>
  <c r="BB1727" i="3"/>
  <c r="BB1728" i="3"/>
  <c r="BB1729" i="3"/>
  <c r="BB1730" i="3"/>
  <c r="BB1731" i="3"/>
  <c r="BB1732" i="3"/>
  <c r="BB1733" i="3"/>
  <c r="BB1734" i="3"/>
  <c r="BB1735" i="3"/>
  <c r="BB1736" i="3"/>
  <c r="BB1737" i="3"/>
  <c r="BB1738" i="3"/>
  <c r="BB1739" i="3"/>
  <c r="BB1740" i="3"/>
  <c r="BB1741" i="3"/>
  <c r="BB1742" i="3"/>
  <c r="BB1743" i="3"/>
  <c r="BB1744" i="3"/>
  <c r="BB1745" i="3"/>
  <c r="BB1746" i="3"/>
  <c r="BB1747" i="3"/>
  <c r="BB1748" i="3"/>
  <c r="BB1749" i="3"/>
  <c r="BB1750" i="3"/>
  <c r="BB1751" i="3"/>
  <c r="BB1752" i="3"/>
  <c r="BB1753" i="3"/>
  <c r="BB1754" i="3"/>
  <c r="BB1755" i="3"/>
  <c r="BB1756" i="3"/>
  <c r="BB1757" i="3"/>
  <c r="BB1758" i="3"/>
  <c r="BB1759" i="3"/>
  <c r="BB3" i="3"/>
  <c r="A2" i="1"/>
  <c r="B2" i="1" s="1"/>
  <c r="J1116" i="3"/>
  <c r="K1116" i="3" s="1"/>
  <c r="J1115" i="3"/>
  <c r="K1115" i="3" s="1"/>
  <c r="J1114" i="3"/>
  <c r="K1114" i="3" s="1"/>
  <c r="J1113" i="3"/>
  <c r="K1113" i="3" s="1"/>
  <c r="J1112" i="3"/>
  <c r="K1112" i="3" s="1"/>
  <c r="J1111" i="3"/>
  <c r="K1111" i="3" s="1"/>
  <c r="J1110" i="3"/>
  <c r="K1110" i="3" s="1"/>
  <c r="J1109" i="3"/>
  <c r="K1109" i="3" s="1"/>
  <c r="J1108" i="3"/>
  <c r="K1108" i="3" s="1"/>
  <c r="J1107" i="3"/>
  <c r="K1107" i="3" s="1"/>
  <c r="J1106" i="3"/>
  <c r="K1106" i="3" s="1"/>
  <c r="J1105" i="3"/>
  <c r="K1105" i="3" s="1"/>
  <c r="J1104" i="3"/>
  <c r="K1104" i="3" s="1"/>
  <c r="J1103" i="3"/>
  <c r="K1103" i="3" s="1"/>
  <c r="J1102" i="3"/>
  <c r="K1102" i="3" s="1"/>
  <c r="J1101" i="3"/>
  <c r="K1101" i="3" s="1"/>
  <c r="J1100" i="3"/>
  <c r="K1100" i="3" s="1"/>
  <c r="J1099" i="3"/>
  <c r="K1099" i="3" s="1"/>
  <c r="J1098" i="3"/>
  <c r="K1098" i="3" s="1"/>
  <c r="J1097" i="3"/>
  <c r="K1097" i="3" s="1"/>
  <c r="J1096" i="3"/>
  <c r="K1096" i="3" s="1"/>
  <c r="J1095" i="3"/>
  <c r="K1095" i="3" s="1"/>
  <c r="J1094" i="3"/>
  <c r="K1094" i="3" s="1"/>
  <c r="J1093" i="3"/>
  <c r="K1093" i="3" s="1"/>
  <c r="J1092" i="3"/>
  <c r="K1092" i="3" s="1"/>
  <c r="J1091" i="3"/>
  <c r="K1091" i="3" s="1"/>
  <c r="J1090" i="3"/>
  <c r="K1090" i="3" s="1"/>
  <c r="J1089" i="3"/>
  <c r="K1089" i="3" s="1"/>
  <c r="J1088" i="3"/>
  <c r="K1088" i="3" s="1"/>
  <c r="J1087" i="3"/>
  <c r="K1087" i="3" s="1"/>
  <c r="J1086" i="3"/>
  <c r="K1086" i="3" s="1"/>
  <c r="J1085" i="3"/>
  <c r="K1085" i="3" s="1"/>
  <c r="J1084" i="3"/>
  <c r="K1084" i="3" s="1"/>
  <c r="J1083" i="3"/>
  <c r="K1083" i="3" s="1"/>
  <c r="J1082" i="3"/>
  <c r="K1082" i="3" s="1"/>
  <c r="J1081" i="3"/>
  <c r="K1081" i="3" s="1"/>
  <c r="J1080" i="3"/>
  <c r="K1080" i="3" s="1"/>
  <c r="J1079" i="3"/>
  <c r="K1079" i="3" s="1"/>
  <c r="J1078" i="3"/>
  <c r="K1078" i="3" s="1"/>
  <c r="J1077" i="3"/>
  <c r="K1077" i="3" s="1"/>
  <c r="J1076" i="3"/>
  <c r="K1076" i="3" s="1"/>
  <c r="J1075" i="3"/>
  <c r="K1075" i="3" s="1"/>
  <c r="J1074" i="3"/>
  <c r="K1074" i="3" s="1"/>
  <c r="J1073" i="3"/>
  <c r="K1073" i="3" s="1"/>
  <c r="J1072" i="3"/>
  <c r="K1072" i="3" s="1"/>
  <c r="J1071" i="3"/>
  <c r="K1071" i="3" s="1"/>
  <c r="J1070" i="3"/>
  <c r="K1070" i="3" s="1"/>
  <c r="J1069" i="3"/>
  <c r="K1069" i="3" s="1"/>
  <c r="J1068" i="3"/>
  <c r="K1068" i="3" s="1"/>
  <c r="J1067" i="3"/>
  <c r="K1067" i="3" s="1"/>
  <c r="J1066" i="3"/>
  <c r="K1066" i="3" s="1"/>
  <c r="J1065" i="3"/>
  <c r="K1065" i="3" s="1"/>
  <c r="J1064" i="3"/>
  <c r="K1064" i="3" s="1"/>
  <c r="J1063" i="3"/>
  <c r="K1063" i="3" s="1"/>
  <c r="J1062" i="3"/>
  <c r="K1062" i="3" s="1"/>
  <c r="J1061" i="3"/>
  <c r="K1061" i="3" s="1"/>
  <c r="J1060" i="3"/>
  <c r="K1060" i="3" s="1"/>
  <c r="J1059" i="3"/>
  <c r="K1059" i="3" s="1"/>
  <c r="J1058" i="3"/>
  <c r="K1058" i="3" s="1"/>
  <c r="J1057" i="3"/>
  <c r="K1057" i="3" s="1"/>
  <c r="J1056" i="3"/>
  <c r="K1056" i="3" s="1"/>
  <c r="J1055" i="3"/>
  <c r="K1055" i="3" s="1"/>
  <c r="J1054" i="3"/>
  <c r="K1054" i="3" s="1"/>
  <c r="J1053" i="3"/>
  <c r="K1053" i="3" s="1"/>
  <c r="J1052" i="3"/>
  <c r="K1052" i="3" s="1"/>
  <c r="J1051" i="3"/>
  <c r="K1051" i="3" s="1"/>
  <c r="J1050" i="3"/>
  <c r="K1050" i="3" s="1"/>
  <c r="J1049" i="3"/>
  <c r="K1049" i="3" s="1"/>
  <c r="J1048" i="3"/>
  <c r="K1048" i="3" s="1"/>
  <c r="J1047" i="3"/>
  <c r="K1047" i="3" s="1"/>
  <c r="J1046" i="3"/>
  <c r="K1046" i="3" s="1"/>
  <c r="J1045" i="3"/>
  <c r="K1045" i="3" s="1"/>
  <c r="J1044" i="3"/>
  <c r="K1044" i="3" s="1"/>
  <c r="J1043" i="3"/>
  <c r="K1043" i="3" s="1"/>
  <c r="J1042" i="3"/>
  <c r="K1042" i="3" s="1"/>
  <c r="J1041" i="3"/>
  <c r="K1041" i="3" s="1"/>
  <c r="J1040" i="3"/>
  <c r="K1040" i="3" s="1"/>
  <c r="J1039" i="3"/>
  <c r="K1039" i="3" s="1"/>
  <c r="J1038" i="3"/>
  <c r="K1038" i="3" s="1"/>
  <c r="J1037" i="3"/>
  <c r="K1037" i="3" s="1"/>
  <c r="J1036" i="3"/>
  <c r="K1036" i="3" s="1"/>
  <c r="J1035" i="3"/>
  <c r="K1035" i="3" s="1"/>
  <c r="J1034" i="3"/>
  <c r="K1034" i="3" s="1"/>
  <c r="J1033" i="3"/>
  <c r="K1033" i="3" s="1"/>
  <c r="J1032" i="3"/>
  <c r="K1032" i="3" s="1"/>
  <c r="J1031" i="3"/>
  <c r="K1031" i="3" s="1"/>
  <c r="J1030" i="3"/>
  <c r="K1030" i="3" s="1"/>
  <c r="J1029" i="3"/>
  <c r="K1029" i="3" s="1"/>
  <c r="J1028" i="3"/>
  <c r="K1028" i="3" s="1"/>
  <c r="J1027" i="3"/>
  <c r="K1027" i="3" s="1"/>
  <c r="J1026" i="3"/>
  <c r="K1026" i="3" s="1"/>
  <c r="J1025" i="3"/>
  <c r="K1025" i="3" s="1"/>
  <c r="J1024" i="3"/>
  <c r="K1024" i="3" s="1"/>
  <c r="J1023" i="3"/>
  <c r="K1023" i="3" s="1"/>
  <c r="J1022" i="3"/>
  <c r="K1022" i="3" s="1"/>
  <c r="J1021" i="3"/>
  <c r="K1021" i="3" s="1"/>
  <c r="J1020" i="3"/>
  <c r="K1020" i="3" s="1"/>
  <c r="J1019" i="3"/>
  <c r="K1019" i="3" s="1"/>
  <c r="J1018" i="3"/>
  <c r="K1018" i="3" s="1"/>
  <c r="J1017" i="3"/>
  <c r="K1017" i="3" s="1"/>
  <c r="J1016" i="3"/>
  <c r="K1016" i="3" s="1"/>
  <c r="J1015" i="3"/>
  <c r="K1015" i="3" s="1"/>
  <c r="J1014" i="3"/>
  <c r="K1014" i="3" s="1"/>
  <c r="J1013" i="3"/>
  <c r="K1013" i="3" s="1"/>
  <c r="J1012" i="3"/>
  <c r="K1012" i="3" s="1"/>
  <c r="J1011" i="3"/>
  <c r="K1011" i="3" s="1"/>
  <c r="J1010" i="3"/>
  <c r="K1010" i="3" s="1"/>
  <c r="J1009" i="3"/>
  <c r="K1009" i="3" s="1"/>
  <c r="J1008" i="3"/>
  <c r="K1008" i="3" s="1"/>
  <c r="J1007" i="3"/>
  <c r="K1007" i="3" s="1"/>
  <c r="J1006" i="3"/>
  <c r="K1006" i="3" s="1"/>
  <c r="J1005" i="3"/>
  <c r="K1005" i="3" s="1"/>
  <c r="J1004" i="3"/>
  <c r="K1004" i="3" s="1"/>
  <c r="J1003" i="3"/>
  <c r="K1003" i="3" s="1"/>
  <c r="J1002" i="3"/>
  <c r="K1002" i="3" s="1"/>
  <c r="J1001" i="3"/>
  <c r="K1001" i="3" s="1"/>
  <c r="J1000" i="3"/>
  <c r="K1000" i="3" s="1"/>
  <c r="J999" i="3"/>
  <c r="K999" i="3" s="1"/>
  <c r="J998" i="3"/>
  <c r="K998" i="3" s="1"/>
  <c r="J997" i="3"/>
  <c r="K997" i="3" s="1"/>
  <c r="J996" i="3"/>
  <c r="K996" i="3" s="1"/>
  <c r="J995" i="3"/>
  <c r="K995" i="3" s="1"/>
  <c r="J994" i="3"/>
  <c r="K994" i="3" s="1"/>
  <c r="J993" i="3"/>
  <c r="K993" i="3" s="1"/>
  <c r="J992" i="3"/>
  <c r="K992" i="3" s="1"/>
  <c r="J991" i="3"/>
  <c r="K991" i="3" s="1"/>
  <c r="J990" i="3"/>
  <c r="K990" i="3" s="1"/>
  <c r="J989" i="3"/>
  <c r="K989" i="3" s="1"/>
  <c r="J988" i="3"/>
  <c r="K988" i="3" s="1"/>
  <c r="J987" i="3"/>
  <c r="K987" i="3" s="1"/>
  <c r="J986" i="3"/>
  <c r="K986" i="3" s="1"/>
  <c r="J985" i="3"/>
  <c r="K985" i="3" s="1"/>
  <c r="J984" i="3"/>
  <c r="K984" i="3" s="1"/>
  <c r="J983" i="3"/>
  <c r="K983" i="3" s="1"/>
  <c r="J982" i="3"/>
  <c r="K982" i="3" s="1"/>
  <c r="J981" i="3"/>
  <c r="K981" i="3" s="1"/>
  <c r="J980" i="3"/>
  <c r="K980" i="3" s="1"/>
  <c r="J979" i="3"/>
  <c r="K979" i="3" s="1"/>
  <c r="J978" i="3"/>
  <c r="K978" i="3" s="1"/>
  <c r="J977" i="3"/>
  <c r="K977" i="3" s="1"/>
  <c r="J976" i="3"/>
  <c r="K976" i="3" s="1"/>
  <c r="J975" i="3"/>
  <c r="K975" i="3" s="1"/>
  <c r="J974" i="3"/>
  <c r="K974" i="3" s="1"/>
  <c r="J973" i="3"/>
  <c r="K973" i="3" s="1"/>
  <c r="J972" i="3"/>
  <c r="K972" i="3" s="1"/>
  <c r="J971" i="3"/>
  <c r="K971" i="3" s="1"/>
  <c r="J970" i="3"/>
  <c r="K970" i="3" s="1"/>
  <c r="J969" i="3"/>
  <c r="K969" i="3" s="1"/>
  <c r="J968" i="3"/>
  <c r="K968" i="3" s="1"/>
  <c r="J967" i="3"/>
  <c r="K967" i="3" s="1"/>
  <c r="J966" i="3"/>
  <c r="K966" i="3" s="1"/>
  <c r="J965" i="3"/>
  <c r="K965" i="3" s="1"/>
  <c r="J964" i="3"/>
  <c r="K964" i="3" s="1"/>
  <c r="J963" i="3"/>
  <c r="K963" i="3" s="1"/>
  <c r="J962" i="3"/>
  <c r="K962" i="3" s="1"/>
  <c r="J961" i="3"/>
  <c r="K961" i="3" s="1"/>
  <c r="J960" i="3"/>
  <c r="K960" i="3" s="1"/>
  <c r="J959" i="3"/>
  <c r="K959" i="3" s="1"/>
  <c r="J958" i="3"/>
  <c r="K958" i="3" s="1"/>
  <c r="J957" i="3"/>
  <c r="K957" i="3" s="1"/>
  <c r="J956" i="3"/>
  <c r="K956" i="3" s="1"/>
  <c r="J955" i="3"/>
  <c r="K955" i="3" s="1"/>
  <c r="J954" i="3"/>
  <c r="K954" i="3" s="1"/>
  <c r="J953" i="3"/>
  <c r="K953" i="3" s="1"/>
  <c r="J952" i="3"/>
  <c r="K952" i="3" s="1"/>
  <c r="J951" i="3"/>
  <c r="K951" i="3" s="1"/>
  <c r="J950" i="3"/>
  <c r="K950" i="3" s="1"/>
  <c r="J949" i="3"/>
  <c r="K949" i="3" s="1"/>
  <c r="J948" i="3"/>
  <c r="K948" i="3" s="1"/>
  <c r="J947" i="3"/>
  <c r="K947" i="3" s="1"/>
  <c r="J946" i="3"/>
  <c r="K946" i="3" s="1"/>
  <c r="J945" i="3"/>
  <c r="K945" i="3" s="1"/>
  <c r="J944" i="3"/>
  <c r="K944" i="3" s="1"/>
  <c r="J943" i="3"/>
  <c r="K943" i="3" s="1"/>
  <c r="J942" i="3"/>
  <c r="K942" i="3" s="1"/>
  <c r="J941" i="3"/>
  <c r="K941" i="3" s="1"/>
  <c r="J940" i="3"/>
  <c r="K940" i="3" s="1"/>
  <c r="J939" i="3"/>
  <c r="K939" i="3" s="1"/>
  <c r="J938" i="3"/>
  <c r="K938" i="3" s="1"/>
  <c r="J937" i="3"/>
  <c r="K937" i="3" s="1"/>
  <c r="J936" i="3"/>
  <c r="K936" i="3" s="1"/>
  <c r="J935" i="3"/>
  <c r="K935" i="3" s="1"/>
  <c r="J934" i="3"/>
  <c r="K934" i="3" s="1"/>
  <c r="J933" i="3"/>
  <c r="K933" i="3" s="1"/>
  <c r="J932" i="3"/>
  <c r="K932" i="3" s="1"/>
  <c r="J931" i="3"/>
  <c r="K931" i="3" s="1"/>
  <c r="J930" i="3"/>
  <c r="K930" i="3" s="1"/>
  <c r="J929" i="3"/>
  <c r="K929" i="3" s="1"/>
  <c r="J928" i="3"/>
  <c r="K928" i="3" s="1"/>
  <c r="J927" i="3"/>
  <c r="K927" i="3" s="1"/>
  <c r="J926" i="3"/>
  <c r="K926" i="3" s="1"/>
  <c r="J925" i="3"/>
  <c r="K925" i="3" s="1"/>
  <c r="J924" i="3"/>
  <c r="K924" i="3" s="1"/>
  <c r="J923" i="3"/>
  <c r="K923" i="3" s="1"/>
  <c r="J922" i="3"/>
  <c r="K922" i="3" s="1"/>
  <c r="J921" i="3"/>
  <c r="K921" i="3" s="1"/>
  <c r="J920" i="3"/>
  <c r="K920" i="3" s="1"/>
  <c r="J919" i="3"/>
  <c r="K919" i="3" s="1"/>
  <c r="J918" i="3"/>
  <c r="K918" i="3" s="1"/>
  <c r="J917" i="3"/>
  <c r="K917" i="3" s="1"/>
  <c r="J916" i="3"/>
  <c r="K916" i="3" s="1"/>
  <c r="J915" i="3"/>
  <c r="K915" i="3" s="1"/>
  <c r="J914" i="3"/>
  <c r="K914" i="3" s="1"/>
  <c r="J913" i="3"/>
  <c r="K913" i="3" s="1"/>
  <c r="J912" i="3"/>
  <c r="K912" i="3" s="1"/>
  <c r="J911" i="3"/>
  <c r="K911" i="3" s="1"/>
  <c r="J910" i="3"/>
  <c r="K910" i="3" s="1"/>
  <c r="J909" i="3"/>
  <c r="K909" i="3" s="1"/>
  <c r="J908" i="3"/>
  <c r="K908" i="3" s="1"/>
  <c r="J907" i="3"/>
  <c r="K907" i="3" s="1"/>
  <c r="J906" i="3"/>
  <c r="K906" i="3" s="1"/>
  <c r="J905" i="3"/>
  <c r="K905" i="3" s="1"/>
  <c r="J904" i="3"/>
  <c r="K904" i="3" s="1"/>
  <c r="J903" i="3"/>
  <c r="K903" i="3" s="1"/>
  <c r="J902" i="3"/>
  <c r="K902" i="3" s="1"/>
  <c r="J901" i="3"/>
  <c r="K901" i="3" s="1"/>
  <c r="J900" i="3"/>
  <c r="K900" i="3" s="1"/>
  <c r="J899" i="3"/>
  <c r="K899" i="3" s="1"/>
  <c r="J898" i="3"/>
  <c r="K898" i="3" s="1"/>
  <c r="J897" i="3"/>
  <c r="K897" i="3" s="1"/>
  <c r="J896" i="3"/>
  <c r="K896" i="3" s="1"/>
  <c r="J895" i="3"/>
  <c r="K895" i="3" s="1"/>
  <c r="J894" i="3"/>
  <c r="K894" i="3" s="1"/>
  <c r="J893" i="3"/>
  <c r="K893" i="3" s="1"/>
  <c r="J892" i="3"/>
  <c r="K892" i="3" s="1"/>
  <c r="J891" i="3"/>
  <c r="K891" i="3" s="1"/>
  <c r="J890" i="3"/>
  <c r="K890" i="3" s="1"/>
  <c r="J889" i="3"/>
  <c r="K889" i="3" s="1"/>
  <c r="J888" i="3"/>
  <c r="K888" i="3" s="1"/>
  <c r="J887" i="3"/>
  <c r="K887" i="3" s="1"/>
  <c r="J886" i="3"/>
  <c r="K886" i="3" s="1"/>
  <c r="J885" i="3"/>
  <c r="K885" i="3" s="1"/>
  <c r="J884" i="3"/>
  <c r="K884" i="3" s="1"/>
  <c r="J883" i="3"/>
  <c r="K883" i="3" s="1"/>
  <c r="J882" i="3"/>
  <c r="K882" i="3" s="1"/>
  <c r="J881" i="3"/>
  <c r="K881" i="3" s="1"/>
  <c r="J880" i="3"/>
  <c r="K880" i="3" s="1"/>
  <c r="J879" i="3"/>
  <c r="K879" i="3" s="1"/>
  <c r="J878" i="3"/>
  <c r="K878" i="3" s="1"/>
  <c r="J877" i="3"/>
  <c r="K877" i="3" s="1"/>
  <c r="J876" i="3"/>
  <c r="K876" i="3" s="1"/>
  <c r="J875" i="3"/>
  <c r="K875" i="3" s="1"/>
  <c r="J874" i="3"/>
  <c r="K874" i="3" s="1"/>
  <c r="J873" i="3"/>
  <c r="K873" i="3" s="1"/>
  <c r="J872" i="3"/>
  <c r="K872" i="3" s="1"/>
  <c r="J871" i="3"/>
  <c r="K871" i="3" s="1"/>
  <c r="J870" i="3"/>
  <c r="K870" i="3" s="1"/>
  <c r="J869" i="3"/>
  <c r="K869" i="3" s="1"/>
  <c r="J868" i="3"/>
  <c r="K868" i="3" s="1"/>
  <c r="J867" i="3"/>
  <c r="K867" i="3" s="1"/>
  <c r="J866" i="3"/>
  <c r="K866" i="3" s="1"/>
  <c r="J865" i="3"/>
  <c r="K865" i="3" s="1"/>
  <c r="J864" i="3"/>
  <c r="K864" i="3" s="1"/>
  <c r="J863" i="3"/>
  <c r="K863" i="3" s="1"/>
  <c r="J862" i="3"/>
  <c r="K862" i="3" s="1"/>
  <c r="J861" i="3"/>
  <c r="K861" i="3" s="1"/>
  <c r="J860" i="3"/>
  <c r="K860" i="3" s="1"/>
  <c r="J859" i="3"/>
  <c r="K859" i="3" s="1"/>
  <c r="J858" i="3"/>
  <c r="K858" i="3" s="1"/>
  <c r="J857" i="3"/>
  <c r="K857" i="3" s="1"/>
  <c r="J856" i="3"/>
  <c r="K856" i="3" s="1"/>
  <c r="J855" i="3"/>
  <c r="K855" i="3" s="1"/>
  <c r="J854" i="3"/>
  <c r="K854" i="3" s="1"/>
  <c r="J853" i="3"/>
  <c r="K853" i="3" s="1"/>
  <c r="J852" i="3"/>
  <c r="K852" i="3" s="1"/>
  <c r="J851" i="3"/>
  <c r="K851" i="3" s="1"/>
  <c r="J850" i="3"/>
  <c r="K850" i="3" s="1"/>
  <c r="J849" i="3"/>
  <c r="K849" i="3" s="1"/>
  <c r="J848" i="3"/>
  <c r="K848" i="3" s="1"/>
  <c r="J847" i="3"/>
  <c r="K847" i="3" s="1"/>
  <c r="J846" i="3"/>
  <c r="K846" i="3" s="1"/>
  <c r="J845" i="3"/>
  <c r="K845" i="3" s="1"/>
  <c r="J844" i="3"/>
  <c r="K844" i="3" s="1"/>
  <c r="J843" i="3"/>
  <c r="K843" i="3" s="1"/>
  <c r="J842" i="3"/>
  <c r="K842" i="3" s="1"/>
  <c r="J841" i="3"/>
  <c r="K841" i="3" s="1"/>
  <c r="J840" i="3"/>
  <c r="K840" i="3" s="1"/>
  <c r="J839" i="3"/>
  <c r="K839" i="3" s="1"/>
  <c r="J838" i="3"/>
  <c r="K838" i="3" s="1"/>
  <c r="J837" i="3"/>
  <c r="K837" i="3" s="1"/>
  <c r="J836" i="3"/>
  <c r="K836" i="3" s="1"/>
  <c r="J835" i="3"/>
  <c r="K835" i="3" s="1"/>
  <c r="J834" i="3"/>
  <c r="K834" i="3" s="1"/>
  <c r="J833" i="3"/>
  <c r="K833" i="3" s="1"/>
  <c r="J832" i="3"/>
  <c r="K832" i="3" s="1"/>
  <c r="J831" i="3"/>
  <c r="K831" i="3" s="1"/>
  <c r="J830" i="3"/>
  <c r="K830" i="3" s="1"/>
  <c r="J829" i="3"/>
  <c r="K829" i="3" s="1"/>
  <c r="J828" i="3"/>
  <c r="K828" i="3" s="1"/>
  <c r="J827" i="3"/>
  <c r="K827" i="3" s="1"/>
  <c r="J826" i="3"/>
  <c r="K826" i="3" s="1"/>
  <c r="J825" i="3"/>
  <c r="K825" i="3" s="1"/>
  <c r="J824" i="3"/>
  <c r="K824" i="3" s="1"/>
  <c r="J823" i="3"/>
  <c r="K823" i="3" s="1"/>
  <c r="J822" i="3"/>
  <c r="K822" i="3" s="1"/>
  <c r="J821" i="3"/>
  <c r="K821" i="3" s="1"/>
  <c r="J820" i="3"/>
  <c r="K820" i="3" s="1"/>
  <c r="J819" i="3"/>
  <c r="K819" i="3" s="1"/>
  <c r="J818" i="3"/>
  <c r="K818" i="3" s="1"/>
  <c r="J817" i="3"/>
  <c r="K817" i="3" s="1"/>
  <c r="J816" i="3"/>
  <c r="K816" i="3" s="1"/>
  <c r="J815" i="3"/>
  <c r="K815" i="3" s="1"/>
  <c r="J814" i="3"/>
  <c r="K814" i="3" s="1"/>
  <c r="J813" i="3"/>
  <c r="K813" i="3" s="1"/>
  <c r="J812" i="3"/>
  <c r="K812" i="3" s="1"/>
  <c r="J811" i="3"/>
  <c r="K811" i="3" s="1"/>
  <c r="J810" i="3"/>
  <c r="K810" i="3" s="1"/>
  <c r="J809" i="3"/>
  <c r="K809" i="3" s="1"/>
  <c r="J808" i="3"/>
  <c r="K808" i="3" s="1"/>
  <c r="J807" i="3"/>
  <c r="K807" i="3" s="1"/>
  <c r="J806" i="3"/>
  <c r="K806" i="3" s="1"/>
  <c r="J805" i="3"/>
  <c r="K805" i="3" s="1"/>
  <c r="J804" i="3"/>
  <c r="K804" i="3" s="1"/>
  <c r="J803" i="3"/>
  <c r="K803" i="3" s="1"/>
  <c r="J802" i="3"/>
  <c r="K802" i="3" s="1"/>
  <c r="J801" i="3"/>
  <c r="K801" i="3" s="1"/>
  <c r="J800" i="3"/>
  <c r="K800" i="3" s="1"/>
  <c r="J799" i="3"/>
  <c r="K799" i="3" s="1"/>
  <c r="J798" i="3"/>
  <c r="K798" i="3" s="1"/>
  <c r="J797" i="3"/>
  <c r="K797" i="3" s="1"/>
  <c r="J796" i="3"/>
  <c r="K796" i="3" s="1"/>
  <c r="J795" i="3"/>
  <c r="K795" i="3" s="1"/>
  <c r="J794" i="3"/>
  <c r="K794" i="3" s="1"/>
  <c r="J793" i="3"/>
  <c r="K793" i="3" s="1"/>
  <c r="J792" i="3"/>
  <c r="K792" i="3" s="1"/>
  <c r="J791" i="3"/>
  <c r="K791" i="3" s="1"/>
  <c r="J790" i="3"/>
  <c r="K790" i="3" s="1"/>
  <c r="J789" i="3"/>
  <c r="K789" i="3" s="1"/>
  <c r="J788" i="3"/>
  <c r="K788" i="3" s="1"/>
  <c r="J787" i="3"/>
  <c r="K787" i="3" s="1"/>
  <c r="J786" i="3"/>
  <c r="K786" i="3" s="1"/>
  <c r="J785" i="3"/>
  <c r="K785" i="3" s="1"/>
  <c r="J784" i="3"/>
  <c r="K784" i="3" s="1"/>
  <c r="J783" i="3"/>
  <c r="K783" i="3" s="1"/>
  <c r="J782" i="3"/>
  <c r="K782" i="3" s="1"/>
  <c r="J781" i="3"/>
  <c r="K781" i="3" s="1"/>
  <c r="J780" i="3"/>
  <c r="K780" i="3" s="1"/>
  <c r="J779" i="3"/>
  <c r="K779" i="3" s="1"/>
  <c r="J778" i="3"/>
  <c r="K778" i="3" s="1"/>
  <c r="J777" i="3"/>
  <c r="K777" i="3" s="1"/>
  <c r="J776" i="3"/>
  <c r="K776" i="3" s="1"/>
  <c r="J775" i="3"/>
  <c r="K775" i="3" s="1"/>
  <c r="J774" i="3"/>
  <c r="K774" i="3" s="1"/>
  <c r="J773" i="3"/>
  <c r="K773" i="3" s="1"/>
  <c r="J772" i="3"/>
  <c r="K772" i="3" s="1"/>
  <c r="J771" i="3"/>
  <c r="K771" i="3" s="1"/>
  <c r="J770" i="3"/>
  <c r="K770" i="3" s="1"/>
  <c r="J769" i="3"/>
  <c r="K769" i="3" s="1"/>
  <c r="J768" i="3"/>
  <c r="K768" i="3" s="1"/>
  <c r="J767" i="3"/>
  <c r="K767" i="3" s="1"/>
  <c r="J766" i="3"/>
  <c r="K766" i="3" s="1"/>
  <c r="J765" i="3"/>
  <c r="K765" i="3" s="1"/>
  <c r="J764" i="3"/>
  <c r="K764" i="3" s="1"/>
  <c r="J763" i="3"/>
  <c r="K763" i="3" s="1"/>
  <c r="J762" i="3"/>
  <c r="K762" i="3" s="1"/>
  <c r="J761" i="3"/>
  <c r="K761" i="3" s="1"/>
  <c r="J760" i="3"/>
  <c r="K760" i="3" s="1"/>
  <c r="J759" i="3"/>
  <c r="K759" i="3" s="1"/>
  <c r="J758" i="3"/>
  <c r="K758" i="3" s="1"/>
  <c r="J757" i="3"/>
  <c r="K757" i="3" s="1"/>
  <c r="J756" i="3"/>
  <c r="K756" i="3" s="1"/>
  <c r="J755" i="3"/>
  <c r="K755" i="3" s="1"/>
  <c r="J754" i="3"/>
  <c r="K754" i="3" s="1"/>
  <c r="J753" i="3"/>
  <c r="K753" i="3" s="1"/>
  <c r="J752" i="3"/>
  <c r="K752" i="3" s="1"/>
  <c r="J751" i="3"/>
  <c r="K751" i="3" s="1"/>
  <c r="J750" i="3"/>
  <c r="K750" i="3" s="1"/>
  <c r="J749" i="3"/>
  <c r="K749" i="3" s="1"/>
  <c r="J748" i="3"/>
  <c r="K748" i="3" s="1"/>
  <c r="J747" i="3"/>
  <c r="K747" i="3" s="1"/>
  <c r="J746" i="3"/>
  <c r="K746" i="3" s="1"/>
  <c r="J745" i="3"/>
  <c r="K745" i="3" s="1"/>
  <c r="J744" i="3"/>
  <c r="K744" i="3" s="1"/>
  <c r="J743" i="3"/>
  <c r="K743" i="3" s="1"/>
  <c r="J742" i="3"/>
  <c r="K742" i="3" s="1"/>
  <c r="J741" i="3"/>
  <c r="K741" i="3" s="1"/>
  <c r="J740" i="3"/>
  <c r="K740" i="3" s="1"/>
  <c r="J739" i="3"/>
  <c r="K739" i="3" s="1"/>
  <c r="J738" i="3"/>
  <c r="K738" i="3" s="1"/>
  <c r="J737" i="3"/>
  <c r="K737" i="3" s="1"/>
  <c r="J736" i="3"/>
  <c r="K736" i="3" s="1"/>
  <c r="J735" i="3"/>
  <c r="K735" i="3" s="1"/>
  <c r="J734" i="3"/>
  <c r="K734" i="3" s="1"/>
  <c r="J733" i="3"/>
  <c r="K733" i="3" s="1"/>
  <c r="J732" i="3"/>
  <c r="K732" i="3" s="1"/>
  <c r="J731" i="3"/>
  <c r="K731" i="3" s="1"/>
  <c r="J730" i="3"/>
  <c r="K730" i="3" s="1"/>
  <c r="J729" i="3"/>
  <c r="K729" i="3" s="1"/>
  <c r="J728" i="3"/>
  <c r="K728" i="3" s="1"/>
  <c r="J727" i="3"/>
  <c r="K727" i="3" s="1"/>
  <c r="J726" i="3"/>
  <c r="K726" i="3" s="1"/>
  <c r="J725" i="3"/>
  <c r="K725" i="3" s="1"/>
  <c r="J724" i="3"/>
  <c r="K724" i="3" s="1"/>
  <c r="J723" i="3"/>
  <c r="K723" i="3" s="1"/>
  <c r="J722" i="3"/>
  <c r="K722" i="3" s="1"/>
  <c r="J721" i="3"/>
  <c r="K721" i="3" s="1"/>
  <c r="J720" i="3"/>
  <c r="K720" i="3" s="1"/>
  <c r="J719" i="3"/>
  <c r="K719" i="3" s="1"/>
  <c r="J718" i="3"/>
  <c r="K718" i="3" s="1"/>
  <c r="J717" i="3"/>
  <c r="K717" i="3" s="1"/>
  <c r="J716" i="3"/>
  <c r="K716" i="3" s="1"/>
  <c r="J715" i="3"/>
  <c r="K715" i="3" s="1"/>
  <c r="J714" i="3"/>
  <c r="K714" i="3" s="1"/>
  <c r="J713" i="3"/>
  <c r="K713" i="3" s="1"/>
  <c r="J712" i="3"/>
  <c r="K712" i="3" s="1"/>
  <c r="J711" i="3"/>
  <c r="K711" i="3" s="1"/>
  <c r="J710" i="3"/>
  <c r="K710" i="3" s="1"/>
  <c r="J709" i="3"/>
  <c r="K709" i="3" s="1"/>
  <c r="J708" i="3"/>
  <c r="K708" i="3" s="1"/>
  <c r="J707" i="3"/>
  <c r="K707" i="3" s="1"/>
  <c r="J706" i="3"/>
  <c r="K706" i="3" s="1"/>
  <c r="J705" i="3"/>
  <c r="K705" i="3" s="1"/>
  <c r="J704" i="3"/>
  <c r="K704" i="3" s="1"/>
  <c r="J703" i="3"/>
  <c r="K703" i="3" s="1"/>
  <c r="J702" i="3"/>
  <c r="K702" i="3" s="1"/>
  <c r="J701" i="3"/>
  <c r="K701" i="3" s="1"/>
  <c r="J700" i="3"/>
  <c r="K700" i="3" s="1"/>
  <c r="J699" i="3"/>
  <c r="K699" i="3" s="1"/>
  <c r="J698" i="3"/>
  <c r="K698" i="3" s="1"/>
  <c r="J697" i="3"/>
  <c r="K697" i="3" s="1"/>
  <c r="J696" i="3"/>
  <c r="K696" i="3" s="1"/>
  <c r="J695" i="3"/>
  <c r="K695" i="3" s="1"/>
  <c r="J694" i="3"/>
  <c r="K694" i="3" s="1"/>
  <c r="J693" i="3"/>
  <c r="K693" i="3" s="1"/>
  <c r="J692" i="3"/>
  <c r="K692" i="3" s="1"/>
  <c r="J691" i="3"/>
  <c r="K691" i="3" s="1"/>
  <c r="J690" i="3"/>
  <c r="K690" i="3" s="1"/>
  <c r="J689" i="3"/>
  <c r="K689" i="3" s="1"/>
  <c r="J688" i="3"/>
  <c r="K688" i="3" s="1"/>
  <c r="J687" i="3"/>
  <c r="K687" i="3" s="1"/>
  <c r="J686" i="3"/>
  <c r="K686" i="3" s="1"/>
  <c r="J685" i="3"/>
  <c r="K685" i="3" s="1"/>
  <c r="J684" i="3"/>
  <c r="K684" i="3" s="1"/>
  <c r="J683" i="3"/>
  <c r="K683" i="3" s="1"/>
  <c r="J682" i="3"/>
  <c r="K682" i="3" s="1"/>
  <c r="J681" i="3"/>
  <c r="K681" i="3" s="1"/>
  <c r="J680" i="3"/>
  <c r="K680" i="3" s="1"/>
  <c r="J679" i="3"/>
  <c r="K679" i="3" s="1"/>
  <c r="J678" i="3"/>
  <c r="K678" i="3" s="1"/>
  <c r="J677" i="3"/>
  <c r="K677" i="3" s="1"/>
  <c r="J676" i="3"/>
  <c r="K676" i="3" s="1"/>
  <c r="J675" i="3"/>
  <c r="K675" i="3" s="1"/>
  <c r="J674" i="3"/>
  <c r="K674" i="3" s="1"/>
  <c r="J673" i="3"/>
  <c r="K673" i="3" s="1"/>
  <c r="J672" i="3"/>
  <c r="K672" i="3" s="1"/>
  <c r="J671" i="3"/>
  <c r="K671" i="3" s="1"/>
  <c r="J670" i="3"/>
  <c r="K670" i="3" s="1"/>
  <c r="J669" i="3"/>
  <c r="K669" i="3" s="1"/>
  <c r="J668" i="3"/>
  <c r="K668" i="3" s="1"/>
  <c r="J667" i="3"/>
  <c r="K667" i="3" s="1"/>
  <c r="J666" i="3"/>
  <c r="K666" i="3" s="1"/>
  <c r="J665" i="3"/>
  <c r="K665" i="3" s="1"/>
  <c r="J664" i="3"/>
  <c r="K664" i="3" s="1"/>
  <c r="J663" i="3"/>
  <c r="K663" i="3" s="1"/>
  <c r="J662" i="3"/>
  <c r="K662" i="3" s="1"/>
  <c r="J661" i="3"/>
  <c r="K661" i="3" s="1"/>
  <c r="J660" i="3"/>
  <c r="K660" i="3" s="1"/>
  <c r="J659" i="3"/>
  <c r="K659" i="3" s="1"/>
  <c r="J658" i="3"/>
  <c r="K658" i="3" s="1"/>
  <c r="J657" i="3"/>
  <c r="K657" i="3" s="1"/>
  <c r="J656" i="3"/>
  <c r="K656" i="3" s="1"/>
  <c r="J655" i="3"/>
  <c r="K655" i="3" s="1"/>
  <c r="J654" i="3"/>
  <c r="K654" i="3" s="1"/>
  <c r="J653" i="3"/>
  <c r="K653" i="3" s="1"/>
  <c r="J652" i="3"/>
  <c r="K652" i="3" s="1"/>
  <c r="J651" i="3"/>
  <c r="K651" i="3" s="1"/>
  <c r="J650" i="3"/>
  <c r="K650" i="3" s="1"/>
  <c r="J649" i="3"/>
  <c r="K649" i="3" s="1"/>
  <c r="J648" i="3"/>
  <c r="K648" i="3" s="1"/>
  <c r="J647" i="3"/>
  <c r="K647" i="3" s="1"/>
  <c r="J646" i="3"/>
  <c r="K646" i="3" s="1"/>
  <c r="J645" i="3"/>
  <c r="K645" i="3" s="1"/>
  <c r="J644" i="3"/>
  <c r="K644" i="3" s="1"/>
  <c r="J643" i="3"/>
  <c r="K643" i="3" s="1"/>
  <c r="J642" i="3"/>
  <c r="K642" i="3" s="1"/>
  <c r="J641" i="3"/>
  <c r="K641" i="3" s="1"/>
  <c r="J640" i="3"/>
  <c r="K640" i="3" s="1"/>
  <c r="J639" i="3"/>
  <c r="K639" i="3" s="1"/>
  <c r="J638" i="3"/>
  <c r="K638" i="3" s="1"/>
  <c r="J637" i="3"/>
  <c r="K637" i="3" s="1"/>
  <c r="J636" i="3"/>
  <c r="K636" i="3" s="1"/>
  <c r="J635" i="3"/>
  <c r="K635" i="3" s="1"/>
  <c r="J634" i="3"/>
  <c r="K634" i="3" s="1"/>
  <c r="J633" i="3"/>
  <c r="K633" i="3" s="1"/>
  <c r="J632" i="3"/>
  <c r="K632" i="3" s="1"/>
  <c r="J631" i="3"/>
  <c r="K631" i="3" s="1"/>
  <c r="J630" i="3"/>
  <c r="K630" i="3" s="1"/>
  <c r="J629" i="3"/>
  <c r="K629" i="3" s="1"/>
  <c r="J628" i="3"/>
  <c r="K628" i="3" s="1"/>
  <c r="J627" i="3"/>
  <c r="K627" i="3" s="1"/>
  <c r="J626" i="3"/>
  <c r="K626" i="3" s="1"/>
  <c r="J625" i="3"/>
  <c r="K625" i="3" s="1"/>
  <c r="J624" i="3"/>
  <c r="K624" i="3" s="1"/>
  <c r="J623" i="3"/>
  <c r="K623" i="3" s="1"/>
  <c r="J622" i="3"/>
  <c r="K622" i="3" s="1"/>
  <c r="J621" i="3"/>
  <c r="K621" i="3" s="1"/>
  <c r="J620" i="3"/>
  <c r="K620" i="3" s="1"/>
  <c r="J619" i="3"/>
  <c r="K619" i="3" s="1"/>
  <c r="J618" i="3"/>
  <c r="K618" i="3" s="1"/>
  <c r="J617" i="3"/>
  <c r="K617" i="3" s="1"/>
  <c r="J616" i="3"/>
  <c r="K616" i="3" s="1"/>
  <c r="J615" i="3"/>
  <c r="K615" i="3" s="1"/>
  <c r="J614" i="3"/>
  <c r="K614" i="3" s="1"/>
  <c r="J613" i="3"/>
  <c r="K613" i="3" s="1"/>
  <c r="J612" i="3"/>
  <c r="K612" i="3" s="1"/>
  <c r="J611" i="3"/>
  <c r="K611" i="3" s="1"/>
  <c r="J610" i="3"/>
  <c r="K610" i="3" s="1"/>
  <c r="J609" i="3"/>
  <c r="K609" i="3" s="1"/>
  <c r="J608" i="3"/>
  <c r="K608" i="3" s="1"/>
  <c r="J607" i="3"/>
  <c r="K607" i="3" s="1"/>
  <c r="J606" i="3"/>
  <c r="K606" i="3" s="1"/>
  <c r="J605" i="3"/>
  <c r="K605" i="3" s="1"/>
  <c r="J604" i="3"/>
  <c r="K604" i="3" s="1"/>
  <c r="J603" i="3"/>
  <c r="K603" i="3" s="1"/>
  <c r="J602" i="3"/>
  <c r="K602" i="3" s="1"/>
  <c r="J601" i="3"/>
  <c r="K601" i="3" s="1"/>
  <c r="J600" i="3"/>
  <c r="K600" i="3" s="1"/>
  <c r="J599" i="3"/>
  <c r="K599" i="3" s="1"/>
  <c r="J598" i="3"/>
  <c r="K598" i="3" s="1"/>
  <c r="J597" i="3"/>
  <c r="K597" i="3" s="1"/>
  <c r="J596" i="3"/>
  <c r="K596" i="3" s="1"/>
  <c r="J595" i="3"/>
  <c r="K595" i="3" s="1"/>
  <c r="J594" i="3"/>
  <c r="K594" i="3" s="1"/>
  <c r="J593" i="3"/>
  <c r="K593" i="3" s="1"/>
  <c r="J592" i="3"/>
  <c r="K592" i="3" s="1"/>
  <c r="J591" i="3"/>
  <c r="K591" i="3" s="1"/>
  <c r="J590" i="3"/>
  <c r="K590" i="3" s="1"/>
  <c r="J589" i="3"/>
  <c r="K589" i="3" s="1"/>
  <c r="J588" i="3"/>
  <c r="K588" i="3" s="1"/>
  <c r="J587" i="3"/>
  <c r="K587" i="3" s="1"/>
  <c r="J586" i="3"/>
  <c r="K586" i="3" s="1"/>
  <c r="J585" i="3"/>
  <c r="K585" i="3" s="1"/>
  <c r="J584" i="3"/>
  <c r="K584" i="3" s="1"/>
  <c r="J583" i="3"/>
  <c r="K583" i="3" s="1"/>
  <c r="J582" i="3"/>
  <c r="K582" i="3" s="1"/>
  <c r="J581" i="3"/>
  <c r="K581" i="3" s="1"/>
  <c r="J580" i="3"/>
  <c r="K580" i="3" s="1"/>
  <c r="J579" i="3"/>
  <c r="K579" i="3" s="1"/>
  <c r="J578" i="3"/>
  <c r="K578" i="3" s="1"/>
  <c r="J577" i="3"/>
  <c r="K577" i="3" s="1"/>
  <c r="J576" i="3"/>
  <c r="K576" i="3" s="1"/>
  <c r="J575" i="3"/>
  <c r="K575" i="3" s="1"/>
  <c r="J574" i="3"/>
  <c r="K574" i="3" s="1"/>
  <c r="J573" i="3"/>
  <c r="K573" i="3" s="1"/>
  <c r="J572" i="3"/>
  <c r="K572" i="3" s="1"/>
  <c r="J571" i="3"/>
  <c r="K571" i="3" s="1"/>
  <c r="J570" i="3"/>
  <c r="K570" i="3" s="1"/>
  <c r="J569" i="3"/>
  <c r="K569" i="3" s="1"/>
  <c r="J568" i="3"/>
  <c r="K568" i="3" s="1"/>
  <c r="J567" i="3"/>
  <c r="K567" i="3" s="1"/>
  <c r="J566" i="3"/>
  <c r="K566" i="3" s="1"/>
  <c r="J565" i="3"/>
  <c r="K565" i="3" s="1"/>
  <c r="J564" i="3"/>
  <c r="K564" i="3" s="1"/>
  <c r="J563" i="3"/>
  <c r="K563" i="3" s="1"/>
  <c r="J562" i="3"/>
  <c r="K562" i="3" s="1"/>
  <c r="J561" i="3"/>
  <c r="K561" i="3" s="1"/>
  <c r="J560" i="3"/>
  <c r="K560" i="3" s="1"/>
  <c r="J559" i="3"/>
  <c r="K559" i="3" s="1"/>
  <c r="J558" i="3"/>
  <c r="K558" i="3" s="1"/>
  <c r="J557" i="3"/>
  <c r="K557" i="3" s="1"/>
  <c r="J556" i="3"/>
  <c r="K556" i="3" s="1"/>
  <c r="J555" i="3"/>
  <c r="K555" i="3" s="1"/>
  <c r="J554" i="3"/>
  <c r="K554" i="3" s="1"/>
  <c r="J553" i="3"/>
  <c r="K553" i="3" s="1"/>
  <c r="J552" i="3"/>
  <c r="K552" i="3" s="1"/>
  <c r="J551" i="3"/>
  <c r="K551" i="3" s="1"/>
  <c r="J550" i="3"/>
  <c r="K550" i="3" s="1"/>
  <c r="J549" i="3"/>
  <c r="K549" i="3" s="1"/>
  <c r="J548" i="3"/>
  <c r="K548" i="3" s="1"/>
  <c r="J547" i="3"/>
  <c r="K547" i="3" s="1"/>
  <c r="J546" i="3"/>
  <c r="K546" i="3" s="1"/>
  <c r="J545" i="3"/>
  <c r="K545" i="3" s="1"/>
  <c r="J544" i="3"/>
  <c r="K544" i="3" s="1"/>
  <c r="J543" i="3"/>
  <c r="K543" i="3" s="1"/>
  <c r="J542" i="3"/>
  <c r="K542" i="3" s="1"/>
  <c r="J541" i="3"/>
  <c r="K541" i="3" s="1"/>
  <c r="J540" i="3"/>
  <c r="K540" i="3" s="1"/>
  <c r="J539" i="3"/>
  <c r="K539" i="3" s="1"/>
  <c r="J538" i="3"/>
  <c r="K538" i="3" s="1"/>
  <c r="J537" i="3"/>
  <c r="K537" i="3" s="1"/>
  <c r="J536" i="3"/>
  <c r="K536" i="3" s="1"/>
  <c r="J535" i="3"/>
  <c r="K535" i="3" s="1"/>
  <c r="J534" i="3"/>
  <c r="K534" i="3" s="1"/>
  <c r="J533" i="3"/>
  <c r="K533" i="3" s="1"/>
  <c r="J532" i="3"/>
  <c r="K532" i="3" s="1"/>
  <c r="J531" i="3"/>
  <c r="K531" i="3" s="1"/>
  <c r="J530" i="3"/>
  <c r="K530" i="3" s="1"/>
  <c r="J529" i="3"/>
  <c r="K529" i="3" s="1"/>
  <c r="J528" i="3"/>
  <c r="K528" i="3" s="1"/>
  <c r="J527" i="3"/>
  <c r="K527" i="3" s="1"/>
  <c r="J526" i="3"/>
  <c r="K526" i="3" s="1"/>
  <c r="J525" i="3"/>
  <c r="K525" i="3" s="1"/>
  <c r="J524" i="3"/>
  <c r="K524" i="3" s="1"/>
  <c r="J523" i="3"/>
  <c r="K523" i="3" s="1"/>
  <c r="J522" i="3"/>
  <c r="K522" i="3" s="1"/>
  <c r="J521" i="3"/>
  <c r="K521" i="3" s="1"/>
  <c r="J520" i="3"/>
  <c r="K520" i="3" s="1"/>
  <c r="J519" i="3"/>
  <c r="K519" i="3" s="1"/>
  <c r="J518" i="3"/>
  <c r="K518" i="3" s="1"/>
  <c r="J517" i="3"/>
  <c r="K517" i="3" s="1"/>
  <c r="J516" i="3"/>
  <c r="K516" i="3" s="1"/>
  <c r="J515" i="3"/>
  <c r="K515" i="3" s="1"/>
  <c r="J514" i="3"/>
  <c r="K514" i="3" s="1"/>
  <c r="J513" i="3"/>
  <c r="K513" i="3" s="1"/>
  <c r="J512" i="3"/>
  <c r="K512" i="3" s="1"/>
  <c r="J511" i="3"/>
  <c r="K511" i="3" s="1"/>
  <c r="J510" i="3"/>
  <c r="K510" i="3" s="1"/>
  <c r="J509" i="3"/>
  <c r="K509" i="3" s="1"/>
  <c r="J508" i="3"/>
  <c r="K508" i="3" s="1"/>
  <c r="J507" i="3"/>
  <c r="K507" i="3" s="1"/>
  <c r="J506" i="3"/>
  <c r="K506" i="3" s="1"/>
  <c r="J505" i="3"/>
  <c r="K505" i="3" s="1"/>
  <c r="J504" i="3"/>
  <c r="K504" i="3" s="1"/>
  <c r="J503" i="3"/>
  <c r="K503" i="3" s="1"/>
  <c r="J502" i="3"/>
  <c r="K502" i="3" s="1"/>
  <c r="J501" i="3"/>
  <c r="K501" i="3" s="1"/>
  <c r="J500" i="3"/>
  <c r="K500" i="3" s="1"/>
  <c r="J499" i="3"/>
  <c r="K499" i="3" s="1"/>
  <c r="J498" i="3"/>
  <c r="K498" i="3" s="1"/>
  <c r="J497" i="3"/>
  <c r="K497" i="3" s="1"/>
  <c r="J496" i="3"/>
  <c r="K496" i="3" s="1"/>
  <c r="J495" i="3"/>
  <c r="K495" i="3" s="1"/>
  <c r="J494" i="3"/>
  <c r="K494" i="3" s="1"/>
  <c r="J493" i="3"/>
  <c r="K493" i="3" s="1"/>
  <c r="J492" i="3"/>
  <c r="K492" i="3" s="1"/>
  <c r="J491" i="3"/>
  <c r="K491" i="3" s="1"/>
  <c r="J490" i="3"/>
  <c r="K490" i="3" s="1"/>
  <c r="J489" i="3"/>
  <c r="K489" i="3" s="1"/>
  <c r="J488" i="3"/>
  <c r="K488" i="3" s="1"/>
  <c r="J487" i="3"/>
  <c r="K487" i="3" s="1"/>
  <c r="J486" i="3"/>
  <c r="K486" i="3" s="1"/>
  <c r="J485" i="3"/>
  <c r="K485" i="3" s="1"/>
  <c r="J484" i="3"/>
  <c r="K484" i="3" s="1"/>
  <c r="J483" i="3"/>
  <c r="K483" i="3" s="1"/>
  <c r="J482" i="3"/>
  <c r="K482" i="3" s="1"/>
  <c r="J481" i="3"/>
  <c r="K481" i="3" s="1"/>
  <c r="J480" i="3"/>
  <c r="K480" i="3" s="1"/>
  <c r="J479" i="3"/>
  <c r="K479" i="3" s="1"/>
  <c r="J478" i="3"/>
  <c r="K478" i="3" s="1"/>
  <c r="J477" i="3"/>
  <c r="K477" i="3" s="1"/>
  <c r="J476" i="3"/>
  <c r="K476" i="3" s="1"/>
  <c r="J475" i="3"/>
  <c r="K475" i="3" s="1"/>
  <c r="J474" i="3"/>
  <c r="K474" i="3" s="1"/>
  <c r="J473" i="3"/>
  <c r="K473" i="3" s="1"/>
  <c r="J472" i="3"/>
  <c r="K472" i="3" s="1"/>
  <c r="J471" i="3"/>
  <c r="K471" i="3" s="1"/>
  <c r="J470" i="3"/>
  <c r="K470" i="3" s="1"/>
  <c r="J469" i="3"/>
  <c r="K469" i="3" s="1"/>
  <c r="J468" i="3"/>
  <c r="K468" i="3" s="1"/>
  <c r="J467" i="3"/>
  <c r="K467" i="3" s="1"/>
  <c r="J466" i="3"/>
  <c r="K466" i="3" s="1"/>
  <c r="J465" i="3"/>
  <c r="K465" i="3" s="1"/>
  <c r="J464" i="3"/>
  <c r="K464" i="3" s="1"/>
  <c r="J463" i="3"/>
  <c r="K463" i="3" s="1"/>
  <c r="J462" i="3"/>
  <c r="K462" i="3" s="1"/>
  <c r="J461" i="3"/>
  <c r="K461" i="3" s="1"/>
  <c r="J460" i="3"/>
  <c r="K460" i="3" s="1"/>
  <c r="J459" i="3"/>
  <c r="K459" i="3" s="1"/>
  <c r="J458" i="3"/>
  <c r="K458" i="3" s="1"/>
  <c r="J457" i="3"/>
  <c r="K457" i="3" s="1"/>
  <c r="J456" i="3"/>
  <c r="K456" i="3" s="1"/>
  <c r="J455" i="3"/>
  <c r="K455" i="3" s="1"/>
  <c r="J454" i="3"/>
  <c r="K454" i="3" s="1"/>
  <c r="J453" i="3"/>
  <c r="K453" i="3" s="1"/>
  <c r="J452" i="3"/>
  <c r="K452" i="3" s="1"/>
  <c r="J451" i="3"/>
  <c r="K451" i="3" s="1"/>
  <c r="J450" i="3"/>
  <c r="K450" i="3" s="1"/>
  <c r="J449" i="3"/>
  <c r="K449" i="3" s="1"/>
  <c r="J448" i="3"/>
  <c r="K448" i="3" s="1"/>
  <c r="J447" i="3"/>
  <c r="K447" i="3" s="1"/>
  <c r="J446" i="3"/>
  <c r="K446" i="3" s="1"/>
  <c r="J445" i="3"/>
  <c r="K445" i="3" s="1"/>
  <c r="J444" i="3"/>
  <c r="K444" i="3" s="1"/>
  <c r="J443" i="3"/>
  <c r="K443" i="3" s="1"/>
  <c r="J442" i="3"/>
  <c r="K442" i="3" s="1"/>
  <c r="J441" i="3"/>
  <c r="K441" i="3" s="1"/>
  <c r="J440" i="3"/>
  <c r="K440" i="3" s="1"/>
  <c r="J439" i="3"/>
  <c r="K439" i="3" s="1"/>
  <c r="J438" i="3"/>
  <c r="K438" i="3" s="1"/>
  <c r="J437" i="3"/>
  <c r="K437" i="3" s="1"/>
  <c r="J436" i="3"/>
  <c r="K436" i="3" s="1"/>
  <c r="J435" i="3"/>
  <c r="K435" i="3" s="1"/>
  <c r="J434" i="3"/>
  <c r="K434" i="3" s="1"/>
  <c r="J433" i="3"/>
  <c r="K433" i="3" s="1"/>
  <c r="J432" i="3"/>
  <c r="K432" i="3" s="1"/>
  <c r="J431" i="3"/>
  <c r="K431" i="3" s="1"/>
  <c r="J430" i="3"/>
  <c r="K430" i="3" s="1"/>
  <c r="J429" i="3"/>
  <c r="K429" i="3" s="1"/>
  <c r="J428" i="3"/>
  <c r="K428" i="3" s="1"/>
  <c r="J427" i="3"/>
  <c r="K427" i="3" s="1"/>
  <c r="J426" i="3"/>
  <c r="K426" i="3" s="1"/>
  <c r="J425" i="3"/>
  <c r="K425" i="3" s="1"/>
  <c r="J424" i="3"/>
  <c r="K424" i="3" s="1"/>
  <c r="J423" i="3"/>
  <c r="K423" i="3" s="1"/>
  <c r="J422" i="3"/>
  <c r="K422" i="3" s="1"/>
  <c r="J421" i="3"/>
  <c r="K421" i="3" s="1"/>
  <c r="J420" i="3"/>
  <c r="K420" i="3" s="1"/>
  <c r="J419" i="3"/>
  <c r="K419" i="3" s="1"/>
  <c r="J418" i="3"/>
  <c r="K418" i="3" s="1"/>
  <c r="J417" i="3"/>
  <c r="K417" i="3" s="1"/>
  <c r="J416" i="3"/>
  <c r="K416" i="3" s="1"/>
  <c r="J415" i="3"/>
  <c r="K415" i="3" s="1"/>
  <c r="J414" i="3"/>
  <c r="K414" i="3" s="1"/>
  <c r="J413" i="3"/>
  <c r="K413" i="3" s="1"/>
  <c r="J412" i="3"/>
  <c r="K412" i="3" s="1"/>
  <c r="J411" i="3"/>
  <c r="K411" i="3" s="1"/>
  <c r="J410" i="3"/>
  <c r="K410" i="3" s="1"/>
  <c r="J409" i="3"/>
  <c r="K409" i="3" s="1"/>
  <c r="J408" i="3"/>
  <c r="K408" i="3" s="1"/>
  <c r="J407" i="3"/>
  <c r="K407" i="3" s="1"/>
  <c r="J406" i="3"/>
  <c r="K406" i="3" s="1"/>
  <c r="J405" i="3"/>
  <c r="K405" i="3" s="1"/>
  <c r="J404" i="3"/>
  <c r="K404" i="3" s="1"/>
  <c r="J403" i="3"/>
  <c r="K403" i="3" s="1"/>
  <c r="J402" i="3"/>
  <c r="K402" i="3" s="1"/>
  <c r="J401" i="3"/>
  <c r="K401" i="3" s="1"/>
  <c r="J400" i="3"/>
  <c r="K400" i="3" s="1"/>
  <c r="J399" i="3"/>
  <c r="K399" i="3" s="1"/>
  <c r="J398" i="3"/>
  <c r="K398" i="3" s="1"/>
  <c r="J397" i="3"/>
  <c r="K397" i="3" s="1"/>
  <c r="J396" i="3"/>
  <c r="K396" i="3" s="1"/>
  <c r="J395" i="3"/>
  <c r="K395" i="3" s="1"/>
  <c r="J394" i="3"/>
  <c r="K394" i="3" s="1"/>
  <c r="J393" i="3"/>
  <c r="K393" i="3" s="1"/>
  <c r="J392" i="3"/>
  <c r="K392" i="3" s="1"/>
  <c r="J391" i="3"/>
  <c r="K391" i="3" s="1"/>
  <c r="J390" i="3"/>
  <c r="K390" i="3" s="1"/>
  <c r="J389" i="3"/>
  <c r="K389" i="3" s="1"/>
  <c r="J388" i="3"/>
  <c r="K388" i="3" s="1"/>
  <c r="J387" i="3"/>
  <c r="K387" i="3" s="1"/>
  <c r="J386" i="3"/>
  <c r="K386" i="3" s="1"/>
  <c r="J385" i="3"/>
  <c r="K385" i="3" s="1"/>
  <c r="J384" i="3"/>
  <c r="K384" i="3" s="1"/>
  <c r="J383" i="3"/>
  <c r="K383" i="3" s="1"/>
  <c r="J382" i="3"/>
  <c r="K382" i="3" s="1"/>
  <c r="J381" i="3"/>
  <c r="K381" i="3" s="1"/>
  <c r="J380" i="3"/>
  <c r="K380" i="3" s="1"/>
  <c r="J379" i="3"/>
  <c r="K379" i="3" s="1"/>
  <c r="J378" i="3"/>
  <c r="K378" i="3" s="1"/>
  <c r="J377" i="3"/>
  <c r="K377" i="3" s="1"/>
  <c r="J376" i="3"/>
  <c r="K376" i="3" s="1"/>
  <c r="J375" i="3"/>
  <c r="K375" i="3" s="1"/>
  <c r="J374" i="3"/>
  <c r="K374" i="3" s="1"/>
  <c r="J373" i="3"/>
  <c r="K373" i="3" s="1"/>
  <c r="J372" i="3"/>
  <c r="K372" i="3" s="1"/>
  <c r="J371" i="3"/>
  <c r="K371" i="3" s="1"/>
  <c r="J370" i="3"/>
  <c r="K370" i="3" s="1"/>
  <c r="J369" i="3"/>
  <c r="K369" i="3" s="1"/>
  <c r="J368" i="3"/>
  <c r="K368" i="3" s="1"/>
  <c r="J367" i="3"/>
  <c r="K367" i="3" s="1"/>
  <c r="J366" i="3"/>
  <c r="K366" i="3" s="1"/>
  <c r="J365" i="3"/>
  <c r="K365" i="3" s="1"/>
  <c r="J364" i="3"/>
  <c r="K364" i="3" s="1"/>
  <c r="J363" i="3"/>
  <c r="K363" i="3" s="1"/>
  <c r="J362" i="3"/>
  <c r="K362" i="3" s="1"/>
  <c r="J361" i="3"/>
  <c r="K361" i="3" s="1"/>
  <c r="J360" i="3"/>
  <c r="K360" i="3" s="1"/>
  <c r="J359" i="3"/>
  <c r="K359" i="3" s="1"/>
  <c r="J358" i="3"/>
  <c r="K358" i="3" s="1"/>
  <c r="J357" i="3"/>
  <c r="K357" i="3" s="1"/>
  <c r="J356" i="3"/>
  <c r="K356" i="3" s="1"/>
  <c r="J355" i="3"/>
  <c r="K355" i="3" s="1"/>
  <c r="J354" i="3"/>
  <c r="K354" i="3" s="1"/>
  <c r="J353" i="3"/>
  <c r="K353" i="3" s="1"/>
  <c r="J352" i="3"/>
  <c r="K352" i="3" s="1"/>
  <c r="J351" i="3"/>
  <c r="K351" i="3" s="1"/>
  <c r="J350" i="3"/>
  <c r="K350" i="3" s="1"/>
  <c r="J349" i="3"/>
  <c r="K349" i="3" s="1"/>
  <c r="J348" i="3"/>
  <c r="K348" i="3" s="1"/>
  <c r="J347" i="3"/>
  <c r="K347" i="3" s="1"/>
  <c r="J346" i="3"/>
  <c r="K346" i="3" s="1"/>
  <c r="J345" i="3"/>
  <c r="K345" i="3" s="1"/>
  <c r="J344" i="3"/>
  <c r="K344" i="3" s="1"/>
  <c r="J343" i="3"/>
  <c r="K343" i="3" s="1"/>
  <c r="J342" i="3"/>
  <c r="K342" i="3" s="1"/>
  <c r="J341" i="3"/>
  <c r="K341" i="3" s="1"/>
  <c r="J340" i="3"/>
  <c r="K340" i="3" s="1"/>
  <c r="J339" i="3"/>
  <c r="K339" i="3" s="1"/>
  <c r="J338" i="3"/>
  <c r="K338" i="3" s="1"/>
  <c r="J337" i="3"/>
  <c r="K337" i="3" s="1"/>
  <c r="J336" i="3"/>
  <c r="K336" i="3" s="1"/>
  <c r="J335" i="3"/>
  <c r="K335" i="3" s="1"/>
  <c r="J334" i="3"/>
  <c r="K334" i="3" s="1"/>
  <c r="J333" i="3"/>
  <c r="K333" i="3" s="1"/>
  <c r="J332" i="3"/>
  <c r="K332" i="3" s="1"/>
  <c r="J331" i="3"/>
  <c r="K331" i="3" s="1"/>
  <c r="J330" i="3"/>
  <c r="K330" i="3" s="1"/>
  <c r="J329" i="3"/>
  <c r="K329" i="3" s="1"/>
  <c r="J328" i="3"/>
  <c r="K328" i="3" s="1"/>
  <c r="J327" i="3"/>
  <c r="K327" i="3" s="1"/>
  <c r="J326" i="3"/>
  <c r="K326" i="3" s="1"/>
  <c r="J325" i="3"/>
  <c r="K325" i="3" s="1"/>
  <c r="J324" i="3"/>
  <c r="K324" i="3" s="1"/>
  <c r="J323" i="3"/>
  <c r="K323" i="3" s="1"/>
  <c r="J322" i="3"/>
  <c r="K322" i="3" s="1"/>
  <c r="J321" i="3"/>
  <c r="K321" i="3" s="1"/>
  <c r="J320" i="3"/>
  <c r="K320" i="3" s="1"/>
  <c r="J319" i="3"/>
  <c r="K319" i="3" s="1"/>
  <c r="J318" i="3"/>
  <c r="K318" i="3" s="1"/>
  <c r="J317" i="3"/>
  <c r="K317" i="3" s="1"/>
  <c r="J316" i="3"/>
  <c r="K316" i="3" s="1"/>
  <c r="J315" i="3"/>
  <c r="K315" i="3" s="1"/>
  <c r="J314" i="3"/>
  <c r="K314" i="3" s="1"/>
  <c r="J313" i="3"/>
  <c r="K313" i="3" s="1"/>
  <c r="J312" i="3"/>
  <c r="K312" i="3" s="1"/>
  <c r="J311" i="3"/>
  <c r="K311" i="3" s="1"/>
  <c r="J310" i="3"/>
  <c r="K310" i="3" s="1"/>
  <c r="J309" i="3"/>
  <c r="K309" i="3" s="1"/>
  <c r="J308" i="3"/>
  <c r="K308" i="3" s="1"/>
  <c r="J307" i="3"/>
  <c r="K307" i="3" s="1"/>
  <c r="J306" i="3"/>
  <c r="K306" i="3" s="1"/>
  <c r="J305" i="3"/>
  <c r="K305" i="3" s="1"/>
  <c r="J304" i="3"/>
  <c r="K304" i="3" s="1"/>
  <c r="J303" i="3"/>
  <c r="K303" i="3" s="1"/>
  <c r="J302" i="3"/>
  <c r="K302" i="3" s="1"/>
  <c r="J301" i="3"/>
  <c r="K301" i="3" s="1"/>
  <c r="J300" i="3"/>
  <c r="K300" i="3" s="1"/>
  <c r="J299" i="3"/>
  <c r="K299" i="3" s="1"/>
  <c r="J298" i="3"/>
  <c r="K298" i="3" s="1"/>
  <c r="J297" i="3"/>
  <c r="K297" i="3" s="1"/>
  <c r="J296" i="3"/>
  <c r="K296" i="3" s="1"/>
  <c r="J295" i="3"/>
  <c r="K295" i="3" s="1"/>
  <c r="J294" i="3"/>
  <c r="K294" i="3" s="1"/>
  <c r="J293" i="3"/>
  <c r="K293" i="3" s="1"/>
  <c r="J292" i="3"/>
  <c r="K292" i="3" s="1"/>
  <c r="J291" i="3"/>
  <c r="K291" i="3" s="1"/>
  <c r="J290" i="3"/>
  <c r="K290" i="3" s="1"/>
  <c r="J289" i="3"/>
  <c r="K289" i="3" s="1"/>
  <c r="J288" i="3"/>
  <c r="K288" i="3" s="1"/>
  <c r="J287" i="3"/>
  <c r="K287" i="3" s="1"/>
  <c r="J286" i="3"/>
  <c r="K286" i="3" s="1"/>
  <c r="J285" i="3"/>
  <c r="K285" i="3" s="1"/>
  <c r="J284" i="3"/>
  <c r="K284" i="3" s="1"/>
  <c r="J283" i="3"/>
  <c r="K283" i="3" s="1"/>
  <c r="J282" i="3"/>
  <c r="K282" i="3" s="1"/>
  <c r="J281" i="3"/>
  <c r="K281" i="3" s="1"/>
  <c r="J280" i="3"/>
  <c r="K280" i="3" s="1"/>
  <c r="J279" i="3"/>
  <c r="K279" i="3" s="1"/>
  <c r="J278" i="3"/>
  <c r="K278" i="3" s="1"/>
  <c r="J277" i="3"/>
  <c r="K277" i="3" s="1"/>
  <c r="J276" i="3"/>
  <c r="K276" i="3" s="1"/>
  <c r="J275" i="3"/>
  <c r="K275" i="3" s="1"/>
  <c r="J274" i="3"/>
  <c r="K274" i="3" s="1"/>
  <c r="J273" i="3"/>
  <c r="K273" i="3" s="1"/>
  <c r="J272" i="3"/>
  <c r="K272" i="3" s="1"/>
  <c r="J271" i="3"/>
  <c r="K271" i="3" s="1"/>
  <c r="J270" i="3"/>
  <c r="K270" i="3" s="1"/>
  <c r="J269" i="3"/>
  <c r="K269" i="3" s="1"/>
  <c r="J268" i="3"/>
  <c r="K268" i="3" s="1"/>
  <c r="J267" i="3"/>
  <c r="K267" i="3" s="1"/>
  <c r="J266" i="3"/>
  <c r="K266" i="3" s="1"/>
  <c r="J265" i="3"/>
  <c r="K265" i="3" s="1"/>
  <c r="J264" i="3"/>
  <c r="K264" i="3" s="1"/>
  <c r="J263" i="3"/>
  <c r="K263" i="3" s="1"/>
  <c r="J262" i="3"/>
  <c r="K262" i="3" s="1"/>
  <c r="J261" i="3"/>
  <c r="K261" i="3" s="1"/>
  <c r="J260" i="3"/>
  <c r="K260" i="3" s="1"/>
  <c r="J259" i="3"/>
  <c r="K259" i="3" s="1"/>
  <c r="J258" i="3"/>
  <c r="K258" i="3" s="1"/>
  <c r="J257" i="3"/>
  <c r="K257" i="3" s="1"/>
  <c r="J256" i="3"/>
  <c r="K256" i="3" s="1"/>
  <c r="J255" i="3"/>
  <c r="K255" i="3" s="1"/>
  <c r="J254" i="3"/>
  <c r="K254" i="3" s="1"/>
  <c r="J253" i="3"/>
  <c r="K253" i="3" s="1"/>
  <c r="J252" i="3"/>
  <c r="K252" i="3" s="1"/>
  <c r="J251" i="3"/>
  <c r="K251" i="3" s="1"/>
  <c r="J250" i="3"/>
  <c r="K250" i="3" s="1"/>
  <c r="J249" i="3"/>
  <c r="K249" i="3" s="1"/>
  <c r="J248" i="3"/>
  <c r="K248" i="3" s="1"/>
  <c r="J247" i="3"/>
  <c r="K247" i="3" s="1"/>
  <c r="J246" i="3"/>
  <c r="K246" i="3" s="1"/>
  <c r="J245" i="3"/>
  <c r="K245" i="3" s="1"/>
  <c r="J244" i="3"/>
  <c r="K244" i="3" s="1"/>
  <c r="J243" i="3"/>
  <c r="K243" i="3" s="1"/>
  <c r="J242" i="3"/>
  <c r="K242" i="3" s="1"/>
  <c r="J241" i="3"/>
  <c r="K241" i="3" s="1"/>
  <c r="J240" i="3"/>
  <c r="K240" i="3" s="1"/>
  <c r="J239" i="3"/>
  <c r="K239" i="3" s="1"/>
  <c r="J238" i="3"/>
  <c r="K238" i="3" s="1"/>
  <c r="J237" i="3"/>
  <c r="K237" i="3" s="1"/>
  <c r="J236" i="3"/>
  <c r="K236" i="3" s="1"/>
  <c r="J235" i="3"/>
  <c r="K235" i="3" s="1"/>
  <c r="J234" i="3"/>
  <c r="K234" i="3" s="1"/>
  <c r="J233" i="3"/>
  <c r="K233" i="3" s="1"/>
  <c r="J232" i="3"/>
  <c r="K232" i="3" s="1"/>
  <c r="J231" i="3"/>
  <c r="K231" i="3" s="1"/>
  <c r="J230" i="3"/>
  <c r="K230" i="3" s="1"/>
  <c r="J229" i="3"/>
  <c r="K229" i="3" s="1"/>
  <c r="J228" i="3"/>
  <c r="K228" i="3" s="1"/>
  <c r="J227" i="3"/>
  <c r="K227" i="3" s="1"/>
  <c r="J226" i="3"/>
  <c r="K226" i="3" s="1"/>
  <c r="J225" i="3"/>
  <c r="K225" i="3" s="1"/>
  <c r="J224" i="3"/>
  <c r="K224" i="3" s="1"/>
  <c r="J223" i="3"/>
  <c r="K223" i="3" s="1"/>
  <c r="J222" i="3"/>
  <c r="K222" i="3" s="1"/>
  <c r="J221" i="3"/>
  <c r="K221" i="3" s="1"/>
  <c r="J220" i="3"/>
  <c r="K220" i="3" s="1"/>
  <c r="J219" i="3"/>
  <c r="K219" i="3" s="1"/>
  <c r="J218" i="3"/>
  <c r="K218" i="3" s="1"/>
  <c r="J217" i="3"/>
  <c r="K217" i="3" s="1"/>
  <c r="J216" i="3"/>
  <c r="K216" i="3" s="1"/>
  <c r="J215" i="3"/>
  <c r="K215" i="3" s="1"/>
  <c r="J214" i="3"/>
  <c r="K214" i="3" s="1"/>
  <c r="J213" i="3"/>
  <c r="K213" i="3" s="1"/>
  <c r="J212" i="3"/>
  <c r="K212" i="3" s="1"/>
  <c r="J211" i="3"/>
  <c r="K211" i="3" s="1"/>
  <c r="J210" i="3"/>
  <c r="K210" i="3" s="1"/>
  <c r="J209" i="3"/>
  <c r="K209" i="3" s="1"/>
  <c r="J208" i="3"/>
  <c r="K208" i="3" s="1"/>
  <c r="J207" i="3"/>
  <c r="K207" i="3" s="1"/>
  <c r="J206" i="3"/>
  <c r="K206" i="3" s="1"/>
  <c r="J205" i="3"/>
  <c r="K205" i="3" s="1"/>
  <c r="J204" i="3"/>
  <c r="K204" i="3" s="1"/>
  <c r="J203" i="3"/>
  <c r="K203" i="3" s="1"/>
  <c r="J202" i="3"/>
  <c r="K202" i="3" s="1"/>
  <c r="J201" i="3"/>
  <c r="K201" i="3" s="1"/>
  <c r="J200" i="3"/>
  <c r="K200" i="3" s="1"/>
  <c r="J199" i="3"/>
  <c r="K199" i="3" s="1"/>
  <c r="J198" i="3"/>
  <c r="K198" i="3" s="1"/>
  <c r="J197" i="3"/>
  <c r="K197" i="3" s="1"/>
  <c r="J196" i="3"/>
  <c r="K196" i="3" s="1"/>
  <c r="J195" i="3"/>
  <c r="K195" i="3" s="1"/>
  <c r="J194" i="3"/>
  <c r="K194" i="3" s="1"/>
  <c r="J193" i="3"/>
  <c r="K193" i="3" s="1"/>
  <c r="J192" i="3"/>
  <c r="K192" i="3" s="1"/>
  <c r="J191" i="3"/>
  <c r="K191" i="3" s="1"/>
  <c r="J190" i="3"/>
  <c r="K190" i="3" s="1"/>
  <c r="J189" i="3"/>
  <c r="K189" i="3" s="1"/>
  <c r="J188" i="3"/>
  <c r="K188" i="3" s="1"/>
  <c r="J187" i="3"/>
  <c r="K187" i="3" s="1"/>
  <c r="J185" i="3"/>
  <c r="K185" i="3" s="1"/>
  <c r="J184" i="3"/>
  <c r="K184" i="3" s="1"/>
  <c r="J183" i="3"/>
  <c r="K183" i="3" s="1"/>
  <c r="J182" i="3"/>
  <c r="K182" i="3" s="1"/>
  <c r="J181" i="3"/>
  <c r="K181" i="3" s="1"/>
  <c r="J180" i="3"/>
  <c r="K180" i="3" s="1"/>
  <c r="J179" i="3"/>
  <c r="K179" i="3" s="1"/>
  <c r="J178" i="3"/>
  <c r="K178" i="3" s="1"/>
  <c r="J177" i="3"/>
  <c r="K177" i="3" s="1"/>
  <c r="J176" i="3"/>
  <c r="K176" i="3" s="1"/>
  <c r="J175" i="3"/>
  <c r="K175" i="3" s="1"/>
  <c r="J174" i="3"/>
  <c r="K174" i="3" s="1"/>
  <c r="J173" i="3"/>
  <c r="K173" i="3" s="1"/>
  <c r="J172" i="3"/>
  <c r="K172" i="3" s="1"/>
  <c r="J171" i="3"/>
  <c r="K171" i="3" s="1"/>
  <c r="J170" i="3"/>
  <c r="K170" i="3" s="1"/>
  <c r="J169" i="3"/>
  <c r="K169" i="3" s="1"/>
  <c r="J168" i="3"/>
  <c r="K168" i="3" s="1"/>
  <c r="J166" i="3"/>
  <c r="K166" i="3" s="1"/>
  <c r="J165" i="3"/>
  <c r="K165" i="3" s="1"/>
  <c r="J164" i="3"/>
  <c r="K164" i="3" s="1"/>
  <c r="J163" i="3"/>
  <c r="K163" i="3" s="1"/>
  <c r="J162" i="3"/>
  <c r="K162" i="3" s="1"/>
  <c r="J161" i="3"/>
  <c r="K161" i="3" s="1"/>
  <c r="J160" i="3"/>
  <c r="K160" i="3" s="1"/>
  <c r="J159" i="3"/>
  <c r="K159" i="3" s="1"/>
  <c r="J158" i="3"/>
  <c r="K158" i="3" s="1"/>
  <c r="J157" i="3"/>
  <c r="K157" i="3" s="1"/>
  <c r="J156" i="3"/>
  <c r="K156" i="3" s="1"/>
  <c r="J155" i="3"/>
  <c r="K155" i="3" s="1"/>
  <c r="J154" i="3"/>
  <c r="K154" i="3" s="1"/>
  <c r="J153" i="3"/>
  <c r="K153" i="3" s="1"/>
  <c r="J152" i="3"/>
  <c r="K152" i="3" s="1"/>
  <c r="J151" i="3"/>
  <c r="K151" i="3" s="1"/>
  <c r="J150" i="3"/>
  <c r="K150" i="3" s="1"/>
  <c r="J149" i="3"/>
  <c r="K149" i="3" s="1"/>
  <c r="J148" i="3"/>
  <c r="K148" i="3" s="1"/>
  <c r="J147" i="3"/>
  <c r="K147" i="3" s="1"/>
  <c r="J146" i="3"/>
  <c r="K146" i="3" s="1"/>
  <c r="J145" i="3"/>
  <c r="K145" i="3" s="1"/>
  <c r="J144" i="3"/>
  <c r="K144" i="3" s="1"/>
  <c r="J143" i="3"/>
  <c r="K143" i="3" s="1"/>
  <c r="J142" i="3"/>
  <c r="K142" i="3" s="1"/>
  <c r="J141" i="3"/>
  <c r="K141" i="3" s="1"/>
  <c r="J140" i="3"/>
  <c r="K140" i="3" s="1"/>
  <c r="J139" i="3"/>
  <c r="K139" i="3" s="1"/>
  <c r="J138" i="3"/>
  <c r="K138" i="3" s="1"/>
  <c r="J137" i="3"/>
  <c r="K137" i="3" s="1"/>
  <c r="J136" i="3"/>
  <c r="K136" i="3" s="1"/>
  <c r="J135" i="3"/>
  <c r="K135" i="3" s="1"/>
  <c r="J134" i="3"/>
  <c r="K134" i="3" s="1"/>
  <c r="J133" i="3"/>
  <c r="K133" i="3" s="1"/>
  <c r="J132" i="3"/>
  <c r="K132" i="3" s="1"/>
  <c r="J131" i="3"/>
  <c r="K131" i="3" s="1"/>
  <c r="J130" i="3"/>
  <c r="K130" i="3" s="1"/>
  <c r="J129" i="3"/>
  <c r="K129" i="3" s="1"/>
  <c r="J128" i="3"/>
  <c r="K128" i="3" s="1"/>
  <c r="J127" i="3"/>
  <c r="K127" i="3" s="1"/>
  <c r="J126" i="3"/>
  <c r="K126" i="3" s="1"/>
  <c r="J125" i="3"/>
  <c r="K125" i="3" s="1"/>
  <c r="J124" i="3"/>
  <c r="K124" i="3" s="1"/>
  <c r="J123" i="3"/>
  <c r="K123" i="3" s="1"/>
  <c r="J122" i="3"/>
  <c r="K122" i="3" s="1"/>
  <c r="J121" i="3"/>
  <c r="K121" i="3" s="1"/>
  <c r="J120" i="3"/>
  <c r="K120" i="3" s="1"/>
  <c r="J118" i="3"/>
  <c r="K118" i="3" s="1"/>
  <c r="J117" i="3"/>
  <c r="K117" i="3" s="1"/>
  <c r="J116" i="3"/>
  <c r="K116" i="3" s="1"/>
  <c r="J115" i="3"/>
  <c r="K115" i="3" s="1"/>
  <c r="J114" i="3"/>
  <c r="K114" i="3" s="1"/>
  <c r="J113" i="3"/>
  <c r="K113" i="3" s="1"/>
  <c r="J112" i="3"/>
  <c r="K112" i="3" s="1"/>
  <c r="J111" i="3"/>
  <c r="K111" i="3" s="1"/>
  <c r="J110" i="3"/>
  <c r="K110" i="3" s="1"/>
  <c r="J109" i="3"/>
  <c r="K109" i="3" s="1"/>
  <c r="J107" i="3"/>
  <c r="K107" i="3" s="1"/>
  <c r="J106" i="3"/>
  <c r="K106" i="3" s="1"/>
  <c r="J105" i="3"/>
  <c r="K105" i="3" s="1"/>
  <c r="J104" i="3"/>
  <c r="K104" i="3" s="1"/>
  <c r="J103" i="3"/>
  <c r="K103" i="3" s="1"/>
  <c r="J102" i="3"/>
  <c r="K102" i="3" s="1"/>
  <c r="J101" i="3"/>
  <c r="K101" i="3" s="1"/>
  <c r="J100" i="3"/>
  <c r="K100" i="3" s="1"/>
  <c r="J99" i="3"/>
  <c r="K99" i="3" s="1"/>
  <c r="J98" i="3"/>
  <c r="K98" i="3" s="1"/>
  <c r="J97" i="3"/>
  <c r="K97" i="3" s="1"/>
  <c r="J96" i="3"/>
  <c r="K96" i="3" s="1"/>
  <c r="J95" i="3"/>
  <c r="K95" i="3" s="1"/>
  <c r="J94" i="3"/>
  <c r="K94" i="3" s="1"/>
  <c r="J93" i="3"/>
  <c r="K93" i="3" s="1"/>
  <c r="J92" i="3"/>
  <c r="K92" i="3" s="1"/>
  <c r="J91" i="3"/>
  <c r="K91" i="3" s="1"/>
  <c r="J90" i="3"/>
  <c r="K90" i="3" s="1"/>
  <c r="J89" i="3"/>
  <c r="K89" i="3" s="1"/>
  <c r="J88" i="3"/>
  <c r="K88" i="3" s="1"/>
  <c r="J87" i="3"/>
  <c r="K87" i="3" s="1"/>
  <c r="J86" i="3"/>
  <c r="K86" i="3" s="1"/>
  <c r="J85" i="3"/>
  <c r="K85" i="3" s="1"/>
  <c r="J84" i="3"/>
  <c r="K84" i="3" s="1"/>
  <c r="J83" i="3"/>
  <c r="K83" i="3" s="1"/>
  <c r="J82" i="3"/>
  <c r="K82" i="3" s="1"/>
  <c r="J81" i="3"/>
  <c r="K81" i="3" s="1"/>
  <c r="J80" i="3"/>
  <c r="K80" i="3" s="1"/>
  <c r="J79" i="3"/>
  <c r="K79" i="3" s="1"/>
  <c r="J78" i="3"/>
  <c r="K78" i="3" s="1"/>
  <c r="J77" i="3"/>
  <c r="K77" i="3" s="1"/>
  <c r="J76" i="3"/>
  <c r="K76" i="3" s="1"/>
  <c r="J75" i="3"/>
  <c r="K75" i="3" s="1"/>
  <c r="J74" i="3"/>
  <c r="K74" i="3" s="1"/>
  <c r="J73" i="3"/>
  <c r="K73" i="3" s="1"/>
  <c r="J72" i="3"/>
  <c r="K72" i="3" s="1"/>
  <c r="J71" i="3"/>
  <c r="K71" i="3" s="1"/>
  <c r="J70" i="3"/>
  <c r="K70" i="3" s="1"/>
  <c r="J69" i="3"/>
  <c r="K69" i="3" s="1"/>
  <c r="J68" i="3"/>
  <c r="K68" i="3" s="1"/>
  <c r="J67" i="3"/>
  <c r="K67" i="3" s="1"/>
  <c r="J66" i="3"/>
  <c r="K66" i="3" s="1"/>
  <c r="J65" i="3"/>
  <c r="K65" i="3" s="1"/>
  <c r="J64" i="3"/>
  <c r="K64" i="3" s="1"/>
  <c r="J63" i="3"/>
  <c r="K63" i="3" s="1"/>
  <c r="J62" i="3"/>
  <c r="K62" i="3" s="1"/>
  <c r="J61" i="3"/>
  <c r="K61" i="3" s="1"/>
  <c r="J60" i="3"/>
  <c r="K60" i="3" s="1"/>
  <c r="J59" i="3"/>
  <c r="K59" i="3" s="1"/>
  <c r="J58" i="3"/>
  <c r="K58" i="3" s="1"/>
  <c r="J57" i="3"/>
  <c r="K57" i="3" s="1"/>
  <c r="J56" i="3"/>
  <c r="K56" i="3" s="1"/>
  <c r="J55" i="3"/>
  <c r="K55" i="3" s="1"/>
  <c r="J54" i="3"/>
  <c r="K54" i="3" s="1"/>
  <c r="J53" i="3"/>
  <c r="K53" i="3" s="1"/>
  <c r="J52" i="3"/>
  <c r="K52" i="3" s="1"/>
  <c r="J51" i="3"/>
  <c r="K51" i="3" s="1"/>
  <c r="J50" i="3"/>
  <c r="K50" i="3" s="1"/>
  <c r="J49" i="3"/>
  <c r="K49" i="3" s="1"/>
  <c r="J48" i="3"/>
  <c r="K48" i="3" s="1"/>
  <c r="J47" i="3"/>
  <c r="K47" i="3" s="1"/>
  <c r="J46" i="3"/>
  <c r="K46" i="3" s="1"/>
  <c r="J45" i="3"/>
  <c r="K45" i="3" s="1"/>
  <c r="J44" i="3"/>
  <c r="K44" i="3" s="1"/>
  <c r="J43" i="3"/>
  <c r="K43" i="3" s="1"/>
  <c r="J42" i="3"/>
  <c r="K42" i="3" s="1"/>
  <c r="J41" i="3"/>
  <c r="K41" i="3" s="1"/>
  <c r="J40" i="3"/>
  <c r="K40" i="3" s="1"/>
  <c r="J39" i="3"/>
  <c r="K39" i="3" s="1"/>
  <c r="J38" i="3"/>
  <c r="K38" i="3" s="1"/>
  <c r="J37" i="3"/>
  <c r="K37" i="3" s="1"/>
  <c r="J36" i="3"/>
  <c r="K36" i="3" s="1"/>
  <c r="J34" i="3"/>
  <c r="K34" i="3" s="1"/>
  <c r="J33" i="3"/>
  <c r="K33" i="3" s="1"/>
  <c r="J32" i="3"/>
  <c r="K32" i="3" s="1"/>
  <c r="J31" i="3"/>
  <c r="K31" i="3" s="1"/>
  <c r="J30" i="3"/>
  <c r="K30" i="3" s="1"/>
  <c r="J29" i="3"/>
  <c r="K29" i="3" s="1"/>
  <c r="J28" i="3"/>
  <c r="K28" i="3" s="1"/>
  <c r="J27" i="3"/>
  <c r="K27" i="3" s="1"/>
  <c r="J26" i="3"/>
  <c r="K26" i="3" s="1"/>
  <c r="J25" i="3"/>
  <c r="K25" i="3" s="1"/>
  <c r="J24" i="3"/>
  <c r="K24" i="3" s="1"/>
  <c r="J23" i="3"/>
  <c r="K23" i="3" s="1"/>
  <c r="J22" i="3"/>
  <c r="K22" i="3" s="1"/>
  <c r="J21" i="3"/>
  <c r="K21" i="3" s="1"/>
  <c r="J20" i="3"/>
  <c r="K20" i="3" s="1"/>
  <c r="J19" i="3"/>
  <c r="K19" i="3" s="1"/>
  <c r="J18" i="3"/>
  <c r="K18" i="3" s="1"/>
  <c r="J17" i="3"/>
  <c r="K17" i="3" s="1"/>
  <c r="J16" i="3"/>
  <c r="K16" i="3" s="1"/>
  <c r="J15" i="3"/>
  <c r="K15" i="3" s="1"/>
  <c r="J14" i="3"/>
  <c r="K14" i="3" s="1"/>
  <c r="J13" i="3"/>
  <c r="K13" i="3" s="1"/>
  <c r="J12" i="3"/>
  <c r="K12" i="3" s="1"/>
  <c r="J11" i="3"/>
  <c r="K11" i="3" s="1"/>
  <c r="J10" i="3"/>
  <c r="K10" i="3" s="1"/>
  <c r="J8" i="3"/>
  <c r="K8" i="3" s="1"/>
  <c r="J6" i="3"/>
  <c r="K6" i="3" s="1"/>
  <c r="J5" i="3"/>
  <c r="K5" i="3" s="1"/>
  <c r="J4" i="3"/>
  <c r="K4" i="3" s="1"/>
  <c r="J3" i="3"/>
  <c r="K3" i="3" s="1"/>
  <c r="B3" i="1" l="1"/>
  <c r="A3" i="1"/>
  <c r="C2" i="1"/>
  <c r="D2" i="1"/>
  <c r="A4" i="1" l="1"/>
  <c r="B4" i="1" s="1"/>
  <c r="D3" i="1"/>
  <c r="A5" i="1" l="1"/>
  <c r="B5" i="1" s="1"/>
  <c r="D4" i="1"/>
  <c r="A6" i="1" l="1"/>
  <c r="B6" i="1" s="1"/>
  <c r="D5" i="1"/>
  <c r="A7" i="1" l="1"/>
  <c r="B7" i="1" s="1"/>
  <c r="D6" i="1"/>
  <c r="A8" i="1" l="1"/>
  <c r="B8" i="1" s="1"/>
  <c r="D7" i="1"/>
  <c r="A9" i="1" l="1"/>
  <c r="B9" i="1" s="1"/>
  <c r="D8" i="1"/>
  <c r="A10" i="1" l="1"/>
  <c r="B10" i="1" s="1"/>
  <c r="D9" i="1"/>
  <c r="A11" i="1" l="1"/>
  <c r="B11" i="1" s="1"/>
  <c r="D10" i="1"/>
  <c r="A12" i="1" l="1"/>
  <c r="B12" i="1" s="1"/>
  <c r="D11" i="1"/>
  <c r="A13" i="1" l="1"/>
  <c r="B13" i="1" s="1"/>
  <c r="D12" i="1"/>
  <c r="A14" i="1" l="1"/>
  <c r="B14" i="1" s="1"/>
  <c r="D13" i="1"/>
  <c r="A15" i="1" l="1"/>
  <c r="B15" i="1" s="1"/>
  <c r="D14" i="1"/>
  <c r="A16" i="1" l="1"/>
  <c r="B16" i="1" s="1"/>
  <c r="D15" i="1"/>
  <c r="A17" i="1" l="1"/>
  <c r="B17" i="1" s="1"/>
  <c r="D16" i="1"/>
  <c r="A18" i="1" l="1"/>
  <c r="B18" i="1" s="1"/>
  <c r="D17" i="1"/>
  <c r="A19" i="1" l="1"/>
  <c r="B19" i="1" s="1"/>
  <c r="D18" i="1"/>
  <c r="A20" i="1" l="1"/>
  <c r="B20" i="1" s="1"/>
  <c r="D19" i="1"/>
  <c r="A21" i="1" l="1"/>
  <c r="B21" i="1" s="1"/>
  <c r="D20" i="1"/>
  <c r="A22" i="1" l="1"/>
  <c r="B22" i="1" s="1"/>
  <c r="D21" i="1"/>
  <c r="A23" i="1" l="1"/>
  <c r="B23" i="1" s="1"/>
  <c r="D22" i="1"/>
  <c r="A24" i="1" l="1"/>
  <c r="B24" i="1" s="1"/>
  <c r="D23" i="1"/>
  <c r="A25" i="1" l="1"/>
  <c r="B25" i="1" s="1"/>
  <c r="D24" i="1"/>
  <c r="A26" i="1" l="1"/>
  <c r="B26" i="1" s="1"/>
  <c r="D25" i="1"/>
  <c r="A27" i="1" l="1"/>
  <c r="B27" i="1" s="1"/>
  <c r="D26" i="1"/>
  <c r="A28" i="1" l="1"/>
  <c r="B28" i="1" s="1"/>
  <c r="D27" i="1"/>
  <c r="A29" i="1" l="1"/>
  <c r="B29" i="1" s="1"/>
  <c r="D28" i="1"/>
  <c r="A30" i="1" l="1"/>
  <c r="B30" i="1" s="1"/>
  <c r="D29" i="1"/>
  <c r="A31" i="1" l="1"/>
  <c r="B31" i="1" s="1"/>
  <c r="D30" i="1"/>
  <c r="A32" i="1" l="1"/>
  <c r="B32" i="1" s="1"/>
  <c r="D31" i="1"/>
  <c r="A33" i="1" l="1"/>
  <c r="B33" i="1" s="1"/>
  <c r="D32" i="1"/>
  <c r="A34" i="1" l="1"/>
  <c r="B34" i="1" s="1"/>
  <c r="D33" i="1"/>
  <c r="A35" i="1" l="1"/>
  <c r="B35" i="1" s="1"/>
  <c r="D34" i="1"/>
  <c r="A36" i="1" l="1"/>
  <c r="B36" i="1" s="1"/>
  <c r="D35" i="1"/>
  <c r="A37" i="1" l="1"/>
  <c r="B37" i="1" s="1"/>
  <c r="D36" i="1"/>
  <c r="A38" i="1" l="1"/>
  <c r="B38" i="1" s="1"/>
  <c r="D37" i="1"/>
  <c r="A39" i="1" l="1"/>
  <c r="B39" i="1" s="1"/>
  <c r="D38" i="1"/>
  <c r="A40" i="1" l="1"/>
  <c r="B40" i="1" s="1"/>
  <c r="D39" i="1"/>
  <c r="A41" i="1" l="1"/>
  <c r="B41" i="1" s="1"/>
  <c r="D40" i="1"/>
  <c r="A42" i="1" l="1"/>
  <c r="B42" i="1" s="1"/>
  <c r="D41" i="1"/>
  <c r="A43" i="1" l="1"/>
  <c r="B43" i="1" s="1"/>
  <c r="D42" i="1"/>
  <c r="A44" i="1" l="1"/>
  <c r="B44" i="1" s="1"/>
  <c r="D43" i="1"/>
  <c r="A45" i="1" l="1"/>
  <c r="B45" i="1" s="1"/>
  <c r="D44" i="1"/>
  <c r="A46" i="1" l="1"/>
  <c r="B46" i="1" s="1"/>
  <c r="D45" i="1"/>
  <c r="A47" i="1" l="1"/>
  <c r="B47" i="1" s="1"/>
  <c r="D46" i="1"/>
  <c r="A48" i="1" l="1"/>
  <c r="B48" i="1" s="1"/>
  <c r="D47" i="1"/>
  <c r="A49" i="1" l="1"/>
  <c r="B49" i="1" s="1"/>
  <c r="D48" i="1"/>
  <c r="A50" i="1" l="1"/>
  <c r="B50" i="1" s="1"/>
  <c r="D49" i="1"/>
  <c r="A51" i="1" l="1"/>
  <c r="B51" i="1" s="1"/>
  <c r="D50" i="1"/>
  <c r="A52" i="1" l="1"/>
  <c r="B52" i="1" s="1"/>
  <c r="D51" i="1"/>
  <c r="A53" i="1" l="1"/>
  <c r="B53" i="1" s="1"/>
  <c r="D52" i="1"/>
  <c r="A54" i="1" l="1"/>
  <c r="B54" i="1" s="1"/>
  <c r="D53" i="1"/>
  <c r="A55" i="1" l="1"/>
  <c r="B55" i="1" s="1"/>
  <c r="D54" i="1"/>
  <c r="A56" i="1" l="1"/>
  <c r="B56" i="1" s="1"/>
  <c r="D55" i="1"/>
  <c r="A57" i="1" l="1"/>
  <c r="B57" i="1" s="1"/>
  <c r="D56" i="1"/>
  <c r="A58" i="1" l="1"/>
  <c r="B58" i="1" s="1"/>
  <c r="D57" i="1"/>
  <c r="A59" i="1" l="1"/>
  <c r="B59" i="1" s="1"/>
  <c r="D58" i="1"/>
  <c r="A60" i="1" l="1"/>
  <c r="B60" i="1" s="1"/>
  <c r="D59" i="1"/>
  <c r="A61" i="1" l="1"/>
  <c r="B61" i="1" s="1"/>
  <c r="D60" i="1"/>
  <c r="A62" i="1" l="1"/>
  <c r="B62" i="1" s="1"/>
  <c r="D61" i="1"/>
  <c r="A63" i="1" l="1"/>
  <c r="B63" i="1" s="1"/>
  <c r="D62" i="1"/>
  <c r="A64" i="1" l="1"/>
  <c r="B64" i="1" s="1"/>
  <c r="D63" i="1"/>
  <c r="A65" i="1" l="1"/>
  <c r="B65" i="1" s="1"/>
  <c r="D64" i="1"/>
  <c r="A66" i="1" l="1"/>
  <c r="B66" i="1" s="1"/>
  <c r="D65" i="1"/>
  <c r="A67" i="1" l="1"/>
  <c r="B67" i="1" s="1"/>
  <c r="D66" i="1"/>
  <c r="A68" i="1" l="1"/>
  <c r="B68" i="1" s="1"/>
  <c r="D67" i="1"/>
  <c r="A69" i="1" l="1"/>
  <c r="B69" i="1" s="1"/>
  <c r="D68" i="1"/>
  <c r="A70" i="1" l="1"/>
  <c r="B70" i="1" s="1"/>
  <c r="D69" i="1"/>
  <c r="A71" i="1" l="1"/>
  <c r="B71" i="1" s="1"/>
  <c r="D70" i="1"/>
  <c r="A72" i="1" l="1"/>
  <c r="B72" i="1" s="1"/>
  <c r="D71" i="1"/>
  <c r="A73" i="1" l="1"/>
  <c r="B73" i="1" s="1"/>
  <c r="D72" i="1"/>
  <c r="A74" i="1" l="1"/>
  <c r="B74" i="1" s="1"/>
  <c r="D73" i="1"/>
  <c r="A75" i="1" l="1"/>
  <c r="B75" i="1" s="1"/>
  <c r="D74" i="1"/>
  <c r="A76" i="1" l="1"/>
  <c r="B76" i="1" s="1"/>
  <c r="D75" i="1"/>
  <c r="A77" i="1" l="1"/>
  <c r="B77" i="1" s="1"/>
  <c r="D76" i="1"/>
  <c r="A78" i="1" l="1"/>
  <c r="B78" i="1" s="1"/>
  <c r="D77" i="1"/>
  <c r="A79" i="1" l="1"/>
  <c r="B79" i="1" s="1"/>
  <c r="D78" i="1"/>
  <c r="A80" i="1" l="1"/>
  <c r="B80" i="1" s="1"/>
  <c r="D79" i="1"/>
  <c r="A81" i="1" l="1"/>
  <c r="B81" i="1" s="1"/>
  <c r="D80" i="1"/>
  <c r="A82" i="1" l="1"/>
  <c r="B82" i="1" s="1"/>
  <c r="D81" i="1"/>
  <c r="A83" i="1" l="1"/>
  <c r="B83" i="1" s="1"/>
  <c r="D82" i="1"/>
  <c r="A84" i="1" l="1"/>
  <c r="B84" i="1" s="1"/>
  <c r="D83" i="1"/>
  <c r="A85" i="1" l="1"/>
  <c r="B85" i="1" s="1"/>
  <c r="D84" i="1"/>
  <c r="A86" i="1" l="1"/>
  <c r="B86" i="1" s="1"/>
  <c r="D85" i="1"/>
  <c r="A87" i="1" l="1"/>
  <c r="B87" i="1" s="1"/>
  <c r="D86" i="1"/>
  <c r="A88" i="1" l="1"/>
  <c r="B88" i="1" s="1"/>
  <c r="D87" i="1"/>
  <c r="A89" i="1" l="1"/>
  <c r="B89" i="1" s="1"/>
  <c r="D88" i="1"/>
  <c r="A90" i="1" l="1"/>
  <c r="B90" i="1" s="1"/>
  <c r="D89" i="1"/>
  <c r="A91" i="1" l="1"/>
  <c r="B91" i="1" s="1"/>
  <c r="D90" i="1"/>
  <c r="A92" i="1" l="1"/>
  <c r="B92" i="1" s="1"/>
  <c r="D91" i="1"/>
  <c r="A93" i="1" l="1"/>
  <c r="B93" i="1" s="1"/>
  <c r="D92" i="1"/>
  <c r="A94" i="1" l="1"/>
  <c r="B94" i="1" s="1"/>
  <c r="D93" i="1"/>
  <c r="A95" i="1" l="1"/>
  <c r="B95" i="1" s="1"/>
  <c r="D94" i="1"/>
  <c r="A96" i="1" l="1"/>
  <c r="B96" i="1" s="1"/>
  <c r="D95" i="1"/>
  <c r="A97" i="1" l="1"/>
  <c r="B97" i="1" s="1"/>
  <c r="D96" i="1"/>
  <c r="A98" i="1" l="1"/>
  <c r="B98" i="1" s="1"/>
  <c r="D97" i="1"/>
  <c r="A99" i="1" l="1"/>
  <c r="B99" i="1" s="1"/>
  <c r="D98" i="1"/>
  <c r="A100" i="1" l="1"/>
  <c r="B100" i="1" s="1"/>
  <c r="D99" i="1"/>
  <c r="A101" i="1" l="1"/>
  <c r="B101" i="1" s="1"/>
  <c r="D100" i="1"/>
  <c r="A102" i="1" l="1"/>
  <c r="B102" i="1" s="1"/>
  <c r="D101" i="1"/>
  <c r="A103" i="1" l="1"/>
  <c r="B103" i="1" s="1"/>
  <c r="D102" i="1"/>
  <c r="A104" i="1" l="1"/>
  <c r="B104" i="1" s="1"/>
  <c r="D103" i="1"/>
  <c r="A105" i="1" l="1"/>
  <c r="B105" i="1" s="1"/>
  <c r="D104" i="1"/>
  <c r="A106" i="1" l="1"/>
  <c r="B106" i="1" s="1"/>
  <c r="D105" i="1"/>
  <c r="A107" i="1" l="1"/>
  <c r="B107" i="1" s="1"/>
  <c r="D106" i="1"/>
  <c r="A108" i="1" l="1"/>
  <c r="B108" i="1" s="1"/>
  <c r="D107" i="1"/>
  <c r="A109" i="1" l="1"/>
  <c r="B109" i="1" s="1"/>
  <c r="D108" i="1"/>
  <c r="A110" i="1" l="1"/>
  <c r="B110" i="1" s="1"/>
  <c r="D109" i="1"/>
  <c r="A111" i="1" l="1"/>
  <c r="B111" i="1" s="1"/>
  <c r="D110" i="1"/>
  <c r="A112" i="1" l="1"/>
  <c r="B112" i="1" s="1"/>
  <c r="D111" i="1"/>
  <c r="A113" i="1" l="1"/>
  <c r="B113" i="1" s="1"/>
  <c r="D112" i="1"/>
  <c r="A114" i="1" l="1"/>
  <c r="B114" i="1" s="1"/>
  <c r="D113" i="1"/>
  <c r="A115" i="1" l="1"/>
  <c r="B115" i="1" s="1"/>
  <c r="D114" i="1"/>
  <c r="A116" i="1" l="1"/>
  <c r="B116" i="1" s="1"/>
  <c r="D115" i="1"/>
  <c r="A117" i="1" l="1"/>
  <c r="B117" i="1" s="1"/>
  <c r="D116" i="1"/>
  <c r="A118" i="1" l="1"/>
  <c r="B118" i="1" s="1"/>
  <c r="D117" i="1"/>
  <c r="A119" i="1" l="1"/>
  <c r="B119" i="1" s="1"/>
  <c r="D118" i="1"/>
  <c r="A120" i="1" l="1"/>
  <c r="B120" i="1" s="1"/>
  <c r="D119" i="1"/>
  <c r="A121" i="1" l="1"/>
  <c r="B121" i="1" s="1"/>
  <c r="D120" i="1"/>
  <c r="A122" i="1" l="1"/>
  <c r="B122" i="1" s="1"/>
  <c r="D121" i="1"/>
  <c r="A123" i="1" l="1"/>
  <c r="B123" i="1" s="1"/>
  <c r="D122" i="1"/>
  <c r="A124" i="1" l="1"/>
  <c r="B124" i="1" s="1"/>
  <c r="D123" i="1"/>
  <c r="A125" i="1" l="1"/>
  <c r="B125" i="1" s="1"/>
  <c r="D124" i="1"/>
  <c r="A126" i="1" l="1"/>
  <c r="B126" i="1" s="1"/>
  <c r="D125" i="1"/>
  <c r="A127" i="1" l="1"/>
  <c r="B127" i="1" s="1"/>
  <c r="D126" i="1"/>
  <c r="A128" i="1" l="1"/>
  <c r="B128" i="1" s="1"/>
  <c r="D127" i="1"/>
  <c r="A129" i="1" l="1"/>
  <c r="B129" i="1" s="1"/>
  <c r="D128" i="1"/>
  <c r="A130" i="1" l="1"/>
  <c r="B130" i="1" s="1"/>
  <c r="D129" i="1"/>
  <c r="A131" i="1" l="1"/>
  <c r="B131" i="1" s="1"/>
  <c r="D130" i="1"/>
  <c r="A132" i="1" l="1"/>
  <c r="B132" i="1" s="1"/>
  <c r="D131" i="1"/>
  <c r="A133" i="1" l="1"/>
  <c r="B133" i="1" s="1"/>
  <c r="D132" i="1"/>
  <c r="A134" i="1" l="1"/>
  <c r="B134" i="1" s="1"/>
  <c r="D133" i="1"/>
  <c r="A135" i="1" l="1"/>
  <c r="B135" i="1" s="1"/>
  <c r="D134" i="1"/>
  <c r="A136" i="1" l="1"/>
  <c r="B136" i="1" s="1"/>
  <c r="D135" i="1"/>
  <c r="A137" i="1" l="1"/>
  <c r="B137" i="1" s="1"/>
  <c r="D136" i="1"/>
  <c r="A138" i="1" l="1"/>
  <c r="B138" i="1" s="1"/>
  <c r="D137" i="1"/>
  <c r="A139" i="1" l="1"/>
  <c r="B139" i="1" s="1"/>
  <c r="D138" i="1"/>
  <c r="A140" i="1" l="1"/>
  <c r="B140" i="1" s="1"/>
  <c r="D139" i="1"/>
  <c r="A141" i="1" l="1"/>
  <c r="B141" i="1" s="1"/>
  <c r="D140" i="1"/>
  <c r="A142" i="1" l="1"/>
  <c r="B142" i="1" s="1"/>
  <c r="D141" i="1"/>
  <c r="A143" i="1" l="1"/>
  <c r="B143" i="1" s="1"/>
  <c r="D142" i="1"/>
  <c r="A144" i="1" l="1"/>
  <c r="B144" i="1" s="1"/>
  <c r="D143" i="1"/>
  <c r="A145" i="1" l="1"/>
  <c r="B145" i="1" s="1"/>
  <c r="D144" i="1"/>
  <c r="A146" i="1" l="1"/>
  <c r="B146" i="1" s="1"/>
  <c r="D145" i="1"/>
  <c r="A147" i="1" l="1"/>
  <c r="B147" i="1" s="1"/>
  <c r="D146" i="1"/>
  <c r="A148" i="1" l="1"/>
  <c r="B148" i="1" s="1"/>
  <c r="D147" i="1"/>
  <c r="A149" i="1" l="1"/>
  <c r="B149" i="1" s="1"/>
  <c r="D148" i="1"/>
  <c r="A150" i="1" l="1"/>
  <c r="B150" i="1" s="1"/>
  <c r="D149" i="1"/>
  <c r="A151" i="1" l="1"/>
  <c r="B151" i="1" s="1"/>
  <c r="D150" i="1"/>
  <c r="A152" i="1" l="1"/>
  <c r="B152" i="1" s="1"/>
  <c r="D151" i="1"/>
  <c r="A153" i="1" l="1"/>
  <c r="B153" i="1" s="1"/>
  <c r="D152" i="1"/>
  <c r="A154" i="1" l="1"/>
  <c r="B154" i="1" s="1"/>
  <c r="D153" i="1"/>
  <c r="A155" i="1" l="1"/>
  <c r="B155" i="1" s="1"/>
  <c r="D154" i="1"/>
  <c r="A156" i="1" l="1"/>
  <c r="B156" i="1" s="1"/>
  <c r="D155" i="1"/>
  <c r="A157" i="1" l="1"/>
  <c r="B157" i="1" s="1"/>
  <c r="D156" i="1"/>
  <c r="A158" i="1" l="1"/>
  <c r="B158" i="1" s="1"/>
  <c r="D157" i="1"/>
  <c r="A159" i="1" l="1"/>
  <c r="B159" i="1" s="1"/>
  <c r="D158" i="1"/>
  <c r="A160" i="1" l="1"/>
  <c r="B160" i="1" s="1"/>
  <c r="D159" i="1"/>
  <c r="A161" i="1" l="1"/>
  <c r="B161" i="1" s="1"/>
  <c r="D160" i="1"/>
  <c r="A162" i="1" l="1"/>
  <c r="B162" i="1" s="1"/>
  <c r="D161" i="1"/>
  <c r="A163" i="1" l="1"/>
  <c r="B163" i="1" s="1"/>
  <c r="D162" i="1"/>
  <c r="A164" i="1" l="1"/>
  <c r="B164" i="1" s="1"/>
  <c r="D163" i="1"/>
  <c r="A165" i="1" l="1"/>
  <c r="B165" i="1" s="1"/>
  <c r="D164" i="1"/>
  <c r="A166" i="1" l="1"/>
  <c r="B166" i="1" s="1"/>
  <c r="D165" i="1"/>
  <c r="A167" i="1" l="1"/>
  <c r="B167" i="1" s="1"/>
  <c r="D166" i="1"/>
  <c r="A168" i="1" l="1"/>
  <c r="B168" i="1" s="1"/>
  <c r="D167" i="1"/>
  <c r="A169" i="1" l="1"/>
  <c r="B169" i="1" s="1"/>
  <c r="D168" i="1"/>
  <c r="A170" i="1" l="1"/>
  <c r="B170" i="1" s="1"/>
  <c r="D169" i="1"/>
  <c r="A171" i="1" l="1"/>
  <c r="B171" i="1" s="1"/>
  <c r="D170" i="1"/>
  <c r="A172" i="1" l="1"/>
  <c r="B172" i="1" s="1"/>
  <c r="D171" i="1"/>
  <c r="A173" i="1" l="1"/>
  <c r="B173" i="1" s="1"/>
  <c r="D172" i="1"/>
  <c r="A174" i="1" l="1"/>
  <c r="B174" i="1" s="1"/>
  <c r="D173" i="1"/>
  <c r="A175" i="1" l="1"/>
  <c r="B175" i="1" s="1"/>
  <c r="D174" i="1"/>
  <c r="A176" i="1" l="1"/>
  <c r="B176" i="1" s="1"/>
  <c r="D175" i="1"/>
  <c r="A177" i="1" l="1"/>
  <c r="B177" i="1" s="1"/>
  <c r="D176" i="1"/>
  <c r="A178" i="1" l="1"/>
  <c r="B178" i="1" s="1"/>
  <c r="D177" i="1"/>
  <c r="A179" i="1" l="1"/>
  <c r="B179" i="1" s="1"/>
  <c r="D178" i="1"/>
  <c r="A180" i="1" l="1"/>
  <c r="B180" i="1" s="1"/>
  <c r="D179" i="1"/>
  <c r="A181" i="1" l="1"/>
  <c r="B181" i="1" s="1"/>
  <c r="D180" i="1"/>
  <c r="A182" i="1" l="1"/>
  <c r="B182" i="1" s="1"/>
  <c r="D181" i="1"/>
  <c r="A183" i="1" l="1"/>
  <c r="B183" i="1" s="1"/>
  <c r="D182" i="1"/>
  <c r="A184" i="1" l="1"/>
  <c r="B184" i="1" s="1"/>
  <c r="D183" i="1"/>
  <c r="A185" i="1" l="1"/>
  <c r="B185" i="1" s="1"/>
  <c r="D184" i="1"/>
  <c r="A186" i="1" l="1"/>
  <c r="B186" i="1" s="1"/>
  <c r="D185" i="1"/>
  <c r="A187" i="1" l="1"/>
  <c r="B187" i="1" s="1"/>
  <c r="D186" i="1"/>
  <c r="A188" i="1" l="1"/>
  <c r="B188" i="1" s="1"/>
  <c r="D187" i="1"/>
  <c r="A189" i="1" l="1"/>
  <c r="B189" i="1" s="1"/>
  <c r="D188" i="1"/>
  <c r="A190" i="1" l="1"/>
  <c r="B190" i="1" s="1"/>
  <c r="D189" i="1"/>
  <c r="A191" i="1" l="1"/>
  <c r="B191" i="1" s="1"/>
  <c r="D190" i="1"/>
  <c r="A192" i="1" l="1"/>
  <c r="B192" i="1" s="1"/>
  <c r="D191" i="1"/>
  <c r="A193" i="1" l="1"/>
  <c r="B193" i="1" s="1"/>
  <c r="D192" i="1"/>
  <c r="A194" i="1" l="1"/>
  <c r="B194" i="1" s="1"/>
  <c r="D193" i="1"/>
  <c r="A195" i="1" l="1"/>
  <c r="B195" i="1" s="1"/>
  <c r="D194" i="1"/>
  <c r="A196" i="1" l="1"/>
  <c r="B196" i="1" s="1"/>
  <c r="D195" i="1"/>
  <c r="A197" i="1" l="1"/>
  <c r="B197" i="1" s="1"/>
  <c r="D196" i="1"/>
  <c r="A198" i="1" l="1"/>
  <c r="B198" i="1" s="1"/>
  <c r="D197" i="1"/>
  <c r="A199" i="1" l="1"/>
  <c r="B199" i="1" s="1"/>
  <c r="D198" i="1"/>
  <c r="A200" i="1" l="1"/>
  <c r="D199" i="1"/>
  <c r="A201" i="1" l="1"/>
  <c r="B200" i="1"/>
  <c r="D200" i="1"/>
  <c r="B201" i="1" l="1"/>
  <c r="D201" i="1"/>
</calcChain>
</file>

<file path=xl/sharedStrings.xml><?xml version="1.0" encoding="utf-8"?>
<sst xmlns="http://schemas.openxmlformats.org/spreadsheetml/2006/main" count="35123" uniqueCount="10281">
  <si>
    <t>IdCliente</t>
  </si>
  <si>
    <t>Nombre</t>
  </si>
  <si>
    <t>Mensaje</t>
  </si>
  <si>
    <t>Celular</t>
  </si>
  <si>
    <t xml:space="preserve"> </t>
  </si>
  <si>
    <t xml:space="preserve">celda regla </t>
  </si>
  <si>
    <t>saludo y nombre</t>
  </si>
  <si>
    <t>Te esperamos en nuestro WEBINAR y actualiza tus conocimientos para el abordaje clínico de tus pacientes con acné ✨</t>
  </si>
  <si>
    <t>¡Registrate y logralo ahora! 📲 http://bit.ly/3EHYv4j</t>
  </si>
  <si>
    <t>MENDOZA</t>
  </si>
  <si>
    <t>GARCIA</t>
  </si>
  <si>
    <t>HERNANDEZ</t>
  </si>
  <si>
    <t>BOLAÑOS</t>
  </si>
  <si>
    <t>LUMBI</t>
  </si>
  <si>
    <t>GONZALEZ</t>
  </si>
  <si>
    <t>LOPEZ</t>
  </si>
  <si>
    <t>MORAGA</t>
  </si>
  <si>
    <t>LUQUEZ</t>
  </si>
  <si>
    <t>ALVARADO</t>
  </si>
  <si>
    <t>ZARATE</t>
  </si>
  <si>
    <t>NEY</t>
  </si>
  <si>
    <t>ROQUE</t>
  </si>
  <si>
    <t>CASTELLON</t>
  </si>
  <si>
    <t>LARGAESPADA</t>
  </si>
  <si>
    <t>PEREZ</t>
  </si>
  <si>
    <t>ULLOA</t>
  </si>
  <si>
    <t>CAJINA</t>
  </si>
  <si>
    <t>MONTALVAN</t>
  </si>
  <si>
    <t>BLANCO</t>
  </si>
  <si>
    <t>ORTEGA</t>
  </si>
  <si>
    <t>PILARTE</t>
  </si>
  <si>
    <t>TALAVERA</t>
  </si>
  <si>
    <t>CRUZ</t>
  </si>
  <si>
    <t>MARQUEZ</t>
  </si>
  <si>
    <t>VARGAS</t>
  </si>
  <si>
    <t>ABURTO</t>
  </si>
  <si>
    <t>ZEAS</t>
  </si>
  <si>
    <t>MONTIEL</t>
  </si>
  <si>
    <t>RAMIREZ</t>
  </si>
  <si>
    <t>BALDELOMAR</t>
  </si>
  <si>
    <t>ARANA</t>
  </si>
  <si>
    <t>ROMERO</t>
  </si>
  <si>
    <t>ACOSTA</t>
  </si>
  <si>
    <t>GOMEZ</t>
  </si>
  <si>
    <t>MARTINEZ</t>
  </si>
  <si>
    <t>MEDRANO</t>
  </si>
  <si>
    <t>FEDRICK</t>
  </si>
  <si>
    <t>WOO</t>
  </si>
  <si>
    <t>VELASQUEZ</t>
  </si>
  <si>
    <t>ROCHA</t>
  </si>
  <si>
    <t>SOMARRIBA</t>
  </si>
  <si>
    <t>GUEVARA</t>
  </si>
  <si>
    <t>VASQUEZ</t>
  </si>
  <si>
    <t>MAYORGA</t>
  </si>
  <si>
    <t>GAITAN</t>
  </si>
  <si>
    <t>SUAREZ</t>
  </si>
  <si>
    <t>MIRANDA</t>
  </si>
  <si>
    <t>ARANSIBIA</t>
  </si>
  <si>
    <t>FLORES</t>
  </si>
  <si>
    <t>SOLARI</t>
  </si>
  <si>
    <t>MENDIETA</t>
  </si>
  <si>
    <t>AMPIE</t>
  </si>
  <si>
    <t>ESTAY</t>
  </si>
  <si>
    <t>MOLINA</t>
  </si>
  <si>
    <t>SANDOVAL</t>
  </si>
  <si>
    <t>MATUS</t>
  </si>
  <si>
    <t>RASKOSKY</t>
  </si>
  <si>
    <t>MAROTZKE</t>
  </si>
  <si>
    <t>LOPEZ HARRISON</t>
  </si>
  <si>
    <t>VALLADARES</t>
  </si>
  <si>
    <t>GALEANO</t>
  </si>
  <si>
    <t>PORRAS</t>
  </si>
  <si>
    <t>ZELAYA</t>
  </si>
  <si>
    <t>ALTAMIRANO</t>
  </si>
  <si>
    <t>REYES</t>
  </si>
  <si>
    <t>VANEGAS</t>
  </si>
  <si>
    <t>UBEDA</t>
  </si>
  <si>
    <t>CANALES</t>
  </si>
  <si>
    <t>PALMA</t>
  </si>
  <si>
    <t>OBANDO</t>
  </si>
  <si>
    <t>CALERO</t>
  </si>
  <si>
    <t>URIARTE</t>
  </si>
  <si>
    <t>MORALES</t>
  </si>
  <si>
    <t>DE TRINIDAD</t>
  </si>
  <si>
    <t>RUIZ</t>
  </si>
  <si>
    <t>JARQUIN</t>
  </si>
  <si>
    <t>URBINA</t>
  </si>
  <si>
    <t>ARROLIGA</t>
  </si>
  <si>
    <t>DAVILA</t>
  </si>
  <si>
    <t>PLAZAOLA</t>
  </si>
  <si>
    <t>SANCHEZ</t>
  </si>
  <si>
    <t>DIAZ</t>
  </si>
  <si>
    <t>CEDEÑO</t>
  </si>
  <si>
    <t>VALDIVIA</t>
  </si>
  <si>
    <t>PASTRANA</t>
  </si>
  <si>
    <t>BARRETO</t>
  </si>
  <si>
    <t>LORÍO</t>
  </si>
  <si>
    <t>GALÁN</t>
  </si>
  <si>
    <t>CHAVARRIA</t>
  </si>
  <si>
    <t>VALLE</t>
  </si>
  <si>
    <t>CASTILLO</t>
  </si>
  <si>
    <t>AVENDAÑO</t>
  </si>
  <si>
    <t>VALLEJOS</t>
  </si>
  <si>
    <t>NEVARES</t>
  </si>
  <si>
    <t>MEDINA</t>
  </si>
  <si>
    <t>ROJAS</t>
  </si>
  <si>
    <t>DARCE</t>
  </si>
  <si>
    <t>HURTADO</t>
  </si>
  <si>
    <t>BERRIOS</t>
  </si>
  <si>
    <t>ORTIZ</t>
  </si>
  <si>
    <t>ZUNIGA</t>
  </si>
  <si>
    <t>SOLIS</t>
  </si>
  <si>
    <t>BALTODANO</t>
  </si>
  <si>
    <t>SILVA</t>
  </si>
  <si>
    <t>SALINAS</t>
  </si>
  <si>
    <t>NAVARRO</t>
  </si>
  <si>
    <t>CENTENO</t>
  </si>
  <si>
    <t>DUARTE</t>
  </si>
  <si>
    <t>MURILLO</t>
  </si>
  <si>
    <t>RODAS</t>
  </si>
  <si>
    <t>BALDIZON</t>
  </si>
  <si>
    <t>NARVAEZ</t>
  </si>
  <si>
    <t>ESCOBAR</t>
  </si>
  <si>
    <t>BACA</t>
  </si>
  <si>
    <t>SERRA</t>
  </si>
  <si>
    <t>CACERES</t>
  </si>
  <si>
    <t>SALGADO</t>
  </si>
  <si>
    <t>PAGUAGA</t>
  </si>
  <si>
    <t>YURITZZA</t>
  </si>
  <si>
    <t>PICADO</t>
  </si>
  <si>
    <t>MEJIA</t>
  </si>
  <si>
    <t>LANUZA</t>
  </si>
  <si>
    <t>TORRES</t>
  </si>
  <si>
    <t>CARAZO</t>
  </si>
  <si>
    <t>BELLANGER</t>
  </si>
  <si>
    <t>CASTILLA</t>
  </si>
  <si>
    <t>TREJOS</t>
  </si>
  <si>
    <t>MORRAZ</t>
  </si>
  <si>
    <t>VIVAS</t>
  </si>
  <si>
    <t>TICAY</t>
  </si>
  <si>
    <t>VEGA</t>
  </si>
  <si>
    <t>AGUILAR</t>
  </si>
  <si>
    <t>ROBLETO</t>
  </si>
  <si>
    <t>LOZANO</t>
  </si>
  <si>
    <t>SOBALVARRO</t>
  </si>
  <si>
    <t>BELLO</t>
  </si>
  <si>
    <t>TOLEDO</t>
  </si>
  <si>
    <t>FARGAS</t>
  </si>
  <si>
    <t>LACAYO</t>
  </si>
  <si>
    <t>ZAMORA</t>
  </si>
  <si>
    <t>JOSEPH</t>
  </si>
  <si>
    <t>ZELEDON</t>
  </si>
  <si>
    <t>CARRASCO</t>
  </si>
  <si>
    <t>LLANES</t>
  </si>
  <si>
    <t>SALCEDO</t>
  </si>
  <si>
    <t>TRAVERS</t>
  </si>
  <si>
    <t>ROBLES</t>
  </si>
  <si>
    <t>BURGOS</t>
  </si>
  <si>
    <t>TORREZ</t>
  </si>
  <si>
    <t>BLANDON</t>
  </si>
  <si>
    <t>NOVOA</t>
  </si>
  <si>
    <t>RUPILIUS</t>
  </si>
  <si>
    <t>SABALLO</t>
  </si>
  <si>
    <t>CASTRO</t>
  </si>
  <si>
    <t>RIOS</t>
  </si>
  <si>
    <t>SALAZAR</t>
  </si>
  <si>
    <t>NUÑEZ</t>
  </si>
  <si>
    <t>MERLO</t>
  </si>
  <si>
    <t>ALANIZ</t>
  </si>
  <si>
    <t>GRANADO</t>
  </si>
  <si>
    <t>LANZAS</t>
  </si>
  <si>
    <t>GUTIERREZ</t>
  </si>
  <si>
    <t>MC.CREA</t>
  </si>
  <si>
    <t>CARRION</t>
  </si>
  <si>
    <t>ARAUZ</t>
  </si>
  <si>
    <t>TERCERO</t>
  </si>
  <si>
    <t>LEON</t>
  </si>
  <si>
    <t>LEIVA</t>
  </si>
  <si>
    <t>BENITEZ</t>
  </si>
  <si>
    <t>HERRERA</t>
  </si>
  <si>
    <t>ARAGON</t>
  </si>
  <si>
    <t>ESCOTO</t>
  </si>
  <si>
    <t>RUGAMA</t>
  </si>
  <si>
    <t>SACASA</t>
  </si>
  <si>
    <t>PAUTH</t>
  </si>
  <si>
    <t>RODRIGUEZ</t>
  </si>
  <si>
    <t>RIVAS</t>
  </si>
  <si>
    <t>PINEDA</t>
  </si>
  <si>
    <t>QUINTERO</t>
  </si>
  <si>
    <t>CONTRERAS</t>
  </si>
  <si>
    <t>OMIER</t>
  </si>
  <si>
    <t>RUEDA</t>
  </si>
  <si>
    <t>SILES</t>
  </si>
  <si>
    <t>MOYA</t>
  </si>
  <si>
    <t>ALEMAN</t>
  </si>
  <si>
    <t>VIDEA</t>
  </si>
  <si>
    <t>ALFARO</t>
  </si>
  <si>
    <t>MUNGUIA</t>
  </si>
  <si>
    <t>RIVERA</t>
  </si>
  <si>
    <t>CHEVEZ</t>
  </si>
  <si>
    <t>FERRERA</t>
  </si>
  <si>
    <t>PALACIOS</t>
  </si>
  <si>
    <t>MONDRAGON</t>
  </si>
  <si>
    <t>MENDEZ</t>
  </si>
  <si>
    <t>CARBALLO</t>
  </si>
  <si>
    <t>PERES</t>
  </si>
  <si>
    <t>CUADRA</t>
  </si>
  <si>
    <t>CHAVEZ</t>
  </si>
  <si>
    <t>OLLA</t>
  </si>
  <si>
    <t>DIPP</t>
  </si>
  <si>
    <t>ANTON</t>
  </si>
  <si>
    <t>SOZA</t>
  </si>
  <si>
    <t>COREA</t>
  </si>
  <si>
    <t>ARGEÑAL</t>
  </si>
  <si>
    <t>LINARTE</t>
  </si>
  <si>
    <t>AMAYA</t>
  </si>
  <si>
    <t>BOJORGE</t>
  </si>
  <si>
    <t>DE LA CRUZ</t>
  </si>
  <si>
    <t>MEZA</t>
  </si>
  <si>
    <t>HUETE</t>
  </si>
  <si>
    <t>SEGURA</t>
  </si>
  <si>
    <t>SERRANO</t>
  </si>
  <si>
    <t>ZAPATA</t>
  </si>
  <si>
    <t>LOAISIGA</t>
  </si>
  <si>
    <t>VEGAS</t>
  </si>
  <si>
    <t>ESTRADA</t>
  </si>
  <si>
    <t>PONCE</t>
  </si>
  <si>
    <t>UMANZOR</t>
  </si>
  <si>
    <t>MELENDEZ</t>
  </si>
  <si>
    <t>HALFTERMEYER</t>
  </si>
  <si>
    <t>BRENES</t>
  </si>
  <si>
    <t>NAVAS</t>
  </si>
  <si>
    <t>CAMPOS</t>
  </si>
  <si>
    <t>ESQUIVEL</t>
  </si>
  <si>
    <t>BALMACEDA</t>
  </si>
  <si>
    <t>ESPINOZA</t>
  </si>
  <si>
    <t>TRUJILLO</t>
  </si>
  <si>
    <t>KAUFFMAN</t>
  </si>
  <si>
    <t>CANTARERO</t>
  </si>
  <si>
    <t>VILCHEZ</t>
  </si>
  <si>
    <t>ALEGRE</t>
  </si>
  <si>
    <t>CORREA</t>
  </si>
  <si>
    <t>JAIME</t>
  </si>
  <si>
    <t>JOSE</t>
  </si>
  <si>
    <t>LÓPEZ</t>
  </si>
  <si>
    <t>ROSELL</t>
  </si>
  <si>
    <t>BUSTOS</t>
  </si>
  <si>
    <t>RAMOS</t>
  </si>
  <si>
    <t>ARDON</t>
  </si>
  <si>
    <t>LEYMAN</t>
  </si>
  <si>
    <t>MERCADO</t>
  </si>
  <si>
    <t>BLAS</t>
  </si>
  <si>
    <t>TINOCO</t>
  </si>
  <si>
    <t>BETANCO</t>
  </si>
  <si>
    <t>OROZCO</t>
  </si>
  <si>
    <t>AGUIRRE</t>
  </si>
  <si>
    <t>PRAVIA</t>
  </si>
  <si>
    <t>MONTOYA</t>
  </si>
  <si>
    <t>ZAVALA</t>
  </si>
  <si>
    <t>GAMBOA</t>
  </si>
  <si>
    <t>CARRANZA</t>
  </si>
  <si>
    <t>ACEVEDO</t>
  </si>
  <si>
    <t>PADILLA</t>
  </si>
  <si>
    <t>ROSS</t>
  </si>
  <si>
    <t>ZEPEDA</t>
  </si>
  <si>
    <t>ALGUERA</t>
  </si>
  <si>
    <t>CONRADO</t>
  </si>
  <si>
    <t>sandino</t>
  </si>
  <si>
    <t>LAZO</t>
  </si>
  <si>
    <t>KIM</t>
  </si>
  <si>
    <t>CALIZ</t>
  </si>
  <si>
    <t>ARGUELLO</t>
  </si>
  <si>
    <t>BETANCURT</t>
  </si>
  <si>
    <t>BORDAS</t>
  </si>
  <si>
    <t>TELLEZ</t>
  </si>
  <si>
    <t>GUERRERO</t>
  </si>
  <si>
    <t>NAVARRETE</t>
  </si>
  <si>
    <t>LAINEZ</t>
  </si>
  <si>
    <t>GALLO</t>
  </si>
  <si>
    <t>MOJICA</t>
  </si>
  <si>
    <t>SEVILLA</t>
  </si>
  <si>
    <t>AMADOR</t>
  </si>
  <si>
    <t>MONTENEGRO</t>
  </si>
  <si>
    <t>PATTERSON</t>
  </si>
  <si>
    <t>VALDEZ</t>
  </si>
  <si>
    <t>GUADAMUZ</t>
  </si>
  <si>
    <t>OCAMPO</t>
  </si>
  <si>
    <t>BRAVO</t>
  </si>
  <si>
    <t>BROWN</t>
  </si>
  <si>
    <t>BUSTAMANTE</t>
  </si>
  <si>
    <t>CERNA</t>
  </si>
  <si>
    <t>SAVANY</t>
  </si>
  <si>
    <t>MENESES</t>
  </si>
  <si>
    <t>CERDA</t>
  </si>
  <si>
    <t>BOZA</t>
  </si>
  <si>
    <t>HODGSON</t>
  </si>
  <si>
    <t>BLANDÓN</t>
  </si>
  <si>
    <t>QUEZADA</t>
  </si>
  <si>
    <t>ARTOLA</t>
  </si>
  <si>
    <t>EDWARDS</t>
  </si>
  <si>
    <t>ARBIZU</t>
  </si>
  <si>
    <t>BOGRAN</t>
  </si>
  <si>
    <t>CABALLERO</t>
  </si>
  <si>
    <t>VALERIO</t>
  </si>
  <si>
    <t>AYERDIS</t>
  </si>
  <si>
    <t>KRAMER</t>
  </si>
  <si>
    <t>GRANERA</t>
  </si>
  <si>
    <t>BERGARA</t>
  </si>
  <si>
    <t>SANTANA</t>
  </si>
  <si>
    <t>VALENZUELA</t>
  </si>
  <si>
    <t>ZAMBRANA</t>
  </si>
  <si>
    <t>SANTAMARIA</t>
  </si>
  <si>
    <t>WHITFORD</t>
  </si>
  <si>
    <t>ARÁUZ</t>
  </si>
  <si>
    <t>CARRILLO</t>
  </si>
  <si>
    <t>BERMUDEZ</t>
  </si>
  <si>
    <t>MENECES</t>
  </si>
  <si>
    <t>SAENZ</t>
  </si>
  <si>
    <t>SOLANO</t>
  </si>
  <si>
    <t>MENA</t>
  </si>
  <si>
    <t>LAGUNA</t>
  </si>
  <si>
    <t>CARVAJAL</t>
  </si>
  <si>
    <t>OLIVAS</t>
  </si>
  <si>
    <t>HANSON</t>
  </si>
  <si>
    <t>CHOW</t>
  </si>
  <si>
    <t>OTERO</t>
  </si>
  <si>
    <t>MEMBREÑO</t>
  </si>
  <si>
    <t>MARENCO</t>
  </si>
  <si>
    <t>BALLADARES</t>
  </si>
  <si>
    <t>LUNA</t>
  </si>
  <si>
    <t>BALVERDE</t>
  </si>
  <si>
    <t>ROSALES</t>
  </si>
  <si>
    <t>MONCADA</t>
  </si>
  <si>
    <t>ABELLA</t>
  </si>
  <si>
    <t>AHUMADA</t>
  </si>
  <si>
    <t>LEZAMA</t>
  </si>
  <si>
    <t>BODAN</t>
  </si>
  <si>
    <t>OBREGON</t>
  </si>
  <si>
    <t>TAPIA</t>
  </si>
  <si>
    <t>RENTERIA</t>
  </si>
  <si>
    <t>CANO</t>
  </si>
  <si>
    <t>GUDIEL</t>
  </si>
  <si>
    <t>GARCÍA</t>
  </si>
  <si>
    <t>ORDOÑEZ</t>
  </si>
  <si>
    <t>JUAREZ</t>
  </si>
  <si>
    <t>PAVON</t>
  </si>
  <si>
    <t>GRIJALVA</t>
  </si>
  <si>
    <t>TOVAL</t>
  </si>
  <si>
    <t>SEQUEIRA</t>
  </si>
  <si>
    <t>JIRON</t>
  </si>
  <si>
    <t>ARELLANO</t>
  </si>
  <si>
    <t>NICARAGUA</t>
  </si>
  <si>
    <t>NOGUERA</t>
  </si>
  <si>
    <t>MATUTE</t>
  </si>
  <si>
    <t>ERANTS</t>
  </si>
  <si>
    <t>FITORIA</t>
  </si>
  <si>
    <t>MUÑOZ</t>
  </si>
  <si>
    <t>MELGARA</t>
  </si>
  <si>
    <t>ANDRADES</t>
  </si>
  <si>
    <t>PARAJON</t>
  </si>
  <si>
    <t>CASCO</t>
  </si>
  <si>
    <t>GUILLEN</t>
  </si>
  <si>
    <t>FRANCIS</t>
  </si>
  <si>
    <t>DELGADO</t>
  </si>
  <si>
    <t>JEREZ</t>
  </si>
  <si>
    <t>FUNES</t>
  </si>
  <si>
    <t>HENRIQUEZ</t>
  </si>
  <si>
    <t>SINCLAIR</t>
  </si>
  <si>
    <t>PAIZ</t>
  </si>
  <si>
    <t>PRADO</t>
  </si>
  <si>
    <t>ANDINO</t>
  </si>
  <si>
    <t>COLINDRES</t>
  </si>
  <si>
    <t>FLETE</t>
  </si>
  <si>
    <t>TRAÑA</t>
  </si>
  <si>
    <t>WILSON</t>
  </si>
  <si>
    <t>SALAS</t>
  </si>
  <si>
    <t>PARADA</t>
  </si>
  <si>
    <t>MCNALLY</t>
  </si>
  <si>
    <t>PARRALES</t>
  </si>
  <si>
    <t>FUENTES</t>
  </si>
  <si>
    <t>DOWNS</t>
  </si>
  <si>
    <t>OCON</t>
  </si>
  <si>
    <t>MATAMOROS</t>
  </si>
  <si>
    <t>IBARRA</t>
  </si>
  <si>
    <t>GUERRA</t>
  </si>
  <si>
    <t>MONTES</t>
  </si>
  <si>
    <t>AGUINAGA</t>
  </si>
  <si>
    <t>VANEGA</t>
  </si>
  <si>
    <t>SARAVIA</t>
  </si>
  <si>
    <t>FORNOS</t>
  </si>
  <si>
    <t>PALACIO</t>
  </si>
  <si>
    <t>OCHOA</t>
  </si>
  <si>
    <t>TORUÑO</t>
  </si>
  <si>
    <t>ARAUJO</t>
  </si>
  <si>
    <t>MORA</t>
  </si>
  <si>
    <t>POVEDA</t>
  </si>
  <si>
    <t>PERALTA</t>
  </si>
  <si>
    <t>PARAMO</t>
  </si>
  <si>
    <t>NORORI</t>
  </si>
  <si>
    <t>CORDONERO</t>
  </si>
  <si>
    <t>GUARDADO</t>
  </si>
  <si>
    <t>CARCAMO</t>
  </si>
  <si>
    <t>BARCENAS</t>
  </si>
  <si>
    <t>BELLORIN</t>
  </si>
  <si>
    <t>LIRA</t>
  </si>
  <si>
    <t>SANDINO</t>
  </si>
  <si>
    <t>ICABELCETA</t>
  </si>
  <si>
    <t>BONILLA</t>
  </si>
  <si>
    <t>CUAREZMA</t>
  </si>
  <si>
    <t>ARCEDAS</t>
  </si>
  <si>
    <t>ROSTRAN</t>
  </si>
  <si>
    <t>HUERTA</t>
  </si>
  <si>
    <t>IZAGUIRRE</t>
  </si>
  <si>
    <t>CISNEROS</t>
  </si>
  <si>
    <t>RIZO</t>
  </si>
  <si>
    <t>VALLEZ</t>
  </si>
  <si>
    <t>QUINTANA</t>
  </si>
  <si>
    <t>TALENO</t>
  </si>
  <si>
    <t>BAEZ</t>
  </si>
  <si>
    <t>MORAN</t>
  </si>
  <si>
    <t>BENAVIDES</t>
  </si>
  <si>
    <t>ARCE</t>
  </si>
  <si>
    <t>ARTILES</t>
  </si>
  <si>
    <t>BORGE</t>
  </si>
  <si>
    <t>OROCHENA</t>
  </si>
  <si>
    <t>SCOTT</t>
  </si>
  <si>
    <t>DAMACIO</t>
  </si>
  <si>
    <t>MAIRENA</t>
  </si>
  <si>
    <t>FONSECA</t>
  </si>
  <si>
    <t>SIMONS</t>
  </si>
  <si>
    <t>MORENO</t>
  </si>
  <si>
    <t>TIJERINO</t>
  </si>
  <si>
    <t>LANDERO</t>
  </si>
  <si>
    <t>DE ARMAS</t>
  </si>
  <si>
    <t>COX</t>
  </si>
  <si>
    <t>IGLESIAS</t>
  </si>
  <si>
    <t>MARTÍNEZ</t>
  </si>
  <si>
    <t>CARCACHE</t>
  </si>
  <si>
    <t>ALARCON</t>
  </si>
  <si>
    <t>THOMPSON</t>
  </si>
  <si>
    <t>MIDENCE</t>
  </si>
  <si>
    <t>MOLINARES</t>
  </si>
  <si>
    <t>CHANG</t>
  </si>
  <si>
    <t>BRICEÑO</t>
  </si>
  <si>
    <t>MADRIZ</t>
  </si>
  <si>
    <t>ESCORCIA</t>
  </si>
  <si>
    <t>CANTON</t>
  </si>
  <si>
    <t>PEREIRA</t>
  </si>
  <si>
    <t>ARCIA</t>
  </si>
  <si>
    <t>ATHA</t>
  </si>
  <si>
    <t>CASTELLÓN</t>
  </si>
  <si>
    <t>SORIANO</t>
  </si>
  <si>
    <t>ENRIQUEZ</t>
  </si>
  <si>
    <t>SELVA</t>
  </si>
  <si>
    <t>BUSTILLO</t>
  </si>
  <si>
    <t>PACHECO</t>
  </si>
  <si>
    <t>ALVAREZ</t>
  </si>
  <si>
    <t>ARIAS</t>
  </si>
  <si>
    <t>MADRIGAL</t>
  </si>
  <si>
    <t>QUINTANILLA</t>
  </si>
  <si>
    <t>GUIDO</t>
  </si>
  <si>
    <t>CORRALES</t>
  </si>
  <si>
    <t>AVILES</t>
  </si>
  <si>
    <t>QUIROZ</t>
  </si>
  <si>
    <t>OVIEDO</t>
  </si>
  <si>
    <t>SIRIAS</t>
  </si>
  <si>
    <t>SOLORZANO</t>
  </si>
  <si>
    <t>JIMENEZ</t>
  </si>
  <si>
    <t>ALONSO</t>
  </si>
  <si>
    <t>WONG</t>
  </si>
  <si>
    <t>PANTOJA</t>
  </si>
  <si>
    <t>PICHARDO</t>
  </si>
  <si>
    <t>SARRIA</t>
  </si>
  <si>
    <t>VARELA</t>
  </si>
  <si>
    <t>CALDERON</t>
  </si>
  <si>
    <t>RUBI</t>
  </si>
  <si>
    <t>CAMACHO</t>
  </si>
  <si>
    <t>FAJARDO</t>
  </si>
  <si>
    <t>SUAZO</t>
  </si>
  <si>
    <t>DELGADILLO</t>
  </si>
  <si>
    <t>MARIN</t>
  </si>
  <si>
    <t>CALDERA</t>
  </si>
  <si>
    <t>MARADIAGA</t>
  </si>
  <si>
    <t>VENTURA</t>
  </si>
  <si>
    <t>ROBELO</t>
  </si>
  <si>
    <t>ESCALANTE</t>
  </si>
  <si>
    <t>PIURA</t>
  </si>
  <si>
    <t>URROZ</t>
  </si>
  <si>
    <t>VALVERDE</t>
  </si>
  <si>
    <t>OLIVARES</t>
  </si>
  <si>
    <t>LARA</t>
  </si>
  <si>
    <t>PLATA</t>
  </si>
  <si>
    <t>PEÑALBA</t>
  </si>
  <si>
    <t>GADEA</t>
  </si>
  <si>
    <t>ROMANO</t>
  </si>
  <si>
    <t>PAZ</t>
  </si>
  <si>
    <t>GABINO</t>
  </si>
  <si>
    <t>BRIZUELA</t>
  </si>
  <si>
    <t>CHIONG</t>
  </si>
  <si>
    <t>DEBBE</t>
  </si>
  <si>
    <t>BENAVIDEZ</t>
  </si>
  <si>
    <t>duarte</t>
  </si>
  <si>
    <t>ALCANTARA</t>
  </si>
  <si>
    <t>FIERRO</t>
  </si>
  <si>
    <t>ICABALSETA</t>
  </si>
  <si>
    <t>EXPOSITO</t>
  </si>
  <si>
    <t>LAGOS</t>
  </si>
  <si>
    <t>OSORIO</t>
  </si>
  <si>
    <t>AGUILERA</t>
  </si>
  <si>
    <t>VELARDE</t>
  </si>
  <si>
    <t>WILLIAMS</t>
  </si>
  <si>
    <t>MARCIA</t>
  </si>
  <si>
    <t>LARIOS</t>
  </si>
  <si>
    <t>ELVIR</t>
  </si>
  <si>
    <t>ANDRADE</t>
  </si>
  <si>
    <t>GONZÁLEZ</t>
  </si>
  <si>
    <t>CARRERO</t>
  </si>
  <si>
    <t>FIGUEROA</t>
  </si>
  <si>
    <t>WEIMAR</t>
  </si>
  <si>
    <t>ARAICA</t>
  </si>
  <si>
    <t>GIUSTO</t>
  </si>
  <si>
    <t>FRANCO</t>
  </si>
  <si>
    <t>MOREIRA</t>
  </si>
  <si>
    <t>SAMPSON</t>
  </si>
  <si>
    <t>MEJICANOS</t>
  </si>
  <si>
    <t>VADO</t>
  </si>
  <si>
    <t>FLUTSCH</t>
  </si>
  <si>
    <t>WILLIAMSON</t>
  </si>
  <si>
    <t>FLORIAN</t>
  </si>
  <si>
    <t>UREY</t>
  </si>
  <si>
    <t>CASTRILLO</t>
  </si>
  <si>
    <t>CARDOZA</t>
  </si>
  <si>
    <t>LATINO</t>
  </si>
  <si>
    <t>PASTORA</t>
  </si>
  <si>
    <t>PEÑA</t>
  </si>
  <si>
    <t>ARRUE</t>
  </si>
  <si>
    <t>BACON</t>
  </si>
  <si>
    <t>KELLY</t>
  </si>
  <si>
    <t>ISAGUIRRE</t>
  </si>
  <si>
    <t>ANTÓN</t>
  </si>
  <si>
    <t>PENGLAS</t>
  </si>
  <si>
    <t>LEAL</t>
  </si>
  <si>
    <t>MILLON</t>
  </si>
  <si>
    <t>ALDUVIN</t>
  </si>
  <si>
    <t>MORAZAN</t>
  </si>
  <si>
    <t>CUCALON</t>
  </si>
  <si>
    <t>PORTILLO</t>
  </si>
  <si>
    <t>BELLY</t>
  </si>
  <si>
    <t>NAPAL</t>
  </si>
  <si>
    <t>MACKLIEN</t>
  </si>
  <si>
    <t>GRIJALBA</t>
  </si>
  <si>
    <t>MALTEZ</t>
  </si>
  <si>
    <t>TRIGUERO</t>
  </si>
  <si>
    <t>URIZA</t>
  </si>
  <si>
    <t>MATEY</t>
  </si>
  <si>
    <t>AREVALO</t>
  </si>
  <si>
    <t>BRIONES</t>
  </si>
  <si>
    <t>PUTOY</t>
  </si>
  <si>
    <t>CORDOBA</t>
  </si>
  <si>
    <t>BERGER</t>
  </si>
  <si>
    <t>MALDONADO</t>
  </si>
  <si>
    <t>LEMUZ</t>
  </si>
  <si>
    <t>AMBOTA</t>
  </si>
  <si>
    <t>URRUTIA</t>
  </si>
  <si>
    <t>OPORTA</t>
  </si>
  <si>
    <t>FLETES</t>
  </si>
  <si>
    <t>Columna1</t>
  </si>
  <si>
    <t>CODIGO_SANITARIO</t>
  </si>
  <si>
    <t>GRADO_ACADEMICO</t>
  </si>
  <si>
    <t>TIPO_IDENTIFICACION</t>
  </si>
  <si>
    <t>NUMERO_IDENTIFICACION</t>
  </si>
  <si>
    <t>NSS</t>
  </si>
  <si>
    <t>EDAD</t>
  </si>
  <si>
    <t>Columna3</t>
  </si>
  <si>
    <t>NOMBRE COMPLETO</t>
  </si>
  <si>
    <t>Columna4</t>
  </si>
  <si>
    <t>Columna5</t>
  </si>
  <si>
    <t>PRIMER_NOMBRE</t>
  </si>
  <si>
    <t>SEGUNDO_NOMBRE</t>
  </si>
  <si>
    <t>PRIMER_APELLIDO</t>
  </si>
  <si>
    <t>SEGUNDO_APELLIDO</t>
  </si>
  <si>
    <t>SEXO</t>
  </si>
  <si>
    <t>PAIS_NACIMIENTO</t>
  </si>
  <si>
    <t>FECHA_NACIMIENTO_MINSA</t>
  </si>
  <si>
    <t>FECHA_NACIMIENTO_INSS</t>
  </si>
  <si>
    <t>DEPARTAMENTO_MINSA</t>
  </si>
  <si>
    <t>DEPARTAMENTO_INSS</t>
  </si>
  <si>
    <t>MUNICIPIO_MINSA</t>
  </si>
  <si>
    <t>MUNICIPIO_INSS</t>
  </si>
  <si>
    <t>DIRECCION_MINSA</t>
  </si>
  <si>
    <t>DIRECCION_INSS</t>
  </si>
  <si>
    <t>tel minsa</t>
  </si>
  <si>
    <t>tel inss</t>
  </si>
  <si>
    <t>TITULOS_INSCRITOS</t>
  </si>
  <si>
    <t>GRADO ACADEMICO</t>
  </si>
  <si>
    <t>tel 1</t>
  </si>
  <si>
    <t>tel 2</t>
  </si>
  <si>
    <t>tel 3</t>
  </si>
  <si>
    <t>tel 4</t>
  </si>
  <si>
    <t>tel 5</t>
  </si>
  <si>
    <t>tel 6</t>
  </si>
  <si>
    <t>tel whatapps</t>
  </si>
  <si>
    <t>contar</t>
  </si>
  <si>
    <t>GRUPO EDAD</t>
  </si>
  <si>
    <t>GRUPO 1</t>
  </si>
  <si>
    <t>GRUPO 2</t>
  </si>
  <si>
    <t>GRUPO 3</t>
  </si>
  <si>
    <t>GRUPO 4</t>
  </si>
  <si>
    <t>GRUPO 5</t>
  </si>
  <si>
    <t>GRUPO 6</t>
  </si>
  <si>
    <t>GRUPO 7</t>
  </si>
  <si>
    <t>GRUPO 8</t>
  </si>
  <si>
    <t>Columna2</t>
  </si>
  <si>
    <t>Columna22</t>
  </si>
  <si>
    <t>Columna23</t>
  </si>
  <si>
    <t>Columna24</t>
  </si>
  <si>
    <t>Columna25</t>
  </si>
  <si>
    <t>CORREOS_MINSA</t>
  </si>
  <si>
    <t>CORREOS_INSS</t>
  </si>
  <si>
    <t>C001</t>
  </si>
  <si>
    <t>CEDULA DE IDENTIDAD</t>
  </si>
  <si>
    <t>3610109870001S</t>
  </si>
  <si>
    <t>E003</t>
  </si>
  <si>
    <t>ARLEN JOSEFA AMAYA OPORTA</t>
  </si>
  <si>
    <t>ARLEN</t>
  </si>
  <si>
    <t>JOSEFA</t>
  </si>
  <si>
    <t>FEMENINO</t>
  </si>
  <si>
    <t>MANAGUA</t>
  </si>
  <si>
    <t>DE ROTONDA BELLO HORIZONTE 1C. NORTE,</t>
  </si>
  <si>
    <t>ROTONDA BELLO HORIZONTE 1CUADRA NORTE  NO. EI-39,</t>
  </si>
  <si>
    <t>22499916 86033078</t>
  </si>
  <si>
    <t>DOCTORA EN MEDICINA</t>
  </si>
  <si>
    <t>MEDICO GENERAL</t>
  </si>
  <si>
    <t>ED003</t>
  </si>
  <si>
    <t>arlenamaya@yahoo.es</t>
  </si>
  <si>
    <t>4413108870002T</t>
  </si>
  <si>
    <t>KEIRY SILVIA RIZO MONTES</t>
  </si>
  <si>
    <t>KEIRY</t>
  </si>
  <si>
    <t>SILVIA</t>
  </si>
  <si>
    <t>COMARCA SAN ISIDRO DE BOLA ENTRADA PRINCIPAL 2.5 KM AL SUR</t>
  </si>
  <si>
    <t>PARQUE NACIONAL DE FERIAS 2.5 KILOMETROS  AL SUR</t>
  </si>
  <si>
    <t>22600062 88542050</t>
  </si>
  <si>
    <t>DOCTORA EN MEDICINA Y CIRUGIA</t>
  </si>
  <si>
    <t>katiemontes@hotmail.com</t>
  </si>
  <si>
    <t>katienmontes@hotmail.com</t>
  </si>
  <si>
    <t>2813008870007P</t>
  </si>
  <si>
    <t>GERARDO MANUEL BARRETO RUIZ</t>
  </si>
  <si>
    <t>GERARDO</t>
  </si>
  <si>
    <t>MANUEL</t>
  </si>
  <si>
    <t>MASCULINO</t>
  </si>
  <si>
    <t>LEÓN</t>
  </si>
  <si>
    <t>RPTO FATIMA, FRENTE HOSPITAL SAN VICENTE</t>
  </si>
  <si>
    <t>FRENTE A HOSPITAL SAN VICENTE</t>
  </si>
  <si>
    <t>23112016 84403777</t>
  </si>
  <si>
    <t>DOCTOR EN MEDICINA Y CIRUGIA</t>
  </si>
  <si>
    <t>2413008870001M</t>
  </si>
  <si>
    <t>GILMA JEOVEYRI ORTIZ HERRERA</t>
  </si>
  <si>
    <t>GILMA</t>
  </si>
  <si>
    <t>JEOVEYRI</t>
  </si>
  <si>
    <t>JINOTEGA</t>
  </si>
  <si>
    <t>SAN SEBASTIÁN DE YALÍ</t>
  </si>
  <si>
    <t>SAN SEBASTIAN DE YALI</t>
  </si>
  <si>
    <t>BO. SECTOR NO.2, CASA CURAL 1/2C. AL ESTE</t>
  </si>
  <si>
    <t>DE LA CASA CURAL 1/2 CUADRA AL ESTE</t>
  </si>
  <si>
    <t>gjoh1987@hotmail.com</t>
  </si>
  <si>
    <t>3623008970002S</t>
  </si>
  <si>
    <t>ROSA LISBET MEJIA LEIVA</t>
  </si>
  <si>
    <t>ROSA</t>
  </si>
  <si>
    <t>LISBET</t>
  </si>
  <si>
    <t>BOACO</t>
  </si>
  <si>
    <t>CAMOAPA</t>
  </si>
  <si>
    <t>CAMOAPA BARRIO RIGOBERTO LOPEZ PERESZ PARMALAT 75 VTS AL SUR</t>
  </si>
  <si>
    <t>mejialeivarosalisbet@gmail.com</t>
  </si>
  <si>
    <t>0012808870010T</t>
  </si>
  <si>
    <t>ERIKA LUCIA ARROLIGA OLIVERO</t>
  </si>
  <si>
    <t>ERIKA</t>
  </si>
  <si>
    <t>LUCIA</t>
  </si>
  <si>
    <t>OLIVERO</t>
  </si>
  <si>
    <t>BO. LA FUENTE DE DONDE FUE BILLARES CHANGUELO 1C.E. 1/2C.S.</t>
  </si>
  <si>
    <t>ENTRADA DE LAS COLINAS 4 CUADRA AL ESTE 1/2 CUADRA AL SUR</t>
  </si>
  <si>
    <t>0012808870019D</t>
  </si>
  <si>
    <t>XOCHILTH DE LOS ANGELES JEREZ RAMIREZ</t>
  </si>
  <si>
    <t>XOCHILTH</t>
  </si>
  <si>
    <t>DE LOS ANGELES</t>
  </si>
  <si>
    <t>BO.SAN JUDAS DEL NANCITE 4C .ABAJO. 20VRS AL LAGO</t>
  </si>
  <si>
    <t>NANCITE 4 CUADRAS AL OESTE , 20VRS AL NORTE</t>
  </si>
  <si>
    <t>crisbow87@hotmail.com</t>
  </si>
  <si>
    <t>0012608870019Y</t>
  </si>
  <si>
    <t>MARELYN IVONE MAYORGA HERNANDEZ</t>
  </si>
  <si>
    <t>MARELYN</t>
  </si>
  <si>
    <t>IVONE</t>
  </si>
  <si>
    <t>ESTELI</t>
  </si>
  <si>
    <t>MATEARE</t>
  </si>
  <si>
    <t>MATEARE, KM 17 1/2 CARRETERA NUEVA A LEON CIUDAD EL DORAL CASA K-85</t>
  </si>
  <si>
    <t>LICEO CATOLICO, 1/2C. NORTE.</t>
  </si>
  <si>
    <t>5612608870001T</t>
  </si>
  <si>
    <t>JUSTO OSWALDO GONZALEZ DUARTE</t>
  </si>
  <si>
    <t>JUSTO</t>
  </si>
  <si>
    <t>OSWALDO</t>
  </si>
  <si>
    <t>BO. G.G.L. ERMITA, SAN MARTIN 1 1/2C. ESTE</t>
  </si>
  <si>
    <t>CRUZ ROJA 1/2 C. ARRIBA</t>
  </si>
  <si>
    <t>0812608870014K</t>
  </si>
  <si>
    <t>DINA ESTHER BALDIZON URRUTIA</t>
  </si>
  <si>
    <t>DINA</t>
  </si>
  <si>
    <t>ESTHER</t>
  </si>
  <si>
    <t>CHINANDEGA</t>
  </si>
  <si>
    <t>REPARTO ESTELA ERMITA 25 VARAS AL SUR</t>
  </si>
  <si>
    <t>ERMITA PERPETUO SOCORRO, 1 CUADRA AL SUR, ESQUINA MANO DERECHA, FARMACIA AMIRA</t>
  </si>
  <si>
    <t>23400465, 75113262</t>
  </si>
  <si>
    <t>23400465 75113262</t>
  </si>
  <si>
    <t>dinabaldizon@yahoo.com</t>
  </si>
  <si>
    <t>1612408870002J</t>
  </si>
  <si>
    <t>BETTY CAROLINA CHAVARRIA CASTELLANO</t>
  </si>
  <si>
    <t>BETTY</t>
  </si>
  <si>
    <t>CAROLINA</t>
  </si>
  <si>
    <t>CASTELLANO</t>
  </si>
  <si>
    <t>ESTELÍ</t>
  </si>
  <si>
    <t>BO. CAMILO II, FERR. REYNALDO HDEZ. 3C, E.</t>
  </si>
  <si>
    <t>FERRETERIA REYNALDO HERNANDEZ 3 C ESTE</t>
  </si>
  <si>
    <t>27139834 89188144</t>
  </si>
  <si>
    <t>caritocuba@gmail.com</t>
  </si>
  <si>
    <t>0812308870000N</t>
  </si>
  <si>
    <t>ANIELKA MARIA NAVAS SIRIAS</t>
  </si>
  <si>
    <t>ANIELKA</t>
  </si>
  <si>
    <t>MARIA</t>
  </si>
  <si>
    <t>EL VIEJO</t>
  </si>
  <si>
    <t>BO. EL CALVARIO, CENTRO CATEQUISTICO 225VRS, E.</t>
  </si>
  <si>
    <t>CENTRO CATEQUISTICO, 225 VARAS AL ESTE, MANO DERECHA,CASA NO 2, CONTIGUO ESCUELA RUBEN DARIO.</t>
  </si>
  <si>
    <t>anielnavas99@gmail.com</t>
  </si>
  <si>
    <t>0012108870054B</t>
  </si>
  <si>
    <t>IVETH DE LOS ANGELES AGUILAR AGUIRRE</t>
  </si>
  <si>
    <t>IVETH</t>
  </si>
  <si>
    <t>MASAYA</t>
  </si>
  <si>
    <t>BO. H.Y.M., MONUMENTO LA REFORMA 2C.SUR 1 1/2C.ESTE</t>
  </si>
  <si>
    <t>DEL MONUMENTO LA REFORMA 2C. AL SUR, 1 1/2C. AL ESTE</t>
  </si>
  <si>
    <t>25230257 85286260</t>
  </si>
  <si>
    <t>2012108870001W</t>
  </si>
  <si>
    <t>LUIS EMILIO ESTRADA CORDONERO</t>
  </si>
  <si>
    <t>LUIS</t>
  </si>
  <si>
    <t>EMILIO</t>
  </si>
  <si>
    <t>GRANADA</t>
  </si>
  <si>
    <t>CMCA. CAPULIN 1, KM.40 CARRETERA GRANADA - MASAYA 300 VRS.N</t>
  </si>
  <si>
    <t>CAPULIN NO 2,DEL POSTE DEL  KM 40 300 VARAS AL NORTE CARRETERA A GRANADA,</t>
  </si>
  <si>
    <t>luiscordonero@hotmail.es</t>
  </si>
  <si>
    <t>2812008870003N</t>
  </si>
  <si>
    <t>KARLA PATRICIA DIAZ CASTILLO</t>
  </si>
  <si>
    <t>KARLA</t>
  </si>
  <si>
    <t>PATRICIA</t>
  </si>
  <si>
    <t>TELICA</t>
  </si>
  <si>
    <t>ALCXALDIA 1 C 1/2 NORTE TELICA LEON</t>
  </si>
  <si>
    <t>DONDE FUE ALCALDIA 1 1/2 CUADRA AL NORTE.</t>
  </si>
  <si>
    <t>karlapatriciadiazcastillo@gmail.com</t>
  </si>
  <si>
    <t>2412008870003S</t>
  </si>
  <si>
    <t>DARWIN ELIOVAN MELGARA ZELAYA</t>
  </si>
  <si>
    <t>DARWIN</t>
  </si>
  <si>
    <t>ELIOVAN</t>
  </si>
  <si>
    <t>COL.PEDRO ESTRADA,FRENTE A ESCUELA SIMON BOLIVAR CASA No.23</t>
  </si>
  <si>
    <t>SUPERMERCADO PALI 3 CUADRAS AL ESTE CASA NO.201</t>
  </si>
  <si>
    <t>MEDICO INTEGRAL COMUNITARIO</t>
  </si>
  <si>
    <t>darcronmelg@gmail.com</t>
  </si>
  <si>
    <t>3211808870000B</t>
  </si>
  <si>
    <t>FREDMAN FIDEL SANCHEZ SANCHEZ</t>
  </si>
  <si>
    <t>FREDMAN</t>
  </si>
  <si>
    <t>FIDEL</t>
  </si>
  <si>
    <t>SOMOTO</t>
  </si>
  <si>
    <t>BO. SECTOR # 4, DE ENITEL 4C, N.</t>
  </si>
  <si>
    <t>CLARO 4 CUADRAS AL NORTE</t>
  </si>
  <si>
    <t>0011408870018W</t>
  </si>
  <si>
    <t>MERCEDES YAJAIRA SOZA SEQUEIRA</t>
  </si>
  <si>
    <t>MERCEDES</t>
  </si>
  <si>
    <t>YAJAIRA</t>
  </si>
  <si>
    <t>VE. DORADO  DDF REST. ARAGON 1C AL OESTE, 1C AL NORTE, 75VRS OESTE, CASA Nº D 43</t>
  </si>
  <si>
    <t>ANTIGUO RESTAURANTE ARAGON 1CUADRA ALOESTE, 1CUADRA AL NORTE, 1CUADRA AL OESTE</t>
  </si>
  <si>
    <t>DOCTORA  EN MEDICINA Y CIRUGIA</t>
  </si>
  <si>
    <t>drasozasequeira@gmail.com, morenita_seke@hotmail.com</t>
  </si>
  <si>
    <t>6011108870005L</t>
  </si>
  <si>
    <t>JAZZIE LEYSIE BROWN TATHUM</t>
  </si>
  <si>
    <t>JAZZIE</t>
  </si>
  <si>
    <t>LEYSIE</t>
  </si>
  <si>
    <t>TATHUM</t>
  </si>
  <si>
    <t>RACCS</t>
  </si>
  <si>
    <t>BLUEFIELDS</t>
  </si>
  <si>
    <t>BO. PANCASAN, ASENTO FTE. FAM GARTH</t>
  </si>
  <si>
    <t>25 MTS ESTE DE DONDE ERA PANADERIA DOMINGUEZ</t>
  </si>
  <si>
    <t>2811108870004U</t>
  </si>
  <si>
    <t>GEMA DEL SOCORRO VASQUEZ LOPEZ</t>
  </si>
  <si>
    <t>GEMA</t>
  </si>
  <si>
    <t>DEL SOCORRO</t>
  </si>
  <si>
    <t>EL AYOTE</t>
  </si>
  <si>
    <t>EVANISTERIA HUETE 75 VRS AL ESTE</t>
  </si>
  <si>
    <t>REPARTO WALTER FERRETI, RASTRO MCPAL. 3C.S.½C.AB.</t>
  </si>
  <si>
    <t>6030608870003H</t>
  </si>
  <si>
    <t>MARLON NUÑEZ BELLO</t>
  </si>
  <si>
    <t>MARLON</t>
  </si>
  <si>
    <t>RAMA</t>
  </si>
  <si>
    <t>EL RAMA</t>
  </si>
  <si>
    <t>CMCA. WAPY, CALLE CENTRAL POLICIA NACIONAL 1/2C.O.</t>
  </si>
  <si>
    <t>CONTIGUO A LA POLICIA NACIONAL.</t>
  </si>
  <si>
    <t>DOCTOR EN MEDICINA</t>
  </si>
  <si>
    <t>hp7915859@gmail.com</t>
  </si>
  <si>
    <t>2810508870005H</t>
  </si>
  <si>
    <t>KENIA JAMARA BALVERDE RODRIGUEZ</t>
  </si>
  <si>
    <t>KENIA</t>
  </si>
  <si>
    <t>JAMARA</t>
  </si>
  <si>
    <t>TEUSTEPE</t>
  </si>
  <si>
    <t>BO.  HERNALDO PASQUIER, DE LA IGLESIA CATOLICA 4C AL N.</t>
  </si>
  <si>
    <t>DE LA IGLESIA CATOLICA 4C. AL NORTE</t>
  </si>
  <si>
    <t>kvbalverde1987@gmail.com</t>
  </si>
  <si>
    <t>0010108870014P</t>
  </si>
  <si>
    <t>GICELA NINET OBREGON DOMINGUEZ</t>
  </si>
  <si>
    <t>GICELA</t>
  </si>
  <si>
    <t>NINET</t>
  </si>
  <si>
    <t>DOMINGUEZ</t>
  </si>
  <si>
    <t>BO. SAN JUDAS, DE DONDE FUE MISCELANEA EL NACITE 3C.O.</t>
  </si>
  <si>
    <t>BO. SAN JUDAS, PARADA EL NANCITE 3C O.</t>
  </si>
  <si>
    <t>giceninet@yahoo.es</t>
  </si>
  <si>
    <t>1260108870000X</t>
  </si>
  <si>
    <t>LEYLA CAROLINA GARCIA OROZCO</t>
  </si>
  <si>
    <t>LEYLA</t>
  </si>
  <si>
    <t>BO. OSVALDO MANZANARES, DE UNITEC DE LA MIGUEL GUTIERREZ, 2C. ABAJO, 1 ANDEN AL LAGO, 25VRS. ARRIBA, CASA I-16</t>
  </si>
  <si>
    <t>DE SIDICOMS MIGUEL GUTIERREZ 2 C ABAJO 25 VRS ARRIBA C-16</t>
  </si>
  <si>
    <t>22515753 82252930</t>
  </si>
  <si>
    <t>leylagarcia01@hotmail.es</t>
  </si>
  <si>
    <t>8883107870000J</t>
  </si>
  <si>
    <t>JUAN CARLOS SEQUEIRA GROSS</t>
  </si>
  <si>
    <t>JUAN</t>
  </si>
  <si>
    <t>CARLOS</t>
  </si>
  <si>
    <t>GROSS</t>
  </si>
  <si>
    <t>ALEMANIA</t>
  </si>
  <si>
    <t>RESD. ALTAMIRA D. ESTE, FTE. FARM. 5TA AVENIDA</t>
  </si>
  <si>
    <t>CARRETERA A MASAYA KM 17 RES SIERRAS DORADAS I 13</t>
  </si>
  <si>
    <t>2413007870001F</t>
  </si>
  <si>
    <t>MELANIA ANTONIA CASTILLO VARGAS</t>
  </si>
  <si>
    <t>MELANIA</t>
  </si>
  <si>
    <t>ANTONIA</t>
  </si>
  <si>
    <t>BARRIO LABORIO ADMON 1/2 C. OESTE</t>
  </si>
  <si>
    <t>CLARO 6 CUADRAS AL SUR 75 VARAS OESTE</t>
  </si>
  <si>
    <t>castillomel@hotmail.com</t>
  </si>
  <si>
    <t>0422907870006X</t>
  </si>
  <si>
    <t>LILIBETH DEL SOCORRO RIVERA CASTRO</t>
  </si>
  <si>
    <t>LILIBETH</t>
  </si>
  <si>
    <t>DIRIAMBA</t>
  </si>
  <si>
    <t>BO. EL CEMENTERIO PARQUE CENTRAL 1 1/2C.O.</t>
  </si>
  <si>
    <t>PARQUE CENTRAL 1 1/2 CUADRA AL OESTE.</t>
  </si>
  <si>
    <t>3212907870003W</t>
  </si>
  <si>
    <t>MARJORIE CLARISSA ARÁUZ BETANCO</t>
  </si>
  <si>
    <t>MARJORIE</t>
  </si>
  <si>
    <t>CLARISSA</t>
  </si>
  <si>
    <t>NINDIRI</t>
  </si>
  <si>
    <t>BOSQUES DE CAPISTRAN CASA 214</t>
  </si>
  <si>
    <t>KILOMETRO 14 CARRETERA A MASAYA CASA. N0.214</t>
  </si>
  <si>
    <t>arauzyuri@yahoo.com</t>
  </si>
  <si>
    <t>4012707870000F</t>
  </si>
  <si>
    <t>CARLOS EZEQUIEL JAIME LOPEZ</t>
  </si>
  <si>
    <t>EZEQUIEL</t>
  </si>
  <si>
    <t>BO. MONIMBO, CALVARIO 1/2C.O</t>
  </si>
  <si>
    <t>CALVARITO 1/2 CUADRA AL  OESTE</t>
  </si>
  <si>
    <t>c_2787@hotmail.com</t>
  </si>
  <si>
    <t>2812607870011D</t>
  </si>
  <si>
    <t>ANA MARIA ROJAS DELGADO</t>
  </si>
  <si>
    <t>ANA</t>
  </si>
  <si>
    <t>LAREYNAGA MALPAISILLO CALLE REAL DE TOLAPA COSTADO NORTE DE LA ESCUELA ALFONSO CORTEZ</t>
  </si>
  <si>
    <t>FRENTE BENEFICIO LA CRUZ</t>
  </si>
  <si>
    <t>27822806 82351404</t>
  </si>
  <si>
    <t>rojasdelgadoanamaria21@gmial.com</t>
  </si>
  <si>
    <t>0412207870001K</t>
  </si>
  <si>
    <t>ESCARLETH ANNETH OBREGON MENA</t>
  </si>
  <si>
    <t>ESCARLETH</t>
  </si>
  <si>
    <t>ANNETH</t>
  </si>
  <si>
    <t>JINOTEPE</t>
  </si>
  <si>
    <t>SAN MARCOS</t>
  </si>
  <si>
    <t>RPTO. ALVARO SANCHEZ, CEPAD 1/2C, O. 1C, N.</t>
  </si>
  <si>
    <t>RESIDENCIAL BRISAS DE SAN MARCOS BAR EL TERRENO 2 CUADRAS AL ESTE 1/2 CUADRA AL NORTE</t>
  </si>
  <si>
    <t>0012007870049M</t>
  </si>
  <si>
    <t>AURA ESTELA SERRANO COREA</t>
  </si>
  <si>
    <t>AURA</t>
  </si>
  <si>
    <t>ESTELA</t>
  </si>
  <si>
    <t>CMCA. TICOMO, HOTEL TICOMO 1KM.S.</t>
  </si>
  <si>
    <t>CONSORCIO MEDICO</t>
  </si>
  <si>
    <t>0011907870022F</t>
  </si>
  <si>
    <t>nancy yaoska sandino rivera</t>
  </si>
  <si>
    <t>nancy</t>
  </si>
  <si>
    <t>yaoska</t>
  </si>
  <si>
    <t>rivera</t>
  </si>
  <si>
    <t>bo. hilario sanchez iglesia bethel 200 vrs al sur</t>
  </si>
  <si>
    <t>KILOMETRO 12 CARRETERA SUR, IGLESIA BETHEL 200 VARAS SUR, MANO IZQUIERDA.</t>
  </si>
  <si>
    <t>83329788 88873486</t>
  </si>
  <si>
    <t>0421807870002U</t>
  </si>
  <si>
    <t>MIUREL SUYEN ROBLETO MATUS</t>
  </si>
  <si>
    <t>MIUREL</t>
  </si>
  <si>
    <t>SUYEN</t>
  </si>
  <si>
    <t>DOLORES</t>
  </si>
  <si>
    <t>BO.25 DE JULIO CASA # 18 JINOTEPE CARAZO</t>
  </si>
  <si>
    <t>BO 25 DE JULIO CASA N-18</t>
  </si>
  <si>
    <t>MEDICO GENERAL NATURO ORTOPATICO</t>
  </si>
  <si>
    <t>2881807870002X</t>
  </si>
  <si>
    <t>ANA MARIA RODRIGUEZ MURILLO</t>
  </si>
  <si>
    <t>EL SAUCE</t>
  </si>
  <si>
    <t>CMCA SABANA GRANDE COLEGIO 1KM SUR</t>
  </si>
  <si>
    <t>CONTIGUO A LA FRITANGA NICA, ANDEN G-442, MANO IZQUIERDA</t>
  </si>
  <si>
    <t>84260085 86342413</t>
  </si>
  <si>
    <t>2811807870004D</t>
  </si>
  <si>
    <t>LEONEL ANTONIO SANCHEZ TORREZ</t>
  </si>
  <si>
    <t>LEONEL</t>
  </si>
  <si>
    <t>ANTONIO</t>
  </si>
  <si>
    <t>FUNERARIA BONILLA 3 CUADRAS ABAJO 20 VARAS AL SUR</t>
  </si>
  <si>
    <t>FUNERARIA BONILLA 3 CUADRA AL OESTE 2O VARAS AL SUR</t>
  </si>
  <si>
    <t>89489382 86772626</t>
  </si>
  <si>
    <t>8881707871000Q</t>
  </si>
  <si>
    <t>MARIA JOSE GARCIA MARTINEZ</t>
  </si>
  <si>
    <t>Bo.LOS ANGELES,BANPRO CIUDAD JARDIN 3C.N</t>
  </si>
  <si>
    <t>DEL BANPRO DE CIUDAD JARDIN 3 CUADRAS AL NORTE, CONTIGUO A CANTON NO.1, MANO IZQUIERDA</t>
  </si>
  <si>
    <t>83396707 88560434</t>
  </si>
  <si>
    <t>marigarmart217nic@hotmail.com</t>
  </si>
  <si>
    <t>1611307870005G</t>
  </si>
  <si>
    <t>DAVID ANTONIO RUGAMA RUIZ</t>
  </si>
  <si>
    <t>DAVID</t>
  </si>
  <si>
    <t>BO. ELIAS MONCADA, PORTON PPAL.COLEG. SAN FRANCISCO 1C.N</t>
  </si>
  <si>
    <t>PORTON PRINCIPAL FAREN 1C. AL ESTE, 1/2C. AL NORTE</t>
  </si>
  <si>
    <t>0011207870001S</t>
  </si>
  <si>
    <t>SHARON SELENA VARGAS CRUZ</t>
  </si>
  <si>
    <t>SHARON</t>
  </si>
  <si>
    <t>SELENA</t>
  </si>
  <si>
    <t>RESD. MONTE CRISTI, AGUJA 1C.O. 1C.S. 2C.O. CA N° 254</t>
  </si>
  <si>
    <t>AGUJA 1 CUADRA OESTE 1 CUADRA SUR 2 CUADRAS OESTE CASA NO. 254.</t>
  </si>
  <si>
    <t>22513267 88107020</t>
  </si>
  <si>
    <t>0011107870006V</t>
  </si>
  <si>
    <t>MARIA ARGENTINA CHAVEZ BOJORGE</t>
  </si>
  <si>
    <t>ARGENTINA</t>
  </si>
  <si>
    <t>CHONTALES</t>
  </si>
  <si>
    <t>VILLA SANDINO</t>
  </si>
  <si>
    <t>ZONA NO. 3, TRIANGULO 1C. AL NORTE</t>
  </si>
  <si>
    <t>ZONA NO.3, TRIANGULO     1C.AL NORTE</t>
  </si>
  <si>
    <t>drachavea@gmail.com</t>
  </si>
  <si>
    <t>0410807870007L</t>
  </si>
  <si>
    <t>LOYOLA MARGARITA MUNGUIA LOPEZ</t>
  </si>
  <si>
    <t>LOYOLA</t>
  </si>
  <si>
    <t>MARGARITA</t>
  </si>
  <si>
    <t>EL ROSARIO</t>
  </si>
  <si>
    <t>SANTA TERESA</t>
  </si>
  <si>
    <t>BO. CAMINO VERDE, FINCA LA POMONA 500MTS.N.</t>
  </si>
  <si>
    <t>DE LA IGLESIA CATOLICA 2 CUADRAS AL SUR 1/2 CUADRA AL OESTE</t>
  </si>
  <si>
    <t>loyolamunguia87@gmail.com</t>
  </si>
  <si>
    <t>3210607870006A</t>
  </si>
  <si>
    <t>LUVIANKA SARAHI LOPEZ CRUZ</t>
  </si>
  <si>
    <t>LUVIANKA</t>
  </si>
  <si>
    <t>SARAHI</t>
  </si>
  <si>
    <t>PALACAGÜINA</t>
  </si>
  <si>
    <t>YALAGUINA</t>
  </si>
  <si>
    <t>CMCA. RIO ARRIBA</t>
  </si>
  <si>
    <t>POZO 500 METROS AL SUR</t>
  </si>
  <si>
    <t>8880607871000R</t>
  </si>
  <si>
    <t>ANDRES ANDRESOVICH CARRASCO</t>
  </si>
  <si>
    <t>ANDRES</t>
  </si>
  <si>
    <t>ANDRESOVICH</t>
  </si>
  <si>
    <t>UCRANIA</t>
  </si>
  <si>
    <t>SUPERMERCADO LA COLONIA 1 C ABAJO 1/2C AL NORTE, BARRIO ZARAGOZA</t>
  </si>
  <si>
    <t>andresovichcp@gmail.com</t>
  </si>
  <si>
    <t>6020407870000B</t>
  </si>
  <si>
    <t>JANETT DEL CARMEN THOMPSON BELLO</t>
  </si>
  <si>
    <t>JANETT</t>
  </si>
  <si>
    <t>DEL CARMEN</t>
  </si>
  <si>
    <t>NINDIRÍ</t>
  </si>
  <si>
    <t>CMCA. MADRIGALES NORTE, SALON DEL REINO DE LOS TESTIGOS DE JEHOVA, 200 VRS. O</t>
  </si>
  <si>
    <t>DEL SALON DEL REINO TESTIGOS DE JEHOVA 200 VARAS AL OESTE.</t>
  </si>
  <si>
    <t>MEDICA INTEGRAL COMUNITARIA</t>
  </si>
  <si>
    <t>thompsonjanett8@gmail.com</t>
  </si>
  <si>
    <t>thompsonbello1987@yahoo.es</t>
  </si>
  <si>
    <t>0420207870000H</t>
  </si>
  <si>
    <t>MARIA AUXILIADORA LOPEZ LOPEZ</t>
  </si>
  <si>
    <t>AUXILIADORA</t>
  </si>
  <si>
    <t>KILOMETRO 36 1/2 CARRETERA SUR CASA NO. 8.</t>
  </si>
  <si>
    <t>0010207870006B</t>
  </si>
  <si>
    <t>ADALBERTO JAVIER ARGUELLO MORALES</t>
  </si>
  <si>
    <t>ADALBERTO</t>
  </si>
  <si>
    <t>JAVIER</t>
  </si>
  <si>
    <t>RESIDENCIAL CIUDAD EL DORAL CASA Q-53</t>
  </si>
  <si>
    <t>KM 17 1/2 CARRETERA NUEVA A LEON CASA NO Q 53. MANO IZQUIERDA</t>
  </si>
  <si>
    <t>argumdta@gmail.com</t>
  </si>
  <si>
    <t>4410207870002Y</t>
  </si>
  <si>
    <t>JONATHAN ESPINOZA CRUZ</t>
  </si>
  <si>
    <t>JONATHAN</t>
  </si>
  <si>
    <t>MONUMENTO MIGUEL ALONSO 4C AL SUR, MEDIA AL OESTEBARRIO RUBÉN DARIO</t>
  </si>
  <si>
    <t>MONUMENTO MIGUEL ALONSO 4 CUADRASA AL SUR, 1/2 CUADRA AL OESTE</t>
  </si>
  <si>
    <t>DOCTOR MEDICO Y CIRUJANO</t>
  </si>
  <si>
    <t>jonathan.espinoza_10@yahoo.com</t>
  </si>
  <si>
    <t>4412606870000S</t>
  </si>
  <si>
    <t>ARA ANAHI NEY DIAZ</t>
  </si>
  <si>
    <t>ARA</t>
  </si>
  <si>
    <t>ANAHI</t>
  </si>
  <si>
    <t>BO.RENE BARRANTES,COSTADO NORESTE IGLESIA CATEDRAL 2C.N</t>
  </si>
  <si>
    <t>COSTADO NORESTE IGLESIA CATEDRAL 2 CUADRA AL NORTE</t>
  </si>
  <si>
    <t>27134241 85329971 84233101</t>
  </si>
  <si>
    <t>ihana2606@gmail.com</t>
  </si>
  <si>
    <t>0012406870005R</t>
  </si>
  <si>
    <t>EDWIN JOSE BALTODANO TRUJILLO</t>
  </si>
  <si>
    <t>EDWIN</t>
  </si>
  <si>
    <t>NAGAROTE</t>
  </si>
  <si>
    <t>BO. MARVIN PALACIOS, CENTRO DE SALUD 1 1/2C, S.</t>
  </si>
  <si>
    <t>BARRIO MARVIN PALACIO DEL  CENTRO DE SALUD 1CUADRA AL SUR</t>
  </si>
  <si>
    <t>23132613 87149087</t>
  </si>
  <si>
    <t>6072406870005F</t>
  </si>
  <si>
    <t>YERITZA NAYELY HANSON CHOW</t>
  </si>
  <si>
    <t>YERITZA</t>
  </si>
  <si>
    <t>NAYELY</t>
  </si>
  <si>
    <t>RACCN</t>
  </si>
  <si>
    <t>PUERTO CABEZAS</t>
  </si>
  <si>
    <t>BO. PITER FERRERA, DETRAS DE CASA DE GOBIERNO</t>
  </si>
  <si>
    <t>DEL HOTELITO 1/2CUADRA SUR</t>
  </si>
  <si>
    <t>DOCTORA EN MEDICINA INTERCULTURAL Y CIRUGIA</t>
  </si>
  <si>
    <t>hansonchowyeritza@gmail.com</t>
  </si>
  <si>
    <t>0812106870004A</t>
  </si>
  <si>
    <t>LUIS GIOVANNY REYES RIVERA</t>
  </si>
  <si>
    <t>GIOVANNY</t>
  </si>
  <si>
    <t>CHICHIGALPA</t>
  </si>
  <si>
    <t>BO. SANTA ANA MORGUE 1c O. 75vrs S.</t>
  </si>
  <si>
    <t>PUENTE EL SOCORRO 50 METROS OESTE, 300 METROS SUR</t>
  </si>
  <si>
    <t>0012106870004J</t>
  </si>
  <si>
    <t>ELBA MARIA LOAISIGA TAPIA</t>
  </si>
  <si>
    <t>ELBA</t>
  </si>
  <si>
    <t>Bo.LA LUZ,ROTONDA STO DOMINGO,4C.S,1/2C.ARRIBA</t>
  </si>
  <si>
    <t>ROTONDA CRISTO REY 4 CUADRAS AL SUR 1/2 CUADRA AL OESTE</t>
  </si>
  <si>
    <t>0012006870000C</t>
  </si>
  <si>
    <t>EVENOR ARIEL ROBLES HERNANDEZ</t>
  </si>
  <si>
    <t>EVENOR</t>
  </si>
  <si>
    <t>ARIEL</t>
  </si>
  <si>
    <t>TICUANTEPE</t>
  </si>
  <si>
    <t>RPTO.J.R.PADILLA,ENT.PRINCIPAL,3RA.CE.2C.N</t>
  </si>
  <si>
    <t>DE DONDE FUERON LOS BILLARES 3 1/2 CUADRAS AL NORTE</t>
  </si>
  <si>
    <t>22799126 82408910</t>
  </si>
  <si>
    <t>DOCTOR  EN MEDICINA Y CIRUGIA</t>
  </si>
  <si>
    <t>1611806870004K</t>
  </si>
  <si>
    <t>YALMAR SAUL TIJERINO RUIZ</t>
  </si>
  <si>
    <t>YALMAR</t>
  </si>
  <si>
    <t>SAUL</t>
  </si>
  <si>
    <t>SANTA MARÍA DE PANTASMA</t>
  </si>
  <si>
    <t>SANTA MARIA DE PANTASMA</t>
  </si>
  <si>
    <t>BO.  LA JUANA, CONTIGUO A IGLESIA DIOS DE LAS PROFECIAS PANTASMA</t>
  </si>
  <si>
    <t>CONMTIGUO A IGLESIA DIOS DE LA PROFESIA</t>
  </si>
  <si>
    <t>yal07tijerino@yahoo.es</t>
  </si>
  <si>
    <t>4811606870005W</t>
  </si>
  <si>
    <t>FRANCYS LLYCELIA FERRERA GOMEZ</t>
  </si>
  <si>
    <t>FRANCYS</t>
  </si>
  <si>
    <t>LLYCELIA</t>
  </si>
  <si>
    <t>NUEVA SEGOVIA</t>
  </si>
  <si>
    <t>JALAPA</t>
  </si>
  <si>
    <t>COMARCA EL LIMON IGLESIA CATOLICA 7c ESTE</t>
  </si>
  <si>
    <t>PORTON DE LAS MONJAS 1 1/2 CUADRAS AL ESTE</t>
  </si>
  <si>
    <t>cielo309@hotmail.com</t>
  </si>
  <si>
    <t>561160687003L</t>
  </si>
  <si>
    <t>ALBERTH ELIEZER ESPINOZA VILLAREAL</t>
  </si>
  <si>
    <t>ALBERTH</t>
  </si>
  <si>
    <t>ELIEZER</t>
  </si>
  <si>
    <t>VILLAREAL</t>
  </si>
  <si>
    <t>BARRIO BUENA VISTA, ESCUELA SOR MARIA ROMERO, 3 CUADRAS AL SUR, 25 VARAS AL ESTE.</t>
  </si>
  <si>
    <t>0411506870001N</t>
  </si>
  <si>
    <t>ROBERTO JOSUE MORAGA CARMONA</t>
  </si>
  <si>
    <t>ROBERTO</t>
  </si>
  <si>
    <t>JOSUE</t>
  </si>
  <si>
    <t>CARMONA</t>
  </si>
  <si>
    <t>LA CONCEPCIÓN</t>
  </si>
  <si>
    <t>LA CONCEPCION</t>
  </si>
  <si>
    <t>ANEXO JUAN DAVILA,DE LA ALCALDIA 1C.N,300 VRS.O</t>
  </si>
  <si>
    <t>DE LA ALCALDIA 1 CUADRA AL NORTE 300 VARAS AL OESTE A MANO IZQUIERDA</t>
  </si>
  <si>
    <t>57428775, 83792658</t>
  </si>
  <si>
    <t>57428775 84125187 83792658 88357799</t>
  </si>
  <si>
    <t>rmoradacarmona@yahoo.com</t>
  </si>
  <si>
    <t>0011506870015H</t>
  </si>
  <si>
    <t>LIZETH DEL ROSARIO SAENZ RIVERA</t>
  </si>
  <si>
    <t>LIZETH</t>
  </si>
  <si>
    <t>DEL ROSARIO</t>
  </si>
  <si>
    <t>BO SN. SEBASTIEN, COSEP 1c N. 3c E. 1/2c N CA- 706</t>
  </si>
  <si>
    <t>AVENIDA 28 CALLE 4 CASA I-97</t>
  </si>
  <si>
    <t>lizethsaenzrivera@gmail.com</t>
  </si>
  <si>
    <t>0011506870007Y</t>
  </si>
  <si>
    <t>JORGE LUIS MENDOZA ARANA</t>
  </si>
  <si>
    <t>JORGE</t>
  </si>
  <si>
    <t>COLONIA VILLA PROGRESO CASA E-646</t>
  </si>
  <si>
    <t>TERMINAL DE LA RUTA 119, 1 CUADRA AL NORTE, 7 CASA AL OESTE</t>
  </si>
  <si>
    <t>22490288 84211029</t>
  </si>
  <si>
    <t>4511506870000S</t>
  </si>
  <si>
    <t>RIGOBERTO AGUILAR LOPEZ</t>
  </si>
  <si>
    <t>RIGOBERTO</t>
  </si>
  <si>
    <t>CMCA. EL REGALO, SECTOR ORLANDO HERNANDEZ</t>
  </si>
  <si>
    <t>FRENTE AL CENTRO DE SALUD ADELINA ORTEGA</t>
  </si>
  <si>
    <t>85319327 84574642</t>
  </si>
  <si>
    <t>stertoberjose@gmail.com</t>
  </si>
  <si>
    <t>rigobertoaguilar@yahoo.es</t>
  </si>
  <si>
    <t>0011406870015F</t>
  </si>
  <si>
    <t>EVELYNG INDIRA GAITAN HERNANDEZ</t>
  </si>
  <si>
    <t>EVELYNG</t>
  </si>
  <si>
    <t>INDIRA</t>
  </si>
  <si>
    <t>BO. SAN CRISTOBAL, IGL. CAT. SN. CRISTOBAL A-10</t>
  </si>
  <si>
    <t>BO SAN CRISTOBAL SEMF. EL DORADO 1C AL ESTE 1C AL SUR 1/2C AL ESTE</t>
  </si>
  <si>
    <t>22498733 83853029</t>
  </si>
  <si>
    <t>0421406870001D</t>
  </si>
  <si>
    <t>MARIA NINOSKA ROMERO SALAMANCA</t>
  </si>
  <si>
    <t>NINOSKA</t>
  </si>
  <si>
    <t>SALAMANCA</t>
  </si>
  <si>
    <t>KILOMETRO 35 1/2 CARRETERA SUR CASA 43</t>
  </si>
  <si>
    <t>1611406870005C</t>
  </si>
  <si>
    <t>ALEM SALVADOR CASTILLO OROZCO</t>
  </si>
  <si>
    <t>ALEM</t>
  </si>
  <si>
    <t>SALVADOR</t>
  </si>
  <si>
    <t>MATAGALPA</t>
  </si>
  <si>
    <t>SANTA ROSA DEL PEÑÓN</t>
  </si>
  <si>
    <t>EL TUMA LA DALIA</t>
  </si>
  <si>
    <t>CMCA. MINA LA INDIA, PARADAS DE BUSES INTER-URBANOS 1 1/2C.O.</t>
  </si>
  <si>
    <t>GASOLINERA PUMA 1/2 CUADRA AL ESTE</t>
  </si>
  <si>
    <t>alemcastillo87@gmail.com</t>
  </si>
  <si>
    <t>4891406870000B</t>
  </si>
  <si>
    <t>HERNALDO DE TRINIDAD SALGADO TORUÑO</t>
  </si>
  <si>
    <t>HERNALDO</t>
  </si>
  <si>
    <t>REPARTO SAN JUAN.COSTADO NORTE DEL PARQUE DE LA BIBLIA</t>
  </si>
  <si>
    <t>ANTIGUO TANQUE ROJO 2 CUADRA AL ESTE, 1/2 CUADRA AL SUR MANO IZQUIERDA</t>
  </si>
  <si>
    <t>hernaldosalgado1806@gmail.com</t>
  </si>
  <si>
    <t>hernaldo1806@gmail.com</t>
  </si>
  <si>
    <t>2011306870002S</t>
  </si>
  <si>
    <t>JESSENIA MARYURI PEREZ ARGUELLO</t>
  </si>
  <si>
    <t>JESSENIA</t>
  </si>
  <si>
    <t>MARYURI</t>
  </si>
  <si>
    <t>GRANADA FINAL DE SANTA LUCIA 25VRS ESTE RPTO  SILVIO RUIZ</t>
  </si>
  <si>
    <t>FINAL CALLE SANTA LUCIA , 25 VRS E</t>
  </si>
  <si>
    <t>2811306870002J</t>
  </si>
  <si>
    <t>FANNIA DANIELA MAIRENA LOPEZ</t>
  </si>
  <si>
    <t>FANNIA</t>
  </si>
  <si>
    <t>DANIELA</t>
  </si>
  <si>
    <t>KUKRA - HILL</t>
  </si>
  <si>
    <t>KUKRA HILL</t>
  </si>
  <si>
    <t>BO. SECTOR NO.5, COLEGIO BETEL 3C.S. 1/2C.O.</t>
  </si>
  <si>
    <t>DEL COLEGIO BETHEL 3C AL SUR 1/2 C AL OESTE</t>
  </si>
  <si>
    <t>fanniamairena060513@yahoo.es</t>
  </si>
  <si>
    <t>3231306870000M</t>
  </si>
  <si>
    <t>EVELING ANTONIA MORENO AVILA</t>
  </si>
  <si>
    <t>EVELING</t>
  </si>
  <si>
    <t>AVILA</t>
  </si>
  <si>
    <t>SAN JUAN DE RÍO COCO</t>
  </si>
  <si>
    <t>SAN JUAN DE RIO COCO</t>
  </si>
  <si>
    <t>CMCA.BUENA VISTA,ESCUELA 200 VRS.O</t>
  </si>
  <si>
    <t>COMARCA BUENA VISTA DE LA ESCUELA JOSE CORONEL 20 VRS ABAJO</t>
  </si>
  <si>
    <t>6161306870003L</t>
  </si>
  <si>
    <t>ALEXIS ANTONIO KAUFFMAN LAZO</t>
  </si>
  <si>
    <t>ALEXIS</t>
  </si>
  <si>
    <t>NUEVA GUINEA</t>
  </si>
  <si>
    <t>COL. VERDUN, DEL CENTRO DE SALUD 1/2C AL SUR.</t>
  </si>
  <si>
    <t>CENTRO DE SALUD 1/2 CUADRA AL OESTE</t>
  </si>
  <si>
    <t>2011106870004Q</t>
  </si>
  <si>
    <t>HEBERTO ANTONIO ALEMAN ZAMBRANA</t>
  </si>
  <si>
    <t>HEBERTO</t>
  </si>
  <si>
    <t>MOYOGALPA</t>
  </si>
  <si>
    <t>ALTAGRACIA</t>
  </si>
  <si>
    <t>DE LA CURACAO 50 VRS.SUR.</t>
  </si>
  <si>
    <t>ESCUELA 19 DE JULIO 50 VARAS AL ESTE</t>
  </si>
  <si>
    <t>hebert_master87@yahoo.es</t>
  </si>
  <si>
    <t>0011006870018A</t>
  </si>
  <si>
    <t>ALVARO JAVIER SOMARRIBA GONZALEZ</t>
  </si>
  <si>
    <t>ALVARO</t>
  </si>
  <si>
    <t>CALLE LIMON, TRIO XHUN 1C, N.</t>
  </si>
  <si>
    <t>DE LA NABISCO CRISTAL 1/2 CUADRA AL SUR, EN FRENTE TALLERES CAJINA</t>
  </si>
  <si>
    <t>22480860 77229575</t>
  </si>
  <si>
    <t>0411006870003E</t>
  </si>
  <si>
    <t>KAREN VANESSA CRUZ MARTINEZ</t>
  </si>
  <si>
    <t>KAREN</t>
  </si>
  <si>
    <t>VANESSA</t>
  </si>
  <si>
    <t>CMCA. LA UNION, ESCUELA ANGELA CHAVEZ 200VRS.N.</t>
  </si>
  <si>
    <t>ESCUELA ANGELA CHAVEZ, 200 VARAS NORTE.</t>
  </si>
  <si>
    <t>cruz063@hotmail.com</t>
  </si>
  <si>
    <t>0010806870007J</t>
  </si>
  <si>
    <t>BLANCA ANGELICA MONTIEL CARBALLO</t>
  </si>
  <si>
    <t>BLANCA</t>
  </si>
  <si>
    <t>ANGELICA</t>
  </si>
  <si>
    <t>RESD, LAS BRISAS DE DONDE FUE REST, ARAGON 5C, L. 1/2C, E.</t>
  </si>
  <si>
    <t>KM 13 CARRETERA MASAYA,  CASA #72</t>
  </si>
  <si>
    <t>22672097 88131087 89197888</t>
  </si>
  <si>
    <t>0810806870017L</t>
  </si>
  <si>
    <t>GUADALUPE ESMERALDA FLETE LACAYO</t>
  </si>
  <si>
    <t>GUADALUPE</t>
  </si>
  <si>
    <t>ESMERALDA</t>
  </si>
  <si>
    <t>RPTO.ERICK RAMIREZ,CANCHA DEPORTIVA 1C.O,11/2C.N</t>
  </si>
  <si>
    <t>ENTRADA LOS LAURELES  400 METROS NORTE</t>
  </si>
  <si>
    <t>6100706870002S</t>
  </si>
  <si>
    <t>FAUSTO MARTIN AGUILAR RODRIGUEZ</t>
  </si>
  <si>
    <t>FAUSTO</t>
  </si>
  <si>
    <t>MARTIN</t>
  </si>
  <si>
    <t>SIUNA</t>
  </si>
  <si>
    <t>BO.PEDRO JOAQUIN CHAMORRO</t>
  </si>
  <si>
    <t>DE FINANCIERA FUNDESER 100MTRS AL NORTE CONTIGUO A LA FAMILIA REYES</t>
  </si>
  <si>
    <t>89311989 88228366</t>
  </si>
  <si>
    <t>1220706870000D</t>
  </si>
  <si>
    <t>LENNER ANTONIO SEVILLA ALVARADO</t>
  </si>
  <si>
    <t>LENNER</t>
  </si>
  <si>
    <t>RIO SAN JUAN</t>
  </si>
  <si>
    <t>EL ALMENDRO</t>
  </si>
  <si>
    <t>BO. 17 DE JULIO, ESTADIO DE BEISBOL 500 VRS.N</t>
  </si>
  <si>
    <t>CONTIGUO AGENCIA PEPSI</t>
  </si>
  <si>
    <t>lener10sevilla@gmail.com</t>
  </si>
  <si>
    <t>2810606870004V</t>
  </si>
  <si>
    <t>GLADYS MARIA CHAVARRIA URBINA</t>
  </si>
  <si>
    <t>GLADYS</t>
  </si>
  <si>
    <t>VI. 23 DE JULIO, COSTADO NORTE IMPLAGZA 10VRS. ABAJO</t>
  </si>
  <si>
    <t>ANDEN NO, 07 CASA NO. 825</t>
  </si>
  <si>
    <t>llaleshka09@gmail.com</t>
  </si>
  <si>
    <t>4410606870009J</t>
  </si>
  <si>
    <t>MILTON ELI TORREZ DORMUS</t>
  </si>
  <si>
    <t>MILTON</t>
  </si>
  <si>
    <t>ELI</t>
  </si>
  <si>
    <t>DORMUS</t>
  </si>
  <si>
    <t>BO. CARLOS FONSECA, SORBETERIA COPELIA 75VRS, N.</t>
  </si>
  <si>
    <t>DDF ECOPELIA 75 VARAS AL NORTE</t>
  </si>
  <si>
    <t>2810406870001N</t>
  </si>
  <si>
    <t>GEMA GABRIELA CARVAJAL CENTENO</t>
  </si>
  <si>
    <t>GABRIELA</t>
  </si>
  <si>
    <t>BO. EL  LABORIO,  ADMON RENTAS 1/2C. O.</t>
  </si>
  <si>
    <t>DE LA RENTAS 1/2 C.O.</t>
  </si>
  <si>
    <t>ggabrielacc@hotmail.es</t>
  </si>
  <si>
    <t>5610306870000E</t>
  </si>
  <si>
    <t>AURA MELANIA GUADAMUZ MAIRENA</t>
  </si>
  <si>
    <t>SECTOR No. 4, DE EUCANAS 2 1/2c AL OESTE</t>
  </si>
  <si>
    <t>DE DONDE FUE LA PARMALATH 1 1/2 CUADRA AL OESTE</t>
  </si>
  <si>
    <t>25630643 84131298</t>
  </si>
  <si>
    <t>4410206870003T</t>
  </si>
  <si>
    <t>HUGO CESAR LOPEZ MOLINA</t>
  </si>
  <si>
    <t>HUGO</t>
  </si>
  <si>
    <t>CESAR</t>
  </si>
  <si>
    <t>SAN RAMÓN</t>
  </si>
  <si>
    <t>COM. LA REYNA , CONTIGUO A PUESTO DE SALUD COSTADO NORTE</t>
  </si>
  <si>
    <t>IGLESIA CATOLICA, 200 VARAS AL ESTE.</t>
  </si>
  <si>
    <t>DOC TOR EN MEDICINA</t>
  </si>
  <si>
    <t>drlopezmolina88@gmail.com</t>
  </si>
  <si>
    <t>1610106870000T</t>
  </si>
  <si>
    <t>MARIA JOSE PAVON SILVA</t>
  </si>
  <si>
    <t>DE LA INCA 7KM AL NORTE VILLA RAFAELA PADILLA CASA N°23</t>
  </si>
  <si>
    <t>REPUESTO BURGO, 1 CUADRA AL SUR, 1/2 CUADRA AL ESTE</t>
  </si>
  <si>
    <t>0813005870007R</t>
  </si>
  <si>
    <t>MARYENI DEL CARMEN MARTINEZ ESCALANTE</t>
  </si>
  <si>
    <t>MARYENI</t>
  </si>
  <si>
    <t>Bo.EL CALVARIO,DE DONDE FUE PAULINO NORORI 1/2C.N</t>
  </si>
  <si>
    <t>PAULINO NORORI, 1/2 CUADRA AL NORTE.</t>
  </si>
  <si>
    <t>maryeni77@hotmail.com</t>
  </si>
  <si>
    <t>0012905870041K</t>
  </si>
  <si>
    <t>CARMEN ALEJANDRA BENAVIDES ARGUELLO</t>
  </si>
  <si>
    <t>CARMEN</t>
  </si>
  <si>
    <t>ALEJANDRA</t>
  </si>
  <si>
    <t>BO. LA CUAREZMA, KM 9 1/2 CARRRETERA MASAYA, 300VRS ESTE.</t>
  </si>
  <si>
    <t>K 9 1/2C MASAYA 300MTS ESTE QUINTA CARMEN</t>
  </si>
  <si>
    <t>22765684 88829287</t>
  </si>
  <si>
    <t>benavides.arguello@gmail.com</t>
  </si>
  <si>
    <t>0042905870001T</t>
  </si>
  <si>
    <t>DULCE LINDENIA MOJICA LOPEZ</t>
  </si>
  <si>
    <t>DULCE</t>
  </si>
  <si>
    <t>LINDENIA</t>
  </si>
  <si>
    <t>VILLA EL CARMEN O VILLA CARLOS FONSECA</t>
  </si>
  <si>
    <t>VILLA EL CARMEN</t>
  </si>
  <si>
    <t>CMCA. SAMARIA, PARQUE 1C, O.</t>
  </si>
  <si>
    <t>PARQUE, 1 CUADRA OESTE.</t>
  </si>
  <si>
    <t>0012805870024P</t>
  </si>
  <si>
    <t>REBECA ARACELY ORTIZ PEREZ</t>
  </si>
  <si>
    <t>REBECA</t>
  </si>
  <si>
    <t>ARACELY</t>
  </si>
  <si>
    <t>BO. RIGUERO, PUENTE RIGUERO 6C. S. 1/2C. O.</t>
  </si>
  <si>
    <t>TALLERES MODERNOS, 2CUADRAS AL SUR 1 1/2 AL OESTE.</t>
  </si>
  <si>
    <t>0012705870045K</t>
  </si>
  <si>
    <t>FRANCIS LORENA SOMARRIBA TORRES</t>
  </si>
  <si>
    <t>LORENA</t>
  </si>
  <si>
    <t>RESD. EL DORADO, FRENTE FARMACIA SALAZAR CASA # 36</t>
  </si>
  <si>
    <t>RESD. EL DORADO, FRENTE  FARM. SALAZAR CASA NO.36</t>
  </si>
  <si>
    <t>0812705870002E</t>
  </si>
  <si>
    <t>WINIA MARGARITA BERGARA RODRIGUEZ</t>
  </si>
  <si>
    <t>WINIA</t>
  </si>
  <si>
    <t>BO. LA CRUZ PORTON CEMENTERIO VIEJO 1c N. 1c O.</t>
  </si>
  <si>
    <t>PORTON CEMENTERIO VIEJO 1C NORTE 1C AL OESTE</t>
  </si>
  <si>
    <t>84445202 85593719</t>
  </si>
  <si>
    <t>1612705870007B</t>
  </si>
  <si>
    <t>ANA EMILIA RIVAS RUEDAS</t>
  </si>
  <si>
    <t>EMILIA</t>
  </si>
  <si>
    <t>RUEDAS</t>
  </si>
  <si>
    <t>BO. OMAR TORRIJOS, FRENTE COSTADO NORTE ESCUELA ESPECIAL</t>
  </si>
  <si>
    <t>COSTADO NORTE DE LA ESCUELA ESPECIAL</t>
  </si>
  <si>
    <t>anitaemili@yahoo.es</t>
  </si>
  <si>
    <t>0012705870038C</t>
  </si>
  <si>
    <t>KARLA VANESSA SANDOVAL PEREZ</t>
  </si>
  <si>
    <t>BO. FARABUNDO MARTI, IGLESIA DON BOSCO 1C.E, 20VRS.S.</t>
  </si>
  <si>
    <t>BO. FARABUNDO MARTI, IGL.DON BOSCO 1C.E. 20VRS.S.</t>
  </si>
  <si>
    <t>melyken87@yahoo.com</t>
  </si>
  <si>
    <t>4412505870002L</t>
  </si>
  <si>
    <t>MARIA JOSE GARCIA DUARTE</t>
  </si>
  <si>
    <t>CMCA. LAS TEJAS, CONTIGUO AGENCIA DE POLLOS TIP-TOP</t>
  </si>
  <si>
    <t>CONTIGUO AGENCIA DE POLLOS TIP-TOP</t>
  </si>
  <si>
    <t>4812505870005K</t>
  </si>
  <si>
    <t>EYDA ISAYANA BELLORIN HERNANDEZ</t>
  </si>
  <si>
    <t>EYDA</t>
  </si>
  <si>
    <t>ISAYANA</t>
  </si>
  <si>
    <t>BO. BATAHOLA NORTE, CENTRO CULTURAL JOGA DE BANAN 2C. E. 1C. S. 1C. E.</t>
  </si>
  <si>
    <t>DE LA TAQUIZA 1 CUADRA ESTE 1/2 CUADRA SUR.</t>
  </si>
  <si>
    <t>DOCTORA  EN MEDICINA</t>
  </si>
  <si>
    <t>isayana.hernandez@yahoo.com</t>
  </si>
  <si>
    <t>2912405870000X</t>
  </si>
  <si>
    <t>ROGER ULISES VANEGAS CISNEROS</t>
  </si>
  <si>
    <t>ROGER</t>
  </si>
  <si>
    <t>ULISES</t>
  </si>
  <si>
    <t>SAN CARLOS</t>
  </si>
  <si>
    <t>VI. 23 DE JULIO, COST. S.O. COLEG. C. CARDENAS 20V. AB</t>
  </si>
  <si>
    <t>DEL IGLESIA MI 10 VARAS AL NORTE CASA VERJA BLANCA</t>
  </si>
  <si>
    <t>rogvan_87@yahoo.es</t>
  </si>
  <si>
    <t>0012205870041U</t>
  </si>
  <si>
    <t>NATALLY SOFIA NAVARRETE VILLANUEVA</t>
  </si>
  <si>
    <t>NATALLY</t>
  </si>
  <si>
    <t>SOFIA</t>
  </si>
  <si>
    <t>VILLANUEVA</t>
  </si>
  <si>
    <t>COLONIA VILLA DON BOSCO, LIC. DON BOSCO 3C.NORTE</t>
  </si>
  <si>
    <t>ANTIGUA LICORERIA DON BOSCO 3 CUADRAS AL NORTE</t>
  </si>
  <si>
    <t>natallynavarretevillanueva@gmail.com</t>
  </si>
  <si>
    <t>0011905870029A</t>
  </si>
  <si>
    <t>VICTOR ARIEL RODRIGUEZ GUTIERREZ</t>
  </si>
  <si>
    <t>VICTOR</t>
  </si>
  <si>
    <t>BARRIO LA FUENTE, ANEXO COLEGIO LA SALLE 2 CUADRAS AL ESTE 1 CUADRA Y MEDIA AL SUR. MD.</t>
  </si>
  <si>
    <t>ANEXO COLEGIO LA SALLE, 2 CUADRAS AL ESTE, 1 CUADRA AL SUR. MANO DERECHA</t>
  </si>
  <si>
    <t>rodriguezgutierrezv@gmail.com</t>
  </si>
  <si>
    <t>4061705870001J</t>
  </si>
  <si>
    <t>EDEN ANTONIO MERCADO PARRALES</t>
  </si>
  <si>
    <t>EDEN</t>
  </si>
  <si>
    <t>NIQUINOHOMO</t>
  </si>
  <si>
    <t>CMCA. LA CURVA, COSTADO SUR DONDE FUE ESTACION FERROCARRIL</t>
  </si>
  <si>
    <t>HOSPITAL ALEMAN 1 CUADRA ESTE</t>
  </si>
  <si>
    <t>edenmercado@hotmail.es</t>
  </si>
  <si>
    <t>0011605870020J</t>
  </si>
  <si>
    <t>MARIA ANNELIESSE GARCIA CRUZ</t>
  </si>
  <si>
    <t>ANNELIESSE</t>
  </si>
  <si>
    <t>BO.JULIO BUITRAGO,DELICIAS DEL VOLGA 2C.E 11/2C.N</t>
  </si>
  <si>
    <t>DEL MINISTERIO DEL TRABAJO, 3 CUADRAS AL OESTE, 100 VARAS AL SUR.</t>
  </si>
  <si>
    <t>MEDICO Y CIRUJANO</t>
  </si>
  <si>
    <t>4041505870000T</t>
  </si>
  <si>
    <t>MARTHA CAROLINA SANCHEZ QUINTANILLA</t>
  </si>
  <si>
    <t>MARTHA</t>
  </si>
  <si>
    <t>DIRIOMO</t>
  </si>
  <si>
    <t>DIRIOMO DEL PARQUE 4 1/2C AL N.</t>
  </si>
  <si>
    <t>DEL PARQUE CENTRAL 4 1/2 CUADRAS AL NORTE</t>
  </si>
  <si>
    <t>86395203 85706894</t>
  </si>
  <si>
    <t>2911205870000W</t>
  </si>
  <si>
    <t>YANINA DE LOS ÁNGELES REYES REYES</t>
  </si>
  <si>
    <t>YANINA</t>
  </si>
  <si>
    <t>DE LOS ÁNGELES</t>
  </si>
  <si>
    <t>URB. RÍOS DE AGUA VIVA EN LA TERCERA CALLE DEL CASA N°58</t>
  </si>
  <si>
    <t>TERCERA CALLE, CASA #58.</t>
  </si>
  <si>
    <t>22405024 76500686</t>
  </si>
  <si>
    <t>yenone1987@yahoo.es</t>
  </si>
  <si>
    <t>0011205870005J</t>
  </si>
  <si>
    <t>GABRIELA JUDITH LOPEZ MOLINA</t>
  </si>
  <si>
    <t>JUDITH</t>
  </si>
  <si>
    <t>Bo.MONSEÑOR LEZCANO,DE DONDE FUE CINE LEON 2C.O,21/2C.N</t>
  </si>
  <si>
    <t>BO. MONSEÑOR LEZCANO,    CINE LEON 2C.O. 2C.N.</t>
  </si>
  <si>
    <t>5701205870001A</t>
  </si>
  <si>
    <t>INDIRA DEL ROSARIO ZAMBRANA VALLE JO</t>
  </si>
  <si>
    <t>VALLE JO</t>
  </si>
  <si>
    <t>BO. YAGUARE BAMPRO 3C.E</t>
  </si>
  <si>
    <t>BANPRO 3 CUADRAS AL ESTE</t>
  </si>
  <si>
    <t>lisetcierra@gmail.com</t>
  </si>
  <si>
    <t>1271105870000S</t>
  </si>
  <si>
    <t>LISBETH DE LOS ANGELES MONTES REYES</t>
  </si>
  <si>
    <t>LISBETH</t>
  </si>
  <si>
    <t>SANTO DOMINGO</t>
  </si>
  <si>
    <t>SANTO DOMINGO CHONTALES, BARRIO PANCASAN CONTIGUO A LA IGLESIA PENTECOSTE, A 75 VARAS DE LA ESCUELA PANCASAN</t>
  </si>
  <si>
    <t>CONTIGUO A LA IGLESIA EVANGELICA PETENCOSTAL.</t>
  </si>
  <si>
    <t>taurolis_11@hotmail.com</t>
  </si>
  <si>
    <t>0811005870004U</t>
  </si>
  <si>
    <t>JOSE LUIS GOMEZ SANCHEZ</t>
  </si>
  <si>
    <t>BO. EL ROSARIO, DDF. LICORES BELL 125VRS. AB.</t>
  </si>
  <si>
    <t>DONDE FUE LICORES BELL 125 VARAS AL OESTE.</t>
  </si>
  <si>
    <t>23404563 87864496</t>
  </si>
  <si>
    <t>jlgs100587@yahoo.es</t>
  </si>
  <si>
    <t>2011005870007K</t>
  </si>
  <si>
    <t>GERMANIA YAOSKA GARCIA ALEMAN</t>
  </si>
  <si>
    <t>GERMANIA</t>
  </si>
  <si>
    <t>YAOSKA</t>
  </si>
  <si>
    <t>JUZGADO 1 1/2C.N, DIRIOMO - GRANADA</t>
  </si>
  <si>
    <t>JUZGADO 1 1/2 CUADRA  NORTE</t>
  </si>
  <si>
    <t>2811005870004X</t>
  </si>
  <si>
    <t>BRENDA REGINA GONZALEZ OROZCO</t>
  </si>
  <si>
    <t>BRENDA</t>
  </si>
  <si>
    <t>REGINA</t>
  </si>
  <si>
    <t>CMCA. PONELOYA, 2DA CALLE DE CIUDADELA PONELOYA</t>
  </si>
  <si>
    <t>SEGUNDA CALLE DE LA CIUDADELA</t>
  </si>
  <si>
    <t>83274431 88766675</t>
  </si>
  <si>
    <t>0411005870003X</t>
  </si>
  <si>
    <t>AMELY BERTHA MERCADO TELLEZ</t>
  </si>
  <si>
    <t>AMELY</t>
  </si>
  <si>
    <t>BERTHA</t>
  </si>
  <si>
    <t>RPTO.BELGICA,CASA NO.10 1RA CALLE</t>
  </si>
  <si>
    <t>FRENTE A ENACAL CASA NO.10</t>
  </si>
  <si>
    <t>0010805870037K</t>
  </si>
  <si>
    <t>ERICK ANTONIO AMPIE LOPEZ</t>
  </si>
  <si>
    <t>ERICK</t>
  </si>
  <si>
    <t>Bo.LOMA LINDA,DE LA QUINTA SANTA MARTHA 1C.ABAJO,2C.S</t>
  </si>
  <si>
    <t>QUINTA SANTA MARTHA 1 CUADRA OESTE, 1 CUADRAS SUR.</t>
  </si>
  <si>
    <t>22541715 84581346</t>
  </si>
  <si>
    <t>3ncx87amdic@gmail.com</t>
  </si>
  <si>
    <t>1610705870008J</t>
  </si>
  <si>
    <t>VALIESKA LLANES ARAUZ</t>
  </si>
  <si>
    <t>VALIESKA</t>
  </si>
  <si>
    <t>SAN JUAN DE LIMAY</t>
  </si>
  <si>
    <t>BO. JOSE E. MONCADA, ENITEL 1C.S, 1C.E.</t>
  </si>
  <si>
    <t>BO. JOSE E.MONCADA, ENITEL 1C.S. 1C.E.</t>
  </si>
  <si>
    <t>0030305870004X</t>
  </si>
  <si>
    <t>EDYLIA TAMARA MCNALLY CASTILLO</t>
  </si>
  <si>
    <t>EDYLIA</t>
  </si>
  <si>
    <t>TAMARA</t>
  </si>
  <si>
    <t>TIPITAPA</t>
  </si>
  <si>
    <t>Bo.NOEL MORALES, GASOLINERA UNO 2C E. 1/2C N.</t>
  </si>
  <si>
    <t>JUZGADOS 4 CUADRAS ESTE.</t>
  </si>
  <si>
    <t>tamamcnally@hotmail.com</t>
  </si>
  <si>
    <t>1620305870000J</t>
  </si>
  <si>
    <t>LESTER MARTIN DAVILA GONZALEZ</t>
  </si>
  <si>
    <t>LESTER</t>
  </si>
  <si>
    <t>BO. OSCAR GAMEZ NO.1,  ESCUELA ENMANUEL MONGALO Y RUBIO 1C. N.  25VRS.E.</t>
  </si>
  <si>
    <t>ESCUELA MARVIN ABEL 1CUADRA. AL NORTE, 25 VARAS AL ESTE</t>
  </si>
  <si>
    <t>22281583 84137921</t>
  </si>
  <si>
    <t>lesterdavila@gmail.com</t>
  </si>
  <si>
    <t>0410305870002G</t>
  </si>
  <si>
    <t>IVANIA DEL CARMEN TICAY POTOSME</t>
  </si>
  <si>
    <t>IVANIA</t>
  </si>
  <si>
    <t>POTOSME</t>
  </si>
  <si>
    <t>PARQUE PEDRO JOAQUIN CHAMORRO 5C. SUR, 1 1/2C. AL OESTE</t>
  </si>
  <si>
    <t>TALLER LOS ALEMANES 1 CUADRA AL SUR</t>
  </si>
  <si>
    <t>25225327 58565071</t>
  </si>
  <si>
    <t>1610205870006V</t>
  </si>
  <si>
    <t>FERNAN FRANKLIN PAUTH OSEGUEDA</t>
  </si>
  <si>
    <t>FERNAN</t>
  </si>
  <si>
    <t>FRANKLIN</t>
  </si>
  <si>
    <t>OSEGUEDA</t>
  </si>
  <si>
    <t>BO. JUNO RODRIGUEZ, COSTADO NORTE LABORATORIO CENTRAL, 3 1/2C. E.</t>
  </si>
  <si>
    <t>COSTADO NORTE DEL LABORATORIO CENTRAL, 3 1/2 CUADRA AL ESTE.</t>
  </si>
  <si>
    <t>27140865 57899669</t>
  </si>
  <si>
    <t>madglegar@gmail.com</t>
  </si>
  <si>
    <t>2412804870003J</t>
  </si>
  <si>
    <t>ABDA LYGIA PINEDA MONTENEGRO</t>
  </si>
  <si>
    <t>ABDA</t>
  </si>
  <si>
    <t>LYGIA</t>
  </si>
  <si>
    <t>BO. VILLA VALENCIA , ENTRADA AUTO LOTE ADAMS 3 1/2C. E.</t>
  </si>
  <si>
    <t>DE LA  FIRESTONE 3 1/2 CUADRAS AL ESTE</t>
  </si>
  <si>
    <t>solange190414@yahoo.com</t>
  </si>
  <si>
    <t>0012804870012U</t>
  </si>
  <si>
    <t>MARBEL MARIA GUDIEL CORTEZ</t>
  </si>
  <si>
    <t>MARBEL</t>
  </si>
  <si>
    <t>CORTEZ</t>
  </si>
  <si>
    <t>RPTO. JUAN JOSE HERNANDEZ 1RA CALLE 1/2C.O</t>
  </si>
  <si>
    <t>BO. BATAHOLA SUR, DE LA NICALIT 1/2C. AL NORTE 1/2C. ABAJO</t>
  </si>
  <si>
    <t>22503424 76778749</t>
  </si>
  <si>
    <t>angeldejesusgudiel87@hotmail.com</t>
  </si>
  <si>
    <t>6162604870001Y</t>
  </si>
  <si>
    <t>VLADIMIR ANTONIO GRANADO BAEZ</t>
  </si>
  <si>
    <t>VLADIMIR</t>
  </si>
  <si>
    <t>BO. SANTA ROSA, PUENTE DESNIVEL 2C. S.  2  1/2 C.O</t>
  </si>
  <si>
    <t>PRADERAS 25 METROS AL ESTE</t>
  </si>
  <si>
    <t>76522018 57015400</t>
  </si>
  <si>
    <t>vladibaez1987@yahoo.com</t>
  </si>
  <si>
    <t>0052404870000S</t>
  </si>
  <si>
    <t>DIANA CRISTELA MONTES RUIZ</t>
  </si>
  <si>
    <t>DIANA</t>
  </si>
  <si>
    <t>CRISTELA</t>
  </si>
  <si>
    <t>SAN FRANCISCO LIBRE</t>
  </si>
  <si>
    <t>BO. CRISTO REY, CEMENTERIO 3C NORTE.1\2C.E. 3C.N</t>
  </si>
  <si>
    <t>DEL CEMENTERIO 3 CUADRAS AL NORTE, 1/2 CUADRA AL ESTE, 3 CUADRAS AL NORTE.</t>
  </si>
  <si>
    <t>3612304870003K</t>
  </si>
  <si>
    <t>VERONICA DEL CARMEN GOMEZ PEREZ</t>
  </si>
  <si>
    <t>VERONICA</t>
  </si>
  <si>
    <t>BO. SAN FRANCISCO, COSTADO ESTE, ESC. JUANITA SOBALVARRO</t>
  </si>
  <si>
    <t>CONTIGUO AL PUESTO DE SALUD MERCADO MUNICIPAL</t>
  </si>
  <si>
    <t>25421013 87187120</t>
  </si>
  <si>
    <t>verosil1108@yahoo.es</t>
  </si>
  <si>
    <t>0812104870002K</t>
  </si>
  <si>
    <t>GRICELDA MARIA HERNANDEZ VILLANUEVA</t>
  </si>
  <si>
    <t>GRICELDA</t>
  </si>
  <si>
    <t>RESIDENCIAL LAS DELICIAS DEL PORTÓN PRINCIPAL 2C. ARRIBA CASA L #405</t>
  </si>
  <si>
    <t>ENTRADA PRINCIPAL, 2 CUADRAS AL ESTE, CASAL-405</t>
  </si>
  <si>
    <t>22255147, 85080695, 86821065</t>
  </si>
  <si>
    <t>86821065 78355180</t>
  </si>
  <si>
    <t>griseldahernandez21@hotmail.es</t>
  </si>
  <si>
    <t>4011904870002V</t>
  </si>
  <si>
    <t>EDGARD ENRIQUE TREJOS GARCIA</t>
  </si>
  <si>
    <t>EDGARD</t>
  </si>
  <si>
    <t>ENRIQUE</t>
  </si>
  <si>
    <t>VI. PEDRO JOAQUIN CHAMORRO, IGLESIA CATOLICA 1C.O. 1C.S. CA. N° K-3-33</t>
  </si>
  <si>
    <t>BANPRO 2C S 1/2C E</t>
  </si>
  <si>
    <t>2811704870002E</t>
  </si>
  <si>
    <t>JUANA DEL SOCORRO RAMIREZ NAVARRETE</t>
  </si>
  <si>
    <t>JUANA</t>
  </si>
  <si>
    <t>VILLA 23 DE JULIO, CASA F-466</t>
  </si>
  <si>
    <t>IGLESIA CATOLICA 1/2 CUADRA AL NORTE</t>
  </si>
  <si>
    <t>5611604870000U</t>
  </si>
  <si>
    <t>JESSICA CAROLINA ARGUELLO BALLADARES</t>
  </si>
  <si>
    <t>JESSICA</t>
  </si>
  <si>
    <t>OXO.1RO DE MAYO, IGLESIA CATOLICA VILLA  FLOR NORTE 9C.N</t>
  </si>
  <si>
    <t>ANEXO 1ERO.MAYO, ENTR.   TEXACO 1C.S. 1C.E. 1C.S.</t>
  </si>
  <si>
    <t>jekarguello@hotmail.com</t>
  </si>
  <si>
    <t>0011604870015W</t>
  </si>
  <si>
    <t>OTONIEL NEFTALI REYES LARIOS</t>
  </si>
  <si>
    <t>OTONIEL</t>
  </si>
  <si>
    <t>NEFTALI</t>
  </si>
  <si>
    <t>CIUDAD SANDINO</t>
  </si>
  <si>
    <t>BO. C. SANDINO, ANT. FARM. CIUSAN 3C.N. 1/2C. AB. 1-10</t>
  </si>
  <si>
    <t>IGLESIA CRISTO VIENE 6 CUADRAS AL ESTE, 1 CUADRAS AL NORTE</t>
  </si>
  <si>
    <t>22690923 85903555</t>
  </si>
  <si>
    <t>otorey@gmail.com otorrey@gmail.com</t>
  </si>
  <si>
    <t>5701404870001X</t>
  </si>
  <si>
    <t>CARLOS DIONICIO MUNGUIA FLORES</t>
  </si>
  <si>
    <t>DIONICIO</t>
  </si>
  <si>
    <t>ESCUELA BALGUE 250MTS AL SUR ALTAGRACIA RIVAS</t>
  </si>
  <si>
    <t>DE LA ESCUELA PRIMARIA 250 METROS  AL SUR.</t>
  </si>
  <si>
    <t>nicho4554@hotmail.com</t>
  </si>
  <si>
    <t>2811104870003S</t>
  </si>
  <si>
    <t>RUDY MOISES LOPEZ HERNANDEZ</t>
  </si>
  <si>
    <t>RUDY</t>
  </si>
  <si>
    <t>MOISES</t>
  </si>
  <si>
    <t>BO. GUADALUPE, DE DONDE FUE EL CINE VARIEDADES 1 1/2C. AL SUR</t>
  </si>
  <si>
    <t>DONDE FUE CINE VARIEDADES,  1 1/2 CUADRA AL SUR</t>
  </si>
  <si>
    <t>1611104870007K</t>
  </si>
  <si>
    <t>FLOR DE MARIA PEREZ CASTILBLANCO</t>
  </si>
  <si>
    <t>FLOR</t>
  </si>
  <si>
    <t>DE MARIA</t>
  </si>
  <si>
    <t>CASTILBLANCO</t>
  </si>
  <si>
    <t>CASA CROSS 1 Y 1/2 CUADRA AL ESTE. BO ARISTEO BENAVIDEZESTELI, ESTELI</t>
  </si>
  <si>
    <t>CASA CROSS 1 1/2 C ESTE</t>
  </si>
  <si>
    <t>fmpc07@yahoo.com</t>
  </si>
  <si>
    <t>2810904870001L</t>
  </si>
  <si>
    <t>MARJORIE TERESA RUIZ NARVAEZ</t>
  </si>
  <si>
    <t>TERESA</t>
  </si>
  <si>
    <t>COMPLEJO HABITACIONAL MODESTO ESPINAL 7ma CALLE CASA M-20</t>
  </si>
  <si>
    <t>SEPTIMA CALLE. CASA N-20</t>
  </si>
  <si>
    <t>jorieruiznarva@yahoo.es</t>
  </si>
  <si>
    <t>0810904870003K</t>
  </si>
  <si>
    <t>ROSA YERLIN VALLE MENDOZA</t>
  </si>
  <si>
    <t>YERLIN</t>
  </si>
  <si>
    <t>BO. PEDRO JOAQUIN CHAMORRO, SECTOR NO. 2, FRENTE A CLINICA PEREZ CASTILLO</t>
  </si>
  <si>
    <t>PUENTE EL ESPINO, 100 VARAS AL NORTE.</t>
  </si>
  <si>
    <t>0850804870000Y</t>
  </si>
  <si>
    <t>BERNARDO JHOEL RUIZ ZAPATA</t>
  </si>
  <si>
    <t>BERNARDO</t>
  </si>
  <si>
    <t>JHOEL</t>
  </si>
  <si>
    <t>POSOLTEGA</t>
  </si>
  <si>
    <t>LINDA VISTA CALLE PPAL CASA 2</t>
  </si>
  <si>
    <t>0810804870009P</t>
  </si>
  <si>
    <t>JOSIAS OTONIEL ZAMORA</t>
  </si>
  <si>
    <t>JOSIAS</t>
  </si>
  <si>
    <t>RPTO. CAMILO ORTEGA COST. S. INST. TOMAS RUIZ</t>
  </si>
  <si>
    <t>COSTADO SUR INSTITUTO TOMAS RUIZ ROMERO</t>
  </si>
  <si>
    <t>josiasjunieth84@hotmail.com</t>
  </si>
  <si>
    <t>0010704870005R</t>
  </si>
  <si>
    <t>CARLOS EDUARDO ALVARADO FIGUEROA</t>
  </si>
  <si>
    <t>EDUARDO</t>
  </si>
  <si>
    <t>BO. CHE GUEVARA, RASTRO MUNICIPAL 3c SUR</t>
  </si>
  <si>
    <t>DEL RASTRO MUNICIPAL 3C.SUR</t>
  </si>
  <si>
    <t>realvarado87@gmail.com</t>
  </si>
  <si>
    <t>2810404870000Y</t>
  </si>
  <si>
    <t>ALEJANDRO CESAR GONZALEZ CASTRO</t>
  </si>
  <si>
    <t>ALEJANDRO</t>
  </si>
  <si>
    <t>BO. SAN ANTONIO SUR, C/SALUD 1c S.  1 1/2c E.</t>
  </si>
  <si>
    <t>CASA CURAL 1 CUADRA AL SUR, 1 1/2 CUADRA AL ESTE</t>
  </si>
  <si>
    <t>3610404870001R</t>
  </si>
  <si>
    <t>ARENA CINDY SEQUEIRA HERNANDEZ</t>
  </si>
  <si>
    <t>ARENA</t>
  </si>
  <si>
    <t>CINDY</t>
  </si>
  <si>
    <t>SANTA LUCÍA</t>
  </si>
  <si>
    <t>SECTOR No.7, DEL CENTRO DE SALUD 1c AL SUR</t>
  </si>
  <si>
    <t>DE DONDE FUE EL RESTAURANTE CHINA 2 CUADRAS  AL SUR, 1/2 CUADRA AL ESTE.</t>
  </si>
  <si>
    <t>asequeira87@yahoo.com</t>
  </si>
  <si>
    <t>2810304870003A</t>
  </si>
  <si>
    <t>GLADYS MARIA GARCIA DELGADO</t>
  </si>
  <si>
    <t>BO. SUBTIAVA, DEL BANIC 2C. SUR, 20VRS ABAJO</t>
  </si>
  <si>
    <t>FRENTE  AL ANTIGUO HOSPITAL SAN VICENTE</t>
  </si>
  <si>
    <t>23112180 88302792</t>
  </si>
  <si>
    <t>2810204870005A</t>
  </si>
  <si>
    <t>ARELLIS LUCIA AVENDAÑO REYES</t>
  </si>
  <si>
    <t>ARELLIS</t>
  </si>
  <si>
    <t>BO. EL COYOLAR, DR. CAYETANO MUNGUIA 5C. E. 1C. SUR</t>
  </si>
  <si>
    <t>CLINICA DR. CAYETANO MUNGUIA 5 CUADRAS AL ESTE. 1 CUADRA AL SUR</t>
  </si>
  <si>
    <t>23114056 82371737</t>
  </si>
  <si>
    <t>2810204870006B</t>
  </si>
  <si>
    <t>CARLOS ROMUALDO ESPINOZA OROZCO</t>
  </si>
  <si>
    <t>ROMUALDO</t>
  </si>
  <si>
    <t>RPTO. SAN CARLOS, 6TA. CALLE CASA NO. 615</t>
  </si>
  <si>
    <t>6TA CALLE,  CASA # 615</t>
  </si>
  <si>
    <t>88944130 86994724</t>
  </si>
  <si>
    <t>catama022709@yahoo.es</t>
  </si>
  <si>
    <t>5210204870001U</t>
  </si>
  <si>
    <t>YURI LIZETT BETANCURT</t>
  </si>
  <si>
    <t>YURI</t>
  </si>
  <si>
    <t>LIZETT</t>
  </si>
  <si>
    <t>SECTOR.4 DEL BAR OJO DE AGUA 50 MTS.N</t>
  </si>
  <si>
    <t>DEL BAR OJO DE AGUA, 50 VARAS AL NORTE.</t>
  </si>
  <si>
    <t>4013103870003R</t>
  </si>
  <si>
    <t>ALEJANDRA MARIA RIVAS ORTIZ</t>
  </si>
  <si>
    <t>PLAZA PEDRO JOAQUIN CHAMORRO 11/2 C.AL OESTE</t>
  </si>
  <si>
    <t>PLAZA PEDRO JOAQUIN CHAMORRO 1,1/2C.OESTE</t>
  </si>
  <si>
    <t>alexa_amro@yahoo.com</t>
  </si>
  <si>
    <t>0443103870000E</t>
  </si>
  <si>
    <t>SANTIAGO DE JESÚS ACEVEDO MORA</t>
  </si>
  <si>
    <t>SANTIAGO</t>
  </si>
  <si>
    <t>DE JESÚS</t>
  </si>
  <si>
    <t>CMCA. CALIGUATE ESCUELA PEDRO JOAQUIN 200MTS.N.</t>
  </si>
  <si>
    <t>KILOMETRO 9.3 CARRETERA NUEVA A LEON 800 METROS AL OESTE 2 CUADRAS AL SUR</t>
  </si>
  <si>
    <t>santy310388@gmail.com</t>
  </si>
  <si>
    <t>2813003870012M</t>
  </si>
  <si>
    <t>DOUGLAS GEOVANNY ZAVALA BRIONES</t>
  </si>
  <si>
    <t>DOUGLAS</t>
  </si>
  <si>
    <t>GEOVANNY</t>
  </si>
  <si>
    <t>BO. SAN JUAN, FERR. MORALES 1/2C.OESTE</t>
  </si>
  <si>
    <t>HIELERA CELSA 1 CUADRA  AL ESTE ,25 VARAS SUR</t>
  </si>
  <si>
    <t>0013003870046E</t>
  </si>
  <si>
    <t>ANA PATRICIA ARCIA FRANCHINI</t>
  </si>
  <si>
    <t>FRANCHINI</t>
  </si>
  <si>
    <t>BO. SAN JOSE ORIENTAL, DE DONDE FUE CINE SALINAS 1C.N. 1C.E.</t>
  </si>
  <si>
    <t>BO. SN.JOSE ORIENTAL,DDF.CI. SALINAS 1C.N. 1C.E.</t>
  </si>
  <si>
    <t>0012903870027G</t>
  </si>
  <si>
    <t>MARIA KARINA GAITAN ICAZA</t>
  </si>
  <si>
    <t>KARINA</t>
  </si>
  <si>
    <t>ICAZA</t>
  </si>
  <si>
    <t>FARMACIA SALAZAR 1 1/2 CUADRAS AL ESTE, CASA NO. 464</t>
  </si>
  <si>
    <t>22601596 88625442</t>
  </si>
  <si>
    <t>3612903870000N</t>
  </si>
  <si>
    <t>JOSE GUILLERMO NARVAEZ CAMPOS</t>
  </si>
  <si>
    <t>GUILLERMO</t>
  </si>
  <si>
    <t>BO. SAN NICOLAS, AVENIDA MONSEÑOR SANTA MARIA PUESTO DE AGUA EL TAMARINDO 50VRS.N.</t>
  </si>
  <si>
    <t>POZO PUBLICO EL TAMARINDO 50 VARAS AL NORTE</t>
  </si>
  <si>
    <t>josephwillians@yahoo.es</t>
  </si>
  <si>
    <t>0012803870053H</t>
  </si>
  <si>
    <t>ELENA DEL CARMEN VARGAS PALACIOS</t>
  </si>
  <si>
    <t>ELENA</t>
  </si>
  <si>
    <t>COL. EL PERIODISTA, CA. DEL PERIODISTA 1 1/2C. S. CA. 27</t>
  </si>
  <si>
    <t>CASA DEL PERIODISTA, 1 CUADRA AL  SUR, CASA #27.</t>
  </si>
  <si>
    <t>89898984 78465400 88823103</t>
  </si>
  <si>
    <t>elenavargas_87@yahoo.fr</t>
  </si>
  <si>
    <t>5612803870002R</t>
  </si>
  <si>
    <t>OLINYER ENRIQUE PALACIO REYES</t>
  </si>
  <si>
    <t>OLINYER</t>
  </si>
  <si>
    <t>TOLA</t>
  </si>
  <si>
    <t>CMCA. EL ASTILLERO, IGL. EVANGELICA 100VRS, O.</t>
  </si>
  <si>
    <t>DE LA IGLESIA EVANGELICA 100 VARAS AL OESTE</t>
  </si>
  <si>
    <t>olinyerp@yahoo.es</t>
  </si>
  <si>
    <t>0812703870000P</t>
  </si>
  <si>
    <t>MARIO JOSE BALMACEDA</t>
  </si>
  <si>
    <t>MARIO</t>
  </si>
  <si>
    <t>BO. EL CALVARIO FUNERARIA LA PIADOSA 2C.N. 25VRS.O.</t>
  </si>
  <si>
    <t>FUNERARIA PIADOSA, 2 CUADRAS AL NORTE, 25 VARAS AL OESTE, MANO DERECHA, CASA  # 2</t>
  </si>
  <si>
    <t>6072503870002K</t>
  </si>
  <si>
    <t>MARIA RAFAELA CASTRO GABRIEL</t>
  </si>
  <si>
    <t>RAFAELA</t>
  </si>
  <si>
    <t>GABRIEL</t>
  </si>
  <si>
    <t>FRENTE A RADIO VECA</t>
  </si>
  <si>
    <t>27922298 84395975</t>
  </si>
  <si>
    <t>1212403870002F</t>
  </si>
  <si>
    <t>MODESTO ARLY CAMPOS ZUNIGA</t>
  </si>
  <si>
    <t>MODESTO</t>
  </si>
  <si>
    <t>ARLY</t>
  </si>
  <si>
    <t>JUIGALPA</t>
  </si>
  <si>
    <t>ZONA No.2 ESSO  4c O. 1c N.  1/2c O.</t>
  </si>
  <si>
    <t>GASOLINERA PUMA 4 CUADRAS AL OESTE, 1 CUADRA AL NORTE, 1/2 CUADRA AL OESTE.</t>
  </si>
  <si>
    <t>85451560 84915855</t>
  </si>
  <si>
    <t>1272303870002H</t>
  </si>
  <si>
    <t>DANILO ANTONIO GUILLEN GARCIA</t>
  </si>
  <si>
    <t>DANILO</t>
  </si>
  <si>
    <t>BO. PEDRO JOAQUIN CHAMORRO, ESCUELA MAXIMO JEREZ 100 VRS. N</t>
  </si>
  <si>
    <t>DE LA ESCUELA MAXIMO JEREZ 100 VARAS AL NORTE</t>
  </si>
  <si>
    <t>jerusalenjerusalen@hotmail.com</t>
  </si>
  <si>
    <t>2432103870000T</t>
  </si>
  <si>
    <t>JENY MAYELA BLANDON MONZON</t>
  </si>
  <si>
    <t>JENY</t>
  </si>
  <si>
    <t>MAYELA</t>
  </si>
  <si>
    <t>MONZON</t>
  </si>
  <si>
    <t>ZONA NO.2, POLICIA NACIONAL 1C.NORTE</t>
  </si>
  <si>
    <t>DE LA POLICIA NACIONAL 1 CUADRA AL NORTE</t>
  </si>
  <si>
    <t>27853169 87342021</t>
  </si>
  <si>
    <t>6112003870000R</t>
  </si>
  <si>
    <t>NAVARRO DANILO ERANTS SEBASTIAN</t>
  </si>
  <si>
    <t>SEBASTIAN</t>
  </si>
  <si>
    <t>BONANZA</t>
  </si>
  <si>
    <t>COMARCA MUSAWAS CONTIGO A LUCIANA DEVIS</t>
  </si>
  <si>
    <t>CONTIGUO A LA CASA DEL SEÑOR JUAN MENDOZA</t>
  </si>
  <si>
    <t>daniloerants2019@gmail.com, naverants2019@yahoo.com</t>
  </si>
  <si>
    <t>4541903870001K</t>
  </si>
  <si>
    <t>EXEQUIEL AGUINAGA CRUZ</t>
  </si>
  <si>
    <t>EXEQUIEL</t>
  </si>
  <si>
    <t>VI. RECONCILIACIÓN, SEMAFOROROS MAYOREO 6C. O. 2C. N. 1C. O.</t>
  </si>
  <si>
    <t>ENTRADA VENTENCITA SEGUNDO CALLEJON SEGUNDA CASA</t>
  </si>
  <si>
    <t>eacejamshaar@hotmail.com</t>
  </si>
  <si>
    <t>5211503870000Q</t>
  </si>
  <si>
    <t>HENRY MEZA MAIRENA</t>
  </si>
  <si>
    <t>HENRY</t>
  </si>
  <si>
    <t>CMCA. VALLE GUADALUPE,FINCA PALO VERDE</t>
  </si>
  <si>
    <t>CAS. VALLE DE GUADALUPE, ESCUELA 1KM.NORTE</t>
  </si>
  <si>
    <t>hmezamairenahk@hotmail.com</t>
  </si>
  <si>
    <t>2811403870003S</t>
  </si>
  <si>
    <t>JOSE FRANCISCO RAMIREZ ZAMORA</t>
  </si>
  <si>
    <t>FRANCISCO</t>
  </si>
  <si>
    <t>LA TRINIDAD</t>
  </si>
  <si>
    <t>BO, SAN JOSE, ILG. SAN JOSE 1/2C. SUR</t>
  </si>
  <si>
    <t>PLAZA CARIDAD 2 CUADRAS OESTE 1 CUADRA SUR</t>
  </si>
  <si>
    <t>23117074 88583599</t>
  </si>
  <si>
    <t>0011403870009E</t>
  </si>
  <si>
    <t>CARLOS ALBERTO MENA ARAUZ</t>
  </si>
  <si>
    <t>ALBERTO</t>
  </si>
  <si>
    <t>BO. SELIM SHIBLE PERFECTA 5C AL NORTE 2C AL ESTE</t>
  </si>
  <si>
    <t>DE LA ASAMBLEA DE DIOS 1/2 CUADRA AL OESTE</t>
  </si>
  <si>
    <t>22494072 84690131</t>
  </si>
  <si>
    <t>1611003870011F</t>
  </si>
  <si>
    <t>MASSIELL KAROLINA ZELEDON ZELEDON</t>
  </si>
  <si>
    <t>MASSIELL</t>
  </si>
  <si>
    <t>KAROLINA</t>
  </si>
  <si>
    <t>BO. ARLEN SIU, COSTADO NORTE ESCUELA NORMAL MARIA MAIRENA</t>
  </si>
  <si>
    <t>DELPORTON PRINCIPAL DELA NORMAL 100 VARAS AL NORTE, 25 VARAS AL OESTE.</t>
  </si>
  <si>
    <t>0010903870002L</t>
  </si>
  <si>
    <t>FRANCISCO STEVE CONTRERAS BERMUDEZ</t>
  </si>
  <si>
    <t>STEVE</t>
  </si>
  <si>
    <t>BO. LOMAS DE GUADALUPE, ALCALDIA DISTRITO VII 1.C.S</t>
  </si>
  <si>
    <t>BO LOMAS DE GUADALUPE COLEGIO SORDOMUDO 1C AL SUR</t>
  </si>
  <si>
    <t>58110213, 81468277</t>
  </si>
  <si>
    <t>drcontreras1987@gmail.com, drfranksteve@yahoo.es</t>
  </si>
  <si>
    <t>6030603870000W</t>
  </si>
  <si>
    <t>NOEL LEON RUIZ</t>
  </si>
  <si>
    <t>NOEL</t>
  </si>
  <si>
    <t>CMCA.LOS CHILES,CENTRO DE SALUD 100 MTS.E</t>
  </si>
  <si>
    <t>DEL   CENTRO DE SALUD 100 METROS AL ESTE</t>
  </si>
  <si>
    <t>leonruizn@yahoo.es</t>
  </si>
  <si>
    <t>0810503870005W</t>
  </si>
  <si>
    <t>JOSE RICARGO MENECES PERAZA</t>
  </si>
  <si>
    <t>RICARGO</t>
  </si>
  <si>
    <t>PERAZA</t>
  </si>
  <si>
    <t>DE DONDE FUE GALLO Y VILLA 1C.ARRIBA 11/2 C.AL SUR</t>
  </si>
  <si>
    <t>CASA NO. 125</t>
  </si>
  <si>
    <t>0030403870000H</t>
  </si>
  <si>
    <t>JOSE APARICIO ARTOLA NOGUERA</t>
  </si>
  <si>
    <t>APARICIO</t>
  </si>
  <si>
    <t>COMALAPA</t>
  </si>
  <si>
    <t>BO. SANTA ROSA, DE DONDE FUE FANISA, 2C. O. 2C. N.</t>
  </si>
  <si>
    <t>ALCALDIA DE COMALAPA 2CUADRAS AL OESTE, 1/2 CUADRAS AL SUR.</t>
  </si>
  <si>
    <t>apariciotuhombre@gmail.com</t>
  </si>
  <si>
    <t>1650303870002A</t>
  </si>
  <si>
    <t>ALEYDA MARGARITA AGUINAGA PEREZ</t>
  </si>
  <si>
    <t>ALEYDA</t>
  </si>
  <si>
    <t>SÉBACO</t>
  </si>
  <si>
    <t>SEBACO</t>
  </si>
  <si>
    <t>BO. LINDA VISTA ,PORTON GRANERO 2 1/2C.NORTE</t>
  </si>
  <si>
    <t>DEL PORTON DEL GRANERO 2 1/2 CUADRA AL NORTE</t>
  </si>
  <si>
    <t>87301549 88291131</t>
  </si>
  <si>
    <t>0010303870003Y</t>
  </si>
  <si>
    <t>YARA AMANDA ROMERO PASTRAN</t>
  </si>
  <si>
    <t>YARA</t>
  </si>
  <si>
    <t>AMANDA</t>
  </si>
  <si>
    <t>PASTRAN</t>
  </si>
  <si>
    <t>BO. SAN JUDAS RASPADOS LOLY 6C. SUR 1C. ABAJO</t>
  </si>
  <si>
    <t>DE LOS RASPADOS LOLY 6 CUADRAS AL SUR, 1 CUADRA OESTE. MANO DERECHA</t>
  </si>
  <si>
    <t>22539667 88731116</t>
  </si>
  <si>
    <t>5610303870006R</t>
  </si>
  <si>
    <t>AMALIA DEL CARMEN ROBLETO SEQUEIRA</t>
  </si>
  <si>
    <t>AMALIA</t>
  </si>
  <si>
    <t>BELÉN</t>
  </si>
  <si>
    <t>BELEN</t>
  </si>
  <si>
    <t>COMARCA CHACALAPA, COOPERATIVA 50MTS.S</t>
  </si>
  <si>
    <t>CMCA. CHACALAPA, COOP. 50MTS.S.</t>
  </si>
  <si>
    <t>robleto03@yahoo.com</t>
  </si>
  <si>
    <t>0050103870000L</t>
  </si>
  <si>
    <t>JUAN JOSE ALVARADO ESPINOZA</t>
  </si>
  <si>
    <t>CMCA. LAUREL GALAN, PUENTE 100VRS.S. 300VRS.O.</t>
  </si>
  <si>
    <t>DEL PUESTE LAUREL 100 METROS AL SUR 300 METROS AL OESTE</t>
  </si>
  <si>
    <t>0412802870004T</t>
  </si>
  <si>
    <t>FREDDY SANTIAGO OBANDO PEREZ</t>
  </si>
  <si>
    <t>FREDDY</t>
  </si>
  <si>
    <t>CMCA. LOS ENCUENTROS, IGL. CATOLICA 1/2C.S. 25MTS.E.</t>
  </si>
  <si>
    <t>IGLESIA CATOLICA CUADRA ALSUR 25 METROS AL ESTA</t>
  </si>
  <si>
    <t>2042702870000W</t>
  </si>
  <si>
    <t>ISMAEL ISAC ROSALES SANCHEZ</t>
  </si>
  <si>
    <t>ISMAEL</t>
  </si>
  <si>
    <t>ISAC</t>
  </si>
  <si>
    <t>LAGUNA DE PERLAS</t>
  </si>
  <si>
    <t>BO. 4 DE MAYO</t>
  </si>
  <si>
    <t>CONTIGUO AL CENTRO DE SALUD</t>
  </si>
  <si>
    <t>0812602870001G</t>
  </si>
  <si>
    <t>ARELIS EUNISE FLORES ROQUE</t>
  </si>
  <si>
    <t>ARELIS</t>
  </si>
  <si>
    <t>EUNISE</t>
  </si>
  <si>
    <t>CMCA. ASERRADORES, FTE. A LA IGLESIA APOSTOLICA</t>
  </si>
  <si>
    <t>FRENTE ENTRADA COMARCA ASERRADORES</t>
  </si>
  <si>
    <t>2812502870001H</t>
  </si>
  <si>
    <t>EDITH MARGARITA REYES ALVARADO</t>
  </si>
  <si>
    <t>EDITH</t>
  </si>
  <si>
    <t>AL SAN JOSE 1/2C.SUR LEON</t>
  </si>
  <si>
    <t>IG.SAN JOSE 50 VRS.SUR</t>
  </si>
  <si>
    <t>4012402870001S</t>
  </si>
  <si>
    <t>MARIA JOSE VALLE VASQUEZ</t>
  </si>
  <si>
    <t>DIRIÁ</t>
  </si>
  <si>
    <t>DIRIA</t>
  </si>
  <si>
    <t>BO.RICARDO RIVERA ,PARQUE 51\2C. AL SUR</t>
  </si>
  <si>
    <t>PARQUE 5 CUADRAS AL SUR</t>
  </si>
  <si>
    <t>2812402870001F</t>
  </si>
  <si>
    <t>IVETTE CRISTINA REYES BARRETO</t>
  </si>
  <si>
    <t>IVETTE</t>
  </si>
  <si>
    <t>CRISTINA</t>
  </si>
  <si>
    <t>LARREYNAGA</t>
  </si>
  <si>
    <t>BO. ERASMO CUADRA, ARBOLITO 1C. AL SUR</t>
  </si>
  <si>
    <t>DEL POLLO TIP TOP 2 CUADRA AL SUR</t>
  </si>
  <si>
    <t>23160209 57067956</t>
  </si>
  <si>
    <t>malo-v@yahoo.com</t>
  </si>
  <si>
    <t>2812402870009P</t>
  </si>
  <si>
    <t>JAIRO JASSER CARRION TERCERO</t>
  </si>
  <si>
    <t>JAIRO</t>
  </si>
  <si>
    <t>JASSER</t>
  </si>
  <si>
    <t>RPTO. ANDRES ZAPATA, MONDONGO HOT 1 1/2C.O</t>
  </si>
  <si>
    <t>MONDONGO HOT 1 1/2 CUADRA AL OESTE</t>
  </si>
  <si>
    <t>88557170 84583398</t>
  </si>
  <si>
    <t>stph24@outlook.com</t>
  </si>
  <si>
    <t>4492102870001V</t>
  </si>
  <si>
    <t>SUJEY DEL CARMEN SUAREZ CASTILLO</t>
  </si>
  <si>
    <t>SUJEY</t>
  </si>
  <si>
    <t>CIUDAD DARÍO</t>
  </si>
  <si>
    <t>CIUDAD DARIO</t>
  </si>
  <si>
    <t>BO. SAN ANTONIO COOP. FUNDE 1C.NORTE</t>
  </si>
  <si>
    <t>COOPERATIVA FUNDE, 1 CUADRA AL NORTE, 20 VARAS AL ESTE</t>
  </si>
  <si>
    <t>4291902870000N</t>
  </si>
  <si>
    <t>EDDY ALBERTO BLANDON ARAUZ</t>
  </si>
  <si>
    <t>EDDY</t>
  </si>
  <si>
    <t>WIWILÍ DE JINOTEGA</t>
  </si>
  <si>
    <t>SECTOR UNO FRENTE ESCUELA DIRIANGEN</t>
  </si>
  <si>
    <t>4411802870001A</t>
  </si>
  <si>
    <t>PAOLA MARIZA PRAVIA OROZCO</t>
  </si>
  <si>
    <t>PAOLA</t>
  </si>
  <si>
    <t>MARIZA</t>
  </si>
  <si>
    <t>BO. GUANUCA, DISTRIBUIDORA MAYRA 2C.O. 1/2C.S.</t>
  </si>
  <si>
    <t>DISTRIBUIDORA MAYRA 2 CUADRAS AL OESTE 1/2 CUADRA AL SUR</t>
  </si>
  <si>
    <t>27722869 89257172</t>
  </si>
  <si>
    <t>paolapravia@gmail.com</t>
  </si>
  <si>
    <t>2011602870003Y</t>
  </si>
  <si>
    <t>VANESSA AUXILIADORA CHAVEZ MENOCAL</t>
  </si>
  <si>
    <t>MENOCAL</t>
  </si>
  <si>
    <t>BO. KARLA C. ESTRADA SHELL PALMIRA 1C.ESTE</t>
  </si>
  <si>
    <t>SHELL PALMIRA 1 CUADRA ESTE.</t>
  </si>
  <si>
    <t>25524046 25524046</t>
  </si>
  <si>
    <t>vane_16_03@hotmail.com</t>
  </si>
  <si>
    <t>0011602870029Y</t>
  </si>
  <si>
    <t>MARIA JOSE SALINAS GARCIA</t>
  </si>
  <si>
    <t>OCOTAL</t>
  </si>
  <si>
    <t>COLONIA FRANCISCO MORAZAN DE LA IGLESIA SANTA GEMA 1C. AL LAGO, 1/2C. ABAJO, CASA A 115</t>
  </si>
  <si>
    <t>DE COMISARIATO 1 CUADRA AL ESTE</t>
  </si>
  <si>
    <t>3241302870001E</t>
  </si>
  <si>
    <t>SANDRA AZUCENA IGLESIAS CASCO</t>
  </si>
  <si>
    <t>SANDRA</t>
  </si>
  <si>
    <t>AZUCENA</t>
  </si>
  <si>
    <t>PALACAGUINA</t>
  </si>
  <si>
    <t>CMCA.RIO GRANDE,CONTIGUO ESCUELA</t>
  </si>
  <si>
    <t>FRENTE AL PRIMER POZO PUBLICO</t>
  </si>
  <si>
    <t>2811102870003E</t>
  </si>
  <si>
    <t>CLAUDIA ELENA CHEVEZ VILLAVICENCIO</t>
  </si>
  <si>
    <t>CLAUDIA</t>
  </si>
  <si>
    <t>VILLAVICENCIO</t>
  </si>
  <si>
    <t>BO.EL SAGRACIO,COST.SUR HEODRA 1\2.OESTE</t>
  </si>
  <si>
    <t>COSTADO SUR HEODRA 1/2 CUADRA AL OESTE</t>
  </si>
  <si>
    <t>0871102870002E</t>
  </si>
  <si>
    <t>BAYRON RAFAEL ZEPEDA MARTINES</t>
  </si>
  <si>
    <t>BAYRON</t>
  </si>
  <si>
    <t>RAFAEL</t>
  </si>
  <si>
    <t>MARTINES</t>
  </si>
  <si>
    <t>PUERTO MORAZÁN</t>
  </si>
  <si>
    <t>PUERTO MORAZAN</t>
  </si>
  <si>
    <t>BO. GERMAN POMARES, DEL CINE 1C.S, 1/2C.E</t>
  </si>
  <si>
    <t>CINE GONZALEZ, 1 CUADRA AL SUR, 1/2 CUADRA AL ESTE</t>
  </si>
  <si>
    <t>rafazepeda@yahoo.com</t>
  </si>
  <si>
    <t>2011002870005N</t>
  </si>
  <si>
    <t>MARIA GABRIELA PARRALES ESTRADA</t>
  </si>
  <si>
    <t>CALLE ESTRADA, CALZADO SANDAK 2 1/2C.OESTE</t>
  </si>
  <si>
    <t>DE LA IGLESIA CATOLICA, 35 VARAS AL OESTE, 1 CUADRA AL SUR, 70 VARAS AL OESTE, M/I, CASA 421</t>
  </si>
  <si>
    <t>0011002870006L</t>
  </si>
  <si>
    <t>YURI DEL CARMEN TORREZ NARVAEZ</t>
  </si>
  <si>
    <t>BO. VISTA XOLOTLAN DONDE FUE SANDAK IVÁN MONTENEGRO  10C. S. 2 C. O.</t>
  </si>
  <si>
    <t>SEMAFOROS DEL MERCADO IVAN MONTENEGRO, 10 CUADRAS AL SUR, 1 1/2 CUADRAS AL OESTE. CASA A MANO IZQUIERDA.</t>
  </si>
  <si>
    <t>yuritorr32@gmail.com</t>
  </si>
  <si>
    <t>0810602870011Y</t>
  </si>
  <si>
    <t>GEOVANNY JAVIER PARADA REYES</t>
  </si>
  <si>
    <t>RPTO. JOSE BENITO CENTENO, ERMITA CATOLICA 1C. O. 25VRS. N.</t>
  </si>
  <si>
    <t>ERMITA.CATOLICA,  1 CUADRA OESTE. 25 VARAS NORTE.</t>
  </si>
  <si>
    <t>23403308 86773607</t>
  </si>
  <si>
    <t>1220502870000X</t>
  </si>
  <si>
    <t>KAHOMARA ELIZABETH SEVILLA OROZCO</t>
  </si>
  <si>
    <t>KAHOMARA</t>
  </si>
  <si>
    <t>ELIZABETH</t>
  </si>
  <si>
    <t>ACOYAPA</t>
  </si>
  <si>
    <t>ZONA B, ESCUELA SIMON BOLIVAR 1/2C. S</t>
  </si>
  <si>
    <t>CENTRO ESCOLAR SIMON BOLIVAR 1/2 CUADRA AL SUR</t>
  </si>
  <si>
    <t>kahito05@hotmail.com</t>
  </si>
  <si>
    <t>2410502870000S</t>
  </si>
  <si>
    <t>REYNALDO JOSE OLIVAS GUTIERREZ</t>
  </si>
  <si>
    <t>REYNALDO</t>
  </si>
  <si>
    <t>BO. ALFREDO ALEGRIA, OFICINA LOS PIPITOS 25VRS.N.</t>
  </si>
  <si>
    <t>BARRIO EL JOCOTE, CDI 20VRS.AL SUR</t>
  </si>
  <si>
    <t>DOCTOR EN MEDICINA Y CIRUGÍA</t>
  </si>
  <si>
    <t>240719hc@gmail.com</t>
  </si>
  <si>
    <t>6100402870000H</t>
  </si>
  <si>
    <t>YAMILETH DEL CARMEN RIVAS DUARTE</t>
  </si>
  <si>
    <t>YAMILETH</t>
  </si>
  <si>
    <t>BO. JORGE NAVARRO, VEC. TERESA DUARTE</t>
  </si>
  <si>
    <t>BO.JORGE NAVARRO, VECINO TERESA DUARTE</t>
  </si>
  <si>
    <t>0010402870011D</t>
  </si>
  <si>
    <t>TAIRID NAIN ARAUZ GONZALEZ</t>
  </si>
  <si>
    <t>TAIRID</t>
  </si>
  <si>
    <t>NAIN</t>
  </si>
  <si>
    <t>Bo BATAHOLA SUR,DE DONDE FUE EMBAJADA AMERICANA 1C AL SUR.4C.O</t>
  </si>
  <si>
    <t>SE SITEL 1 CUADRA AL SUR, 4 CUADRAS AL OESTE. CASA NO.440</t>
  </si>
  <si>
    <t>tairidnain@gmail.com</t>
  </si>
  <si>
    <t>1610102870001T</t>
  </si>
  <si>
    <t>LOHANA JULISSA ZELEDON</t>
  </si>
  <si>
    <t>LOHANA</t>
  </si>
  <si>
    <t>JULISSA</t>
  </si>
  <si>
    <t>COL. MILITAR VI. TISCAPA 2 ETAPA CASA 183</t>
  </si>
  <si>
    <t>PORTON PRINCIPAL COLEGIO SAN FRANCISCO 1 CUADRA  OESTE.</t>
  </si>
  <si>
    <t>5610102870002B</t>
  </si>
  <si>
    <t>ARIANA PATRICIA RUIZ CHAMORRO</t>
  </si>
  <si>
    <t>ARIANA</t>
  </si>
  <si>
    <t>CHAMORRO</t>
  </si>
  <si>
    <t>BO. JOSE A. GALEANO, DDF. ENABAS 600MTS.OESTE</t>
  </si>
  <si>
    <t>ANTIGUAS BODEGAS ENABAS, 600 METROS AL OESTE</t>
  </si>
  <si>
    <t>85885542 89963567</t>
  </si>
  <si>
    <t>ariruiz87a@yahoo.com</t>
  </si>
  <si>
    <t>0013001870021P</t>
  </si>
  <si>
    <t>LUIS CARLOS RODRIGUEZ PEÑA</t>
  </si>
  <si>
    <t>ZONA A HOSPEDAJE CHIRIQUI</t>
  </si>
  <si>
    <t>HOSPEDAJE CHIRIQUI</t>
  </si>
  <si>
    <t>luisarce_87@yahoo.es</t>
  </si>
  <si>
    <t>4892801870002B</t>
  </si>
  <si>
    <t>ELIUD NECTALI SANCHEZ SANCHEZ</t>
  </si>
  <si>
    <t>ELIUD</t>
  </si>
  <si>
    <t>NECTALI</t>
  </si>
  <si>
    <t>SAN FERNANDO</t>
  </si>
  <si>
    <t>SECTOR 8, SUPER MERCADO PALI, 1 CUADRA AL ESTE Y 1/2 CUADRA AL NORTE</t>
  </si>
  <si>
    <t>DE LA IGLESIA CATOLICA 2 CUADRAS AL SUR</t>
  </si>
  <si>
    <t>78609364, 86340718</t>
  </si>
  <si>
    <t>bamdrake.14@hotmail.com</t>
  </si>
  <si>
    <t>2412801870004Q</t>
  </si>
  <si>
    <t>XOCHILT GRICELA ARAUZ MEJIA</t>
  </si>
  <si>
    <t>XOCHILT</t>
  </si>
  <si>
    <t>GRICELA</t>
  </si>
  <si>
    <t>BO GERMAN POMARES  I ETAPA CAS COMUNAL 1C AL SUR</t>
  </si>
  <si>
    <t>CASA COMUNAL 1 CUADRA AL SUR</t>
  </si>
  <si>
    <t>87391037 27826974</t>
  </si>
  <si>
    <t>2812701870002G</t>
  </si>
  <si>
    <t>KARELIA LUCIA CRUZ VANEGAS</t>
  </si>
  <si>
    <t>KARELIA</t>
  </si>
  <si>
    <t>BO. SUTIAVA, GASOLINERA UNO 2C. N. 1/2C. E.</t>
  </si>
  <si>
    <t>GASOLINERA UNO, 2 CUADRAS AL NORTE, 1/2 CUADRA AL ESTE</t>
  </si>
  <si>
    <t>23153201 82230467</t>
  </si>
  <si>
    <t>cinderellanica@yahoo.es</t>
  </si>
  <si>
    <t>6012001870003H</t>
  </si>
  <si>
    <t>GERALEE ALEXA HODGSON BENDLISS</t>
  </si>
  <si>
    <t>GERALEE</t>
  </si>
  <si>
    <t>ALEXA</t>
  </si>
  <si>
    <t>BENDLISS</t>
  </si>
  <si>
    <t>CIUDAD DE BLUEFIELDS, BARRIO BEHOLDEN, ENFRENTE DE LA IGLESIA MORAVA</t>
  </si>
  <si>
    <t>, DETRAS  DE LA IGLESIA MORAVO</t>
  </si>
  <si>
    <t>0012001870073Y</t>
  </si>
  <si>
    <t>NUBIA PATRICIA BORGE ZAPATA</t>
  </si>
  <si>
    <t>NUBIA</t>
  </si>
  <si>
    <t>BO. CAMILO CHAMORRO, ROCARGO 2C.N. 1C.E. 1/2C.S.</t>
  </si>
  <si>
    <t>ANTIGUA ROCARGO, 2 CUADRAS NORTE, 1 CUADRA ESTE, 1/2 CUADRA SUR.</t>
  </si>
  <si>
    <t>4011901870000Y</t>
  </si>
  <si>
    <t>LUISA MARCELA URBINA MEMBREÑO</t>
  </si>
  <si>
    <t>LUISA</t>
  </si>
  <si>
    <t>MARCELA</t>
  </si>
  <si>
    <t>ZONA #4 CEMENTERIO DE NINDIRI 3C AL NORTE, 3C AL OESTE.</t>
  </si>
  <si>
    <t>RPTO.UNION, CEMENTERIO 3C.NORTE 3C.OESTE</t>
  </si>
  <si>
    <t>25281174 57623275</t>
  </si>
  <si>
    <t>marcelaurbina93@yahoo.es</t>
  </si>
  <si>
    <t>6051701870000S</t>
  </si>
  <si>
    <t>AUGUSTO CESAR CENTENO LOPEZ</t>
  </si>
  <si>
    <t>AUGUSTO</t>
  </si>
  <si>
    <t>EL TORTUGUERO</t>
  </si>
  <si>
    <t>BO. SAN JOSE, CONTIGUO A CENTRO DE SALUD</t>
  </si>
  <si>
    <t>CONTIGUO A LA CRUZ ROJA</t>
  </si>
  <si>
    <t>centenocesar87@yahoo.com</t>
  </si>
  <si>
    <t>0011501870012W</t>
  </si>
  <si>
    <t>CARLOS ANDRES GUTIERREZ AVILES</t>
  </si>
  <si>
    <t>MANAGUA  ROTONDA DE BELLO HORIZONTE 3 C Y 1/2 AL SUR</t>
  </si>
  <si>
    <t>ROTONDA 3 1/2 CUADRAS AL SUR. CASA NO. A III 19</t>
  </si>
  <si>
    <t>88479529, 89637215</t>
  </si>
  <si>
    <t>22495981 88479529</t>
  </si>
  <si>
    <t>cargu87@gmail.com</t>
  </si>
  <si>
    <t>2811501870004H</t>
  </si>
  <si>
    <t>ITZEL KAROLINA TORRES</t>
  </si>
  <si>
    <t>ITZEL</t>
  </si>
  <si>
    <t>BO. ZARAGOZA, CONTIGUO CLINICA UNION</t>
  </si>
  <si>
    <t>CONTIGUO A LAS OFICINAS INSS</t>
  </si>
  <si>
    <t>6121401870000H</t>
  </si>
  <si>
    <t>CESAR AUGUSTO HERNANDEZ BLANDON</t>
  </si>
  <si>
    <t>ROSITA</t>
  </si>
  <si>
    <t>BARRIO PEDRO JOAQUIN CHAMORRO SECTOR 1/2 C AL ESTE DEL BANCO FUNDESER</t>
  </si>
  <si>
    <t>BO. EMILIANO, CALLE PPAL.CONT. A LEONZO GONZALEZ</t>
  </si>
  <si>
    <t>cesardomingo1006@gmail.com</t>
  </si>
  <si>
    <t>3211301870003X</t>
  </si>
  <si>
    <t>MARIA JOSE BETANCO HERNANDEZ</t>
  </si>
  <si>
    <t>BO. PANCASAN, DONDE FUE PENSION CORINA 1/2C.E.</t>
  </si>
  <si>
    <t>DDF PENSION CORINA 1C. AL ESTE, SECTOR NO.1</t>
  </si>
  <si>
    <t>27221112 82290431</t>
  </si>
  <si>
    <t>1211001870002M</t>
  </si>
  <si>
    <t>BELLALI DEL CARMEN DIAZ RIVERA</t>
  </si>
  <si>
    <t>BELLALI</t>
  </si>
  <si>
    <t>MUN.CAMUAPA  DETRAS DEL HOTEL  LOMA  LINDA 75vrs O.</t>
  </si>
  <si>
    <t>DETRAS DEL HOTEL LOMA LINDA 75 VARAS AL OESTE</t>
  </si>
  <si>
    <t>0040701870000T</t>
  </si>
  <si>
    <t>MARIO ANTONIO GUTIERREZ DOÑA</t>
  </si>
  <si>
    <t>DOÑA</t>
  </si>
  <si>
    <t>COMARCA SAMARIA DEL PARQUE 110 MTS AL OESTE</t>
  </si>
  <si>
    <t>COMARCA SAMARIA,         CEMENTERIO 500VRS.OESTE</t>
  </si>
  <si>
    <t>2810601870008S</t>
  </si>
  <si>
    <t>FERNANDO ENMANUEL CALIZ LOAISIGA</t>
  </si>
  <si>
    <t>FERNANDO</t>
  </si>
  <si>
    <t>ENMANUEL</t>
  </si>
  <si>
    <t>BO. ZARAGOZA DDF. BANIC SUTIAVA 20vrs ARRIBA</t>
  </si>
  <si>
    <t>BANCO DE SUBTIAVA 20VRS AL ESTE</t>
  </si>
  <si>
    <t>fercaliz@yahoo.com</t>
  </si>
  <si>
    <t>0030601870000Y</t>
  </si>
  <si>
    <t>REYNALDO MIGUEL OTERO LOPEZ</t>
  </si>
  <si>
    <t>MIGUEL</t>
  </si>
  <si>
    <t>BO. NOEL MORALES, DE DONDE FUE GASOLINERA ESSO 5C.O.1/2C.S.</t>
  </si>
  <si>
    <t>IGLESIA CATOLICA 3 CUADRAS OESTE</t>
  </si>
  <si>
    <t>otero_rey@hotmail.com</t>
  </si>
  <si>
    <t>otero-rey@hotmail.com</t>
  </si>
  <si>
    <t>2830401870001Q</t>
  </si>
  <si>
    <t>DOUGLAS HUMBERTO SALAS</t>
  </si>
  <si>
    <t>HUMBERTO</t>
  </si>
  <si>
    <t>SEMAFOROS DE ENEL CENTRAL 200MTS. AL NORTE VILLA ARGENTINA</t>
  </si>
  <si>
    <t>SEMAFOROS DE ENEL CENTRAL 200 METROS AL NORTE</t>
  </si>
  <si>
    <t>naruto_medeline@hotmail.com</t>
  </si>
  <si>
    <t>0010301870000H</t>
  </si>
  <si>
    <t>INGRID GISELLE NUÑEZ CARVAJAL</t>
  </si>
  <si>
    <t>INGRID</t>
  </si>
  <si>
    <t>GISELLE</t>
  </si>
  <si>
    <t>TERRABONA</t>
  </si>
  <si>
    <t>BO. COFRADIA, FRENTE AL POZO PUBLICO TERRABONA</t>
  </si>
  <si>
    <t>COLEGIO RUBEN DARIO 1 CUADRA AL OESTE, 20 VARAS AL NORTE</t>
  </si>
  <si>
    <t>2810201870011M</t>
  </si>
  <si>
    <t>MATELI LUCIA CORREA MARTINEZ</t>
  </si>
  <si>
    <t>MATELI</t>
  </si>
  <si>
    <t>BARRIO ZARAGOZA IGLESA 10 VRS O.</t>
  </si>
  <si>
    <t>DE LA RENTA 2 1/2C AL SUR</t>
  </si>
  <si>
    <t>0860201870001K</t>
  </si>
  <si>
    <t>LUIS ALBERTO BOJORGE OVIEDO</t>
  </si>
  <si>
    <t>BO. VILCHEZ Y RODRIGUEZ CASA DE LA MUJER 4C. N</t>
  </si>
  <si>
    <t>INTA, 1C AL S, 1/2C AL O</t>
  </si>
  <si>
    <t>bojorgeoviedo@gmail.com</t>
  </si>
  <si>
    <t>6010101870002Q</t>
  </si>
  <si>
    <t>LUIS ALBERTO ARAUZ MAIRENA</t>
  </si>
  <si>
    <t>LA CRUZ DE RIO GRANDE</t>
  </si>
  <si>
    <t>BO. SAN MARTIN, FRENTE DONDE FUE IMPHRU</t>
  </si>
  <si>
    <t>FRENTE AL  IMPRHU</t>
  </si>
  <si>
    <t>85576792 83652739</t>
  </si>
  <si>
    <t>mairenaluis33@gmail.com</t>
  </si>
  <si>
    <t>7213012860001G</t>
  </si>
  <si>
    <t>KARELIA MARGARITA MARTINEZ ROCHA</t>
  </si>
  <si>
    <t>BO.LAS CANOA, DE LA CURACAO 6C AL S.</t>
  </si>
  <si>
    <t>0013012860040M</t>
  </si>
  <si>
    <t>RAUL ALFONSO UBEDA TAPIA</t>
  </si>
  <si>
    <t>RAUL</t>
  </si>
  <si>
    <t>ALFONSO</t>
  </si>
  <si>
    <t>KM 9.5 CARRETERA NUEVA A LEON. 2KM AL OESTE. RESIDENCIAL SAN ANDRES. CASA EE-08</t>
  </si>
  <si>
    <t>COL. 10 DE JUNIO, CRUZ   ROJA DN.BOSCO 3C.N.1C.O.</t>
  </si>
  <si>
    <t>57504643, 85774781</t>
  </si>
  <si>
    <t>raut30@gmail.com</t>
  </si>
  <si>
    <t>0012912860075X</t>
  </si>
  <si>
    <t>FABIO ENRIQUE VALDIVIA RIVAS</t>
  </si>
  <si>
    <t>FABIO</t>
  </si>
  <si>
    <t>BO. EL PROGRESO, IGL. CATOLICA 3KM, S.</t>
  </si>
  <si>
    <t>DEL CUADRO DEPORTIVO 20 VARAS NORTE</t>
  </si>
  <si>
    <t>22935552 88873137</t>
  </si>
  <si>
    <t>fabevr@outlook.com</t>
  </si>
  <si>
    <t>6042612860000W</t>
  </si>
  <si>
    <t>SERGIO MANUEL LOPEZ FLOREZ</t>
  </si>
  <si>
    <t>SERGIO</t>
  </si>
  <si>
    <t>FLOREZ</t>
  </si>
  <si>
    <t>MUELLE DE LOS BUEYES</t>
  </si>
  <si>
    <t>LOS ARCOS LAS BRISAS LA FUNERARIA EL REENCUENTRO 20v ARRIBA</t>
  </si>
  <si>
    <t>DE ENITEL 1/2C OESTE</t>
  </si>
  <si>
    <t>manlopez86@hotmail.com</t>
  </si>
  <si>
    <t>0812512860007G</t>
  </si>
  <si>
    <t>ILEANA LISSETH JUAREZ DUARTE</t>
  </si>
  <si>
    <t>ILEANA</t>
  </si>
  <si>
    <t>LISSETH</t>
  </si>
  <si>
    <t>DEL CALVARIO 1/2C. SUR</t>
  </si>
  <si>
    <t>DEL PORTON ARCORERA 175 VARAS AL SUR.</t>
  </si>
  <si>
    <t>6012412860003T</t>
  </si>
  <si>
    <t>MARIA MAGDALENA LAZO MORALES</t>
  </si>
  <si>
    <t>MAGDALENA</t>
  </si>
  <si>
    <t>COMUNIDAD SAN FRANCISCO KUKRA RIVER</t>
  </si>
  <si>
    <t>LOMA FRESCA</t>
  </si>
  <si>
    <t>82393143 81343636</t>
  </si>
  <si>
    <t>lazitomari@gmail.com</t>
  </si>
  <si>
    <t>2912212860000U</t>
  </si>
  <si>
    <t>MARJURY YAJAIRA BETANCO SANCHEZ</t>
  </si>
  <si>
    <t>MARJURY</t>
  </si>
  <si>
    <t>EL TUMA - LA DALIA</t>
  </si>
  <si>
    <t>DALIA-MATAGALPA. CALLE CENTRAL - CASA MINSA</t>
  </si>
  <si>
    <t>BO. A.CESAR SANDINO, LAB.QUIMICO 100VRS.N. M.LIMON</t>
  </si>
  <si>
    <t>rubia_betanco@yahoo.es</t>
  </si>
  <si>
    <t>2812012860010C</t>
  </si>
  <si>
    <t>MILDRED NINET RAMIREZ ROJAS</t>
  </si>
  <si>
    <t>MILDRED</t>
  </si>
  <si>
    <t>BO. SUBTIAVA TEXACO GUIDO, 2C. N. 1/2C. O.</t>
  </si>
  <si>
    <t>DE OPTICA MUNKEL, 2 C AL SUR, CASA NO 525.</t>
  </si>
  <si>
    <t>23152881 83384450</t>
  </si>
  <si>
    <t>millyni2009@live.com</t>
  </si>
  <si>
    <t>4011912860009L</t>
  </si>
  <si>
    <t>MARIA AUXILIADORA RUIZ ROSALES</t>
  </si>
  <si>
    <t>BO. WASPAN NORTE, IGL. ENTRADA 175 VRS. ESTE</t>
  </si>
  <si>
    <t>FRENTE A COSTADO OESTE DE LA BARRERA</t>
  </si>
  <si>
    <t>83916641 84090348</t>
  </si>
  <si>
    <t>nerymed08@yahoo.es</t>
  </si>
  <si>
    <t>6121812860000T</t>
  </si>
  <si>
    <t>BETZAYDA YAZAHARA MEMBREÑO OROZCO</t>
  </si>
  <si>
    <t>BETZAYDA</t>
  </si>
  <si>
    <t>YAZAHARA</t>
  </si>
  <si>
    <t>BO. JOSE ZELEDON, FRENTE A CRISTOBAL MARTINEZ</t>
  </si>
  <si>
    <t>FRENTE A CRISTOBAL MAIRENA</t>
  </si>
  <si>
    <t>5661712860000R</t>
  </si>
  <si>
    <t>JOEL IVAN CHAVEZ PALACIOS</t>
  </si>
  <si>
    <t>JOEL</t>
  </si>
  <si>
    <t>IVAN</t>
  </si>
  <si>
    <t>PAIWAS</t>
  </si>
  <si>
    <t>DEL CENTRO CULTURAL 30VRS. AL SUR</t>
  </si>
  <si>
    <t>ASTILLERO FRENTE A LA HIELERA.</t>
  </si>
  <si>
    <t>4411412860002N</t>
  </si>
  <si>
    <t>OLIVIA DEL CARMEN SANTANA MEMBREÑO</t>
  </si>
  <si>
    <t>OLIVIA</t>
  </si>
  <si>
    <t>BO. EL CEMENTERIO, REST. ROYALBAR 3C, S.</t>
  </si>
  <si>
    <t>CONAPI 1 1/2 CUADRA AL SUR</t>
  </si>
  <si>
    <t>migoly2422@yahoo.es</t>
  </si>
  <si>
    <t>4091212860003D</t>
  </si>
  <si>
    <t>GLORIA ELENA BLAS SEVILLA</t>
  </si>
  <si>
    <t>GLORIA</t>
  </si>
  <si>
    <t>Bo.RICARDO MORALES,CENTRO DE SALUD 2C.OESTE</t>
  </si>
  <si>
    <t>CENTRO DE SALUD 2 CUADRAS AL OESTE</t>
  </si>
  <si>
    <t>sevillasougey25@yahoo.es</t>
  </si>
  <si>
    <t>0010912860004C</t>
  </si>
  <si>
    <t>SARA MARIA ARTILES MENDIETA</t>
  </si>
  <si>
    <t>SARA</t>
  </si>
  <si>
    <t>RPTO. BELMONTE, HOSPITAL VELEZ PAIZ. 4C. E. 1/2C. S. CA. N°40</t>
  </si>
  <si>
    <t>LOMAS DE TICOMO, CASA NO. 9</t>
  </si>
  <si>
    <t>0010912860007F</t>
  </si>
  <si>
    <t>ANA VALERIA QUINTANA JOSE</t>
  </si>
  <si>
    <t>VALERIA</t>
  </si>
  <si>
    <t>BO. EL PILAR, RASPADO LOLY 1/2C. OESTE M.D.</t>
  </si>
  <si>
    <t>DEL CEIBO 4 CUADRAS AL OESTE 1 CUADRA AL SUR CASA ESQUINERA MANO IZQUIERDA</t>
  </si>
  <si>
    <t>22602591 88572095</t>
  </si>
  <si>
    <t>valeria0986@gmail.com</t>
  </si>
  <si>
    <t>0010912860075E</t>
  </si>
  <si>
    <t>FATIMA DEL SOCORRO UBEDA MARTINEZ</t>
  </si>
  <si>
    <t>FATIMA</t>
  </si>
  <si>
    <t>BO. AYAPAL, KM 7 SUR, 1C.O. 1/2C.N. 1C.O.</t>
  </si>
  <si>
    <t>KILOMETRO 7 SUR, 1/2 CUADRA AL OESTE, 1/2 CUADRA AL NORTE, 1/2 CUADRA AL OESTE</t>
  </si>
  <si>
    <t>5610812860002M</t>
  </si>
  <si>
    <t>CARLOS EDUARDO GONZALEZ GUEVARA</t>
  </si>
  <si>
    <t>BO. R. LOPEZ PEREZ, UNIVERS. ANTONIO BALDIVIESO . 25VRS, N.</t>
  </si>
  <si>
    <t>ESCUELA INTERNACIONAL DE AGRICULTURA ANTONIO VALDIVIEZO  25 VRS NORTE.</t>
  </si>
  <si>
    <t>car_gon_gue@yahoo.com</t>
  </si>
  <si>
    <t>0010612860005W</t>
  </si>
  <si>
    <t>ANA MARIA SILVA PEREZ</t>
  </si>
  <si>
    <t>BO. MARVIN PALACIOS, MINI SUPER CHEPITA # 1, C, S.</t>
  </si>
  <si>
    <t>MINI SUPER CHEPITA 2 1/2 CUADRA AL SUR</t>
  </si>
  <si>
    <t>23132833 88224756</t>
  </si>
  <si>
    <t>2810512860008S</t>
  </si>
  <si>
    <t>KAREN ADILIA ZAMBRANA SAMPSON</t>
  </si>
  <si>
    <t>ADILIA</t>
  </si>
  <si>
    <t>BO. EL COYOLAR, IGL. LA RESURRECCION 3C. E.</t>
  </si>
  <si>
    <t>ENEL 2C. AL ESTE</t>
  </si>
  <si>
    <t>1610512870005C</t>
  </si>
  <si>
    <t>WALMAR EFREN LAGUNA FLORES</t>
  </si>
  <si>
    <t>WALMAR</t>
  </si>
  <si>
    <t>EFREN</t>
  </si>
  <si>
    <t>Bo.14 DE ABRIL,COSTADO ESTE DE LA ESCUELA EL ROSARIO 1/2C,S</t>
  </si>
  <si>
    <t>efrennica86@gmail.com</t>
  </si>
  <si>
    <t>6160412860003L</t>
  </si>
  <si>
    <t>DANIEL ALEXANDER MEJIA AGUINAGA</t>
  </si>
  <si>
    <t>DANIEL</t>
  </si>
  <si>
    <t>ALEXANDER</t>
  </si>
  <si>
    <t>ZONA N°1, GASOLINERA ESSO 1/2C. OESTE</t>
  </si>
  <si>
    <t>BARRIO LA ANTENA IGLESIA BETHEL 1 C AL SUR</t>
  </si>
  <si>
    <t>0010312860025M</t>
  </si>
  <si>
    <t>ANIA MIREYA MIRANDA MORENO</t>
  </si>
  <si>
    <t>ANIA</t>
  </si>
  <si>
    <t>MIREYA</t>
  </si>
  <si>
    <t>BO. QUINTANINA, DE DONDE FUE SELECTA 3C.N. 1 1/2C.E.</t>
  </si>
  <si>
    <t>SELECTA 3 CUADRAS AL NORTE , 1 1/2 CUADRA AL ESTE</t>
  </si>
  <si>
    <t>22511342 87156712</t>
  </si>
  <si>
    <t>mmm2435@hotmail.com</t>
  </si>
  <si>
    <t>0010312860040D</t>
  </si>
  <si>
    <t>JOSE LUIS AGUILAR ANGULO</t>
  </si>
  <si>
    <t>ANGULO</t>
  </si>
  <si>
    <t>COL. EL SERRANO, FRENTE A LA CANCHA.</t>
  </si>
  <si>
    <t>FRENTE A LA ESCUELA MIGUEL LA REYNAGA</t>
  </si>
  <si>
    <t>nicaluis03@yahoo.es</t>
  </si>
  <si>
    <t>0010212860016A</t>
  </si>
  <si>
    <t>HECTOR OSVALDO ESTAY SERRANO</t>
  </si>
  <si>
    <t>HECTOR</t>
  </si>
  <si>
    <t>OSVALDO</t>
  </si>
  <si>
    <t>RESIDENCIAL SAN DOMINGO #2</t>
  </si>
  <si>
    <t>RESD. ALTOS DE NAJAPA,   CASA NO.125</t>
  </si>
  <si>
    <t>22547610 85845661</t>
  </si>
  <si>
    <t>0870112860001C</t>
  </si>
  <si>
    <t>RONNIEL ELIGIO MELENDEZ MAIRENA</t>
  </si>
  <si>
    <t>RONNIEL</t>
  </si>
  <si>
    <t>ELIGIO</t>
  </si>
  <si>
    <t>Bo,MARIO VARGAS,ESCUELA MIXTA 1C.ESTE</t>
  </si>
  <si>
    <t>ESCUELA MIXTA, 1 CUADRA AL ESTE.</t>
  </si>
  <si>
    <t>tenissis1986@gmail.com</t>
  </si>
  <si>
    <t>1232911860000G</t>
  </si>
  <si>
    <t>YANIRA JULIETH QUEZADA GONZALEZ</t>
  </si>
  <si>
    <t>YANIRA</t>
  </si>
  <si>
    <t>JULIETH</t>
  </si>
  <si>
    <t>COOPERATIVA LOMAS DE POCHOCUAPE, FRENTE COLEGIO INMACULADA CA. NO.D-6</t>
  </si>
  <si>
    <t>COOPERATIVA LOMAS DE POCHOCUAPE,FRENTE A COLEGIO INMACULADA, CASA D-6</t>
  </si>
  <si>
    <t>quezadayanina@hotmail.com</t>
  </si>
  <si>
    <t>5212811860000B</t>
  </si>
  <si>
    <t>EDWING REYES SANCHEZ</t>
  </si>
  <si>
    <t>EDWING</t>
  </si>
  <si>
    <t>CMCA. LOS CHILES, SECTOR N°6 CENTRO DE SALUD 1C. E.</t>
  </si>
  <si>
    <t>CMCA LOS CHILES, SECT.6, DEL CENTRO DE SALUD 1 C AL ESTE</t>
  </si>
  <si>
    <t>edwingreyes123@gmail.com</t>
  </si>
  <si>
    <t>0422711860000T</t>
  </si>
  <si>
    <t>INDIRA VALERIA MAYORGA COCA</t>
  </si>
  <si>
    <t>COCA</t>
  </si>
  <si>
    <t>VILLA SAN RAMON 200 METROS AL OESTE</t>
  </si>
  <si>
    <t>0012711860043C</t>
  </si>
  <si>
    <t>BRAYSIS ALEYMA ROSELL RODRIGUIEZ</t>
  </si>
  <si>
    <t>BRAYSIS</t>
  </si>
  <si>
    <t>ALEYMA</t>
  </si>
  <si>
    <t>RODRIGUIEZ</t>
  </si>
  <si>
    <t>CMCA.QUIQUILISTAGUA,KM 131/2 CARRETERA VIEJA LEON</t>
  </si>
  <si>
    <t>KILOMETRO 13.5 CARRETERA VIEJA A LEON, 500 VARAS ESTE.</t>
  </si>
  <si>
    <t>82047473 86918925</t>
  </si>
  <si>
    <t>5612511860005V</t>
  </si>
  <si>
    <t>ERASMO ANTONIO CARVAJAL MORA</t>
  </si>
  <si>
    <t>ERASMO</t>
  </si>
  <si>
    <t>SAN JORGE</t>
  </si>
  <si>
    <t>BO. RAMON LOPEZ, FRENTE AL INSTITUTO JOSE DOLORES RIVERA JIMENEZ</t>
  </si>
  <si>
    <t>PLAZA Y GRIEGA 1/2 CUADRA AL NORTE</t>
  </si>
  <si>
    <t>carvajalmora25@yahoo.es</t>
  </si>
  <si>
    <t>2812311860001S</t>
  </si>
  <si>
    <t>JAIME JOSE HERNANDEZ VALDIVIA</t>
  </si>
  <si>
    <t>RPTO. 1ERO DE MAYO, CENTRO DE SALUD 6C.N.1C.E</t>
  </si>
  <si>
    <t>CENTRO SALUD PRIMERO DE MAYO 6 CUADRAS AL NORTE, 1 CUADRA AL ESTE</t>
  </si>
  <si>
    <t>23117094 86469472 58050349</t>
  </si>
  <si>
    <t>jhernandezvaldivia23@gmail.com</t>
  </si>
  <si>
    <t>2812211860002R</t>
  </si>
  <si>
    <t>GERALD MERCEDES TOVAL DUARTE</t>
  </si>
  <si>
    <t>GERALD</t>
  </si>
  <si>
    <t>CMCA.GRACIAS A DIOS ,DDF.BAR LA MIRADA 200 VRS.N</t>
  </si>
  <si>
    <t>DE DONDE FUE BAR LA MIRADA 200 VARAS AL NORTE</t>
  </si>
  <si>
    <t>geraldtoval_22@hotmail.com</t>
  </si>
  <si>
    <t>4012111860003C</t>
  </si>
  <si>
    <t>JAVIERA ESMERALDA VIVAS LOPEZ</t>
  </si>
  <si>
    <t>JAVIERA</t>
  </si>
  <si>
    <t>RPTO. LA REFORMA, MONUMENTO 1  1/2 C. N.</t>
  </si>
  <si>
    <t>DEL MONUMENTO 1 1/2 CUADRAS   NORTE</t>
  </si>
  <si>
    <t>25225097, 57832215, 78074315</t>
  </si>
  <si>
    <t>25225097 57832215</t>
  </si>
  <si>
    <t>javivil86@gmail.com</t>
  </si>
  <si>
    <t>0012111860035F</t>
  </si>
  <si>
    <t>FRANCELA CAROLINA ESQUIVEL BERMUDEZ</t>
  </si>
  <si>
    <t>FRANCELA</t>
  </si>
  <si>
    <t>KM 34 1/2, CARRETERA HACIA GRANADA, CMCA. LA REFORMA, PARADA TABLA AMARILLA, 350 VRS AL SUR</t>
  </si>
  <si>
    <t>ESQUINA OPUESTA AL INMAO</t>
  </si>
  <si>
    <t>franceesquivel@gmail.com</t>
  </si>
  <si>
    <t>franceesquivel@hotmail.com</t>
  </si>
  <si>
    <t>0011911860028T</t>
  </si>
  <si>
    <t>JOSELINE VIRGINIA PEREZ CHACON</t>
  </si>
  <si>
    <t>JOSELINE</t>
  </si>
  <si>
    <t>VIRGINIA</t>
  </si>
  <si>
    <t>CHACON</t>
  </si>
  <si>
    <t>RESD. B. HORIZONTE, ROT. 4C.S. 3C.E. 2C.N. F.III.54</t>
  </si>
  <si>
    <t>ROTONDA  4 CUADRAS SUR 3 CUADRAS ESTE 2 CUADRAS NORTE F-III-54.</t>
  </si>
  <si>
    <t>22480472 86686044</t>
  </si>
  <si>
    <t>2411811860010V</t>
  </si>
  <si>
    <t>MARTHA LORENA HERRERA NOVOA</t>
  </si>
  <si>
    <t>BO. SAN ISIDRO, INAC 3C. S. 1C. 0</t>
  </si>
  <si>
    <t>INACS 3 CUADRAS AL SUR 1 CUADRAAL OESTE</t>
  </si>
  <si>
    <t>DOCTORA EN MEDICINA Y CIRUGÍA</t>
  </si>
  <si>
    <t>mlorenanovoa@yahoo.com</t>
  </si>
  <si>
    <t>2811511860006F</t>
  </si>
  <si>
    <t>LIDIETH DE LOS ANGELES MEDINA FLORES</t>
  </si>
  <si>
    <t>LIDIETH</t>
  </si>
  <si>
    <t>BO. ERMITA DE DOLORES, ASE. STA.FE 1 C.N. 1/2 C.O.</t>
  </si>
  <si>
    <t>ASERRIO STA FE 1 CUADRA AL NORTE 1/2 CUADRA OESTE.</t>
  </si>
  <si>
    <t>23115414 82373391</t>
  </si>
  <si>
    <t>limedina10@hotmail.com</t>
  </si>
  <si>
    <t>0411411860001Y</t>
  </si>
  <si>
    <t>TANNYA MARIA ESPINOZA SERRANO</t>
  </si>
  <si>
    <t>TANNYA</t>
  </si>
  <si>
    <t>BO. LOS MANEYES NO.1, CASA NO.18</t>
  </si>
  <si>
    <t>CASA NUMERO 18</t>
  </si>
  <si>
    <t>25320853 89498518</t>
  </si>
  <si>
    <t>CEDULA DE RESIDENCIA</t>
  </si>
  <si>
    <t>AHJI KIM</t>
  </si>
  <si>
    <t>AHJI</t>
  </si>
  <si>
    <t>COREA DEL SUR</t>
  </si>
  <si>
    <t>KM 8 CARRETERA A MASAYA RESIDENCIAL PASEO LAS COLINAS CASA NO. 621</t>
  </si>
  <si>
    <t>black-jaguar13@hotmail.com</t>
  </si>
  <si>
    <t>0011311860002C</t>
  </si>
  <si>
    <t>ALEJANDRO DAVID ROCHA CALERO</t>
  </si>
  <si>
    <t>PALI P DEL H 1C. ESTE  1/2C. NORTE</t>
  </si>
  <si>
    <t>22444852 86534633</t>
  </si>
  <si>
    <t>2811311860000U</t>
  </si>
  <si>
    <t>TANIA KATYUSSHAS ESPINOZA MORENO</t>
  </si>
  <si>
    <t>TANIA</t>
  </si>
  <si>
    <t>KATYUSSHAS</t>
  </si>
  <si>
    <t>BANPRO 1C AL SUR 4C 1/2 AL OESTE</t>
  </si>
  <si>
    <t>6101111860001N</t>
  </si>
  <si>
    <t>MAYDEN ELIZABETH LEIVA GAITAN</t>
  </si>
  <si>
    <t>MAYDEN</t>
  </si>
  <si>
    <t>LA LIBERTAD</t>
  </si>
  <si>
    <t>ZONA N°3, TANQUES ENACAL 1/2C.SUR</t>
  </si>
  <si>
    <t>DE LA GASOLINERA 2 DE AGOSTO 2 CUADRAS OESTE.</t>
  </si>
  <si>
    <t>chotecito14@yahoo.es</t>
  </si>
  <si>
    <t>0881111860003M</t>
  </si>
  <si>
    <t>FANNY ALBERTINA URBINA CASTILLO</t>
  </si>
  <si>
    <t>FANNY</t>
  </si>
  <si>
    <t>ALBERTINA</t>
  </si>
  <si>
    <t>SOMOTILLO</t>
  </si>
  <si>
    <t>BO. CARLOS FONSECA DEL MINED 1c SUR</t>
  </si>
  <si>
    <t>MINED 1C S.</t>
  </si>
  <si>
    <t>0810911860000H</t>
  </si>
  <si>
    <t>GERALD MAURICIO ARCE MARQUEZ</t>
  </si>
  <si>
    <t>MAURICIO</t>
  </si>
  <si>
    <t>CRUZ ROJA 75 VARAS AL SUR</t>
  </si>
  <si>
    <t>88855245 84487366</t>
  </si>
  <si>
    <t>geraldmauricioa@gmail.com</t>
  </si>
  <si>
    <t>6010911860001C</t>
  </si>
  <si>
    <t>YEVONY SUMIRE ALVARADO SOZA</t>
  </si>
  <si>
    <t>YEVONY</t>
  </si>
  <si>
    <t>SUMIRE</t>
  </si>
  <si>
    <t>SECTOR 4,DE LA IGLESIA CATOLICA 21/2C.N</t>
  </si>
  <si>
    <t>FRENTE A VETERINARIA GAMEZ</t>
  </si>
  <si>
    <t>6010711860000W</t>
  </si>
  <si>
    <t>NORA ELIETH CHAVARRIA SALGADO</t>
  </si>
  <si>
    <t>NORA</t>
  </si>
  <si>
    <t>ELIETH</t>
  </si>
  <si>
    <t>BO. SPANISH TOWN, CONTIGUO DE DONDE FUE BAR</t>
  </si>
  <si>
    <t>CONTIGUO EL BAR POLLITO, CASA DE MADERA COLOR VERDE Y BLANCO.</t>
  </si>
  <si>
    <t>27921062 86365976</t>
  </si>
  <si>
    <t>2810611860015V</t>
  </si>
  <si>
    <t>AMADA CHRISTINA SUAREZ CASTILBLANCO</t>
  </si>
  <si>
    <t>AMADA</t>
  </si>
  <si>
    <t>CHRISTINA</t>
  </si>
  <si>
    <t>RESD. CIUDAD JARDIN, ITR 15VRS.N. CA. NO.27</t>
  </si>
  <si>
    <t>KILOMETRO 17 CARRETERA A MASAYA, ENTRADA AL CARGIL TIP-TOP 1 KILOMETRO AL NORTE QUINTA LOLITA</t>
  </si>
  <si>
    <t>minychristy@hotmail.com</t>
  </si>
  <si>
    <t>4010611860013F</t>
  </si>
  <si>
    <t>JOHAN ANDRONIS LOPEZ LOPEZ</t>
  </si>
  <si>
    <t>JOHAN</t>
  </si>
  <si>
    <t>ANDRONIS</t>
  </si>
  <si>
    <t>KM 35 1/2 CARRETERA MASAYA-GRANADA, 300 VRS AL NORTE</t>
  </si>
  <si>
    <t>KILOMETRO 35 1/2 CARRETERA - MASAYA - GRANADA 50 VARAS AL NORTE.</t>
  </si>
  <si>
    <t>jl1226846@gmail.com</t>
  </si>
  <si>
    <t>0420411860001U</t>
  </si>
  <si>
    <t>EFREN ROLANDO VALLADARES PEREZ</t>
  </si>
  <si>
    <t>ROLANDO</t>
  </si>
  <si>
    <t>RESIDENCIAL EL DORADO, FARMACIA SALAZAR 40 VARAS ESTE</t>
  </si>
  <si>
    <t>GASOLINERA TEXACO 2C AL NORTE 1/2C AL ESTE</t>
  </si>
  <si>
    <t>1240311860000S</t>
  </si>
  <si>
    <t>YUSELY DEL CARMEN RODRIGUEZ RODRIGUEZ</t>
  </si>
  <si>
    <t>YUSELY</t>
  </si>
  <si>
    <t>BARRIO CENTRAL, FRENTE OFICINA E.P.N.</t>
  </si>
  <si>
    <t>DEL PUENTE 2 CUADRAS ESTE 1/2 CUADRA NORTE</t>
  </si>
  <si>
    <t>86206159 87345982</t>
  </si>
  <si>
    <t>2410311860002E</t>
  </si>
  <si>
    <t>MARTIN JAVIER HERRERA FLORES</t>
  </si>
  <si>
    <t>CMCA. LOS ROBLES PLAZA UN KILOMETRO AL NORTE</t>
  </si>
  <si>
    <t>DE LA CRUZ DEL LLANO 50 VARAS SUROESTE</t>
  </si>
  <si>
    <t>1210211860002Q</t>
  </si>
  <si>
    <t>GUILLERMO SALAZAR HICHERS</t>
  </si>
  <si>
    <t>HICHERS</t>
  </si>
  <si>
    <t>BO.PANCASAN, FRENTE COST .O. ESC. J.M.DUARTE</t>
  </si>
  <si>
    <t>FRENTE COSTADO OESTE  ESCUELA JUAN MARIA DUARTE</t>
  </si>
  <si>
    <t>guillermosalazarhichers@yahoo.es</t>
  </si>
  <si>
    <t>1610111860001H</t>
  </si>
  <si>
    <t>MELISA YAHOSKA CASTILLO DIAZ</t>
  </si>
  <si>
    <t>MELISA</t>
  </si>
  <si>
    <t>YAHOSKA</t>
  </si>
  <si>
    <t>BO. SAN JOSÉ ORIENTAL, CONT. GIMN. A. ARGUELLO M/D</t>
  </si>
  <si>
    <t>DEL ARBOLITO 2C ESTE 3C NORTE 1/2C OESTE</t>
  </si>
  <si>
    <t>LICENCIADA EN MEDICINA Y CIRUGIA</t>
  </si>
  <si>
    <t>mycastillo@uamv.edu.ni</t>
  </si>
  <si>
    <t>0472910860000D</t>
  </si>
  <si>
    <t>YANIRA CAROLINA MORA HERNANDEZ</t>
  </si>
  <si>
    <t>ADMINISTRACION DE RENTA 7C AL SUR 25 vras AL ESTE</t>
  </si>
  <si>
    <t>ANTIGUO RESTAURATE FRIDA, 1 CUADRA AL OESTE, 1/2 CUADRA AL SUR.</t>
  </si>
  <si>
    <t>86217677 87721623</t>
  </si>
  <si>
    <t>yacamhe19@yahoo.com</t>
  </si>
  <si>
    <t>2812810860003Y</t>
  </si>
  <si>
    <t>FRANIA MARIA TERCERO DUARTE</t>
  </si>
  <si>
    <t>FRANIA</t>
  </si>
  <si>
    <t>RPTO, BENITO MAURICIO LACAYO, JULIAN REYES 1C. E. 10VRS. S.</t>
  </si>
  <si>
    <t>JULIAN REYES 1 CUADRA AL ESTE, 10 VARAS AL SUR</t>
  </si>
  <si>
    <t>franyter2810@gmail.com</t>
  </si>
  <si>
    <t>2812710860002V</t>
  </si>
  <si>
    <t>SCARLET GABRIELA GARCIA HERNANDEZ</t>
  </si>
  <si>
    <t>SCARLET</t>
  </si>
  <si>
    <t>DE LA ESQUINA DE LOS BANCOS 75 VRS. AL ESTE. TEL. 311-6858</t>
  </si>
  <si>
    <t>6102710860002S</t>
  </si>
  <si>
    <t>ELVER AUDEL LUNA BIATORO</t>
  </si>
  <si>
    <t>ELVER</t>
  </si>
  <si>
    <t>AUDEL</t>
  </si>
  <si>
    <t>BIATORO</t>
  </si>
  <si>
    <t>MULUKUKÚ</t>
  </si>
  <si>
    <t>MULUKUKU</t>
  </si>
  <si>
    <t>BO. LA PEDRERA, FRENTE DONDE FUE PUESTO DE EJERCITO</t>
  </si>
  <si>
    <t>CAS. MULUKUKU, CONTG.    A ESTEBAN CANO</t>
  </si>
  <si>
    <t>audelluna@gmail.com</t>
  </si>
  <si>
    <t>0012510860065Q</t>
  </si>
  <si>
    <t>JOSE LEONEL HURTADO NARVAEZ</t>
  </si>
  <si>
    <t>BO. EL SAGRARIO, FRENTE DISTRIBUIDORA RODRIGUEZ CASA 222</t>
  </si>
  <si>
    <t>BO. EL SAGRARIO, FRENTE DISTRIBUIDORA RODRIGUEZ</t>
  </si>
  <si>
    <t>jholeo86@hotmail.com</t>
  </si>
  <si>
    <t>6012510860002G</t>
  </si>
  <si>
    <t>EVA MERCEDES BODAN</t>
  </si>
  <si>
    <t>EVA</t>
  </si>
  <si>
    <t>BARRIO TRES CRUCES, DEL COSTADO OESTE DEL PARQUE REYES MEDIA CUADRA AL NORTE.</t>
  </si>
  <si>
    <t>DEL TOPE SUR DE BELLO HORIZONTE, 1 CUADRA AL SUR, 1, 1/2 CUADRA AL OESTE.</t>
  </si>
  <si>
    <t>85468761 84050341</t>
  </si>
  <si>
    <t>bodanevi25@gmail.com</t>
  </si>
  <si>
    <t>bodanevimer25@gmail.com</t>
  </si>
  <si>
    <t>3652410860002A</t>
  </si>
  <si>
    <t>GADYEL MARDOQUEDO SOLANO MARTINEZ</t>
  </si>
  <si>
    <t>GADYEL</t>
  </si>
  <si>
    <t>MARDOQUEDO</t>
  </si>
  <si>
    <t>SAN LORENZO</t>
  </si>
  <si>
    <t>ZONA No.4, DEL COMEDOR INFANTIL 1 1/2 AL  OESTE</t>
  </si>
  <si>
    <t>COMEDOR INFANTIL 1-1/2C. AL OESTE. COMALAPA.</t>
  </si>
  <si>
    <t>solano_gadyel@yahoo.com</t>
  </si>
  <si>
    <t>0012310860000Q</t>
  </si>
  <si>
    <t>SILVIA ELENA MURILLO MENBREÑO</t>
  </si>
  <si>
    <t>MENBREÑO</t>
  </si>
  <si>
    <t>AMERICA 2, DDF.TRANSAGRO 1C.N. 1C. E.  CASA 1545</t>
  </si>
  <si>
    <t>AMERICAS 2, DDF.TRANSAGRO1C.N.1C.E.1C.N. CASA 1545</t>
  </si>
  <si>
    <t>smurillo2307@hotmail.com</t>
  </si>
  <si>
    <t>4522110860001F</t>
  </si>
  <si>
    <t>YADIRA JESSENIA LANZAS MARTINEZ</t>
  </si>
  <si>
    <t>YADIRA</t>
  </si>
  <si>
    <t>BO. BOER, SEMAFOROS ASAMBLEA NACIONAL 1 1/2C.S.</t>
  </si>
  <si>
    <t>DE LA BROCHETA 1 1/2C AL OESTE</t>
  </si>
  <si>
    <t>yadilanzas86@gmail.com</t>
  </si>
  <si>
    <t>2812010860012R</t>
  </si>
  <si>
    <t>VIVIAN IRENE HUERTA NARVAEZ</t>
  </si>
  <si>
    <t>VIVIAN</t>
  </si>
  <si>
    <t>IRENE</t>
  </si>
  <si>
    <t>RPTO. 1RO DE MAYO, I ETAPA 4TA CALLE CENTRO DE SALUD 3C, N. 75VRS, E.</t>
  </si>
  <si>
    <t>I ETAPA 4TA  CALLE CENTRO DE SALUD 3 CUADRAS AL  NORTE 75 VRS AL  ESTE</t>
  </si>
  <si>
    <t>vaviflor17@hotmail.com</t>
  </si>
  <si>
    <t>0011910860028M</t>
  </si>
  <si>
    <t>MELINA DEL CARMEN VANEGAS MARTINEZ</t>
  </si>
  <si>
    <t>MELINA</t>
  </si>
  <si>
    <t>ZONA No. 2 CASA No. N-16</t>
  </si>
  <si>
    <t>DEL MANGUITO 1CUADRA SUR, 1CUADRA ESTE, CASA ESQUINERA, M/D.</t>
  </si>
  <si>
    <t>22692155 89409592</t>
  </si>
  <si>
    <t>melinacvm@hotmail.com</t>
  </si>
  <si>
    <t>6021710860000E</t>
  </si>
  <si>
    <t>SHANNA MAE DOWNS PERALTA</t>
  </si>
  <si>
    <t>SHANNA</t>
  </si>
  <si>
    <t>MAE</t>
  </si>
  <si>
    <t>BARRIO SANTA ROSA DE LA GASOLINERA 2 1/2 CUADRAS HACIA LA BAHIA</t>
  </si>
  <si>
    <t>GASOLINERA BAHIA 2 1/2CUADRA HACIA LA BAHIA</t>
  </si>
  <si>
    <t>3211410860000L</t>
  </si>
  <si>
    <t>BELKISS MARINA GUTIERREZ PALMA</t>
  </si>
  <si>
    <t>BELKISS</t>
  </si>
  <si>
    <t>MARINA</t>
  </si>
  <si>
    <t>CONDEGA</t>
  </si>
  <si>
    <t>BO.MILDRED CENTENO,UNAG 1/2C.E</t>
  </si>
  <si>
    <t>DE LA   UNAG MEDIA CUADRA AL ESTE</t>
  </si>
  <si>
    <t>4411210860004X</t>
  </si>
  <si>
    <t>MELIDA ARIANA ALANIZ GARCIA</t>
  </si>
  <si>
    <t>MELIDA</t>
  </si>
  <si>
    <t>BO. PANCASAN, IGLESIA LUZ DEL MUNDO 1 1/2C. N, 1/2C.O.</t>
  </si>
  <si>
    <t>DE LA ESCUELA MARIA CERNA VEGA 1/2 CUADRA AL SUR</t>
  </si>
  <si>
    <t>melari129@yahoo.es</t>
  </si>
  <si>
    <t>0421210860003H</t>
  </si>
  <si>
    <t>KESTHER OMAIRA ROCHA LOPEZ</t>
  </si>
  <si>
    <t>KESTHER</t>
  </si>
  <si>
    <t>OMAIRA</t>
  </si>
  <si>
    <t>BO. SAN JOSE, IGLESIA SAN JOSE 2C.AB.1/2C.N</t>
  </si>
  <si>
    <t>IGLESIA SAN JOSE 2 CUADRAS AL OESTE, 1/2 CUADRA AL NORTE</t>
  </si>
  <si>
    <t>kestherrochalopez@hotmail.com</t>
  </si>
  <si>
    <t>6111110860000X</t>
  </si>
  <si>
    <t>GERMAN URIEL GARCIA MARTINEZ</t>
  </si>
  <si>
    <t>GERMAN</t>
  </si>
  <si>
    <t>URIEL</t>
  </si>
  <si>
    <t>SEGUNDA CALLE. 1/2 CUADRA AL ESTE</t>
  </si>
  <si>
    <t>6161110860000K</t>
  </si>
  <si>
    <t>ZOYLA INDIRA MEDRANO CALERO</t>
  </si>
  <si>
    <t>ZOYLA</t>
  </si>
  <si>
    <t>COLONIA RUBEN DARIO,AGUADORA 2C ABAJO Y 1\2C AL OESTE</t>
  </si>
  <si>
    <t>AVENIDA 25, CASA NRO J-51.</t>
  </si>
  <si>
    <t>22442746 84811804</t>
  </si>
  <si>
    <t>4091010860001J</t>
  </si>
  <si>
    <t>WALQUIRIA ANGELINA LOPEZ MERCADO</t>
  </si>
  <si>
    <t>WALQUIRIA</t>
  </si>
  <si>
    <t>ANGELINA</t>
  </si>
  <si>
    <t>BO. CARLOS FONSECA, CUERPO DE BOMBEROS 11/2C. O CA. N°19</t>
  </si>
  <si>
    <t>BO. CARLOS FONSECA, CUERPO BOMBEROS 1C.O. CALLE #1 ZONA 1</t>
  </si>
  <si>
    <t>4010910860002T</t>
  </si>
  <si>
    <t>JOSE ABRAHAN ZUNIGA PEÑET</t>
  </si>
  <si>
    <t>ABRAHAN</t>
  </si>
  <si>
    <t>PEÑET</t>
  </si>
  <si>
    <t>DEL ANTIGUO TRILLO 4C. AL SUR DIRIA</t>
  </si>
  <si>
    <t>KM 16.5 CARRETERA A MASAYA, CASA #33. AGUJA 200 METROS AL ESTE</t>
  </si>
  <si>
    <t>25570245 88362356</t>
  </si>
  <si>
    <t>disjoseabraham@yahoo.es</t>
  </si>
  <si>
    <t>disjoseabraham9@gmail.com</t>
  </si>
  <si>
    <t>1610910860003V</t>
  </si>
  <si>
    <t>LUIS RODOLFO IBARRA ZELEDON</t>
  </si>
  <si>
    <t>RODOLFO</t>
  </si>
  <si>
    <t>BO. JUANA ELENA MENDOZA, FARMACIA SAAB 1C. Y 20 VRS.E.</t>
  </si>
  <si>
    <t>FARMACIA SAAB 120VRS. AL ESTE</t>
  </si>
  <si>
    <t>ibarrazeledon86@gmail.com</t>
  </si>
  <si>
    <t>0420810860001W</t>
  </si>
  <si>
    <t>VICTOR HUGO GOMEZ HUERTA</t>
  </si>
  <si>
    <t>COLONIA GUADALUPE, CASA NO.23</t>
  </si>
  <si>
    <t>COLONIA GUADALUPE, CASA UMERO 23</t>
  </si>
  <si>
    <t>gomez1086@gmail.com</t>
  </si>
  <si>
    <t>2010710860007R</t>
  </si>
  <si>
    <t>IGNACIO ANTONIO CASTILLO BARAHONA</t>
  </si>
  <si>
    <t>IGNACIO</t>
  </si>
  <si>
    <t>BARAHONA</t>
  </si>
  <si>
    <t>CMCA. LOS ANGELES, CONTIGUO CENTRO DE SALUD</t>
  </si>
  <si>
    <t>DISSUR 100 METROS OESTE</t>
  </si>
  <si>
    <t>ignaciocastillo710@hotmail.com</t>
  </si>
  <si>
    <t>4890510860000N</t>
  </si>
  <si>
    <t>INDIRA MASSIEL VALENZUELA ZAVALA</t>
  </si>
  <si>
    <t>MASSIEL</t>
  </si>
  <si>
    <t>CMCA. LA MIA</t>
  </si>
  <si>
    <t>DEL CDI 1 CUADRA  AL SUR</t>
  </si>
  <si>
    <t>0810210860009V</t>
  </si>
  <si>
    <t>LUIS ALEXANDER ABURTO MARTINEZ</t>
  </si>
  <si>
    <t>BO. FATIMA, FRENTE AL COLEGIO DIVINO PASTOR</t>
  </si>
  <si>
    <t>DE LA ENTRADA AL SEMINARIO 2 CASAS AL SUR</t>
  </si>
  <si>
    <t>himbridox@gmail.com</t>
  </si>
  <si>
    <t>0010210860037K</t>
  </si>
  <si>
    <t>OSCAR DANILO HALFTERMEYER</t>
  </si>
  <si>
    <t>OSCAR</t>
  </si>
  <si>
    <t>BO. RIGOBERTO LOPEZ PEREZ, COLEGIO PUBLICO ESPAÑA 4C. N.  1/2C. O.</t>
  </si>
  <si>
    <t>SEMAFOROS BOER 1C SUR. 2 1/2C. ESTE</t>
  </si>
  <si>
    <t>oscarhalftermeyer@gmail.com</t>
  </si>
  <si>
    <t>2010110860003Y</t>
  </si>
  <si>
    <t>RAQUEL DEL SOCORRO ALGUERA PEREIRA</t>
  </si>
  <si>
    <t>RAQUEL</t>
  </si>
  <si>
    <t>RPTO. ADELITA N°1, TRES CRUCES 1/2C.O</t>
  </si>
  <si>
    <t>RPTO. ADELITA NO.1,      TRES CRUCES ½C.OESTE</t>
  </si>
  <si>
    <t>socorroalguera@gmail.com</t>
  </si>
  <si>
    <t>4012509860000U</t>
  </si>
  <si>
    <t>KENIA DE JESUS ENRIQUEZ GAITAN</t>
  </si>
  <si>
    <t>DE JESUS</t>
  </si>
  <si>
    <t>TISMA</t>
  </si>
  <si>
    <t>BO. 1RO. DE MAYO, CRUZ ROJA 1/2C. O. 2C. N.</t>
  </si>
  <si>
    <t>CRUZ ROJA 1/2C AL OESTE 2C. AL NORTE</t>
  </si>
  <si>
    <t>keniagaitan@yahoo.com</t>
  </si>
  <si>
    <t>0012209860032R</t>
  </si>
  <si>
    <t>JOULISSA MARIA SARAVIA LOPEZ</t>
  </si>
  <si>
    <t>JOULISSA</t>
  </si>
  <si>
    <t>BO. MARIA AUXILIADORA, PUENTE EL PARAISITO 1C. E. 2C.S. M/D</t>
  </si>
  <si>
    <t>PUENTE. PARAISITO 1CUADRA ESTE, 2CUADRAS AL SUR M.I</t>
  </si>
  <si>
    <t>0842009860001W</t>
  </si>
  <si>
    <t>MARBELLY DE LOS ANGELES MOLINA ESPINOZA</t>
  </si>
  <si>
    <t>MARBELLY</t>
  </si>
  <si>
    <t>PRIMERA ETAPA, PULPERIA KATIN 1 CUADRA SUR</t>
  </si>
  <si>
    <t>82955853 87845874</t>
  </si>
  <si>
    <t>4011809860005K</t>
  </si>
  <si>
    <t>MICHAEL DE LOS MILAGROS CAMPOS LOPEZ</t>
  </si>
  <si>
    <t>MICHAEL</t>
  </si>
  <si>
    <t>DE LOS MILAGROS</t>
  </si>
  <si>
    <t>ACADEMIA DE STA MA 11/2 AL SUR NIQUINOMO MASAYA</t>
  </si>
  <si>
    <t>ACADEMIA SANTA MARIA 1 1/2 CUADRA AL SUR, MANO DERECHA.</t>
  </si>
  <si>
    <t>0011509860002T</t>
  </si>
  <si>
    <t>DEBORAH ELIZABETH MEDRANO PATIÑO</t>
  </si>
  <si>
    <t>DEBORAH</t>
  </si>
  <si>
    <t>PATIÑO</t>
  </si>
  <si>
    <t>BO. M. QUEXADA, CINE CABRERA 1c E. 1/2c S. M.I</t>
  </si>
  <si>
    <t>DE DONDE FUE EL CINE CABRERA, 1C. AL ESTE, 1/2C. AL SUR, MANO IZQUIERDA.</t>
  </si>
  <si>
    <t>0011509860006X</t>
  </si>
  <si>
    <t>NINETT LUCIA MONTALVAN SUAREZ</t>
  </si>
  <si>
    <t>NINETT</t>
  </si>
  <si>
    <t>COL. NICARAO, DISTRIBUIDORA LA UNION 1C. E. 1/2C. N. CA. NO. I-530</t>
  </si>
  <si>
    <t>GALLO MAS GALLOS 3 CUADRAS AL NORTE</t>
  </si>
  <si>
    <t>ninettmonsua@hotmail.com</t>
  </si>
  <si>
    <t>4411409860004V</t>
  </si>
  <si>
    <t>GRETHEL LUCIA RODRIGUEZ ALDANA</t>
  </si>
  <si>
    <t>GRETHEL</t>
  </si>
  <si>
    <t>ALDANA</t>
  </si>
  <si>
    <t>RESIDENCIAL MOLINO NORTE, PROLASA 4c AL NORTE 4c AL OESTE 75vrs AL SUR</t>
  </si>
  <si>
    <t>GASOLINERA GAS CENTRAL 2 CUADRAS AL SUR, 1/2 CUADRA AL ESTE</t>
  </si>
  <si>
    <t>27723754 88578024</t>
  </si>
  <si>
    <t>rodriguezgrethel09@gmail.com</t>
  </si>
  <si>
    <t>2811409860004N</t>
  </si>
  <si>
    <t>ROSA MARIA PARADA ESQUIVEL</t>
  </si>
  <si>
    <t>BO. FUNDECI, II ETAPA LABORATORIO ALONSO 1C 1/2 AL N</t>
  </si>
  <si>
    <t>FUNDECI 3 ERA ETAPA, DE LABORATORIOS ALONSO 1 1/2 C AL N.</t>
  </si>
  <si>
    <t>0011309860008V</t>
  </si>
  <si>
    <t>TERENCE ENMANUELLE MAYORGA RODRIGUEZ</t>
  </si>
  <si>
    <t>TERENCE</t>
  </si>
  <si>
    <t>ENMANUELLE</t>
  </si>
  <si>
    <t>BO. SAN MIGUEL, POLICIA SAN MIGUEL 1 1/2C. E.</t>
  </si>
  <si>
    <t>EDIFICIO EL TRIUNFO 1 1/2CUADRA AL  NORTE</t>
  </si>
  <si>
    <t>0851109860000T</t>
  </si>
  <si>
    <t>RAQUEL DE LOS ANGELES CHAVEZ MENA</t>
  </si>
  <si>
    <t>SECTOR 8, DEL COMERCIAL 1/2C. AL ESTE</t>
  </si>
  <si>
    <t>DEL HOSPITAL PASTOR JIMENEZ AROSTEGUI 1/2 CUADRA AL NORTE</t>
  </si>
  <si>
    <t>2861109860001Q</t>
  </si>
  <si>
    <t>PATRICIA ARACELLY REYES GARCIA</t>
  </si>
  <si>
    <t>ARACELLY</t>
  </si>
  <si>
    <t>QUEZALGUAQUE</t>
  </si>
  <si>
    <t>CMCA.LAS MERCEDES,C/SALUD 300VRS ABAJO</t>
  </si>
  <si>
    <t>CENTRO DE SALUD 300 VARAS AL OESTE</t>
  </si>
  <si>
    <t>pateltad@gmail.com</t>
  </si>
  <si>
    <t>1610809860010U</t>
  </si>
  <si>
    <t>GABRIEL ANTONIO OLIVAS LAGOS</t>
  </si>
  <si>
    <t>CASA REAL CAS #T02</t>
  </si>
  <si>
    <t>PORTON PRINCIPAL COLEGIO SAN FRANCISCO 1 CUADRA AL OESTE</t>
  </si>
  <si>
    <t>olivaslagosgabriel2@yahoo.com</t>
  </si>
  <si>
    <t>0010809860027F</t>
  </si>
  <si>
    <t>OSWALDO JAVIER LEZAMA HERNANDEZ</t>
  </si>
  <si>
    <t>COL.LEONEL RUGAMA,CONTIGUO COMPLEJO POLICIAL AJAX DELGADO CA.NO.31</t>
  </si>
  <si>
    <t>CONTIGUO A LA AJAX DELGADO, CASA NO. 34.</t>
  </si>
  <si>
    <t>0010509860002W</t>
  </si>
  <si>
    <t>MANUELA SABINA SORIANO RODRIGUEZ</t>
  </si>
  <si>
    <t>MANUELA</t>
  </si>
  <si>
    <t>SABINA</t>
  </si>
  <si>
    <t>BO. MONSEÑOR LEZCANO, DE DONDE FUE CINE LEON 2C. S.1/2C. E. M/I</t>
  </si>
  <si>
    <t>ANTIGUO CINE LEON 2 CUADRAS AL SUR, 1/2 CUADRA AL ESTE. MANO IZQUIERDA.</t>
  </si>
  <si>
    <t>22662865 89970524</t>
  </si>
  <si>
    <t>MEDICO EN MEDICINA ORIENTAL</t>
  </si>
  <si>
    <t>sabinasoriano15@gmail.com</t>
  </si>
  <si>
    <t>savinasoriano15@gmail.com</t>
  </si>
  <si>
    <t>0040109860001P</t>
  </si>
  <si>
    <t>MARIELA DEL CARMEN LEIVA MELENDEZ</t>
  </si>
  <si>
    <t>MARIELA</t>
  </si>
  <si>
    <t>BO. SANTIAGO PAIZ, DE LA IGLESIA CATOLICA 2c AL ESTE 1 1/2c AL SUR</t>
  </si>
  <si>
    <t>DE LOS SEMAFOROS DEL HOSPITAL MILITAR, 700MTS. SUR</t>
  </si>
  <si>
    <t>2813108860025R</t>
  </si>
  <si>
    <t>KALIA LUCIA BLANDON VARGAS</t>
  </si>
  <si>
    <t>KALIA</t>
  </si>
  <si>
    <t>BO. EL COYOLAR FRENTE AL HOTEL EUROPA</t>
  </si>
  <si>
    <t>FRENTE HOTEL EUROPA.</t>
  </si>
  <si>
    <t>4012808860005A</t>
  </si>
  <si>
    <t>AURA LILA ZUNIGA GARCIA</t>
  </si>
  <si>
    <t>LILA</t>
  </si>
  <si>
    <t>BO. MONIMBO, 4 ESQUINAS 1C, N.</t>
  </si>
  <si>
    <t>4 ESQUINAS 1 CUADRA AL NORTE</t>
  </si>
  <si>
    <t>6012708860002X</t>
  </si>
  <si>
    <t>ISHELL YOLANDA HODGSON RUGAMA</t>
  </si>
  <si>
    <t>ISHELL</t>
  </si>
  <si>
    <t>YOLANDA</t>
  </si>
  <si>
    <t>BO. BEHOLDEN, FRENTE A PULPERIA DE PERCY SPENCE</t>
  </si>
  <si>
    <t>FRENTE  A PULPERIA PERCY SPENCE</t>
  </si>
  <si>
    <t>2902208860000B</t>
  </si>
  <si>
    <t>WALKIRIA MARIA HERNANDEZ LOPEZ</t>
  </si>
  <si>
    <t>WALKIRIA</t>
  </si>
  <si>
    <t>BO. SAN ANTONIO SUR, ESQUINA EL CALVARIO 20VRS. SUR</t>
  </si>
  <si>
    <t>ESQUINA EL CALVARIO 20 VARAS AL SUR</t>
  </si>
  <si>
    <t>23182406 88203273</t>
  </si>
  <si>
    <t>5611208860006Y</t>
  </si>
  <si>
    <t>MARIBEL EUGENIA SALINAS BONILLA</t>
  </si>
  <si>
    <t>MARIBEL</t>
  </si>
  <si>
    <t>EUGENIA</t>
  </si>
  <si>
    <t>BO. SAN FELIPE, FUNERARIA BONILLA 1 1/2C, S.</t>
  </si>
  <si>
    <t>ROTONDA 1 CUADRA AL OESTE 1/2 CUADRA AL NORTE.</t>
  </si>
  <si>
    <t>23135390 55005893</t>
  </si>
  <si>
    <t>2811208860010J</t>
  </si>
  <si>
    <t>ANGELICA MARIA ZUNIGA DAVILA</t>
  </si>
  <si>
    <t>CRUZ ROJA 1 CUADRA ABAJO 1 Y MEDIA CUADRA AL NORTE. BARRIO SAN FELIPE. LEÓN</t>
  </si>
  <si>
    <t>BASE DE LA CRUZ ROJA 1 CUADRA AL OESTE 1 CUADRA AL NORTE</t>
  </si>
  <si>
    <t>23124283, 78098631, 89114304</t>
  </si>
  <si>
    <t>23124283 89114304</t>
  </si>
  <si>
    <t>zuda120886@gmail.com</t>
  </si>
  <si>
    <t>4811208860003E</t>
  </si>
  <si>
    <t>ELSA NOHEMI CACERES CACERES</t>
  </si>
  <si>
    <t>ELSA</t>
  </si>
  <si>
    <t>NOHEMI</t>
  </si>
  <si>
    <t>BO. NOEL WEELOCK, ESQUINA SUROESTE TABACALERA PROTASA 1C.S. 1C.O.</t>
  </si>
  <si>
    <t>DE LA ESQUINA SUR-ESTE DE LA TABACALERA PROTASA 1/2 CUADRA AL SUR, 1/2 CUADRA AL ESTE</t>
  </si>
  <si>
    <t>0011008860036N</t>
  </si>
  <si>
    <t>KLONDY ESMERALDA ZELAYA</t>
  </si>
  <si>
    <t>KLONDY</t>
  </si>
  <si>
    <t>DONDE FUE EL RESTAURANTE MIUNICH 6C. ABAJO, 75VRS. S MANO IZQUIERDA</t>
  </si>
  <si>
    <t>ANTIGUO RESTAURANTE MUNICH 6 CUADRAS OESTE, 75 VARAS SUR.</t>
  </si>
  <si>
    <t>22680546 58366881</t>
  </si>
  <si>
    <t>0010808860015L</t>
  </si>
  <si>
    <t>MARIA JOSE GUTIERREZ GARCIA</t>
  </si>
  <si>
    <t>AMERICAS III, SECTOR C, ANDEN # 1, CASA 1027</t>
  </si>
  <si>
    <t>BOMBEROS DEL IVAN, 9 ANDENES AL NORTE, 1 CUADRA AL ESTE, SECTOR C, ANDEN 1, CASA NRO. 1027.</t>
  </si>
  <si>
    <t>mariajoseg2@yahoo.com</t>
  </si>
  <si>
    <t>0850808860000F</t>
  </si>
  <si>
    <t>KARLA VANESSA RIOS HERNANDEZ</t>
  </si>
  <si>
    <t>ZONA N°1, COMEDOR INFANTIL 1C.S.</t>
  </si>
  <si>
    <t>FRENTE AL COMEDOR INFANTIL</t>
  </si>
  <si>
    <t>0010708860041M</t>
  </si>
  <si>
    <t>MADELYN DEL SOCORRO ARANSIBIA RIVERA</t>
  </si>
  <si>
    <t>MADELYN</t>
  </si>
  <si>
    <t>VI. MIGUEL GUTIERREZ SEMAFOROS 1C.ESTE</t>
  </si>
  <si>
    <t>VI. MIGUEL GUTIERREZ,    SEMAFORO 1C.ESTE</t>
  </si>
  <si>
    <t>0010608860006W</t>
  </si>
  <si>
    <t>ROMMEL EZEQUIEL CANO BUSTAMANTE</t>
  </si>
  <si>
    <t>ROMMEL</t>
  </si>
  <si>
    <t>RESD, JARDINES DE VERACRUZ.</t>
  </si>
  <si>
    <t>PRIMERA ETAPA, CASA NÚMERO 83</t>
  </si>
  <si>
    <t>romcanales@gmail.com romconogon@hotmail.com</t>
  </si>
  <si>
    <t>2813107860009S</t>
  </si>
  <si>
    <t>VERONICA ESPERANZA MUNGUIA HERNANDEZ</t>
  </si>
  <si>
    <t>ESPERANZA</t>
  </si>
  <si>
    <t>WIWILÍ DE NUEVA SEGOVIA</t>
  </si>
  <si>
    <t>WIWILI DE NUEVA SEGOVIA</t>
  </si>
  <si>
    <t>BO. CARLOSFONSECA, FRENTE A FERRETERIA BUENA FE</t>
  </si>
  <si>
    <t>FRENTE A LA FERRETERIA BUENA FE</t>
  </si>
  <si>
    <t>angy_rodriguez21@yahoo.com</t>
  </si>
  <si>
    <t>0863107860000R</t>
  </si>
  <si>
    <t>GUSTAVO ADOLFO SARAVIA JUAREZ</t>
  </si>
  <si>
    <t>GUSTAVO</t>
  </si>
  <si>
    <t>ADOLFO</t>
  </si>
  <si>
    <t>COL. M.CARRILLO, RESTAURANTE LOS ALMENDROS 1c OESTE 1c SUR</t>
  </si>
  <si>
    <t>RESTAURANTE LOS ALMENDROS 1 CUADRA AL OESTE, 1 CUADRA AL SUR</t>
  </si>
  <si>
    <t>gsolgar@yahoo.es</t>
  </si>
  <si>
    <t>5613107860002E</t>
  </si>
  <si>
    <t>DEYDE DENDANEA CHAVEZ VANEGAS</t>
  </si>
  <si>
    <t>DEYDE</t>
  </si>
  <si>
    <t>DENDANEA</t>
  </si>
  <si>
    <t>FRENTE AL HOSPITAL PRIMARIO CARLOS FONSECA AMADOR BO EL TRANQUE</t>
  </si>
  <si>
    <t>ENTRADA PRINCIPAL 4C OESTE 1C 1/2 NORTE</t>
  </si>
  <si>
    <t>0013007860008U</t>
  </si>
  <si>
    <t>SARAH ARCANA MAROTZKE MAYORGA</t>
  </si>
  <si>
    <t>SARAH</t>
  </si>
  <si>
    <t>ARCANA</t>
  </si>
  <si>
    <t>REPARTO SAN JUAN, GIMNASIO HERCULES 1C.S,  1C.E, 21/2C.S</t>
  </si>
  <si>
    <t>KM 13 CARR SUR</t>
  </si>
  <si>
    <t>2813007860006M</t>
  </si>
  <si>
    <t>GRETHEL LUCIA SOMARRIBA URCUYO</t>
  </si>
  <si>
    <t>URCUYO</t>
  </si>
  <si>
    <t>BO. LABORIO, ADMON. RENTA 1/2C.ABAJO</t>
  </si>
  <si>
    <t>ADMINISTRACION DE RENTAS 1/2 CUADRA AL OESTE</t>
  </si>
  <si>
    <t>0862907860001N</t>
  </si>
  <si>
    <t>FREIDEL JESUS ULLOA MEZA</t>
  </si>
  <si>
    <t>FREIDEL</t>
  </si>
  <si>
    <t>JESUS</t>
  </si>
  <si>
    <t>ESQUINA OPUESTA IGLESIA ESQUIPULAS. BO. ESQUIPULAS</t>
  </si>
  <si>
    <t>BO. ESQUIPULA, ESQUINA OPUESTA IGL. ESQUIPULAS 4C O. 1/2C N.</t>
  </si>
  <si>
    <t>87773726 84261358</t>
  </si>
  <si>
    <t>frey290726@gmail.com</t>
  </si>
  <si>
    <t>2812207860000N</t>
  </si>
  <si>
    <t>MARIA INGILENE BLANDON PADILLA</t>
  </si>
  <si>
    <t>INGILENE</t>
  </si>
  <si>
    <t>CMCA. PUNTA ARENA, EMPL. QUEZALGUAQUE 500VRS. SUR</t>
  </si>
  <si>
    <t>EMPALME DE QUEZALGUAQUE 600 VARAS AL SUR</t>
  </si>
  <si>
    <t>2852207860000H</t>
  </si>
  <si>
    <t>YAHINNIER EDUARDO PEREZ DOLMUS</t>
  </si>
  <si>
    <t>YAHINNIER</t>
  </si>
  <si>
    <t>DOLMUS</t>
  </si>
  <si>
    <t>SANTA ROSA DEL PEÑON</t>
  </si>
  <si>
    <t>CMCA. MINA LA INDIA, COSTADO NORTE ESCUELA 1 1/2C.N.</t>
  </si>
  <si>
    <t>COLEGIO 1 1/2 CUADRA AL NORTE</t>
  </si>
  <si>
    <t>yeduardop@yahoo.com</t>
  </si>
  <si>
    <t>1612107860004D</t>
  </si>
  <si>
    <t>KARLA PATRICIA MIRANDA CALERO</t>
  </si>
  <si>
    <t>SUBESTACION ENEL 2 CUADRAS AL SUR 1/2 CUADRA AL OESTE, BARRIO NOEL GÁMEZ.</t>
  </si>
  <si>
    <t>SUB-ESTACION ENEL 2 CUADRAS AL SUR 1/2 CUADRA AL OESTE</t>
  </si>
  <si>
    <t>mirandaminino@gmail.com</t>
  </si>
  <si>
    <t>3211907860000C</t>
  </si>
  <si>
    <t>GEMA LIBERTAD CARRANZA MATUTE</t>
  </si>
  <si>
    <t>LIBERTAD</t>
  </si>
  <si>
    <t>SECTOR 1, DDF. PENSION CORINA 2C. SUR, 1/2C. ESTE</t>
  </si>
  <si>
    <t>DE DONDE FUE PENSION CORINA 2 CUADRA AL SUR 1/2 CUADRA AL ESTE</t>
  </si>
  <si>
    <t>27222770 87876145</t>
  </si>
  <si>
    <t>geymikrma19@gmail.com</t>
  </si>
  <si>
    <t>3611507860002R</t>
  </si>
  <si>
    <t>WALTER NOEL RODRIGUEZ TORREZ</t>
  </si>
  <si>
    <t>WALTER</t>
  </si>
  <si>
    <t>BO. LA PLANTA, ESCUELA ESPECIAL 3C.O.</t>
  </si>
  <si>
    <t>HOTEL PRIMAVERA 1/2 CUADRA AL SUR,</t>
  </si>
  <si>
    <t>89487635 86396646</t>
  </si>
  <si>
    <t>0011407860000B</t>
  </si>
  <si>
    <t>BETSABE CAROLINA SILVA BELL</t>
  </si>
  <si>
    <t>BETSABE</t>
  </si>
  <si>
    <t>BELL</t>
  </si>
  <si>
    <t>BO.CORTECES DE LA TERMINAL RUTA 112 2C.ARRIBA 4C.AL SUR</t>
  </si>
  <si>
    <t>TERMINAL RUTA 112, 2 CUADRAS ESTE, 3 CUADRAS SUR MANO DERECHA</t>
  </si>
  <si>
    <t>betcaro30@gmail.com</t>
  </si>
  <si>
    <t>0011307860022X</t>
  </si>
  <si>
    <t>MEYLING LIZETH BRENES CALDERON</t>
  </si>
  <si>
    <t>MEYLING</t>
  </si>
  <si>
    <t>REPARTO SCHICK PRIMERA ETAPA DE PANADERIA SCHICK 75 VARAS AL LAGO CASA NUMERO 183</t>
  </si>
  <si>
    <t>PANADERIA CHICK 1/2 CUADRA AL NORTE CASA NUMERO 183</t>
  </si>
  <si>
    <t>drameylingbrenes@gmail.com</t>
  </si>
  <si>
    <t>4040907860000Y</t>
  </si>
  <si>
    <t>DUGLAS BLADIMIR RUIZ NICARAGUA</t>
  </si>
  <si>
    <t>DUGLAS</t>
  </si>
  <si>
    <t>BLADIMIR</t>
  </si>
  <si>
    <t>CATARINA</t>
  </si>
  <si>
    <t>BO. LUIS FERNANDO CARBALLO, DE LA ROTONDA CATARINA 700MTS. OESTE</t>
  </si>
  <si>
    <t>EMPALME CATARINA 700  METROS OESTE, BARRIO LUIS FERNANDO CARBALLO</t>
  </si>
  <si>
    <t>dnicaragua09@yahoo.com</t>
  </si>
  <si>
    <t>2910807860001H</t>
  </si>
  <si>
    <t>CARLOS MAXIMINO MOLINA MACHADO</t>
  </si>
  <si>
    <t>MAXIMINO</t>
  </si>
  <si>
    <t>MACHADO</t>
  </si>
  <si>
    <t>BARRIO CAMILO ORTEGA DEL MONUMENTO 9C. AL LAGO</t>
  </si>
  <si>
    <t>FRENTE A LA IGLESIA HOSSANA SUR</t>
  </si>
  <si>
    <t>carlosmolinamachado@yahoo.com</t>
  </si>
  <si>
    <t>6010307860003Q</t>
  </si>
  <si>
    <t>VANESSA FABIOLA VALDEZ MARTINEZ</t>
  </si>
  <si>
    <t>FABIOLA</t>
  </si>
  <si>
    <t>BO.CENTRAL COSTADO OESTE CATEDRAL</t>
  </si>
  <si>
    <t>BELLO HORIZONTE ROTONDA, 4C SUR 4C ESTE CASA K-III-20</t>
  </si>
  <si>
    <t>25722456 84009390</t>
  </si>
  <si>
    <t>coysita03@hotmail.com</t>
  </si>
  <si>
    <t>2870207860000Y</t>
  </si>
  <si>
    <t>INGRID MARGELA CARCACHE JIMENEZ</t>
  </si>
  <si>
    <t>MARGELA</t>
  </si>
  <si>
    <t>BO. LUIS DE LA LLANA, CEM. VIEJO 2C.S. 1C.O.</t>
  </si>
  <si>
    <t>CONTIGUO  A LA GASOLINERA</t>
  </si>
  <si>
    <t>carcacheingrid@yahoo.es</t>
  </si>
  <si>
    <t>0010207860027E</t>
  </si>
  <si>
    <t>MARIA JOSE ROMERO RUIZ</t>
  </si>
  <si>
    <t>BO. CARLOS AGUIRRE, ENEL RUBENIA 1C. ABAJO,1C. SUR, 1/2C. ARRIBA</t>
  </si>
  <si>
    <t>CALLE PRINCESA CASA # 46</t>
  </si>
  <si>
    <t>22892459 86790664</t>
  </si>
  <si>
    <t>machertkd03@hotmail.com</t>
  </si>
  <si>
    <t>0810207860005W</t>
  </si>
  <si>
    <t>RUTH DE LOS ANGELES HERNANDEZ GARCIA</t>
  </si>
  <si>
    <t>RUTH</t>
  </si>
  <si>
    <t>DONDE FUE EL INSS 1 C AL NORTE MEDIA AL ESTE . BARRIO GUANUCA.</t>
  </si>
  <si>
    <t>BO. GUANUCA, INSS. 1C NORTE 1/2 C ESTE</t>
  </si>
  <si>
    <t>27728740, 87525000</t>
  </si>
  <si>
    <t>27728740 23417707 89770189</t>
  </si>
  <si>
    <t>ruangeles7777@gmail.com</t>
  </si>
  <si>
    <t>0010107860019T</t>
  </si>
  <si>
    <t>SEYDI MARION MURILLO SIRIAS</t>
  </si>
  <si>
    <t>SEYDI</t>
  </si>
  <si>
    <t>MARION</t>
  </si>
  <si>
    <t>BO. COOP.M. MORALES, IGL. CAT. VI. FLOR, 2C AL S.1/2C, E.</t>
  </si>
  <si>
    <t>IGLESIA CATOLICA DE VILLA FLOR SUR, 1 CUADRA SUR, 1 1/2 CUADRA ESTE.</t>
  </si>
  <si>
    <t>2882906860001U</t>
  </si>
  <si>
    <t>JUAN PABLO AGUIRRE SANCHEZ</t>
  </si>
  <si>
    <t>PABLO</t>
  </si>
  <si>
    <t>MATIGUAS</t>
  </si>
  <si>
    <t>BO. EL CALVARIO, ASOGASA 1/2 C. O</t>
  </si>
  <si>
    <t>FDL 1 CUADRA AL SUR</t>
  </si>
  <si>
    <t>bleiva94@yahoo.com</t>
  </si>
  <si>
    <t>2412706860003A</t>
  </si>
  <si>
    <t>MARYIRIT DEL SOCORRO TORREZ ZELAYA</t>
  </si>
  <si>
    <t>MARYIRIT</t>
  </si>
  <si>
    <t>BO. SAN ISIDRO PUENTE COLGANTE 1c O. 1/2c S.</t>
  </si>
  <si>
    <t>DEL INACS 4 1/2 CUADRA AL NORTE, 1/2 CUADRA AL ESTE</t>
  </si>
  <si>
    <t>27823748 89497782</t>
  </si>
  <si>
    <t>2812606860006W</t>
  </si>
  <si>
    <t>MILTON DE JESUS FUNES NARVAEZ</t>
  </si>
  <si>
    <t>BO. EL CALVARIO, HOTEL EUROPA 1C.ESTE 1/2C.SUR</t>
  </si>
  <si>
    <t>HOTEL EUROPA 1 CUADRA AL ESTE 1/2CUADRA AL SUR</t>
  </si>
  <si>
    <t>3612106860002X</t>
  </si>
  <si>
    <t>ENMA FADELING LUMBI SEQUEIRA</t>
  </si>
  <si>
    <t>ENMA</t>
  </si>
  <si>
    <t>FADELING</t>
  </si>
  <si>
    <t>RIO  BLANCO</t>
  </si>
  <si>
    <t>RIO BLANCO</t>
  </si>
  <si>
    <t>BO. CARLOS FONSECA DEL CDC 1 1/2c E.</t>
  </si>
  <si>
    <t>DEL C.D.I 1.1/2C UADRA AL ESTE</t>
  </si>
  <si>
    <t>4011906860002P</t>
  </si>
  <si>
    <t>ROGER MARTIN VEGA BLANCO</t>
  </si>
  <si>
    <t>BO. SAN JUAN, ADMON DE RENTA 2 1/2C, O.</t>
  </si>
  <si>
    <t>BO. SAN JUAN, ADMON.DE RENTA 2.1/2C.OESTE</t>
  </si>
  <si>
    <t>6011806860000N</t>
  </si>
  <si>
    <t>LUIS ANTONIO JOSEPH LACAYO</t>
  </si>
  <si>
    <t>CORN ISLAND</t>
  </si>
  <si>
    <t>B° BEHOLDEN, DETRAS DE LA IGLESIA ADVENTISTAS</t>
  </si>
  <si>
    <t>FRENTE AL TALLER DE PIO</t>
  </si>
  <si>
    <t>25755102, 58405281, 83677027</t>
  </si>
  <si>
    <t>josephluis46@yahoo.com</t>
  </si>
  <si>
    <t>0011706860014R</t>
  </si>
  <si>
    <t>DALIA SIELEMA DE ARMAS ROMERO</t>
  </si>
  <si>
    <t>DALIA</t>
  </si>
  <si>
    <t>SIELEMA</t>
  </si>
  <si>
    <t>KM 9 CARRTERA NVA. LEON. ALTOS DE MOTASTEPE CASA-537.</t>
  </si>
  <si>
    <t>CASA # 537</t>
  </si>
  <si>
    <t>22710095 89293145</t>
  </si>
  <si>
    <t>camizama20@hotmail.com</t>
  </si>
  <si>
    <t>8881706860000C</t>
  </si>
  <si>
    <t>GABRIELLA ALEXIA WOO MORENO</t>
  </si>
  <si>
    <t>GABRIELLA</t>
  </si>
  <si>
    <t>ALEXIA</t>
  </si>
  <si>
    <t>SAN PEDRO DE LOVAGO</t>
  </si>
  <si>
    <t>VI. DON BOSCO, CRUZ ROJA 3C.O.  MANAGUA</t>
  </si>
  <si>
    <t>VILLA DON BOSCO, IG. 3C AB, CASA D-71</t>
  </si>
  <si>
    <t>22443232, 57554201</t>
  </si>
  <si>
    <t>22443232 57554201</t>
  </si>
  <si>
    <t>alexia17686@hotmail.com</t>
  </si>
  <si>
    <t>3621706860003H</t>
  </si>
  <si>
    <t>JUAN ANTONIO DUARTE BÁEZ</t>
  </si>
  <si>
    <t>BÁEZ</t>
  </si>
  <si>
    <t>BO. RIGOBERTO LOPEZ PEREZ GASOLINERA UNO 300 VARAS AL ESTE CAMOAPA-BOACO.</t>
  </si>
  <si>
    <t>GASOLINERA UNO, 300 VARAS AL ESTE</t>
  </si>
  <si>
    <t>89923317 89359941</t>
  </si>
  <si>
    <t>mjrn_1989@yahoo.es</t>
  </si>
  <si>
    <t>0011706860023B</t>
  </si>
  <si>
    <t>SUYEN ALEJANDRA DAVILA JIMENEZ</t>
  </si>
  <si>
    <t>JARDINES DE VERACRUZ ENTRADA PRINCIPAL 14 CUADRAS AL SUR CASA F15</t>
  </si>
  <si>
    <t>ANTIGUA TIENDA GALLO MAS GALLO BELLO HORIZONTE 1 CUADRA OESTE 1/2 CUADRA NORTE</t>
  </si>
  <si>
    <t>22890338, 84794858</t>
  </si>
  <si>
    <t>suyencitadc08@gmail.com</t>
  </si>
  <si>
    <t>6071706860000Q</t>
  </si>
  <si>
    <t>JUAN GILBERTO GUTIERREZ JACOBO</t>
  </si>
  <si>
    <t>GILBERTO</t>
  </si>
  <si>
    <t>JACOBO</t>
  </si>
  <si>
    <t>PRINZAPOLKA</t>
  </si>
  <si>
    <t>ALAMIKANBAN,COSTADO ESTE DEL HOSPITAL PRIMARIO PRINZUPAGUANKA</t>
  </si>
  <si>
    <t>COMUNIDAD ALAMIKAMBAN, COSTADO ESTE DEL HOSPITAL.</t>
  </si>
  <si>
    <t>27922298 86030760</t>
  </si>
  <si>
    <t>0041706860000D</t>
  </si>
  <si>
    <t>MEYLIN DEL CARMEN BALTODANO CASTILLO</t>
  </si>
  <si>
    <t>MEYLIN</t>
  </si>
  <si>
    <t>SAN RAFAEL DEL SUR</t>
  </si>
  <si>
    <t>CMCA.STA.RITA,ESCUELA 500VRS.ARRIBA</t>
  </si>
  <si>
    <t>KILOMETRO 32 1/2 CARRETERA A VILLA EL CARMEN. ESCUELA 500 VARAS AL ESTE.</t>
  </si>
  <si>
    <t>DOCTOR EM MEDICINA Y CIRUGIA</t>
  </si>
  <si>
    <t>rossmery19862011@hotmail.com</t>
  </si>
  <si>
    <t>3211606860004T</t>
  </si>
  <si>
    <t>YESSICA MARYURI PONCE</t>
  </si>
  <si>
    <t>YESSICA</t>
  </si>
  <si>
    <t>BO. SAN PEDRO DE LA GASOLINERA 85MTS. HACIA LA BAHIA</t>
  </si>
  <si>
    <t>COSTADO NOROESTE POLIDEPORTIVO 3 CUADRAS AL OESTE</t>
  </si>
  <si>
    <t>0851506860003L</t>
  </si>
  <si>
    <t>GLADYS DEL CARMEN DIAZ RAMOS</t>
  </si>
  <si>
    <t>CMCA. EL TANQUE, 1ERA. CALLE 4C.S. CA. N°76</t>
  </si>
  <si>
    <t>PRIMERA CALLE CASA 76</t>
  </si>
  <si>
    <t>morenita_1586@hotmail.com</t>
  </si>
  <si>
    <t>2811406860008X</t>
  </si>
  <si>
    <t>INDIRA MERCEDES ANDINO ANTON</t>
  </si>
  <si>
    <t>INO. INSTITUTO NACIONAL DE OCCIDENTE 1 CUADRA AL NORTE Y 1/2 CUADRA AL OESTE .rPTO EMIR CABEZAS CASA B-17.</t>
  </si>
  <si>
    <t>IGLESIA ZARAGOZA 1 1/2 CUADRA AL ESTE.</t>
  </si>
  <si>
    <t>86575232 76111476</t>
  </si>
  <si>
    <t>indiindi4feb@hotmail.com</t>
  </si>
  <si>
    <t>indiindi4feb@gmail.com indiraandino0@gmail.com</t>
  </si>
  <si>
    <t>2881306860003M</t>
  </si>
  <si>
    <t>HARVYN DANIEL OBANDO QUIÑONEZ</t>
  </si>
  <si>
    <t>HARVYN</t>
  </si>
  <si>
    <t>QUIÑONEZ</t>
  </si>
  <si>
    <t>CMCA. LOS TOLOLOS, ENT. A LOS TOLOLOS 200MTS.O.</t>
  </si>
  <si>
    <t>DE LA ENTRADA  LOS TOLOLOS 200 METROTS AL OESTE.</t>
  </si>
  <si>
    <t>4011206860001X</t>
  </si>
  <si>
    <t>JUAN ANTONIO GAMBOA SANCHEZ</t>
  </si>
  <si>
    <t>BO. MONIMBO IGLESIA MAGDALENA 2C.O. 1C.S.</t>
  </si>
  <si>
    <t>IGLESIA MAGDALENA 2 C. AL OESTE, 1 C. AL SUR</t>
  </si>
  <si>
    <t>drgamboas@gmail.com</t>
  </si>
  <si>
    <t>0011006860061C</t>
  </si>
  <si>
    <t>CARMEN EUGENIA ARANA GALO</t>
  </si>
  <si>
    <t>GALO</t>
  </si>
  <si>
    <t>RPTO. MIRAFLORES REST, MUNICH 1C, ARR. 1 1/2C, S.</t>
  </si>
  <si>
    <t>ANTIGUO RESTAURANTE MUNICH, 1 CUADRA AL ESTE, 1/2 CUADRA AL SUR</t>
  </si>
  <si>
    <t>22666345 81892416 89561067 87475274</t>
  </si>
  <si>
    <t>0410906860004J</t>
  </si>
  <si>
    <t>ISIS NAIN HERRERA OCHOA</t>
  </si>
  <si>
    <t>ISIS</t>
  </si>
  <si>
    <t>Bo.LIBERTAD,TEXACO 21/2C.S</t>
  </si>
  <si>
    <t>DE GASOLOINERA UNO 2 1/2 CUADRAS AL SUR</t>
  </si>
  <si>
    <t>1610806860004T</t>
  </si>
  <si>
    <t>JENNIFER DOLORES REYES BLANCO</t>
  </si>
  <si>
    <t>JENNIFER</t>
  </si>
  <si>
    <t>BO. ALFREDO LAZO, COSTADO NORTE MERCADO 1C.O 1/2C.S</t>
  </si>
  <si>
    <t>COSTADO NORTE, DEL MERCADO, 1 CUADRA AL OESTE.</t>
  </si>
  <si>
    <t>jmadven10@gmail.com</t>
  </si>
  <si>
    <t>2830706860000J</t>
  </si>
  <si>
    <t>ENMANUEL ANTONIO VALLEJOS ROJAS</t>
  </si>
  <si>
    <t>EL JICARAL</t>
  </si>
  <si>
    <t>CMCA. MINA LA INDIA, FRENTE PARADA DE BUSES</t>
  </si>
  <si>
    <t>FRENTE A LA PARADA DE BUSES</t>
  </si>
  <si>
    <t>5660506860002D</t>
  </si>
  <si>
    <t>MARIA JOSE ALTAMIRANO SOLIS</t>
  </si>
  <si>
    <t>BO. RAMON GONZALEZ, RIVAS DE LA CURACAO 150 VRS AL N</t>
  </si>
  <si>
    <t>RESIDENCIAL VALPARAISO CASA NUMERO 84, CARRETERA PANAMERICANA</t>
  </si>
  <si>
    <t>majocosniki86@yahoo.com</t>
  </si>
  <si>
    <t>majomarissa8623@gmail.com</t>
  </si>
  <si>
    <t>4010206860000A</t>
  </si>
  <si>
    <t>DAYRA DEL CARMEN BALTODANO SOTELO</t>
  </si>
  <si>
    <t>DAYRA</t>
  </si>
  <si>
    <t>SOTELO</t>
  </si>
  <si>
    <t>CMCA.LOS POCITOS,FRENTE A PREESCOLAR COMUNITARIO LOS CARLITOS</t>
  </si>
  <si>
    <t>EMPALME DE NIQUINOHOMO 2 KILOMETROS. NORTE</t>
  </si>
  <si>
    <t>4892705860000D</t>
  </si>
  <si>
    <t>ELIMAR SOBALVARRO CRUZ</t>
  </si>
  <si>
    <t>ELIMAR</t>
  </si>
  <si>
    <t>BO. PRUDENCIA SERRANO, FRENTE BALNEARIO VERANO FELIZ</t>
  </si>
  <si>
    <t>CONTIGUO AL CENTRO DE SALUD, CASA DE MEDICOS</t>
  </si>
  <si>
    <t>elimarsc20@hotmail.com</t>
  </si>
  <si>
    <t>0022605860004L</t>
  </si>
  <si>
    <t>SERGIO EZEQUIEL MOLINA HERRERA</t>
  </si>
  <si>
    <t>CMCA.MASACHAPA,FRENTE COLEGIO REPUBLICA DE ECUADOR</t>
  </si>
  <si>
    <t>FERNTE COLEGIO PUBLICO REPUBLICA DE ECUADOR MASACHAPA</t>
  </si>
  <si>
    <t>89737259 82342856</t>
  </si>
  <si>
    <t>hersex@hotmail.es</t>
  </si>
  <si>
    <t>0012305860002K</t>
  </si>
  <si>
    <t>OMAR MOISES GARCÍA HERNANDEZ</t>
  </si>
  <si>
    <t>OMAR</t>
  </si>
  <si>
    <t>BO. TIERRA PROMETIDA COSTADO OESTE NESTLE 1C.S.4C.O.</t>
  </si>
  <si>
    <t>COSTADO ESTE NESTLE 1 CUADRA AL SUR 4 1/2 CUADRA AL OESTE</t>
  </si>
  <si>
    <t>xifon23@yahoo.com</t>
  </si>
  <si>
    <t>0812305860005E</t>
  </si>
  <si>
    <t>DOUGLAS DAVID VASQUEZ PEREIRA</t>
  </si>
  <si>
    <t>BO. SANTA ANA, DEL PALI 3 1/2C. AL NORTE</t>
  </si>
  <si>
    <t>ROTONDA LA VERGEN 4 1/2 AL NORTE, MANO DERECHA</t>
  </si>
  <si>
    <t>ddvp2003@gmail.com</t>
  </si>
  <si>
    <t>0012305860012V</t>
  </si>
  <si>
    <t>OSMAN ALCIDES MARTINEZ SEQUEIRA</t>
  </si>
  <si>
    <t>OSMAN</t>
  </si>
  <si>
    <t>ALCIDES</t>
  </si>
  <si>
    <t>RESIDENCIAL SAN ANDRES, CASA C-14 CIUDAD SANDINO</t>
  </si>
  <si>
    <t>BO RENE SCHICK DE LA ESTATUA 1 1/2C ARRIBA. TEL-2553322</t>
  </si>
  <si>
    <t>77305131, 82161435</t>
  </si>
  <si>
    <t>esternocleido86@gmail.com</t>
  </si>
  <si>
    <t>0012305860067F</t>
  </si>
  <si>
    <t>JOVANY JOSUE PEREZ CRUZ</t>
  </si>
  <si>
    <t>JOVANY</t>
  </si>
  <si>
    <t>BO. EL RIGUERO, TALLERES MODERNOS 1C.E.  1/2C. N.</t>
  </si>
  <si>
    <t>BO. RIGUERO, TALLERES MODERNOS 1C.E. 1/2C.N.</t>
  </si>
  <si>
    <t>MEDICO GENERAL NATURO- ORTOPATICO</t>
  </si>
  <si>
    <t>jusuejon05cruzperez@gmail.com</t>
  </si>
  <si>
    <t>0012205860008P</t>
  </si>
  <si>
    <t>AMERICA TATIANA NOVOA BUITRAGO</t>
  </si>
  <si>
    <t>AMERICA</t>
  </si>
  <si>
    <t>TATIANA</t>
  </si>
  <si>
    <t>BUITRAGO</t>
  </si>
  <si>
    <t>BARRIO CUAREZMA,  KM. 9 1/2 CARRETERA MASAYA 100v E.</t>
  </si>
  <si>
    <t>BO. AEROPUERTO, DE DONDE FUE LA FERRETERIA BLANDON MORENO 150 VRS AL OESTE.</t>
  </si>
  <si>
    <t>3212005860001S</t>
  </si>
  <si>
    <t>YURI MABEL ALVARADO ESTRADA</t>
  </si>
  <si>
    <t>MABEL</t>
  </si>
  <si>
    <t>BO. CARLOS RIZO, II ETAPA 3RA. CALLE</t>
  </si>
  <si>
    <t>CONTIGUO A IGLESIA LA PROFESIA</t>
  </si>
  <si>
    <t>yurialvarado70@yahoo.es</t>
  </si>
  <si>
    <t>0412005860002Y</t>
  </si>
  <si>
    <t>ROBERTO CARLOS LACAYO NARVAEZ</t>
  </si>
  <si>
    <t>BO. SAN ANTONIO, BANPRO 2½C. S.</t>
  </si>
  <si>
    <t>BANPRO 2 1/2 CUADRA AL SUR</t>
  </si>
  <si>
    <t>carolinanina21@gmail.com</t>
  </si>
  <si>
    <t>2901305860000M</t>
  </si>
  <si>
    <t>NELSON BISMARK DELGADO CASTILLO</t>
  </si>
  <si>
    <t>NELSON</t>
  </si>
  <si>
    <t>BISMARK</t>
  </si>
  <si>
    <t>RPTO.FELIX PEDRO CARRILLO, FRENTE ESCUELA SAN FRANCISCO</t>
  </si>
  <si>
    <t>FRENTE AL COLEGIO</t>
  </si>
  <si>
    <t>nelsonbismarkdelgadocastillo@gmail.com</t>
  </si>
  <si>
    <t>6011305860003Y</t>
  </si>
  <si>
    <t>ZENEYDA JAQUELINE SIMONS ZELAYA</t>
  </si>
  <si>
    <t>ZENEYDA</t>
  </si>
  <si>
    <t>JAQUELINE</t>
  </si>
  <si>
    <t>BLUEFIELDS, BARRIO SANTA ROSA SECTOR #1, CONTIGUO CASA JUSTA SOLIS</t>
  </si>
  <si>
    <t>ENTRADA AL MOLINO</t>
  </si>
  <si>
    <t>zsimons2017@gmail.com</t>
  </si>
  <si>
    <t>6071205860001Y</t>
  </si>
  <si>
    <t>SOFIA IVANIA SABALLO RODRIGUEZ</t>
  </si>
  <si>
    <t>Bo.19 DE JULIO,FRENTE VOCES CARIBEÑAS</t>
  </si>
  <si>
    <t>FRENTE AL MOVIMIENTO DE MUJERES VOCES CARIBEÑAS, CASA DE CONCRETO</t>
  </si>
  <si>
    <t>27922298 55231841</t>
  </si>
  <si>
    <t>5230805860000D</t>
  </si>
  <si>
    <t>CARMELA AUXILIADORA ROMERO ROBLETO</t>
  </si>
  <si>
    <t>CARMELA</t>
  </si>
  <si>
    <t>SAN MIGUELITO</t>
  </si>
  <si>
    <t>SECTOR 1, DEL PARQUE DEL MAMON 1C. AL E. 1/2C AL N.</t>
  </si>
  <si>
    <t>JUZGADO 1.1/2 CUADRA ESTE</t>
  </si>
  <si>
    <t>4430605860002K</t>
  </si>
  <si>
    <t>DERLING ANTONIO ALARCON JARQUIN</t>
  </si>
  <si>
    <t>DERLING</t>
  </si>
  <si>
    <t>MATIGUÁS</t>
  </si>
  <si>
    <t>BO. 24 DE JUNIO, FTE. CENTRO RECREATIVO</t>
  </si>
  <si>
    <t>BO 24 DE JUNIO FRENTE AL C/RECREATIVO</t>
  </si>
  <si>
    <t>alarconderling7@gmail.com</t>
  </si>
  <si>
    <t>2010505860006D</t>
  </si>
  <si>
    <t>ELISAMA DE LOS ANGELES FLORES DAVILA</t>
  </si>
  <si>
    <t>ELISAMA</t>
  </si>
  <si>
    <t>BO.RENE CISNEROS, PLAZA JULIO MARTINEZ 4 AND.N.</t>
  </si>
  <si>
    <t>PLAZA JULIO MARTINEZ 4 CUADRAS NORTE, 30 VRAS ESTE</t>
  </si>
  <si>
    <t>1610305860001X</t>
  </si>
  <si>
    <t>NARDELYS MASSIEL CRUZ ESPINOZA</t>
  </si>
  <si>
    <t>NARDELYS</t>
  </si>
  <si>
    <t>SAN ISIDRO</t>
  </si>
  <si>
    <t>BO. ESTELI, ESCUELA NUEVA 50VRS.S.</t>
  </si>
  <si>
    <t>ESCUELA NUEVA 50 METROS AL SUR</t>
  </si>
  <si>
    <t>nardelys2014@gmail.com</t>
  </si>
  <si>
    <t>0012904860049S</t>
  </si>
  <si>
    <t>ANA PATRICIA SERRA ARROLIGA</t>
  </si>
  <si>
    <t>RPTO. MONSERRAT, ESQUINA OPUESTA RESTAURANTE MONSERRAT</t>
  </si>
  <si>
    <t>ESQUINA OPUESTA. RESTAURANTE MONSERRAT</t>
  </si>
  <si>
    <t>0012804860065H</t>
  </si>
  <si>
    <t>ARIANNE ZASLAYA GUTIERREZ BONILLA</t>
  </si>
  <si>
    <t>ARIANNE</t>
  </si>
  <si>
    <t>ZASLAYA</t>
  </si>
  <si>
    <t>BO. R. POLANCO, IGL. ADVENTISTA 5C, N. 1C, O. F-2</t>
  </si>
  <si>
    <t>IGLESIA ADVENTISTA 5 CUADRAS AL NORTE 1 CUADRA AL OESTE CASA F-2</t>
  </si>
  <si>
    <t>82887780 87253462</t>
  </si>
  <si>
    <t>0022804860002G</t>
  </si>
  <si>
    <t>REYNA ERNESTINA VILCHEZ CALERO</t>
  </si>
  <si>
    <t>REYNA</t>
  </si>
  <si>
    <t>ERNESTINA</t>
  </si>
  <si>
    <t>Bo.SAN CAYETANO,CENTRO DE SALUD 1C.N</t>
  </si>
  <si>
    <t>FARMACIA TIPITAPA, 4 CUADRAS ESTE, 1/2 CUADRA SUR.</t>
  </si>
  <si>
    <t>2812504860003D</t>
  </si>
  <si>
    <t>ARLEN AURORA RUGAMA MORALES</t>
  </si>
  <si>
    <t>AURORA</t>
  </si>
  <si>
    <t>BO. EL CALVARIO, IGLESIA EL CALVARIO 2C.E.</t>
  </si>
  <si>
    <t>CLINICA AMOCSA 3C E, CONTIGUO CDI GOTA DE LECHE</t>
  </si>
  <si>
    <t>arlenrugama55@gmail.com</t>
  </si>
  <si>
    <t>4412404860005L</t>
  </si>
  <si>
    <t>CARLOS FERNANDO LUMBI</t>
  </si>
  <si>
    <t>BO. PANCASAN SEMAFOROS SALOMON LOPEZ  2 1/2C.N,</t>
  </si>
  <si>
    <t>SALOMON LOPEZ 2 1/2 CUADRA AL NORTE</t>
  </si>
  <si>
    <t>cfernandolumbi@gmail.com</t>
  </si>
  <si>
    <t>0012404860044B</t>
  </si>
  <si>
    <t>GEMA DEL ROSARIO OCON LOPEZ</t>
  </si>
  <si>
    <t>KM.14 CARRETERA MASAYA-VERACRUZ,2KM.ESTE ,2KM.SUR,PUERTAS EL SOL CASA 204</t>
  </si>
  <si>
    <t>2 KILOMETROS AL ESTE  2 KILOMETROS AL SUR CASA-204. MANO DERECHA</t>
  </si>
  <si>
    <t>4502404860000M</t>
  </si>
  <si>
    <t>JUDDYTH ARGENTINA RUIZ SOZA</t>
  </si>
  <si>
    <t>JUDDYTH</t>
  </si>
  <si>
    <t>VI. RECONCILIACION, FARMACIA RECONCILIACION 100 VRS. O</t>
  </si>
  <si>
    <t>SEMAFOROS DEL MAYOREO 4 CUADRA AL LAGO 1 CUADRA ABAJO</t>
  </si>
  <si>
    <t>2012304860004J</t>
  </si>
  <si>
    <t>YAMILETH DEL CARMEN GONZALEZ ZAMBRANA</t>
  </si>
  <si>
    <t>BO, LA REFORMA , HOSPITAL HUMBERTO ALVARADO 1 1/2C AL NORTE</t>
  </si>
  <si>
    <t>FARMACIA 10 DE MAYO 2 CUADRAS AL ESTE 1/2 CUADRA AL SUR</t>
  </si>
  <si>
    <t>yamigonzalezzambrana@hotmail.com</t>
  </si>
  <si>
    <t>0012204860037P</t>
  </si>
  <si>
    <t>WISTON JOSUE PALMA SIEZAR</t>
  </si>
  <si>
    <t>WISTON</t>
  </si>
  <si>
    <t>SIEZAR</t>
  </si>
  <si>
    <t>BO. CECILIO FLORES, FRENTE A RADIO CIELO ABIERTO</t>
  </si>
  <si>
    <t>CONTIGUO A CLINICA MEDICA PREVISIONAL</t>
  </si>
  <si>
    <t>wbone198628@gmail.com</t>
  </si>
  <si>
    <t>0011904860039K</t>
  </si>
  <si>
    <t>LESTER RADDEL GUERRA MORALES</t>
  </si>
  <si>
    <t>RADDEL</t>
  </si>
  <si>
    <t>WALMART GUANACASTE, COSTADO NORTE 2C AL OESTE, 20VRS AL SUR</t>
  </si>
  <si>
    <t>UNION FENOSA 1 1/2 CUADRA ESTE</t>
  </si>
  <si>
    <t>dr.raddel@gmail.com</t>
  </si>
  <si>
    <t>0411604860002J</t>
  </si>
  <si>
    <t>MARIA LUISA LOZANO PEREZ</t>
  </si>
  <si>
    <t>DE ENITEL 2 1/2C. AL OESTE</t>
  </si>
  <si>
    <t>BARRIO SAN JOSE, ENITEL 2C1/2.AL OESTE</t>
  </si>
  <si>
    <t>25323134 22650109</t>
  </si>
  <si>
    <t>0011504860011V</t>
  </si>
  <si>
    <t>WILBERT DANIEL LOPEZ TORUÑO</t>
  </si>
  <si>
    <t>WILBERT</t>
  </si>
  <si>
    <t>VALLE SANTA ROSA A-90</t>
  </si>
  <si>
    <t>RESD.DORADO, TANQUE DE ENACAL. 1,1/2 C.S. CA.C-541</t>
  </si>
  <si>
    <t>22482366 88541669</t>
  </si>
  <si>
    <t>0011404860019C</t>
  </si>
  <si>
    <t>JACKELINE AURORA ZEAS SANCHEZ</t>
  </si>
  <si>
    <t>JACKELINE</t>
  </si>
  <si>
    <t>SEGUNDA ENTRADA A SOPAS MIRNA,1 CUADRA OESTE, MANO IZQUIERDA.</t>
  </si>
  <si>
    <t>29555522 22633022 88955707</t>
  </si>
  <si>
    <t>0011304860011R</t>
  </si>
  <si>
    <t>NINETH CAROLINA BALTODANO ALGABA</t>
  </si>
  <si>
    <t>NINETH</t>
  </si>
  <si>
    <t>ALGABA</t>
  </si>
  <si>
    <t>QUINTA TERESITA 2 CUARAS ABAJO, BARRIO SAN CARLOS</t>
  </si>
  <si>
    <t>BARRIO SAN JUAN, IGLESIA SAN JUAN 2 CUADRAS ABAJO 1 1/2C.N.</t>
  </si>
  <si>
    <t>25221399, 88788723, 88884557</t>
  </si>
  <si>
    <t>22601303 88804550</t>
  </si>
  <si>
    <t>muneca861@live.com</t>
  </si>
  <si>
    <t>0011304860005K</t>
  </si>
  <si>
    <t>WILMAR GERARDO VELASQUEZ BERRIOS</t>
  </si>
  <si>
    <t>WILMAR</t>
  </si>
  <si>
    <t>ASENTO. B-15 COLEGIO LAS AMERICAS 2 3 1/2c O. CA No. 95</t>
  </si>
  <si>
    <t>AGUJA, 3 CUADRAS AL ESTE 1 CUADRA AL NORTE, J-3-48.</t>
  </si>
  <si>
    <t>gvmedic25@gmail.com</t>
  </si>
  <si>
    <t>5651304860000N</t>
  </si>
  <si>
    <t>CRISTHIAN ESPERANZA MENDEZ UGARTE</t>
  </si>
  <si>
    <t>CRISTHIAN</t>
  </si>
  <si>
    <t>UGARTE</t>
  </si>
  <si>
    <t>COMARCA CHACALAPA, IGLESIA 1c SUR</t>
  </si>
  <si>
    <t>IGLESIA 1 CUADRA AL SUR</t>
  </si>
  <si>
    <t>cris.cielo@hotmail.com</t>
  </si>
  <si>
    <t>2811204860009G</t>
  </si>
  <si>
    <t>TANIA EDITH MENDEZ MATAMOROS</t>
  </si>
  <si>
    <t>RPTO. WILLIAM FONSECA, ENTRADA PRINCIPAL 3C. Y 20VRS. O.</t>
  </si>
  <si>
    <t>POZO PUBLICO 1 CUADRA AL SUR, 20 METROS AL OESTE</t>
  </si>
  <si>
    <t>taniaedithm@yahoo.com</t>
  </si>
  <si>
    <t>4011204860005P</t>
  </si>
  <si>
    <t>MYRIAM AUXILIADORA CANTON GOMEZ</t>
  </si>
  <si>
    <t>MYRIAM</t>
  </si>
  <si>
    <t>BO. FOX, ENT. PPAL. 25VRS. O. CA.2</t>
  </si>
  <si>
    <t>ENTRADA PRINCIPAL 20VRS OESTE.</t>
  </si>
  <si>
    <t>3611204860001P</t>
  </si>
  <si>
    <t>MARBELI DEL CARMEN BELLO MENDOZA</t>
  </si>
  <si>
    <t>MARBELI</t>
  </si>
  <si>
    <t>BO.STA ISABEL FRENTE A LA FARMACIA STA ISABEL BOACO</t>
  </si>
  <si>
    <t>DE LA IGLESIA EL SOCORRO 1/2 CUADRA AL NORTE</t>
  </si>
  <si>
    <t>25421424 86034438</t>
  </si>
  <si>
    <t>4411104860002E</t>
  </si>
  <si>
    <t>BRENDA SOFAR TAPIA LOPEZ</t>
  </si>
  <si>
    <t>SOFAR</t>
  </si>
  <si>
    <t>RPTO. 1ERO DE MAYO, II ETAPA ALTO 1ERO. DE MAYO 2C.N. 15VRS. E.</t>
  </si>
  <si>
    <t>FRENTE AL RECICLAJE DE DOROTI</t>
  </si>
  <si>
    <t>sofarlopez@gmail.com</t>
  </si>
  <si>
    <t>5611004860002P</t>
  </si>
  <si>
    <t>YENER ALBERTO ACEVEDO MARTINEZ</t>
  </si>
  <si>
    <t>YENER</t>
  </si>
  <si>
    <t>BO. LA PARROQUIA, CONT. AL CALVARIO</t>
  </si>
  <si>
    <t>IGLESIA FUENTE DE JACOB 2 CUADRA AL NORTE 1/2 CUADRA AL ESTE</t>
  </si>
  <si>
    <t>generalbertoa@yahoo.com</t>
  </si>
  <si>
    <t>0010904860026Y</t>
  </si>
  <si>
    <t>VERONICA IVETTE MOLINA VARGAS</t>
  </si>
  <si>
    <t>BO. CAMILO CHAMORRO KATIVO 3 1/2C. N. M.D.</t>
  </si>
  <si>
    <t>AGUJA 1C. AL OESTE, 5C. AL SUR, 2C. AL OESTE, 1/2C. AL SUR CASA NO.I-S-26</t>
  </si>
  <si>
    <t>76291767 75387520</t>
  </si>
  <si>
    <t>0010404860010V</t>
  </si>
  <si>
    <t>MIRIAM MAVBEL LOPEZ MADRIZ</t>
  </si>
  <si>
    <t>MIRIAM</t>
  </si>
  <si>
    <t>MAVBEL</t>
  </si>
  <si>
    <t>BO. JUAN E. MENOCAL, REST. MUNICH 2C, N. 4C, AB. 1/2C, N.</t>
  </si>
  <si>
    <t>DEL RESTAURANTE MUNICH 2 CUADRAS AL NORTE, 4 CUADRAS AL OESTE, 1/2 CUADRA AL NORTE</t>
  </si>
  <si>
    <t>22681135 85220309</t>
  </si>
  <si>
    <t>0910304860000X</t>
  </si>
  <si>
    <t>MARVIN RAMON SANCHEZ RIVERA</t>
  </si>
  <si>
    <t>MARVIN</t>
  </si>
  <si>
    <t>RAMON</t>
  </si>
  <si>
    <t>BO. SAN PEDRO, CONTIGUO A GASOLINERA DNP. PETRONIC</t>
  </si>
  <si>
    <t>FRENTE A LA GASOLINERA</t>
  </si>
  <si>
    <t>marvinramonsanchezrivera@yahoo.com</t>
  </si>
  <si>
    <t>0010204860031P</t>
  </si>
  <si>
    <t>JUAN ALFREDO ROJAS SILVA</t>
  </si>
  <si>
    <t>ALFREDO</t>
  </si>
  <si>
    <t>BO. 19 DE JULIO, SEMAFOROS EL REDENTOR 2C. N</t>
  </si>
  <si>
    <t>SEMAFOROS  REDENTOR 2 C. AL NORTE. MANO DERECHA</t>
  </si>
  <si>
    <t>22502674 86787282</t>
  </si>
  <si>
    <t>MEDICO GENERAL NATURO-ORTOPATICO</t>
  </si>
  <si>
    <t>jars2486@yahoo.com, juanalfredorojas56@gmail.com</t>
  </si>
  <si>
    <t>0810104860015L</t>
  </si>
  <si>
    <t>JORGE REYNALDO RAMIREZ NIETO</t>
  </si>
  <si>
    <t>NIETO</t>
  </si>
  <si>
    <t>BO. LA LIBERTAD, COOPEPACH 1C. N. 2C.1/2C. E.</t>
  </si>
  <si>
    <t>BARRIO LA LIBERTAD, COOPEPACH 1C.N. 2 1/2C.ARR.</t>
  </si>
  <si>
    <t>jorani28@yahoo.es</t>
  </si>
  <si>
    <t>6100104860003X</t>
  </si>
  <si>
    <t>LUIS ALBERTO LINARTE SOZA</t>
  </si>
  <si>
    <t>BO. VILCHEZ Y RODRIGUEZ, ESCUELA JACINTO BONICHE 2C.N.</t>
  </si>
  <si>
    <t>ESCUELA J.BONICHE 2C.N.</t>
  </si>
  <si>
    <t>linarte86@yahoo.com</t>
  </si>
  <si>
    <t>0013103860062E</t>
  </si>
  <si>
    <t>MARJORIE AUXILIADORA RAMIREZ LOPEZ</t>
  </si>
  <si>
    <t>RESD. JARDINES DE VERACRUZ ENT. PPAL. 4c 25vrs O. D-8</t>
  </si>
  <si>
    <t>ENTRADA PRINCIPAL, 4 CUADRAS AL SUR, 25 VARAS AL OESTE, CASA D-8 MANO DERECHA</t>
  </si>
  <si>
    <t>22896206 89009469 89205495 86642867</t>
  </si>
  <si>
    <t>yuribora@hotmail.com</t>
  </si>
  <si>
    <t>0012603860040U</t>
  </si>
  <si>
    <t>HOSLIM OMAR AGUILAR BLANCO</t>
  </si>
  <si>
    <t>HOSLIM</t>
  </si>
  <si>
    <t>RESD. BELLO HORIZONTE, ROTONDA 1C.N. CA. NO. E-I-39</t>
  </si>
  <si>
    <t>DE LA ROTONDA DE BELLE HORIZONTE 110VRS LAGO CA.E-I-39</t>
  </si>
  <si>
    <t>aguilarhbo86@hotmail.com</t>
  </si>
  <si>
    <t>0862503860000C</t>
  </si>
  <si>
    <t>BAYARDO ANTONIO ORDOÑEZ SALAZAR</t>
  </si>
  <si>
    <t>BAYARDO</t>
  </si>
  <si>
    <t>SEMAFOROS DE LA 14 DE SEPTIEMBRE 1c ARRIBA 1c ALAGO 1c ABAJO</t>
  </si>
  <si>
    <t>DEL COLEGIO 1 CUADRA AL NORTE, 1 CUADRA AL OESTE</t>
  </si>
  <si>
    <t>bayardo.ordones@hotmail.com</t>
  </si>
  <si>
    <t>3612503860004P</t>
  </si>
  <si>
    <t>OMAYRA FABIOLA SANCHEZ CASTRO</t>
  </si>
  <si>
    <t>OMAYRA</t>
  </si>
  <si>
    <t>BO. BUENOS AIRES, CLUB CENTRAL 1 1/2C. AL OESTE</t>
  </si>
  <si>
    <t>DEL RESTAURANTE  MARAITA 1 1 /2 CUADRA AL OESTE</t>
  </si>
  <si>
    <t>omayrasanchez88@gmail.com</t>
  </si>
  <si>
    <t>4012403860005J</t>
  </si>
  <si>
    <t>CLAUDIA AUXILIADORA JOSE RUIZ</t>
  </si>
  <si>
    <t>IGLESIA SAN MIGUEL 2 1/2C. AL SUR MASAYA</t>
  </si>
  <si>
    <t>BLOQUE 42, CASA NUMERO 15, MANO IZQUIERDA</t>
  </si>
  <si>
    <t>81921757 88995759</t>
  </si>
  <si>
    <t>oniellopezc@gmail.com</t>
  </si>
  <si>
    <t>5612203860001H</t>
  </si>
  <si>
    <t>NATALIA LUCIA BALDELOMAR HERNANDEZ</t>
  </si>
  <si>
    <t>NATALIA</t>
  </si>
  <si>
    <t>FRENTE A LA OFICINA DE DISSUR ,BO.LAS PINOS</t>
  </si>
  <si>
    <t>DE DISSUR 1 CUADRA AL NORTE, 1/2 CUADRA AL ESTE, 1/2 CUADRA AL SUR</t>
  </si>
  <si>
    <t>25634235 82023716 89437247</t>
  </si>
  <si>
    <t>nalubh2203@yahoo.com</t>
  </si>
  <si>
    <t>0012203860038J</t>
  </si>
  <si>
    <t>ISBANIA ELIZABETH RIVAS TINOCO</t>
  </si>
  <si>
    <t>ISBANIA</t>
  </si>
  <si>
    <t>ZONA 5, MERCADO 6C.N. 2C.O. CA N° R-15</t>
  </si>
  <si>
    <t>MERCADO 6 CUADRAS AL NORTE, 2 CUADRAS AL OESTE. CASA R-15</t>
  </si>
  <si>
    <t>0412103860000L</t>
  </si>
  <si>
    <t>ARLAN ANTONIO CONRADO CARMONA</t>
  </si>
  <si>
    <t>ARLAN</t>
  </si>
  <si>
    <t>BARRIO EL CALVARIO, 2DA. PARADA 1C. ESTE.</t>
  </si>
  <si>
    <t>SEGUNDA PARADA 1 CUADRA AL ESTE</t>
  </si>
  <si>
    <t>arlanconrado@gmail.com, gissellekari@hotmail.com</t>
  </si>
  <si>
    <t>4412003860002S</t>
  </si>
  <si>
    <t>ERICK DANIEL SILES SOBALVARRO</t>
  </si>
  <si>
    <t>comunidad las cruces frente a la escuela ruben dario</t>
  </si>
  <si>
    <t>ESCUELA GUANUCA 1 CUADRA  AL SUR</t>
  </si>
  <si>
    <t>2811903860002H</t>
  </si>
  <si>
    <t>ELISA MARIAJOSE MARTINEZ CANALES</t>
  </si>
  <si>
    <t>ELISA</t>
  </si>
  <si>
    <t>MARIAJOSE</t>
  </si>
  <si>
    <t>BO. ZARAGOZA, FACULTAD DE DERECHO 25VRS NORTE</t>
  </si>
  <si>
    <t>FRENTE EMBAJADA DEL PERU</t>
  </si>
  <si>
    <t>23112024 84760568</t>
  </si>
  <si>
    <t>4811503860001B</t>
  </si>
  <si>
    <t>DANIEL IVAN RAMIREZ MEDINA</t>
  </si>
  <si>
    <t>SAN JOSE DE CUSMAPA</t>
  </si>
  <si>
    <t>BO. VILLA SOLIDARIDAD, TANQUE DE AGUA 10VRS.N.</t>
  </si>
  <si>
    <t>CONTIGUO COMUNIDAD INDÍGENA</t>
  </si>
  <si>
    <t>elnik1586@gmail.com</t>
  </si>
  <si>
    <t>2811303860007A</t>
  </si>
  <si>
    <t>JUAN CARLOS DIAZ CASTILLO</t>
  </si>
  <si>
    <t>BO. PARROQUIA N. POLICIA NAC. 1 1/2C.NORTE</t>
  </si>
  <si>
    <t>ALCALDIA 1 1/2 CUADRA AL  NORTE.</t>
  </si>
  <si>
    <t>89042876 86159780</t>
  </si>
  <si>
    <t>juancars23@yahoo.es</t>
  </si>
  <si>
    <t>6071103860002K</t>
  </si>
  <si>
    <t>CRISTOBAL DE JESUS PERES WARMAN</t>
  </si>
  <si>
    <t>CRISTOBAL</t>
  </si>
  <si>
    <t>WARMAN</t>
  </si>
  <si>
    <t>BO, AEROPUERTO CONTIGUO CAS INES BARRERA</t>
  </si>
  <si>
    <t>DE ENTRADA PRIMCIPAL 5 ANDENES NORTE</t>
  </si>
  <si>
    <t>8881003860000S</t>
  </si>
  <si>
    <t>STEPHANIE JOSEPHINE RIVAS DELGADO</t>
  </si>
  <si>
    <t>STEPHANIE</t>
  </si>
  <si>
    <t>JOSEPHINE</t>
  </si>
  <si>
    <t>ESTADOS UNIDOS</t>
  </si>
  <si>
    <t>KILOMETRO 16.3 CARRETERA MASAYA, FRENTE A LABORATORIOS SOLKA</t>
  </si>
  <si>
    <t>DOCTORADO EN MEDICINA Y CIRUGIA</t>
  </si>
  <si>
    <t>rivas86@me.com</t>
  </si>
  <si>
    <t>2810903860003M</t>
  </si>
  <si>
    <t>MARIO LUIS BERRIOS HERNANDEZ</t>
  </si>
  <si>
    <t>BO. LAVORIO, COSTADO NORTE IGLESIA EL LAVORIO 1C. O. 1/2C. N. EN EL CALLEJON</t>
  </si>
  <si>
    <t>COSTADO NORTE IGLESIA  1 CUADRA AL OESTE,  1 1/2 CUADRA AL NORTE</t>
  </si>
  <si>
    <t>23116669 83720077</t>
  </si>
  <si>
    <t>1230703860001H</t>
  </si>
  <si>
    <t>MARYURI CAROLINA VARGAS GONZALEZ</t>
  </si>
  <si>
    <t>BO. CENTRAL, COSTADO SUR GASOLINERA PUMA EL RAMA</t>
  </si>
  <si>
    <t>COSTADO SUR, GASOLINERA PUMA, EL RAMA.</t>
  </si>
  <si>
    <t>25170232 25170232</t>
  </si>
  <si>
    <t>carito_vargas14@yahoo.es</t>
  </si>
  <si>
    <t>4010203860005L</t>
  </si>
  <si>
    <t>FREDDY JOSE HERRERA ALVAREZ</t>
  </si>
  <si>
    <t>BO. EL COCAL, MONUMENTO 25VRS. O.</t>
  </si>
  <si>
    <t>REPARTO EL COCAL 75VARAS OESTE ENTRADA PRINCIPAL</t>
  </si>
  <si>
    <t>freddyherrera2@yahoo.es</t>
  </si>
  <si>
    <t>1610203860003K</t>
  </si>
  <si>
    <t>MEYLING ESTELA ARELLANO TORUÑO</t>
  </si>
  <si>
    <t>RPTO. FUNDECI, II ETAPA COSTADO NORTE DE DONDE FUE DISCOTEQUE DILECTUS CA. NO.B-2 P-30</t>
  </si>
  <si>
    <t>FRENTE A LA BLOQUERA PERALTA</t>
  </si>
  <si>
    <t>4510203860002C</t>
  </si>
  <si>
    <t>BELKIS NEYSI ALANIZ GONZALEZ</t>
  </si>
  <si>
    <t>BELKIS</t>
  </si>
  <si>
    <t>NEYSI</t>
  </si>
  <si>
    <t>VETERINARIA EL GANADERO 4 C AL ESTE 1/2 C. AL NORTE. BO. SANDINO</t>
  </si>
  <si>
    <t>VETERINARIA EL GANADERO 4C ESTE 15VRS NORTE</t>
  </si>
  <si>
    <t>darwsolbeth@gmail.com</t>
  </si>
  <si>
    <t>1610103860007M</t>
  </si>
  <si>
    <t>BLANCA GUADALUPE TALAVERA CALDERON</t>
  </si>
  <si>
    <t>BO. EL ROSARIO, DE DONDE FUE TELCOR EL ROSARIO 1C.N, 1/2C.O.</t>
  </si>
  <si>
    <t>DE DONDE FUE TELCOR 1C. AL NORTE, 1/2C. AL OESTE</t>
  </si>
  <si>
    <t>bcandy_01@yahoo.com</t>
  </si>
  <si>
    <t>0012702860060M</t>
  </si>
  <si>
    <t>CARMEN CECILIA SOZA GONZALEZ</t>
  </si>
  <si>
    <t>CECILIA</t>
  </si>
  <si>
    <t>MONSEÑOR LEZCANO DE LA COLONIA 1C AL N. 3C1/2 AL E.</t>
  </si>
  <si>
    <t>DE GASOLINERA  ESSO 1 1/2 CUADRA OESTE,  1 CUADRA SUR.</t>
  </si>
  <si>
    <t>ceci-soza@hotmail.com</t>
  </si>
  <si>
    <t>6102402860000G</t>
  </si>
  <si>
    <t>TANIA ANIELKA EDWARDS DIAZ</t>
  </si>
  <si>
    <t>BO. SOL DE LIBERTAD, DETRAS DE OFICINAS INTA</t>
  </si>
  <si>
    <t>DETRAS DE LAS OFICINAS DEL INTA.</t>
  </si>
  <si>
    <t>lopezmaria1993@hotmail.com</t>
  </si>
  <si>
    <t>thaniaedwards@yahoo.es</t>
  </si>
  <si>
    <t>2812302860006P</t>
  </si>
  <si>
    <t>OSMAN MIGUEL ACOSTA HERNANDEZ</t>
  </si>
  <si>
    <t>RPTO. FATIMA, ESQUINA S.O. PARQUE 1C. SUR.</t>
  </si>
  <si>
    <t>ESQUINA SUR-OESTE DEL PARQUE SAN FELIPE 1 CUADRA AL SUR</t>
  </si>
  <si>
    <t>23115866 88521608</t>
  </si>
  <si>
    <t>1622202860001M</t>
  </si>
  <si>
    <t>KEYLING MARICEL ROCHA MORENO</t>
  </si>
  <si>
    <t>KEYLING</t>
  </si>
  <si>
    <t>MARICEL</t>
  </si>
  <si>
    <t>EL JICARO</t>
  </si>
  <si>
    <t>BARRIO ELIAS MONCADA DEL POTON PRINCIPAL DEL COLEGIO SAN F°. 2C. 1/2 AL NORTE</t>
  </si>
  <si>
    <t>DEL PORTON PRINCIPAL DEL COLEGIO SAN  FRANCISCO, 2 1/2 CUADRA AL NORTE</t>
  </si>
  <si>
    <t>0011902860048G</t>
  </si>
  <si>
    <t>ERICK LENIN BRENES ARCIA</t>
  </si>
  <si>
    <t>LENIN</t>
  </si>
  <si>
    <t>RESD. JARDINES DE VERACRUZ, ROTONDA 2CS 1CO 1CS CA N°B-34 M/I</t>
  </si>
  <si>
    <t>CASA NRO. B-34.</t>
  </si>
  <si>
    <t>27922298 84016631</t>
  </si>
  <si>
    <t>erickbrenes00@yahoo.com</t>
  </si>
  <si>
    <t>0901902860000C</t>
  </si>
  <si>
    <t>NANCIS ESTER RIOS BENAVIDES</t>
  </si>
  <si>
    <t>NANCIS</t>
  </si>
  <si>
    <t>ESTER</t>
  </si>
  <si>
    <t>SANTO TOMÁS DEL NORTE</t>
  </si>
  <si>
    <t>STO TOMAS DEL NORTE COMARCA OJO DE AGUA CHINANDEGA</t>
  </si>
  <si>
    <t>BARRIO PANCASAN, CONTIGUO A LA CASA DE LAURANCE SINCLAIR.</t>
  </si>
  <si>
    <t>6071702860000P</t>
  </si>
  <si>
    <t>HEATHER JESSICA FEDRICK COLEMAN</t>
  </si>
  <si>
    <t>HEATHER</t>
  </si>
  <si>
    <t>COLEMAN</t>
  </si>
  <si>
    <t>BELLO HORIZONTE DE DONDE FUE EL HOSPITAL MEDICOS UNIDOS COSTADO NORTE MEDIA CUADRA ARRIBA</t>
  </si>
  <si>
    <t>LIBRERIA SAMUEL 2C S 75 VAR E,</t>
  </si>
  <si>
    <t>22442903 88992907</t>
  </si>
  <si>
    <t>2811702860001V</t>
  </si>
  <si>
    <t>HECTOR JOSE SOLIS VALDIVIA</t>
  </si>
  <si>
    <t>BO. SAN ANTONIO NORTE, DONDE FUE LA POLICIA NACIONAL 1/2 C. N.</t>
  </si>
  <si>
    <t>FRENTE A BILLARES PEPE</t>
  </si>
  <si>
    <t>hectorsolisvaldivia@yahoo.es</t>
  </si>
  <si>
    <t>6111502860003H</t>
  </si>
  <si>
    <t>KAREN ILEANA RODRIGUEZ BOUDIER</t>
  </si>
  <si>
    <t>BOUDIER</t>
  </si>
  <si>
    <t>VI. RECONCILIACION, SEMAFOROS MERCADO MAYOREO 3C. S. 1/2C.O</t>
  </si>
  <si>
    <t>SEMAFAROS DEL MAYOREO, 3 CUADRAS AL SUR, 1/2 CUADRA AL OESTE.</t>
  </si>
  <si>
    <t>22662561 89350033</t>
  </si>
  <si>
    <t>drakarenrodriguezboudier@gmail.com</t>
  </si>
  <si>
    <t>6161202860000K</t>
  </si>
  <si>
    <t>BERTA LILLIAM BALLADARES LUMBI</t>
  </si>
  <si>
    <t>BERTA</t>
  </si>
  <si>
    <t>LILLIAM</t>
  </si>
  <si>
    <t>ZONA NO. 4, DE LA AGENCIA EL ESQUIMO 1/2C. AL N.</t>
  </si>
  <si>
    <t>ESKIMERIA 1/2 CUADRA AL NORTE</t>
  </si>
  <si>
    <t>25724182 85099717</t>
  </si>
  <si>
    <t>bertallbl@yahoo.com</t>
  </si>
  <si>
    <t>4010802860000M</t>
  </si>
  <si>
    <t>CLAUDIO ANDRES SANCHEZ PEREZ</t>
  </si>
  <si>
    <t>CLAUDIO</t>
  </si>
  <si>
    <t>BO. HEROES Y MARTIRES, HUMBERTO ALVARADO 200VRS. O</t>
  </si>
  <si>
    <t>HOSPITAL HUMBERTO ALVARADO 200 VARAS AL OESTE</t>
  </si>
  <si>
    <t>25224212 82850741</t>
  </si>
  <si>
    <t>5210802860000Y</t>
  </si>
  <si>
    <t>ALVARO LUIS COREA SOMARRIBA</t>
  </si>
  <si>
    <t>DEL PRE ESCOLAR JARDINES DE MI INFANCIA, 1 CUADRA AL ESTE. SAN CARLOS. RIO SAN JUAN</t>
  </si>
  <si>
    <t>ESCUELA RUBEN DARIO 1 C AL ESTE.</t>
  </si>
  <si>
    <t>84094108 89597442</t>
  </si>
  <si>
    <t>alvarolcorea@hotmail.com</t>
  </si>
  <si>
    <t>2810502860003W</t>
  </si>
  <si>
    <t>SHARON ATHENEA ESPINOZA CASTRO</t>
  </si>
  <si>
    <t>ATHENEA</t>
  </si>
  <si>
    <t>BARRIO SAN FELIPE FRENTE A CRUZ ROJA, CASA NO. 313</t>
  </si>
  <si>
    <t>GIMNACIO IVAN MONTENEGRO 1/2 CUADRA AL OESTE</t>
  </si>
  <si>
    <t>4890402860006Q</t>
  </si>
  <si>
    <t>ERENIA NAYROBI LUNA AMADOR</t>
  </si>
  <si>
    <t>ERENIA</t>
  </si>
  <si>
    <t>NAYROBI</t>
  </si>
  <si>
    <t>CMCA. EL LIMON, SECTOR NO.2</t>
  </si>
  <si>
    <t>COMEDOR GAHONA 1C AL NORTE</t>
  </si>
  <si>
    <t>minsasanfernando14@hotmail.com</t>
  </si>
  <si>
    <t>2813101860009D</t>
  </si>
  <si>
    <t>DELVIN BENITO CABALLERO PARRALES</t>
  </si>
  <si>
    <t>DELVIN</t>
  </si>
  <si>
    <t>BENITO</t>
  </si>
  <si>
    <t>BO. EL COYOLAR, MONUMENTO AL GENERAL AUGUSTO CESAR SANDINO  2C.E.</t>
  </si>
  <si>
    <t>SECTOR LA ERMITA,  COSTADO NORTE COLEGIO MADRE MARIA EUGENIA</t>
  </si>
  <si>
    <t>caballerobenito15@gmail.com</t>
  </si>
  <si>
    <t>0013001860045V</t>
  </si>
  <si>
    <t>KATIA SAMARA GARCIA JARQUIN</t>
  </si>
  <si>
    <t>KATIA</t>
  </si>
  <si>
    <t>SAMARA</t>
  </si>
  <si>
    <t>VILLA FONTANA, CLUB 1C. E. 1/2C. N. CASA NO. 5</t>
  </si>
  <si>
    <t>VILLA FONTANA, CLUB 1C.E.½C.N. CASA NO.5</t>
  </si>
  <si>
    <t>22781246 88507216</t>
  </si>
  <si>
    <t>draksgarcia@gmail.com</t>
  </si>
  <si>
    <t>0013001860057J</t>
  </si>
  <si>
    <t>MIGUEL ANGEL PLAZAOLA CUADRA</t>
  </si>
  <si>
    <t>ANGEL</t>
  </si>
  <si>
    <t>COL. 14 DE SEPTIEMPRE, ESQUINA NOEROESTE COLEGIO 1/2C, N. 20VRS, E. CASA # E-320</t>
  </si>
  <si>
    <t>ESQUINA NORTE COLEGIO 14 DE SEPTIEMBRE 1/2 CUADRA AL NORTE, 15 VARAS AL ESTE</t>
  </si>
  <si>
    <t>22892898 58691790</t>
  </si>
  <si>
    <t>5653001860000F</t>
  </si>
  <si>
    <t>JOSE ANTONIO MOLINA CERDA</t>
  </si>
  <si>
    <t>MUN. BELEN, FRENTE COSTADO SUR PARQUE</t>
  </si>
  <si>
    <t>DEL MUELLE MUNICIAPL 2C AL OESTE</t>
  </si>
  <si>
    <t>elieth.aleman@yahoo.com</t>
  </si>
  <si>
    <t>1612901860003F</t>
  </si>
  <si>
    <t>LIZ MAYERLING PEREZ VASQUEZ</t>
  </si>
  <si>
    <t>LIZ</t>
  </si>
  <si>
    <t>MAYERLING</t>
  </si>
  <si>
    <t>BO. 20 DE SEPTIEMBRE, DE CEPRODEL 1c AL ESTE 1/2c AL NORTE</t>
  </si>
  <si>
    <t>BO.CANTA GALLO,DISCO 2C.AL ESTE 1/2C.AL NORTE</t>
  </si>
  <si>
    <t>lizmayerling@yahoo.com</t>
  </si>
  <si>
    <t>1612901860019X</t>
  </si>
  <si>
    <t>LUIS OMAR SAVANY MELENDEZ</t>
  </si>
  <si>
    <t>BO. JUANA ELENA MENDOZA, FRENTE COSTADO NORTE CASA PELLAS</t>
  </si>
  <si>
    <t>BARRIO SAN CRISTOBAL II CALLE</t>
  </si>
  <si>
    <t>27133205 57993654</t>
  </si>
  <si>
    <t>losavany29@yahoo.com</t>
  </si>
  <si>
    <t>0022601860001G</t>
  </si>
  <si>
    <t>ARTURO RAMON MENDEZ DOÑA</t>
  </si>
  <si>
    <t>ARTURO</t>
  </si>
  <si>
    <t>BARRIO EL PINOL DE LA IGLESIA CATOLICA NUESTRA SEÑORA DE LOS DESAMPARADOS 1 1/2 C. S. M/D</t>
  </si>
  <si>
    <t>IGLESIA CATOLICA 1 1/2C AL SUR</t>
  </si>
  <si>
    <t>82536854, 84445033</t>
  </si>
  <si>
    <t>22933191 84445033</t>
  </si>
  <si>
    <t>artur260186@gmail.com</t>
  </si>
  <si>
    <t>2812501860004K</t>
  </si>
  <si>
    <t>MARIA DEL ROSARIO VARGAS</t>
  </si>
  <si>
    <t>MOZONTE</t>
  </si>
  <si>
    <t>BARRIO MONSEÑOR MADRIGAL FRENTE AL PARQUE BOSCOSO. MOZONTE.</t>
  </si>
  <si>
    <t>FRENTE ESCUELA TERESA ARCE</t>
  </si>
  <si>
    <t>57425304, 57425307</t>
  </si>
  <si>
    <t>arlemvs@yahoo.es, mafergo_var@yahoo.com</t>
  </si>
  <si>
    <t>0012401860040C</t>
  </si>
  <si>
    <t>LUIS ALBERTO MOLINA DONAIRE</t>
  </si>
  <si>
    <t>DONAIRE</t>
  </si>
  <si>
    <t>DE LA ESTATUA MONSEÑOR LEZCANO 1C AL SUR 1c AL OESTE</t>
  </si>
  <si>
    <t>BO. MONS. LEZCANODE ESTATUA1C. SUR, 1C OESTE</t>
  </si>
  <si>
    <t>lmolinad2001@yahoo.es</t>
  </si>
  <si>
    <t>8882301860001J</t>
  </si>
  <si>
    <t>CLAUDIA LUCIA ATHA CUADRA</t>
  </si>
  <si>
    <t>BOSQUES DE NEJAPA CASA B #18</t>
  </si>
  <si>
    <t>VILLA FONTANA, CLUB MONSERRAT 1C.O. ½C.N.</t>
  </si>
  <si>
    <t>0012201860028K</t>
  </si>
  <si>
    <t>ERLYN JOSE PALMA MALESPIN</t>
  </si>
  <si>
    <t>ERLYN</t>
  </si>
  <si>
    <t>MALESPIN</t>
  </si>
  <si>
    <t>VILLA VENEZUELA, C/SALUD 9 AND. S.</t>
  </si>
  <si>
    <t>ANTIGUA ROCARGO, 1/2 CUADRA OESTE.</t>
  </si>
  <si>
    <t>22712586 88190285</t>
  </si>
  <si>
    <t>0012201860010Q</t>
  </si>
  <si>
    <t>KATYA WALESKA CHANG MOLINA</t>
  </si>
  <si>
    <t>KATYA</t>
  </si>
  <si>
    <t>WALESKA</t>
  </si>
  <si>
    <t>BO. MONSEÑOR LEZCANO, ESTATUA 5C, N. 25VRS, O.</t>
  </si>
  <si>
    <t>COSTADO SUR ANTIGUA EMBAJADA USA BLOQUE 1/2C. ESTE</t>
  </si>
  <si>
    <t>kchang167@gmail.com</t>
  </si>
  <si>
    <t>0862201860000H</t>
  </si>
  <si>
    <t>BISMARCK EDUARDO RAMOS CORRALES</t>
  </si>
  <si>
    <t>BISMARCK</t>
  </si>
  <si>
    <t>ZONA NO. 6, ESCUELA ESPECIAL 2C. AL S. 1\2C. AL E.</t>
  </si>
  <si>
    <t>DEL COLEGIO REGINA MUNDI 4 CUADRAS AL SUR 1 1/2 CUADRA AL ESTE</t>
  </si>
  <si>
    <t>globis2208@gmail.com</t>
  </si>
  <si>
    <t>1232101860000Y</t>
  </si>
  <si>
    <t>MIGUEL ANTONIO CENTENO TELLEZ</t>
  </si>
  <si>
    <t>ZONA3,CLUB SOCIAL 11\2 C.N.</t>
  </si>
  <si>
    <t>DE INIFOM 1 CUADRA OESTE 1 CUADRA SUR 1/2 CUADRA OESTE.</t>
  </si>
  <si>
    <t>5652001860000J</t>
  </si>
  <si>
    <t>MEYLIN SUAMY LOPEZ LARIOS</t>
  </si>
  <si>
    <t>SUAMY</t>
  </si>
  <si>
    <t>COL. 14 DE SEPT. CONT. N. CAMPO FOOBALL A-51</t>
  </si>
  <si>
    <t>COL. 14 DE SEPT., COST.N.CAMPO FOOBALL A-51</t>
  </si>
  <si>
    <t>msll21@hotmail.com</t>
  </si>
  <si>
    <t>0012001860020W</t>
  </si>
  <si>
    <t>NAHIMA ARGENTINA SEVILLA HERNANDEZ</t>
  </si>
  <si>
    <t>NAHIMA</t>
  </si>
  <si>
    <t>ENTRADA NORTE CENTRO COMERCIAL MANAGUA, 3C. SUROESTE</t>
  </si>
  <si>
    <t>ENTRADA NORTE. CENTRO COMERCIAL MANAGUA, 3 1/2 CUADRAS AL SUR-OESTE.</t>
  </si>
  <si>
    <t>86055631 89242917</t>
  </si>
  <si>
    <t>nahima_sevilla@yahoo.es</t>
  </si>
  <si>
    <t>3621901860000B</t>
  </si>
  <si>
    <t>MARIO JOSE CERDA GONZALEZ</t>
  </si>
  <si>
    <t>BARRIO SAN JUDA DEL CEIBO 2 CUADRAS ABAJO 4 1/2  CUADRAS AL SUR, MANAGUA</t>
  </si>
  <si>
    <t>CEIBO 2 CUADRAS AL OESTE, 4 1/2 CUADRA AL SUR</t>
  </si>
  <si>
    <t>84229343, 88488484</t>
  </si>
  <si>
    <t>22603967 84229343</t>
  </si>
  <si>
    <t>cerdagonzalezmariojose21@gmail.com, snopy565622@yahoo.com</t>
  </si>
  <si>
    <t>cerdagonzalezmariojose21@gmail.com</t>
  </si>
  <si>
    <t>0011901860068W</t>
  </si>
  <si>
    <t>ILSER LIGIA MARTINEZ NOGUERA</t>
  </si>
  <si>
    <t>ILSER</t>
  </si>
  <si>
    <t>LIGIA</t>
  </si>
  <si>
    <t>RESD. CIUDAD JARDIN, I.T.R. 2C.O. 20VRS.N. CA. NO. L-22</t>
  </si>
  <si>
    <t>COL. CIUDAD JARDIN, ITR 2C.O.20VRS.N. CA.L-22</t>
  </si>
  <si>
    <t>6011901860000H</t>
  </si>
  <si>
    <t>STEPHANIE OSMAIRA OMIER MAIRENA</t>
  </si>
  <si>
    <t>OSMAIRA</t>
  </si>
  <si>
    <t>BO. FATIMA, CALLE COLON CALLEJON PROFESORA MARVIS MAIRENA</t>
  </si>
  <si>
    <t>CASA # F-3  ENTRADA PRINCIPAL DE AGUJA 3 CUADRAS SUR 1/2 CUADRA ESTE MANO DERECHA</t>
  </si>
  <si>
    <t>stephomeir1901@yahoo.com</t>
  </si>
  <si>
    <t>1621901860000X</t>
  </si>
  <si>
    <t>ILICH RIGOBERTO TERCERO REYES</t>
  </si>
  <si>
    <t>ILICH</t>
  </si>
  <si>
    <t>PUEBLO NUEVO</t>
  </si>
  <si>
    <t>BO. SAUL TERCERO, DE LA ESCUELA RUBEN DARIO 1C.AL N.</t>
  </si>
  <si>
    <t>DE LA ESCUELA RUBEN. DARIO 1 CUADRA AL NORTE</t>
  </si>
  <si>
    <t>hoos_15@yahoo.es</t>
  </si>
  <si>
    <t>2811801860011C</t>
  </si>
  <si>
    <t>CECILIA DE JESUS VALLADARES MARENCO</t>
  </si>
  <si>
    <t>BO. ALTAGRACIA, ESTATUA DE MONTOYA 2C. S. 75VRS. O.</t>
  </si>
  <si>
    <t>BO. ALTAGRACIA, ESTATUA DE MONTOYA 2C.S. 75V.O.</t>
  </si>
  <si>
    <t>2811801860010B</t>
  </si>
  <si>
    <t>LUCELIA REBECA CANALES QUEZADA</t>
  </si>
  <si>
    <t>LUCELIA</t>
  </si>
  <si>
    <t>CMCA. LOS BARZONES, ESCUELA 1KM. ESTE</t>
  </si>
  <si>
    <t>COLEGIO JUAN HERNANDEZ 500 METROS AL NORTE</t>
  </si>
  <si>
    <t>3631501860000K</t>
  </si>
  <si>
    <t>OTONIEL ALVAREZ RIVAS</t>
  </si>
  <si>
    <t>SECTOR NO.2, ALCALDIA MUNICIPAL 4C.O.</t>
  </si>
  <si>
    <t>CENTRO DE SALUD FAMILIAR AUSBERTO GUTIERREZ</t>
  </si>
  <si>
    <t>tonialri00@hotmail.com</t>
  </si>
  <si>
    <t>2411401860003P</t>
  </si>
  <si>
    <t>ELIEZER JOSE GONZALEZ PALACIOS</t>
  </si>
  <si>
    <t>CMCA SAN FRANCISCO PUESTO DE SALUD 40VRS.E</t>
  </si>
  <si>
    <t>eliezerj256@gmail.com</t>
  </si>
  <si>
    <t>0851201860001U</t>
  </si>
  <si>
    <t>DONALD JOSE MUNGUIA AVENDAÑO</t>
  </si>
  <si>
    <t>DONALD</t>
  </si>
  <si>
    <t>VILLA SOBERANA, IGLESIA TESTIGOS DE JEHOVA 2C.N. 1/2C.E.</t>
  </si>
  <si>
    <t>ANEXO VILLA SOBERANA CALLE 4</t>
  </si>
  <si>
    <t>donaldmunguia@gmail.com</t>
  </si>
  <si>
    <t>6011101860000Q</t>
  </si>
  <si>
    <t>SOLANGHE ZORAYDA ESPINOZA JACKSON</t>
  </si>
  <si>
    <t>SOLANGHE</t>
  </si>
  <si>
    <t>ZORAYDA</t>
  </si>
  <si>
    <t>JACKSON</t>
  </si>
  <si>
    <t>BO. BEHOLDEN, DETRAS COLEGIO SAN JOSE</t>
  </si>
  <si>
    <t>COLONIA RUBEN DARIO CASA 36</t>
  </si>
  <si>
    <t>solgen@gmail.com</t>
  </si>
  <si>
    <t>6010601860000E</t>
  </si>
  <si>
    <t>IRVING YASSER CASTILLO URBINA</t>
  </si>
  <si>
    <t>IRVING</t>
  </si>
  <si>
    <t>YASSER</t>
  </si>
  <si>
    <t>BO. NUEVA YORK, FRENTE PORTON PRINCIPAL ESTADIO GLORIA COSTEÑAS</t>
  </si>
  <si>
    <t>DETRAS DEL ESTADIO</t>
  </si>
  <si>
    <t>irvingycu@hotmail.com</t>
  </si>
  <si>
    <t>0010601860031D</t>
  </si>
  <si>
    <t>DARLING JILL ARAGON HUECK</t>
  </si>
  <si>
    <t>DARLING</t>
  </si>
  <si>
    <t>JILL</t>
  </si>
  <si>
    <t>HUECK</t>
  </si>
  <si>
    <t>CMCA. CEDRO GALAN, KM 13 CARRETERA VIEJA LEON 1 KM. S  300 VRS  E</t>
  </si>
  <si>
    <t>KILOMETRO 13 CARRETERA VIEJA A LEON, 1 KILÓMETROS SUR, 300 VARAS ESTE.</t>
  </si>
  <si>
    <t>DOCTOR EN MEDICINA, DIPLOMADO EN MEDICINA INTERNA</t>
  </si>
  <si>
    <t>jillaragon@gmail.com</t>
  </si>
  <si>
    <t>4810501860001R</t>
  </si>
  <si>
    <t>MARIELYS MASSIEL JIRON SIU</t>
  </si>
  <si>
    <t>MARIELYS</t>
  </si>
  <si>
    <t>SIU</t>
  </si>
  <si>
    <t>BO. HERMANO ZAMORA, BAR EL CIPRES 75VRS.E</t>
  </si>
  <si>
    <t>BAR EL CIPRES 75 VRAS AL ESTE</t>
  </si>
  <si>
    <t>1210301860004E</t>
  </si>
  <si>
    <t>SANTEAGO DAVID LUMBI DUARTE</t>
  </si>
  <si>
    <t>SANTEAGO</t>
  </si>
  <si>
    <t>BO. FELIPE COSTA, ZN. 4 TEXACO 2C. OESTE 1C. SUR</t>
  </si>
  <si>
    <t>ZONA 4 GASOLINERA TEXACO 2 CUADRAS OESTE 1 CUADRA SUR</t>
  </si>
  <si>
    <t>25122012 22484736 86576905</t>
  </si>
  <si>
    <t>0010201860015C</t>
  </si>
  <si>
    <t>MARGARITA DE LOS ANGELES BALTODANO MARTINEZ</t>
  </si>
  <si>
    <t>BO. PANCASAN, ENITEL 3C, E.</t>
  </si>
  <si>
    <t>ENITEL 3C.AL ESTE NAGAROTE</t>
  </si>
  <si>
    <t>0860101860002P</t>
  </si>
  <si>
    <t>WILLIAM JAVIER MEDINA GARCIA</t>
  </si>
  <si>
    <t>WILLIAM</t>
  </si>
  <si>
    <t>COL. BANANERA, CEMENTERIO 2C. S. 15 VRS.  E. CASA N° 37</t>
  </si>
  <si>
    <t>DEL PORTON DEL CEMENTERIO 2 CUADRAS AL SUR, 15 VARAS AL ESTE.</t>
  </si>
  <si>
    <t>3623112850002G</t>
  </si>
  <si>
    <t>MARIA GISSELL GOMEZ GUZMAN</t>
  </si>
  <si>
    <t>GISSELL</t>
  </si>
  <si>
    <t>GUZMAN</t>
  </si>
  <si>
    <t>Bo.SAN MARTIN,ESCUELA AGUSTINA MIRANDA 3C.N</t>
  </si>
  <si>
    <t>BO. SAN MARTIN, ESCUELA NO.2 3C.NORTE</t>
  </si>
  <si>
    <t>dragomez.8512@gmail.com</t>
  </si>
  <si>
    <t>2813012850006A</t>
  </si>
  <si>
    <t>DAMARIS SUSANA PRADO ESTRADA</t>
  </si>
  <si>
    <t>DAMARIS</t>
  </si>
  <si>
    <t>SUSANA</t>
  </si>
  <si>
    <t>BO. GUADALUPE, TEXACO GUADALUPE 2c ARR, 1/2c S.</t>
  </si>
  <si>
    <t>TEXACO GUADALUPE 2 CUADRAS ARRIBA 1/2 CUADRA  AL SUR</t>
  </si>
  <si>
    <t>susan_capricorn815@hotmail.com</t>
  </si>
  <si>
    <t>0042812850000W</t>
  </si>
  <si>
    <t>MARLON DE JESUS ARROLIGA ESPINOZA</t>
  </si>
  <si>
    <t>REPTO. A. MERCADO, TANQUE INAA 2C. NORTE, 1C. ESTE</t>
  </si>
  <si>
    <t>COSTADOSUR DE LA CASA COMUNAL CASA NO 122</t>
  </si>
  <si>
    <t>marlonarroliga@yahoo.es</t>
  </si>
  <si>
    <t>2812312850004H</t>
  </si>
  <si>
    <t>YESICA YANIRA ARBIZU MORALES</t>
  </si>
  <si>
    <t>YESICA</t>
  </si>
  <si>
    <t>RPTO. POSADA DEL SOL, CONT, RADIO DARIO # 94</t>
  </si>
  <si>
    <t>FERRETERIA EL CONSTRUCTOR 1 CUADRA AL OESTE 10 VARAS AL SUR</t>
  </si>
  <si>
    <t>ya231285@hotmail.com</t>
  </si>
  <si>
    <t>2812312850009N</t>
  </si>
  <si>
    <t>WILBER JOSE PRAVIA HERNANDEZ</t>
  </si>
  <si>
    <t>WILBER</t>
  </si>
  <si>
    <t>BO. ERMITA DE DOLORES, IGLESIA ERMITA DE DOLORES 1C.O, 75VRS.N.</t>
  </si>
  <si>
    <t>ERMITA 1 CUADRA AL OESTE, 75 VARAS AL SUR</t>
  </si>
  <si>
    <t>23139394 89159520</t>
  </si>
  <si>
    <t>wilberjosep@yahoo.es</t>
  </si>
  <si>
    <t>2812212850006H</t>
  </si>
  <si>
    <t>GERALD STEVE MORALES ZELAYA</t>
  </si>
  <si>
    <t>RPTO. ARROCERA, COSTADO NORTE LABORATORIO DIVINA 1C.O.</t>
  </si>
  <si>
    <t>FRENTE A MIFAMILIA</t>
  </si>
  <si>
    <t>mgeraldsteve@yahoo.es</t>
  </si>
  <si>
    <t>6032012850000W</t>
  </si>
  <si>
    <t>DOMINGA MARBELLY ARCEDAS RAMIREZ</t>
  </si>
  <si>
    <t>DOMINGA</t>
  </si>
  <si>
    <t>CMCA. PUERTO LA ESPERANZA, BO. CIUDADELA ROTULO 1\2C. E.</t>
  </si>
  <si>
    <t>DEL ROTULO 1/2 ,CUADRA AL ESTE</t>
  </si>
  <si>
    <t>2871812850000W</t>
  </si>
  <si>
    <t>NERYS JOSUE SOLIS RUEDA</t>
  </si>
  <si>
    <t>NERYS</t>
  </si>
  <si>
    <t>BO. LUIS DE LA LLAMA, ALCALDIA MUNICIPAL 2 1/2C. S.</t>
  </si>
  <si>
    <t>ALCALDIA MUNICIPAL 2 1/2 CUADRA AL SUR</t>
  </si>
  <si>
    <t>23130706 83637182</t>
  </si>
  <si>
    <t>neryssolis@yahoo.com</t>
  </si>
  <si>
    <t>4511812850000Y</t>
  </si>
  <si>
    <t>ALEJANDRO ANTONIO CENTENO SUAREZ</t>
  </si>
  <si>
    <t>BO. CAMILO TURCIO, FRENTE CLINICA MEDICA MARIA LUISA ORTIZ</t>
  </si>
  <si>
    <t>IGLESIA DE DIOS 1 CUADRA AL NORTE</t>
  </si>
  <si>
    <t>wisdomheartc@yahoo.com</t>
  </si>
  <si>
    <t>2841812850000U</t>
  </si>
  <si>
    <t>MARIA HELENA REYES MEDRANO</t>
  </si>
  <si>
    <t>HELENA</t>
  </si>
  <si>
    <t>LA PAZ CENTRO</t>
  </si>
  <si>
    <t>BO. MA. ELENA NARVAEZ CENTRO DE SALUD 3C. ESTE</t>
  </si>
  <si>
    <t>CENTRO DE SALUD 3CUADRA ESTE</t>
  </si>
  <si>
    <t>2021612850000P</t>
  </si>
  <si>
    <t>MANUEL SALVADOR CRUZ SEQUEIRA</t>
  </si>
  <si>
    <t>IGLESIA SAN SEBASTIAN 75 VRS AL ESTE, LEON NICARAGUA</t>
  </si>
  <si>
    <t>IGLESIA SAN SEBASTIAN, 75 VARAS AL ESTE</t>
  </si>
  <si>
    <t>23110170 58863030</t>
  </si>
  <si>
    <t>manuelcruz1612@yahoo.com</t>
  </si>
  <si>
    <t>3211512850004L</t>
  </si>
  <si>
    <t>JIHOBANA MATILDE MIRANDA GARCIA</t>
  </si>
  <si>
    <t>JIHOBANA</t>
  </si>
  <si>
    <t>MATILDE</t>
  </si>
  <si>
    <t>BO. BUENOS AIRES, ESTADIO DE FOOTBALL 2 1/2C, E.</t>
  </si>
  <si>
    <t>ESTADIO DE FUTBOLL 1 1/2 CUADRAS AL ESTE</t>
  </si>
  <si>
    <t>27220065 89163722</t>
  </si>
  <si>
    <t>jihobanamiranda@yahoo.es</t>
  </si>
  <si>
    <t>2411212850004N</t>
  </si>
  <si>
    <t>NELSON JOSE PALACIOS QUEZADA</t>
  </si>
  <si>
    <t>JINOTEGA COMARCA SAN PEDRO DE BUEULMOY CORINTO FINCA</t>
  </si>
  <si>
    <t>ESCUELA 150 VARAS AL NORTE</t>
  </si>
  <si>
    <t>4011212850002T</t>
  </si>
  <si>
    <t>GUILLERMO ENRIQUE SALGADO RODRIGUEZ</t>
  </si>
  <si>
    <t>RESD.. VILLA VALESKA II ETAPA, CASA NO. 43</t>
  </si>
  <si>
    <t>CENTRO ESCOLAR RUBEN DARIO 1 1/2 CUADRA AL OESTE</t>
  </si>
  <si>
    <t>gesr1285@gmail.com</t>
  </si>
  <si>
    <t>2871112850001H</t>
  </si>
  <si>
    <t>EYRA GUADALUPE BLANCO JUAREZ</t>
  </si>
  <si>
    <t>EYRA</t>
  </si>
  <si>
    <t>BO. ARIEL SABALLOS, FARM. LOS ANGELES 3C.ABAJO</t>
  </si>
  <si>
    <t>JUZGADOS 1 1/2 CUADRAS AL ESTE CALLE LA BIBLIA</t>
  </si>
  <si>
    <t>23132059 57121844 87324283</t>
  </si>
  <si>
    <t>ckraquel85@gmail.com</t>
  </si>
  <si>
    <t>0010912850062V</t>
  </si>
  <si>
    <t>MARGARITA ISABEL TALENO CAYASSO</t>
  </si>
  <si>
    <t>ISABEL</t>
  </si>
  <si>
    <t>CAYASSO</t>
  </si>
  <si>
    <t>BO. YURI ORDOÑEZ DE LA TRANQUERA 1C. ARRIBA, 2C.S, 1/2C.ARRIBA</t>
  </si>
  <si>
    <t>TRANQUERA 1 CUADRA ESTE, 2 CUADRAS SUR, 1/2 CUADRA ESTE</t>
  </si>
  <si>
    <t>1270712850002S</t>
  </si>
  <si>
    <t>ELIA ARACELY AMADOR MARTINEZ</t>
  </si>
  <si>
    <t>ELIA</t>
  </si>
  <si>
    <t>BARRIO BELLA VISTA FRENTE A AGROVETERINARIA REYNO ANIMAL.</t>
  </si>
  <si>
    <t>BO. BELLA VISTA, CASA DEL MATRIMONIO, EL AYOTE.</t>
  </si>
  <si>
    <t>aracelly071285@gmail.com</t>
  </si>
  <si>
    <t>0010112850007T</t>
  </si>
  <si>
    <t>ARLES ELAINE PEREZ CERVELLON</t>
  </si>
  <si>
    <t>ARLES</t>
  </si>
  <si>
    <t>ELAINE</t>
  </si>
  <si>
    <t>CERVELLON</t>
  </si>
  <si>
    <t>BELLO AMANECER. RES. SAN ANDRES DE LA ROTONDA 3C. OESTE 1C. NORTE 1/2C. OESTE CASA # JC-11</t>
  </si>
  <si>
    <t>KILOMETRO 10.5 CARRETERA NUEVA A LEON DE LA ROTONDA 3 CUADRAS AL OESTE, 1 CUADRA AL NORTE, 1/2 CUADRA AL OESTE CASA JC-11, MANO IZQUIERDA</t>
  </si>
  <si>
    <t>22682528 88552103</t>
  </si>
  <si>
    <t>arles.elaine@gmail.com</t>
  </si>
  <si>
    <t>0012711850028R</t>
  </si>
  <si>
    <t>MARIA RENE SOLARI BACA</t>
  </si>
  <si>
    <t>RENE</t>
  </si>
  <si>
    <t>COL 10 DE JUNIO  VIDEO CLUB 2c O. 20v S. CA. A-115</t>
  </si>
  <si>
    <t>VIDEO CLUB 2 CUADRAS OESTE 20 VARAS SUR  CASA A-115</t>
  </si>
  <si>
    <t>22529789 88783700</t>
  </si>
  <si>
    <t>0012711850079W</t>
  </si>
  <si>
    <t>MEYLING DANIELA OROZCO SEQUEIRA</t>
  </si>
  <si>
    <t>VI. FLOR SUR, CALLE PRINCIPAL # 780</t>
  </si>
  <si>
    <t>SEMAFOROS DE VILLA FLOR SUR, 50 VARAS AL OESTE, CASA # 780.</t>
  </si>
  <si>
    <t>2432311850002N</t>
  </si>
  <si>
    <t>NYNDYTZ SCARLIN CENTENO HERNANDEZ</t>
  </si>
  <si>
    <t>NYNDYTZ</t>
  </si>
  <si>
    <t>SCARLIN</t>
  </si>
  <si>
    <t>PROYECTO SANTA LUISA DE MARILLAC PRIMERA CALLE</t>
  </si>
  <si>
    <t>FRENTE A LA AGROPECARIA DON  ERNESTO</t>
  </si>
  <si>
    <t>nyndytzcenteno@hotmail.com</t>
  </si>
  <si>
    <t>0412211850001W</t>
  </si>
  <si>
    <t>INGRI ALEJANDRA AGUILAR DELGADO</t>
  </si>
  <si>
    <t>INGRI</t>
  </si>
  <si>
    <t>CMCA. GUISQUILIAPA, IGLESIA CATÓLICA 2 1/2C. N.</t>
  </si>
  <si>
    <t>IGLESIA CATOLICA 2 1/2 CUADRA AL NORTE</t>
  </si>
  <si>
    <t>77964714, 82117058</t>
  </si>
  <si>
    <t>ingriaguilar11@gmail.com</t>
  </si>
  <si>
    <t>0032211850000K</t>
  </si>
  <si>
    <t>JENNYFER AZUCENA VANEGAS SOTO</t>
  </si>
  <si>
    <t>JENNYFER</t>
  </si>
  <si>
    <t>SOTO</t>
  </si>
  <si>
    <t>BO. CAMILO ORTEGA.</t>
  </si>
  <si>
    <t>MONUMENTO 2 CUADRAS NORTE, 2 1 / 2 CUADRAS AL ESTE.</t>
  </si>
  <si>
    <t>jvs@gmail.com</t>
  </si>
  <si>
    <t>0412011850004V</t>
  </si>
  <si>
    <t>ELIEZER ANTONIO CASTELLON MARTINEZ</t>
  </si>
  <si>
    <t>BO. ALTAGRACIA , CENTRO DE SALUD ALTAGRACIA 1/2C.E</t>
  </si>
  <si>
    <t>BO.5 DE JULIO MANZANA #2 CASA #6</t>
  </si>
  <si>
    <t>25323298 22653436 84303274</t>
  </si>
  <si>
    <t>elie_acm20@yahoo.com</t>
  </si>
  <si>
    <t>2911711850001J</t>
  </si>
  <si>
    <t>REYNA ISABEL MAYORGA RUIZ</t>
  </si>
  <si>
    <t>COM. SAN ROQUE, FRENTE A IGLESIA EVANGELICA</t>
  </si>
  <si>
    <t>FRENTE A IGLESIA EVANGELICA.</t>
  </si>
  <si>
    <t>89692972 85696188</t>
  </si>
  <si>
    <t>nicagil23@hotmail.com</t>
  </si>
  <si>
    <t>4921511850002B</t>
  </si>
  <si>
    <t>LIGIA ELENA MADRIZ AMADOR</t>
  </si>
  <si>
    <t>COL. ROBERTO GONZALEZ, ERMITA 1C. O. 1C.S.</t>
  </si>
  <si>
    <t>ERMITA 1C AL OESTE, 1C AL SUR</t>
  </si>
  <si>
    <t>linamadriz_med@yahoo.com</t>
  </si>
  <si>
    <t>0011511850008T</t>
  </si>
  <si>
    <t>DARLIN VERONICA MIRANDA CALERO</t>
  </si>
  <si>
    <t>DARLIN</t>
  </si>
  <si>
    <t>BO. CARLOS MAX, DISTRITO 6 2C.S. CASA E-296 M.D</t>
  </si>
  <si>
    <t>ALCALDIA DVI, 2 CUADRAS SUR, CASA E-296</t>
  </si>
  <si>
    <t>22515675 85184004</t>
  </si>
  <si>
    <t>6071511850006F</t>
  </si>
  <si>
    <t>ANA LEE MARTINEZ ABELARDO</t>
  </si>
  <si>
    <t>LEE</t>
  </si>
  <si>
    <t>ABELARDO</t>
  </si>
  <si>
    <t>BO. SAN JUDAS, FRENTE A LA COLONIA FLOR DE PINO</t>
  </si>
  <si>
    <t>ANTES DE LLEGAR AL PUENTE, FRENTE A LA COSTURERA MAURITA, CASA DE MADERA SIN PINTAR</t>
  </si>
  <si>
    <t>analiee.martinez@gmail.com</t>
  </si>
  <si>
    <t>3621511850001P</t>
  </si>
  <si>
    <t>ERIK ALBERTO FITORIA URBINA</t>
  </si>
  <si>
    <t>ERIK</t>
  </si>
  <si>
    <t>BO. PEDRO JOAQUIN CHAMORRO, GASOLINERA ESSO 4 1/2C.O.</t>
  </si>
  <si>
    <t>DONDE FUE GASOLINERA ESSO 4 1/2 CUADRA OESTE</t>
  </si>
  <si>
    <t>erikfitoria@gmail.com</t>
  </si>
  <si>
    <t>0011211850047E</t>
  </si>
  <si>
    <t>DOUGLAS BENJAMIN CANTARERO PINEDA</t>
  </si>
  <si>
    <t>BENJAMIN</t>
  </si>
  <si>
    <t>RESD.BELLO HORIZONTE,IGLESIA PIO X 2C.N 1/2C.O</t>
  </si>
  <si>
    <t>DEL PORTON PRINCIPAL DE LA UPOLI 2 CUADRAS AL NORTE, 2 ANDENES AL OESTE</t>
  </si>
  <si>
    <t>doubenutriomedicantarineda@gmail.com</t>
  </si>
  <si>
    <t>5211211850001X</t>
  </si>
  <si>
    <t>ROSA EMILIA GUTIERREZ VILLALTA</t>
  </si>
  <si>
    <t>VILLALTA</t>
  </si>
  <si>
    <t>CMCA. LOS CHILES SECTOR 3.   PARADA DE BUSES 1.  1/2C.N</t>
  </si>
  <si>
    <t>PARADA DE BUSES 2 CUADRAS AL NORTE</t>
  </si>
  <si>
    <t>grosaemilia@yahoo.com</t>
  </si>
  <si>
    <t>2811111850016N</t>
  </si>
  <si>
    <t>LAUREANO MERCEDES SANTANA PRADO</t>
  </si>
  <si>
    <t>LAUREANO</t>
  </si>
  <si>
    <t>RPTO. DANIEL AVENDAÑO, COSTADO NORTE C/SALUD</t>
  </si>
  <si>
    <t>COSTADO NORTE DEL CENTRO DE SALUD</t>
  </si>
  <si>
    <t>santanalaureano@yahoo.com</t>
  </si>
  <si>
    <t>3211111850005W</t>
  </si>
  <si>
    <t>ZAYDA LISBETH BOGRAN ESTRADA</t>
  </si>
  <si>
    <t>ZAYDA</t>
  </si>
  <si>
    <t>SAN LUCAS</t>
  </si>
  <si>
    <t>COMARCA EL PORCAL, SECT.2. COMEDOR INFANTIL 50MTS.N.</t>
  </si>
  <si>
    <t>COMEDOR INFANTIL 50 METROS AL NORTE</t>
  </si>
  <si>
    <t>89309036 84336877</t>
  </si>
  <si>
    <t>bogranestr@gmail.com</t>
  </si>
  <si>
    <t>2811111850020S</t>
  </si>
  <si>
    <t>JOSE NICOLAS DE LA CRUZ CRUZ</t>
  </si>
  <si>
    <t>NICOLAS</t>
  </si>
  <si>
    <t>PISTA EL DORADO CASA#537 2 CASA AL SUR DE NACATAMALES EL DORADO</t>
  </si>
  <si>
    <t>NACATAMALES EL DORADO 2 CASAS HACIA EL SUR CASA # 537.</t>
  </si>
  <si>
    <t>0011111850046B</t>
  </si>
  <si>
    <t>MAYNOR ALBERTO PONCE ORTIZ</t>
  </si>
  <si>
    <t>MAYNOR</t>
  </si>
  <si>
    <t>BO CAMPO BRUCE DE DONDE FUE EL CINE SALINA 4C AL OESTE 1 1/2C AL NORTE MANO /DERECHA</t>
  </si>
  <si>
    <t>DONDE FUE PEPSI 10 VARAS AL ESTE,SOBRE LA PISTA DE AJAX DELGADO CASA 12</t>
  </si>
  <si>
    <t>0010811850047V</t>
  </si>
  <si>
    <t>LUIS CARLOS DE TRINIDAD ARGUELLO</t>
  </si>
  <si>
    <t>RESD, ALTAMIRA, SUPERMERCADO PALI 5 1/2E, . CASA # A-105</t>
  </si>
  <si>
    <t>PALI ALTAMIRA 5 1/2 CUADRA AL ESTE, CASA NO.  A-105</t>
  </si>
  <si>
    <t>siulsolrac85@gmail.com</t>
  </si>
  <si>
    <t>0810811850002N</t>
  </si>
  <si>
    <t>OSCAR DANILO RENTERIA RUIZ</t>
  </si>
  <si>
    <t>COL. FRANCISCO OVIEDO  CLINICA DR. FAJARDO 4c O. 1c N.</t>
  </si>
  <si>
    <t>DEL RESTAURANTE GRANADINO, 2C AL ESTE, 3C AL SUR, 1/2C AL ESTE</t>
  </si>
  <si>
    <t>23440805 84680022</t>
  </si>
  <si>
    <t>5610611850002G</t>
  </si>
  <si>
    <t>SANDRA PATRICIA LUMBI CHAMORRO</t>
  </si>
  <si>
    <t>URBANIZACION VILLA SOL, CASA F8-36, SABANA GRANDE</t>
  </si>
  <si>
    <t>DE LA CASA COMUNAL 2 CUADRAS AL NORTE MANO IZQUIERDA</t>
  </si>
  <si>
    <t>22801141 86032072 81717287</t>
  </si>
  <si>
    <t>2900611850000R</t>
  </si>
  <si>
    <t>MARIA ELENA VILCHEZ TERCERO</t>
  </si>
  <si>
    <t>CMCA.EL PORVENIR,TALLER JULIO ,BARRIO ANDEN ABAJO</t>
  </si>
  <si>
    <t>TALLER JULIO BARRIO ANDEN OESTE</t>
  </si>
  <si>
    <t>mariaelenavilchez@yahoo.com</t>
  </si>
  <si>
    <t>6030611850003N</t>
  </si>
  <si>
    <t>ELVIN JOSE SEGURA REYES</t>
  </si>
  <si>
    <t>ELVIN</t>
  </si>
  <si>
    <t>BLUEFIELDS, BARRIO SAN PEDRO DE LA GASOLINERA 3 CUADRAS AL SUR CASA DE MEDICOS MINSA</t>
  </si>
  <si>
    <t>BARRIO CENTRAL CONTIGUO AL PUESTO DE SALUD</t>
  </si>
  <si>
    <t>segura85elvis@yahoo.com</t>
  </si>
  <si>
    <t>2910511850002J</t>
  </si>
  <si>
    <t>FRANCISCO DAVID SOLIS SALMERON</t>
  </si>
  <si>
    <t>SALMERON</t>
  </si>
  <si>
    <t>BO. HEROES Y MARTIRES DEL PORVENIR, INEM 1½C. E. 25VRS. N.</t>
  </si>
  <si>
    <t>INEM  1C. ESTE, 25VRS. NORTE</t>
  </si>
  <si>
    <t>variedadeshodlop@gmail.com</t>
  </si>
  <si>
    <t>4410411850008W</t>
  </si>
  <si>
    <t>GRETHEL ODALIS ARDON RUIZ</t>
  </si>
  <si>
    <t>ODALIS</t>
  </si>
  <si>
    <t>BO. GUADALUPE DEL C.E.A.R.D 1c N. 1/2c E.</t>
  </si>
  <si>
    <t>COLEGIO RUBEN DARIO 1 CUADRA AL NORTE 1/2 CAUDREA AL ESTE</t>
  </si>
  <si>
    <t>5260311850001Q</t>
  </si>
  <si>
    <t>MARISELA SULLEN MENDOZA SARAVIA</t>
  </si>
  <si>
    <t>MARISELA</t>
  </si>
  <si>
    <t>SULLEN</t>
  </si>
  <si>
    <t>BARRIO CARLOS NUÑEZ, FTE. POLICIA NACIONAL</t>
  </si>
  <si>
    <t>FRENTE ALA POLICIA NACIONAL.</t>
  </si>
  <si>
    <t>m.suyen@yahoo.com</t>
  </si>
  <si>
    <t>6070211850000V</t>
  </si>
  <si>
    <t>SAIRY MARELVIS COX SABALLOS</t>
  </si>
  <si>
    <t>SAIRY</t>
  </si>
  <si>
    <t>MARELVIS</t>
  </si>
  <si>
    <t>SABALLOS</t>
  </si>
  <si>
    <t>BO. SAN JOSE ORIENTAL, DE DONDE FUE CINE SALINAS 1C, N. 2 1/2C, E.</t>
  </si>
  <si>
    <t>DE DONDE EL CINE SALINAS 1C AL NORTE 2 1/2C AL ESTE.</t>
  </si>
  <si>
    <t>22400865 89298435</t>
  </si>
  <si>
    <t>lonelycox@gmail.com</t>
  </si>
  <si>
    <t>0013010850020H</t>
  </si>
  <si>
    <t>KEYLIN ANIELKA MEJIA CALERO</t>
  </si>
  <si>
    <t>KEYLIN</t>
  </si>
  <si>
    <t>COMARCA LAS JAGUITAS RESIDENCIAL BRUSELAS CASA D-4</t>
  </si>
  <si>
    <t>RESID.BRUZELAS CASA B-4,LAS JAGUITAS</t>
  </si>
  <si>
    <t>keyling_mejia@yahoo.es</t>
  </si>
  <si>
    <t>3612710850001R</t>
  </si>
  <si>
    <t>IRENE SORAYA TOLEDO CRUZ</t>
  </si>
  <si>
    <t>SORAYA</t>
  </si>
  <si>
    <t>DE TRES CRUCES 1/2 CUADRA AL NORTE</t>
  </si>
  <si>
    <t>2032510850000N</t>
  </si>
  <si>
    <t>JULIO FRANCISCO VASQUEZ HERNANDEZ</t>
  </si>
  <si>
    <t>JULIO</t>
  </si>
  <si>
    <t>BO. 17 DE JULIO, FERRETERIA EL ENCUENTRO 3C.S.</t>
  </si>
  <si>
    <t>COSTADO ESTE DEL RASTRO VIEJO</t>
  </si>
  <si>
    <t>impactju@yahoo.com</t>
  </si>
  <si>
    <t>0412310850002T</t>
  </si>
  <si>
    <t>ISRAEL ELIEZER ESTRADA GONZALEZ</t>
  </si>
  <si>
    <t>ISRAEL</t>
  </si>
  <si>
    <t>SILAIS CARAZO 1/2 CUADRA AL OESTE.</t>
  </si>
  <si>
    <t>BO. EL CEMENTERIO, DE CLARO 4 1/2C OESTE</t>
  </si>
  <si>
    <t>carlitamc78@hotmail.com, centenoroblesasesores@gmail.com</t>
  </si>
  <si>
    <t>YANET ROSS CORDERO</t>
  </si>
  <si>
    <t>YANET</t>
  </si>
  <si>
    <t>CORDERO</t>
  </si>
  <si>
    <t>CUBA</t>
  </si>
  <si>
    <t>DEL HOSPITAL MONTE ESPAÑA 2 CUADRAS AL NORTE 2 Y MEDIA CUADRAS AL ESTE. CALLE DE TOPE CASA # 20.</t>
  </si>
  <si>
    <t>nadirjanet@gmail.com</t>
  </si>
  <si>
    <t>0012010850058C</t>
  </si>
  <si>
    <t>PAUL DE JESUS SANDOVAL BONILLA</t>
  </si>
  <si>
    <t>PAUL</t>
  </si>
  <si>
    <t>RPTO. SANTA MARGARITA, FARMACIA SANTA JULIA 1C.O. 2C.N. 1C.E</t>
  </si>
  <si>
    <t>LIORERIADON  DON BOSCO 5 CUADRAS AL  NORTE , 2 CUADRAS AL ESTE.</t>
  </si>
  <si>
    <t>bonilla.paul@hotmail.com</t>
  </si>
  <si>
    <t>4451710850000E</t>
  </si>
  <si>
    <t>MILEYDA ELIZABETH PRAVIA CASTILLO</t>
  </si>
  <si>
    <t>MILEYDA</t>
  </si>
  <si>
    <t>CIUDAD JARDIN IRT 1 1/2 C AL ESTE 1/2 AL SUR</t>
  </si>
  <si>
    <t>DE LA ITR 2 1/2C SUR</t>
  </si>
  <si>
    <t>pravia932@outlook.es</t>
  </si>
  <si>
    <t>8881510850004J</t>
  </si>
  <si>
    <t>DARWIN ALEXIS CERNA RODRIGUEZ</t>
  </si>
  <si>
    <t>HONDURAS</t>
  </si>
  <si>
    <t>BARRIO NOEL WEELOK</t>
  </si>
  <si>
    <t>DE LA ESQUINA SUR ESTE DE LA TABACALERA PROTASA 1 CUADRA AL ESTE, 1 1/2 CUADRA AL SUR</t>
  </si>
  <si>
    <t>6081510850003N</t>
  </si>
  <si>
    <t>GERSON ZAMORA HITLER</t>
  </si>
  <si>
    <t>GERSON</t>
  </si>
  <si>
    <t>HITLER</t>
  </si>
  <si>
    <t>BO. PUNTA FRIA, FRENTE AL MINISTERIO DE FAMILIA</t>
  </si>
  <si>
    <t>DE LA GASOLINERA MANATI 1 CUADRA AL ESTE</t>
  </si>
  <si>
    <t>86570742 87379459</t>
  </si>
  <si>
    <t>gersonhitler@yahoo.com</t>
  </si>
  <si>
    <t>2811510850007F</t>
  </si>
  <si>
    <t>LUVY EMPERATRIZ PASTRANA LINDO</t>
  </si>
  <si>
    <t>LUVY</t>
  </si>
  <si>
    <t>EMPERATRIZ</t>
  </si>
  <si>
    <t>LINDO</t>
  </si>
  <si>
    <t>BO. SAN FELIPE, IGLESIA SAN JOSE 1 C. SUR, 20 VRS. OESTE</t>
  </si>
  <si>
    <t>2411410850005F</t>
  </si>
  <si>
    <t>RUTH ALEJANDRA FLORES ESTRADA</t>
  </si>
  <si>
    <t>JARDINES SANTA CLARA, PERFECTA 7C. N. 1/2C. O. M.D.</t>
  </si>
  <si>
    <t>KILOMETRO 16.3 CARRETERA MASAYA  CASA 9</t>
  </si>
  <si>
    <t>22791422 88275929</t>
  </si>
  <si>
    <t>8881410850000C</t>
  </si>
  <si>
    <t>HELMUTH IVAN MARTINEZ CANALES</t>
  </si>
  <si>
    <t>HELMUTH</t>
  </si>
  <si>
    <t>DEL ZUMEN 180VRS AL LAGO</t>
  </si>
  <si>
    <t>GALLO MAS GALLO DEL ZUMEN 1 1/2 CUADRA AL NORTE</t>
  </si>
  <si>
    <t>22651002 86473837</t>
  </si>
  <si>
    <t>2811310850001U</t>
  </si>
  <si>
    <t>HILDA MARIA VALLEJOS REYES</t>
  </si>
  <si>
    <t>HILDA</t>
  </si>
  <si>
    <t>BO. ERMITA DE DOLORES, FTE COSTADO SUR IGL. DOLORES</t>
  </si>
  <si>
    <t>COSTADO SUR DE LA IGLESIA ERMITA DE DOLORES</t>
  </si>
  <si>
    <t>1211310850003P</t>
  </si>
  <si>
    <t>DITZON ESPINOZA ALVAREZ</t>
  </si>
  <si>
    <t>DITZON</t>
  </si>
  <si>
    <t>CMCA. LA BATEA RESTAURANTE MORA 100mts E.</t>
  </si>
  <si>
    <t>COMARCA LA BATEA, CONT.REST.MORA</t>
  </si>
  <si>
    <t>1231210850001U</t>
  </si>
  <si>
    <t>ELIETH HARYERI GARCIA RODRIGUEZ</t>
  </si>
  <si>
    <t>HARYERI</t>
  </si>
  <si>
    <t>SANTO TOMÁS</t>
  </si>
  <si>
    <t>SANTO TOMAS</t>
  </si>
  <si>
    <t>BO. SANDINO, INSS 1 1/2C.AL SUR</t>
  </si>
  <si>
    <t>INSS 1 1/2 CUADRA AL SUR</t>
  </si>
  <si>
    <t>grelihar121085@yahoo.es</t>
  </si>
  <si>
    <t>centroturisticoecologicosj@gmail.com</t>
  </si>
  <si>
    <t>0811010850016B</t>
  </si>
  <si>
    <t>ELIZABETH CAROLINA DAVILA CARCAMO</t>
  </si>
  <si>
    <t>EMPALME DE CHICHIGALPA 300VRS AL SUR</t>
  </si>
  <si>
    <t>II CALLE CONTIGUO A LA PULPERIA DE DOS PISOS</t>
  </si>
  <si>
    <t>0070810850003V</t>
  </si>
  <si>
    <t>MARCELA DE LOS ANGELES CALERO CALDERA</t>
  </si>
  <si>
    <t>BO. MEDARDO ANDINO, IGL. CATOLICA 1C, ARR.</t>
  </si>
  <si>
    <t>DE LA IGLESIA CATÓLICA 1 CUADRA AL ESTE, MANO DERECHA</t>
  </si>
  <si>
    <t>22767724 88663055</t>
  </si>
  <si>
    <t>marcelaetienne20@gmail.com</t>
  </si>
  <si>
    <t>2840710850000H</t>
  </si>
  <si>
    <t>CRISTIAN JOSE RUIZ MAYORGA</t>
  </si>
  <si>
    <t>CRISTIAN</t>
  </si>
  <si>
    <t>BO. FELIPE LOPEZ, PUESTO MTI 1C.OESTE 500VRS. AL SUR</t>
  </si>
  <si>
    <t>DEL PUESTO MTI 1 CUADRA AL SUR, 500VRS. OESTE</t>
  </si>
  <si>
    <t>crismayor1@yahoo.es</t>
  </si>
  <si>
    <t>0010610850055T</t>
  </si>
  <si>
    <t>SCARLETH DEL ROSARIO SOLIS COOPER</t>
  </si>
  <si>
    <t>SCARLETH</t>
  </si>
  <si>
    <t>COOPER</t>
  </si>
  <si>
    <t>VI. REVOLUCION SECTOR C ANDEN 8.  CA. No. 863</t>
  </si>
  <si>
    <t>SEMAFOROS DE MERCADO IVAN MONTENEGRO 2 CUADRAS AL ESTE 1 1/2 CUADRA AL NORTE CASA NO 5 SECTOR B</t>
  </si>
  <si>
    <t>22800474 78513144</t>
  </si>
  <si>
    <t>scarlethsoliscooper3@gmail.com</t>
  </si>
  <si>
    <t>2810510850006H</t>
  </si>
  <si>
    <t>AURA ROSA CASTILLO ZAMORA</t>
  </si>
  <si>
    <t>BO. EL COYOLAR, DEL HOTEL EUROPA 1C.NORTE 1/2C.ESTE</t>
  </si>
  <si>
    <t>HOTEL EUROPA 1 CUADRA AL NORTE. 2 1/2 CUADRA AL ESTE.</t>
  </si>
  <si>
    <t>23113861 88191222</t>
  </si>
  <si>
    <t>0010510850028M</t>
  </si>
  <si>
    <t>BLANCA LEONOR LOPEZ BERNARD</t>
  </si>
  <si>
    <t>LEONOR</t>
  </si>
  <si>
    <t>BERNARD</t>
  </si>
  <si>
    <t>RESD. BOSQUES DE ALTAMIRA UCC 25VRS N C.A N°C-8</t>
  </si>
  <si>
    <t>PRIMERA ETAPA CASA ,21</t>
  </si>
  <si>
    <t>84660284 88541656</t>
  </si>
  <si>
    <t>blblancalopez1@gmail.com</t>
  </si>
  <si>
    <t>0010110850076F</t>
  </si>
  <si>
    <t>DANELIA EUNICE GONZALEZ OPORTA</t>
  </si>
  <si>
    <t>DANELIA</t>
  </si>
  <si>
    <t>EUNICE</t>
  </si>
  <si>
    <t>Bo.GASPAR GARCIA LAVIANA KM.13 CARRETERA MASAYA 500MTS.S 20 VRS.E</t>
  </si>
  <si>
    <t>KILOMETRO 13 CARRETERA A MASAYA, ENTRADA 500 METROS AL SUR, 20 VARAS AL ESTE</t>
  </si>
  <si>
    <t>4010110850000E</t>
  </si>
  <si>
    <t>CARLA ARACELLY MONTIEL BRICEÑO</t>
  </si>
  <si>
    <t>CARLA</t>
  </si>
  <si>
    <t>CMCA. COFRADIA DE LA IGLESIA CATOLICA 1C.O 1/2.S</t>
  </si>
  <si>
    <t>IGLESIA CATOLICA 1CUADRA OESTE 1/2CUADRA SUR</t>
  </si>
  <si>
    <t>montielcarla35@gmail.com</t>
  </si>
  <si>
    <t>1612909850001L</t>
  </si>
  <si>
    <t>LEOPOLDO MARTINEZ RIVERA</t>
  </si>
  <si>
    <t>LEOPOLDO</t>
  </si>
  <si>
    <t>BO. PANCASAN, COTRAN 1c NORTE</t>
  </si>
  <si>
    <t>COTRAN 1 CUADRA AL NORTE</t>
  </si>
  <si>
    <t>22516376 85128449</t>
  </si>
  <si>
    <t>5672809850000T</t>
  </si>
  <si>
    <t>DENIS ANTONIO SOLIS GUTIERREZ</t>
  </si>
  <si>
    <t>DENIS</t>
  </si>
  <si>
    <t>SAN JUAN DEL SUR</t>
  </si>
  <si>
    <t>BO. FANOR JAENZ, DISNORTE 3C. N. 25VRS.E. M/D</t>
  </si>
  <si>
    <t>COSTADO NORTE DEL PARQUE CONTIGUO A FARMACIA INMACULADA</t>
  </si>
  <si>
    <t>84342099 86955079</t>
  </si>
  <si>
    <t>2812209850010S</t>
  </si>
  <si>
    <t>IRAYDA MARIANA DUARTE PEREIRA</t>
  </si>
  <si>
    <t>IRAYDA</t>
  </si>
  <si>
    <t>MARIANA</t>
  </si>
  <si>
    <t>BARRIO SUBTIAVA BANIC 2 1/2 CUADRA AL NORTE</t>
  </si>
  <si>
    <t>DE LA ESCUELA 500 METROS AL ESTE</t>
  </si>
  <si>
    <t>imariana85@yahoo.es</t>
  </si>
  <si>
    <t>4012209850001U</t>
  </si>
  <si>
    <t>TIATIRA ESMIRNA GOMEZ PRADO</t>
  </si>
  <si>
    <t>TIATIRA</t>
  </si>
  <si>
    <t>ESMIRNA</t>
  </si>
  <si>
    <t>DE LA INCA 8 KM AL N. VILLA RAFAELA PADILLA CASA NO 34</t>
  </si>
  <si>
    <t>CASA NO. 34, SOBRE CARRETERA A TISMA</t>
  </si>
  <si>
    <t>25229915 85606798</t>
  </si>
  <si>
    <t>tiatigomezprado@gmail.com</t>
  </si>
  <si>
    <t>2012209850005V</t>
  </si>
  <si>
    <t>JUDITH RAQUEL NAVARRETE LATINO</t>
  </si>
  <si>
    <t>Bo.CRISTOBAL CARBALLO,COSTADO ESTE DE LA IGLESIA CATOLICA 2C,S</t>
  </si>
  <si>
    <t>COSTADO OESTE IGLESIA CATOLICA 2 CUADRAS AL SUR</t>
  </si>
  <si>
    <t>1621909850003J</t>
  </si>
  <si>
    <t>KAREN GEOMAR CARRASCO ACUÑA</t>
  </si>
  <si>
    <t>GEOMAR</t>
  </si>
  <si>
    <t>ACUÑA</t>
  </si>
  <si>
    <t>CONTIGUO AL CDT SAN CARLOS RIO SAN JUAN SECTOR #4</t>
  </si>
  <si>
    <t>KM 17 1/2 CARRETERA NUEVA A LEON CASA E-64</t>
  </si>
  <si>
    <t>27192208 58464334</t>
  </si>
  <si>
    <t>0011809850038U</t>
  </si>
  <si>
    <t>JOSE NICOLAS GARCIA VASQUEZ</t>
  </si>
  <si>
    <t>SEMAFOROS DE RUBENIA , 1 CUADRA AL SUR</t>
  </si>
  <si>
    <t>ROTONDA RUBENIA 1 CUADRA AL SUR 10 VARAS AL ESTE CASA B-60</t>
  </si>
  <si>
    <t>22892186 22938431 84154423</t>
  </si>
  <si>
    <t>2811809850004C</t>
  </si>
  <si>
    <t>FRANCIS ELIZABETH NAVARRO PEREIRA</t>
  </si>
  <si>
    <t>BO. SAN FELIPE, IGLESIA RECOLECCION 31/2C. NORTE.</t>
  </si>
  <si>
    <t>IGLESIA LA RECOLECCION 3 1/2 CUADRAS AL NORTE</t>
  </si>
  <si>
    <t>23151752 77015211</t>
  </si>
  <si>
    <t>1611609850004L</t>
  </si>
  <si>
    <t>ELVIN ANTONIO QUINTERO GALEANO</t>
  </si>
  <si>
    <t>BARRIO SANDINO, DEL TRAKSISG 3C.E. 20VRS.S.</t>
  </si>
  <si>
    <t>DEL PRESCOLAR JARDINES DE MI INFANCIA 1 CUADRA AL ESTE, 20 VARAS AL NORTE</t>
  </si>
  <si>
    <t>0011609850001A</t>
  </si>
  <si>
    <t>JAIRO EMMANUEL BLANDON RUIZ</t>
  </si>
  <si>
    <t>EMMANUEL</t>
  </si>
  <si>
    <t>BO. ROMIN MANRIQUE, SEMF. TENDERI 30VRS. N.10VRS. AB.</t>
  </si>
  <si>
    <t>TOPE SUR BELLO HORIZONTE 1 CUADRA AL ESTE 1/2 CUADRA AL NORTE CASA NUMERO B-51</t>
  </si>
  <si>
    <t>blondon_85@yahoo.es</t>
  </si>
  <si>
    <t>4011409850001C</t>
  </si>
  <si>
    <t>SARA ESMERALDA ESTRADA RIVERA</t>
  </si>
  <si>
    <t>RTO.EL COCAL PUENTE 30 DE MAYO 2C.E.1/2C.N.MASAYA</t>
  </si>
  <si>
    <t>DEL PUENTE 30 DE MAYO 2 CUADRAS AL ESTE, 1/2 CUADRA AL ESTE</t>
  </si>
  <si>
    <t>seermafeze@yahoo.es</t>
  </si>
  <si>
    <t>4411309850000U</t>
  </si>
  <si>
    <t>MARYURY MARBELY SEVILLA ROA</t>
  </si>
  <si>
    <t>MARYURY</t>
  </si>
  <si>
    <t>MARBELY</t>
  </si>
  <si>
    <t>ROA</t>
  </si>
  <si>
    <t>CMCA. CHAGUITILLO, DETRAS DEL CENTRO DE SALUD</t>
  </si>
  <si>
    <t>DETRAS DEL CENTRO DE SALUD</t>
  </si>
  <si>
    <t>3621309850000V</t>
  </si>
  <si>
    <t>JAIRO ANTONIO VALLEZ AMADOR</t>
  </si>
  <si>
    <t>PUENTE MULUKUKU 170 MTS.ARRIBA,SALIDA A SIUNA</t>
  </si>
  <si>
    <t>BO. RIGOBERTO LOPEZ, DDF.TEXACO ½C.NORTE</t>
  </si>
  <si>
    <t>jairovallez1301@gmail.com</t>
  </si>
  <si>
    <t>4911209850004R</t>
  </si>
  <si>
    <t>GAMALIEL ANGEL ARROLIGA CRUZ</t>
  </si>
  <si>
    <t>GAMALIEL</t>
  </si>
  <si>
    <t>CMCA.LA THOMPSON,SECTOR ROSARIO MURILLO,FRENTE ESCUELA GUARDA BARRANCO</t>
  </si>
  <si>
    <t>SECTOR ROSARIO MURILLO FRENTE A LA ESCUELA</t>
  </si>
  <si>
    <t>dr.arroliga@gmail.com</t>
  </si>
  <si>
    <t>4810909850002J</t>
  </si>
  <si>
    <t>MARIA MILAGROS RODRIGUEZ GARCIA</t>
  </si>
  <si>
    <t>MILAGROS</t>
  </si>
  <si>
    <t>BO. EL RIGUERO, IGLESIA CATOLICA SANTA MARIA DE LOS ANGELES 1 1/2C.E. M/I.</t>
  </si>
  <si>
    <t>COSTADO OESTE COLEGIO CLARISA CARDENAS, SEGUNDA CALLE, 10 VARAS AL OESTE</t>
  </si>
  <si>
    <t>0010609850039U</t>
  </si>
  <si>
    <t>JOSE LUIS GALEANO PALACIOS</t>
  </si>
  <si>
    <t>REPARTO MIRAFLORES DE DONDE FUE EL RESTAURANTE MUNICH 1 CUADRA AL ESTE 1 CUADRA AL NORTE</t>
  </si>
  <si>
    <t>ANTIGUO RESTAURANTE MUNICH, 1 CUADRA AL ESTE, 1 CUADRAS AL NORTE</t>
  </si>
  <si>
    <t>22666487, 86390098, 89507647</t>
  </si>
  <si>
    <t>22666487 86390098</t>
  </si>
  <si>
    <t>galeanojose06@gmail.com</t>
  </si>
  <si>
    <t>4890309850000H</t>
  </si>
  <si>
    <t>DANIA SARAHI RODAS QUIROZ</t>
  </si>
  <si>
    <t>DANIA</t>
  </si>
  <si>
    <t>BO. SUBTIAVA, IGLESIA SAN PEDRO 1/2C.OESTE</t>
  </si>
  <si>
    <t>COLEGIO RUBEN DARIO 2 CUADRAS Y 25 VARAS AL OESTE.</t>
  </si>
  <si>
    <t>23199108 75106845</t>
  </si>
  <si>
    <t>0010109850002T</t>
  </si>
  <si>
    <t>JOSE GABRIEL SUAREZ ORTEGA</t>
  </si>
  <si>
    <t>BO. LARGAESPADA HOSPITAL BAUSTISTA 20VRS ABAJO</t>
  </si>
  <si>
    <t>HOSPITAL BAUTISTA 1/2CUADRA OESTE</t>
  </si>
  <si>
    <t>2812808850009X</t>
  </si>
  <si>
    <t>GABRIELA LUCIA ESCOTO RODRIGUEZ</t>
  </si>
  <si>
    <t>BARRIO LABORIO, ESQ. CHINCHUNTE 2C. AL SUR</t>
  </si>
  <si>
    <t>ADMINISTRACION DE RENTAS 1-1/2 CUADRA OESTE</t>
  </si>
  <si>
    <t>0012508850055W</t>
  </si>
  <si>
    <t>KERSTIN KARELIA IZAGUIRRE HERNANDEZ</t>
  </si>
  <si>
    <t>KERSTIN</t>
  </si>
  <si>
    <t>COL.10 DE JUNIO, CRUZ ROJA DON BOSCO 4.N 1/2C.OESTE CASA N°B395</t>
  </si>
  <si>
    <t>COL.10 DE JUNIO,CRUZ ROJA DON BOSCO 4C. AL NORTE 1C. AL OESTE B-395</t>
  </si>
  <si>
    <t>22799337 76774281</t>
  </si>
  <si>
    <t>keriza25@gmail.com</t>
  </si>
  <si>
    <t>6012508850000W</t>
  </si>
  <si>
    <t>LINETH NARCISSA GARCIA RUIZ</t>
  </si>
  <si>
    <t>LINETH</t>
  </si>
  <si>
    <t>NARCISSA</t>
  </si>
  <si>
    <t>BO. NACIONES UNIDAS, FRENTE A LA TERMINAL DE RUTA 165 COSTADO SUR</t>
  </si>
  <si>
    <t>CMCA. SAN MATEO,  SECT NO. 4 CONT A SOFIA AGUILAR</t>
  </si>
  <si>
    <t>0011908850031H</t>
  </si>
  <si>
    <t>CLAUDIA DEL CARMEN CALERO PEREZ</t>
  </si>
  <si>
    <t>MANAGUA -  SABANA GRANDE, RPTO. 4NOV. E-16</t>
  </si>
  <si>
    <t>SABANA GRANDE DEL CUADRO BASEBALL 2 CUADRAS AL .OESTE 10 VARAS AL SUR CASA E-16</t>
  </si>
  <si>
    <t>clucape@hotmail.com</t>
  </si>
  <si>
    <t>0011708850033F</t>
  </si>
  <si>
    <t>DILVIA MILAGROS FLORES VANEGAS</t>
  </si>
  <si>
    <t>DILVIA</t>
  </si>
  <si>
    <t>BO. ACAHUALINCA, DE LAS HUELLAS 4C.N. 75VRS.E.</t>
  </si>
  <si>
    <t>BO. ACAHUALINCA, DE LAS HUELLAS 4C.N.75VRS.E.</t>
  </si>
  <si>
    <t>dilvia85@yahoo.com</t>
  </si>
  <si>
    <t>0011708850013J</t>
  </si>
  <si>
    <t>JONATHAN ISAAC RIVERA SOLORZANO</t>
  </si>
  <si>
    <t>ISAAC</t>
  </si>
  <si>
    <t>CMCA. LA CUAREZMA KM 10 CARRETERA A MASAYA 300MTS. E.</t>
  </si>
  <si>
    <t>DEL COLEGIO SUSANA LOPEZ CARAZO 200 METROS ESTE 30 METROS AL SUR</t>
  </si>
  <si>
    <t>22765754 87642782</t>
  </si>
  <si>
    <t>jirs33ltrj@gmail.com</t>
  </si>
  <si>
    <t>2811708850015F</t>
  </si>
  <si>
    <t>PABLO ESTEBAN NARVAEZ MELENDEZ</t>
  </si>
  <si>
    <t>ESTEBAN</t>
  </si>
  <si>
    <t>BO. DANIEL AVENDAÑO, IGL. CAT. 4C.AL SUR</t>
  </si>
  <si>
    <t>CENTRO DE SALUD DE SANTA ANA 1 1/2 CUADRA AL ESTE. MANO DERECHA</t>
  </si>
  <si>
    <t>4011608850003C</t>
  </si>
  <si>
    <t>CARLOS ALBERTO SALAZAR LEIVA</t>
  </si>
  <si>
    <t>BO. SAN MIGUEL, CRUZ ROJA 5C. AL E.</t>
  </si>
  <si>
    <t>CRUZ ROJA 5 CUADRAS AL ESTE</t>
  </si>
  <si>
    <t>csaleiv@hotmail.com</t>
  </si>
  <si>
    <t>4891408850003D</t>
  </si>
  <si>
    <t>YULE ONEYDA CRUZ MORALES</t>
  </si>
  <si>
    <t>YULE</t>
  </si>
  <si>
    <t>ONEYDA</t>
  </si>
  <si>
    <t>DE LA FARMACIA 5C.ESTE, SECTOR #8</t>
  </si>
  <si>
    <t>FORMUNICA 5 CUADRAS AL ESTE</t>
  </si>
  <si>
    <t>yulicm14@yahoo.es</t>
  </si>
  <si>
    <t>2811108850013Q</t>
  </si>
  <si>
    <t>JOSE JAVIER MONTIEL JUAREZ</t>
  </si>
  <si>
    <t>CIUDAD BELEN,BLOQUE XX CASA No. XX-14</t>
  </si>
  <si>
    <t>CIUDAD BELEN I ETAPA BLOQUE XX CASA XX-14</t>
  </si>
  <si>
    <t>DOCTOR  EN MEDICINA</t>
  </si>
  <si>
    <t>2811108850001C</t>
  </si>
  <si>
    <t>RUBENIA SOFÍA LORÍO CERROS</t>
  </si>
  <si>
    <t>RUBENIA</t>
  </si>
  <si>
    <t>SOFÍA</t>
  </si>
  <si>
    <t>CERROS</t>
  </si>
  <si>
    <t>COMARCA EL OBRAJE, KILÓMETRO 98 1/2 CARRETERA LEÓN PONELOYA</t>
  </si>
  <si>
    <t>RPTO. JOSE B.ESCOBAR,    6TA.CALLE CASA NO.107</t>
  </si>
  <si>
    <t>23112955, 86352688</t>
  </si>
  <si>
    <t>dra.rubenialorio@gmail.com</t>
  </si>
  <si>
    <t>2011008850002K</t>
  </si>
  <si>
    <t>BLANCA ESTER ZAMORA RODRIGUEZ</t>
  </si>
  <si>
    <t>BO. LA ESTACION,  ESTACION 2 1/2C. NORTE</t>
  </si>
  <si>
    <t>DE LOS SEMAFOROS DEL COLONIAL 1/2 CUADRA AL SUR, COSTADO OESTE DEL PARQUE, CASA -E-281</t>
  </si>
  <si>
    <t>25523341 78467347</t>
  </si>
  <si>
    <t>blankester85@gamil.com</t>
  </si>
  <si>
    <t>4410908850009P</t>
  </si>
  <si>
    <t>SUYEN CAROLINA FLORES PALACIOS</t>
  </si>
  <si>
    <t>BO. FCO. JAEN, DISNORTE 3C. NORTE 25VRS. ESTE</t>
  </si>
  <si>
    <t>DE LA BIBLIOTECA MOVIL 25 VARAS AL ESTE</t>
  </si>
  <si>
    <t>25682106 25682106 27727331 86955079</t>
  </si>
  <si>
    <t>5670808850000T</t>
  </si>
  <si>
    <t>NANCY VANESSA LOPEZ BERROTERAN</t>
  </si>
  <si>
    <t>NANCY</t>
  </si>
  <si>
    <t>BERROTERAN</t>
  </si>
  <si>
    <t>RIVAS DE LA ESCUELA ESPECIAL 4C.AL SUR 1/2 AL LAGO</t>
  </si>
  <si>
    <t>DE LA ESCUELA ESPECIAL 4 CUADRAS AL SUR 1/2 CUADRA AL ESTE</t>
  </si>
  <si>
    <t>dra.nanvane@gmail.com</t>
  </si>
  <si>
    <t>0860708850003E</t>
  </si>
  <si>
    <t>JOSE ADONAY ROMERO SOZA</t>
  </si>
  <si>
    <t>ADONAY</t>
  </si>
  <si>
    <t>RPTO. FRANCISCO PALLAVICINI, FRENTE AL REST. GRANADINO NUMERO-1</t>
  </si>
  <si>
    <t>CONTIGUO A SODA TANIA</t>
  </si>
  <si>
    <t>23400603 85208715</t>
  </si>
  <si>
    <t>adonayr1985@yahoo.es</t>
  </si>
  <si>
    <t>5610708850001N</t>
  </si>
  <si>
    <t>ALEXANDER JOSE URIARTE ZAPATA</t>
  </si>
  <si>
    <t>CMCA. LOS CERROS, ESCUELA JOSE DOLORES ESTRADAS, 100VRS ESTE.</t>
  </si>
  <si>
    <t>CARRETERA TOLA KM 115, CONTIGUO A LA ESCUELA JOSE DOLORES ESTOLA</t>
  </si>
  <si>
    <t>alexanderuriarte85@gmail.com</t>
  </si>
  <si>
    <t>2810608850004U</t>
  </si>
  <si>
    <t>TAMARA DE LOS ANGELES AGUILAR MARENCO</t>
  </si>
  <si>
    <t>TEATRO GONZALEZ 2 1/2 CUADRAS AL SUR- LEON</t>
  </si>
  <si>
    <t>DE DONDE FUE EL TEATRO GONZALEZ 2 1/2 CUADRA AL SUR</t>
  </si>
  <si>
    <t>23154795 83363807</t>
  </si>
  <si>
    <t>aguilarmarenco@yahoo.es</t>
  </si>
  <si>
    <t>0020508850001M</t>
  </si>
  <si>
    <t>SADY RAFAEL MENDEZ GAYTAN</t>
  </si>
  <si>
    <t>SADY</t>
  </si>
  <si>
    <t>GAYTAN</t>
  </si>
  <si>
    <t>CMCA. LOS CEDROS, OFIC. PLAN INTERNACIONAL 1/2C.O.</t>
  </si>
  <si>
    <t>KM. 28 1/2 CARRETERA VIEJA A LEON 1 CUADRA AL OESTE</t>
  </si>
  <si>
    <t>0010408850006X</t>
  </si>
  <si>
    <t>ANA LUCIA RODRIGUEZ ZAMBRANO</t>
  </si>
  <si>
    <t>ZAMBRANO</t>
  </si>
  <si>
    <t>COL, MANAGUA PORTON PRINCIPAL COLEGIO CRISTO REY 1C, E. 1C, S. CASA # D-13</t>
  </si>
  <si>
    <t>KM 9 1/2 CARRETERA NUEVA A LEON 1800 METROS OESTE CASA-EE3A</t>
  </si>
  <si>
    <t>mariposita485@hotmail.com</t>
  </si>
  <si>
    <t>1630308850003K</t>
  </si>
  <si>
    <t>OMAR ANTONIO MENESES CORDOBA</t>
  </si>
  <si>
    <t>BO. LA COMUNA, DE LA RAMPLA DEL PANAMA VERANO 2C AL N. 1C AL O. 10 VRS AL N.</t>
  </si>
  <si>
    <t>RAMPA PANAMA SOBERANA 2 CUADRAS NORTE 1 CUADRA OESTE 10 VARAS NORTE</t>
  </si>
  <si>
    <t>2810208850004L</t>
  </si>
  <si>
    <t>ANGELICA MARIA MEZA RUGAMA</t>
  </si>
  <si>
    <t>RPTO NVO HORIZONTE 2DA. CALLE GASOLINERA SHELL SAN VICENTE 2C. O. 1C. N. 75 VRS. O.</t>
  </si>
  <si>
    <t>SEGUNDA CALLE DE LA SHELL SAN SEBASTIAN 2 CUADRA AL OESTE , 1 CUADRA AL NORTE , 75 VARAS AL OESTE</t>
  </si>
  <si>
    <t>angelmezrugam@yahoo.com</t>
  </si>
  <si>
    <t>3210208850001D</t>
  </si>
  <si>
    <t>ELIZABETH DEL CARMEN HERRERA RIOS</t>
  </si>
  <si>
    <t>DEL CENTRO DE SALUD SECTOR # 18, 6CDS. AL ESTE SECTOR 20</t>
  </si>
  <si>
    <t>CENTRO DE SALUD SECTOR 18, 6 CUADRAS AL ESTE</t>
  </si>
  <si>
    <t>0810108850009L</t>
  </si>
  <si>
    <t>KARLELY MARIA HERNANDEZ MARTINEZ</t>
  </si>
  <si>
    <t>KARLELY</t>
  </si>
  <si>
    <t>BO. EL CALVARIO, IGLESIA EL CALVARIO 1 1/2C.ABAJO</t>
  </si>
  <si>
    <t>GLESIA EL CALVARIO 1-1/2CUADRA OESTE.</t>
  </si>
  <si>
    <t>carlely@hotmail.es</t>
  </si>
  <si>
    <t>0813107850007S</t>
  </si>
  <si>
    <t>ANA BELLA ROMERO MARTINEZ</t>
  </si>
  <si>
    <t>BELLA</t>
  </si>
  <si>
    <t>CLUB EDEN 1 CUADRA OESTE 2.1/2 CUADRA SUR</t>
  </si>
  <si>
    <t>CLUB EDEN,1 CUADRA AL OESTE, . 2 1/2 CUADRA AL SUR.</t>
  </si>
  <si>
    <t>6163107850009Y</t>
  </si>
  <si>
    <t>ELIZABETH ESTHER GONZALEZ</t>
  </si>
  <si>
    <t>ZONA No.4,CLUB SOCIAL 1C.N 2C.E</t>
  </si>
  <si>
    <t>DEL CLUB SOCIAL 1 CUADRA AL NORTE, 2 CUADRAS AL ESTE.</t>
  </si>
  <si>
    <t>3613107850003H</t>
  </si>
  <si>
    <t>ERIKA JEANETH ORTEGA</t>
  </si>
  <si>
    <t>JEANETH</t>
  </si>
  <si>
    <t>BO LA QUEBRADA PRE-ESCOLAR 1C.S.</t>
  </si>
  <si>
    <t>COSTADO OESTE DE LA PLAZA SANDINO</t>
  </si>
  <si>
    <t>55004467, 88110090</t>
  </si>
  <si>
    <t>55004467 88110090</t>
  </si>
  <si>
    <t>ortegaerikajeaneth88@gmail.com</t>
  </si>
  <si>
    <t>4073007850000C</t>
  </si>
  <si>
    <t>ALVARO ISAAC LOPEZ GUTIERREZ</t>
  </si>
  <si>
    <t>NANDASMO</t>
  </si>
  <si>
    <t>DE LA IGLESIA SAN PEDRO 1 C SUR 1/2 C ESTE</t>
  </si>
  <si>
    <t>IGLESIA CATOLICA 2 CUADRAS SUR, 1/2 CUADRA ESTE</t>
  </si>
  <si>
    <t>25227955 82668953</t>
  </si>
  <si>
    <t>dayi09_04@yahoo.com</t>
  </si>
  <si>
    <t>6162807850005N</t>
  </si>
  <si>
    <t>MARCIA JOHANA MARTINEZ SALAS</t>
  </si>
  <si>
    <t>JOHANA</t>
  </si>
  <si>
    <t>ZONA N°2. ESCUELA MAURICIO CAJINA 2C. O.</t>
  </si>
  <si>
    <t>COSTADO ESTE ESCUELA.SALINAS 2C.ESTE</t>
  </si>
  <si>
    <t>martinezmarcia287@gmail.com</t>
  </si>
  <si>
    <t>0012707850015B</t>
  </si>
  <si>
    <t>ROBERTO CARLOS GOMEZ GONZALEZ</t>
  </si>
  <si>
    <t>RPTO. VILLA SOBERANA, DE LA ESCUELA 2C. E. 1C. N. CA. J-12</t>
  </si>
  <si>
    <t>DE LA ESCUELA VILLA SOBERANA 2C. AL ESTE, 1C. AL NORTE. CASA J-12.</t>
  </si>
  <si>
    <t>rcgg27@yahoo.com</t>
  </si>
  <si>
    <t>2812207850006A</t>
  </si>
  <si>
    <t>MARTHA SILVANA PALMA MENDIETA</t>
  </si>
  <si>
    <t>SILVANA</t>
  </si>
  <si>
    <t>RPTO. JOSE B. ESCOBAR, 5TA CALLE</t>
  </si>
  <si>
    <t>DE LA IGLESIA CATOLICA 25 VARAS AL SUR</t>
  </si>
  <si>
    <t>2881907850002L</t>
  </si>
  <si>
    <t>ELVIS ENRRIQUE SILVA ARROLIGA</t>
  </si>
  <si>
    <t>ELVIS</t>
  </si>
  <si>
    <t>ENRRIQUE</t>
  </si>
  <si>
    <t>BO. EL PEDERNAL, PROYECTO MANUEL LOPEZ 1C. N.</t>
  </si>
  <si>
    <t>CANCHA DEPORTIVA 1/2C SUR.</t>
  </si>
  <si>
    <t>silvaarroligaelvisenrrique@yahoo.com</t>
  </si>
  <si>
    <t>2411907850011D</t>
  </si>
  <si>
    <t>ARLEN TATIANA MONCADA HERRERA</t>
  </si>
  <si>
    <t>BO. PANTASMA, HOSPITAL MANOLO MORALES 1/2 C. S. M/D</t>
  </si>
  <si>
    <t>ENTRADA 1/2C OESTE</t>
  </si>
  <si>
    <t>tatimoncadita85@yahoo.com</t>
  </si>
  <si>
    <t>0011707850011A</t>
  </si>
  <si>
    <t>EDGAR MARTIN NORORI TELLEZ</t>
  </si>
  <si>
    <t>EDGAR</t>
  </si>
  <si>
    <t>MASATEPE</t>
  </si>
  <si>
    <t>BO. SAN JERONIMO, CUERPO DE BOMBEROS 3C AL O. 25 VRS AL S.</t>
  </si>
  <si>
    <t>PARQUE CENTRAL, 2 CUADRAS AL NORTE, CALLER LA RONDA.</t>
  </si>
  <si>
    <t>m.norori@hotmail.com</t>
  </si>
  <si>
    <t>1611407850013D</t>
  </si>
  <si>
    <t>LUIS CARLOS OROCHENA RIVAS</t>
  </si>
  <si>
    <t>BO. PANAMA SOBERANA, BANCOS 5 1/2C. AL OESTE</t>
  </si>
  <si>
    <t>DE SUPER LAS SEGOVIAS 3C. AL OESTE 20 VARAS AL NORTE</t>
  </si>
  <si>
    <t>orochenar85@yahoo.com</t>
  </si>
  <si>
    <t>2011407850006E</t>
  </si>
  <si>
    <t>WILBER ENRIQUE BUSTAMANTE CHAVARRIA</t>
  </si>
  <si>
    <t>COST. SUR GAS. UNO PALMIRA.</t>
  </si>
  <si>
    <t>webshark1906@gmail.com</t>
  </si>
  <si>
    <t>8881407850000H</t>
  </si>
  <si>
    <t>MONICA ANDREA AGUILAR MARTEL</t>
  </si>
  <si>
    <t>MONICA</t>
  </si>
  <si>
    <t>ANDREA</t>
  </si>
  <si>
    <t>MARTEL</t>
  </si>
  <si>
    <t>RECIDENCIAL VILLA FONTANA, COLEGIO CENTRO AMERICA 550 METROS AL SUR</t>
  </si>
  <si>
    <t>DOCTORA EN MEDICINA Y CIRUGIA, DOCTORA EN MEDICINA Y CIRUGIA REPOSICION POR APELLIDO</t>
  </si>
  <si>
    <t>mardua80@hotmail.com</t>
  </si>
  <si>
    <t>2011307850002K</t>
  </si>
  <si>
    <t>MAYDER YAOSKA VIVAS JARQUIN</t>
  </si>
  <si>
    <t>MAYDER</t>
  </si>
  <si>
    <t>ISLETAS DE GRANADA FTE. A ENAP</t>
  </si>
  <si>
    <t>DE CHICO TRIPA 5 CUADRA NORTE, 1 CUADRA OESTE</t>
  </si>
  <si>
    <t>27922298 76083576</t>
  </si>
  <si>
    <t>0430907850001C</t>
  </si>
  <si>
    <t>RAQUEL DE LOS ANGELES BLAS CALERO</t>
  </si>
  <si>
    <t>RPTO. MARVIN CORRALES CASA No. 70</t>
  </si>
  <si>
    <t>KILOMETRO 35 1/2 CARRETERA SUR , CASA NUMERO 70</t>
  </si>
  <si>
    <t>4510807850001V</t>
  </si>
  <si>
    <t>GUADALUPE AZUCENA MONTOYA GONZALEZ</t>
  </si>
  <si>
    <t>BO. EL TULE, DE LA ESCUELA 15 DE SEPTIEMBRE 1C ARRIBA</t>
  </si>
  <si>
    <t>DISTRIBUIDORA NELSON TREMINIO 100 VARAS AL NORTE</t>
  </si>
  <si>
    <t>guadalupemontoya85@yahoo.com</t>
  </si>
  <si>
    <t>0010707850000R</t>
  </si>
  <si>
    <t>ANIELKA DE CONCEPCION BOLAÑOS MEZA</t>
  </si>
  <si>
    <t>DE CONCEPCION</t>
  </si>
  <si>
    <t>CMCA, VERACRUZ CENTRO DE SALUD 1 1/2C. N.</t>
  </si>
  <si>
    <t>CENTRO SALUD 1 C NORTE</t>
  </si>
  <si>
    <t>22792188 83259918 77727771</t>
  </si>
  <si>
    <t>2810707850004Q</t>
  </si>
  <si>
    <t>VILMA MERCEDES CABALLERO REAL</t>
  </si>
  <si>
    <t>VILMA</t>
  </si>
  <si>
    <t>REAL</t>
  </si>
  <si>
    <t>QUINTA JADE 1 CUADRA AL ESTE, 3 CUADRAS AL NORTE</t>
  </si>
  <si>
    <t>2010607850004W</t>
  </si>
  <si>
    <t>ALVARO JOSE GUADAMUZ CRUZ</t>
  </si>
  <si>
    <t>RESD. LOMAS DE TICOMO, 1RA. ENTRADA 2 1/2C.O. CA. NO.76</t>
  </si>
  <si>
    <t>RESIDENCIAL LOMAS DE TICOMO 1ERA ENTRADA 2 1/2C AL OESTE, CASA # 74</t>
  </si>
  <si>
    <t>6110507850000V</t>
  </si>
  <si>
    <t>CARLOS ANDRES RAMIREZ CASTRO</t>
  </si>
  <si>
    <t>BO. 19 DE JULIO, CONTIGUO A LUIS ZELAYA</t>
  </si>
  <si>
    <t>CONTIGUO CASA SR LUIS ZELAYA</t>
  </si>
  <si>
    <t>81121337, 86061708</t>
  </si>
  <si>
    <t>2810307850006J</t>
  </si>
  <si>
    <t>DANIESKA MARITZA HERNANDEZ</t>
  </si>
  <si>
    <t>DANIESKA</t>
  </si>
  <si>
    <t>MARITZA</t>
  </si>
  <si>
    <t>COMARCA LECHECUAGOS</t>
  </si>
  <si>
    <t>SECTOR GUAPANGO</t>
  </si>
  <si>
    <t>2812906850009M</t>
  </si>
  <si>
    <t>JAVIER ALEJANDRO MURILLO RODRIGUEZ</t>
  </si>
  <si>
    <t>LEON STA FE 3C.ABAJO 1\2 AL NORTE</t>
  </si>
  <si>
    <t>ROTONDA EL PERIODISTA 700 METROS AL SUR, CASA NO. 3</t>
  </si>
  <si>
    <t>1612906850000Q</t>
  </si>
  <si>
    <t>TANIA AIMARA RUGAMA RUIZ</t>
  </si>
  <si>
    <t>AIMARA</t>
  </si>
  <si>
    <t>DE LA CRUZ ROJA 1/2 C AL SUR 1/2 C AL OESTE. BARRIO 19 DE JULIO</t>
  </si>
  <si>
    <t>MONUMENTO 3 CUADRAS AL ESTE 1 CUADRA AL SUR 1 CUADRA AL ESTE</t>
  </si>
  <si>
    <t>tania_rugamar@yahoo.com</t>
  </si>
  <si>
    <t>4092506850002W</t>
  </si>
  <si>
    <t>XOCHILT ESTEYLING LÓPEZ LARIOS</t>
  </si>
  <si>
    <t>ESTEYLING</t>
  </si>
  <si>
    <t>BO. LOS ÁNGELES, ESTACIÓN ENRIQUE SMITH 1C. N. 1/2C. E. 20VRS. N.</t>
  </si>
  <si>
    <t>ESTACION 4, POLICIA. 1 C.NORTE. 1/2 C.ESTE. 20 VRS.NORTE</t>
  </si>
  <si>
    <t>84251225 88299080</t>
  </si>
  <si>
    <t>hodlop31@gmail.com, lhmultiser@gmail.com</t>
  </si>
  <si>
    <t>xochiltlopezlarios@yahoo.com</t>
  </si>
  <si>
    <t>0012406850041R</t>
  </si>
  <si>
    <t>DIANA MARIA PEREZ TIJERINO</t>
  </si>
  <si>
    <t>BO. WASPAN S. SHELL 1c S. 10vrs O.</t>
  </si>
  <si>
    <t>COLEGIO LOS QUINCHOS 3C. AL SUR</t>
  </si>
  <si>
    <t>4022406850002X</t>
  </si>
  <si>
    <t>JUAN RAMON HERNANDEZ GUZMAN</t>
  </si>
  <si>
    <t>CMCA.EL RAIZON,DE LULU 600VRS.O</t>
  </si>
  <si>
    <t>BARRIO PANCASAN CONTIGUO A LA CAS DEL SR.LAURENCE SINCLAIR.</t>
  </si>
  <si>
    <t>81110140, 86222439</t>
  </si>
  <si>
    <t>6012106850000A</t>
  </si>
  <si>
    <t>LIDIA RACHE RAMIREZ BALLADARES</t>
  </si>
  <si>
    <t>LIDIA</t>
  </si>
  <si>
    <t>RACHE</t>
  </si>
  <si>
    <t>BO. SAN MATEO, SECTOR 4 FRENTE NORMA HODGSON</t>
  </si>
  <si>
    <t>CONTIGUO A IGLESIA APOSTOLICA</t>
  </si>
  <si>
    <t>8882106850001S</t>
  </si>
  <si>
    <t>LISSETTE HUETE VIERA</t>
  </si>
  <si>
    <t>LISSETTE</t>
  </si>
  <si>
    <t>VIERA</t>
  </si>
  <si>
    <t>BO. SAN JUDAS, PDA. NANCITE 3C. ARRIBA REPT. SAN PABLO</t>
  </si>
  <si>
    <t>PARADA EL NANCITE, 3 CUADRAS AL ESTE, CASA #13.</t>
  </si>
  <si>
    <t>lisyh2106@yahoo.com</t>
  </si>
  <si>
    <t>5611906850001B</t>
  </si>
  <si>
    <t>OSCAR DANILO HERNANDEZ ZAMORA</t>
  </si>
  <si>
    <t>BO. PUEBLO NUEVO, FRENTE A ENABAS</t>
  </si>
  <si>
    <t>FRENTE A LOS SILOS DE ENABAS</t>
  </si>
  <si>
    <t>25631875 84515601</t>
  </si>
  <si>
    <t>droscardanilohernandez@yahoo.com</t>
  </si>
  <si>
    <t>4511806850000K</t>
  </si>
  <si>
    <t>YADIRA EUNICE BRAVO ALVAREZ</t>
  </si>
  <si>
    <t>BO. CONCEPCION, FRENTE A LA RADIO CRISOL</t>
  </si>
  <si>
    <t>FRENTE A LA RADIO CRISOL</t>
  </si>
  <si>
    <t>0011706850034T</t>
  </si>
  <si>
    <t>ANA ISABEL HERNANDEZ LEIVA</t>
  </si>
  <si>
    <t>Bo. SAN JUDAS,CEIBO 1C E. 1/2C N.</t>
  </si>
  <si>
    <t>BO. SAN JUDAS. CEIBO 1C. ESTE, 1 1/2C. NORTE</t>
  </si>
  <si>
    <t>alzaprices@yahoo.es</t>
  </si>
  <si>
    <t>4431606850000R</t>
  </si>
  <si>
    <t>REYNA EUNICE GARCIA OROZCO</t>
  </si>
  <si>
    <t>BARRIO JORGE DIMITROV ROTONDA CRISTO REY  2ADN.O 3ADN. N 1/2 C O.</t>
  </si>
  <si>
    <t>ROTONDA CRISTO REY 2 ANDENES AL OESTE 3 ANDENES AL NORTE 1/2 CUADRA AL OESTE</t>
  </si>
  <si>
    <t>eu_gaor@yahoo.es</t>
  </si>
  <si>
    <t>0411506850005D</t>
  </si>
  <si>
    <t>DANNY JOEL MORAGA MORAGA</t>
  </si>
  <si>
    <t>DANNY</t>
  </si>
  <si>
    <t>BO. SAN ANTONIO, IGLESIA CATOLICA CONCEPCION DE MARIA 4C.E. 1/2C.N.</t>
  </si>
  <si>
    <t>IGLESIA CATO9LICA 4C.ESTE 1/2 C.NORTE</t>
  </si>
  <si>
    <t>joelmoraga2@hotmail.com</t>
  </si>
  <si>
    <t>0411506850003B</t>
  </si>
  <si>
    <t>ROSA ESMERALDA MORALES MENDIETA</t>
  </si>
  <si>
    <t>BO. SAN JOSE, GASOLINERA ESSO 4C, S. 75V, O.</t>
  </si>
  <si>
    <t>GASOLINERA PUMA, 4 CUADRAS AL SUR 75 VARAS AL OESTE.</t>
  </si>
  <si>
    <t>3621406850002F</t>
  </si>
  <si>
    <t>MARVIN JOSE BONILLA SALAZAR</t>
  </si>
  <si>
    <t>BO. RIGOBERTO LOPEZ PEREZ, FRENTE UNAG</t>
  </si>
  <si>
    <t>TOPE SUR VILLA FLOR, 7 ANDENES SUR 4 CUADRAS OESTE 1 CUADRA SUR</t>
  </si>
  <si>
    <t>0861406850004H</t>
  </si>
  <si>
    <t>LESTER AUGUSTO MOYA NAVARRO</t>
  </si>
  <si>
    <t>COL BANANERA, COSTADO SUR JUZGADO. 1. 1/2C.O.</t>
  </si>
  <si>
    <t>PANADERIA EL REDENTOR 1/2 CUADRA AL ESTE, MANO DERECHA.</t>
  </si>
  <si>
    <t>lestermoyan@icloud.com</t>
  </si>
  <si>
    <t>2811306850014H</t>
  </si>
  <si>
    <t>ROXANA MARISOL PALACIOS RAMIREZ</t>
  </si>
  <si>
    <t>ROXANA</t>
  </si>
  <si>
    <t>MARISOL</t>
  </si>
  <si>
    <t>BO. ZARAGOZA, COLEGIO LA SALLE 1c OESTE 75vrs</t>
  </si>
  <si>
    <t>DEL COLEGIO LA SALLE 1 CUADRA AL OESTE Y 75 VARAS AL SUR</t>
  </si>
  <si>
    <t>draroxanapalacios@gmail.com</t>
  </si>
  <si>
    <t>0011106850045S</t>
  </si>
  <si>
    <t>MARIA JOSE ROMERO SUAREZ</t>
  </si>
  <si>
    <t>BO. BATAHOLA SUR, DE DONDE FUE NICALIT 3C.N. 1/2C.O. CA. NO. 39</t>
  </si>
  <si>
    <t>ANTIGUA NICALIT 3 CUADRA NORTE 1/2 CUADRA OESTE.</t>
  </si>
  <si>
    <t>22311146 85521117</t>
  </si>
  <si>
    <t>0010906850013D</t>
  </si>
  <si>
    <t>ERICKA MARIANA SANCHEZ GALO</t>
  </si>
  <si>
    <t>ERICKA</t>
  </si>
  <si>
    <t>BO. LA FUENTE DEL POLI 1/2C. SUR</t>
  </si>
  <si>
    <t>BO.LA FUENTE, COLCHONES 1C.E.1/2C.S.</t>
  </si>
  <si>
    <t>0420706850004C</t>
  </si>
  <si>
    <t>OSMAN RICARDO SANCHEZ ALANIZ</t>
  </si>
  <si>
    <t>RICARDO</t>
  </si>
  <si>
    <t>BO. FRANCISCO CHAVEZ, INSTITUTO LA SALLE, 1C ARRIBA,1C  SUR,1C ARRIBA.</t>
  </si>
  <si>
    <t>PORTON DE LA SALLE 1 CUADRA ARRIBA 1 CUADRA SUR 1 CUADRA ARRIBA.</t>
  </si>
  <si>
    <t>0420606850001W</t>
  </si>
  <si>
    <t>MARCOS DAVID ALEMAN LOPEZ</t>
  </si>
  <si>
    <t>MARCOS</t>
  </si>
  <si>
    <t>BO.ROBERTO CLEMENTE CASA COMUNAL 1,5CSUR</t>
  </si>
  <si>
    <t>CASA COMUNAL 1 CUADRA  AL SUR A MANO DERECHA.</t>
  </si>
  <si>
    <t>2810606850006J</t>
  </si>
  <si>
    <t>JUAN MANUEL SANCHEZ FUENTES</t>
  </si>
  <si>
    <t>BO. SUTIAVA, BARRANCA 3 1/2C. S.</t>
  </si>
  <si>
    <t>DEL MERCADITO 7 CUADRAS AL NORTE 1/2 CUADRA AL ESTE CASA N-7</t>
  </si>
  <si>
    <t>sanchezfuentesj@yahoo.es</t>
  </si>
  <si>
    <t>0850606850001U</t>
  </si>
  <si>
    <t>ALVARO ANTONIO COLINDRES RIVERA</t>
  </si>
  <si>
    <t>SAN RAMON</t>
  </si>
  <si>
    <t>BARRIO CARLOS NUÑEZ, FRENTE AL INSTITUTO DE SECUNDARIA</t>
  </si>
  <si>
    <t>FRENTE AL INSTITUTO SECUNDARIA DE SAN RAMON</t>
  </si>
  <si>
    <t>85324495 84388887</t>
  </si>
  <si>
    <t>silvabojorge@gmail.com</t>
  </si>
  <si>
    <t>0010406850031M</t>
  </si>
  <si>
    <t>GINHAYDEE GABRIELA GARCIA NUÑEZ</t>
  </si>
  <si>
    <t>GINHAYDEE</t>
  </si>
  <si>
    <t>RESIDENCIAL BOLONIA, HOSPITAL MILITAR 1C, N. 175 VRS, O.</t>
  </si>
  <si>
    <t>ANTIGUO  HOSPITAL MILITAR 1 CUADRA AL NORTE 175 VARAS AL ESTE</t>
  </si>
  <si>
    <t>5690406850001H</t>
  </si>
  <si>
    <t>SORAYDA GIOCONDA CAJINA JIMENEZ</t>
  </si>
  <si>
    <t>SORAYDA</t>
  </si>
  <si>
    <t>GIOCONDA</t>
  </si>
  <si>
    <t>Bo.OSCAR TURCIOS,DE FARMACIA CRISTO REY 20 VRS.S</t>
  </si>
  <si>
    <t>3ER ETAPA CASA C-16</t>
  </si>
  <si>
    <t>22442113 22506396 86377316</t>
  </si>
  <si>
    <t>0810306850007A</t>
  </si>
  <si>
    <t>KARLA DE LA CONCEPCION CENTENO UREY</t>
  </si>
  <si>
    <t>DE LA CONCEPCION</t>
  </si>
  <si>
    <t>DE LA ESCUELA NORMAL 3C ARRIBA 2 C AL SUR, REPARTO LA RESISTENCIA</t>
  </si>
  <si>
    <t>ESCUELA NORMAL 3 CUADRAB ESTE 2 CUADRA SUR</t>
  </si>
  <si>
    <t>85742753 57409175</t>
  </si>
  <si>
    <t>kurey15@hotmail.com</t>
  </si>
  <si>
    <t>6073005850005X</t>
  </si>
  <si>
    <t>JOSE EDUARDO HENRIQUEZ HENRIQUEZ</t>
  </si>
  <si>
    <t>BO.LA LIBERTAD,CONTIGUO OFICINA FADCANIC</t>
  </si>
  <si>
    <t>CONTIGUO A OFICINA FADCANIC</t>
  </si>
  <si>
    <t>2412905850006G</t>
  </si>
  <si>
    <t>CÉSAR AUGUSTO BLANDÓN ARÁUZ</t>
  </si>
  <si>
    <t>CÉSAR</t>
  </si>
  <si>
    <t>WIWILI DE JINOTEGA</t>
  </si>
  <si>
    <t>SECTOR #1 FRENTE ESCUELA DIRIANGEN</t>
  </si>
  <si>
    <t>ESCUELA DIRIANGEN COSTADO SUR, 1/2 CUADRA AL ESTE</t>
  </si>
  <si>
    <t>1632805850002T</t>
  </si>
  <si>
    <t>ELDERNEY RIVAS IGLESIAS</t>
  </si>
  <si>
    <t>ELDERNEY</t>
  </si>
  <si>
    <t>DE DONDE FUE LA SANDAK DEL IVAN MONTENEGRO 2C. ARRIBA 1/2C AL SUR 75 VRS ARRIBA. VILLA VENEZUELA</t>
  </si>
  <si>
    <t>TRANSPORTE CRISTIAM 3 1/2 CUADRAS AL OESTE</t>
  </si>
  <si>
    <t>centenoroblesasesores@gmail.com</t>
  </si>
  <si>
    <t>0412705850002U</t>
  </si>
  <si>
    <t>KARLA PATRICIA BERMUDEZ ESTEBAN</t>
  </si>
  <si>
    <t>RPTO. SANTA ANA CASA No.5</t>
  </si>
  <si>
    <t>CASA-5</t>
  </si>
  <si>
    <t>0012205850068K</t>
  </si>
  <si>
    <t>SILVIA ALEJANDRA ESPINOZA LOPEZ</t>
  </si>
  <si>
    <t>BO. ANDRES CASTRO, DDF. NUNCIATURA 1C.E. 1/2C.S.</t>
  </si>
  <si>
    <t>KM 12 CARRETERA VIEJA A LEON, 600 METROS SUR.</t>
  </si>
  <si>
    <t>drakvalle@gmail.com</t>
  </si>
  <si>
    <t>0012205850036A</t>
  </si>
  <si>
    <t>INDIRA RAYTI VALERIO ROJAS</t>
  </si>
  <si>
    <t>RAYTI</t>
  </si>
  <si>
    <t>RPTO. LOMA VERDE, REST. MUNICH 2C. LAGO 2C. ABAJO 1/2C. LAGO</t>
  </si>
  <si>
    <t>CONSORCIO DEL HOSPITAL REGIONAL</t>
  </si>
  <si>
    <t>ityarval0522@gmail.com</t>
  </si>
  <si>
    <t>0072005850000L</t>
  </si>
  <si>
    <t>JUANA MARIA LOPEZ BOJORGE</t>
  </si>
  <si>
    <t>BO. LAS CONCHITAS, MUNDO DE FE 2C.O.</t>
  </si>
  <si>
    <t>ENTRADA LAS CONCHITAS, MUNDO DE FE 2 CUADRAS AL OESTE.</t>
  </si>
  <si>
    <t>bojorge89@yahoo.es</t>
  </si>
  <si>
    <t>0011905850000E</t>
  </si>
  <si>
    <t>MARTHA LIDUVINA DAVILA SANCHEZ</t>
  </si>
  <si>
    <t>LIDUVINA</t>
  </si>
  <si>
    <t>BO. CAMPO BRUCE  DE DONDE FUE CINE SALINAS 4c O. 2c S.</t>
  </si>
  <si>
    <t>COLEGIO PUREZA DE MARIA, 300 METROS AL ESTE.</t>
  </si>
  <si>
    <t>0011805850064W</t>
  </si>
  <si>
    <t>URIEL ASAEL ROJAS MOLINA</t>
  </si>
  <si>
    <t>ASAEL</t>
  </si>
  <si>
    <t>BO. CAMILO ORTEGA, MONUMENTO 2C. N. 2C. E</t>
  </si>
  <si>
    <t>BLOQUE 18 CASA 9, VERACRUZ</t>
  </si>
  <si>
    <t>rojauriel@hotmail.com</t>
  </si>
  <si>
    <t>rojasuriel@hotmail.com</t>
  </si>
  <si>
    <t>4891705850003Q</t>
  </si>
  <si>
    <t>EMERSON DIXON ALTAMIRANO CASTELLON</t>
  </si>
  <si>
    <t>EMERSON</t>
  </si>
  <si>
    <t>DIXON</t>
  </si>
  <si>
    <t>BO. CARLOS MARX FTE A LA ALCALDIA D VI</t>
  </si>
  <si>
    <t>BO CARLOS MARX FRENTE AL PLANTEL DE ALCALDIA</t>
  </si>
  <si>
    <t>dixoncastellon@yahoo.com</t>
  </si>
  <si>
    <t>4411605850006G</t>
  </si>
  <si>
    <t>WENDY ANTONIETA VALLEJOS GONZALEZ</t>
  </si>
  <si>
    <t>WENDY</t>
  </si>
  <si>
    <t>ANTONIETA</t>
  </si>
  <si>
    <t>BO. EL CEMENTERIO, MERCADO SUR 4C.S.1/2C.E</t>
  </si>
  <si>
    <t>MERCADO 4C. SUR 1/2C ESTE</t>
  </si>
  <si>
    <t>27720702 82196505</t>
  </si>
  <si>
    <t>0011405850009D</t>
  </si>
  <si>
    <t>REYNA PATRICIA HERNANDEZ ARROLIGA</t>
  </si>
  <si>
    <t>BO. LA FUENTE PALI LA FUENTE 1/2 C.O.</t>
  </si>
  <si>
    <t>BO LA FUENTE PALI LA FUENTE 1/2C AB</t>
  </si>
  <si>
    <t>22310995, 83994993</t>
  </si>
  <si>
    <t>reynaarroliga20@gmail.com</t>
  </si>
  <si>
    <t>4411305850006A</t>
  </si>
  <si>
    <t>FATIMA MAYELA ROBLES SINCO</t>
  </si>
  <si>
    <t>SINCO</t>
  </si>
  <si>
    <t>BO. FANOR JAENS, ENITEL 1 1/2c N.</t>
  </si>
  <si>
    <t>CLARO CENTRAL 1 1/2 CUADRA AL NORTE</t>
  </si>
  <si>
    <t>27725268 87365538</t>
  </si>
  <si>
    <t>4011305850003B</t>
  </si>
  <si>
    <t>CARLOS RAFAEL LOPEZ VASQUEZ</t>
  </si>
  <si>
    <t>DE LA ESCUELA SAN RAMON 1C AL SUR. MASAYA</t>
  </si>
  <si>
    <t>IGLESIA SAN SEBASTIAN 3 CUADRA SUR. 1 CUADRA OESTE.</t>
  </si>
  <si>
    <t>charles15as4@gmail.com</t>
  </si>
  <si>
    <t>2811205850005P</t>
  </si>
  <si>
    <t>ERICK JOSE PEREZ HERNANDEZ</t>
  </si>
  <si>
    <t>BARRIO SUBTIAVA BANIC 75VRS N.</t>
  </si>
  <si>
    <t>BARRIO SUBTIAVA, BANIC SUBTIAVA 1C.NORTE 75VRS. AL SUR.</t>
  </si>
  <si>
    <t>0011105850025P</t>
  </si>
  <si>
    <t>ANIELKA MIROSLAVA PAVON HERNANDEZ</t>
  </si>
  <si>
    <t>MIROSLAVA</t>
  </si>
  <si>
    <t>CMCA. COMARCA ESQUIPULAS KM.  12. 1/2 CARRETERA A MASAYA.  HOTEL CAMPO REAL 1C.E.</t>
  </si>
  <si>
    <t>KILOMETRO 12.5  CARRETERA   A MASAYA  DE MARENA 1 CUADRA AL ESTE.</t>
  </si>
  <si>
    <t>22797106 89115614</t>
  </si>
  <si>
    <t>anielkamiroslava@gmail.com</t>
  </si>
  <si>
    <t>2890905850000R</t>
  </si>
  <si>
    <t>SONIA FATIMA MENDOZA OSEGUEDA</t>
  </si>
  <si>
    <t>SONIA</t>
  </si>
  <si>
    <t>ACHUAPA</t>
  </si>
  <si>
    <t>ZONA NO.3, CENTRO DE SALUD 1 1/2C. AL N.</t>
  </si>
  <si>
    <t>FERRETERIA BLANDON MORENO 2 CUADRAS AL OESTE 10  VARAS AL SUR</t>
  </si>
  <si>
    <t>57883743 57883729</t>
  </si>
  <si>
    <t>gabriel2011alondra@gmail.com</t>
  </si>
  <si>
    <t>gabriel2011alondra@gamil.com gabriel2011alondra@gmail.com</t>
  </si>
  <si>
    <t>1610505850002J</t>
  </si>
  <si>
    <t>GLORIA MARIA TERCERO ALTAMIRANO</t>
  </si>
  <si>
    <t>DE VARIEDADES VIDA, 1 1/2C. AL OESTE</t>
  </si>
  <si>
    <t>DE LA AGUJA, 5 CUADRAS AL ESTE, 10 VARAS AL NORTE, CASA NO. 04.</t>
  </si>
  <si>
    <t>84414985 84667767</t>
  </si>
  <si>
    <t>2812904850007W</t>
  </si>
  <si>
    <t>MEYLING RAQUEL MUÑOZ CACERES</t>
  </si>
  <si>
    <t>BO. SUTIAVA, TAMARINDO 25 vrs E</t>
  </si>
  <si>
    <t>COTRAN 6 CUADRA SUR 1 CUADRA ESTE</t>
  </si>
  <si>
    <t>87094331 85283783</t>
  </si>
  <si>
    <t>4812904850001T</t>
  </si>
  <si>
    <t>ENYELS LENIN SALCEDO ELIZABETH</t>
  </si>
  <si>
    <t>ENYELS</t>
  </si>
  <si>
    <t>CASA MEDICA BOCANA PAIWAS</t>
  </si>
  <si>
    <t>DE CAPILLA MARIA REYNA 1 CUADRA AL NORTE, 1/2 CUADRA AL ESTE</t>
  </si>
  <si>
    <t>27322550 85426045</t>
  </si>
  <si>
    <t>8882204850000F</t>
  </si>
  <si>
    <t>MIRIAM OKSANA MORAN CERDA</t>
  </si>
  <si>
    <t>OKSANA</t>
  </si>
  <si>
    <t>BO. MANOLO MORALES, IGL. CATOLICA VILLA FLOR 2C.SUR 1 1/2C. ESTE</t>
  </si>
  <si>
    <t>IGLESIA CATOLICA VILLA FLOR 2 CUADRAS AL SUR, 1 1/2 CUADRA AL ESTE.</t>
  </si>
  <si>
    <t>22892513 88816346</t>
  </si>
  <si>
    <t>oksanamoran@hotmail.com</t>
  </si>
  <si>
    <t>0042104850000E</t>
  </si>
  <si>
    <t>SERGIO DANILO CASTRO ROCHA</t>
  </si>
  <si>
    <t>CARRETERA SAN JORGE ENTRADA A SANTA CARLOTA 200 MTS AL N.</t>
  </si>
  <si>
    <t>FRENTE AL HOSPITAL GASPAR GARCIA LAVIANA</t>
  </si>
  <si>
    <t>sergicasro021@gmail.com</t>
  </si>
  <si>
    <t>2412004850005E</t>
  </si>
  <si>
    <t>ANDEL ANTONIO RODRIGUEZ</t>
  </si>
  <si>
    <t>ANDEL</t>
  </si>
  <si>
    <t>BO. CARLOS FONSECA AMADOR</t>
  </si>
  <si>
    <t>DE FRICCIONES PAHESA 2C OESTE 1/2C SUR</t>
  </si>
  <si>
    <t>andelerodaviles@yahoo.com</t>
  </si>
  <si>
    <t>4491804850003Q</t>
  </si>
  <si>
    <t>WALTHER BISMARK ZELEDON VEGA</t>
  </si>
  <si>
    <t>WALTHER</t>
  </si>
  <si>
    <t>BO. EDEN, CASA CUNA 5C.NORTE 1/2C.ESTE</t>
  </si>
  <si>
    <t>CASA NATAL RUBEN DARIO  5C AL NORTE 1/2C AL ESTE</t>
  </si>
  <si>
    <t>waltherzeledon@yahoo.com</t>
  </si>
  <si>
    <t>0411504850000K</t>
  </si>
  <si>
    <t>AMPARO MARIA SANCHEZ BARRANTES</t>
  </si>
  <si>
    <t>AMPARO</t>
  </si>
  <si>
    <t>BARRANTES</t>
  </si>
  <si>
    <t>BO. SAN ANTONIO, IGLESIA  SAN ANTONIO 2c ABAJO</t>
  </si>
  <si>
    <t>DE LA IGLESIA SAN ANTONIO 2 CUADRAS AL OESTE</t>
  </si>
  <si>
    <t>1611104850007V</t>
  </si>
  <si>
    <t>MARLA KARINA VALDIVIA TORUÑO</t>
  </si>
  <si>
    <t>MARLA</t>
  </si>
  <si>
    <t>BO. OSCAR BENAVIDES, SUPER LAS SEGOVIAS  1 1/2c O.</t>
  </si>
  <si>
    <t>BO. O.BENAVIDEZ, SUPER LAS SEGOVIAS 1½C.OESTE</t>
  </si>
  <si>
    <t>DOCTOR EN MEDICINA Y CIRUGIA, DOCTOR EN MEDICINA Y CIRUGIA</t>
  </si>
  <si>
    <t>valdtoru@yahoo.es</t>
  </si>
  <si>
    <t>0010504850019N</t>
  </si>
  <si>
    <t>GABRIELA DEL SOCORRO VASQUEZ MAIRENA</t>
  </si>
  <si>
    <t>BO. MONSEÑOR LEZCANO, PUENTE LEON 2C, O. 1C, S. 1/2C. O.</t>
  </si>
  <si>
    <t>LICORERIA DON BOSCO, 2 CUADRA NORTE, CASA # F-393</t>
  </si>
  <si>
    <t>22482481 83977970</t>
  </si>
  <si>
    <t>gsvm1885@yahoo.com</t>
  </si>
  <si>
    <t>0010404850002S</t>
  </si>
  <si>
    <t>ELEAZAR LENIN ROJAS ROJAS</t>
  </si>
  <si>
    <t>ELEAZAR</t>
  </si>
  <si>
    <t>BO. JORGE DIMITROV, METROCENTRO 3C.E.  1 1/2C.N.</t>
  </si>
  <si>
    <t>DE LA PETRONIC,  1 CUADRA AL SUR, 1/2 CUADRA AL OESTE</t>
  </si>
  <si>
    <t>pollisariana@gmail.com</t>
  </si>
  <si>
    <t>0013103850072V</t>
  </si>
  <si>
    <t>MICHAEL ANDRES PALACIOS CARVAJAL</t>
  </si>
  <si>
    <t>BARRIO JAIRO PEREZ PORTON CEMENTERIO NUEVO 2 C SUR 1 1/2 C OESTE</t>
  </si>
  <si>
    <t>TERCERA CALLE</t>
  </si>
  <si>
    <t>drpalacios12@yahoo.es</t>
  </si>
  <si>
    <t>4013003850000W</t>
  </si>
  <si>
    <t>ISAAC MARTIN MORRAZ RIVAS</t>
  </si>
  <si>
    <t>BO. SAN JUAN, IGL. SAN JUAN 2C. O. 1C, S.</t>
  </si>
  <si>
    <t>BO. SAN JUAN, IGLESIA SAN JUAN 2C.OESTE 1C.SUR</t>
  </si>
  <si>
    <t>4012703850005V</t>
  </si>
  <si>
    <t>BETTY MARGIORI MERCADO BETANCO</t>
  </si>
  <si>
    <t>MARGIORI</t>
  </si>
  <si>
    <t>BO. MACARIO BRENES, PUESTO DE TRANSITO 3C. N. 1/2 C. O</t>
  </si>
  <si>
    <t>PUESTO DE TRANSITO 3 CUADRAS AL NORTE, 1/2 CUADRAAL ESTE.</t>
  </si>
  <si>
    <t>25232985 57624107</t>
  </si>
  <si>
    <t>0012603850085Y</t>
  </si>
  <si>
    <t>FRESIA REGINA LARGAESPADA NICARAGUA</t>
  </si>
  <si>
    <t>FRESIA</t>
  </si>
  <si>
    <t>CORINTO</t>
  </si>
  <si>
    <t>BO.EL CALVARIO, GALLO Y VILLA 110VRS,ESTE</t>
  </si>
  <si>
    <t>GALLO VILLA 110 VRS.ARRIBA.</t>
  </si>
  <si>
    <t>4412403850005K</t>
  </si>
  <si>
    <t>VERONICA AZUCENA RIVAS PALACIOS</t>
  </si>
  <si>
    <t>BO. SAN FRANCISCO, HOTEL BERMUDEZ 3C, E.</t>
  </si>
  <si>
    <t>HOTEL BERMUDEZ 3C.AL ESTE</t>
  </si>
  <si>
    <t>6042203850000K</t>
  </si>
  <si>
    <t>ALBA LUZ VANEGA SEQUEIRA</t>
  </si>
  <si>
    <t>ALBA</t>
  </si>
  <si>
    <t>LUZ</t>
  </si>
  <si>
    <t>BO. RUBEN DARIO, DETRAS DE CASA COMUNAL EL ARCO IRIS</t>
  </si>
  <si>
    <t>CARRETERA AL RAMA MUELE DE LOS BUEYES DETRAS DEL CENTRO RECREATIVO ARCO IRIS</t>
  </si>
  <si>
    <t>arielavanega@yahoo.com</t>
  </si>
  <si>
    <t>3622203850000B</t>
  </si>
  <si>
    <t>INGRID MARIELL AMAYA DIAZ</t>
  </si>
  <si>
    <t>MARIELL</t>
  </si>
  <si>
    <t>BO. CONCEPCION SALIDA A MATAMBA CASA N° 11</t>
  </si>
  <si>
    <t>SALIDA A MATAMBA , LOS POZOS CASA#11</t>
  </si>
  <si>
    <t>ingridjoysi@hotmail.com</t>
  </si>
  <si>
    <t>2812003850007V</t>
  </si>
  <si>
    <t>ROGER FRANCISCO SEVILLA FLORES</t>
  </si>
  <si>
    <t>TEXACO GUIDO 25VRS AL ESTE LEON</t>
  </si>
  <si>
    <t>DE LA TEXACO GUIDO 25 VARAS ESTE.</t>
  </si>
  <si>
    <t>rsevillaflores@gmail.com</t>
  </si>
  <si>
    <t>3611803850001B</t>
  </si>
  <si>
    <t>OSMAR ULISES TORREZ OPORTA</t>
  </si>
  <si>
    <t>OSMAR</t>
  </si>
  <si>
    <t>BO. EL CARMEN, DE LA FARMACIA SANDIVO 1C AL O.</t>
  </si>
  <si>
    <t>FRENTE A DONDE FUE LA GASOLINERA ESSO</t>
  </si>
  <si>
    <t>2911703850003J</t>
  </si>
  <si>
    <t>MARLON JOSE PALACIOS MORAN</t>
  </si>
  <si>
    <t>MALPAISILLO, BARRIO CAYETANO SANCHEZ DE LA WESTER UNION 4 CUADRAS AL ESTER Y 1/2 CUADRA AL SUR</t>
  </si>
  <si>
    <t>CMCA. LAS LOMAS, ESCUELA CANDELARIO SOTELO 50VRS. OESTE</t>
  </si>
  <si>
    <t>josemoranz114@gmail.com</t>
  </si>
  <si>
    <t>4891603850006D</t>
  </si>
  <si>
    <t>MILDRED KARINA JIRON GUTIERREZ</t>
  </si>
  <si>
    <t>CONTIGUO AL CENTRO DE SALUD ENOC ORTIZ</t>
  </si>
  <si>
    <t>DEL ALMACEN SONY 4 1/2 CUADRA AL OESTE</t>
  </si>
  <si>
    <t>mildred_kgg@yahoo.com</t>
  </si>
  <si>
    <t>0011303850037T</t>
  </si>
  <si>
    <t>GUSTAVO ENRIQUE GRIJALVA SILVA</t>
  </si>
  <si>
    <t>KM 8 CARRETERA SUR 1C ARRIBA 3C AL SUR</t>
  </si>
  <si>
    <t>KILOMETRO 8 CARRETERA SUR TROPICANA 1 CUADRA AL ESTE 3 CUADRAS AL SUR</t>
  </si>
  <si>
    <t>82442676 89381195</t>
  </si>
  <si>
    <t>gegs8@hotmail.com</t>
  </si>
  <si>
    <t>6121303850002G</t>
  </si>
  <si>
    <t>ELIDA PADILLA BRUNETH</t>
  </si>
  <si>
    <t>ELIDA</t>
  </si>
  <si>
    <t>BRUNETH</t>
  </si>
  <si>
    <t>WASPÁN</t>
  </si>
  <si>
    <t>WASPAN</t>
  </si>
  <si>
    <t>BO. FLOR DE PINO, CONTIGUO ACCION MEDICA CRISTIANA</t>
  </si>
  <si>
    <t>FRENTE A LA RADIO YAPTI TASBA</t>
  </si>
  <si>
    <t>elio_bruneth@yahoo.es</t>
  </si>
  <si>
    <t>4411303850002H</t>
  </si>
  <si>
    <t>ERNESTO JAVIER QUEZADA RODRIGUEZ</t>
  </si>
  <si>
    <t>ERNESTO</t>
  </si>
  <si>
    <t>COMUNIDAD YAULE, DE LA PARADA DE BUSES 1C AL N.</t>
  </si>
  <si>
    <t>QUINTA MIRIAM 1 CUADRA AL SUR</t>
  </si>
  <si>
    <t>1211103850003P</t>
  </si>
  <si>
    <t>MARIA INES GARCIA</t>
  </si>
  <si>
    <t>INES</t>
  </si>
  <si>
    <t>BO. FRANCISCO ALVAREZ, COLEGIO SAN FRANCISCO 1/2C.S. 1/2C.E.</t>
  </si>
  <si>
    <t>COLEGIO SAN FRANCISCO 1/2 CUADRA AL ESTE 1/2 CUADRA AL SUR</t>
  </si>
  <si>
    <t>inesg85@hotmail.com</t>
  </si>
  <si>
    <t>1210903850001H</t>
  </si>
  <si>
    <t>FRANKLIN ANTONIO VARGAS GONZALEZ</t>
  </si>
  <si>
    <t>BO.CENTRAL COSTADO SUR GASOLINERA PUMA</t>
  </si>
  <si>
    <t>SEMAFOROS DEL COMPLEJO CONCEPCION PALACIOS, 120 METROS AL NORTE, CASA #M-08</t>
  </si>
  <si>
    <t>franklinvg@yahoo.com</t>
  </si>
  <si>
    <t>0420603850001C</t>
  </si>
  <si>
    <t>JESSICA MARIA MORALES ALEMAN</t>
  </si>
  <si>
    <t>IGLESIA DEL BARRIO LA CRUZ 4C. ESTE 1C. SUR</t>
  </si>
  <si>
    <t>CAMPO DEPORTIVO, 1 CUADRA ESTE, 1 CUADRA SUR.</t>
  </si>
  <si>
    <t>89474500 57493253</t>
  </si>
  <si>
    <t>jessie830@hotmail.com</t>
  </si>
  <si>
    <t>2810303850003E</t>
  </si>
  <si>
    <t>OSMAN ANTONIO HERRERA</t>
  </si>
  <si>
    <t>CINCO PINOS</t>
  </si>
  <si>
    <t>CMCA. LAS LAJITAS,ESC. LAS LAJAS 150 MTS.O</t>
  </si>
  <si>
    <t>ESCUELAS LAGITAS 150 METROS AL OESTE</t>
  </si>
  <si>
    <t>osmaherre@yahoo.es</t>
  </si>
  <si>
    <t>4010103850007R</t>
  </si>
  <si>
    <t>DHARMA VIDLA CASTILLO PARAJON</t>
  </si>
  <si>
    <t>DHARMA</t>
  </si>
  <si>
    <t>VIDLA</t>
  </si>
  <si>
    <t>REPARTO FARIA PRIMERA CALLE DE LA IGLESIA JUAN 3.16 1/2 CUADRA AL SUR</t>
  </si>
  <si>
    <t>CONTIGUO A DETARTAMENTO LOS ANGELES</t>
  </si>
  <si>
    <t>0012702850031L</t>
  </si>
  <si>
    <t>MARIO NOEL NAVAS CRUZ</t>
  </si>
  <si>
    <t>RESD. LAS BRISAS, DE DONDE FUE LAS 3-B 3C.N. M/I</t>
  </si>
  <si>
    <t>LINDA VISTA NORTE   DE DONDE FUE 3B 3 CUADRA NORTE</t>
  </si>
  <si>
    <t>5212602850001U</t>
  </si>
  <si>
    <t>FABIOLA IVANIA FONSECA PARRALES</t>
  </si>
  <si>
    <t>BO. DUCUALI, PUENTE EL EDEN 1C. E. 3C. S. 25VIRS. E.</t>
  </si>
  <si>
    <t>KILOMETRO 13 CARRETERA MASAYA 1 1/2 KILOMETRO SUROESTE, CASA NO. 19.</t>
  </si>
  <si>
    <t>fabifon2602@gmail.com</t>
  </si>
  <si>
    <t>4012302850007H</t>
  </si>
  <si>
    <t>LUISA IDALINA SANCHEZ GAITAN</t>
  </si>
  <si>
    <t>IDALINA</t>
  </si>
  <si>
    <t>KM 371/2, CARRETERA A MASAYA -GRANADA 3 KM AL NORTE DE LLANO GRANDE # 1</t>
  </si>
  <si>
    <t>TERMINAL DE BUSES 100METROS NORTE, 500METROS OESTE.</t>
  </si>
  <si>
    <t>sgluisaidalina@yahoo.com</t>
  </si>
  <si>
    <t>2012102850001T</t>
  </si>
  <si>
    <t>ENMA AUXILIADORA VALLEJOS MORALES</t>
  </si>
  <si>
    <t>CALLE. CORRAL, IGLESIA SAN FRANCISCO 2 1/2C.E.</t>
  </si>
  <si>
    <t>IGLESIA SAN FCO. 2 1/2 CUADRAS AL ESTE</t>
  </si>
  <si>
    <t>negra_vallejos@yahoo.es</t>
  </si>
  <si>
    <t>3611502850005S</t>
  </si>
  <si>
    <t>ANIELKA LOURDES FARGAS TAPIA</t>
  </si>
  <si>
    <t>LOURDES</t>
  </si>
  <si>
    <t>DE DONDE FUE EL C/S 3 CUADRAS ABAJO 1/2 AL NORTE</t>
  </si>
  <si>
    <t>DEL ZUMEN 4 CUADRAS NORTE</t>
  </si>
  <si>
    <t>25492429 84962895</t>
  </si>
  <si>
    <t>4891102850003H</t>
  </si>
  <si>
    <t>LUIS ALFONSO ARAUZ RIVERA</t>
  </si>
  <si>
    <t>SECTOR N°7, DE DONDE FUE GASOLINERA TEXACO 1 1/2C.S.</t>
  </si>
  <si>
    <t>ALCALDIA MUNICIPAL 5 1/2 CUADRA AL SUR</t>
  </si>
  <si>
    <t>81548245, 87098297</t>
  </si>
  <si>
    <t>arauzl47@yahoo.com</t>
  </si>
  <si>
    <t>0010802850007T</t>
  </si>
  <si>
    <t>MARTHA LILLIAM HERNANDEZ GARAY</t>
  </si>
  <si>
    <t>GARAY</t>
  </si>
  <si>
    <t>BARRIO SAN LUIS, EDIFICIO ARMANDO GUIDO 1 CUADRA ARRIBA 2 1/2 CUADRA AL SUR</t>
  </si>
  <si>
    <t>DEL EDIFICIO ARMANDO GUIDO 1 CUADRA AL ESTE, 2 1/2 CUADRA AL SUR, MANO DERECHA.</t>
  </si>
  <si>
    <t>22506495 78100790</t>
  </si>
  <si>
    <t>8880702850001L</t>
  </si>
  <si>
    <t>FRANCISCO ABEL FLORES NEIRA</t>
  </si>
  <si>
    <t>ABEL</t>
  </si>
  <si>
    <t>NEIRA</t>
  </si>
  <si>
    <t>SEMAFOROS RACACHACA 3 CUADRAS AL SUR</t>
  </si>
  <si>
    <t>1610702850001S</t>
  </si>
  <si>
    <t>MARCIA DEL CARMEN RODRIGUEZ ZELEDON</t>
  </si>
  <si>
    <t>BO. HEROES Y MARTIRES, INISER 4C.E.</t>
  </si>
  <si>
    <t>PRADERAS DE COFRADIA, CASA _ D - 16</t>
  </si>
  <si>
    <t>27134109 85095066</t>
  </si>
  <si>
    <t>marcilucita@gmail.com</t>
  </si>
  <si>
    <t>0810602850026B</t>
  </si>
  <si>
    <t>FREDDY EZEQUIEL ROMERO RIVERA</t>
  </si>
  <si>
    <t>ANTIGUA CAPILLA 3 CUADRAS ABAJO. 1 CUADRA AL SUR</t>
  </si>
  <si>
    <t>DE DONDE FUE EL CINE LIRICE, 3-1/2 CUADRAS AL OESTE</t>
  </si>
  <si>
    <t>23417544 78757886</t>
  </si>
  <si>
    <t>0010502850033Q</t>
  </si>
  <si>
    <t>SERGIO ADOLFO SAENZ VILCHEZ</t>
  </si>
  <si>
    <t>LOS ROBLES, FUNERARIA MONTE DE LOS OLIVOS 1 1/2 C. AL LAGO, FRENTE A LA LIBRERIA SAN JERONIMO, CASA 214</t>
  </si>
  <si>
    <t>COL. LOS ROBLES, FUNERARIA MONTE LOS OLIVOS 1 1/2 C.NORTE . CASA-NO.214 M/D</t>
  </si>
  <si>
    <t>vilchez_sergio@hotmail.com</t>
  </si>
  <si>
    <t>4410502850008Q</t>
  </si>
  <si>
    <t>AMPARO DEL SOCORRO MENDOZA CANTARERO</t>
  </si>
  <si>
    <t>ANEXO. RENE CISNERO BENJAMIN ZELEDON 4C. N.</t>
  </si>
  <si>
    <t>ESCUELA 14 DE SEPTIEMBRE 1 CUADRA AL NORTE, 1 CUADRA AL ESTE</t>
  </si>
  <si>
    <t>duartejhonny502@gmail.com</t>
  </si>
  <si>
    <t>0010302850045Y</t>
  </si>
  <si>
    <t>LISBETH MARIA ALFARO LIRA</t>
  </si>
  <si>
    <t>CMCA. ABRAHAM SEQUEIRA, ENT. LAS ALFARO 300VRS, E. VILLA CARLOS FONSECA</t>
  </si>
  <si>
    <t>SEMAFOROS 7 SUR 1 C. ABAJO 1 C. AL SUR BO. NIÑOS MARTIRES DE AYAPAL</t>
  </si>
  <si>
    <t>4503101850000N</t>
  </si>
  <si>
    <t>KEENETH RAMON MOLINARES MEZA</t>
  </si>
  <si>
    <t>KEENETH</t>
  </si>
  <si>
    <t>INSTITUTO NACIONAL DARIO 1C. AL SUR 1C. AL OESTE. BARRIO METAPA</t>
  </si>
  <si>
    <t>INSTITUTO NACIONAL DARIO 1 CUADRA AL SUR 1 CUADRA AL OESTE</t>
  </si>
  <si>
    <t>22440541 89464143</t>
  </si>
  <si>
    <t>molinarezk86@hotmail.com</t>
  </si>
  <si>
    <t>2813001850007E</t>
  </si>
  <si>
    <t>RUTH MERCEDES CANO CENTENO</t>
  </si>
  <si>
    <t>RPTO.  ARROCERA No. 2 LAB. DIVINA, 1c N. 2c O</t>
  </si>
  <si>
    <t>SEGUNDA ETAPA, LABORATORIOS DIVINA 1 CUADRA AL NORTE, 2 CUADRAS AL OESTE</t>
  </si>
  <si>
    <t>8883001850000D</t>
  </si>
  <si>
    <t>ANA PATRICIA SANDOVAL MORA</t>
  </si>
  <si>
    <t>GUATEMALA</t>
  </si>
  <si>
    <t>KM 16 TICUANTEPE, VISTA HERMOSA II, CASA #9</t>
  </si>
  <si>
    <t>CASA -9</t>
  </si>
  <si>
    <t>6103001850000T</t>
  </si>
  <si>
    <t>MOISES RODRIGUEZ GONZALEZ</t>
  </si>
  <si>
    <t>BO. LOS ANGELES, CONTIGUO CENTRO RECREATIVO CAMPESTRE LOS AMIGOS.</t>
  </si>
  <si>
    <t>CONT.    AL CTRO RECREATIVO EL CAMPESTRE LOS AMIGOS</t>
  </si>
  <si>
    <t>tany_nica@hotmail.com</t>
  </si>
  <si>
    <t>0012901850025C</t>
  </si>
  <si>
    <t>ALMA TAMARA SANCHEZ JIMENEZ</t>
  </si>
  <si>
    <t>ALMA</t>
  </si>
  <si>
    <t>SIERRA DORADAS KM 17.8 J -17</t>
  </si>
  <si>
    <t>BANCO AVANZ PISTA JEAN POUL GENIE 2 KM AL SUR</t>
  </si>
  <si>
    <t>hebej2014@gmail.com</t>
  </si>
  <si>
    <t>1612901850005N</t>
  </si>
  <si>
    <t>DARLING MASSIEL SEVILLA VALDIVIA</t>
  </si>
  <si>
    <t>BO. ESTELI HEROICO, COSTADO NORESTE HERMITA EL ROSARIO 1 ANDEN AL ESTE 1/2c AL NORTE</t>
  </si>
  <si>
    <t>ESQUINA SURESTE IGLESIA SAN FRANCISCO DE ASIS 1 ANDEN ESTE 1/2 CUADRA NORTE</t>
  </si>
  <si>
    <t>darlingsevilla723@gmail.com</t>
  </si>
  <si>
    <t>4012901850006N</t>
  </si>
  <si>
    <t>MARIO JOSE TORREZ OTERO</t>
  </si>
  <si>
    <t>BARRIO EL POCHOTILLO, SHELL SAN JERONIMO 2 1/2 C AL ESTE. MASAYA.</t>
  </si>
  <si>
    <t>SHELL SAN JERONIMO 2 1/2 CUADRAS AL ESTE.</t>
  </si>
  <si>
    <t>84741965, 85693545</t>
  </si>
  <si>
    <t>rojocomoelcielo3@hotmail.com, rojocomoelcielo3@yahoo.com</t>
  </si>
  <si>
    <t>8882501850000S</t>
  </si>
  <si>
    <t>ANDRES EDUARDO LOPEZ HARRISON WONG VALLE</t>
  </si>
  <si>
    <t>WONG VALLE</t>
  </si>
  <si>
    <t>REPARTO EL ROSAL, KILOMETRO 12 3/4 CARRETERA SUR, 50 METROS AL OESTE.</t>
  </si>
  <si>
    <t>MEDICO CIRUJANO</t>
  </si>
  <si>
    <t>2812101850005H</t>
  </si>
  <si>
    <t>DAVID IGNACIO QUEZADA PEREZ</t>
  </si>
  <si>
    <t>BO. QUEZALGUAQUE, PULP. YAOSKA 1 1/2C. O.</t>
  </si>
  <si>
    <t>DEL CIRCULO DE AMIGAS 1 1/2 CUADRA AL SUR</t>
  </si>
  <si>
    <t>davidquezada85@hotmail.com</t>
  </si>
  <si>
    <t>1612101850002S</t>
  </si>
  <si>
    <t>FATIMA LISSETH GONZALEZ ZAVALA</t>
  </si>
  <si>
    <t>BO. ESTELI HEROICO, DE DONDE FUE ENITEL EL ROSARIO 3C.E. 1/2C.N.</t>
  </si>
  <si>
    <t>DE ENITEL EL ROSARIO 3CUADRA.AL ESTE.1/2CUADRA.AL NORTE.</t>
  </si>
  <si>
    <t>1212001850004W</t>
  </si>
  <si>
    <t>YAHOSKA MARIA CALERO FERNANDEZ</t>
  </si>
  <si>
    <t>FERNANDEZ</t>
  </si>
  <si>
    <t>BARRIO NUEVO AMANECER, CRUZ ROJA 4C. O. 1/2C S.</t>
  </si>
  <si>
    <t>DE LA CRUZ ROJA 4 CUADRAS AL OESTE 1/2 CUADRA AL SUR</t>
  </si>
  <si>
    <t>ymcf2001@gmail.com</t>
  </si>
  <si>
    <t>4011901850003N</t>
  </si>
  <si>
    <t>LENNIN BLADIMIR LOPEZ COREA</t>
  </si>
  <si>
    <t>LENNIN</t>
  </si>
  <si>
    <t>VILLA 26 DE FEBRERO,4 ESQUINA 31/2C.E</t>
  </si>
  <si>
    <t>FARMACIA VIDA 1 CUADRA AL ESTE</t>
  </si>
  <si>
    <t>2811801850002X</t>
  </si>
  <si>
    <t>JULIO RAUL GONZALEZ ESCOBAR</t>
  </si>
  <si>
    <t>BO. SAN FELIPE, ANTIGUO ASERRIO PEREIRA 1/2C. O.</t>
  </si>
  <si>
    <t>BO. SAN FELIPE, ANTIGUO ASERRIO PEREIRA  C. O.</t>
  </si>
  <si>
    <t>rapbone21@yahoo.com</t>
  </si>
  <si>
    <t>4901401850002Y</t>
  </si>
  <si>
    <t>INDIRA KARELIA ESCOTO GONZALEZ</t>
  </si>
  <si>
    <t>EL JÍCARO</t>
  </si>
  <si>
    <t>BO.OMAR TORRIJOS, COSTADO NORTE PIZZA HUT 20vrs OESTE</t>
  </si>
  <si>
    <t>DE LA SHELL ESQUIPULAS 1C ESTE 1/2C SUR</t>
  </si>
  <si>
    <t>89283861 87306686</t>
  </si>
  <si>
    <t>ikarelia1418@gmail.com</t>
  </si>
  <si>
    <t>2841201850000K</t>
  </si>
  <si>
    <t>YORLENE MERCEDES ESCORCIA SAAVEDRA</t>
  </si>
  <si>
    <t>YORLENE</t>
  </si>
  <si>
    <t>SAAVEDRA</t>
  </si>
  <si>
    <t>BO. MANUEL VELASQUEZ, ALC. MUNICIPAL 3C.SUR 1 1/2C.OESTE</t>
  </si>
  <si>
    <t>ALC.MUNICIPAL  3 C.SUR 1 1/2C.OESTE</t>
  </si>
  <si>
    <t>yor86@yahoo.es</t>
  </si>
  <si>
    <t>4490801850000V</t>
  </si>
  <si>
    <t>ADWRUBAL JOHEL UMANZOR LAGUNA</t>
  </si>
  <si>
    <t>ADWRUBAL</t>
  </si>
  <si>
    <t>JOHEL</t>
  </si>
  <si>
    <t>BO. WILMER ICABALCETA  POWER GIM 1/2 CUADRA AL NORTE.</t>
  </si>
  <si>
    <t>EN EL PUESTO DE SALUD</t>
  </si>
  <si>
    <t>johel_caradeloco@hotmail.es</t>
  </si>
  <si>
    <t>0010610850036X</t>
  </si>
  <si>
    <t>RICARDO SABINO AGUILAR BRAVO</t>
  </si>
  <si>
    <t>SABINO</t>
  </si>
  <si>
    <t>BO. BATAHOLA SUR, COLEG. ADRIAN ROJAS 1 1\2 AL OESTE</t>
  </si>
  <si>
    <t>COLONIA. ADRIAN ROJAS 1 1/2 CUADRA AL OESTE.</t>
  </si>
  <si>
    <t>2810301850002Q</t>
  </si>
  <si>
    <t>DARLING YESENIA URBINA RAYO</t>
  </si>
  <si>
    <t>YESENIA</t>
  </si>
  <si>
    <t>RAYO</t>
  </si>
  <si>
    <t>RPTO. W. FONSECA, PRESC. LOS PERIQUITOS 2c S. 1/2c E.</t>
  </si>
  <si>
    <t>DE LA ESCUELA MONSEÑOR CARRILLO 1 1/2 CUADRA AL SUR</t>
  </si>
  <si>
    <t>57800633 86317965</t>
  </si>
  <si>
    <t>darlingurbina@gmail.com</t>
  </si>
  <si>
    <t>4090101850000K</t>
  </si>
  <si>
    <t>DARLING MARIA CHAVARRIA CERDA</t>
  </si>
  <si>
    <t>BO. SANTA ROSA, DETRAS DEL HOTEL CLAUDIA</t>
  </si>
  <si>
    <t>kimacha04@gmail.com</t>
  </si>
  <si>
    <t>0010101850041J</t>
  </si>
  <si>
    <t>CIRYL JAVIER MEZA DIAZ</t>
  </si>
  <si>
    <t>CIRYL</t>
  </si>
  <si>
    <t>CMCA. MASACHAPA, CENTRO DE SALUD 1C. O, 1/2C, AL S.</t>
  </si>
  <si>
    <t>CONTIGUO A AGENCIA PEPSI CASA MINSA.</t>
  </si>
  <si>
    <t>ciryljavierm@yahoo.com</t>
  </si>
  <si>
    <t>6163112840006J</t>
  </si>
  <si>
    <t>ERIBETH DEL CARMEN ZAMORA</t>
  </si>
  <si>
    <t>ERIBETH</t>
  </si>
  <si>
    <t>BO. SANDINO, DEL PALI 1/2C.S.</t>
  </si>
  <si>
    <t>PALI 1/2C S.</t>
  </si>
  <si>
    <t>jenebivenus8@yahoo.com</t>
  </si>
  <si>
    <t>4012212840012G</t>
  </si>
  <si>
    <t>YAHOSCA RAITI RAMIREZ LUNA</t>
  </si>
  <si>
    <t>YAHOSCA</t>
  </si>
  <si>
    <t>RAITI</t>
  </si>
  <si>
    <t>SAN FRANCISCO DE CUAPA</t>
  </si>
  <si>
    <t>BO. SAN JERONIMO, DE LOS BOMBEROS 6C. 1/2 AL OESTE</t>
  </si>
  <si>
    <t>ALCALDIA MUNICIPAL 75 VARAS AL NORTE</t>
  </si>
  <si>
    <t>raitiluna22@yahoo.com</t>
  </si>
  <si>
    <t>4012112840002T</t>
  </si>
  <si>
    <t>DENIS MARTIN FLORES HERNANDEZ</t>
  </si>
  <si>
    <t>COLEGIO SALESIANO 2 CUADRAS AL OESTE Y 25 VARAS AL NORTE</t>
  </si>
  <si>
    <t>COLEGIO SALESIANO 2C.OESTE 25VRS. NORTE</t>
  </si>
  <si>
    <t>25230518 88203788</t>
  </si>
  <si>
    <t>0032012840003V</t>
  </si>
  <si>
    <t>MARIA IRENE GARCIA REYES</t>
  </si>
  <si>
    <t>CMCA. LAS MADERAS, PTE. 1C, N. 1C, E. 1C, N.</t>
  </si>
  <si>
    <t>COMARCA LAS MADERAS, PTE.1C.NORTE 1C.ESTE 1/2 C.NORTE</t>
  </si>
  <si>
    <t>3651612840000E</t>
  </si>
  <si>
    <t>DONAL ENRIQUE URBINA FLORES</t>
  </si>
  <si>
    <t>DONAL</t>
  </si>
  <si>
    <t>COMARCA EL PALO</t>
  </si>
  <si>
    <t>ESCUELA NICARAO 150 METROS AL SUR</t>
  </si>
  <si>
    <t>urbinadonalf@yahoo.es</t>
  </si>
  <si>
    <t>0011612840028E</t>
  </si>
  <si>
    <t>ALEJANDRO BARLACK MEDINA HERNANDEZ</t>
  </si>
  <si>
    <t>BARLACK</t>
  </si>
  <si>
    <t>BO. MONSEÑOR LEZCANO, DE DONDE FUE TELCOR 1C. O. 1 1/2C.N.</t>
  </si>
  <si>
    <t>ANTIGUO TELCOR 1CUADRA OESTE 1 1/2CUADRA NORTE</t>
  </si>
  <si>
    <t>alejandrobarlackm@gmail.com</t>
  </si>
  <si>
    <t>2011412840003B</t>
  </si>
  <si>
    <t>GARYS ENRIQUE LOPEZ MONTIEL</t>
  </si>
  <si>
    <t>GARYS</t>
  </si>
  <si>
    <t>RPTO. SILVIO RUIZ, FINAL CALLE SANTA LUCIA 25VRS. E.</t>
  </si>
  <si>
    <t>FINAL CALLE SANTA LUCIA 1/2 CUADRA ESTE.</t>
  </si>
  <si>
    <t>0071312840000W</t>
  </si>
  <si>
    <t>SANDRA MARIA CALERO GUTIERREZ</t>
  </si>
  <si>
    <t>SAN JUAN DE ORIENTE</t>
  </si>
  <si>
    <t>KM 42 CARRETERA AL DIRIA</t>
  </si>
  <si>
    <t>FRENTE KM.42 CARRETERA A DIRIA</t>
  </si>
  <si>
    <t>75112693 78056193</t>
  </si>
  <si>
    <t>4011312840000Y</t>
  </si>
  <si>
    <t>ANA MARIA SOMARRIBA GAITAN</t>
  </si>
  <si>
    <t>KM 14 1/2 CARRETERA A MASAYA, ENTRADA A VERACRUZ FRENTE A BASE MILITAR DE VARONES, COMARCA LOS MADRIGALES NO. 2</t>
  </si>
  <si>
    <t>KILOMETRO 14 1/2 CARRETERA A MASAYA, ENTRADA VERACRUZ 700 METROS NORTE FRENTE BASE MILITAR</t>
  </si>
  <si>
    <t>75593791 82820476</t>
  </si>
  <si>
    <t>anasomarriba@hotmail.com</t>
  </si>
  <si>
    <t>2810912840012R</t>
  </si>
  <si>
    <t>GLORIA MARIA ACOSTA GARCIA</t>
  </si>
  <si>
    <t>VILLA 23 DE JULIO, ANDEN NO. 5 CASA F-452</t>
  </si>
  <si>
    <t>ANDEN NUMERO 5 CASA F-452</t>
  </si>
  <si>
    <t>22332332 23155511 84900298 85389791 57131662</t>
  </si>
  <si>
    <t>gloriaacostagarcia84@gmail.com</t>
  </si>
  <si>
    <t>2830812840000L</t>
  </si>
  <si>
    <t>MILTON GONZALO VALLEJOS ROJAS</t>
  </si>
  <si>
    <t>GONZALO</t>
  </si>
  <si>
    <t>COMARCA  MINA LA INDIA</t>
  </si>
  <si>
    <t>DEL PARQUE DE FERIA 2 CUADRAS AL OESTE 20 VARAS AL SUR</t>
  </si>
  <si>
    <t>mgvr05@hotmail.com</t>
  </si>
  <si>
    <t>4490712840002X</t>
  </si>
  <si>
    <t>DELVIN JOSE MATAMOROS VELASQUEZ</t>
  </si>
  <si>
    <t>BO. SECTOR NO.3,  ESQUINA OPUESTA AL CONSEJO SUPREMO ELECTORAL</t>
  </si>
  <si>
    <t>ESQUINA OPUESTA AL CONSEJO SUPREMO ELECTORAL</t>
  </si>
  <si>
    <t>delvincito@hotmail.es</t>
  </si>
  <si>
    <t>5690712840000H</t>
  </si>
  <si>
    <t>ERICKA PATRICIA GRIJALVA JIMENEZ</t>
  </si>
  <si>
    <t>DE DONDE FUE LA SANDAK DEL IVAN, 1C. ARRIBA, 4 ANDENES AL SUR, CASA ESQUINERA M.D</t>
  </si>
  <si>
    <t>GRUPO-B, ANDEN #4, CASA #649.</t>
  </si>
  <si>
    <t>erickagrijalva12@gmail.com</t>
  </si>
  <si>
    <t>1610412840004K</t>
  </si>
  <si>
    <t>YAJAIRA DE LOS ANGELES PEREZ MOLINA</t>
  </si>
  <si>
    <t>BO. EL ROSARIO, DE DONDE FUE PORTALITO 1C.N. 80VRS.E.</t>
  </si>
  <si>
    <t>DE DONDE FUE  EL PORTALITO 1C. AL NORTE 80 VARAS AL ESTE</t>
  </si>
  <si>
    <t>perezmolinayajaira@gmail.com</t>
  </si>
  <si>
    <t>0010212840012G</t>
  </si>
  <si>
    <t>CARLOS ADÁN MEJIA VALDIVIA</t>
  </si>
  <si>
    <t>ADÁN</t>
  </si>
  <si>
    <t>BO. LA REYNAGA  PUENTE LA REYNAGA  1C.O 1 1/2C.S.</t>
  </si>
  <si>
    <t>PALI LAS MERCEDES 1 CUADRA AL SUR</t>
  </si>
  <si>
    <t>22333055 87433264</t>
  </si>
  <si>
    <t>carlosadanmejia@outlook.com</t>
  </si>
  <si>
    <t>carlosadanmejiavaldivia@outlook.com</t>
  </si>
  <si>
    <t>4010112840013M</t>
  </si>
  <si>
    <t>CLAUDIA CAROLINA RUIZ MUÑOZ</t>
  </si>
  <si>
    <t>MUN. DE CATARINA BENEFICIO SAN ISIDRO</t>
  </si>
  <si>
    <t>EN BENEFICIO SAN ISIDRO</t>
  </si>
  <si>
    <t>78258491 85622538</t>
  </si>
  <si>
    <t>carolina2247@hotmail.com</t>
  </si>
  <si>
    <t>2813011840017L</t>
  </si>
  <si>
    <t>MYNOR ALEXANDER RODRIGUEZ DELGADO</t>
  </si>
  <si>
    <t>MYNOR</t>
  </si>
  <si>
    <t>BO. EL LIBANO, GASOLINERA AGROSERVIX 50VRS. S.</t>
  </si>
  <si>
    <t>PALI 1 CUADRA AL SUR 1/2 CUADRA AL ESTE</t>
  </si>
  <si>
    <t>0013011840041S</t>
  </si>
  <si>
    <t>FELIX RUBEN ALFARO OROZCO</t>
  </si>
  <si>
    <t>FELIX</t>
  </si>
  <si>
    <t>RUBEN</t>
  </si>
  <si>
    <t>BO. SAN LUIS SUR, EDIFICIO ARMANDO GUIDO 4C.S. 3C.E.</t>
  </si>
  <si>
    <t>SEGUNDA ENTRADA. HOSPITAL LUIS FELIPE MONCADA.</t>
  </si>
  <si>
    <t>58489841, 87911721</t>
  </si>
  <si>
    <t>felix.alfaro@yahoo.es</t>
  </si>
  <si>
    <t>2812811840003R</t>
  </si>
  <si>
    <t>MARCELA ESMERALDA PARAJON VARGAS</t>
  </si>
  <si>
    <t>IGLES.SAN JOSE 120VRS AL NORTE</t>
  </si>
  <si>
    <t>ORFANATO JACINTA Y FRANCISCA  20 VARAS OESTE CASA NUMERO 102.</t>
  </si>
  <si>
    <t>4412811840005B</t>
  </si>
  <si>
    <t>FÁTIMA MILEYDI TORRES LUNA</t>
  </si>
  <si>
    <t>FÁTIMA</t>
  </si>
  <si>
    <t>MILEYDI</t>
  </si>
  <si>
    <t>BO. WILMER ICABALCETA MINED 2 C.O. 1/2 C.N. SÉBACO-MATAGALPA</t>
  </si>
  <si>
    <t>MINECO, 2 CUADRAS AL OESTE, 1/2 CUADRA AL NORTE.</t>
  </si>
  <si>
    <t>famedtluna@gmail.com</t>
  </si>
  <si>
    <t>0012711840010C</t>
  </si>
  <si>
    <t>ALEXANDRA ROSA RASKOSKY PASOS</t>
  </si>
  <si>
    <t>ALEXANDRA</t>
  </si>
  <si>
    <t>PASOS</t>
  </si>
  <si>
    <t>RPTO. EL ROSAL KM 12 1/2 CARRETERA SUR 3RA AVENIDA</t>
  </si>
  <si>
    <t>CASA NO 6</t>
  </si>
  <si>
    <t>22657136 88872465</t>
  </si>
  <si>
    <t>alex_raskosky@hotmail.com</t>
  </si>
  <si>
    <t>0012711840084H</t>
  </si>
  <si>
    <t>YANDLY MACIED GUARDADO IBARRA</t>
  </si>
  <si>
    <t>YANDLY</t>
  </si>
  <si>
    <t>MACIED</t>
  </si>
  <si>
    <t>RPTO. VILLA XILOA, KM 13 1/2 CARRETERA NUEVA A LEÓN. CA N°E-9</t>
  </si>
  <si>
    <t>KM 12.5 CARRETERA NUEVA LEON, 3 CUADRAS AL NORTE 1 CUADRA AL OESTE 1/2 CUADRA NORTE</t>
  </si>
  <si>
    <t>yandlyci2017@gmail.com</t>
  </si>
  <si>
    <t>2912611840000H</t>
  </si>
  <si>
    <t>HANSY ADELAYDA ARAUZ ALFARO</t>
  </si>
  <si>
    <t>HANSY</t>
  </si>
  <si>
    <t>ADELAYDA</t>
  </si>
  <si>
    <t>DE LA IGLESIA EL CALVARIO 1/2 CUADRA AL NORTE</t>
  </si>
  <si>
    <t>4012511840004X</t>
  </si>
  <si>
    <t>MALIKA HELWA DIPP GONZALEZ</t>
  </si>
  <si>
    <t>MALIKA</t>
  </si>
  <si>
    <t>HELWA</t>
  </si>
  <si>
    <t>ZONA NO.6, KM.27 1/2 CARRETERA MASAYA-MANAGUA QUINTA SANCUANJOCHE</t>
  </si>
  <si>
    <t>SECTOR LOMA VERDE DE INTERNADO DE LA BICU 300 METROS AL ESTE</t>
  </si>
  <si>
    <t>57200952 87189915</t>
  </si>
  <si>
    <t>malikadip@hotmail.com</t>
  </si>
  <si>
    <t>2812411840008N</t>
  </si>
  <si>
    <t>ROSA MIRIAM OBANDO PICHARDO</t>
  </si>
  <si>
    <t>COLEGIO BAUTISTA 1/2 C. AL NORTE 1/2 C. ABAJO.</t>
  </si>
  <si>
    <t>COLEG.BAUTISTA SALA EVANG.1/2C.N. 1/2 OESTE</t>
  </si>
  <si>
    <t>rosemairim_sweet@hotmail.com</t>
  </si>
  <si>
    <t>8882311840002L</t>
  </si>
  <si>
    <t>FERNANDO AHUMADA CANTILLANO</t>
  </si>
  <si>
    <t>CANTILLANO</t>
  </si>
  <si>
    <t>MEXICO</t>
  </si>
  <si>
    <t>BARRIO DIRITA , KM  18 CARR. MASAYA JARDINES DIRITA TICUANTEPE</t>
  </si>
  <si>
    <t>KILOMETRO 18 CARRETERA MASAYA JARDINES DIRITA.</t>
  </si>
  <si>
    <t>0012211840012T</t>
  </si>
  <si>
    <t>ALMA GRISELA MORALES TERCERO</t>
  </si>
  <si>
    <t>GRISELA</t>
  </si>
  <si>
    <t>COLONIA MORAZAN A-132 DE LA PINTURA PROTECTO 2CC.AL NORTE 1C.AL OESTE</t>
  </si>
  <si>
    <t>ANTIGUA PINTURA PROTECTO 2 C NORTE 1 C OESTE CASA A-132</t>
  </si>
  <si>
    <t>82592102 81072714</t>
  </si>
  <si>
    <t>4412011840010P</t>
  </si>
  <si>
    <t>INGRID MARIELA ZELAYA MARTINEZ</t>
  </si>
  <si>
    <t>BO. CARMELO ARAUZ, CASA COMUNAL 1/2C.S.</t>
  </si>
  <si>
    <t>CASA COMUNAL 1/2C AL SUR</t>
  </si>
  <si>
    <t>27725209 89116285</t>
  </si>
  <si>
    <t>inmazelma@gmail.com</t>
  </si>
  <si>
    <t>4881811840000R</t>
  </si>
  <si>
    <t>SUYAPA JUDITH CASTELLON ROJAS</t>
  </si>
  <si>
    <t>SUYAPA</t>
  </si>
  <si>
    <t>ESTADIO ROBERTO CLEMENTE 1C.OESTE</t>
  </si>
  <si>
    <t>BARRIO CARLOS ROSALES, FRENTE A PREESCOLAR DIVINO NIÑO,  EL JICARO, N. S</t>
  </si>
  <si>
    <t>suyappacastellonrojas@yahoo.com</t>
  </si>
  <si>
    <t>2811611840008V</t>
  </si>
  <si>
    <t>JEYSON ANTONIO DIAZ GUTIERREZ</t>
  </si>
  <si>
    <t>JEYSON</t>
  </si>
  <si>
    <t>SAN RAFAEL DEL NORTE</t>
  </si>
  <si>
    <t>BO. SUBTIAVA, ANTES BANIC SUBTIAVA 3 1/2C, N.</t>
  </si>
  <si>
    <t>IGLESIA CATOLICA 300 VARAS  AL OESTE, 200 AL NORTE</t>
  </si>
  <si>
    <t>2871511840003S</t>
  </si>
  <si>
    <t>YASSER TABARE SANDINO ELIZABETH</t>
  </si>
  <si>
    <t>TABARE</t>
  </si>
  <si>
    <t>BARRIO A. SABALLOS, FARMACIA LOS ANGELES 3C. AL OESTE</t>
  </si>
  <si>
    <t>DE LA FARMACIA LOS ANGELES 3 CUADRAS OESTE</t>
  </si>
  <si>
    <t>88298505 89257934</t>
  </si>
  <si>
    <t>ysandino20@yahoo.es</t>
  </si>
  <si>
    <t>2811411840009S</t>
  </si>
  <si>
    <t>EDUARDO JOSE VALLE VELASQUEZ</t>
  </si>
  <si>
    <t>CLINICA DON BOSCO 1C ABAJO N1/2C LAGO</t>
  </si>
  <si>
    <t>ESSO EL PARAISITO 1C N, 10 VRS AB</t>
  </si>
  <si>
    <t>4411411840009A</t>
  </si>
  <si>
    <t>MILENA YOKASTA JARQUIN GOMEZ</t>
  </si>
  <si>
    <t>MILENA</t>
  </si>
  <si>
    <t>YOKASTA</t>
  </si>
  <si>
    <t>BO. BOER, DE DONDE FUE CINE CABRERA 1  1/2C.N.   1/2C.O.</t>
  </si>
  <si>
    <t>milena.j.gomez@gmail.com</t>
  </si>
  <si>
    <t>6161311840000G</t>
  </si>
  <si>
    <t>LEXANDRA BETANCO VELASQUEZ</t>
  </si>
  <si>
    <t>LEXANDRA</t>
  </si>
  <si>
    <t>SECTOR NO.14, COSTADO NORTE PARQUE MINVAH 2C. E. 1/2C N.</t>
  </si>
  <si>
    <t>COSTADO NORTE DEL PARQUE DE MINVAH 2 CUADRAS AL ESTE, 1/2 CUADRA AL NORTE</t>
  </si>
  <si>
    <t>0011211840008S</t>
  </si>
  <si>
    <t>ARMANDO JOSE GOMEZ TORRENTES</t>
  </si>
  <si>
    <t>ARMANDO</t>
  </si>
  <si>
    <t>TORRENTES</t>
  </si>
  <si>
    <t>COL.UNIDAD DE PROPOSITO DE LA IGLESIA CALDERO 70 VRS AL LAGO</t>
  </si>
  <si>
    <t>IGLESIA CATOLICA 1/2 CUADRA AL NORTE, CASA D-775</t>
  </si>
  <si>
    <t>22334653 83675547</t>
  </si>
  <si>
    <t>6071111840003Y</t>
  </si>
  <si>
    <t>DOMINGO ANTONIO CASTRO OLAYO</t>
  </si>
  <si>
    <t>DOMINGO</t>
  </si>
  <si>
    <t>OLAYO</t>
  </si>
  <si>
    <t>VILLA MIGUEL GUTIERREZ DE LOS SEMAFOROS 1C ARRIBA CONTIGUO A LA FERRETERIA DILOS LOSANOS</t>
  </si>
  <si>
    <t>BO. PITTER FERRERA, CONTIGUO DONDE FUE LADRILLERIA HNO COLLINS</t>
  </si>
  <si>
    <t>sukia23@yahoo.com</t>
  </si>
  <si>
    <t>0011011840009P</t>
  </si>
  <si>
    <t>VICTOR HUGO PALACIOS GONZALEZ</t>
  </si>
  <si>
    <t>BO. SAN JOSE, KM 31 1/2 CARRETERA GRANADA A MASAYA</t>
  </si>
  <si>
    <t>REPARTO TRASATLANTICO, II ETAPA, CASA-55.</t>
  </si>
  <si>
    <t>89886949 86697753</t>
  </si>
  <si>
    <t>2810711840006Y</t>
  </si>
  <si>
    <t>MARIA GABRIELA JARQUIN LESAGE</t>
  </si>
  <si>
    <t>LESAGE</t>
  </si>
  <si>
    <t>BO. SAN JUAN JUZGADO 1/2c O.</t>
  </si>
  <si>
    <t>DE JUZGADO PENAL 1/2 CUADRA OESTE-</t>
  </si>
  <si>
    <t>0010711840052E</t>
  </si>
  <si>
    <t>MARGINA MERCEDES SOMARRIBA ARAUZ</t>
  </si>
  <si>
    <t>MARGINA</t>
  </si>
  <si>
    <t>VILLA FLOR NORTE DE LA IGLESIA CATOLICA 2C. AL NORTE 1C AL ESTE CALLE 6 CASA 1015</t>
  </si>
  <si>
    <t>IGLESIA CATOLICA 2CUADRAS NORTE 1CUADRA ESTE</t>
  </si>
  <si>
    <t>22894837 86329971</t>
  </si>
  <si>
    <t>marginasomarriba@gmail.com</t>
  </si>
  <si>
    <t>0010311840005U</t>
  </si>
  <si>
    <t>JETTZABELL DEL CARMEN TOLEDO ARANA</t>
  </si>
  <si>
    <t>JETTZABELL</t>
  </si>
  <si>
    <t>BO. COSTA RICA SEMAF.  DEL COLONIAL 3c N. 2 1/2c O.</t>
  </si>
  <si>
    <t>KM.10 1/2 CARRET. MYA. RPTO. ARBORETO #3, MOTEL 10 1/2 800 MTS. S. M/D COLOR TERRACOTA</t>
  </si>
  <si>
    <t>0010111840016C</t>
  </si>
  <si>
    <t>EDWIN SALVADOR URBINA SILVA</t>
  </si>
  <si>
    <t>DEL COLEGIO CXTO REY 2C ABAJO</t>
  </si>
  <si>
    <t>COLEGIO CRISTO REY 2C. OESTE</t>
  </si>
  <si>
    <t>6122910840000Q</t>
  </si>
  <si>
    <t>YORLENY DEYANIRA HERRERA PALACIOS</t>
  </si>
  <si>
    <t>YORLENY</t>
  </si>
  <si>
    <t>DEYANIRA</t>
  </si>
  <si>
    <t>DE LA ENTRADA DE INIFOM  1C AL SUR 1C ARRIBA CASA 236</t>
  </si>
  <si>
    <t>CONTIGUO A JOSEFA AGUINAGA</t>
  </si>
  <si>
    <t>yherrerapalacios@hotmail.com</t>
  </si>
  <si>
    <t>4012810840008C</t>
  </si>
  <si>
    <t>DONALD HUMBERTO CARRANZA GALAN</t>
  </si>
  <si>
    <t>GALAN</t>
  </si>
  <si>
    <t>BO. HEROES Y MARTIRES II ETAPA, HOSPITAL HUMBERTO ALVARADO 3C.S. 1C.E.</t>
  </si>
  <si>
    <t>HOSP. HUMBERTO ALVARADO 3C SUR 1C ESTE</t>
  </si>
  <si>
    <t>0012510840033R</t>
  </si>
  <si>
    <t>MARIA AUXILIADORA CEDEÑO VILLAGRA</t>
  </si>
  <si>
    <t>VILLAGRA</t>
  </si>
  <si>
    <t>TELCOR JARDINES DE VERACRUZ 2C. 11/2 ARRIBA, VILLA FLOR SUR # 766</t>
  </si>
  <si>
    <t>VILLA FLOR SUR, PUENTE 4TA. CASA NO.766 ENITEL JARDINES VERACRUZ</t>
  </si>
  <si>
    <t>4432410840002S</t>
  </si>
  <si>
    <t>ODILI DEL SOCORRO ZELEDON DIAZ</t>
  </si>
  <si>
    <t>ODILI</t>
  </si>
  <si>
    <t>BO. CARLOS ROQUE, TALLER PAYAN 1C N. 1/2C E.</t>
  </si>
  <si>
    <t>DETRAS DE LA IGLESIAN CATOLICA</t>
  </si>
  <si>
    <t>0012410840098K</t>
  </si>
  <si>
    <t>SHEYLA PATRICIA BLANDON SOMARRIBA</t>
  </si>
  <si>
    <t>SHEYLA</t>
  </si>
  <si>
    <t>RPTO. HABANA, CLINICA DON BOSCO 1C.S. 2C.E. 1/2C.S. C-11</t>
  </si>
  <si>
    <t>DE LA CASA 2 1/2 CUADRA AL SUR, CASA 3G-4</t>
  </si>
  <si>
    <t>1612110840008N</t>
  </si>
  <si>
    <t>HAYRI DANIELA PAVON RIVAS</t>
  </si>
  <si>
    <t>HAYRI</t>
  </si>
  <si>
    <t>BO. SAUL TERCERO, IGL. CATOLICA 1C. S. 1/2C. O.</t>
  </si>
  <si>
    <t>IGLESIA CATOLICA 1 CUADRA SUR 1/2  CUADRA OESTE</t>
  </si>
  <si>
    <t>8882110840000X</t>
  </si>
  <si>
    <t>ANIBAL ANTONIO GAITAN BONILLA</t>
  </si>
  <si>
    <t>ANIBAL</t>
  </si>
  <si>
    <t>RESD. LINDA VISTA SUR, DE DONDE FUE TIENDA 3B 1C. S. CA. NO.67</t>
  </si>
  <si>
    <t>LINDA VISTA SUR DEL VERDUGO 1C AL SUR NO.67</t>
  </si>
  <si>
    <t>3212010840000K</t>
  </si>
  <si>
    <t>MAURICIO RAFAEL GARCIA MONCADA</t>
  </si>
  <si>
    <t>SECTOR NO.11, ESC. NUCLEAR 1/2C.S.</t>
  </si>
  <si>
    <t>BO. AEROPUERTO, DETRAS DE MAR AZUL.</t>
  </si>
  <si>
    <t>84983830 84919081</t>
  </si>
  <si>
    <t>0011710840019J</t>
  </si>
  <si>
    <t>CRISTINA AURY SUAREZ ROMERO</t>
  </si>
  <si>
    <t>AURY</t>
  </si>
  <si>
    <t>NANDAIME</t>
  </si>
  <si>
    <t>BO. RIGUEROS, TALLERES MODERNOS 1 1/2C.NORTE M.I</t>
  </si>
  <si>
    <t>DEL PARQUE 1 1/2 CUADRA AL NORTE</t>
  </si>
  <si>
    <t>3211710840001E</t>
  </si>
  <si>
    <t>REGIS ERNESTO ALVARADO PEREZ</t>
  </si>
  <si>
    <t>REGIS</t>
  </si>
  <si>
    <t>SECTOR NO. 1 PENSION CORINA 2C S. 1/2C E.</t>
  </si>
  <si>
    <t>DONDE FUE PENSION CORINA 2 CUADRAS AL SUR, 1/2 CUADRA AL ESTE</t>
  </si>
  <si>
    <t>27222800 57070273 86240096</t>
  </si>
  <si>
    <t>regisealvarado@yahoo.com</t>
  </si>
  <si>
    <t>0011510840011V</t>
  </si>
  <si>
    <t>TERESA DEL SOCORRO BOZA</t>
  </si>
  <si>
    <t>BO. 19 DE JULIO DE LA CASA COMUNAL 75VRS. E.</t>
  </si>
  <si>
    <t>DE LA CASA COMUNAL 75 VARAS AL ESTE</t>
  </si>
  <si>
    <t>bozateresa@yahoo.es</t>
  </si>
  <si>
    <t>2811410840003E</t>
  </si>
  <si>
    <t>ALEXIS ROLANDO GONZALEZ SAMPSON</t>
  </si>
  <si>
    <t>BO. SAN JUAN. SEMAFOROS UNION FENOSA 1/2C. E. CONTIGUO IMPRENTA IGOSA.</t>
  </si>
  <si>
    <t>SEMAFOROS UNION FENOSA 1/2 CUADRA AL ESTE, CONTIGUO A IMPRENTA IGOSA</t>
  </si>
  <si>
    <t>23151207 85189300</t>
  </si>
  <si>
    <t>3231310840002G</t>
  </si>
  <si>
    <t>TANIA LIBERTAD TERCERO PEREZ</t>
  </si>
  <si>
    <t>RESD. CIUDAD DORAL, KM. 17 1/2 CARRETERA NUEVA LEON CASA NO. C-66</t>
  </si>
  <si>
    <t>KILOMETRO 18.2 CARRETERA NUEVA LEON, CALLE # 1 AVENIDA 11, CASA # C-66.</t>
  </si>
  <si>
    <t>tania1384@hotmail.com</t>
  </si>
  <si>
    <t>6071310840001U</t>
  </si>
  <si>
    <t>CARLOS ANDRES PEREZ CHAVEZ</t>
  </si>
  <si>
    <t>BARRIO LIBERTAD DETRAS DE LAS OFICINAS DE MAGFOR PUERTO CABEZA</t>
  </si>
  <si>
    <t>DEL INSTITUTO NACIONAL 100 VARAS AL ESTE.</t>
  </si>
  <si>
    <t>carlosandresperezchavez@yahoo.es</t>
  </si>
  <si>
    <t>1621210840002E</t>
  </si>
  <si>
    <t>ALAN DIRIANGEN MERLO CASTILLO</t>
  </si>
  <si>
    <t>ALAN</t>
  </si>
  <si>
    <t>DIRIANGEN</t>
  </si>
  <si>
    <t>DE LA ESCUELA EL ROSARIO 150 VARAS AL ESTE 50 AL NORTE</t>
  </si>
  <si>
    <t>DE LA IGLESIA CATOLICA 2 CUADRAS AL NORTE, 1/2 CUADRA AL ESTE</t>
  </si>
  <si>
    <t>57017165 58855806</t>
  </si>
  <si>
    <t>0011010840029E</t>
  </si>
  <si>
    <t>URSULA MATRIUSKA IBARRA ESCOBAR</t>
  </si>
  <si>
    <t>URSULA</t>
  </si>
  <si>
    <t>MATRIUSKA</t>
  </si>
  <si>
    <t>RPTO LOMAS DE CONSUELO COLEG. AMERICANO 500VRS. S. A-8</t>
  </si>
  <si>
    <t>KILOMETRO 12.9 CARRETERA A MASAYA, 1 KILOMETRO AL ESTE, 75 VARAS AL SUR, CASA A-63</t>
  </si>
  <si>
    <t>matriuska84@hotmail.com</t>
  </si>
  <si>
    <t>2810910840013E</t>
  </si>
  <si>
    <t>EVELING DEL CARMEN GARCIA MARTINEZ</t>
  </si>
  <si>
    <t>BO. EL CALVARIO, CANCHA DE TENIS 2 1/2C, E.</t>
  </si>
  <si>
    <t>BARRIO EL CALVARIO,CANCHADE TENIS 2½C. AL ESTE</t>
  </si>
  <si>
    <t>0010810840000T</t>
  </si>
  <si>
    <t>HILDA RAQUEL OCAMPO ESTRADA</t>
  </si>
  <si>
    <t>REPARTO ALTOS DE LA ANTIGUA SEGOVIA, CASA No. 48</t>
  </si>
  <si>
    <t>CASA NO.48</t>
  </si>
  <si>
    <t>0840810840001N</t>
  </si>
  <si>
    <t>JOSE FRANCISCO GALEANO VARGAS</t>
  </si>
  <si>
    <t>POLICIA 1C.AL OESTE 11/2C.AL SUR CHICHIGALPA</t>
  </si>
  <si>
    <t>POLICIA 1C.OESTE 1-1/2C.SUR</t>
  </si>
  <si>
    <t>josegalianov@yahoo.com</t>
  </si>
  <si>
    <t>2460710840006J</t>
  </si>
  <si>
    <t>JULIEN GREEN DAMACIO PÉREZ</t>
  </si>
  <si>
    <t>JULIEN</t>
  </si>
  <si>
    <t>GREEN</t>
  </si>
  <si>
    <t>PÉREZ</t>
  </si>
  <si>
    <t>EL CUÁ</t>
  </si>
  <si>
    <t>SAN JOSE DE BOCAY</t>
  </si>
  <si>
    <t>COMARCA RAITI  DETRAS DE LA IGLESIA  MORAVA</t>
  </si>
  <si>
    <t>DETRAS DE LA IGLESIA MORAVA CENTRAL</t>
  </si>
  <si>
    <t>2810510840012U</t>
  </si>
  <si>
    <t>MARIA XIMENA LANUZA CUADRA</t>
  </si>
  <si>
    <t>XIMENA</t>
  </si>
  <si>
    <t>BO. PABLO ENRIQUE ARTEAGA IGL SAN JOSE</t>
  </si>
  <si>
    <t>IGL SAN JOSE 1C AL O, 1/2 CUADARA AL NORTE</t>
  </si>
  <si>
    <t>23441442 88532837</t>
  </si>
  <si>
    <t>0820310840000R</t>
  </si>
  <si>
    <t>HAARON HERMOGENES ANDRADES LOPEZ</t>
  </si>
  <si>
    <t>HAARON</t>
  </si>
  <si>
    <t>HERMOGENES</t>
  </si>
  <si>
    <t>BO. LUCRECIA LINDO, FTE. A DISCOTEQUE CENTAURO</t>
  </si>
  <si>
    <t>FRENTE A CENTAURO DISCOTEQUE</t>
  </si>
  <si>
    <t>27922243 86195266</t>
  </si>
  <si>
    <t>1263009840000J</t>
  </si>
  <si>
    <t>MIGUEL JERONIMO BELLANGER MIRANDA</t>
  </si>
  <si>
    <t>JERONIMO</t>
  </si>
  <si>
    <t>ZONA NO.8, VALENTIN BAEZ 1C. ESTE</t>
  </si>
  <si>
    <t>CURRAMPEA 1C. E. 20 VRS AL NORTE</t>
  </si>
  <si>
    <t>0012909840004M</t>
  </si>
  <si>
    <t>CLYDE MIGUEL SEVILLA BAEZ</t>
  </si>
  <si>
    <t>CLYDE</t>
  </si>
  <si>
    <t>BO. ZARAGOZA, IGLESIA ZARAGOZA 75VRS. ABAJO  LEON</t>
  </si>
  <si>
    <t>DE DONDE LA DISTRIBUIDORA RIZO 1 1/2 CUADRA AL NORTE</t>
  </si>
  <si>
    <t>2812809840015R</t>
  </si>
  <si>
    <t>LIGIA MARIA DARCE ALTAMIRANO</t>
  </si>
  <si>
    <t>BO. EL SABORIO, COSTADO ESTE DE LA BATAAN</t>
  </si>
  <si>
    <t>ADMINISTRACION DE RENTAS 1/2 CUADRA AL OESTE.</t>
  </si>
  <si>
    <t>23115781 55038539</t>
  </si>
  <si>
    <t>0012709840002F</t>
  </si>
  <si>
    <t>KAREN MASIELL VARGAS SANCHEZ</t>
  </si>
  <si>
    <t>MASIELL</t>
  </si>
  <si>
    <t>BO. SAN RAFAEL DEL SUR, INSTITUTO 100VRS.ESTE</t>
  </si>
  <si>
    <t>DEL INSTITUTO 100 VARAS AL ESTE</t>
  </si>
  <si>
    <t>karenvargas2709@gmail.com</t>
  </si>
  <si>
    <t>0012609840009L</t>
  </si>
  <si>
    <t>MARIA BELZABETH CENTENO MENA</t>
  </si>
  <si>
    <t>BELZABETH</t>
  </si>
  <si>
    <t>BO. OWALDO MANZANAREZ, DE DONDE FUE DANCING 2C.S. 1C.O. 2 1/2C.S. CA. N° E-6</t>
  </si>
  <si>
    <t>PORTON PRINCIPAL DEL HOSPITAL ALEMAN NICARAGUENSE 1 1/2C ESTE</t>
  </si>
  <si>
    <t>89003959 84956583</t>
  </si>
  <si>
    <t>dra.belzabeth@gmail.com</t>
  </si>
  <si>
    <t>6072609840003T</t>
  </si>
  <si>
    <t>ISAAC OCAMPO OJEDA</t>
  </si>
  <si>
    <t>OJEDA</t>
  </si>
  <si>
    <t>BO. SANDINO, FRENTE COLEGIO INHCO</t>
  </si>
  <si>
    <t>CONTIGUO A LA IGLESIA MORAVA MONTE HAREL, SEGUNDO ANDEN, CASA DE ISABEL.</t>
  </si>
  <si>
    <t>84131812, 86656841</t>
  </si>
  <si>
    <t>iocampo2683@hotmail.com, ocampoojedaisaac@gmail.com</t>
  </si>
  <si>
    <t>iocampo2686@hotmail.com</t>
  </si>
  <si>
    <t>2812409840010C</t>
  </si>
  <si>
    <t>KENIA MERCEDES GALÁN HERNÁNDEZ</t>
  </si>
  <si>
    <t>HERNÁNDEZ</t>
  </si>
  <si>
    <t>BARRIO GUADALUPE GASOLINERA ESSO EL PARAISO 1 1/2 CUADRA AL NORTE</t>
  </si>
  <si>
    <t>CONTIGUO AL HOSPITAL</t>
  </si>
  <si>
    <t>23112972, 77344113, 88563672</t>
  </si>
  <si>
    <t>88563672 88331133</t>
  </si>
  <si>
    <t>kgalan1106@yahoo.es</t>
  </si>
  <si>
    <t>2912409840004U</t>
  </si>
  <si>
    <t>DOUGLAS MERCEDES MOYA LEYVA</t>
  </si>
  <si>
    <t>LEYVA</t>
  </si>
  <si>
    <t>CONAPI 2 CUADRA AL  SUR 1/2 CUADRA AL ESTE</t>
  </si>
  <si>
    <t>6072409840000L</t>
  </si>
  <si>
    <t>AXCEL DANIEL CHOW BARRERA</t>
  </si>
  <si>
    <t>AXCEL</t>
  </si>
  <si>
    <t>BARRERA</t>
  </si>
  <si>
    <t>RESD. CIUDAD DORAL, KM 18 CARRETERA NUEVA A LEÓN  CASA N°T-39</t>
  </si>
  <si>
    <t>BO. AEROPUERTO, COSTADO  SUR DEL ORFANATORIO</t>
  </si>
  <si>
    <t>chowaxel@gmail.com</t>
  </si>
  <si>
    <t>2812309840006V</t>
  </si>
  <si>
    <t>RODRIGO ANTONIO CANALES ESPINOZA</t>
  </si>
  <si>
    <t>RODRIGO</t>
  </si>
  <si>
    <t>BO. EL SAGRARIO EMERGENCIA 1c ARRIBA</t>
  </si>
  <si>
    <t>EMERGENCIA HEODRA 1C AL ESTE</t>
  </si>
  <si>
    <t>87045807 89104104</t>
  </si>
  <si>
    <t>rodrigocanales83@yahoo.com</t>
  </si>
  <si>
    <t>2811709840008K</t>
  </si>
  <si>
    <t>MARLYN ELIETTE ROCHA RAMIREZ</t>
  </si>
  <si>
    <t>MARLYN</t>
  </si>
  <si>
    <t>ELIETTE</t>
  </si>
  <si>
    <t>BO. ZARAGOZA, FACULTAD DE DERECHO UNAN-LEON 35VRS.SUR</t>
  </si>
  <si>
    <t>SUPERMERCADO LA COLONIA 1 1/2 CUADRA AL NORTE</t>
  </si>
  <si>
    <t>23116783 88812890</t>
  </si>
  <si>
    <t>maryette2r@yahoo.com.mx</t>
  </si>
  <si>
    <t>5261709840000M</t>
  </si>
  <si>
    <t>MIGUEL ANGEL RODRIGUEZ MENDOZA</t>
  </si>
  <si>
    <t>AXO. ZONA B. CONTIGUO CENTRO DE SALUD</t>
  </si>
  <si>
    <t>FRENTE A PANADERIA SANTA MARTHA</t>
  </si>
  <si>
    <t>0011709840025J</t>
  </si>
  <si>
    <t>MARBELLY DE LOS ANGELES GUEVARA CALERO</t>
  </si>
  <si>
    <t>VI. PROGRESO, COLEGIO CARLOS BLASS 2C.N. 30VRS.O.</t>
  </si>
  <si>
    <t>BLOQUE A4, LOTE 105</t>
  </si>
  <si>
    <t>22481339 83803960</t>
  </si>
  <si>
    <t>6111609840000N</t>
  </si>
  <si>
    <t>JAIRO JOSE BENITEZ GREY</t>
  </si>
  <si>
    <t>GREY</t>
  </si>
  <si>
    <t>BO. EMILIANO CONTOGUO ENACAL</t>
  </si>
  <si>
    <t>SALIDA A LA COMUNIDAD DE FRUTA DE PAN</t>
  </si>
  <si>
    <t>benitez828@yahoo.com</t>
  </si>
  <si>
    <t>5211609840001Y</t>
  </si>
  <si>
    <t>SUSANA AGUIRRE MARTINEZ</t>
  </si>
  <si>
    <t>CMCA. LOS CHILES, CUADRO DEPORTIVO 500 MTS. E</t>
  </si>
  <si>
    <t>SALIDA AL ROTULO SECTOR 6</t>
  </si>
  <si>
    <t>susaguirre84@outlook.es</t>
  </si>
  <si>
    <t>3281409840000M</t>
  </si>
  <si>
    <t>LESTHER ALFREDO PEREZ LOPEZ</t>
  </si>
  <si>
    <t>LESTHER</t>
  </si>
  <si>
    <t>BO. LOMAS DE GUADALUPE, CASA COMUNAL VILLA LIBERTAD 1C. S. 3C. E.</t>
  </si>
  <si>
    <t>CASA COMUNAL VILLA LIBERTAD 1 CUADRA AL SUR, 3 CUADRAS AL ESTE</t>
  </si>
  <si>
    <t>perezlesther@rocketmail.com</t>
  </si>
  <si>
    <t>0811009840007Q</t>
  </si>
  <si>
    <t>JOHANNA MERCEDES PEREIRA ALVAREZ</t>
  </si>
  <si>
    <t>JOHANNA</t>
  </si>
  <si>
    <t>RPTO. AYAPAL, COSTADO NORESTE DE LA CANCHA EDIFICIO NO. 24-3</t>
  </si>
  <si>
    <t>COSTADO NORESTE DE CANCHA CASA NO. 24-3.</t>
  </si>
  <si>
    <t>joha.pereira@yahoo.es</t>
  </si>
  <si>
    <t>2010909840001T</t>
  </si>
  <si>
    <t>JAVIER ANTONIO FLORES GARCIA</t>
  </si>
  <si>
    <t>CALLE EL MARTIRIO, IGLESIA CATEDRAL 3C.E. 1 1/2C.S.</t>
  </si>
  <si>
    <t>CALLE EL MARTIRIO, DE  CATEDRAL 3 CUADRAS AL ESTE 1 CUADRA AL SUR</t>
  </si>
  <si>
    <t>javier9984@hotmail.com</t>
  </si>
  <si>
    <t>0010509840004K</t>
  </si>
  <si>
    <t>WILLIAM PAUL VARGAS SAAVEDRA</t>
  </si>
  <si>
    <t>COL. 1RO DE MAYO, COLEGIO 1RO DE MAYO  2 AND. S. CASA N° D-792</t>
  </si>
  <si>
    <t>DEL COLEGIO DOUGLAS SEQUIERA 2-ANDENES SUR CASA-792</t>
  </si>
  <si>
    <t>vargasguillermo2010@hotmail.com</t>
  </si>
  <si>
    <t>0040309840000D</t>
  </si>
  <si>
    <t>ELIDA MERCEDES BALTODANO CASTILLO</t>
  </si>
  <si>
    <t>CMCA. SANTA RITA, PULPERIA SANTA RITA.</t>
  </si>
  <si>
    <t>KILOMETRO 32 CARRETERA VIEJA A LEON, ESCUELA ABRAHAN SEQUEIRA 200 METROS AL ESTE, EN PULPERÍA SANTA RITA, MANO DERECHA.</t>
  </si>
  <si>
    <t>89420913 83390379</t>
  </si>
  <si>
    <t>2910209840002U</t>
  </si>
  <si>
    <t>YANITCIA MARGARITA BLANDON TORREZ</t>
  </si>
  <si>
    <t>YANITCIA</t>
  </si>
  <si>
    <t>BO.PEDRO ROQUE, ALC. 100VRS.S. 25VRS.O.</t>
  </si>
  <si>
    <t>BARRIO PEDRO ROQUE, ALC.100VRS.S.25VRS.O.MINA EL LIMON</t>
  </si>
  <si>
    <t>1610109840003H</t>
  </si>
  <si>
    <t>RUTH INDIANA REYES ESCORCIA</t>
  </si>
  <si>
    <t>INDIANA</t>
  </si>
  <si>
    <t>BO. MARÍA JOSÉ AUXILIADORA, ESTADIO MUNICIPAL GLORIA DEL BÉISBOL 5C.S.</t>
  </si>
  <si>
    <t>DEL ESTADIO MUNICIPAL VIEJAS GLORIAS DEL BEISBOL 5 CUADRAS AL SUR</t>
  </si>
  <si>
    <t>ruthindianareyes@gmail.com</t>
  </si>
  <si>
    <t>0012808840042U</t>
  </si>
  <si>
    <t>BELKIN DE LOS ANGELES CANALES SEQUEIRA</t>
  </si>
  <si>
    <t>BELKIN</t>
  </si>
  <si>
    <t>BO.HELEACH IGLESIA CAT.2C.ABAJO 1C.AL SUR</t>
  </si>
  <si>
    <t>BO. HEALEAH, IGLESIA CATOLICA 2C. OESTE 1C. SUR</t>
  </si>
  <si>
    <t>DOCTOR EN MEICINA Y CIRUGIA</t>
  </si>
  <si>
    <t>0012708840021U</t>
  </si>
  <si>
    <t>OLIVIA DE LA ASUNCION URIARTE HERNANDEZ</t>
  </si>
  <si>
    <t>DE LA ASUNCION</t>
  </si>
  <si>
    <t>BO. RIGUERO, TALLERES MODERNOS 1/2C, E. 20VRS, N.</t>
  </si>
  <si>
    <t>TALLERES MODERNOS 1/2CUADRA ESTE 20METROS NORTE M/I CASA DE 2 PISOS</t>
  </si>
  <si>
    <t>22774742 76327852</t>
  </si>
  <si>
    <t>4012608840007J</t>
  </si>
  <si>
    <t>ROXANA DE LOS ANGELES CUADRA RODRIGUEZ</t>
  </si>
  <si>
    <t>DE LA IGLESIA ERMITA DE DOLORES 1/2 C. AL NORTE</t>
  </si>
  <si>
    <t>IGLESIA, 1/2 CUADRA AL NORTE</t>
  </si>
  <si>
    <t>23152375 75168961</t>
  </si>
  <si>
    <t>rockuadra1@gmail.com</t>
  </si>
  <si>
    <t>0812408840008Q</t>
  </si>
  <si>
    <t>LUIS ENRIQUE SOZA LOPEZ</t>
  </si>
  <si>
    <t>COL. R. GONZALEZ, CANCHA SILVIO VEGA COST. 1/2C.O</t>
  </si>
  <si>
    <t>COSTADO SUROESTE CANCHA SILVIO VEGA, 20 VARAS AL OESTE</t>
  </si>
  <si>
    <t>23412913 23422274</t>
  </si>
  <si>
    <t>luis_soza@aol.com</t>
  </si>
  <si>
    <t>6042008840002V</t>
  </si>
  <si>
    <t>FLOR DE MARÍA ARTOLA BARRERA</t>
  </si>
  <si>
    <t>DE MARÍA</t>
  </si>
  <si>
    <t>BO RUBEN DARIO, FRENTE IGLESIA FUENTE DEL CIELO</t>
  </si>
  <si>
    <t>BO. RUBEN DARIO, BAR BLUS PEN 2C.SUR</t>
  </si>
  <si>
    <t>artolaflor07@gmail.com</t>
  </si>
  <si>
    <t>0011908840043B</t>
  </si>
  <si>
    <t>OMAR ALEJANDRO PALACIOS BALLADARES</t>
  </si>
  <si>
    <t>PRODUCTOS BRIONAL 2C. ESTE Y 15VRS. SUR</t>
  </si>
  <si>
    <t>DE PRODUCTOS BRIOMOL 2 CUADRAS  AL ESTE 15 VARAS AL SUR</t>
  </si>
  <si>
    <t>alejandropalacios19@hotmail.com</t>
  </si>
  <si>
    <t>1211308840001E</t>
  </si>
  <si>
    <t>JOSE TOMAS LUNA DIAZ</t>
  </si>
  <si>
    <t>TOMAS</t>
  </si>
  <si>
    <t>JUIGALPA,SHELL 1\2 C.OESTE</t>
  </si>
  <si>
    <t>COL. ASUNCION GARCIA PALMA, CLINICA JUAN 23, 2C. ESTE, 2C. SUR, 1/2C. ESTE CASA-117</t>
  </si>
  <si>
    <t>0011008840014A</t>
  </si>
  <si>
    <t>XOCHILTH NADIEZDA SUAREZ SOLIS</t>
  </si>
  <si>
    <t>NADIEZDA</t>
  </si>
  <si>
    <t>ZONA No.5, TIENDA CURACAO 1 1/2c SUR</t>
  </si>
  <si>
    <t>CURACAO 1-1/2 CUADRAS AL SUR.</t>
  </si>
  <si>
    <t>xochilthsuarezsolis@yahoo.es</t>
  </si>
  <si>
    <t>5661008840000L</t>
  </si>
  <si>
    <t>ERICK NOEL GALLO GRIJALVA</t>
  </si>
  <si>
    <t>POZO ENACAL 1C.N.</t>
  </si>
  <si>
    <t>ENITEL 1 CUADRA AL NORTE, 2 CUADRAS AL OESTE</t>
  </si>
  <si>
    <t>engg84@hotmail.com</t>
  </si>
  <si>
    <t>1210808840008B</t>
  </si>
  <si>
    <t>SERGIO FERMIN BAEZ AMADOR</t>
  </si>
  <si>
    <t>FERMIN</t>
  </si>
  <si>
    <t>DEL PARQUE CENTRAL 2C AL OESTE</t>
  </si>
  <si>
    <t>GALLO  GALLO DEL SUMEN 6C. AL SUR, 30V. ABAJO.</t>
  </si>
  <si>
    <t>4010608840001J</t>
  </si>
  <si>
    <t>TANIA SUHEY SERRANO CALERO</t>
  </si>
  <si>
    <t>SUHEY</t>
  </si>
  <si>
    <t>CMCA LA REFORMA KM 36 1/2 CARRETERA MASAYA - GRANADA CONTIGUO IGLESIA EVANGELICA</t>
  </si>
  <si>
    <t>KM. 36 CARRETERA A MASAYA GRANADA, CONTIGUO A IGLESIA EVANGELICA EL BUEN PASTOR</t>
  </si>
  <si>
    <t>2812907840006V</t>
  </si>
  <si>
    <t>ALVARO JOSE ROJAS ESQUIVEL</t>
  </si>
  <si>
    <t>MERCADO CENTRAL 2 1/2 CUADRAS AL SUR</t>
  </si>
  <si>
    <t>MERCADO CENTRAL 2 1/2 CUADRA AL SUR</t>
  </si>
  <si>
    <t>4042907911000C</t>
  </si>
  <si>
    <t>OSCAR RICARDO TORREZ MARTINEZ</t>
  </si>
  <si>
    <t>IGLESIA SAN JERÓNIMO 200 METROS HACIA EL OESTE,  250 METROS HACIA EL NORTE</t>
  </si>
  <si>
    <t>oscarricardotorrez@gmail.com</t>
  </si>
  <si>
    <t>3612807840003G</t>
  </si>
  <si>
    <t>GERALDINE DE LOS ANGELES MIRANDA LOPEZ</t>
  </si>
  <si>
    <t>GERALDINE</t>
  </si>
  <si>
    <t>BO. LAURELES NORTE ENTRADA PRINCIPAL 6AND. E. 1C. S.</t>
  </si>
  <si>
    <t>COMEDOR DE LA UNAN 1 CUADRA AL OESTE 6 CUADRAS AL SUR 1/2 CUADRA AL ESTE, CASA NO. 245</t>
  </si>
  <si>
    <t>57902160, 89447727</t>
  </si>
  <si>
    <t>gerang84@yahoo.com.mx</t>
  </si>
  <si>
    <t>2012607840006X</t>
  </si>
  <si>
    <t>TAYRON JIMMY PEREZ BLANDINO</t>
  </si>
  <si>
    <t>TAYRON</t>
  </si>
  <si>
    <t>JIMMY</t>
  </si>
  <si>
    <t>BLANDINO</t>
  </si>
  <si>
    <t>BO. LA OTRA BANDITA, PARQUE SANDINO 1C.SUR 25VR.OESTE</t>
  </si>
  <si>
    <t>PARQUE SANDINO 1 CUADRA AL SUR 25 VARAS AL OESTE</t>
  </si>
  <si>
    <t>6072607840001D</t>
  </si>
  <si>
    <t>KETTY YESELA MERCADO BORGZINNER</t>
  </si>
  <si>
    <t>KETTY</t>
  </si>
  <si>
    <t>YESELA</t>
  </si>
  <si>
    <t>BORGZINNER</t>
  </si>
  <si>
    <t>BO. LOS ANGELES CONTIGUO A LA FAMILIA ARAUZ</t>
  </si>
  <si>
    <t>CONTIGUO A LA FAMILIA ARAUZ</t>
  </si>
  <si>
    <t>27922298 82335014</t>
  </si>
  <si>
    <t>kettymercado84@yahoo.es</t>
  </si>
  <si>
    <t>2812507840010R</t>
  </si>
  <si>
    <t>KARLA VANESSA TORUÑO ARAGON</t>
  </si>
  <si>
    <t>BO. ETA DE DOLORES, IGL. ETA. DOLORES 1C. N. 1/2 C. AB.</t>
  </si>
  <si>
    <t>DE LA IGLESIA ERMITA DE DOLORES, 1 CUADRA AL NORTE, 1/2 CUADRA AL OESTE</t>
  </si>
  <si>
    <t>6012307840002T</t>
  </si>
  <si>
    <t>ISDANIA SARAI HERNANDEZ LEIVA</t>
  </si>
  <si>
    <t>ISDANIA</t>
  </si>
  <si>
    <t>SARAI</t>
  </si>
  <si>
    <t>BO.  MORENITA NO. 2, DE LA GAVIOTA 4C. AL O. 2C. AL S.1/2C. AL E.</t>
  </si>
  <si>
    <t>DE DONDE FUE LA GAVIOTA 4 CUADRAS AL OESTE, 2 CUADRAS AL SUR, 1/2 CUADRAS AL ESTE.</t>
  </si>
  <si>
    <t>saramels25@htomail.com</t>
  </si>
  <si>
    <t>0812307840002A</t>
  </si>
  <si>
    <t>TONY ALEXANDER CHAVARRIA MONTES</t>
  </si>
  <si>
    <t>TONY</t>
  </si>
  <si>
    <t>BO. TIERRA BLANCA, DE DONDE FUE PUESTO DE AGUA 1/2c E.</t>
  </si>
  <si>
    <t>PARQUE 6 CUADRAS AL SUR</t>
  </si>
  <si>
    <t>57235639, 77948581</t>
  </si>
  <si>
    <t>tonychavarriamontes84@gmail.com</t>
  </si>
  <si>
    <t>0412207840000A</t>
  </si>
  <si>
    <t>INGRID MARIEL GRANERA CASCO</t>
  </si>
  <si>
    <t>MARIEL</t>
  </si>
  <si>
    <t>BO. SAN JUAN,  CEPAD 60VRS, N.</t>
  </si>
  <si>
    <t>CEPAD 75 VRS AL NORTE</t>
  </si>
  <si>
    <t>ingridgranera@gmail.com</t>
  </si>
  <si>
    <t>6021607840000T</t>
  </si>
  <si>
    <t>DINA RAFAELA LEYMAN JONATHAN</t>
  </si>
  <si>
    <t>BARRIO BRIG BAY, CONTIGUO  CASA FAMILIA SAVERY</t>
  </si>
  <si>
    <t>FRENTE A LA CANCHA</t>
  </si>
  <si>
    <t>2411507840002Q</t>
  </si>
  <si>
    <t>BAYARDO ANTONIO BRAVO SAUNING</t>
  </si>
  <si>
    <t>SAUNING</t>
  </si>
  <si>
    <t>BO. OMAR GARCIA CLUB SOCIAL 75vrs  AL NORTE</t>
  </si>
  <si>
    <t>ETAPA NO- 4, ALAMEDA 7, CASA NO. 750</t>
  </si>
  <si>
    <t>sauningint@gmail.com</t>
  </si>
  <si>
    <t>1281507840000X</t>
  </si>
  <si>
    <t>ARELY DEL SOCORRO CASTRO GONZALEZ</t>
  </si>
  <si>
    <t>ARELY</t>
  </si>
  <si>
    <t>BO. EL CARMEN, COOPERATIVA CAMOAPAN 2C.O. 1/2C.S.</t>
  </si>
  <si>
    <t>COOPERATIVA CAMOAPAN 2CUADRA AL OESTE 1/2CUADRA AL SUR</t>
  </si>
  <si>
    <t>carely158@hotmail.com</t>
  </si>
  <si>
    <t>2881207840002B</t>
  </si>
  <si>
    <t>JORGE ISAAC RIVAS QUIÑONEZ</t>
  </si>
  <si>
    <t>CMCA.SANTA LUCIA ,ESCUELA 200 VRS.N</t>
  </si>
  <si>
    <t>ESCUELA 200 VARAS NORTE</t>
  </si>
  <si>
    <t>4010907840003L</t>
  </si>
  <si>
    <t>JENNIFER DAYANA MORALES PAVON</t>
  </si>
  <si>
    <t>DAYANA</t>
  </si>
  <si>
    <t>VILLA GUADALUPE, CONTUGUO A CECALSA</t>
  </si>
  <si>
    <t>KILOMETRO 28 1/2 CARRETERA MASAYA CONTIGUO A PLAZA PASEO, SEGUNDA CASA</t>
  </si>
  <si>
    <t>0410707840000S</t>
  </si>
  <si>
    <t>CAMILO JOSE GUTIERREZ MACIAS</t>
  </si>
  <si>
    <t>CAMILO</t>
  </si>
  <si>
    <t>MACIAS</t>
  </si>
  <si>
    <t>FRENTE A BANPRO</t>
  </si>
  <si>
    <t>PORTON DEL HOSPITAL REGIONAL, 4 CUADRAS AL SUR, 1/2 CUADRA AL OESTE.</t>
  </si>
  <si>
    <t>alkatsiu@hotmail.com</t>
  </si>
  <si>
    <t>2010107840003Q</t>
  </si>
  <si>
    <t>YAHOSKA GABRIELA TREJOS CASTILLO</t>
  </si>
  <si>
    <t>BO. LA ISLITA, PARADA DE BUSES MANAGUA 2C.E. 1/2C.S.</t>
  </si>
  <si>
    <t>PARADA DE BUSES MANAGUA 2 CUADRA ESTE. 1/2 CUADRA SUR.</t>
  </si>
  <si>
    <t>89387496 89910934</t>
  </si>
  <si>
    <t>semiya2@yahoo.com</t>
  </si>
  <si>
    <t>2412906840001N</t>
  </si>
  <si>
    <t>NERY JOSE RODRIGUEZ</t>
  </si>
  <si>
    <t>NERY</t>
  </si>
  <si>
    <t>BO. CARLOS RIZO I ETAPA 5 CALLE CASA D-117</t>
  </si>
  <si>
    <t>CASA MINSA</t>
  </si>
  <si>
    <t>0011706840054V</t>
  </si>
  <si>
    <t>MARIA TRINIDAD DELGADO GAITAN</t>
  </si>
  <si>
    <t>TRINIDAD</t>
  </si>
  <si>
    <t>RPTO.EL PERU COCO 120 VRS.NORTE</t>
  </si>
  <si>
    <t>LAS 4 ESUINAS, LA GALLERA 200 METROS AL NORTE</t>
  </si>
  <si>
    <t>0011706840006T</t>
  </si>
  <si>
    <t>JOVANNY VLADIMIR CASTELLON ESPINOZA</t>
  </si>
  <si>
    <t>JOVANNY</t>
  </si>
  <si>
    <t>RPTO.MONSERRAT,ENTRADA PRINCIPAL 2.E.2RS.N.200vrs AL NORTE</t>
  </si>
  <si>
    <t>ENTRADA PRINCIPAL, 2 CUADRAS ESTE, 220 VARAS AL NORTE</t>
  </si>
  <si>
    <t>jovcast17@hotmail.com</t>
  </si>
  <si>
    <t>2911506840001C</t>
  </si>
  <si>
    <t>MARLON JOSE CARCAMO MIRANDA</t>
  </si>
  <si>
    <t>CMCA. EL PUÑUELAR, CLINICA DE LA MUJER 100VRS. NORTE</t>
  </si>
  <si>
    <t>CLINICA DE LA MUJER 100 VRS NORTE</t>
  </si>
  <si>
    <t>4911206840002A</t>
  </si>
  <si>
    <t>JUANA MERCEDES SANCHEZ URIARTE</t>
  </si>
  <si>
    <t>QUILALÍ</t>
  </si>
  <si>
    <t>QUILALI</t>
  </si>
  <si>
    <t>BO. INSURRECCION, SALIDA A SAN PABLO.</t>
  </si>
  <si>
    <t>DE LA ESCUELA ERNESTO CARDENAL 500 METROS AL OESTE</t>
  </si>
  <si>
    <t>jumersanchez86@gmail.com</t>
  </si>
  <si>
    <t>4410806840002W</t>
  </si>
  <si>
    <t>NINOSKA AMALIA MENDIETA GONZALEZ</t>
  </si>
  <si>
    <t>BARRIO TOTOLATE ARRIBA, SHELL TOTOLATE 160VRS. N.</t>
  </si>
  <si>
    <t>GASOLINERA PUMA SAN MARTIN 150 VARAS AL NORTE SALIDA A JINOTEGA</t>
  </si>
  <si>
    <t>22535929 84822148</t>
  </si>
  <si>
    <t>0010806840016K</t>
  </si>
  <si>
    <t>TATIANA CISNEROS HERNANDEZ</t>
  </si>
  <si>
    <t>BO. EL EDEN DE DONDE FUE CINE REX 1c N.</t>
  </si>
  <si>
    <t>CINE REX 1C AL NORTE</t>
  </si>
  <si>
    <t>22498596 88517570</t>
  </si>
  <si>
    <t>tatianacisneros8@hotmail.com</t>
  </si>
  <si>
    <t>1210606840000A</t>
  </si>
  <si>
    <t>KAREN LISBETH DUARTE TORREZ</t>
  </si>
  <si>
    <t>RPTO. PALMERA REAL COSTADO SUR ESTE, CASA DE MONJAS SAN AGUSTIN 1CUADRA AL OESTE , 600MTS AL NORTE</t>
  </si>
  <si>
    <t>FUNDECI SEGUNDA  ETAPA CASA A2P-15</t>
  </si>
  <si>
    <t>23154675 86583065</t>
  </si>
  <si>
    <t>0010606840049R</t>
  </si>
  <si>
    <t>JENNIFER YAHOSKA RUIZ CISNADO</t>
  </si>
  <si>
    <t>CISNADO</t>
  </si>
  <si>
    <t>KM. 24 1/2 CARRETERA MASAYA</t>
  </si>
  <si>
    <t>KILOMETRO 24 1/2 CARRETERA A MASAYA, SOBRE LA CARRETERA</t>
  </si>
  <si>
    <t>0840506840001F</t>
  </si>
  <si>
    <t>JESSICA RAQUEL MOLINA PEÑA</t>
  </si>
  <si>
    <t>REPARTO ERICK RAMIREZ DE LA FARMACIA 1 CUADRA AL NORTE</t>
  </si>
  <si>
    <t>REPARTO ERICK RAMIREZ, ESCUELA 1C.O.</t>
  </si>
  <si>
    <t>88151799 89460905</t>
  </si>
  <si>
    <t>TRANSITO ESMERALDA RIVERA ALVARENGA</t>
  </si>
  <si>
    <t>TRANSITO</t>
  </si>
  <si>
    <t>ALVARENGA</t>
  </si>
  <si>
    <t>EL SALVADOR</t>
  </si>
  <si>
    <t>KM 129, 900 METROS AL ESTE RECIDENCIAL MONTE CIELO</t>
  </si>
  <si>
    <t>1210306840005Y</t>
  </si>
  <si>
    <t>YASSER ANTONIO MIRANDA</t>
  </si>
  <si>
    <t>BO. PEDRO JOAQUIN CHAMORRO RESTAURANTE CARACOLES NEGROS 3 1/2 C AL OESTE, JUIGALPA, CHONTALES</t>
  </si>
  <si>
    <t>DE CARACOLES NEGROS, 3 1/2 CUADRAS AL OESTE</t>
  </si>
  <si>
    <t>25125542 88298738</t>
  </si>
  <si>
    <t>yasserarafatbeteta1984@gmail.com</t>
  </si>
  <si>
    <t>2810206840011L</t>
  </si>
  <si>
    <t>FLOR DE MARIA RAMOS MANZANARES</t>
  </si>
  <si>
    <t>MANZANARES</t>
  </si>
  <si>
    <t>REPARTO CENTRO FONSECA, COLEGIO MADRE MARIA EUGENIA 2C. O. 20VRS. S.</t>
  </si>
  <si>
    <t>CENTRO DE SALUD 3 CUADRAS AL NORTE, 1 CUADRA AL ESTE</t>
  </si>
  <si>
    <t>flormariaramosmanzanares@yahoo.com</t>
  </si>
  <si>
    <t>CODIGO SANITARIO</t>
  </si>
  <si>
    <t>LEVYS YANIL ESPINOZA GUTIERREZ</t>
  </si>
  <si>
    <t>LEVYS</t>
  </si>
  <si>
    <t>YANIL</t>
  </si>
  <si>
    <t>SHELL WASPAN 4C. AL NORTE  1C. AL ESTE CASA NUM 28</t>
  </si>
  <si>
    <t>3622905840001L</t>
  </si>
  <si>
    <t>JOSE ANTONIO DIAZ OJEDA</t>
  </si>
  <si>
    <t>BO. FRANCISCO ALVAREZ, COSTADO SUR IGLESIA CATOLICA</t>
  </si>
  <si>
    <t>BO COSTADO SUR IGLESIA CATOLICA</t>
  </si>
  <si>
    <t>jadiazja@gmail.com</t>
  </si>
  <si>
    <t>4412705840004J</t>
  </si>
  <si>
    <t>JAIME DANIEL OLLA OSEJO</t>
  </si>
  <si>
    <t>OSEJO</t>
  </si>
  <si>
    <t>VILLA CHAGUITILLO, FRENTE CDI BELLOS HORIZONTES</t>
  </si>
  <si>
    <t>COMARCA CHAGUITILLO, FRENTE AL PORTON DEL CDI</t>
  </si>
  <si>
    <t>75273422, 82576555</t>
  </si>
  <si>
    <t>DOCTOR EN MEDICINA Y CIRUGIA, DOCTOR EN MEDICINA Y CIRUGIA REPOSICION POR PERDIDA</t>
  </si>
  <si>
    <t>jaimeolla2018@gmail.com</t>
  </si>
  <si>
    <t>2812705840007E</t>
  </si>
  <si>
    <t>YESENIA DEL CARMEN RUIZ BALMACEDA</t>
  </si>
  <si>
    <t>BO. GUADALUPE, FRENTE C.D.I. LOS POLLITOS DE GUADALUPE</t>
  </si>
  <si>
    <t>1RA. ETAPA, C-31 COSTADO ESTE DE LA CANCHA</t>
  </si>
  <si>
    <t>4432705840002R</t>
  </si>
  <si>
    <t>JAVIER SANCHEZ</t>
  </si>
  <si>
    <t>BO. SOR MARIA ROMERO IGLESIA OASIS DE ESPERANZA ½C. S.</t>
  </si>
  <si>
    <t>IGLECIA OASIS DE ESPERANZA 1/2C AL SUR</t>
  </si>
  <si>
    <t>diazalvaradoadalberto71@gmail.com</t>
  </si>
  <si>
    <t>0012505840071A</t>
  </si>
  <si>
    <t>ADALYS BERTILDA ROCHA RIVAS</t>
  </si>
  <si>
    <t>ADALYS</t>
  </si>
  <si>
    <t>BERTILDA</t>
  </si>
  <si>
    <t>ZONA 3, ESCUELA ARLENIS DAVILA 1\2C .S. 1\2C .O.</t>
  </si>
  <si>
    <t>ESCUELA ARLENE DAVILA 1/2 CUADRA AL SUR 1/2 CUADRA AL OESTE</t>
  </si>
  <si>
    <t>rocha_adalys@yahoo.com</t>
  </si>
  <si>
    <t>0012005840071P</t>
  </si>
  <si>
    <t>ROBERTO RENAN CUAREZMA CORTEZ</t>
  </si>
  <si>
    <t>RENAN</t>
  </si>
  <si>
    <t>RESID. BOSQUES DE ALTAMIRA III ET. FARM. 5TA. AVE. 25VRS. E. NO. 513</t>
  </si>
  <si>
    <t>BOMBA RUTA-168, 1 CUADRA ESTE, 10 CUADRAS SUR, MANO DERECHA.</t>
  </si>
  <si>
    <t>0011905840023K</t>
  </si>
  <si>
    <t>FLORYSELVA YAHOSCA CAJINA MARTINEZ</t>
  </si>
  <si>
    <t>FLORYSELVA</t>
  </si>
  <si>
    <t>BO. FRANCISCO ALVARES, GRADAS DEL CDI 1/2C. S.</t>
  </si>
  <si>
    <t>RESTAURANTE EL BOSQUECITO 1 CUADRA AL SUR, 1 CUADRA AL OESTE, 50 METROS AL NORTE.</t>
  </si>
  <si>
    <t>3211805840002A</t>
  </si>
  <si>
    <t>CLAUDIA ELENA RIOS ACUÑA</t>
  </si>
  <si>
    <t>COMARCA MUSULI, MUSULI</t>
  </si>
  <si>
    <t>DEL CENTRO DE SALUD AIDE MENESES 1 1/2 CUADRA AL ESTE, CONTIGUO A CASA MATERNA</t>
  </si>
  <si>
    <t>84358037 84242929</t>
  </si>
  <si>
    <t>2811705840005F</t>
  </si>
  <si>
    <t>DANNY ALBERTO CENTENO TREMINIO</t>
  </si>
  <si>
    <t>TREMINIO</t>
  </si>
  <si>
    <t>FRENTE AL RESTAURANTE LOS PESCADITO SSTIAVA-LEON</t>
  </si>
  <si>
    <t>FRENTE BAR LOS PESCADITOS</t>
  </si>
  <si>
    <t>23154151 85122154</t>
  </si>
  <si>
    <t>2811605840007F</t>
  </si>
  <si>
    <t>FELIPE ANTONIO ZARATE MUNGUIA</t>
  </si>
  <si>
    <t>FELIPE</t>
  </si>
  <si>
    <t>BO. EL CALVARITO, PUENTE LA GRANJA 1C. AL SUR 1C.OESTE</t>
  </si>
  <si>
    <t>CUARTA CALLE , DETRAS DE LA IGLESIA CATOLICA</t>
  </si>
  <si>
    <t>23115336 86260546 84224625</t>
  </si>
  <si>
    <t>felipe_zarate@hotmail.es</t>
  </si>
  <si>
    <t>0011505840012P</t>
  </si>
  <si>
    <t>YIDAH EUNICE MENDOZA ARAGON</t>
  </si>
  <si>
    <t>YIDAH</t>
  </si>
  <si>
    <t>BO. SAN JUDAS, ENITEL 1C, N. 1C, E, 1C, N.</t>
  </si>
  <si>
    <t>BARRIO SAN JUDAS, ENITEL 1C.NORTE 1C.ESTE 1C.NORTE</t>
  </si>
  <si>
    <t>22529896 22602787 22540115 88278017</t>
  </si>
  <si>
    <t>yemalrgm@gmail.com</t>
  </si>
  <si>
    <t>2411005840001Q</t>
  </si>
  <si>
    <t>SANDRA VANESA MOLINA REYES</t>
  </si>
  <si>
    <t>VANESA</t>
  </si>
  <si>
    <t>RESD. BOSQUES DE CAPISTRANO, KM. 14 CARRETERA MASAYA CA. NO. 219</t>
  </si>
  <si>
    <t>CARRETERA A MASAYA KM. 14, CASA # 219, BOSQUE DE CAPITRANA.</t>
  </si>
  <si>
    <t>1610605840006V</t>
  </si>
  <si>
    <t>JANETH DEL CARMEN CASCO HERRERA</t>
  </si>
  <si>
    <t>JANETH</t>
  </si>
  <si>
    <t>GASOLINERA UNO NORTE 1C. NORTE 1C. OESTE</t>
  </si>
  <si>
    <t>BO.RONALDO ARAUZ, STAR MART 1C.NORTE 1C.OESTE</t>
  </si>
  <si>
    <t>jankas25@gmail.com</t>
  </si>
  <si>
    <t>0070505840002L</t>
  </si>
  <si>
    <t>CYNTHIA PAOLA HERNANDEZ TORREZ</t>
  </si>
  <si>
    <t>CYNTHIA</t>
  </si>
  <si>
    <t>BO. MEDARDO ANDINO, FRENTE IGLESIA CATOLICA TICUANTEPE</t>
  </si>
  <si>
    <t>FRENTE A IGLESIA CATOLICA</t>
  </si>
  <si>
    <t>cynthiaht@yahoo.com</t>
  </si>
  <si>
    <t>0010405840007K</t>
  </si>
  <si>
    <t>LUIS ALBERTO PEREZ GUTIERREZ</t>
  </si>
  <si>
    <t>BONANZAS, TRIANGULO MINERO, DEL ESTADIO MUNICIPAL 200MTS A LA PISTA</t>
  </si>
  <si>
    <t>PARADA LOS COCOS 5 CUADRA ESTE, 1 1/2 CUADRA NORTE</t>
  </si>
  <si>
    <t>drluisperez@gmail.com gabrielapaniaguaorozco@gmail.com maria.paniagua@mhcp.gob.ni</t>
  </si>
  <si>
    <t>2910205840007Y</t>
  </si>
  <si>
    <t>MARICELA LISSETH MORALES SANDOVAL</t>
  </si>
  <si>
    <t>MARICELA</t>
  </si>
  <si>
    <t>CAS. LA ESPERANZA, CENTRO DE SALUD 1C.S.</t>
  </si>
  <si>
    <t>DETRAS DE LA CASA DE GOBIERNO, CASA DE ALQUILER DE CONCRETO COLOR CREMA</t>
  </si>
  <si>
    <t>27922298 58725416 58800065</t>
  </si>
  <si>
    <t>0010105840002X</t>
  </si>
  <si>
    <t>JESSICA DEL CARMEN BERMUDEZ CARMONA</t>
  </si>
  <si>
    <t>ZONA B, RESTAURANTE SHELLY 1 1/2C.E.</t>
  </si>
  <si>
    <t>RESTAURANTE EL BEJUCO 1 1/2 C AL ESTE</t>
  </si>
  <si>
    <t>25180396 88455211</t>
  </si>
  <si>
    <t>jessicaber1984@hotmail.com</t>
  </si>
  <si>
    <t>0410105840005W</t>
  </si>
  <si>
    <t>ARACELY DEL SOCORRO ABURTO MEDINA</t>
  </si>
  <si>
    <t>RPTO.ANA VIRGEN NOBLE,CASA No.6</t>
  </si>
  <si>
    <t>0012704840009F</t>
  </si>
  <si>
    <t>GABRIELA VALERIA FLORES ESTRADA</t>
  </si>
  <si>
    <t>DEL EDIFICIO ARMANDO GUIDO 3C AL S. 1/2C AL O.</t>
  </si>
  <si>
    <t>BO.SAN LUIS DEL EDIFICIO ARMANDO GUIDO 3 C SUR 1/2 AL ESTE</t>
  </si>
  <si>
    <t>draflores1984@gmail.com</t>
  </si>
  <si>
    <t>8881904840000E</t>
  </si>
  <si>
    <t>ALANA MARGOT NEVARES BERRIOS</t>
  </si>
  <si>
    <t>ALANA</t>
  </si>
  <si>
    <t>MARGOT</t>
  </si>
  <si>
    <t>BO. SAGRARIO, FTE. DDF CINE ROMAN CA. 312</t>
  </si>
  <si>
    <t>BO. SAGRARIO, FTE.DDF. CINE ROMAN CA.312</t>
  </si>
  <si>
    <t>2811604840010C</t>
  </si>
  <si>
    <t>KEYLIN MILAGRO MENDOZA GUEVARA</t>
  </si>
  <si>
    <t>MILAGRO</t>
  </si>
  <si>
    <t>BO. EL CALVARIO, EDGARD LANG 110VRS. ESTE</t>
  </si>
  <si>
    <t>HIELERA CELSA 75 VARAS AL ESTE, CASA NUMERO 10</t>
  </si>
  <si>
    <t>23103714 82861207</t>
  </si>
  <si>
    <t>0811604840006U</t>
  </si>
  <si>
    <t>ROBERTO JOSE BACA CANO</t>
  </si>
  <si>
    <t>REPARTO LA FLORIDA  VARIEDADES 6c S. 75vrs ARR.</t>
  </si>
  <si>
    <t>CASA CURAL IGLESIA GUADALUPE, 1 CUADRA AL ESTE, 1/2 AL NORTE, MANO IZQUIERDA, CASA DE RAMIRO ZEPEDA</t>
  </si>
  <si>
    <t>medicroba_2005@yahoo.com rogel38@msn.com</t>
  </si>
  <si>
    <t>0811404840004N</t>
  </si>
  <si>
    <t>ARLEN MARGARITA NARVAEZ VILLANUEVA</t>
  </si>
  <si>
    <t>BO. EL ROSARIO IND. AMOLONCA 1/2c S.</t>
  </si>
  <si>
    <t>AMOLONCA, 1/2 CUADRA AL SUR, MANO IZQUIERDA, CASA NO 4.</t>
  </si>
  <si>
    <t>23411561 88961425</t>
  </si>
  <si>
    <t>arferlindo@yahoo.es</t>
  </si>
  <si>
    <t>1641204840001Y</t>
  </si>
  <si>
    <t>JOSE ISMAEL MIRANDA VINDELL</t>
  </si>
  <si>
    <t>VINDELL</t>
  </si>
  <si>
    <t>CMCA. RIO ABAJO</t>
  </si>
  <si>
    <t>DE LA ESQUINA DE LAS GAVETAS 30VRS. AL SUR</t>
  </si>
  <si>
    <t>PRIMER GRADO EN NEFROLOGIA, ESPECIALISTA EN MEDICINA GENERAL INTEGRAL, DOCTOR EN MEDICINA</t>
  </si>
  <si>
    <t>0410504840000T</t>
  </si>
  <si>
    <t>OSCAR REYNERIO ACEVEDO PICHARDO</t>
  </si>
  <si>
    <t>REYNERIO</t>
  </si>
  <si>
    <t>TEATRO GONZALEZ 75vrs AL NORTE</t>
  </si>
  <si>
    <t>TEATRO GONZALEZ 75 VARAS. NORTE</t>
  </si>
  <si>
    <t>ozkr.r3y.acv2_050484.666@hotmail.com</t>
  </si>
  <si>
    <t>0860304840004B</t>
  </si>
  <si>
    <t>LYLLIAM MARIA ROMERO SOZA</t>
  </si>
  <si>
    <t>LYLLIAM</t>
  </si>
  <si>
    <t>RPTO. ESTELA, GRANADINO 40VRS. O.</t>
  </si>
  <si>
    <t>GRANADINO 40 VARAS AL OESTE</t>
  </si>
  <si>
    <t>4010204840003B</t>
  </si>
  <si>
    <t>CAROLINA DE LOS ANGELES CANO AGUIRRE</t>
  </si>
  <si>
    <t>RPTO, CAMILO ORTEGA PZA.  P.J. CHAMORRO 6c E. 1c S.</t>
  </si>
  <si>
    <t>PLAZA PEDRO JOAQUIN CHAMORRO 6 CUADRA ESTE 1 CUADRA SUR</t>
  </si>
  <si>
    <t>carolc174@yahoo.com</t>
  </si>
  <si>
    <t>2810104840006Q</t>
  </si>
  <si>
    <t>ARLEN CAROLINA ULLOA FLORES</t>
  </si>
  <si>
    <t>BO.SAN FELIPE,PIZARRA 1/2 C.ARRIBA</t>
  </si>
  <si>
    <t>PIZARRA DEL ESTADIO 1/2 CUADRA AL ESTE</t>
  </si>
  <si>
    <t>27132244 85188451 84902390</t>
  </si>
  <si>
    <t>carolinulloa@hotmail.com</t>
  </si>
  <si>
    <t>2013003840002B</t>
  </si>
  <si>
    <t>TATIANA DENISE GARCIA ACEVEDO</t>
  </si>
  <si>
    <t>DENISE</t>
  </si>
  <si>
    <t>BO. DOMINGAZO, SHELL EL GUAPINOL 5C.N. 1/2C.E.</t>
  </si>
  <si>
    <t>BO. DOMINGAZO, SHELL EL GUAPINOL 5C.N. C.E.</t>
  </si>
  <si>
    <t>dra.acevedo@yahoo.com</t>
  </si>
  <si>
    <t>4492703840002H</t>
  </si>
  <si>
    <t>SAYDA PATRICIA BURGOS FLORES</t>
  </si>
  <si>
    <t>SAYDA</t>
  </si>
  <si>
    <t>BO. SAN ANTONIO, CASA NATAL 4C. ESTE 1/2C. NORTE</t>
  </si>
  <si>
    <t>BO.ESPAÑA. ALCALDIA 4 1/2C AL ESTE</t>
  </si>
  <si>
    <t>4012703840006C</t>
  </si>
  <si>
    <t>NORLAN AQUILES BRAVO ORTIZ</t>
  </si>
  <si>
    <t>NORLAN</t>
  </si>
  <si>
    <t>AQUILES</t>
  </si>
  <si>
    <t>VILLA RAFAELA PADILLA CASA #180 LA  CEIBITA MASAYA</t>
  </si>
  <si>
    <t>CASA NO. 180</t>
  </si>
  <si>
    <t>86019419 87894894</t>
  </si>
  <si>
    <t>norlanic@gmail.com</t>
  </si>
  <si>
    <t>0861503840005W</t>
  </si>
  <si>
    <t>EVANGELINA DEL CARMEN PICADO ARGUELLO</t>
  </si>
  <si>
    <t>EVANGELINA</t>
  </si>
  <si>
    <t>COL. MARIO CARRILLO, INCEI  1/2 C.N.  1/2C.O</t>
  </si>
  <si>
    <t>POLICIA NACIONAL, 1/2 CUADRA OESTE</t>
  </si>
  <si>
    <t>89867209 82788839</t>
  </si>
  <si>
    <t>evangelinapicado@yahoo.es</t>
  </si>
  <si>
    <t>6161203840002E</t>
  </si>
  <si>
    <t>JIMY ERNESTO KAUFFMAN LAZO</t>
  </si>
  <si>
    <t>JIMY</t>
  </si>
  <si>
    <t>COL. EL VERDUN, CONTIGUO CENTRO DE SALUD</t>
  </si>
  <si>
    <t>81357348, 86910777</t>
  </si>
  <si>
    <t>jkdiblayin84@hotmail.com</t>
  </si>
  <si>
    <t>2810703840001R</t>
  </si>
  <si>
    <t>HELLEN XIOMARA MUNGUIA REYES</t>
  </si>
  <si>
    <t>HELLEN</t>
  </si>
  <si>
    <t>XIOMARA</t>
  </si>
  <si>
    <t>DEL COLEGIO SANTIAGO APOSTOL 1. 1/2 ESTE TELICA</t>
  </si>
  <si>
    <t>CASA CURAL 2 1/2C AL ESTE.</t>
  </si>
  <si>
    <t>0010503840039J</t>
  </si>
  <si>
    <t>MICHAEL JOSUE MEDRANO CASTELLON</t>
  </si>
  <si>
    <t>BO. CAMPO BRUCE, DDF. CINE SALINAS 3C.O. 1/2C.N. M.I.</t>
  </si>
  <si>
    <t>DEL ANTIGUO CINE SALINAS 3 CUADRAS OESTE, 1/2 CUADRA NORTE, MANO IZQUIERDA.</t>
  </si>
  <si>
    <t>0010403840001Q</t>
  </si>
  <si>
    <t>GABRIEL ANTONIO ACOSTA GONZALEZ</t>
  </si>
  <si>
    <t>LA CONQUISTA</t>
  </si>
  <si>
    <t>CMCA. LA CONQUISTA, IGL. CATOLICA 1/2C. AL SUR</t>
  </si>
  <si>
    <t>PUESTO MEDICO MIGDONIO PEREZ</t>
  </si>
  <si>
    <t>82210896, 88673512</t>
  </si>
  <si>
    <t>gabrielantonioacostagonzalez@yahoo.es</t>
  </si>
  <si>
    <t>2410303840010W</t>
  </si>
  <si>
    <t>AIDA LETICIA TALAVERA ARAUZ</t>
  </si>
  <si>
    <t>AIDA</t>
  </si>
  <si>
    <t>LETICIA</t>
  </si>
  <si>
    <t>BARRIO 5 DE JUNIO ENEL 5 1/2C. ESTE</t>
  </si>
  <si>
    <t>CONTIGUO AL CENTRO DE SALUD FRANCISCO BUITRAGO CASA # 55 EN LA FARMACIA TABAR</t>
  </si>
  <si>
    <t>22507013 27722032 88554655 88528225</t>
  </si>
  <si>
    <t>2810103840005H</t>
  </si>
  <si>
    <t>LILIETH DE LOS ANGELES ORTIZ CARCAMO</t>
  </si>
  <si>
    <t>LILIETH</t>
  </si>
  <si>
    <t>BO. SAN FELIPE, PIZARRA DEL ESTADIO 1C.E. 1C.N.</t>
  </si>
  <si>
    <t>PIZARRA ESTADIO 1 CUADRA AL ESTE 1 CUADRA AL NORTE. EN RADIO ATENAS</t>
  </si>
  <si>
    <t>23124056 84291600</t>
  </si>
  <si>
    <t>liliortizcarcamo@yahoo.es</t>
  </si>
  <si>
    <t>0012802840024L</t>
  </si>
  <si>
    <t>GLORIA GABRIELA LARGAESPADA CANALES</t>
  </si>
  <si>
    <t>DE LA IGLESIA SANTA ANA 1 CUADRA ESTE, 1 1/2 CUADRA AL SUR</t>
  </si>
  <si>
    <t>22323997 88950088 84381337</t>
  </si>
  <si>
    <t>gigi.ggcl@gmail.com</t>
  </si>
  <si>
    <t>0072502840001J</t>
  </si>
  <si>
    <t>ALEXANDER ANTONIO BOJORGE MADRIZ</t>
  </si>
  <si>
    <t>BO. SAN PEDRO, CONTIGUO A LICORERIA CUAJADA</t>
  </si>
  <si>
    <t>DETRAS DE LA GASOLINERA PETRONIC 4 CUADRAS AL SUR CASA MEDICO</t>
  </si>
  <si>
    <t>0012502840058R</t>
  </si>
  <si>
    <t>GASALY NOELI RAMOS RUGAMA</t>
  </si>
  <si>
    <t>GASALY</t>
  </si>
  <si>
    <t>NOELI</t>
  </si>
  <si>
    <t>COLONIA CENTROAMERICA DETRAS IGLESIA DE FATIMA SEGUNDO ANDEN CASA 671</t>
  </si>
  <si>
    <t>DETRAS IGLESIA DE FATIMA, ANDEN 2, CASA NO. 671</t>
  </si>
  <si>
    <t>gasalyramos@live.com</t>
  </si>
  <si>
    <t>0912102840001L</t>
  </si>
  <si>
    <t>GLADYS VIRGINIA LAINEZ CORRALES</t>
  </si>
  <si>
    <t>RPTO. SAN MATEO 2da. ENT. CASA C-5</t>
  </si>
  <si>
    <t>DE CRUZ AZUL, 21/2 CUADRA AL ESTE, MANO DERECHA</t>
  </si>
  <si>
    <t>gvlainc@gmail.com</t>
  </si>
  <si>
    <t>3612002840000D</t>
  </si>
  <si>
    <t>FRANCIS YAOSKA SANCHEZ URBINA</t>
  </si>
  <si>
    <t>BO. SAN FRANCISCO, FARM. EL PAIZA 1 1/2C.AL ESTE</t>
  </si>
  <si>
    <t>DE LA FARMACIA EL PAIZA 1C. AL ESTE</t>
  </si>
  <si>
    <t>frair13@gmail.com</t>
  </si>
  <si>
    <t>1611802840004A</t>
  </si>
  <si>
    <t>JEITYN JOSUE GARCIA RUIZ</t>
  </si>
  <si>
    <t>JEITYN</t>
  </si>
  <si>
    <t>BO. ARISTEO BENAVIDEZ, ENABAS 1 1/2C. AL ESTE</t>
  </si>
  <si>
    <t>ENABAS 1 1/2 CUADRA ESTE</t>
  </si>
  <si>
    <t>jeitynjosuegarciaruiz@yahoo.es</t>
  </si>
  <si>
    <t>1211502840004X</t>
  </si>
  <si>
    <t>MARIO GERCEN LAZO GUERRERO</t>
  </si>
  <si>
    <t>GERCEN</t>
  </si>
  <si>
    <t>BO. VIRGEN MARIA FERRETERIA BLANDON MORENO 2 1/2c E.</t>
  </si>
  <si>
    <t>INSTITUTO DE MEDICINA NATURAL 70 METROS AL NORTE 10 METROS AL ESTE</t>
  </si>
  <si>
    <t>0021202840003V</t>
  </si>
  <si>
    <t>DEYANIRA DEL CARMEN MUNGUIA ESTRADA</t>
  </si>
  <si>
    <t>RESD. CIUDAD DORAL, KM 17 1/2 CARRETERA NUEVA LEON LOTE N°175</t>
  </si>
  <si>
    <t>KM 17.5 CARRETERA  NUEVA  A  LEON  CALLE 11 AVENIDA 12 CASA  #O-175</t>
  </si>
  <si>
    <t>estradadeyanira92@yahoo.es</t>
  </si>
  <si>
    <t>1610902840004F</t>
  </si>
  <si>
    <t>LESLY NOHELIA ALTAMIRANO CANALES</t>
  </si>
  <si>
    <t>LESLY</t>
  </si>
  <si>
    <t>NOHELIA</t>
  </si>
  <si>
    <t>BO. JUANA ELENA MENDOZA, COST. S. CA. PELLAS 2C. 1/2C. E.</t>
  </si>
  <si>
    <t>COSTADO SUR  DE CASA PELLAS 2 CUADRAS AL ESTE 1/2 CUADRA AL NORTE.</t>
  </si>
  <si>
    <t>lesly.altamirano@gmail.com</t>
  </si>
  <si>
    <t>2910702840001J</t>
  </si>
  <si>
    <t>BERNABE EDGARDO ACOSTA SILVA</t>
  </si>
  <si>
    <t>BERNABE</t>
  </si>
  <si>
    <t>EDGARDO</t>
  </si>
  <si>
    <t>BARRIO C. SANCHEZ, DE PETRONIC 1/2C.O.</t>
  </si>
  <si>
    <t>FRENTE AL TEMPLO ADVENTISTA EVENCER</t>
  </si>
  <si>
    <t>acostasilvabernabe@yahoo.es</t>
  </si>
  <si>
    <t>2810602840005M</t>
  </si>
  <si>
    <t>JAVIER ISAAC ZAMORA CARRION</t>
  </si>
  <si>
    <t>BO. ZARAGOZA, IGL. 1 1/2C, E.</t>
  </si>
  <si>
    <t>IGLESIA 1 1/2 CUADRA AL  ESTE</t>
  </si>
  <si>
    <t>4910302840000C</t>
  </si>
  <si>
    <t>LUIS ALFREDO IZAGUIRRE CRUZ</t>
  </si>
  <si>
    <t>BO. LOS CITRICOS, FRENTE TALLER SEVILLA</t>
  </si>
  <si>
    <t>CITRICO DEL JUZGADO 2 CUADRAS AL SUR 1 /2 CUADRA AL ESTE 1/2 CUADRA AL SUR</t>
  </si>
  <si>
    <t>luizaguirre030284@gmail.com</t>
  </si>
  <si>
    <t>6070202840003V</t>
  </si>
  <si>
    <t>TANJA SAHRA KRAMER</t>
  </si>
  <si>
    <t>TANJA</t>
  </si>
  <si>
    <t>SAHRA</t>
  </si>
  <si>
    <t>BO. EL CARMEN, DE LA FARMACIA SANDIGO 1c AL NORTE FRENTE DE LA DOCTORA GRECTHE MARTINEZ</t>
  </si>
  <si>
    <t>DEL CASINO ATLANTIC CITY 1 CUADRA AL SUR, 2 1/2 CUADRA AL OESTE</t>
  </si>
  <si>
    <t>saharaw78@hotmail.com</t>
  </si>
  <si>
    <t>4080102840000E</t>
  </si>
  <si>
    <t>MAYLING AUXILIADORA CARBALLO BARQUERO</t>
  </si>
  <si>
    <t>MAYLING</t>
  </si>
  <si>
    <t>BARQUERO</t>
  </si>
  <si>
    <t>BO. CARLOS FONSECA COSTADO OESTE GASOLINERA UNO</t>
  </si>
  <si>
    <t>COSTADO OESTE GASOLINERA UNO</t>
  </si>
  <si>
    <t>macv010284@gmail.com</t>
  </si>
  <si>
    <t>2813001840012Q</t>
  </si>
  <si>
    <t>KENIA MARIA MELENDEZ</t>
  </si>
  <si>
    <t>COSTADO NORTE DEL PARQUE SAN FELIPE, MEDIA CUADRA AL OESTE</t>
  </si>
  <si>
    <t>COSTADO NORTE PARQUE 1/2 CUADRA AL OESTE.</t>
  </si>
  <si>
    <t>drakmarimelendez@gmail.com</t>
  </si>
  <si>
    <t>6262701840002X</t>
  </si>
  <si>
    <t>LETTY MELODEEN SINCLAIR DAVIS</t>
  </si>
  <si>
    <t>LETTY</t>
  </si>
  <si>
    <t>MELODEEN</t>
  </si>
  <si>
    <t>DAVIS</t>
  </si>
  <si>
    <t>BO. SANTA ROSA, SECTOR LAGUNA, DETRAS DEL HOSPEDAJE CLAUDIA NO.2</t>
  </si>
  <si>
    <t>UP TOWN</t>
  </si>
  <si>
    <t>lettysinclair@yahoo.com</t>
  </si>
  <si>
    <t>4012601840000F</t>
  </si>
  <si>
    <t>GEMA ROBERTA FLORES ACEVEDO</t>
  </si>
  <si>
    <t>ROBERTA</t>
  </si>
  <si>
    <t>BO. RIGUERO NORTE, NUEVO DIARIO 1C, O. 2C, N.</t>
  </si>
  <si>
    <t>DEL NUEVO DIARIO 1CUADRA OESTE 2CUADRA NORTE</t>
  </si>
  <si>
    <t>22525967 88612817</t>
  </si>
  <si>
    <t>grobertajp@gmail.com</t>
  </si>
  <si>
    <t>0012001840046L</t>
  </si>
  <si>
    <t>GEISSEL NAYARET MIDENCE LOPEZ</t>
  </si>
  <si>
    <t>GEISSEL</t>
  </si>
  <si>
    <t>NAYARET</t>
  </si>
  <si>
    <t>RPTO. MIRAFLORES, DE DONDE FUE RESTAURANTE MUNICH 10 VRS S. M/I</t>
  </si>
  <si>
    <t>RPTO.MIRAFLORES, REST. MUNICH 10VRS.SUR M/I.</t>
  </si>
  <si>
    <t>coralmidence84@gmail.com</t>
  </si>
  <si>
    <t>0011701840019A</t>
  </si>
  <si>
    <t>IDANIA GUADALUPE LOPEZ SALAZAR</t>
  </si>
  <si>
    <t>IDANIA</t>
  </si>
  <si>
    <t>BO. FERNANDO SALAZAR, CEMENTERIO VIEJO 3 1/2c S.</t>
  </si>
  <si>
    <t>CEMENTERIO VIEJO 3 1/2 CUADRA AL SUR</t>
  </si>
  <si>
    <t>23132525 89293749</t>
  </si>
  <si>
    <t>ainadi_1722@hotmail.com</t>
  </si>
  <si>
    <t>0810801840001C</t>
  </si>
  <si>
    <t>ARLEN BETHXAVEE MARTINEZ MARTINEZ</t>
  </si>
  <si>
    <t>BETHXAVEE</t>
  </si>
  <si>
    <t>RPTO. MONSERRAT, IGLESIA PILAR 1c ABAJO 1c NORTE</t>
  </si>
  <si>
    <t>IGLESIA PILAR 1 CUADRA OESTE 1 CUADRA AL NORTE</t>
  </si>
  <si>
    <t>3240801840002E</t>
  </si>
  <si>
    <t>SORO BOBEL GUERRERO LOPEZ</t>
  </si>
  <si>
    <t>SORO</t>
  </si>
  <si>
    <t>BOBEL</t>
  </si>
  <si>
    <t>CMCA. LA PLAZUELA, ESCUELA 500MTS.S.</t>
  </si>
  <si>
    <t>PIPITOS 4 CUADRAS AL ESTE</t>
  </si>
  <si>
    <t>guerreroocde@yahoo.es</t>
  </si>
  <si>
    <t>1630801840001D</t>
  </si>
  <si>
    <t>CESAR ADOLFO GONZALEZ LIRA</t>
  </si>
  <si>
    <t>BO. JOSE SANTOS ZELAYA, POLICIA DE TRANCITO. 4 1/2C. E.G</t>
  </si>
  <si>
    <t>ESQUINA DE LOS BANCOS 3 CUADRAS AL OESTE 1/2 CUADRA AL NORTE</t>
  </si>
  <si>
    <t>seseu@yahoo.com</t>
  </si>
  <si>
    <t>0010601840026J</t>
  </si>
  <si>
    <t>LILIA ELBA WILSON CHOW</t>
  </si>
  <si>
    <t>LILIA</t>
  </si>
  <si>
    <t>BO. SANTA ROSA, SECTOR NO. 5 CALLE MALECON DE DONDE FUE CASA ING. FORGES 20 VRS E.</t>
  </si>
  <si>
    <t>SECTOR V BAJADADONDE FUE INGENIERO  WARD FORBES</t>
  </si>
  <si>
    <t>lewch84@hotmail.com</t>
  </si>
  <si>
    <t>0010401840019W</t>
  </si>
  <si>
    <t>DORIS YAHOSKA JARQUIN GAITAN</t>
  </si>
  <si>
    <t>DORIS</t>
  </si>
  <si>
    <t>BO. LAS CONCHITAS CALLEJON LOS MELENDEZ ULTIMA CASA M/I</t>
  </si>
  <si>
    <t>KM 15.5 CARRETERA TICUANTEPE DE LA PARADA EL NANCITE , 200 MTS OESTE CASA ESQUINERA M/D.</t>
  </si>
  <si>
    <t>22796351 84778873</t>
  </si>
  <si>
    <t>2413012830002L</t>
  </si>
  <si>
    <t>RAFAEL DE JESÚS CASTELLÓN SEQUEIRA</t>
  </si>
  <si>
    <t>BARRIO PAULA ÚBEDA ASOGANOR 3 CUADRAS AL NORTE</t>
  </si>
  <si>
    <t>ASOGANOR 3C. AL NORTE M/I</t>
  </si>
  <si>
    <t>27132338 89266630</t>
  </si>
  <si>
    <t>farmachava@gmail.com</t>
  </si>
  <si>
    <t>2022912830001E</t>
  </si>
  <si>
    <t>EVELING DEL CARMEN BRICEÑO BRICEÑO</t>
  </si>
  <si>
    <t>COMARCA. BREÑAS No. 2 COSTADO NORTE BLOQUERA SANTA ANA</t>
  </si>
  <si>
    <t>COSTADO NORTE DE LA BLOQUERA SANTA ANA</t>
  </si>
  <si>
    <t>0012612830006H</t>
  </si>
  <si>
    <t>FRANCISCO JOSE MARTÍNEZ GUERRERO</t>
  </si>
  <si>
    <t>BO. FRANCISCO MEZA DE DONDE FUE RADIO OND DE LUZ  2C.E 1C. N.</t>
  </si>
  <si>
    <t>DE RADIO HONDA DE LUZ 2C.ESTE. 1C.NORTE.</t>
  </si>
  <si>
    <t>22509845 89394979</t>
  </si>
  <si>
    <t>fmartinezg2010@hotmail.com</t>
  </si>
  <si>
    <t>2812312830005U</t>
  </si>
  <si>
    <t>EMERSON RAFAEL RUIZ URCUYO</t>
  </si>
  <si>
    <t>BO. RUFINO LOPEZ 2C. SUR</t>
  </si>
  <si>
    <t>DDF ENCAFE 1 CUADRA AL NORTE</t>
  </si>
  <si>
    <t>27781075 89284890</t>
  </si>
  <si>
    <t>ruizurcuyo@hotmail.com</t>
  </si>
  <si>
    <t>2832212830000W</t>
  </si>
  <si>
    <t>MARBELI ALISSETH ALTAMIRANO GARCIA</t>
  </si>
  <si>
    <t>ALISSETH</t>
  </si>
  <si>
    <t>BO. CARLOS NUÑEZ TRANSAGRO 3C. O. 2C. S.</t>
  </si>
  <si>
    <t>B. CARLOS NUÑEZ, TRANSAGRO 3C. OESTE . 2C. SUR</t>
  </si>
  <si>
    <t>22520765 89469476</t>
  </si>
  <si>
    <t>dra.marbelyaltamirano@hotmail.com</t>
  </si>
  <si>
    <t>0012212830022R</t>
  </si>
  <si>
    <t>JOSE NEPTALY MORALES AGUILAR</t>
  </si>
  <si>
    <t>NEPTALY</t>
  </si>
  <si>
    <t>BO. PANTASMA, ENTRADA NORTE CENTRO COMERCIAL MANAGUA 1C. E. 1/2C. S. CASA NO.27</t>
  </si>
  <si>
    <t>ENTRADA NORTE CENTRO COMERCIAL MANAGUA 1 CUADRA AL SUR, 1/2 CUADRA AL ESTE, C-27</t>
  </si>
  <si>
    <t>nefaguilar@yahoo.com</t>
  </si>
  <si>
    <t>0011912830009V</t>
  </si>
  <si>
    <t>ORLANDO JOSE TORUÑO GOMEZ</t>
  </si>
  <si>
    <t>ORLANDO</t>
  </si>
  <si>
    <t>BO. BATAHOLA SUR, DE DONDE FUE EMBAJADA AMERICANA 2C.O.1. 1/2C. S. CA. N° B-21</t>
  </si>
  <si>
    <t>BO.BATAHOLA SUR, EMB.USA 2C.O. 1 1/2 C.S. CA.B-21</t>
  </si>
  <si>
    <t>87683338, 88686986</t>
  </si>
  <si>
    <t>toruo1920@gmail.com</t>
  </si>
  <si>
    <t>0841012830001L</t>
  </si>
  <si>
    <t>ALBERTO JAVIER YURITZZA VIDAURRE</t>
  </si>
  <si>
    <t>VIDAURRE</t>
  </si>
  <si>
    <t>BO. MERCEDES, ESQ. OPUESTA GASOLINERA TEXACO COST. O.</t>
  </si>
  <si>
    <t>COSTADO OESTE GASOLINERA UNO.</t>
  </si>
  <si>
    <t>23432594 85724690</t>
  </si>
  <si>
    <t>4011012830004C</t>
  </si>
  <si>
    <t>JOSUE DAVID GONZALEZ PEREZ</t>
  </si>
  <si>
    <t>VILLA FLOR SUR, FARMACIA VI FLOR 3C.S, 1/2C.E, CASA N° 51</t>
  </si>
  <si>
    <t>VILLA FLOR SUR, FARM.VI. FLOR 2C.S. 1/2C.E. CA.NO.51</t>
  </si>
  <si>
    <t>LICENCIADO EN MEDICINA ORIENTAL</t>
  </si>
  <si>
    <t>2831012830000V</t>
  </si>
  <si>
    <t>ERGIN PAUL RODRIGUEZ SILVA</t>
  </si>
  <si>
    <t>ERGIN</t>
  </si>
  <si>
    <t>FINCA EL COYOLITO</t>
  </si>
  <si>
    <t>CRUZ ROJA 4C AL 1/2C AL SUR</t>
  </si>
  <si>
    <t>erodpa2009@yahoo.com</t>
  </si>
  <si>
    <t>4010912830004A</t>
  </si>
  <si>
    <t>VANESSA DEL CARMEN CENTENO DELGADO</t>
  </si>
  <si>
    <t>BO. NUEVO, IGLESIA EL CALVARIO 2C.O. 1/2C.N.</t>
  </si>
  <si>
    <t>IGLESIA EL CALVARIO 2 CUADRA AL OESTE, 1/2 CUADRA AL NORTE</t>
  </si>
  <si>
    <t>4010912830005B</t>
  </si>
  <si>
    <t>JACKELINE DE LOS ANGELES LOPEZ GARCIA</t>
  </si>
  <si>
    <t>BO. MONIMBO. 4 ESQUINAS 1C.O. 1C.S</t>
  </si>
  <si>
    <t>DE LAS  4 ESQUINAS 1 CUADRA SUR 1 CUADRA OESTE</t>
  </si>
  <si>
    <t>jackdios777@gmail.com</t>
  </si>
  <si>
    <t>0820812830000V</t>
  </si>
  <si>
    <t>MARVIN FERMIN SALGADO OVIEDO</t>
  </si>
  <si>
    <t>BO. SAN MARTIN ENIMPORT 2c ABAJO</t>
  </si>
  <si>
    <t>DONDE FUE ENIMPORT 2CUADRAS AL OESTE</t>
  </si>
  <si>
    <t>23425318 89320285</t>
  </si>
  <si>
    <t>3210412830003W</t>
  </si>
  <si>
    <t>FRANCISCO JAVIER CASTRO ARTOLA</t>
  </si>
  <si>
    <t>BO. LOS MAESTRO SECTOR No. 19, IGLESIA BAUTISTA EL MESIAS 3c AL NORTE</t>
  </si>
  <si>
    <t>SEGUNDA IGLESIA BAUTISTA EL MESIAS 3 CUADRAS  AL NORTE</t>
  </si>
  <si>
    <t>frankart0307@yahoo.es</t>
  </si>
  <si>
    <t>2412811830006E</t>
  </si>
  <si>
    <t>ANIELKA CELINA ALTAMIRANO ARAUZ</t>
  </si>
  <si>
    <t>CELINA</t>
  </si>
  <si>
    <t>BO.CARLOS MARK DEL DISTRITO VI 1C.ARRIBA 1/2AL SUR 1C.ABAJO</t>
  </si>
  <si>
    <t>HOSPITAL 2 CUADRAS Y MEDIAS AL OESTE</t>
  </si>
  <si>
    <t>3622711830000A</t>
  </si>
  <si>
    <t>ENNER ALEJANDRO MEJIA URBINA</t>
  </si>
  <si>
    <t>ENNER</t>
  </si>
  <si>
    <t>BO. P.J.CH. ESSO 3 1/2C, O.</t>
  </si>
  <si>
    <t>GASOLINERA UNO, 5 CUADRAS SUR, 1/2 CUADRA OESTE, 30 VARAS SUR</t>
  </si>
  <si>
    <t>86244617 62244617</t>
  </si>
  <si>
    <t>0812211830002E</t>
  </si>
  <si>
    <t>GLORIA MARIA CACERES DIAZ</t>
  </si>
  <si>
    <t>BO. EL CALVARIO, GALLO  Y VILLA 1c ARRIBA 1/2c NORTE</t>
  </si>
  <si>
    <t>PARQUE LAS ROSAS, 2 CUADRAS AL OESTE, 1/2 CUADRA AL NORTE</t>
  </si>
  <si>
    <t>23418419 81935010</t>
  </si>
  <si>
    <t>1612011830004T</t>
  </si>
  <si>
    <t>LIDIA VANESSA TALAVERA GUTIERREZ</t>
  </si>
  <si>
    <t>SECTOR NO.6, ENITEL 1 1/2C.SUR</t>
  </si>
  <si>
    <t>INSS 4 CUADRAS AL SUR</t>
  </si>
  <si>
    <t>lidiavanessa70@hotmail.com</t>
  </si>
  <si>
    <t>0811911830000V</t>
  </si>
  <si>
    <t>MARIA JOSE POVEDA MARTINEZ</t>
  </si>
  <si>
    <t>KM 9 CARRETERA NUEVA A LEON CONTIGUO A RESIDENCIA MOTASTEPE RESIDENCIAL GUAYACAN</t>
  </si>
  <si>
    <t>KM 9 CARRETERA NUEVA A LEON</t>
  </si>
  <si>
    <t>0841911830004C</t>
  </si>
  <si>
    <t>KAROL SUYEN PAGUAGA ESTRADA</t>
  </si>
  <si>
    <t>KAROL</t>
  </si>
  <si>
    <t>COSTADO OESTE MERCADO CENTRAL</t>
  </si>
  <si>
    <t>COSTADO OESTE MERCADO MUNICIPAL</t>
  </si>
  <si>
    <t>0841711830000T</t>
  </si>
  <si>
    <t>NORLAN OSMAN NICARAGUA REYES</t>
  </si>
  <si>
    <t>BO. JUAN JOSE BRICEÑO, SUPERMERCADO PALI 3C. O. 1/2C. N.</t>
  </si>
  <si>
    <t>PALI, 3 CUADRAS OESTE, 1/2 CUADRA NORTE.</t>
  </si>
  <si>
    <t>21797666 76303323</t>
  </si>
  <si>
    <t>likenica@hotmail.com</t>
  </si>
  <si>
    <t>3231511830002X</t>
  </si>
  <si>
    <t>JARVIN URIEL TINOCO MORENO</t>
  </si>
  <si>
    <t>JARVIN</t>
  </si>
  <si>
    <t>DE LA CASONA 100 VARAS AL OESTE</t>
  </si>
  <si>
    <t>0011111830065H</t>
  </si>
  <si>
    <t>JENNIFER ZULEYKA SANTAMARIA URROZ</t>
  </si>
  <si>
    <t>ZULEYKA</t>
  </si>
  <si>
    <t>RESD. JARDINES DE VERACRUZ ROTONDA 7C.S. 1/2C.E. CASA N° J-8</t>
  </si>
  <si>
    <t>COL.JARDINES DE VERACRUZ,ROTONDA 7C.S. 1/2C.E. J-8</t>
  </si>
  <si>
    <t>1610911830004U</t>
  </si>
  <si>
    <t>ZAIDA KARELIA JARQUIN MARTINEZ</t>
  </si>
  <si>
    <t>ZAIDA</t>
  </si>
  <si>
    <t>OB. HEROES Y MARTIRES ESCUELA RUBEN DARIO 1/2C. N.</t>
  </si>
  <si>
    <t>SUPERMERCADO SAN SEBASTIAN 1-1/2 CUADRA AL ESTE.</t>
  </si>
  <si>
    <t>zkareliaj@gmail.com</t>
  </si>
  <si>
    <t>0010811830031P</t>
  </si>
  <si>
    <t>DAMARIS CAROLINA VARGAS UGARTE</t>
  </si>
  <si>
    <t>AXO.JARDINES VERACRUZ CASA C-43 M.D.</t>
  </si>
  <si>
    <t>ROTONDA 1 CUADRA OESTE 1/2 CUADRA SUR CASA C-43 MANO DERECHA</t>
  </si>
  <si>
    <t>damarisvargasugarte@yahoo.com</t>
  </si>
  <si>
    <t>2840711830000A</t>
  </si>
  <si>
    <t>PATRICIA ISABEL ESPINOZA RODRIGUEZ</t>
  </si>
  <si>
    <t>RPTO. JAIRO PEREZ III ETAPA CEMENTERIO NUEVO 1C. ABAJO 2C.AL SUR</t>
  </si>
  <si>
    <t>CEMENTERIO NUEVO 1 CUADRA AL OESTE 2 CUADRAS AL SUR.</t>
  </si>
  <si>
    <t>23131072 89281133</t>
  </si>
  <si>
    <t>patiisabel@75yahoo.com</t>
  </si>
  <si>
    <t>4410511830008K</t>
  </si>
  <si>
    <t>LEANA MARCELA TRAVERS GONZALEZ</t>
  </si>
  <si>
    <t>LEANA</t>
  </si>
  <si>
    <t>RPTO. EL MOLINO, PUENTA SALIDA JINOTEGA 50V.O.</t>
  </si>
  <si>
    <t>KM 9 CARRETERA NUEVA A LEON, DEL PUENTE, 1C. AL OESTE.</t>
  </si>
  <si>
    <t>27724890 88442139</t>
  </si>
  <si>
    <t>4510411830000X</t>
  </si>
  <si>
    <t>MIGUEL ANGEL CRUZ HUETE</t>
  </si>
  <si>
    <t>BO. WALTER CALDERON, DE LA QUESERA 1/2C.N.</t>
  </si>
  <si>
    <t>QUESERA 1/2 CUADRA AL NORTE</t>
  </si>
  <si>
    <t>0013010830030E</t>
  </si>
  <si>
    <t>GABRIEL AMARU ORTEGA LOPEZ</t>
  </si>
  <si>
    <t>AMARU</t>
  </si>
  <si>
    <t>COL. INDEPENDENCIA, ZUMEN 2C, S. 1C, E. 1C, S.</t>
  </si>
  <si>
    <t>PARQUE 7 1/2 CUADRA SUR.</t>
  </si>
  <si>
    <t>22600356 22936895 88511375</t>
  </si>
  <si>
    <t>4012910830003E</t>
  </si>
  <si>
    <t>ANA CECILIA JOSE PAVON</t>
  </si>
  <si>
    <t>VILLA BOSCO MONGE, CASA ESPAÑOLA NO.20</t>
  </si>
  <si>
    <t>IGLESIA CALVARIO 200 METROS AL ESTE</t>
  </si>
  <si>
    <t>87238524 76790361</t>
  </si>
  <si>
    <t>anace_291083@yahoo.es</t>
  </si>
  <si>
    <t>1612710830001Y</t>
  </si>
  <si>
    <t>EVELYN MORALES VALDIVIA</t>
  </si>
  <si>
    <t>EVELYN</t>
  </si>
  <si>
    <t>BO. ESTELI HEROICO ERMITA 2C. ESTE</t>
  </si>
  <si>
    <t>COSTADO NORTE ERMITA EL ROSARIO 2 CUADRAS AL ESTE</t>
  </si>
  <si>
    <t>emoralesvaldivia@yahoo.com</t>
  </si>
  <si>
    <t>0872610830001K</t>
  </si>
  <si>
    <t>DONALD ENOC GUEVARA CARRANZA</t>
  </si>
  <si>
    <t>ENOC</t>
  </si>
  <si>
    <t>ZONA NO.5, TERMINAL RUTA 115, 3C. E. 5C. N. 25VRS. E.</t>
  </si>
  <si>
    <t>TERMINAL RUTA 115 3 CUADRAS AL ESTE, 6 CUADRAS AL NORTE</t>
  </si>
  <si>
    <t>gdonaldenoc@yahoo.es</t>
  </si>
  <si>
    <t>2812210830005E</t>
  </si>
  <si>
    <t>ERICKA YESENIA BACA VARGAS</t>
  </si>
  <si>
    <t>BO. SARAGOZA IGLESIA 2c. N. 1c AB.</t>
  </si>
  <si>
    <t>IGLESIA ZARAGOZA 2 CUADRAS AL NORTE, 1 CUADRA AL OESTE</t>
  </si>
  <si>
    <t>1612110830011W</t>
  </si>
  <si>
    <t>ELMA TATIANA SANDOVAL TALAVERA</t>
  </si>
  <si>
    <t>ELMA</t>
  </si>
  <si>
    <t>DE LOS BANCOS 1 AL SUR MEDIA AL ESTE</t>
  </si>
  <si>
    <t>BO. MILENIA HERNANDEZ, BANCOS 1C.S. ½C.E.</t>
  </si>
  <si>
    <t>6042010830004R</t>
  </si>
  <si>
    <t>JESSENIA LILLY JARQUIN ROMERO</t>
  </si>
  <si>
    <t>LILLY</t>
  </si>
  <si>
    <t>CMCA.LOS COCOS, ESCUELA 100VRS. O.</t>
  </si>
  <si>
    <t>COMARCA LOS COCOS, ESCUELA 100 VRS OESTE</t>
  </si>
  <si>
    <t>MEDICO GENERAL NATURO - ORTOPATICO</t>
  </si>
  <si>
    <t>alfonsocisneros256@gmail.com</t>
  </si>
  <si>
    <t>4461910830001N</t>
  </si>
  <si>
    <t>ISAAC ZELEDON TORREZ</t>
  </si>
  <si>
    <t>SAN DIONISIO</t>
  </si>
  <si>
    <t>BO. WILMER ICABALZETA, DE LA CANCHA MULTIUSO 2C.O.</t>
  </si>
  <si>
    <t>CASA MATERNA, 1/2 CUADRA AL NORTE.</t>
  </si>
  <si>
    <t>8881210830001K</t>
  </si>
  <si>
    <t>MARIA ADILIA RUIZ RODRIGUEZ</t>
  </si>
  <si>
    <t>COSTA RICA</t>
  </si>
  <si>
    <t>RESIDENCIAL VILLAS DE STA FE # 29</t>
  </si>
  <si>
    <t>RESIDENCIAL VILLAS DE STA FE 29</t>
  </si>
  <si>
    <t>2811110830006G</t>
  </si>
  <si>
    <t>ROXANA MARCELA VEGAS SALAZAR</t>
  </si>
  <si>
    <t>Bo. SAN CRISTOBAL, DE LOS SEMAFOROS EL PARAISITO 2C AL SUR 2C ABAJO 1\2 C AL SUR</t>
  </si>
  <si>
    <t>IGLESIA SAN FELIPE 2 CUADRA AL ESTE</t>
  </si>
  <si>
    <t>rodrianasalaz@gmail.com</t>
  </si>
  <si>
    <t>0821110830000P</t>
  </si>
  <si>
    <t>JOSE SAMUEL ARAUJO GARACHE</t>
  </si>
  <si>
    <t>SAMUEL</t>
  </si>
  <si>
    <t>GARACHE</t>
  </si>
  <si>
    <t>RPTO. MONSERRAT, ENTRADA PRINCIPAL 1C.E.</t>
  </si>
  <si>
    <t>ENTRADA PRINCIPAL, 1 CUADRA ESTE</t>
  </si>
  <si>
    <t>jose.garache@yahoo.es</t>
  </si>
  <si>
    <t>0010910830028G</t>
  </si>
  <si>
    <t>JEZAREL OVIDIO MAYORGA GUTIERREZ</t>
  </si>
  <si>
    <t>JEZAREL</t>
  </si>
  <si>
    <t>OVIDIO</t>
  </si>
  <si>
    <t>BELLO ORIZONTE ROTONDA 3C AL SUR 1C ABAJO</t>
  </si>
  <si>
    <t>RESIDENCIAL MAYALES AGUJA 1 CUADRAQ AL OESTE 4 C. AL SUR CASA NO-97</t>
  </si>
  <si>
    <t>22490536 86771158</t>
  </si>
  <si>
    <t>0810810830007X</t>
  </si>
  <si>
    <t>YAMILETH DEL SOCORRO GUTIERREZ MAIRENA</t>
  </si>
  <si>
    <t>BO. ZONA No.3 CONT. GASOLINERA TEXACO</t>
  </si>
  <si>
    <t>CONTIGUO GASOLINERA TEXACO</t>
  </si>
  <si>
    <t>guma1904@yahoo.es</t>
  </si>
  <si>
    <t>0010710830015N</t>
  </si>
  <si>
    <t>GLADYS TAMARA VALLE CALERO</t>
  </si>
  <si>
    <t>BO. BELLO AMANECER DEL CENTRO DE SALUD 2C. AL LAGO, 1/2C. ABAJO</t>
  </si>
  <si>
    <t>DEL CENTRO DE SALUD, 2 CUADRAS  AL NORTE 1/2 CUADRA AL  OESTE</t>
  </si>
  <si>
    <t>2810610830003S</t>
  </si>
  <si>
    <t>ENGELS ELIZABETH LOPEZ HERNANDEZ</t>
  </si>
  <si>
    <t>ENGELS</t>
  </si>
  <si>
    <t>RPTO. JUAN RAMON SAMPSON COST.S. COLEG.M.MA. EUGENIA 2C. O</t>
  </si>
  <si>
    <t>DEL JUZGADO 1 CUADRA AL SUR 1 CUADRA AL OESTE</t>
  </si>
  <si>
    <t>27822488 86084080 82721408</t>
  </si>
  <si>
    <t>engelslhdez@yahoo.es</t>
  </si>
  <si>
    <t>1210610830003K</t>
  </si>
  <si>
    <t>MARTIR ENRIQUE RAMIREZ MARTINEZ</t>
  </si>
  <si>
    <t>MARTIR</t>
  </si>
  <si>
    <t>BO. SAN ANTONIO, BODEGA INAA 130 VRS. OESTE</t>
  </si>
  <si>
    <t>BODEGA INAA 130 VARAS AL OESTE</t>
  </si>
  <si>
    <t>enriqueramirez_m@yahoo.es</t>
  </si>
  <si>
    <t>4880210830001G</t>
  </si>
  <si>
    <t>ENGHELL OMAR MARTINEZ FLORES</t>
  </si>
  <si>
    <t>ENGHELL</t>
  </si>
  <si>
    <t>WASLALA</t>
  </si>
  <si>
    <t>BO.28 DE AGOSTO CONTIGUO A TALLER EL GALLO</t>
  </si>
  <si>
    <t>CONTIGO A PULEPERIA MODERNA</t>
  </si>
  <si>
    <t>enghi29@gmail.com</t>
  </si>
  <si>
    <t>0012909830011A</t>
  </si>
  <si>
    <t>CHARLES DARWIN LOPEZ COLEMAN</t>
  </si>
  <si>
    <t>CHARLES</t>
  </si>
  <si>
    <t>BO. JUSTO FLORES, ESTADIO DE BEISBOL RUFO  MARIN 2C.S</t>
  </si>
  <si>
    <t>ESTADIO DE BASEBALL RUFO MARIN 2 CUADRAS AL SUR</t>
  </si>
  <si>
    <t>27141851 89043360</t>
  </si>
  <si>
    <t>charlic095@gmail.com</t>
  </si>
  <si>
    <t>0012409830016U</t>
  </si>
  <si>
    <t>ERNESTO FRANCISCO ULLOA MARADIAGA</t>
  </si>
  <si>
    <t>BO. SAN PEDRO, CONSORSIO MEDICO DEL HOSPITAL REGIONAL ERNESTO SEQUEIRA BLANCO</t>
  </si>
  <si>
    <t>HOSPEDAJE WASLALA 3 CUADRAS AL OESTE</t>
  </si>
  <si>
    <t>ulloamara@gmail.com</t>
  </si>
  <si>
    <t>4042209830001H</t>
  </si>
  <si>
    <t>MAYRO LEONEL CARBALLO NICARAGUA</t>
  </si>
  <si>
    <t>MAYRO</t>
  </si>
  <si>
    <t>BO. CRISTOBAL CARBALLO, IGLESIA EL CALVARIO 30VRS. S.</t>
  </si>
  <si>
    <t>COSTADO SUR MIRADOR</t>
  </si>
  <si>
    <t>75059599, 87080954</t>
  </si>
  <si>
    <t>75441234 88238560</t>
  </si>
  <si>
    <t>maynorle13@gmail.com</t>
  </si>
  <si>
    <t>1212109830000H</t>
  </si>
  <si>
    <t>DENISSE RAQUEL CRUZ GUIDO</t>
  </si>
  <si>
    <t>DENISSE</t>
  </si>
  <si>
    <t>BO. EL PILAR, CENTRO COMERCIAL ZUMEN 1/2C.E.</t>
  </si>
  <si>
    <t>DEL CENTRO COMERCIAL EL ZUMEN 1/2CUADRA AL ESTE.</t>
  </si>
  <si>
    <t>22600165 88570911 88570971</t>
  </si>
  <si>
    <t>djaime42@hotmail.com</t>
  </si>
  <si>
    <t>4431609830000W</t>
  </si>
  <si>
    <t>GISELLE DEL CARMEN CENTENO SOZA</t>
  </si>
  <si>
    <t>Bo. LINDA VISTA, T/AGUA 50VRS. NORTE</t>
  </si>
  <si>
    <t>BO. LINDA VISTA, DE LOS TANQUES DE AGUA 1/2C AL NORTE, MATIGUAS</t>
  </si>
  <si>
    <t>dgcs2009@hotmail.com</t>
  </si>
  <si>
    <t>0011609830042F</t>
  </si>
  <si>
    <t>MARITZA DEL SOCORRO BALDIZON GUADAMUZ</t>
  </si>
  <si>
    <t>BO. CAMILO CHAMORRO DONDE FUE ROCARGO 6C. NORTE M/I, CASA L-17</t>
  </si>
  <si>
    <t>ANTIGUA ROGARGO 6 CUADRAS NORTE, CASA-L-17 MANO IZQUIERDA.</t>
  </si>
  <si>
    <t>22400717 58712749</t>
  </si>
  <si>
    <t>baldizonmaritza@gmail.com</t>
  </si>
  <si>
    <t>4011509830006V</t>
  </si>
  <si>
    <t>ROLANDO JOSE SEVILLA ORTIZ</t>
  </si>
  <si>
    <t>RPTO. SAN CARLOS, CAPILLA MARIA AUXILIADORA 2C. N.</t>
  </si>
  <si>
    <t>CONTIGUO DONDE FUE FERRETERIA SAN MARTIN</t>
  </si>
  <si>
    <t>sevior8315@outlook.com</t>
  </si>
  <si>
    <t>sbds80-raan@minsa.gob.ni sevior8315@yahoo.com</t>
  </si>
  <si>
    <t>6071309830001T</t>
  </si>
  <si>
    <t>MAYRA CECILIA RUPILIUS KRAUTWIG</t>
  </si>
  <si>
    <t>MAYRA</t>
  </si>
  <si>
    <t>KRAUTWIG</t>
  </si>
  <si>
    <t>BO.CASIMIRA SOTELO DE LA ROTONDA UNIVERSITARIA 1C.N.1C,O1\2C ESTE</t>
  </si>
  <si>
    <t>BO. AEROPUERTO, DE DONDE FUE FERRETERIA BLANDON MORENO 150 MTS AL OESTE.</t>
  </si>
  <si>
    <t>2431209830000K</t>
  </si>
  <si>
    <t>LAURA SALLYMAR MEMBREÑO RUGAMA</t>
  </si>
  <si>
    <t>LAURA</t>
  </si>
  <si>
    <t>SALLYMAR</t>
  </si>
  <si>
    <t>BO. REPARTO 25 ABRIL, CASA NO. 22</t>
  </si>
  <si>
    <t>MISCELANEA HILDA GABRIELA 3 CUADRA AL SUR 1 CUADRAS AL ESTE</t>
  </si>
  <si>
    <t>85094743, 88689553</t>
  </si>
  <si>
    <t>arual1283@gmail.com</t>
  </si>
  <si>
    <t>2811109830002V</t>
  </si>
  <si>
    <t>WALTER ALEXANDER GOMEZ AREAS</t>
  </si>
  <si>
    <t>AREAS</t>
  </si>
  <si>
    <t>DE LA CASA CURAL 1 CUADRA AL SUR 1/2 CUADRA AL ESTE BARRIO LA PARROQUIA SUR</t>
  </si>
  <si>
    <t>HOSPITAL .VICTORIA MATTA.2 1/2 CUADRA OESTE.</t>
  </si>
  <si>
    <t>84340565 89385256</t>
  </si>
  <si>
    <t>waga1104@yahoo.es</t>
  </si>
  <si>
    <t>4010909830002D</t>
  </si>
  <si>
    <t>JACKQUELINE DE LOS ANGELES RODRIGUEZ GONZALEZ</t>
  </si>
  <si>
    <t>JACKQUELINE</t>
  </si>
  <si>
    <t>BO. MONIMBO, 4 ESQUINAS 1 1/2C.S.</t>
  </si>
  <si>
    <t>4 ESQUINAS 1 CUADRA AL ESTE, 20 VARAS AL NORTE</t>
  </si>
  <si>
    <t>jackyvirgo09@yahoo.es</t>
  </si>
  <si>
    <t>4040809830000B</t>
  </si>
  <si>
    <t>VICTORIA MERCEDES RUIZ NICARAGUA</t>
  </si>
  <si>
    <t>VICTORIA</t>
  </si>
  <si>
    <t>BO. CRISTOBAL CARBALLO, ERMITA SAN SILVESTRE 1/2C N</t>
  </si>
  <si>
    <t>DEL PUENTE GRAN DE 1 CUADRA AL OESTE 1 1/2 CUADRA AL NORTE</t>
  </si>
  <si>
    <t>vicknic08@hotmail.com</t>
  </si>
  <si>
    <t>1610709830009H</t>
  </si>
  <si>
    <t>NADEZHDA YARAVI AGUIRRE VILLALOBOS</t>
  </si>
  <si>
    <t>NADEZHDA</t>
  </si>
  <si>
    <t>YARAVI</t>
  </si>
  <si>
    <t>VILLALOBOS</t>
  </si>
  <si>
    <t>MORRITO</t>
  </si>
  <si>
    <t>SECTOR No.3, CONTIGUO A CASA MATERNA</t>
  </si>
  <si>
    <t>DEL SILAIS 1 CUADRA NORTE.</t>
  </si>
  <si>
    <t>yara.villalobos@gmail.com</t>
  </si>
  <si>
    <t>0810709830006N</t>
  </si>
  <si>
    <t>RAMON PAVEL ARGEÑAL QUINTERO</t>
  </si>
  <si>
    <t>PAVEL</t>
  </si>
  <si>
    <t>RESD. LOS ROBLES, DEL HOTEL COLON 1 CUADRA AL SUR Y 150 METROS AL OESTE.</t>
  </si>
  <si>
    <t>PARQUE CENTRAL 1C 1/2 AL SUR SANTA ANA</t>
  </si>
  <si>
    <t>76191111, 88560274</t>
  </si>
  <si>
    <t>23412477 86528403</t>
  </si>
  <si>
    <t>pabellbmve@gmail.com, pargenal@agaton.ni</t>
  </si>
  <si>
    <t>0810609830004J</t>
  </si>
  <si>
    <t>MIGUEL ANGEL ESCOBAR BETANCO</t>
  </si>
  <si>
    <t>BO. SAN AGUSTIN, FRENTE DONDE FUE EL CINE VARIEDADES</t>
  </si>
  <si>
    <t>FRENTE A VARIEDADES</t>
  </si>
  <si>
    <t>23412815, 81954644</t>
  </si>
  <si>
    <t>23412815 81954644</t>
  </si>
  <si>
    <t>miguelangelescobar357@yahoo.es</t>
  </si>
  <si>
    <t>0810509830009M</t>
  </si>
  <si>
    <t>LORNA JUSTINA FUENTES FLORES</t>
  </si>
  <si>
    <t>LORNA</t>
  </si>
  <si>
    <t>JUSTINA</t>
  </si>
  <si>
    <t>BO. SAN AGUSTIN HIELERA ALASKA 2C. N. 10VRS. ARRIBA</t>
  </si>
  <si>
    <t>DONDE FUE HIELERA ALASKA, 2 CUADRAS AL NORTE, 10 VARAS AL ESTE.</t>
  </si>
  <si>
    <t>86980605 87761995</t>
  </si>
  <si>
    <t>3610509830005C</t>
  </si>
  <si>
    <t>JAZER ILICH MARTINEZ DIAZ</t>
  </si>
  <si>
    <t>JAZER</t>
  </si>
  <si>
    <t>BOACO, FRENTE AL MERCADITO COSTADO  SUR- ESTE</t>
  </si>
  <si>
    <t>FARMACIA ADELAIDA</t>
  </si>
  <si>
    <t>25421302 83896502</t>
  </si>
  <si>
    <t>3610309830004W</t>
  </si>
  <si>
    <t>ARACELY DEL ROSARIO ICABELCETA RAUDEZ</t>
  </si>
  <si>
    <t>RAUDEZ</t>
  </si>
  <si>
    <t>DETRAS RES. EL BORBON -BOACO</t>
  </si>
  <si>
    <t>DE LA DISTRIBUIDORA EL CHINO 1/2C. AL SUR.</t>
  </si>
  <si>
    <t>icabelzeta03@yahoo.es</t>
  </si>
  <si>
    <t>0010209830054N</t>
  </si>
  <si>
    <t>ARIANA DEL CARMEN URBINA GUERRERO</t>
  </si>
  <si>
    <t>RESD. LOS ROBLES MTE. LOS OLIVOS 4c E. 75vrs S. CA. 4</t>
  </si>
  <si>
    <t>CARRET. A TICUANTEPE KM. 15 3/4, 200 MTOS. E.</t>
  </si>
  <si>
    <t>6010209830000P</t>
  </si>
  <si>
    <t>PAOLA JUANITA LARGAESPADA DIXON</t>
  </si>
  <si>
    <t>JUANITA</t>
  </si>
  <si>
    <t>BO. SAN JUAN DE LOS JUZGADOS 1 1/2 C. AL ESTE</t>
  </si>
  <si>
    <t>JUZGADOS 1 1/2 CUADRAS AL NORTE</t>
  </si>
  <si>
    <t>pjlargaespada@yahoo.com</t>
  </si>
  <si>
    <t>0010109830024D</t>
  </si>
  <si>
    <t>DAVID ALBERTO GARCIA ANDRADE</t>
  </si>
  <si>
    <t>BO. BATAHOLA NORTE, YOGA DEVANAND 2C.E. 1/2C.S. 1C.E</t>
  </si>
  <si>
    <t>BO. BATAHOLA NORTE, YOGA DEVANAND 2C. ESTE 1/2C. SUR 1C. ESTE</t>
  </si>
  <si>
    <t>22503013 85416615</t>
  </si>
  <si>
    <t>studentbone83@yahoo.com</t>
  </si>
  <si>
    <t>2812608830003X</t>
  </si>
  <si>
    <t>EDGARD OMAR BERRIOS MUÑIZ</t>
  </si>
  <si>
    <t>MUÑIZ</t>
  </si>
  <si>
    <t>VILLA 23 DE JULIO ANDEN 2 CASA G591</t>
  </si>
  <si>
    <t>ALTOS DE NEJAPA, CASA # 77</t>
  </si>
  <si>
    <t>85117896, 86551061</t>
  </si>
  <si>
    <t>25113717 86551061</t>
  </si>
  <si>
    <t>edgardberrios1983@hotmail.com</t>
  </si>
  <si>
    <t>0012408830055F</t>
  </si>
  <si>
    <t>ANA LISSETH SAENZ LARIOS</t>
  </si>
  <si>
    <t>DDF CINE SALINA 3C.A 1C.SUR CASA ESQUINERA</t>
  </si>
  <si>
    <t>ANTIGUO CINE SALINAS 3 CUADRAS AL OESTE 1 CUADRA AL SUR MANO DERECHA</t>
  </si>
  <si>
    <t>22484415 57185329</t>
  </si>
  <si>
    <t>alsaenzl@aoutloock.com</t>
  </si>
  <si>
    <t>8882308830000U</t>
  </si>
  <si>
    <t>WLADIMIR RAFAEL NARVAEZ ROJAS</t>
  </si>
  <si>
    <t>WLADIMIR</t>
  </si>
  <si>
    <t>BO. LOMAS DE GUADALUPE, IGLESIA BETHEL 1C. ARRIBA 1 1/2C. SUR DISTRITO 7</t>
  </si>
  <si>
    <t>ARNECOM 1 1/2 CUADRA AL OESTE</t>
  </si>
  <si>
    <t>drwnarvaez1@gmail.com</t>
  </si>
  <si>
    <t>2842308860000Y</t>
  </si>
  <si>
    <t>XOCHILTH LUCIA HERNANDEZ LINARTE</t>
  </si>
  <si>
    <t>barrio tomas ocampo farmacia saavedra 1 1/2C oeste</t>
  </si>
  <si>
    <t>FARMACIA SAAVEDRA 1 1/2 CUADRA AL OESTE</t>
  </si>
  <si>
    <t>23141076 88428118</t>
  </si>
  <si>
    <t>xochilucia@yahoo.es</t>
  </si>
  <si>
    <t>0012108830082D</t>
  </si>
  <si>
    <t>MARIA DEL CARMEN ALTAMIRANO MIRANDA</t>
  </si>
  <si>
    <t>DE LOS SEMAFOROS DE LINDA VISTA 3C 1/2 AL LAGO COLONIA MORAZAN B# 195</t>
  </si>
  <si>
    <t>SEMAFOROS DE LINDA VISTA, 3 1/2 C NORTE, CA.B-195, MANO DERECHA</t>
  </si>
  <si>
    <t>22681975 22681975 22662048 88250273</t>
  </si>
  <si>
    <t>0012008830062E</t>
  </si>
  <si>
    <t>KENHYA JHAEL VIDEA ESTRADA</t>
  </si>
  <si>
    <t>KENHYA</t>
  </si>
  <si>
    <t>JHAEL</t>
  </si>
  <si>
    <t>RPTO. MARIO QUANT, ESQUINA DE DONDE FUE 4TA. SECCION POLICIA NACIONAL 1C O. 2C N.</t>
  </si>
  <si>
    <t>SEMAFOROS DE ENABAS, 1 CUADRA AL SUR 1/2 CUADRA AL ESTE</t>
  </si>
  <si>
    <t>kjaelvidea@yahoo.es</t>
  </si>
  <si>
    <t>2912008830001G</t>
  </si>
  <si>
    <t>SARA LISBETH CARDENAS RAMIREZ</t>
  </si>
  <si>
    <t>CARDENAS</t>
  </si>
  <si>
    <t>CONTIGUO A CASA MATERNA WASLALA</t>
  </si>
  <si>
    <t>ALCALDIA 1 CUADRA AL NORTE 1 CUADRA AL OESTE.</t>
  </si>
  <si>
    <t>0011908830032U</t>
  </si>
  <si>
    <t>LISSETH DE LOS ANGELES DIAZ OCAMPO</t>
  </si>
  <si>
    <t>COL.JARDS DE VERACURZ ENTRADA 2C.SUR</t>
  </si>
  <si>
    <t>ENTRADA 2 CUADRAS AL SUR</t>
  </si>
  <si>
    <t>5231408830000C</t>
  </si>
  <si>
    <t>MIRNA ISABEL OROZCO AGUILAR</t>
  </si>
  <si>
    <t>MIRNA</t>
  </si>
  <si>
    <t>SECTOR NO. 2, IGLESIA CATOLICA 3C. E. 1/2C. N.</t>
  </si>
  <si>
    <t>DE LA IGLESIA CATOLICA 2 CUADRAS ESTE, 1/2 CUADRA AL NORTE</t>
  </si>
  <si>
    <t>0841308830000Q</t>
  </si>
  <si>
    <t>JAQUELINE AUXILIADORA LEIVA GARCÍA</t>
  </si>
  <si>
    <t>VI. LIBERTAD, CENTRO DE SALUD 1/2C.E.4AND.S.CAN°B-236</t>
  </si>
  <si>
    <t>CENTRO DE SALUD 1/2 CUADRA AL ESTE, 4 ANDENES AL SUR, CASA NO. B-236</t>
  </si>
  <si>
    <t>MEDICO GENERAL NATURO ORTOPEDIA</t>
  </si>
  <si>
    <t>jaquelineleivagarcia@hotmail.com</t>
  </si>
  <si>
    <t>0411108830000N</t>
  </si>
  <si>
    <t>RUTH NOEMI VEGA GUTIERREZ</t>
  </si>
  <si>
    <t>NOEMI</t>
  </si>
  <si>
    <t>BO. LUIS VANEGAS CASA No. 3 SN. TERESA CARAZO</t>
  </si>
  <si>
    <t>LUIS VANEGAS, CASA NO. 3</t>
  </si>
  <si>
    <t>ruthnoemivegagutierrez@yahoo.com</t>
  </si>
  <si>
    <t>2910908830001H</t>
  </si>
  <si>
    <t>GABRIELA YUDITH GOMEZ MEDINA</t>
  </si>
  <si>
    <t>YUDITH</t>
  </si>
  <si>
    <t>RPTO. MARIANA SANPSON ARGUELLO, 3ERA. CALLE 1C.N. 25VRS. E.</t>
  </si>
  <si>
    <t>ENTRADA 1CUADRA NORTE,</t>
  </si>
  <si>
    <t>23113184 89249489</t>
  </si>
  <si>
    <t>gygomezcastro@gmail.com</t>
  </si>
  <si>
    <t>0010908830016F</t>
  </si>
  <si>
    <t>HARVY HORACIO SOZA ZAMORA</t>
  </si>
  <si>
    <t>HARVY</t>
  </si>
  <si>
    <t>HORACIO</t>
  </si>
  <si>
    <t>BARRIO BATAHOLA NORTE CASA NUMERO 427, DE LOS SEMAFOROS DEL SEMINARIO NACIONAL 2 CUADRAS AL ESTE Y 110 VRS AL SUR</t>
  </si>
  <si>
    <t>SEMAFOROS SEMINARIO NACIONAL 2C ESTE 110VRS SUR CASA NO. 427</t>
  </si>
  <si>
    <t>rejesad30@hotmail.com, sozaharvy@gmail.com</t>
  </si>
  <si>
    <t>2010808830007W</t>
  </si>
  <si>
    <t>JOSE ALBERTO BERMUDEZ MONTIEL</t>
  </si>
  <si>
    <t>BO. TAMARINDO, IGLESIA XALTEVA 1C.O. 4C.S</t>
  </si>
  <si>
    <t>EL TAMARINDO, IGLESIA XALTEVA 1 CUADRA OESTE 4 CUADRA SUR</t>
  </si>
  <si>
    <t>5690608830001L</t>
  </si>
  <si>
    <t>FREDYS JAMIL ESPINOZA CONDEGA</t>
  </si>
  <si>
    <t>FREDYS</t>
  </si>
  <si>
    <t>JAMIL</t>
  </si>
  <si>
    <t>COM. SAN MARCOS IGLESIA CATOLICA 50MTS.S.</t>
  </si>
  <si>
    <t>DE LA IGLESIA CATOLICA 50 METROS AL SUR</t>
  </si>
  <si>
    <t>0010508830012S</t>
  </si>
  <si>
    <t>MARIA ALEJANDRA OCHOA PLASCENCIA</t>
  </si>
  <si>
    <t>PLASCENCIA</t>
  </si>
  <si>
    <t>SATELITE ASOSOSCA, CALLE CIRCULAR COCIB C. NO 45</t>
  </si>
  <si>
    <t>, CALLE CIRCULAR COCIB. C.NO.45</t>
  </si>
  <si>
    <t>maria_ale15@hotmail.com</t>
  </si>
  <si>
    <t>2810408830001X</t>
  </si>
  <si>
    <t>ADRIANA CAROLINA MENDOZA GALEANO</t>
  </si>
  <si>
    <t>ADRIANA</t>
  </si>
  <si>
    <t>URBANIZACION VALLE SANTA ROSA BLOQUE C-11 CASA 256, CIUDAD SANDINO</t>
  </si>
  <si>
    <t>LOTE C-11, CASA #256</t>
  </si>
  <si>
    <t>acmg1204@yahoo.es</t>
  </si>
  <si>
    <t>1610108830004H</t>
  </si>
  <si>
    <t>KAREN RAQUEL LANUZA VALDIVIA</t>
  </si>
  <si>
    <t>BO. OSCAR BENAVIDES, ALMACEN SONY 1c.OESTE 1/2c. SUR</t>
  </si>
  <si>
    <t>DEL ALMACEN SONY 1 CUADRA AL OESTE, 1/2 CUADRA AL SUR</t>
  </si>
  <si>
    <t>27132875 85326534</t>
  </si>
  <si>
    <t>karen_lanuza@yahoo.es</t>
  </si>
  <si>
    <t>1213007830001Q</t>
  </si>
  <si>
    <t>MARTHA ANGELICA CARAZO MARIN</t>
  </si>
  <si>
    <t>BO. ZONA 2, ESCUELA FLORESMILDA DIAZ 1/2C.S.</t>
  </si>
  <si>
    <t>ENTRADA DE LA ESCUELA FLORE ESMILDA 1/2 CUADRA AL SUR</t>
  </si>
  <si>
    <t>25121856 84425240</t>
  </si>
  <si>
    <t>0012807830085Q</t>
  </si>
  <si>
    <t>DARLING TATIANA TELLEZ MARTÍNEZ</t>
  </si>
  <si>
    <t>BO. LA PRIMAVERA, GERMINA  4C. N. 1C.E.M/D</t>
  </si>
  <si>
    <t>BO. LA PRIMAVERA, GEMINA 4C.LAGO 1C.ARRIBA M/D.</t>
  </si>
  <si>
    <t>tellez.geraldine3@gmail.com</t>
  </si>
  <si>
    <t>1212207830002Y</t>
  </si>
  <si>
    <t>FRANCIS CAROLINA CASTILLA</t>
  </si>
  <si>
    <t>BO.SAN ANTONIO DEL BAR EL RECREO 2C ESTE</t>
  </si>
  <si>
    <t>CALLE SAMBOLA FRENTE A FAMILIA PINEDA CALLE COLON</t>
  </si>
  <si>
    <t>25124191 89413339</t>
  </si>
  <si>
    <t>0862107830002N</t>
  </si>
  <si>
    <t>JUAN CARLOS HERNANDEZ MOLINA</t>
  </si>
  <si>
    <t>BO. V.  Y RODRIGUEZ IGL. ESQUIPULAS 5c O.  2 1/2c N.</t>
  </si>
  <si>
    <t>CASERIO LA VERBENA DE LA ESCUELA MARISOL MALEAÑOS 75 VARAS AL NORTE</t>
  </si>
  <si>
    <t>0012007830035T</t>
  </si>
  <si>
    <t>IRIS MARLENE BORDAS</t>
  </si>
  <si>
    <t>IRIS</t>
  </si>
  <si>
    <t>MARLENE</t>
  </si>
  <si>
    <t>VILLA LIBERTAD,DEL CENTRO DE SALUD 1/2C.ARRIBA,5 ANDENES AL SUR CASA B-268</t>
  </si>
  <si>
    <t>FARMACIA MARIAN 1/2 CUADRA AL OESTE, 5 ANDENES AL SUR. CASA B-268</t>
  </si>
  <si>
    <t>83627059, 87683338</t>
  </si>
  <si>
    <t>22520186 87683338</t>
  </si>
  <si>
    <t>irmar1920@yahoo.com</t>
  </si>
  <si>
    <t>0061707830000L</t>
  </si>
  <si>
    <t>ALEJANDRO ENRIQUE CRUZ TELLEZ</t>
  </si>
  <si>
    <t>KM. 24 CARRETERA NUEVA LEON, 4C. N. 1/2C.O. BO. MARIO JOSE ROJAS CRUZ</t>
  </si>
  <si>
    <t>DEL PORTON DEL CEMENTERIO, 4 CUADRAS AL NORTE, 1/2 CUADRA AL OESTE.</t>
  </si>
  <si>
    <t>cruzalejandro1983@yahoo.com</t>
  </si>
  <si>
    <t>0011607930005X</t>
  </si>
  <si>
    <t>ANDY JOSUE MONDRAGON OLIVAS</t>
  </si>
  <si>
    <t>ANDY</t>
  </si>
  <si>
    <t>SECTOR N3 IGLESIA BAUTISTA 1/2C AL NORTE</t>
  </si>
  <si>
    <t>DE LA IGLESIA  BAUTISTA 1/2 CUADRA AL NORTE</t>
  </si>
  <si>
    <t>27221645 58832855</t>
  </si>
  <si>
    <t>2811507830004T</t>
  </si>
  <si>
    <t>RIDER ANTONIO MIRANDA JUAREZ</t>
  </si>
  <si>
    <t>RIDER</t>
  </si>
  <si>
    <t>BO. SUBTIAVA COSTADO NORTE COLEGIO CALAZAN</t>
  </si>
  <si>
    <t>BO. SUBTIAVA, COST.N. COLEG.CALASANZ FTE.AGUADORA</t>
  </si>
  <si>
    <t>ridermiranda823@gmail.com</t>
  </si>
  <si>
    <t>1641307830000A</t>
  </si>
  <si>
    <t>MARYINI DEL SOCORRO CARRASCO LOPEZ</t>
  </si>
  <si>
    <t>MARYINI</t>
  </si>
  <si>
    <t>CMCA. TRANQUERAS</t>
  </si>
  <si>
    <t>ESC BERTHA BRIONES 2C NORTE 1/2C ESTE</t>
  </si>
  <si>
    <t>margnicarrasco@yahoo.com</t>
  </si>
  <si>
    <t>0010907830055R</t>
  </si>
  <si>
    <t>MARIA AUXILIADORA ESPINOZA GAITAN</t>
  </si>
  <si>
    <t>EMPALME SALIDA MONIMBO 300MTS ESTE MASAYA</t>
  </si>
  <si>
    <t>EMPALME SALIDA DE MONIMBO, 300 METROS AL ESTE.</t>
  </si>
  <si>
    <t>2010807830000H</t>
  </si>
  <si>
    <t>ROBERTO HERNALDO LACAYO GOMEZ</t>
  </si>
  <si>
    <t>CALLE EL CONSULADO, IGL. XALTEVA 1C.N. 1/2C.O.</t>
  </si>
  <si>
    <t>IGL XALTEVA, 1 C. AL N. 1/2 C. AL O. CASA 513</t>
  </si>
  <si>
    <t>2810707830004B</t>
  </si>
  <si>
    <t>MABEL YUNIETH FORNOS MEMBREÑO</t>
  </si>
  <si>
    <t>YUNIETH</t>
  </si>
  <si>
    <t>BO. ZARAGOZA, IGLESIA ZARAGOZA 1 1/2C AB.</t>
  </si>
  <si>
    <t>IGLESIA ZARAGOZA 1 1/2 CUADRA AL OESTE</t>
  </si>
  <si>
    <t>89485292 88370294</t>
  </si>
  <si>
    <t>salinasemily@yahoo.es</t>
  </si>
  <si>
    <t>2020207830001N</t>
  </si>
  <si>
    <t>ANA MARIA NOGUERA GUTIERREZ</t>
  </si>
  <si>
    <t>BO.JUAN JOSE QUEZADA,POLICIA 1/2C.E</t>
  </si>
  <si>
    <t>KILOMETRO 57CARRETERA GRANADA-NANDAIME</t>
  </si>
  <si>
    <t>ananoguera56@gmail.com</t>
  </si>
  <si>
    <t>2810107830002L</t>
  </si>
  <si>
    <t>KENIA MARIA RIVERA ESPINOZA</t>
  </si>
  <si>
    <t>LEON BARRIO SUTIAVA. CASA CURAL 3C.AL SUR 1/2 ARRIBA</t>
  </si>
  <si>
    <t>COSTADO ESTE ASILO DE ANCIANO 4 CUADRAS AL SUR, 1/2 CUADRA AL ESTE.</t>
  </si>
  <si>
    <t>rkenia18@yahoo.com</t>
  </si>
  <si>
    <t>4012806830005D</t>
  </si>
  <si>
    <t>XOCHILT DEL ROSARIO SALINAS DOMINGUEZ</t>
  </si>
  <si>
    <t>BO. SAN CARLOS, CAPILLA MARIA AUXILIADORA 1 1/2C.N</t>
  </si>
  <si>
    <t>CAPILLA MARIA AUXILIADORA 1C 1/2 AL NORTE</t>
  </si>
  <si>
    <t>0012706830018J</t>
  </si>
  <si>
    <t>ADRIAN JOSE RAMIREZ</t>
  </si>
  <si>
    <t>ADRIAN</t>
  </si>
  <si>
    <t>RPTO.RUBEN DARIO 8 CALLE</t>
  </si>
  <si>
    <t>OCTAVA CALLE COLEGIO 4CUADRAS  AL N 3CUADRAS AL ESTE</t>
  </si>
  <si>
    <t>saraesmeralda09@hotmail.com</t>
  </si>
  <si>
    <t>1632506830001D</t>
  </si>
  <si>
    <t>VERONICA DEL CARMEN VALDIVIA QUINTERO</t>
  </si>
  <si>
    <t>Bo.MILDRED CENTENO,ALCALDIA 1/2C.S,21/2C.E</t>
  </si>
  <si>
    <t>DE LA ALCALDIA 1/2 CUADA AL SUR 2 1/2 CUADRAS AL ESTE</t>
  </si>
  <si>
    <t>0012306830069F</t>
  </si>
  <si>
    <t>BYRON JAVIER RODRIGUEZ GARCIA</t>
  </si>
  <si>
    <t>BYRON</t>
  </si>
  <si>
    <t>BO. SAN CRISTOBAL, FRENTE A IGLESIA SAN CRISTOBAL</t>
  </si>
  <si>
    <t>FRENTE IGLESIA CATOLICA SAN CRISTOBAL</t>
  </si>
  <si>
    <t>5232206830000G</t>
  </si>
  <si>
    <t>RICARDO ANTONIO PILARTE ROBLETO</t>
  </si>
  <si>
    <t>EL CASTILLO</t>
  </si>
  <si>
    <t>FRENTE A FUNDACION DE MUJERES DE SAN MIGUELITO (FUNSAMI)</t>
  </si>
  <si>
    <t>DEL CONSEJO SUPREMO ELECTORAL, 5 VARAS AL ESTE</t>
  </si>
  <si>
    <t>86914855 84081697 88532038</t>
  </si>
  <si>
    <t>rpilarterobleto@yahoo.es</t>
  </si>
  <si>
    <t>4431606830001D</t>
  </si>
  <si>
    <t>JOSE FRANCISCO HERRERA AGUILAR</t>
  </si>
  <si>
    <t>BO. RUFINO LOPEZ DE DONDE FUE ENCAFE 1C.N.</t>
  </si>
  <si>
    <t>ENCAFE 1 CUADRA AL NORTE</t>
  </si>
  <si>
    <t>89203820 84258461</t>
  </si>
  <si>
    <t>2811406830000F</t>
  </si>
  <si>
    <t>ISMARA JOSE HERNANDEZ</t>
  </si>
  <si>
    <t>ISMARA</t>
  </si>
  <si>
    <t>BO. ERMITA DE DOLORES, ERMITA 1C.N. 1 1/2C. ABAJO</t>
  </si>
  <si>
    <t>ERMITA 1 CUADRA AL NORTE , 1 1/2 CUADRA AL OESTE .</t>
  </si>
  <si>
    <t>23152784 86485240</t>
  </si>
  <si>
    <t>aramsyher@yahoo.es</t>
  </si>
  <si>
    <t>0011406830019G</t>
  </si>
  <si>
    <t>ARLEN CRISTINA ROMERO MORALES</t>
  </si>
  <si>
    <t>CMCA, CUAJACHILLO No. 1 IGL, CATOLICA 200vrs S. CIUDAD SANDINO</t>
  </si>
  <si>
    <t>DE LA IGLESIA CATOLICA  200 VARAS  AL SUR  MANO DERECHA</t>
  </si>
  <si>
    <t>2811306830000D</t>
  </si>
  <si>
    <t>VIOLETA EUGENIA REYES MORENO</t>
  </si>
  <si>
    <t>VIOLETA</t>
  </si>
  <si>
    <t>BO. SAGRARIO, IGL. SAN JOSE 1C. E. 1/2C. S.</t>
  </si>
  <si>
    <t>DE LA  FIRESTONE 3  CUADRAS AL ESTE</t>
  </si>
  <si>
    <t>23115709 86070813</t>
  </si>
  <si>
    <t>6011106830002R</t>
  </si>
  <si>
    <t>BARNEY JORDIE MC.CREA ORBINA</t>
  </si>
  <si>
    <t>BARNEY</t>
  </si>
  <si>
    <t>JORDIE</t>
  </si>
  <si>
    <t>ORBINA</t>
  </si>
  <si>
    <t>COMARCA RAMA CAY, COSTADO NORTE IGLESIA MORAVA</t>
  </si>
  <si>
    <t>COSTADO NORTE A LA IGLESIA MORAVA.</t>
  </si>
  <si>
    <t>87382964 57281033</t>
  </si>
  <si>
    <t>mccreaorbinajordiebarney@gmail.com</t>
  </si>
  <si>
    <t>0410906830000V</t>
  </si>
  <si>
    <t>JASSER ANTONIO TRAÑA RUIZ</t>
  </si>
  <si>
    <t>BO. FILANDIA, CASA N° 28</t>
  </si>
  <si>
    <t>CASA NO.28</t>
  </si>
  <si>
    <t>jassel.ruiz1983@yahoo.es</t>
  </si>
  <si>
    <t>0010606830006A</t>
  </si>
  <si>
    <t>CLAUDIA YESSENIA ESPINOZA MUÑOZ</t>
  </si>
  <si>
    <t>YESSENIA</t>
  </si>
  <si>
    <t>COL 14 DE SEPT. GPO. E. 367 CJO. INSURRECCION No. 2</t>
  </si>
  <si>
    <t>CALLEJON INSURRECCION GRUPO E-  CASA. E-367</t>
  </si>
  <si>
    <t>clauespinoza83@gmail.com</t>
  </si>
  <si>
    <t>4863005830000Y</t>
  </si>
  <si>
    <t>DELBIZ ESTHER LANDERO LANDERO</t>
  </si>
  <si>
    <t>DELBIZ</t>
  </si>
  <si>
    <t>DEL COSTADO OESTE DE MULTICENTRO LAS AMERICA 25  VRAS AL LAGO 1C 1/2 ABAJO</t>
  </si>
  <si>
    <t>CASA NO. 107</t>
  </si>
  <si>
    <t>landerodel@yahoo.com</t>
  </si>
  <si>
    <t>0012905830017F</t>
  </si>
  <si>
    <t>TANIA DE LOS ANDES PERALTA ULLOA</t>
  </si>
  <si>
    <t>DE LOS ANDES</t>
  </si>
  <si>
    <t>BO. LA PRIMAVERA, DE DONDE FUE INDUSTRIAS  DANTO 3c NORTE 1c OESTE</t>
  </si>
  <si>
    <t>BO. LA PRIMAVERA, DANTO 3C.NORTE 1C.OESTE</t>
  </si>
  <si>
    <t>2812305830004X</t>
  </si>
  <si>
    <t>DELMIS LUCIA CHAVARRIA BALDIZON</t>
  </si>
  <si>
    <t>DELMIS</t>
  </si>
  <si>
    <t>RPTO. FUNCEDI, I ETAPA CASA B-244</t>
  </si>
  <si>
    <t>PRIMERA ETAPA  CALLE EL CARACOL.CASA B-244.</t>
  </si>
  <si>
    <t>23113460 58237697</t>
  </si>
  <si>
    <t>delmisluciachavarria@yahoo.es</t>
  </si>
  <si>
    <t>2812305830010E</t>
  </si>
  <si>
    <t>OSCAR MIGUEL ZAPATA CANO</t>
  </si>
  <si>
    <t>YALAGÜINA</t>
  </si>
  <si>
    <t>P/S CHAGUITE 200VRS. ARRIBA</t>
  </si>
  <si>
    <t>DEL COLEGIO DANIEL ORTEGA SAVEDRA 4 CUADRA AL ESTE Y 1 1/2 CUADRA AL SUR</t>
  </si>
  <si>
    <t>oscarzapata230583@gmail.com</t>
  </si>
  <si>
    <t>1632205830003S</t>
  </si>
  <si>
    <t>BEYRA DANILA RIVAS IGLESIAS</t>
  </si>
  <si>
    <t>BEYRA</t>
  </si>
  <si>
    <t>DANILA</t>
  </si>
  <si>
    <t>VI. VENEZUELA,DE LA SANDA IVAN MONTENEGRO 2C.ARRIBA,1C.SUR,75 VRS.ARRIBA</t>
  </si>
  <si>
    <t>FARMACIA FORTALEZA 1 CUADRA AL SUR, 2 CUADRAS AL OESTE</t>
  </si>
  <si>
    <t>danilarivas@yahoo.com</t>
  </si>
  <si>
    <t>0012105830063N</t>
  </si>
  <si>
    <t>FREDDY JAVIER PEREZ FERNANDEZ</t>
  </si>
  <si>
    <t>SEMAFOROS DEL COL.  2C ABAJO 1/2 AL S. BARRIO COSTA RICA</t>
  </si>
  <si>
    <t>SEMAFOROS COLONIAL 2 CUADRAS AL OESTE 1 1/2 CUADRA AL SUR MANO DERECHA</t>
  </si>
  <si>
    <t>22481853 86683185</t>
  </si>
  <si>
    <t>pelon_papote@hotmail.com</t>
  </si>
  <si>
    <t>4011605830012D</t>
  </si>
  <si>
    <t>CESAR JAVIER LOPEZ MALDONADO</t>
  </si>
  <si>
    <t>IGLESIA SAN JERONIMO 1 CUADRA AL SUR</t>
  </si>
  <si>
    <t>3211505830003A</t>
  </si>
  <si>
    <t>CHRISTIAN CAROLINA GUILLEN ROQUE</t>
  </si>
  <si>
    <t>CHRISTIAN</t>
  </si>
  <si>
    <t>ANEXO SECTOR No. 14, DEL CENTRO DE SALUD DEL SECTOR 18, 2c AL OESTE 1/2c AL NORTE</t>
  </si>
  <si>
    <t>FRENTE AL COSTADO OESTE DE LA APC , MILAGRO DE DIOS</t>
  </si>
  <si>
    <t>carolguillen_2004@yahoo.com</t>
  </si>
  <si>
    <t>0011405830016W</t>
  </si>
  <si>
    <t>ROBERTO ANTONIO PAIZ CASTAÑEDA</t>
  </si>
  <si>
    <t>CASTAÑEDA</t>
  </si>
  <si>
    <t>BO. RENE POLANCO, DE DONDE FUE EL CENTRO DE SALUD CARLOS RUGAMA 75VRS. O. CA. N° H-27</t>
  </si>
  <si>
    <t>SUBIDA HACIA LA IGLESIA CATOLICA EN LA CASA DE MEDICOS</t>
  </si>
  <si>
    <t>DOCTOR EN MEDICINA, PRIMER GRADO EN MEDICINA GENERAL INTEGRAL</t>
  </si>
  <si>
    <t>robetpaiz85@hotmail.com</t>
  </si>
  <si>
    <t>2811205830006B</t>
  </si>
  <si>
    <t>YASMINA MARIA RUIZ ROJAS</t>
  </si>
  <si>
    <t>YASMINA</t>
  </si>
  <si>
    <t>MUNICIPIO CATARINA CASA CURAL 1C. N. 1/2C. O.</t>
  </si>
  <si>
    <t>COSTADO NORTE DE LA CANCHA</t>
  </si>
  <si>
    <t>0021005830000N</t>
  </si>
  <si>
    <t>LIDIA OFELIA DAVILA POVEDA</t>
  </si>
  <si>
    <t>OFELIA</t>
  </si>
  <si>
    <t>VILLA C. FONSECA, COL. ASUNCION GARCIA CA. 117</t>
  </si>
  <si>
    <t>POLICIA 1/2C. AL ESTE, 2C. AL NORTE.</t>
  </si>
  <si>
    <t>dc43-mga@minsa.gob.ni</t>
  </si>
  <si>
    <t>1210805830007L</t>
  </si>
  <si>
    <t>SINDIS DARLENIS HERNANDEZ PICADO</t>
  </si>
  <si>
    <t>SINDIS</t>
  </si>
  <si>
    <t>DARLENIS</t>
  </si>
  <si>
    <t>BO. SAN ANTONIO, DE LA ESCUELA LA HAYA, 25 VRS. O.</t>
  </si>
  <si>
    <t>DEL PORTON DE LA ESCUELA LA HAYA 25 VARAS AL ESTE.</t>
  </si>
  <si>
    <t>galileasegura@yahoo.es</t>
  </si>
  <si>
    <t>2810605830004L</t>
  </si>
  <si>
    <t>JORGE LUIS ALVARADO PEREZ</t>
  </si>
  <si>
    <t>BO. SUBTIAVA, BANIC SUBTIAVA 2 1/2C, S.</t>
  </si>
  <si>
    <t>DE LA ESQUINA FIEL 5C SUR, 1C OESTE, 1/2C SUR CASA NO. 199</t>
  </si>
  <si>
    <t>23114152 25422709 84099915</t>
  </si>
  <si>
    <t>4010605830005Y</t>
  </si>
  <si>
    <t>GLORIA MARGARITA SAENZ ALEJO</t>
  </si>
  <si>
    <t>ALEJO</t>
  </si>
  <si>
    <t>CMCA. VALLE LA LAGUNA, COLEGIO J.A.Z. 500VRS.N.</t>
  </si>
  <si>
    <t>saenzgloria9564@outlook.es</t>
  </si>
  <si>
    <t>6030505830001F</t>
  </si>
  <si>
    <t>BETTY KARINA ORTEGA CASTRO</t>
  </si>
  <si>
    <t>BO. EL CEIBON, PRIMERA ENTRADA MANO DERECHA</t>
  </si>
  <si>
    <t>DEL CEIBON 1/2 CUADRA AL SUR</t>
  </si>
  <si>
    <t>2410105830008J</t>
  </si>
  <si>
    <t>WASCARXEI CESAR SEQUEIRA ABARCA</t>
  </si>
  <si>
    <t>WASCARXEI</t>
  </si>
  <si>
    <t>ABARCA</t>
  </si>
  <si>
    <t>COL. 9 DE JUNIO, ENTRADA PRINCIPAL 1C.E. 2C.N.</t>
  </si>
  <si>
    <t>KM 10 1/2CTRA MASAYA 1 1/2KM SUR RESIDENCIAL XOCHITLAN C-189</t>
  </si>
  <si>
    <t>0012904830033R</t>
  </si>
  <si>
    <t>DAYANA MERCEDES MATUS GOMEZ</t>
  </si>
  <si>
    <t>ANEXO BO.CUBA PORTON CALADA MARIA 1C.OESTE</t>
  </si>
  <si>
    <t>AXO.BARRIO CUBA,PORTON GADALA MARIA 1½ C.OESTE</t>
  </si>
  <si>
    <t>6102504830002Q</t>
  </si>
  <si>
    <t>DALILA DEL CARMEN RIVAS CASTILLO</t>
  </si>
  <si>
    <t>DALILA</t>
  </si>
  <si>
    <t>BO. OLIVERO, CONTIGUO CASA DE FAMILIA MARLON GUTIERREZ</t>
  </si>
  <si>
    <t>BO. OLIVERO, CONTIGUO AL MARLON GUTIERREZ</t>
  </si>
  <si>
    <t>0012104830064H</t>
  </si>
  <si>
    <t>SANDY MEDINA VALERIO</t>
  </si>
  <si>
    <t>SANDY</t>
  </si>
  <si>
    <t>REPARTO SHICK, DE LA ESTATUA DE RENE SHICK 10VRS.N</t>
  </si>
  <si>
    <t>ESTATUA RENE SCHICK 20 VARAS AL NORTE</t>
  </si>
  <si>
    <t>22553316 84935300</t>
  </si>
  <si>
    <t>sandymedina.vml@gmail.com</t>
  </si>
  <si>
    <t>0411704830000A</t>
  </si>
  <si>
    <t>KAREN YAMILA BRENES LOPEZ</t>
  </si>
  <si>
    <t>YAMILA</t>
  </si>
  <si>
    <t>BO. 5 DE JULIO, ENT. PPAL. 1C, O. 1/2C, N.</t>
  </si>
  <si>
    <t>FARMACIA ECONOMICA 1 CUADRA AL OESTE 25 VARAS AL NORTE</t>
  </si>
  <si>
    <t>25323494 85608812</t>
  </si>
  <si>
    <t>5231604830000F</t>
  </si>
  <si>
    <t>JUAN ALBERTO HURTADO GARCIA</t>
  </si>
  <si>
    <t>COL. AMIGOS DE HOLANDA, CEMENTERIO 1C.S. 1/2C.O.</t>
  </si>
  <si>
    <t>CEMENTERIO,  1 CUADRA AL SUR, 1/2 CUADRA AL OESTE</t>
  </si>
  <si>
    <t>jurtadogarcia2015@gmail.com</t>
  </si>
  <si>
    <t>2811304830005V</t>
  </si>
  <si>
    <t>BLANCA ESTELA GONZALEZ MORENO</t>
  </si>
  <si>
    <t>IGLESIA ZARAGOSA 1/2 C AL NORTE</t>
  </si>
  <si>
    <t>IGLESIA ZARAGOZA 1/2 CUADRAS AL  NORTE.</t>
  </si>
  <si>
    <t>23115762 82423707 82374386</t>
  </si>
  <si>
    <t>5241304830000R</t>
  </si>
  <si>
    <t>BYRON JAVIER FLORES JAIME</t>
  </si>
  <si>
    <t>SECTOR NO.1. COSTADO SUR IGLESIA CATOLICA</t>
  </si>
  <si>
    <t>CIRCULO INFANTIL 150 MTS ESTE</t>
  </si>
  <si>
    <t>sboyberydona@yahoo.es</t>
  </si>
  <si>
    <t>2411204830001T</t>
  </si>
  <si>
    <t>MARGINE DEL CARMEN ROSTRAN GADEA</t>
  </si>
  <si>
    <t>MARGINE</t>
  </si>
  <si>
    <t>BO. ROGER HANGUIEM, FLORISTERIA FLOR DE PINO 1C.S. 20VRS. E.</t>
  </si>
  <si>
    <t>DE LA FLORISTERIA FLOR DE PINO 1 CUADRA AL SUR, 20 VARAS AL ESTE</t>
  </si>
  <si>
    <t>27825520 88443345</t>
  </si>
  <si>
    <t>mar_0483@hotmail.es</t>
  </si>
  <si>
    <t>4061204830000M</t>
  </si>
  <si>
    <t>ELIEZER ELI CASTILLO MEDINA</t>
  </si>
  <si>
    <t>CALLE PUNTA EL LIMON, IGLESIA CENTROAMERICANA 100mts AL NORTE</t>
  </si>
  <si>
    <t>RUBENIA DEL PARQUE DE RUBENIA 3C. ARRIBA</t>
  </si>
  <si>
    <t>eliezerelic@yahoo.com</t>
  </si>
  <si>
    <t>0860704830000L</t>
  </si>
  <si>
    <t>EDWIN DIONICIO PICADO PINEDA</t>
  </si>
  <si>
    <t>DEL PORTON DEL INST. DOCTOR MIGUEL JARQUIN 11\2.C.NORTE  BO. JULIA H DE POMARES</t>
  </si>
  <si>
    <t>PORTON. INSTITUTO  1 1/2 CUADRA AL NORTE</t>
  </si>
  <si>
    <t>23440328 87599380</t>
  </si>
  <si>
    <t>epicadopineda@yahoo.es</t>
  </si>
  <si>
    <t>0010604830029M</t>
  </si>
  <si>
    <t>PRISCILA MINERVA DE TRINIDAD ESPINOZA</t>
  </si>
  <si>
    <t>PRISCILA</t>
  </si>
  <si>
    <t>MINERVA</t>
  </si>
  <si>
    <t>RESID. LOS ROBLES MONTES DE LOS OLIVOS 1C. E, 250VRS. S.</t>
  </si>
  <si>
    <t>IGLESIA LAS MERCEDES 1 CUADRA L  ESTE</t>
  </si>
  <si>
    <t>22783999 87871477</t>
  </si>
  <si>
    <t>pmdetrinidad@gmail.com</t>
  </si>
  <si>
    <t>2810504830019T</t>
  </si>
  <si>
    <t>MARCIAL ANTONIO TELLEZ GARCIA</t>
  </si>
  <si>
    <t>MARCIAL</t>
  </si>
  <si>
    <t>BO. LA PRIMAVERA DE DONDE FUE INDUSTRIA DANTO 6 1/2C NORTE, 1C ESTE.</t>
  </si>
  <si>
    <t>DANTO 6 1/2C.AL NORTE 1C.AL ESTE</t>
  </si>
  <si>
    <t>marcialtellezgarcia@gmail.com</t>
  </si>
  <si>
    <t>2410304830003B</t>
  </si>
  <si>
    <t>DORIS RAQUEL LANZAS CASTRO</t>
  </si>
  <si>
    <t>BO. VILLA LIBERTAD, POLICIA NACIONAL 1 1/2c SUR</t>
  </si>
  <si>
    <t>DE LA POLICIA 1 1/2 CUADRA AL SUR,</t>
  </si>
  <si>
    <t>0010104830048W</t>
  </si>
  <si>
    <t>MIRIAM ESTHELA SOZA CASTRO</t>
  </si>
  <si>
    <t>ESTHELA</t>
  </si>
  <si>
    <t>BO. ALTAGRACIA, RACACHACA 2C.ESTE 2C.SUR</t>
  </si>
  <si>
    <t>BO ATAGRACIA, DE LA RACACHACA 2C.E. 2C.S.</t>
  </si>
  <si>
    <t>22666575 86054221</t>
  </si>
  <si>
    <t>miriamescastro@hotmail.com</t>
  </si>
  <si>
    <t>1213003830000N</t>
  </si>
  <si>
    <t>LISBETH YOSSELYN GARCIA ARGUELLO</t>
  </si>
  <si>
    <t>YOSSELYN</t>
  </si>
  <si>
    <t>MERCADO MUNICIPAL 2C AL NORTE, JUIGALPA</t>
  </si>
  <si>
    <t>ZONA NO.3, DEL MERCADO MUNICIPAL 2C. NORTE</t>
  </si>
  <si>
    <t>0012503830009A</t>
  </si>
  <si>
    <t>EYMIS JULIETTE RIVAS LOPEZ</t>
  </si>
  <si>
    <t>EYMIS</t>
  </si>
  <si>
    <t>JULIETTE</t>
  </si>
  <si>
    <t>BARRIO MONSEÑOR LECANO. DE LA ESTATUA 80 VARAS AL NORTE</t>
  </si>
  <si>
    <t>ESTATUA 80 VARAS. AL NORTE</t>
  </si>
  <si>
    <t>22666631 89530921</t>
  </si>
  <si>
    <t>erivaslopez5@gmail.com</t>
  </si>
  <si>
    <t>4472403830001V</t>
  </si>
  <si>
    <t>HEYRA YOLIBET CRUZ LOPEZ</t>
  </si>
  <si>
    <t>HEYRA</t>
  </si>
  <si>
    <t>YOLIBET</t>
  </si>
  <si>
    <t>BO. PANCASAN, DEL CENTRO DE SALUD 2C. SUR</t>
  </si>
  <si>
    <t>KM 38 1/2 CARRETERA AL RAMA FRENTE A ESCUELA GASPAR GARCIA LAVIANA</t>
  </si>
  <si>
    <t>2812003830004D</t>
  </si>
  <si>
    <t>MEYLING ANABETZY MEJIA BERRIOS</t>
  </si>
  <si>
    <t>ANABETZY</t>
  </si>
  <si>
    <t>BARRIO SUBTIAVA  BARRANCA 1/2c N.</t>
  </si>
  <si>
    <t>ESQUINA SUR OESTE CANCHA DEPORTIVA 2 CUADRA OESTE</t>
  </si>
  <si>
    <t>23441382 88824621</t>
  </si>
  <si>
    <t>0011703830012L</t>
  </si>
  <si>
    <t>HANETTHA WILIMET LUQUEZ MONTIEL</t>
  </si>
  <si>
    <t>HANETTHA</t>
  </si>
  <si>
    <t>WILIMET</t>
  </si>
  <si>
    <t>BELLO HORIZONTE, IGL. PIO X 3C. ESTE 7C. SUR 1/2C. NORTE</t>
  </si>
  <si>
    <t>IGLESIA PIO X 3CUADRAS AL ESTE 7 CUADRAS AL SUR, 1/2 CUADRA AL OESTE</t>
  </si>
  <si>
    <t>22497864 88260573 83857259</t>
  </si>
  <si>
    <t>2811203830002J</t>
  </si>
  <si>
    <t>ALICIA MERCEDES SANCHEZ GARCIA</t>
  </si>
  <si>
    <t>ALICIA</t>
  </si>
  <si>
    <t>BO. CARLOS FONSECA FTE. PRE-ESCOLAR DULCE NIÑEZ NAGAROTE</t>
  </si>
  <si>
    <t>FRENTE AL PREESCOLAR DULCE NIÑEZ</t>
  </si>
  <si>
    <t>0011203830026Q</t>
  </si>
  <si>
    <t>PAOLA FRANCISCA COREA URBINA</t>
  </si>
  <si>
    <t>FRANCISCA</t>
  </si>
  <si>
    <t>COLONIA MIGUEL BONILLA. DE LA CANCHA 5C . SUR 1C. ESTE 1C. SUR</t>
  </si>
  <si>
    <t>DE CANCHA DE LA UNAN MANAGUA 5 CUADRAS AL SUR 1 CUADRA AL ESTE 75 VARAS AL SUR CASA # 207</t>
  </si>
  <si>
    <t>22786827 57144015</t>
  </si>
  <si>
    <t>pcoreaurbina@yahoo.es</t>
  </si>
  <si>
    <t>taniacorea34@gmail.com</t>
  </si>
  <si>
    <t>0011203830019H</t>
  </si>
  <si>
    <t>DAYSI GUADALUPE ORTEGA MENDOZA</t>
  </si>
  <si>
    <t>DAYSI</t>
  </si>
  <si>
    <t>BO. EL RIGUERO, TALLERES MODERNOS 3 1/2C. S. M/D</t>
  </si>
  <si>
    <t>TALLERES MODERNOS 3 1/2 CUADRAS AL SUR M/D</t>
  </si>
  <si>
    <t>22701742 86195260</t>
  </si>
  <si>
    <t>0011003830020E</t>
  </si>
  <si>
    <t>DANIEL ALBERTO SACASA FLAMENCO</t>
  </si>
  <si>
    <t>FLAMENCO</t>
  </si>
  <si>
    <t>BO. CRISTO REY, CARRETERA A SAN JORGE FARMACIA VILCHEZ 1/2c AL NORTE COLONIA VILLA LAS VICTORIAS</t>
  </si>
  <si>
    <t>VILLA LAS VICTORIAS CASA NO. 15.</t>
  </si>
  <si>
    <t>danielsacasa@gmail.com</t>
  </si>
  <si>
    <t>3210803830005Y</t>
  </si>
  <si>
    <t>JUAN CARLOS MATUTE BENAVIDEZ</t>
  </si>
  <si>
    <t>ALCALDIA MUNICIPAL 1 1/2CUADRA AL SUR 1 1/2CUADRA AL OESTE PALACAGUINA MADRIZ</t>
  </si>
  <si>
    <t>ANTIGUA ESSO 1 1/2 CUADRA AL NORTE</t>
  </si>
  <si>
    <t>86103746, 87872579</t>
  </si>
  <si>
    <t>matutebenavidez@yahoo.es</t>
  </si>
  <si>
    <t>2910803830001X</t>
  </si>
  <si>
    <t>DARLYN LORENA AGUIRRE HERNANDEZ</t>
  </si>
  <si>
    <t>DARLYN</t>
  </si>
  <si>
    <t>BO. ARNULFO LAINEZ, COST.N. CUADRO BASE-BALL</t>
  </si>
  <si>
    <t>COSTADO NORTE CUADRO BASE-BALL</t>
  </si>
  <si>
    <t>darl_weiss@yahoo.es</t>
  </si>
  <si>
    <t>2010703830002G</t>
  </si>
  <si>
    <t>JAIRO ANTONIO ESPINOZA FLORES</t>
  </si>
  <si>
    <t>CMCA. SAN BLASS, ESCUELA LOLITA SORIANO 2C.O.</t>
  </si>
  <si>
    <t>ESCUELA LOLITA SORIANO 3 CUADRAS AL OESTE</t>
  </si>
  <si>
    <t>1610703830005P</t>
  </si>
  <si>
    <t>MARIA ISABEL MARQUEZ LANUZA</t>
  </si>
  <si>
    <t>RECIDENCIAL MIRADOR. SAN ISIDRO. CASA NUMERO 8</t>
  </si>
  <si>
    <t>AVENIDA ORENSE, FRENTE AL COSTADO OESTE DEL HOTEL LOMAS DEL VALLE CASA D-18.</t>
  </si>
  <si>
    <t>22990459 81672770 88814252 77983288</t>
  </si>
  <si>
    <t>0920103830000V</t>
  </si>
  <si>
    <t>ALICIA MARIA SANCHEZ CALIX</t>
  </si>
  <si>
    <t>CALIX</t>
  </si>
  <si>
    <t>PORTON DEL ESPAÑA 1C AL N. 1C 1/2 ARRIBA</t>
  </si>
  <si>
    <t>PORTON HOSPITAL ESPAÑA, 1 CUADRA AL NORTE, 2 1/2 CUADRAS AL ESTE.</t>
  </si>
  <si>
    <t>2812802830007S</t>
  </si>
  <si>
    <t>JULIO CESAR GARCIA MONGALO</t>
  </si>
  <si>
    <t>MONGALO</t>
  </si>
  <si>
    <t>SECTOR NO 5, ESQUINA OPUESTA A UNIVERSIDAD MARTIN LUTERO</t>
  </si>
  <si>
    <t>SEGUNDA CALLE. DE DONDE FUE DOCTORA MAYRA PARAJON 1 CUADRA AL NORTE</t>
  </si>
  <si>
    <t>23113257 86635431 57833620</t>
  </si>
  <si>
    <t>0842802830004N</t>
  </si>
  <si>
    <t>MARIA LISSETH ZAPATA MIRANDA</t>
  </si>
  <si>
    <t>CMCA. SIRAMA SUR CENTRO DESTILATORIO COST. ESTE</t>
  </si>
  <si>
    <t>DE LA ESQUINA DE EMERGENCIA HEODRA 75VR AL ESTE</t>
  </si>
  <si>
    <t>2812502830008M</t>
  </si>
  <si>
    <t>MIRIAM DE BELEN ALEGRE SARRIA</t>
  </si>
  <si>
    <t>DE BELEN</t>
  </si>
  <si>
    <t>BARRIO SAGRARIO  A.T.C 1/2c N.</t>
  </si>
  <si>
    <t>ATC 1/2C AL NORTE</t>
  </si>
  <si>
    <t>2812102830001V</t>
  </si>
  <si>
    <t>IRIS JUDITH BALDIZON ROSALES</t>
  </si>
  <si>
    <t>PUENTE MARTINEZ 1/2 C AL S.</t>
  </si>
  <si>
    <t>PUENTE MARTINEZ 1/2 CUADRA AL SUR</t>
  </si>
  <si>
    <t>83154260 85573196</t>
  </si>
  <si>
    <t>irisjudithdominga@gmail.com</t>
  </si>
  <si>
    <t>0011602830020L</t>
  </si>
  <si>
    <t>FERNANDO JOSE CAJINA TORRES</t>
  </si>
  <si>
    <t>RESD. RUBENIA, H. ESTRELLA 2C. E. 1C.SUR 25VRS. O. M/D.</t>
  </si>
  <si>
    <t>DEL HOTEL ESTRELLA 2 CUADRAS AL ESTE,1 CUADRA AL SUR,25 VARAS AL OESTE. CASA.C-05.</t>
  </si>
  <si>
    <t>0070802830002D</t>
  </si>
  <si>
    <t>JOSE MANUEL COREA VALLECILLO</t>
  </si>
  <si>
    <t>VALLECILLO</t>
  </si>
  <si>
    <t>K M 17 1/2 CTA MASAYA</t>
  </si>
  <si>
    <t>CEIBO 500 METROS ESTE 300 METROS NORTE</t>
  </si>
  <si>
    <t>77488048 82181570</t>
  </si>
  <si>
    <t>3230702830001V</t>
  </si>
  <si>
    <t>MAYORLIN SULEMA TALAVERA MELGARA</t>
  </si>
  <si>
    <t>MAYORLIN</t>
  </si>
  <si>
    <t>SULEMA</t>
  </si>
  <si>
    <t>ZONA #2, DE EL C/S 75VRS. AL ESTE</t>
  </si>
  <si>
    <t>ESCUELA MODESTO ARMIJO 75 VARAS AL ESTE</t>
  </si>
  <si>
    <t>2850402830000C</t>
  </si>
  <si>
    <t>YESENIA DEL SOCORRO ROQUE RIOS</t>
  </si>
  <si>
    <t>BARRIO BELLO AMANECER, DEL ESTADIO 1C. AL SUR, 1/2C. ABAJO</t>
  </si>
  <si>
    <t>DE LA ESCUELA 200 VRS AL SUR</t>
  </si>
  <si>
    <t>81791231 83943372 84255879</t>
  </si>
  <si>
    <t>8880402830000P</t>
  </si>
  <si>
    <t>AMILCAR LOPEZ SANCHEZ</t>
  </si>
  <si>
    <t>AMILCAR</t>
  </si>
  <si>
    <t>RESD. LAS COLINAS, 2DA ENTRADA CALLE LOS LAURELES CASA N°112</t>
  </si>
  <si>
    <t>2DA ENTRADA CALLE LOS LAURELES 112</t>
  </si>
  <si>
    <t>amilcar_l@hotmail.com</t>
  </si>
  <si>
    <t>2810102830004F</t>
  </si>
  <si>
    <t>MARLENE DEL SOCORRO ALVARADO MARTINEZ</t>
  </si>
  <si>
    <t>ADMON.RENTA 1C.S. 10VRS.ARRIBA</t>
  </si>
  <si>
    <t>ADMINISTRACION DE LA RENTA 1 CUADRA AL SUR. 10 VARAS AL ESTE</t>
  </si>
  <si>
    <t>23116475 84505634</t>
  </si>
  <si>
    <t>2810102830005G</t>
  </si>
  <si>
    <t>EVELING MERCEDES MONTALVAN CANO</t>
  </si>
  <si>
    <t>RPTO. 1ERO. DE MAYO, CENTRO DE SALUD 2C.N. 2C.E.</t>
  </si>
  <si>
    <t>AGROSA 3C OESTE</t>
  </si>
  <si>
    <t>23050817 87458820 87000583</t>
  </si>
  <si>
    <t>0012901830018F</t>
  </si>
  <si>
    <t>DIANA VANESSA BORGE MALTEZ</t>
  </si>
  <si>
    <t>MANAGUA KM 17 CARRETERA NUEVA LEON RESIDENCIAL CIUDAD DORAL W-24</t>
  </si>
  <si>
    <t>KILOMETRO 17 1/2 CARRETERA NUEVA A LEON, CASA W-24, CALLE 6, AVENIDA 15</t>
  </si>
  <si>
    <t>vboma83@gmail.com</t>
  </si>
  <si>
    <t>0012801830005P</t>
  </si>
  <si>
    <t>MARIA GABRIELA CASTILLO RODRIGUEZ</t>
  </si>
  <si>
    <t>VALLE DORADO #B-6</t>
  </si>
  <si>
    <t>ANTIGUO RESTAURANTE ARAGON, 1 CUADRA AL OESTE, 2 1/2 CUADRAS AL NORTE, CASA NO. B-06</t>
  </si>
  <si>
    <t>mgcr_01@yahoo.com.mx</t>
  </si>
  <si>
    <t>0012801830009T</t>
  </si>
  <si>
    <t>CLAUDIA MARIA SOLIS SOLANO</t>
  </si>
  <si>
    <t>BARRIO SAN JUDAS CEIBO. 3 1/2c E. M. I.</t>
  </si>
  <si>
    <t>DEL PORTON DEL CEMENTERIO, 2 CUADRAS NORTE, 1 CUADRA OESTE.</t>
  </si>
  <si>
    <t>5642801830000A</t>
  </si>
  <si>
    <t>ENA MARGARITA MORALES GONZALEZ</t>
  </si>
  <si>
    <t>ENA</t>
  </si>
  <si>
    <t>POTOSÍ</t>
  </si>
  <si>
    <t>POTOSI</t>
  </si>
  <si>
    <t>CMCA. APOMPOA DE LA IGLES. CATOLICA 1C AL S.</t>
  </si>
  <si>
    <t>ENTRADA  1 CUADRA .ESTE</t>
  </si>
  <si>
    <t>enamoralesgonzalez@yahoo.es</t>
  </si>
  <si>
    <t>2812701830009L</t>
  </si>
  <si>
    <t>MARIA CELIA ARANA MAIRENA</t>
  </si>
  <si>
    <t>CELIA</t>
  </si>
  <si>
    <t>PROYECTO LINDA VISTA CASA NO.52,3ERA CALLE JINOTEGA</t>
  </si>
  <si>
    <t>DE LA ALCALDIA MUNICIPAL 75 VARAS AL OESTE</t>
  </si>
  <si>
    <t>27822347 85352064</t>
  </si>
  <si>
    <t>0012401830028F</t>
  </si>
  <si>
    <t>JORGE LUIS PORRAS PORTOCARRERO</t>
  </si>
  <si>
    <t>PORTOCARRERO</t>
  </si>
  <si>
    <t>BO. MONSEÑOR LEZCANO, DDF. CINE LEON 1C. N. 1 1/2C. OESTE</t>
  </si>
  <si>
    <t>ANTIGUO CINE LEON 1 CUADRA NORTE 1 1/2 CUADRA OESTE.</t>
  </si>
  <si>
    <t>4012401830000G</t>
  </si>
  <si>
    <t>MARIA JULIETA ZUNIGA PEÑET</t>
  </si>
  <si>
    <t>JULIETA</t>
  </si>
  <si>
    <t>BO. LUIS FCO. RIVERA, DE DONDE FUE EL TRILLO 3C, S.</t>
  </si>
  <si>
    <t>DONDE FUE EL TRILLO 3 CUADRAS AL SUR.</t>
  </si>
  <si>
    <t>2012201830002B</t>
  </si>
  <si>
    <t>CRISTINA JOSEFA LACAYO GUTIERREZ</t>
  </si>
  <si>
    <t>IGL.GUADALUPE 11/2L NORTE CLLE EL GANADO GRANADA ,NICARAGUA</t>
  </si>
  <si>
    <t>EL GANADO, DE LA IGLESIA DE GUADALUPE 1 1/2 CUADRA NORTE</t>
  </si>
  <si>
    <t>0012101830009D</t>
  </si>
  <si>
    <t>ZEIDY KARINA ZAPATA MADRIGAL</t>
  </si>
  <si>
    <t>ZEIDY</t>
  </si>
  <si>
    <t>KM 24 1/2 CARRETERA A LA CONCHA</t>
  </si>
  <si>
    <t>KILOMETRO 24 1/2 CARRETERA A LA CONCEPCION.</t>
  </si>
  <si>
    <t>2041901830000U</t>
  </si>
  <si>
    <t>MIDALIA SALVADORA MUÑOZ LOPEZ</t>
  </si>
  <si>
    <t>MIDALIA</t>
  </si>
  <si>
    <t>SALVADORA</t>
  </si>
  <si>
    <t>BARRIO PEDRO ARAUZ, DEL TRILLO 2c S  1/2c E.</t>
  </si>
  <si>
    <t>TRILLO 2C.S. 1/2 C.E.</t>
  </si>
  <si>
    <t>6071801830006H</t>
  </si>
  <si>
    <t>FREDDY FRANCIS MARTINEZ</t>
  </si>
  <si>
    <t>BO. SPANISH TOWN, ENTRADA IGLESIA MORAVA SINAI 200MTS. N.</t>
  </si>
  <si>
    <t>ENTRADA DE LA IGLESIA MORAVA SINAI, 200 METROS AL NORTE, CONTIGUO A LA FAMILIA PICTAN, CASA DE CONCRETO, COLOR ROSADO.</t>
  </si>
  <si>
    <t>freddyfrancis404@gmail.com</t>
  </si>
  <si>
    <t>2861701830000R</t>
  </si>
  <si>
    <t>YAJAIRA AGUEDA GARCIA CANALE</t>
  </si>
  <si>
    <t>AGUEDA</t>
  </si>
  <si>
    <t>CANALE</t>
  </si>
  <si>
    <t>CMCA.  CRISTO REY, IGLESIA  ASAMBLEA DE DIOS 1/2c O.</t>
  </si>
  <si>
    <t>DE LA IGLESIA ASAMBLEA DE DIOS 1/2C.O.</t>
  </si>
  <si>
    <t>2811601830010N</t>
  </si>
  <si>
    <t>LAZARO JOSE CASTELLON SALINAS</t>
  </si>
  <si>
    <t>LAZARO</t>
  </si>
  <si>
    <t>BO. SUTIAVA GASOLINERA UNO GUIDO 1c OESTE 75vrs SUR</t>
  </si>
  <si>
    <t>TEXACO GUIDO 1 CUADRA OESTE 75 VARAS AL SUR</t>
  </si>
  <si>
    <t>lazjan2110@gmail.com</t>
  </si>
  <si>
    <t>0011301830020X</t>
  </si>
  <si>
    <t>ALEJANDRA MARIA PARAMO ZAPATA</t>
  </si>
  <si>
    <t>DE LA EX- NUNCIATURA, 3CDS. ARRIBA, 1 1/2C. AL SUR BO. ANDRES CASTRO</t>
  </si>
  <si>
    <t>ANTIGUA  NUNCIATURA 3 CUADRAS AL ESTE,11/2 CUADRA AL SUR.</t>
  </si>
  <si>
    <t>alejandraparamo13@hotmail.com</t>
  </si>
  <si>
    <t>1221301830004K</t>
  </si>
  <si>
    <t>MARIA IDANIA GUTIERREZ MALTEZ</t>
  </si>
  <si>
    <t>axo. villa libertad , vulcanizacion  los  trillizos</t>
  </si>
  <si>
    <t>CMCA. SAN IGNACIO, FINCA CARABALLO</t>
  </si>
  <si>
    <t>8881201830000A</t>
  </si>
  <si>
    <t>RODOLFO RAMON ABURTO NOGUERA</t>
  </si>
  <si>
    <t>RESIDENCIAL SAN ANGEL NO.49. DE LA ESQUINA OESTE ALBANISA 4 C NORTE 1 C ESTE.</t>
  </si>
  <si>
    <t>RESIDENCIAL SAN ANGEL #49</t>
  </si>
  <si>
    <t>22701266, 88853753</t>
  </si>
  <si>
    <t>22709562 22701266 88853753</t>
  </si>
  <si>
    <t>raburton@cmedsantafe.com</t>
  </si>
  <si>
    <t>raburton@clinicasantafenic.com</t>
  </si>
  <si>
    <t>2810801830009U</t>
  </si>
  <si>
    <t>RICARDO JAVIER MENDOZA</t>
  </si>
  <si>
    <t>BO. GUADALUPE, DONDE FUE LA TEXACO 2C. ABAJO 1/2C. N.</t>
  </si>
  <si>
    <t>DEL TEATRO MUNICIPAL 10 VARAS AL SUR</t>
  </si>
  <si>
    <t>23131386 87093039</t>
  </si>
  <si>
    <t>mendozaricardo5@yahoo.com</t>
  </si>
  <si>
    <t>0010601830036A</t>
  </si>
  <si>
    <t>SUSANA PATRICIA TELLEZ PARAJON</t>
  </si>
  <si>
    <t>COLONIA MAESTRO GABRIEL CASA No. P-II-88</t>
  </si>
  <si>
    <t>CASA  P-288, SEMAFOROS COLONIAL 1 CUADRA AL OESTE 1/2 CUADRA AL SUR</t>
  </si>
  <si>
    <t>LICENCIADA QUIMICO FARMACEUTICO, DOCTOR EN MEDICINA Y CIRUGIA</t>
  </si>
  <si>
    <t>1212712820004A</t>
  </si>
  <si>
    <t>DARITZA DEL CARMEN PEREZ HUETE</t>
  </si>
  <si>
    <t>DARITZA</t>
  </si>
  <si>
    <t>BARRIO BATAHOLA NORTE DE LOS SEMAFAROS DEL CEMINARIO 1C AL SUR 1/2 AL ESTE CASA #20 M/D</t>
  </si>
  <si>
    <t>BO. BATHAHOLA NORTE, DE LOS SEMAFOROS DEL SEMINARIO 1C. SUR, 1/2C. ESTE, CASA#20M/D</t>
  </si>
  <si>
    <t>22502721 22502751 84803419</t>
  </si>
  <si>
    <t>daritzaperez@yahoo.com</t>
  </si>
  <si>
    <t>1612412820010V</t>
  </si>
  <si>
    <t>CARLOS ALBERTO MERLO JIMENEZ</t>
  </si>
  <si>
    <t>BO. 16 DE JULIO, FRENTE FABRICA DE PUROS PERDOMO</t>
  </si>
  <si>
    <t>FRENTE A FABRICA PERDOMO</t>
  </si>
  <si>
    <t>5612112820002M</t>
  </si>
  <si>
    <t>GERARDO MARCIAL MENDOZA SOLIS</t>
  </si>
  <si>
    <t>CMCA. SABANA GRANDE, IGL. CATOLICA 20VRS. AL NORTE</t>
  </si>
  <si>
    <t>IGLESIA .CATOLICA 20 VARAS.AL NORTE</t>
  </si>
  <si>
    <t>gerso21dic@yahoo.com</t>
  </si>
  <si>
    <t>0811912820013W</t>
  </si>
  <si>
    <t>ARLEN TAMARA MIRANDA MARTINEZ</t>
  </si>
  <si>
    <t>ROTONDA DE LA VIRGEN 5 CUADRAS ARRIBA CASA B- 160</t>
  </si>
  <si>
    <t>FRENTE A SOPAS LORENA. CASA N. B-166</t>
  </si>
  <si>
    <t>alosmin200252@gmail.com</t>
  </si>
  <si>
    <t>3611812820001B</t>
  </si>
  <si>
    <t>ANABEL SANCHEZ GONZALEZ</t>
  </si>
  <si>
    <t>ANABEL</t>
  </si>
  <si>
    <t>CMCA. LA VIRGEN, POZOS DE ENACAL 150 MTS. O</t>
  </si>
  <si>
    <t>DE ENACAL 150 METROS AL OESTE, CARRETERA A SAN JUAN DEL SUR.</t>
  </si>
  <si>
    <t>dr.tramites@gmail.com</t>
  </si>
  <si>
    <t>anasanchez@yahoo.es</t>
  </si>
  <si>
    <t>2811712820009R</t>
  </si>
  <si>
    <t>MAURICIO JAVIER BARCENAS BERVIS</t>
  </si>
  <si>
    <t>BERVIS</t>
  </si>
  <si>
    <t>ANEXO COLONIA 4 DE MAYO BO. ZARAGOZA, CASA #11</t>
  </si>
  <si>
    <t>SEGUNDA CALLE, DE LA IGLESIA EVANGELICA 2 1/2 CUADRAS AL NORTE</t>
  </si>
  <si>
    <t>3610912820002H</t>
  </si>
  <si>
    <t>HERIBERTO ANTONIO SOBALVARRO</t>
  </si>
  <si>
    <t>HERIBERTO</t>
  </si>
  <si>
    <t>FRENTE AL SUPERMERCADO PALI</t>
  </si>
  <si>
    <t>FRENTE A SUPERMERCADO PALI</t>
  </si>
  <si>
    <t>0010912820001V</t>
  </si>
  <si>
    <t>MANUEL SALVADOR MEDRANO HERNANDEZ</t>
  </si>
  <si>
    <t>BARRIO WASPAN SUR, SHELL KM.7 CARR. 5c S 1 1/2c O MANAGUA</t>
  </si>
  <si>
    <t>URBANIZADORA ALTOS DE LA SABANA. CASA. NO.190.</t>
  </si>
  <si>
    <t>0010912820020R</t>
  </si>
  <si>
    <t>JAVIER ANTONIO ORTEGA SOLANO</t>
  </si>
  <si>
    <t>DE LOS SEMAFOROS DE LA MIGUEL GUTIERREZ 1/2C. LAGO 1 1/2C. ARRIBA</t>
  </si>
  <si>
    <t>SEMAFOROS 1CUADRA NORTE 1 1/2 CUADRA  OESTE</t>
  </si>
  <si>
    <t>2910812820000L</t>
  </si>
  <si>
    <t>CONSEPCION DE MARIA RIVERA VEGA</t>
  </si>
  <si>
    <t>CONSEPCION</t>
  </si>
  <si>
    <t>DE GASOLINERA PUMA 3C. NORTE, 1/2C. AL OESTE</t>
  </si>
  <si>
    <t>HERMITA 75 VRS NORTE</t>
  </si>
  <si>
    <t>6010812820003F</t>
  </si>
  <si>
    <t>JUSTO PASTOR ABELLA RIVAS</t>
  </si>
  <si>
    <t>PASTOR</t>
  </si>
  <si>
    <t>COMUNIDAD PUNTA GORDA, FINCA LA ESTRELLA FRENTE CAÑO CAMILO</t>
  </si>
  <si>
    <t>BAJADA PESCA FRESCA, SEGUNDO CALLEJON, QUINTA CASA MANO DERECHA.</t>
  </si>
  <si>
    <t>drasmayorga77@gmail.com, justoabella@yahoo.es</t>
  </si>
  <si>
    <t>justoabella@yahoo.es</t>
  </si>
  <si>
    <t>1210712820001D</t>
  </si>
  <si>
    <t>ODIL ISAVETH MARTINEZ URBINA</t>
  </si>
  <si>
    <t>ODIL</t>
  </si>
  <si>
    <t>ISAVETH</t>
  </si>
  <si>
    <t>Bo.LAS CAMELIAS,DETRAS DEL TRILLO SAN ALFONSO CASA ROSADA</t>
  </si>
  <si>
    <t>DEL TRILLO SAN ALFONSO 20 VRS AL NORTE</t>
  </si>
  <si>
    <t>0840112820001W</t>
  </si>
  <si>
    <t>INGRID SUJEY FLORES GARCIA</t>
  </si>
  <si>
    <t>BO. MERCEDES, IGL. EL CALVARIO 1C. O. 1/2C.  S.</t>
  </si>
  <si>
    <t>BO. MERCEDES, IGLESIA EL CALVARIO 1C.O. 1/2C.S.</t>
  </si>
  <si>
    <t>0012711820011P</t>
  </si>
  <si>
    <t>ALVARO ENRIQUE MENDOZA LOPEZ</t>
  </si>
  <si>
    <t>KM 26 1/2 CARRETERA MASAYA- MANAGUA</t>
  </si>
  <si>
    <t>KM 26 1/2 CARRETERA A MASAYA</t>
  </si>
  <si>
    <t>22652136 25224796</t>
  </si>
  <si>
    <t>alvmendolop@yahoo.com</t>
  </si>
  <si>
    <t>1212411820007Q</t>
  </si>
  <si>
    <t>TAMARA JAVIERA OBANDO FRIAS</t>
  </si>
  <si>
    <t>FRIAS</t>
  </si>
  <si>
    <t>RESIDENCIAL LOMAS DE VERACRUZ CASA#58</t>
  </si>
  <si>
    <t>RESIDENCIAL LOMAS DE VERACRUZ CASA # 58</t>
  </si>
  <si>
    <t>6072111820002F</t>
  </si>
  <si>
    <t>RUTH ELIZABETH SCOTT FRANCISCO</t>
  </si>
  <si>
    <t>BO.F.RIVERA,CONTIGUO A CASA DE LISTERIANO JAMES</t>
  </si>
  <si>
    <t>CONTIGUO A LA CASA DE LISTERIANO JAMES</t>
  </si>
  <si>
    <t>DOCTORA EN MEDICINA INTERCULTURA Y CIRUGIA</t>
  </si>
  <si>
    <t>eliscott@gmail.com</t>
  </si>
  <si>
    <t>ruthscoth@yahoo.com</t>
  </si>
  <si>
    <t>2811511820002X</t>
  </si>
  <si>
    <t>IDANIA ISABEL VANEGAS PEREZ</t>
  </si>
  <si>
    <t>IGLESIA SUTIAGA 1C.AL SUR 11/2 ABAJO</t>
  </si>
  <si>
    <t>IGLESIA SUTIAVA  1 CUADRA AL SUR 1 1/2 CUADRA AL OESTE</t>
  </si>
  <si>
    <t>23114983 88282006</t>
  </si>
  <si>
    <t>3621011820001U</t>
  </si>
  <si>
    <t>MIRTA LIGIA GARCIA HUETE</t>
  </si>
  <si>
    <t>MIRTA</t>
  </si>
  <si>
    <t>Bo. RAMON OBANDO, TELCOR 3C 1/2 AL N.</t>
  </si>
  <si>
    <t>TELCOR 3 1/2 CUADRA AL NORTE</t>
  </si>
  <si>
    <t>mirtaligiagarciahuete@gmail.com</t>
  </si>
  <si>
    <t>1631011820000H</t>
  </si>
  <si>
    <t>SONIA JANITCIA MONTOYA MORENO</t>
  </si>
  <si>
    <t>JANITCIA</t>
  </si>
  <si>
    <t>BO. 20 SEPTIEMBRE, FARMACIA CORRALES 2 1/2C.E.</t>
  </si>
  <si>
    <t>FARMACIA CORRALES 2 1/2C AL ESTE, MANO IZQUIERDA</t>
  </si>
  <si>
    <t>janitcia83@gmail.com</t>
  </si>
  <si>
    <t>0010911820001P</t>
  </si>
  <si>
    <t>MOISES SALVADOR ALVARADO SALDOVAL</t>
  </si>
  <si>
    <t>SALDOVAL</t>
  </si>
  <si>
    <t>COL. 14 DE SEPTIEMBRE CASA NO.N-932</t>
  </si>
  <si>
    <t>DEL COLEGIO 14 SEPTIEMBRE, 1/2 CUADRA ESTE, CASA # 932</t>
  </si>
  <si>
    <t>22897569 84280704</t>
  </si>
  <si>
    <t>0840311820002V</t>
  </si>
  <si>
    <t>ADRIANA DEL CARMEN PONCE GUZMAN</t>
  </si>
  <si>
    <t>IGLESIA SAN JERONIMO 1 CUADRA AL OESTE, 1/2 CUADRA AL NORTE. MASAYA.</t>
  </si>
  <si>
    <t>POLICIA 2 1/2 C ESTE</t>
  </si>
  <si>
    <t>2913010820000V</t>
  </si>
  <si>
    <t>MARIA JOSE BUSTAMANTE HENRIQUEZ</t>
  </si>
  <si>
    <t>BO. RAUL SALGADO, CENTRO DE SALUD 2C. S. 1C. O.</t>
  </si>
  <si>
    <t>DEL CENTRO DE SALUD 2 CUADRAS  AL SUR, 1 CUADRA AL OESTE.</t>
  </si>
  <si>
    <t>vafer82@hotmail.com</t>
  </si>
  <si>
    <t>0013010820076K</t>
  </si>
  <si>
    <t>SHIRLEY ANTONIETADELASNIEVES PADILLA LUPIAC</t>
  </si>
  <si>
    <t>SHIRLEY</t>
  </si>
  <si>
    <t>ANTONIETADELASNIEVES</t>
  </si>
  <si>
    <t>LUPIAC</t>
  </si>
  <si>
    <t>CMCA. NEJAPA, KM 10  1 1/2 CARRETERA VIEJA LEON</t>
  </si>
  <si>
    <t>KM 10 1/2 CARRETERA MANO IZQUIERDA QUINTA</t>
  </si>
  <si>
    <t>22652569 87555526</t>
  </si>
  <si>
    <t>lupiac3010b@gmail.com</t>
  </si>
  <si>
    <t>4042810820001H</t>
  </si>
  <si>
    <t>ALFONSO GONZALEZ MEDINA</t>
  </si>
  <si>
    <t>PACAYA DE LA CEIVA 500VRS. O</t>
  </si>
  <si>
    <t>DE LA CEIBA 500 VARAS AL OESTE</t>
  </si>
  <si>
    <t>dr.alfonsogonzalez@hotmail.com</t>
  </si>
  <si>
    <t>2012210820007V</t>
  </si>
  <si>
    <t>OSCAR JOSE LANUZA VILLANUEVA</t>
  </si>
  <si>
    <t>SAN JOSÉ DE CUSMAPA</t>
  </si>
  <si>
    <t>SECTOR NO.2, SAN JOSE DE CUSMAPA - MADRIZ</t>
  </si>
  <si>
    <t>FRENTE AL TALLER LAURA VICUÑA</t>
  </si>
  <si>
    <t>2811910820004C</t>
  </si>
  <si>
    <t>HEYDI DEL PILAR TRUJILLO ARAUZ</t>
  </si>
  <si>
    <t>HEYDI</t>
  </si>
  <si>
    <t>DEL PILAR</t>
  </si>
  <si>
    <t>BO. ETA. DE DOLORES, IGL. 2 1/2C. O.</t>
  </si>
  <si>
    <t>RESIDENCIAL PASEO CONDADO NEJAPA CASA NUMERO 316</t>
  </si>
  <si>
    <t>2811410820004R</t>
  </si>
  <si>
    <t>MARBELL BEYANIRA ANTON MUÑOZ</t>
  </si>
  <si>
    <t>MARBELL</t>
  </si>
  <si>
    <t>BEYANIRA</t>
  </si>
  <si>
    <t>BO. SUTIAVA TALLERES FORD 1 1/2c AL SUR</t>
  </si>
  <si>
    <t>TALLERES FORD 1 1/2 CUADRA AL SUR.</t>
  </si>
  <si>
    <t>23113121 23131506</t>
  </si>
  <si>
    <t>beyaniraanton82@gmail.com</t>
  </si>
  <si>
    <t>0021010820001C</t>
  </si>
  <si>
    <t>NIMROD FLORES SANCHEZ</t>
  </si>
  <si>
    <t>NIMROD</t>
  </si>
  <si>
    <t>MUN. SAN RAFAEL DEL SUR, CALVARIO 25V. AB.</t>
  </si>
  <si>
    <t>IGLESIA EL CALVARIO 25VRS AL OESTE</t>
  </si>
  <si>
    <t>22933329 88710189</t>
  </si>
  <si>
    <t>nfs101082@hotmail.com</t>
  </si>
  <si>
    <t>0010910820056S</t>
  </si>
  <si>
    <t>ROBERTO DE JESUS VELASQUEZ GALEANO</t>
  </si>
  <si>
    <t>BO. CRISTO DEL ROSARIO, IGL. CATOLICA 1C.N. 1/2C.E.</t>
  </si>
  <si>
    <t>IGLESIA DON BOSCO, 3 CUADRA OESTE, CASA D-7-1.</t>
  </si>
  <si>
    <t>22443232 89349318</t>
  </si>
  <si>
    <t>rvg0910@gmail.com</t>
  </si>
  <si>
    <t>0420810820000S</t>
  </si>
  <si>
    <t>MARGY MARIA IXCHEL BUSTOS BERMUDEZ</t>
  </si>
  <si>
    <t>MARGY</t>
  </si>
  <si>
    <t>MARIA IXCHEL</t>
  </si>
  <si>
    <t>BO. CRISTOBAL CARBALLO IGLESIA CATOLICA 1C.E.</t>
  </si>
  <si>
    <t>IGLESIA CATOLICA 1 CUADRA AL ESTE.</t>
  </si>
  <si>
    <t>bustosmargy3@gmail.com</t>
  </si>
  <si>
    <t>0010610820050E</t>
  </si>
  <si>
    <t>ISAURA ISABEL AYERDIS OROZCO</t>
  </si>
  <si>
    <t>ISAURA</t>
  </si>
  <si>
    <t>ZONA No.2,DEL PALI,11/2C.E</t>
  </si>
  <si>
    <t>RESD.BOSQUES DE JUIGALPAN ROTONDA 1 C AL OESTE 2 C AL SUR</t>
  </si>
  <si>
    <t>isaura.ayerdis@gmail.com</t>
  </si>
  <si>
    <t>0810510820008X</t>
  </si>
  <si>
    <t>NOE FRANCISCO MARTINEZ OLIVAS</t>
  </si>
  <si>
    <t>NOE</t>
  </si>
  <si>
    <t>DEL PORTON DEL HOSPITAL ESPAÑA 2C. NORTE</t>
  </si>
  <si>
    <t>PORTON HOSPITAL ESPAÑA 2 CUADRAS AL NORTE</t>
  </si>
  <si>
    <t>noemartinezjhs@gmail.com</t>
  </si>
  <si>
    <t>3610210820001D</t>
  </si>
  <si>
    <t>REBECA RAFAELA LIRA NAVARRO</t>
  </si>
  <si>
    <t>BO. BUENOS AIRES, CLUB CENTRAL 3C, O.</t>
  </si>
  <si>
    <t>CLUB CENTRAL 2 1/2C OESTE</t>
  </si>
  <si>
    <t>rbklira.rl@gmail.com</t>
  </si>
  <si>
    <t>2010210820006B</t>
  </si>
  <si>
    <t>JUAN CARLOS MARENCO ARCIA</t>
  </si>
  <si>
    <t>VILLA SANDINO, C/SALUD GRUPO C CASA # 396</t>
  </si>
  <si>
    <t>VILLA SANDINO GRUPO C NO. 396-397</t>
  </si>
  <si>
    <t>ESPECIALISTA EN PEDIATRIA, MEDICINA GENERAL INTEGRAL, DOCTOR EN MEDICINA</t>
  </si>
  <si>
    <t>jcmarenco82@yahoo.es</t>
  </si>
  <si>
    <t>0070210820003Y</t>
  </si>
  <si>
    <t>ERNESTO ODILON CORDONERO MARTINEZ</t>
  </si>
  <si>
    <t>ODILON</t>
  </si>
  <si>
    <t>RPTO. ANEXO 4 DE MAYO, ESCUELA LUXEMBURGO 300MTS. N.</t>
  </si>
  <si>
    <t>ESCUELA LUXEMBURGO 300 VARAS AL NORTE</t>
  </si>
  <si>
    <t>ernestoodiloncordonero82@gmail.com</t>
  </si>
  <si>
    <t>0862809820006B</t>
  </si>
  <si>
    <t>VERONICA DE LOS ANGELES CARRILLO GONZALEZ</t>
  </si>
  <si>
    <t>BO. VILCHEZ Y RODRIGUEZ, IGLESIA ESQUIPULA 6C.O. 3C.N.</t>
  </si>
  <si>
    <t>ESCUELA  JACINTO BONICHE 5 CUADRA  AL OESTE</t>
  </si>
  <si>
    <t>84805164 88303625</t>
  </si>
  <si>
    <t>carriveronica@gmail.com</t>
  </si>
  <si>
    <t>2812409820006J</t>
  </si>
  <si>
    <t>JULISSA MERCEDES MONTENEGRO GONZALEZ</t>
  </si>
  <si>
    <t>BO. SUTIAVA, COLONIA LOS PAVONES TEXACO UNO 1/2C. N.</t>
  </si>
  <si>
    <t>GIMNACIO 20 VARAS SUR</t>
  </si>
  <si>
    <t>23152011 89331815</t>
  </si>
  <si>
    <t>6012309820000Q</t>
  </si>
  <si>
    <t>KATHLEEN ORA PATTERSON TUCKER</t>
  </si>
  <si>
    <t>KATHLEEN</t>
  </si>
  <si>
    <t>ORA</t>
  </si>
  <si>
    <t>TUCKER</t>
  </si>
  <si>
    <t>BO. OLD BANK FRENTE AL DR. ROBERTO HODGSON</t>
  </si>
  <si>
    <t>SUPER LA COLONIA 2C ESTE. 25 VRS NORTE</t>
  </si>
  <si>
    <t>0012209820080Q</t>
  </si>
  <si>
    <t>JOSE DANNELL GUERRERO HIDALGO</t>
  </si>
  <si>
    <t>DANNELL</t>
  </si>
  <si>
    <t>HIDALGO</t>
  </si>
  <si>
    <t>BO. RUBENIA, FARM. RUBENIA 1C.N. 1C.E. 75VRS.N.</t>
  </si>
  <si>
    <t>IGLESIA PIO X 2 CUADRAS AL NORTE, 75 VARAS AL OESTE. CASA. SI-3.</t>
  </si>
  <si>
    <t>0011809820023U</t>
  </si>
  <si>
    <t>KARLA VANESSA PEREZ SEVILLA</t>
  </si>
  <si>
    <t>BO.NORA ARTOGA DE LA NICALIT 3C.AL SUR</t>
  </si>
  <si>
    <t>DEL ROTULO DE LA UNIVERSIDAD LUTHERANA  200 METROS NORTE  15 VARAS  AL  ESTE</t>
  </si>
  <si>
    <t>karla.perez.sevilla@gmail.com</t>
  </si>
  <si>
    <t>2831609820000U</t>
  </si>
  <si>
    <t>DOUGLAS PADILLA MARTINEZ</t>
  </si>
  <si>
    <t>CMCA. LAS PILAS, FRENTE PARADA DE BUSES</t>
  </si>
  <si>
    <t>MANCARRON 1, DEL MUELLE 70 METROS AL ESTE</t>
  </si>
  <si>
    <t>4481209820002H</t>
  </si>
  <si>
    <t>TANIA ELIZABETH FLORES MAIRENA</t>
  </si>
  <si>
    <t>MONUMENTO LA VIRGEN 1 KILOMETRO AL OESTE</t>
  </si>
  <si>
    <t>DE LA GASOLINERA INES GALEANO 10 1/2 CUADRAS AL SUR</t>
  </si>
  <si>
    <t>1211109820001S</t>
  </si>
  <si>
    <t>DUNIA DEL CARMEN WHITFORD MENDEZ</t>
  </si>
  <si>
    <t>DUNIA</t>
  </si>
  <si>
    <t>BO. L, MAIRENA MONUMENTO R. HERRERA 1c E. 1/2c N.  B-15</t>
  </si>
  <si>
    <t>MONUMENTO RAFAELA HERRERA, 1 CUADRA AL ESTE, 1/2 CUADRA AL NORTE, CASA G-15</t>
  </si>
  <si>
    <t>duniadelcamenwhitfordmendez@gmail.com</t>
  </si>
  <si>
    <t>0010709820018Q</t>
  </si>
  <si>
    <t>MARLON LENIN RUEDA GARCIA</t>
  </si>
  <si>
    <t>COL. UNIDAD DE PROPÓSITO, COSTADO SUR INST. MODESTO ARMIJO LOZANO CASA NO. B-284</t>
  </si>
  <si>
    <t>FRENTE MOCA</t>
  </si>
  <si>
    <t>lenruegar@hotmail.com</t>
  </si>
  <si>
    <t>0010309820026Q</t>
  </si>
  <si>
    <t>JUAN CARLOS ALVARADO REYES</t>
  </si>
  <si>
    <t>COLONIA CENTROAMERICA, ETUA, S.M.  1C. E. 2C. S, 25VRS. E.</t>
  </si>
  <si>
    <t>COL.CENTROAMERICA, ESTATUA. S.M. 1C.ESTE 2C.SUR 25VRS.ESTE. CASAJ-637</t>
  </si>
  <si>
    <t>22897895 22775673</t>
  </si>
  <si>
    <t>2840209820000G</t>
  </si>
  <si>
    <t>DELIZ</t>
  </si>
  <si>
    <t>KM 10 1/2 CARRETERA A MASAYA RECIDENCIAL XOCHITLAN CASA 189</t>
  </si>
  <si>
    <t>KM 101/2CTRA MASAYA SAN ANTONIO SUR, XOCHITLAN C-189</t>
  </si>
  <si>
    <t>ED004</t>
  </si>
  <si>
    <t>fdelizpo@yahoo.com</t>
  </si>
  <si>
    <t>0840209820003G</t>
  </si>
  <si>
    <t>RUPERTA</t>
  </si>
  <si>
    <t>RPTO. MODESTO RAMON PALMA, BOMBA NUEVA 3c N. 150vrs O.</t>
  </si>
  <si>
    <t>ENTRADA LOS LAURELES, 300 METROS NORTE</t>
  </si>
  <si>
    <t>riveraruperta@yahoo.com</t>
  </si>
  <si>
    <t>2883108820000H</t>
  </si>
  <si>
    <t>YIMI</t>
  </si>
  <si>
    <t>ZONA 3.CONTIGUO INSTITUTO PUBLICO CARLOS MIGUEL ARAUZ CORRALES</t>
  </si>
  <si>
    <t>CONTIGUO A LA IGLESIA CATOLICA</t>
  </si>
  <si>
    <t>0813008820001G</t>
  </si>
  <si>
    <t>ROSAYMARA</t>
  </si>
  <si>
    <t>DEL BDF 2 1/2 CUADRAS AL ESTE  AL ESTE,</t>
  </si>
  <si>
    <t>23414077 84123265</t>
  </si>
  <si>
    <t>COOPERATIVA LA EMPRESA , DEL CAMPAMENTO 50 VARAS AL SUR.</t>
  </si>
  <si>
    <t>3612608820005W</t>
  </si>
  <si>
    <t>MILBA</t>
  </si>
  <si>
    <t>IDR 1/2C AL SUR</t>
  </si>
  <si>
    <t>MINISTERIO DE ECONOMÍA FAMILIAR 1/2C AL SUR</t>
  </si>
  <si>
    <t>84209006 89140420</t>
  </si>
  <si>
    <t>dra.milbazc@hotmail.com eccastillom@yahoo.com</t>
  </si>
  <si>
    <t>1212608820001T</t>
  </si>
  <si>
    <t>XOCHITL</t>
  </si>
  <si>
    <t>BO. PARAISITO, PUENTE EL PARAISITO 1/2C. O. M/D</t>
  </si>
  <si>
    <t>PUENTE EL PARAISITO 1/2 CUADRA AL OESTE MANO DERECHA</t>
  </si>
  <si>
    <t>22507765 86850869</t>
  </si>
  <si>
    <t>xfonsecam@hotmail.com</t>
  </si>
  <si>
    <t>0811708820002E</t>
  </si>
  <si>
    <t>ELVIRA</t>
  </si>
  <si>
    <t>CHINANDEGA RPTO.JOSE BENITA CENTENO,ENTRADA 180 VRS ESTE</t>
  </si>
  <si>
    <t>CAMANICA  180 VARAS AL ESTE</t>
  </si>
  <si>
    <t>87378992 89633682</t>
  </si>
  <si>
    <t>2410908820002U</t>
  </si>
  <si>
    <t>EL CUA</t>
  </si>
  <si>
    <t>BO. GUANUCA ESQ.  N. O. MERCADO 1/2c NORTE</t>
  </si>
  <si>
    <t>FRENTE A LA ALCALDIA MUNICIPAL</t>
  </si>
  <si>
    <t>2810708820008S</t>
  </si>
  <si>
    <t>BO. SAN FELIPE, CRUZ ROJA 1C N. 75 VRS O.</t>
  </si>
  <si>
    <t>CRUZ ROJA 1 CUADRA AL NORTE,75 VARAS AL OESTE</t>
  </si>
  <si>
    <t>beryquel@yahoo.es</t>
  </si>
  <si>
    <t>2810508820002G</t>
  </si>
  <si>
    <t>IGLESIA ERMITA DE DOLORES 2C.Y 10  VRS AL OESTE .LEON</t>
  </si>
  <si>
    <t>IGLESIA 2 CUADRAS Y 10 VARAS AL OESTE.</t>
  </si>
  <si>
    <t>justo2005leon@yahoo.es</t>
  </si>
  <si>
    <t>4810108820001A</t>
  </si>
  <si>
    <t>FARMACIA 10 DE MAYOS 1 CUADRA AL SUR VILLA 10 DE MAYO</t>
  </si>
  <si>
    <t>SALON DAYSI,  1 1/2 CUADRAS AL ESTE, CASA L- 221</t>
  </si>
  <si>
    <t>1613007820007X</t>
  </si>
  <si>
    <t>BO. BORIS VEGA, PRODUCTOS ALIMENTICOS EL BUEN SABOR  1c S. 2c O.</t>
  </si>
  <si>
    <t>BUEN SABOR 1C. AL SUR, 2C AL OESTE</t>
  </si>
  <si>
    <t>yolinato@yahoo.es</t>
  </si>
  <si>
    <t>2812607820004X</t>
  </si>
  <si>
    <t>ADMON DE RENTA 3C ABAJO</t>
  </si>
  <si>
    <t>KILOMETRO 12.5 CARRETERA A MASAYA, CALLE 3 , CASA A-96</t>
  </si>
  <si>
    <t>22937512 27922243 88535066</t>
  </si>
  <si>
    <t>lissettevane26@gmail.com</t>
  </si>
  <si>
    <t>0012407820051A</t>
  </si>
  <si>
    <t>ABIGAIL</t>
  </si>
  <si>
    <t>BO. NORA ASTORGA DE LA NICALIT 5C AL SUR 1C. AL ESTE  CASA K-2</t>
  </si>
  <si>
    <t>DONDE FUE NICALIT, 5 CUADRAS AL SUR, 1 CUADRA AL ESTE</t>
  </si>
  <si>
    <t>84050057 77946761</t>
  </si>
  <si>
    <t>leonor.abigail@yahoo.com</t>
  </si>
  <si>
    <t>6162107820003M</t>
  </si>
  <si>
    <t>EVERTS</t>
  </si>
  <si>
    <t>RPTO.LA VIRGEN,ENTRADA 2C.N,1C.E 1/2C.S CA.C-7</t>
  </si>
  <si>
    <t>HOTEL EUROPA 5 1/2 CUADRA AL ESTE</t>
  </si>
  <si>
    <t>evertsruiz@yahoo.es</t>
  </si>
  <si>
    <t>0811807820002A</t>
  </si>
  <si>
    <t>BENIGNO</t>
  </si>
  <si>
    <t>BO. GUADALUPE, ESCUELA MARIA AUXILIADORA 1/2C. O.</t>
  </si>
  <si>
    <t>SEMAFOROS LA RETIRADA, 1 CUADRA NORTE, 30 VARAS OESTE</t>
  </si>
  <si>
    <t>mirandafran646@gmail.com</t>
  </si>
  <si>
    <t>2811707820002B</t>
  </si>
  <si>
    <t>NEIDYS</t>
  </si>
  <si>
    <t>CALVO</t>
  </si>
  <si>
    <t>BO LA PARROQUIA, COST. N. ESC. SANTIAGO APOSTOL</t>
  </si>
  <si>
    <t>MUEBLERIA  CAILAGUA 1/2  AL SUR</t>
  </si>
  <si>
    <t>25223787 87030625 85607250</t>
  </si>
  <si>
    <t>neidyszc@yahoo.es</t>
  </si>
  <si>
    <t>2811607820002Y</t>
  </si>
  <si>
    <t>YADER</t>
  </si>
  <si>
    <t>CLINICA AMOCSA 2 1/2C  AL ESTE</t>
  </si>
  <si>
    <t>IG.CALVARIO 1 1/2C.NORTE</t>
  </si>
  <si>
    <t>22335017 23113267</t>
  </si>
  <si>
    <t>0811507820012E</t>
  </si>
  <si>
    <t>CASA PELLAS 4 CUADRAS AL NORTE, MEDIA CUADRA AL OESTE, CHINANDEGA.</t>
  </si>
  <si>
    <t>BO. EL CALVARIO, CASA PELLAS 4C.NORTE 1/2C.OESTE</t>
  </si>
  <si>
    <t>drhenry2009@hotmail.com</t>
  </si>
  <si>
    <t>4021507820002B</t>
  </si>
  <si>
    <t>EVELIN</t>
  </si>
  <si>
    <t>CMCA. COFRADIA, IGLESIA CATOLICA 2C. AL S. 1C. AL E.</t>
  </si>
  <si>
    <t>DE LA IGLESIA CATÓLICA 2 CUADRA AL SUR 1 CUADRA AL OESTE</t>
  </si>
  <si>
    <t>85035988 58483443</t>
  </si>
  <si>
    <t>chuli150782@gmail.com</t>
  </si>
  <si>
    <t>2911307820001Q</t>
  </si>
  <si>
    <t>JESSAEL</t>
  </si>
  <si>
    <t>RPTO MARIANA SAMPSON COSTADO NOROESTE TANQUE DE AGUA</t>
  </si>
  <si>
    <t>COSTADO NOROESTE TANQUE DE AGUA</t>
  </si>
  <si>
    <t>0811207820005Q</t>
  </si>
  <si>
    <t>RPTO. ERICK RAMIREZ TORREZ 1c O.</t>
  </si>
  <si>
    <t>PLANTA ELECTRICA 1 CUADRA AL OESTE</t>
  </si>
  <si>
    <t>salazarrodriguez_82@yahoo.es</t>
  </si>
  <si>
    <t>2811007820015A</t>
  </si>
  <si>
    <t>NOELIA</t>
  </si>
  <si>
    <t>BO. ERMITA DE DOLORES, IGL. ETA. DE DOLORES 1/2C. AB.</t>
  </si>
  <si>
    <t>IGLESIA 25 VARAS AL OESTE.</t>
  </si>
  <si>
    <t>svnb1612@gmail.com</t>
  </si>
  <si>
    <t>2910307820004W</t>
  </si>
  <si>
    <t>LYDIA</t>
  </si>
  <si>
    <t>SEMAFOROS DEL GUANACASTE 1 1/2C. AL SUR, BO. ALTAGRACIA MANAGUA</t>
  </si>
  <si>
    <t>DEL CENTRO DE SALUD 2 CUADRAS SUR 1/2 CUADRA OESTE</t>
  </si>
  <si>
    <t>22642754 87938660</t>
  </si>
  <si>
    <t>0810207820011A</t>
  </si>
  <si>
    <t>RPTO.MONSERRATH,DIVINA PROVIDENCIA 2C.N 1/2C.E</t>
  </si>
  <si>
    <t>DIVINA  PROVINDENCIA, 1 CUADRA NORTE,  20 VARAS ESTE</t>
  </si>
  <si>
    <t>0820107820000D</t>
  </si>
  <si>
    <t>BARRIO SAN LUIS, CASA # 139</t>
  </si>
  <si>
    <t>EX CINE 75 VARAS AL OSTE</t>
  </si>
  <si>
    <t>corinto82@hotmail.com</t>
  </si>
  <si>
    <t>4012806820002F</t>
  </si>
  <si>
    <t>HENRRY</t>
  </si>
  <si>
    <t>BO. MONIMBO, PLAZA P.J.CH. 2C. O. 1C. S.</t>
  </si>
  <si>
    <t>BO.MONIMBO, PLAZA P.J.CH.2C.OESTE 1C.AL SUR</t>
  </si>
  <si>
    <t>4912806820001U</t>
  </si>
  <si>
    <t>JOSÉ</t>
  </si>
  <si>
    <t>RESD. VISTA DE MOMOTOMBO KM. 20 CARRETERA NUEVA LEÓN BLOQUE 36, CASA #5</t>
  </si>
  <si>
    <t>BO. SOL DE LIBERTAD</t>
  </si>
  <si>
    <t>josetalavera_28@yahoo.es</t>
  </si>
  <si>
    <t>2812506820001L</t>
  </si>
  <si>
    <t>BO. EL COYOLAR HOTEL EUROPA 1½C.E.</t>
  </si>
  <si>
    <t>CRUZ LORENA, 1 CUADRA AL ESTE, 1/2 CUADRA AL NORTE</t>
  </si>
  <si>
    <t>23114165 86546145 88168656</t>
  </si>
  <si>
    <t>2842206820000F</t>
  </si>
  <si>
    <t>LIBETH</t>
  </si>
  <si>
    <t>BO. VALERIO LINARTE, CASA CURAL 1 1/2C.E.</t>
  </si>
  <si>
    <t>BO. ISAIAS GOMEZ. FERRETERIA SINSA ALTAMIRA, 2 C AL ESTE Y 40 VRS AL NORTE</t>
  </si>
  <si>
    <t>2022006820000A</t>
  </si>
  <si>
    <t>EDDILSON</t>
  </si>
  <si>
    <t>UMAÑA</t>
  </si>
  <si>
    <t>RPTO JAVIER GUERRA II ETAPA CASA NO 161</t>
  </si>
  <si>
    <t>HOSPITAL PRIMARIO MONTE CARMELO 5CUADRAS NORTE, 2CUADRAS OESTE.</t>
  </si>
  <si>
    <t>0012006820014U</t>
  </si>
  <si>
    <t>RESTAURANTE MIUNCH 1 1/2C AL SUR</t>
  </si>
  <si>
    <t>COSTADO SUR DEL INSTITUTO LEONARDO MATUTE</t>
  </si>
  <si>
    <t>kalupizap1@gmail.com</t>
  </si>
  <si>
    <t>0011206820021K</t>
  </si>
  <si>
    <t>JEANNETTE</t>
  </si>
  <si>
    <t>BO. CAMILO CHAMORRO, DE LA  ROCARGO 3c N. 1c E. 1/2c N.</t>
  </si>
  <si>
    <t>DEL MONUMENTO DE LA VIRGEN 2C. AL SUR</t>
  </si>
  <si>
    <t>22332042 88220358</t>
  </si>
  <si>
    <t>mirnajeannethel@yahoo.com</t>
  </si>
  <si>
    <t>1211106820005C</t>
  </si>
  <si>
    <t>MUNICIPIO DESEMBOCADURA DEL RIO GRANDE</t>
  </si>
  <si>
    <t>ESCUELA SIMON BOLIVAR 1C. OESTE</t>
  </si>
  <si>
    <t>4411006820010V</t>
  </si>
  <si>
    <t>MARA</t>
  </si>
  <si>
    <t>LIZGENY</t>
  </si>
  <si>
    <t>SILAIS 3C. AL E.</t>
  </si>
  <si>
    <t>SILAIS 3 CUADRAS AL ESTE</t>
  </si>
  <si>
    <t>2900906820003K</t>
  </si>
  <si>
    <t>FELICIANA</t>
  </si>
  <si>
    <t>CMCA. RIGOBERTO MORALES, KM. 106 CARRETERA</t>
  </si>
  <si>
    <t>HOSPITALITO 3C AL ESTE</t>
  </si>
  <si>
    <t>verocheav@gmail.com</t>
  </si>
  <si>
    <t>2810606820009D</t>
  </si>
  <si>
    <t>GLADIS</t>
  </si>
  <si>
    <t>RPTO. ENRIQUE LORENTE, CANCHA 10VRS. NORTE</t>
  </si>
  <si>
    <t>RELOJ PUBLICO 1 CUADRA AL SUR</t>
  </si>
  <si>
    <t>27222390 86327256</t>
  </si>
  <si>
    <t>gpiura81@gmail.com</t>
  </si>
  <si>
    <t>4080606820003F</t>
  </si>
  <si>
    <t>CMCA. SAN JOSE, DEL PARQUE 3 1/2C, S.</t>
  </si>
  <si>
    <t>DEL PARQUE 3-1/2 CUADRAS AL SUR.</t>
  </si>
  <si>
    <t>2022605820001H</t>
  </si>
  <si>
    <t>BO. JUAN JOSE QUEZADA, ENITEL 3c AL SUR</t>
  </si>
  <si>
    <t>ENITEL 3 CUADRAS AL SUR.</t>
  </si>
  <si>
    <t>johannaromero2605@yahoo.es</t>
  </si>
  <si>
    <t>2022305820000A</t>
  </si>
  <si>
    <t>JAENZ</t>
  </si>
  <si>
    <t>BO. 17 DE OCTUBRE, POZOS ENACAL 80vrs O.</t>
  </si>
  <si>
    <t>CMCA. POCHOCUAPE, 2DO. TANQUE DE ENACAL 300 VRS.SUROESTE</t>
  </si>
  <si>
    <t>jaenzjosue@gmail.com</t>
  </si>
  <si>
    <t>0012105820002C</t>
  </si>
  <si>
    <t>BARRIO SAN RAFAEL DEL COLEGIO REYNO DE ESPAÑA 4 C AL SUR 1/2 C E</t>
  </si>
  <si>
    <t>FRENTE AL CAMPO DE LA POLICIA</t>
  </si>
  <si>
    <t>denisduartesilva19@yahoo.com</t>
  </si>
  <si>
    <t>2021905820003U</t>
  </si>
  <si>
    <t>BO. OSCAR TURCIOS, SHELL SANTA TERESA 1/2C.O.</t>
  </si>
  <si>
    <t>KILOMETRO 16.8 CARRETERA MASAYA FRENTE A TIP TOP RESIDENCIAL SIERRAS DORADAS CASA  C-25 SEGUNDA ETA</t>
  </si>
  <si>
    <t>0011705820003U</t>
  </si>
  <si>
    <t>CARRETERA NVA. LEON KM 18.5 CIUDAD DORAL CASA # M-89</t>
  </si>
  <si>
    <t>KM 17 1/2 CARRETERA NVA. LEON RES. EL DORAL M-89</t>
  </si>
  <si>
    <t>22661125 88531268</t>
  </si>
  <si>
    <t>leninanestesiologo@gmail.com</t>
  </si>
  <si>
    <t>2811505820006N</t>
  </si>
  <si>
    <t>COLEGIO RUBEN DARIO 3C ABAJO 1/2C AL NORTE</t>
  </si>
  <si>
    <t>POR EL INSTITUTO</t>
  </si>
  <si>
    <t>0011305820003L</t>
  </si>
  <si>
    <t>BO. CAMPO BRUCE DDF. CINE SALINAS 3C. O. 3C. N.</t>
  </si>
  <si>
    <t>PARROQUIA SAN NICOLAS DE TOLENTINO 3 1/2 CUADRA AL ESTE</t>
  </si>
  <si>
    <t>22258797 89522884</t>
  </si>
  <si>
    <t>fajima13@gmail.com</t>
  </si>
  <si>
    <t>0010905820035M</t>
  </si>
  <si>
    <t>ALDO</t>
  </si>
  <si>
    <t>Bo.ALTAGRACIA ,ESCUELA MONGALO 4C.S</t>
  </si>
  <si>
    <t>ESCUELA MONGALO 4 CUADRAS AL SUR</t>
  </si>
  <si>
    <t>DOCTOR EN MEDICINA Y CIRUGIA.</t>
  </si>
  <si>
    <t>arsc9582@gmail.com</t>
  </si>
  <si>
    <t>2910705820002Q</t>
  </si>
  <si>
    <t>BARRIO PANCASAN, DEL INSTITUTO 1C.S 2C.E.</t>
  </si>
  <si>
    <t>DEL CENTRO DE SALUD 2 CUADRAS AL NORTE 1 CUADRA AL OESTE</t>
  </si>
  <si>
    <t>2810405820011U</t>
  </si>
  <si>
    <t>CANCHA DE TENIS 2C AL ESTE</t>
  </si>
  <si>
    <t>ESQUINA DE LA BARRANCA 1/2 CUADRAS AL NORTE.</t>
  </si>
  <si>
    <t>2810305820014V</t>
  </si>
  <si>
    <t>BO. GUADALUPE, BDF, BILL, DARCE  75vrs AL OESTE</t>
  </si>
  <si>
    <t>COSTADO SUR IGLESIA GUADALUPE 1 CUADRA AL SUR 1/2 CUADRA AL OESTE</t>
  </si>
  <si>
    <t>23155016 58062614</t>
  </si>
  <si>
    <t>0010105820120M</t>
  </si>
  <si>
    <t>MAURA</t>
  </si>
  <si>
    <t>COL. MORAZAN, C. DE SALUD COST. O. 3C.N. CASA C-333</t>
  </si>
  <si>
    <t>RESIDENCIAL PRADERAS DE XILOTEPELT, CASA H-16</t>
  </si>
  <si>
    <t>0412604820000A</t>
  </si>
  <si>
    <t>SAN JUAN DE LA CONCEPCION, DE LA IGLES. 2 1/2 AL N.</t>
  </si>
  <si>
    <t>DE LA IGLESIA CATOLICA 2 1/2 CUADRA AL NORTE</t>
  </si>
  <si>
    <t>25282107 89447685</t>
  </si>
  <si>
    <t>leo_rosamejia@yahoo.es</t>
  </si>
  <si>
    <t>0422604820001T</t>
  </si>
  <si>
    <t>MONTANO</t>
  </si>
  <si>
    <t>BO. SAN ANTONIO HOTEL LA QUINTA 2 1/2C. N</t>
  </si>
  <si>
    <t>DE LA QUINTA 2 1/2 CUADRA AL NORTE</t>
  </si>
  <si>
    <t>22912587 86929780</t>
  </si>
  <si>
    <t>everbalto26@hotmail.com</t>
  </si>
  <si>
    <t>1612004820014P</t>
  </si>
  <si>
    <t>WILMER</t>
  </si>
  <si>
    <t>SAEED</t>
  </si>
  <si>
    <t>CIUDAD ANTIGUA</t>
  </si>
  <si>
    <t>BO. SAN JOSE, ALCALDIA MUNICIPAL 1c OESTE 1/2c NORTE</t>
  </si>
  <si>
    <t>DE LA ALCALDIA 1 CUADRA AL OESTE, 1/2 CUADRA AL NORTE</t>
  </si>
  <si>
    <t>drhuetemorales@yahoo.es</t>
  </si>
  <si>
    <t>2811704820000E</t>
  </si>
  <si>
    <t>CDI LA SONRISA 1/2C. AL NORTE BO. EL CALVARIO LEON</t>
  </si>
  <si>
    <t>EMPRESA DIINSA 1 CUADRA AL NORTE, 600 METROS AL ESTE, CASA NUMERO 45.</t>
  </si>
  <si>
    <t>23151082 89082149</t>
  </si>
  <si>
    <t>4411604820003N</t>
  </si>
  <si>
    <t>CINTHYA</t>
  </si>
  <si>
    <t>BO. XOCHILT ACALT, CONTIGUO ESCUELA XOCHILT ACALT</t>
  </si>
  <si>
    <t>CONTIGUO A LA ESCUELA</t>
  </si>
  <si>
    <t>6071204820007V</t>
  </si>
  <si>
    <t>EMMA</t>
  </si>
  <si>
    <t>FILOMENA</t>
  </si>
  <si>
    <t>BO. CORAL, CONTIGUO LOLA ESCOBAR</t>
  </si>
  <si>
    <t>DEL TALLER WILSON 1/2 CUADRA AL ESTE, CASA DE CONCRETO COLOR AMARILLO.</t>
  </si>
  <si>
    <t>5211004820000N</t>
  </si>
  <si>
    <t>MAYQUEL</t>
  </si>
  <si>
    <t>PORTON PRINCIPAL DEL CEMENTERIO 75 METROS ABAJO</t>
  </si>
  <si>
    <t>AUTOLOTE DEL NORTE 5C. AL ESTE, 1C. AL SUR</t>
  </si>
  <si>
    <t>madrigalmaykel@yahoo.es</t>
  </si>
  <si>
    <t>0010704820040G</t>
  </si>
  <si>
    <t>AXEL</t>
  </si>
  <si>
    <t>ALMANZA</t>
  </si>
  <si>
    <t>BO. HILARIO SANCHEZ KM 12 1/2 CARRETERA SUR FRENTE ESCUELA MISION POSIBLE</t>
  </si>
  <si>
    <t>KM 12.7 CARRETERA SUR, FRENTE A LA ESCUELITA</t>
  </si>
  <si>
    <t>tonivalverdeax@gmail.com</t>
  </si>
  <si>
    <t>1210404820005Y</t>
  </si>
  <si>
    <t>BO. LA TONGA. MONUMENTO CHACO DE LEO 2C. N. 1. 1/2 C. O.</t>
  </si>
  <si>
    <t>ZONA NO.8, MARENA 4C.SUR 1C.OESTE</t>
  </si>
  <si>
    <t>canela04_urbina@gmail.com</t>
  </si>
  <si>
    <t>0010304820009P</t>
  </si>
  <si>
    <t>AMERICAS NO. 1 SECTOR# C, ANDEN  NO. 10, CASA 1264</t>
  </si>
  <si>
    <t>AMERICAS NO.1,  SECTOR C ANDEN NO.10 PORTON TRASERO UPOLI 2C AL ESTE 2C AL SUR  CASA NO.1264</t>
  </si>
  <si>
    <t>2810304820004D</t>
  </si>
  <si>
    <t>MEDEA</t>
  </si>
  <si>
    <t>COMPLEJO HABITACIONAL MODESTO ESPINALES CASA F-3</t>
  </si>
  <si>
    <t>DEL COLEGIO RUBEN DARIO 3 CUADRAS AL OESTE 20 VARAS AL SUR.</t>
  </si>
  <si>
    <t>medeario03@yahoo.es</t>
  </si>
  <si>
    <t>0013103820001K</t>
  </si>
  <si>
    <t>YELBA</t>
  </si>
  <si>
    <t>RESD. CIUDAD EL DORAL KM 17 1/2 CARRETERA NUEVA LEON N° L-62</t>
  </si>
  <si>
    <t>KILOMETRO 17 1/2 CARRETERA NUEVA LEON CALLE 2 AVENIDA 5 CASA L-62</t>
  </si>
  <si>
    <t>yelbamaradiaga@yahoo.es</t>
  </si>
  <si>
    <t>0012303820065M</t>
  </si>
  <si>
    <t>COLONIA RUBEN DARIO, CASA L-160</t>
  </si>
  <si>
    <t>IGLESIA CATOLICA 2ANDENES OESTE, CASA L-160</t>
  </si>
  <si>
    <t>22491992 84291823</t>
  </si>
  <si>
    <t>vostaurus@hotmail.com</t>
  </si>
  <si>
    <t>4411903820016C</t>
  </si>
  <si>
    <t>COM. YANKE, EMPALME LAS PRADERAS 100 MTS.O</t>
  </si>
  <si>
    <t>DE LA IGLESIA MOLAGUINA 7 CUADRAS AL ESTE A MANO IZQUIERDA</t>
  </si>
  <si>
    <t>0011803820007N</t>
  </si>
  <si>
    <t>ALCALDIA 2 CUADRAS ARRIBA</t>
  </si>
  <si>
    <t>SECTOR 2. ALCALDÍA 2 1/2 CUADRA AL ESTE.</t>
  </si>
  <si>
    <t>4011703820004P</t>
  </si>
  <si>
    <t>HOTEL CARLAGUA KM 30 CARRETERA MASAYA-GRANADA 3 1/2C AL SUR</t>
  </si>
  <si>
    <t>DE DONDE FUERON LOS BILLARES 3 CUADRAS  AL ESTE, M/I</t>
  </si>
  <si>
    <t>25224867 85745685</t>
  </si>
  <si>
    <t>4491503820000Q</t>
  </si>
  <si>
    <t>APOLINAR</t>
  </si>
  <si>
    <t>COLINIA NICARAO CONTIGUO A CALLEJON CHICO Y NAYO</t>
  </si>
  <si>
    <t>FERRETERIA REYNALDO HERNANDEZ, 1 CUADRA AL ESTE, 1/2 CUADRA AL SUR</t>
  </si>
  <si>
    <t>27763055 86069841 89262175</t>
  </si>
  <si>
    <t>mosbi76@hotmail.com</t>
  </si>
  <si>
    <t>0011403820024X</t>
  </si>
  <si>
    <t>SHELL SUR 3C. AL SUR</t>
  </si>
  <si>
    <t>TRASERA IGLESIA EL CALVARIO 2 1/2C AL NORTE</t>
  </si>
  <si>
    <t>88845224 88465303 85219465</t>
  </si>
  <si>
    <t>1211303820000G</t>
  </si>
  <si>
    <t>BO.J.LAZO, COSTADO N. ESCUELA REG.CAB.</t>
  </si>
  <si>
    <t>DEL PORTON DEL HUERTO 1CUADRA AL NORTE 4CUADRAS AL ESTE 1CUADRA AL NORTE</t>
  </si>
  <si>
    <t>0861203820002X</t>
  </si>
  <si>
    <t>DONOSO</t>
  </si>
  <si>
    <t>BARRIO LA PARROQUIA MERCADO 75vrs AL OESTE</t>
  </si>
  <si>
    <t>MERCADO 75 VARAS  AL OESTE</t>
  </si>
  <si>
    <t>23442025 86557075</t>
  </si>
  <si>
    <t>3211103820004K</t>
  </si>
  <si>
    <t>RPTO. SAN JUAN, GIMNASIO HERCULES 1C.S. 2C.E. 1/2C.S. CA.NO.183</t>
  </si>
  <si>
    <t>GIMNASIO HERCULES 1C SUR, 2C ESTE, 1/2C. AL SUR, CASA 183.</t>
  </si>
  <si>
    <t>22785519 84027600</t>
  </si>
  <si>
    <t>0420603820003V</t>
  </si>
  <si>
    <t>JAYRON</t>
  </si>
  <si>
    <t>DONALDO</t>
  </si>
  <si>
    <t>BO. SAN SEBASTIAN, TELCOR 3c OESTE</t>
  </si>
  <si>
    <t>TELCOR 3 CUADRAS AL OESTE</t>
  </si>
  <si>
    <t>doc.andrade18@yahoo.com</t>
  </si>
  <si>
    <t>1610603820008V</t>
  </si>
  <si>
    <t>NEREYDA</t>
  </si>
  <si>
    <t>TEXTILES KANAN 1/2 CUADRA AL ESTE B°. HEROES Y MARTIRES. ESTELI</t>
  </si>
  <si>
    <t>TEXTILES CANAN 1/2 CUADRAS AL ESTE</t>
  </si>
  <si>
    <t>27133825, 85943367</t>
  </si>
  <si>
    <t>27133825 85943367</t>
  </si>
  <si>
    <t>inpebri0603@gmail.com</t>
  </si>
  <si>
    <t>2810403820015L</t>
  </si>
  <si>
    <t>RPTO.  PRADERAS DE NUEVO LEON, LABORATORIO DIVINA 2 1/2KM E. CA. NO. 119</t>
  </si>
  <si>
    <t>CASA NO. 119</t>
  </si>
  <si>
    <t>23154465 84016515</t>
  </si>
  <si>
    <t>adriana_040382@hotmail.com</t>
  </si>
  <si>
    <t>0010103820052A</t>
  </si>
  <si>
    <t>BO. 1RO. DE MAYO DEL PARQUECITO 2C. S.</t>
  </si>
  <si>
    <t>BO. 1 DE MAYO, FRENTE A LA BODEGA DE ENIC.</t>
  </si>
  <si>
    <t>27721470 84985725</t>
  </si>
  <si>
    <t>0010103820048V</t>
  </si>
  <si>
    <t>RESD. LAS BRISAS, DE DONDE FUE RESTAURANTE CAPORAL 2C. N. 25VRS. E. CA. NO. C-85</t>
  </si>
  <si>
    <t>RESTAURANTE EL  CAPORAL 3 CUADRAS NORTE, 20 VARAS ESTE, CASA-85.</t>
  </si>
  <si>
    <t>22668961 83880047</t>
  </si>
  <si>
    <t>duarte0103@hotmail.com</t>
  </si>
  <si>
    <t>2812702820005T</t>
  </si>
  <si>
    <t>LEON DEL COLEGIO LA SALLE 120VRS ABAJO</t>
  </si>
  <si>
    <t>DELICIAS DEL VOLGA 2 CUADRAS NORTE, 1/2 CUADRA OESTE.</t>
  </si>
  <si>
    <t>21679292 88660130</t>
  </si>
  <si>
    <t>2412302820005P</t>
  </si>
  <si>
    <t>LUDWIN</t>
  </si>
  <si>
    <t>BO. ROGER HANGUIEM, I ETAPA PUESTO SUR 300MTS.O. 25MTS.N.</t>
  </si>
  <si>
    <t>PUESTO SUR 300 VARAS AL OESTE 25 VARAS AL NORTE</t>
  </si>
  <si>
    <t>27821368 87412670</t>
  </si>
  <si>
    <t>0422202820000V</t>
  </si>
  <si>
    <t>REPARTO BELGICA, TERCERA CALLE CASA No.51</t>
  </si>
  <si>
    <t>PRODUCTOS BRIOMOL 75MTS. AL SUR</t>
  </si>
  <si>
    <t>hecisar@gmail.com</t>
  </si>
  <si>
    <t>0412102820002D</t>
  </si>
  <si>
    <t>ROGELIA</t>
  </si>
  <si>
    <t>KILOMETRO 10 1/2 CARRETERA NUEVA A LEON, URBANIZACION SANTA EDUVIGES, CASA NO. L29.</t>
  </si>
  <si>
    <t>KILOMETRO 10.5 CARRTERA NUEVA A LEON, CASA N0. L-29, 1ERA ETAPA.</t>
  </si>
  <si>
    <t>89983200 78256273</t>
  </si>
  <si>
    <t>0011902820071D</t>
  </si>
  <si>
    <t>RECIDENCIAL CASA REAL CALLE#8</t>
  </si>
  <si>
    <t>SEMAFOROS DDF LA PEPSI, 1C AL OESTE, 2C AL NORTE, 1C AL OESTE</t>
  </si>
  <si>
    <t>89166812 89241827</t>
  </si>
  <si>
    <t>1211202820010J</t>
  </si>
  <si>
    <t>BO. HECTOR UGARTE, CRUZ ROJA 2C AL S. 1C O. 10 VRS AL S.</t>
  </si>
  <si>
    <t>DEL PUENTE 10 METROS AL NORTE, 60 METROS AL OESTE</t>
  </si>
  <si>
    <t>25121555 76697490</t>
  </si>
  <si>
    <t>dr.romano_2006@yahoo.es</t>
  </si>
  <si>
    <t>2911102820002E</t>
  </si>
  <si>
    <t>REPARTO SAN MATEO 2 ENTRADA CASA#8</t>
  </si>
  <si>
    <t>REPTO. SAN MATEO, CASA NO.008</t>
  </si>
  <si>
    <t>castellonxcohitl@yahoo.es</t>
  </si>
  <si>
    <t>0841002820005F</t>
  </si>
  <si>
    <t>DISNORTE 1/2C AL E. Bo. MERCEDES CHICHIGALPA</t>
  </si>
  <si>
    <t>ALCALDIA MUNICIPAL, 1/2 CUADRA AL OESTE.</t>
  </si>
  <si>
    <t>23432365 86895878</t>
  </si>
  <si>
    <t>smpazg04@yahoo.com</t>
  </si>
  <si>
    <t>6010802820000M</t>
  </si>
  <si>
    <t>DINKA</t>
  </si>
  <si>
    <t>YOLAINA</t>
  </si>
  <si>
    <t>URBANIZACION BELEN, CASA B-1-3 SABANA GRANDE</t>
  </si>
  <si>
    <t>BAR CEVICHITO 2C O, 1C N.</t>
  </si>
  <si>
    <t>22483403 86524659</t>
  </si>
  <si>
    <t>dinkarl.ni@gmail.com</t>
  </si>
  <si>
    <t>0010402820031C</t>
  </si>
  <si>
    <t>BO. RAMON OBANDO, COOPERATIVA CAMOAPAM 1C. O. 1/2C.S.</t>
  </si>
  <si>
    <t>CONTIGUO A TV CENTRO</t>
  </si>
  <si>
    <t>22505487 83687566</t>
  </si>
  <si>
    <t>pedro_gomezo@yahoo.com</t>
  </si>
  <si>
    <t>0010202820055Y</t>
  </si>
  <si>
    <t>DE LA PULPERIA VICKY 1/2 CUADRA ESTE, CASA NO 517</t>
  </si>
  <si>
    <t>25523103 89533648</t>
  </si>
  <si>
    <t>0010102820064G</t>
  </si>
  <si>
    <t>IGLESIA SAN JOSE TIPITAPA 5C AL ESTE 75 VRS AL NORTE</t>
  </si>
  <si>
    <t>COMANDO 5 CUADRAS AL ESTE 75 VARAS AL NORTE</t>
  </si>
  <si>
    <t>84765684 85986368 88773122</t>
  </si>
  <si>
    <t>0412901820000M</t>
  </si>
  <si>
    <t>HEGEEN</t>
  </si>
  <si>
    <t>EDMUNDO</t>
  </si>
  <si>
    <t>BO. NUEVO CEMENTERIO, 2DA ENTRADA CASA NO. 6</t>
  </si>
  <si>
    <t>SEGUNDA ENTRADA CASA NUMERO 6.</t>
  </si>
  <si>
    <t>hegeen29@yahoo.com</t>
  </si>
  <si>
    <t>2902901820000S</t>
  </si>
  <si>
    <t>ELISABETH</t>
  </si>
  <si>
    <t>COL.  LAS PIEDRECITAS DE CRUZ LORENA 1C. N.</t>
  </si>
  <si>
    <t>BO. LA MARIA COLONIA LAS PIEDRECITAS CRUZ LORENA 1CUADRA NORTE</t>
  </si>
  <si>
    <t>27729010 89273761</t>
  </si>
  <si>
    <t>sequeira_elisabeth@yahoo.com</t>
  </si>
  <si>
    <t>0812801820003J</t>
  </si>
  <si>
    <t>YESSY</t>
  </si>
  <si>
    <t>RAMPLA 200 VARAS AL ESTE</t>
  </si>
  <si>
    <t>23411664 86930641</t>
  </si>
  <si>
    <t>0012601820008T</t>
  </si>
  <si>
    <t>LESLIE</t>
  </si>
  <si>
    <t>RESD,VISTA DEL MOMOTOMBO BLOQUE 6 LOTE 3km 19 1/2 CARRETERA NUEVA LEON</t>
  </si>
  <si>
    <t>KM 19.5 CARRETERA NUEVA A LEON, BLOQUE 6 CASA #3 FRENTE AL PARQUE</t>
  </si>
  <si>
    <t>22935090 78683140 86473755 89009755</t>
  </si>
  <si>
    <t>lesalt33@gmail.com</t>
  </si>
  <si>
    <t>0012201820012P</t>
  </si>
  <si>
    <t>REPT.ALTOS DE MOTASTEPE</t>
  </si>
  <si>
    <t>PRIMERA ETAPA, CASA #270</t>
  </si>
  <si>
    <t>88323030 81995207</t>
  </si>
  <si>
    <t>4011901820002D</t>
  </si>
  <si>
    <t>VILLA RAFAELA PADILLA C # 23</t>
  </si>
  <si>
    <t>REPUESTOS BURGO, 1 CUADRA AL SUR, 1/2 CUADRA AL ESTE, MANO DERECHA</t>
  </si>
  <si>
    <t>drfreddygabinoblandon@gmail.com</t>
  </si>
  <si>
    <t>4011701820014M</t>
  </si>
  <si>
    <t>Bo. MONIMBO, 4 ESQUINA 2C AL S.</t>
  </si>
  <si>
    <t>DE LAS 4 ESQUINAS 2 C. SUR</t>
  </si>
  <si>
    <t>0011501820018F</t>
  </si>
  <si>
    <t>OLGA</t>
  </si>
  <si>
    <t>ZINICA</t>
  </si>
  <si>
    <t>RESIDENCIAL, JARDINES DE VERACRUZ ROTONDA JARDINES DE VERACRUZ 2 1/2c SUR CASA No. C-36</t>
  </si>
  <si>
    <t>BO. JARDINES DE VERACRUZ,CASA NO.C-36</t>
  </si>
  <si>
    <t>ozuk82@gmail.com</t>
  </si>
  <si>
    <t>0010701820022S</t>
  </si>
  <si>
    <t>BO, VENEZUELA, CLINICA DON BOSCO 4C, E. 1 1/2C, N.</t>
  </si>
  <si>
    <t>FRENTE A LA CAPILLA DIVINO NIÑO</t>
  </si>
  <si>
    <t>bancoperezcarvajal@yahoo.com sergioperezcarvajal@yahoo.es sergiosergioperez@yahoo.es</t>
  </si>
  <si>
    <t>0010401820023M</t>
  </si>
  <si>
    <t>PTE ZUMEN 3C AL SUR</t>
  </si>
  <si>
    <t>ANTIGUO COSEP, 1 CUADRA AL NORTE, 1 1/2 CUADRAS AL ESTE, 75 VARAS AL NORTE</t>
  </si>
  <si>
    <t>22255412 88260284</t>
  </si>
  <si>
    <t>menitaz82@gmail.com</t>
  </si>
  <si>
    <t>0010301820022J</t>
  </si>
  <si>
    <t>COL.M. GABRIEL CINE RX, 2C, E. 1/2C, N. CASA# 472</t>
  </si>
  <si>
    <t>DE LOS TALLERES MODERNOS 4CUADRA NORTE 5VARAS OESTE</t>
  </si>
  <si>
    <t>22525266 84100183</t>
  </si>
  <si>
    <t>cruzbetty359@gmail.com</t>
  </si>
  <si>
    <t>0863112810005G</t>
  </si>
  <si>
    <t>NARCISO</t>
  </si>
  <si>
    <t>BO. AURELIO CARRASCO, DE LA BASILICA 7 1/2C. ABAJO</t>
  </si>
  <si>
    <t>ALCALDIA 75 VARAS NORTE</t>
  </si>
  <si>
    <t>narcisoantonio70@yahoo.es</t>
  </si>
  <si>
    <t>6032712810004N</t>
  </si>
  <si>
    <t>CONCEPCION</t>
  </si>
  <si>
    <t>CMCA. PTO. LA ESPERANZA, CASA HUESPED DE LOS MEDICOS DEL HOSPITAL CARLOS ROBERTO HUEMBES</t>
  </si>
  <si>
    <t>ENTRADA NORTE CENTRO COMERCIAL MANAGUA 3 1/2 C AL SUR</t>
  </si>
  <si>
    <t>mariflowers127@gmail.com</t>
  </si>
  <si>
    <t>2412612810012Y</t>
  </si>
  <si>
    <t>OCTAVIO</t>
  </si>
  <si>
    <t>BO. 20 DE MAYO, GASOLINERA TEXACO 1/2C. S</t>
  </si>
  <si>
    <t>CASA D-155</t>
  </si>
  <si>
    <t>85553696 83692360</t>
  </si>
  <si>
    <t>servinic.vigilancia@gmail.com</t>
  </si>
  <si>
    <t>3652412810003R</t>
  </si>
  <si>
    <t>SANDIGO</t>
  </si>
  <si>
    <t>CMCA. EL CINCHAL, EL CINCHAL</t>
  </si>
  <si>
    <t>FRENTE AL CUADRO DE BEISBOL</t>
  </si>
  <si>
    <t>lesterbrizuela@yahoo.com</t>
  </si>
  <si>
    <t>EL PRADO,LA FLORESTA CASA H-3,KM 171/2 CARRETERA A MASAYA</t>
  </si>
  <si>
    <t>MEDICO CIRUJANO Y PARTERO</t>
  </si>
  <si>
    <t>2811512810005N</t>
  </si>
  <si>
    <t>FACULTAD DE DERECHO 25 VRS. AL SUR</t>
  </si>
  <si>
    <t>DE RONSA 2 CUADRA OESTE, 25 VARAS AL NORTE</t>
  </si>
  <si>
    <t>23113988 88142890</t>
  </si>
  <si>
    <t>arssette@yahoo.com, saulduarte_8@yahoo.es</t>
  </si>
  <si>
    <t>0011312810009T</t>
  </si>
  <si>
    <t>ANNIELL</t>
  </si>
  <si>
    <t>BO. JONATHAN GONZALEZ, SEMAFOROS DE ENEL CENTRAL 500MTS AL NORTE</t>
  </si>
  <si>
    <t>4491212810001Y</t>
  </si>
  <si>
    <t>BO. SANTA LUCIA, DE LA GASOLINERA UNO  2C.E .Y 1/2 AL N.</t>
  </si>
  <si>
    <t>GASOLINERA UNO 2 CUADRAS AL ESTE</t>
  </si>
  <si>
    <t>lisa@yahoo.com</t>
  </si>
  <si>
    <t>4010812810006L</t>
  </si>
  <si>
    <t>MILAGROSA</t>
  </si>
  <si>
    <t>SAMANTHA</t>
  </si>
  <si>
    <t>PARQUE SAN JUAN 1 1/2 CUADRA AL NORTE</t>
  </si>
  <si>
    <t>77061733, 87680099</t>
  </si>
  <si>
    <t>25223101 86792763</t>
  </si>
  <si>
    <t>samantha.bolagnos@gmail.com</t>
  </si>
  <si>
    <t>2410712810003X</t>
  </si>
  <si>
    <t>NEFTALY</t>
  </si>
  <si>
    <t>CORTEDANO</t>
  </si>
  <si>
    <t>SECTOR A, HOSPITAL PRIMARIO 10c NORTE</t>
  </si>
  <si>
    <t>EMPALME SN LUIS 500 METROS AL NORTE</t>
  </si>
  <si>
    <t>axell100803@gmail.om</t>
  </si>
  <si>
    <t>2810612810003R</t>
  </si>
  <si>
    <t>NAZARENA</t>
  </si>
  <si>
    <t>CENTRO DEL COLOR 1 1/2CUADRA NORTE</t>
  </si>
  <si>
    <t>0010412810003S</t>
  </si>
  <si>
    <t>BLADON</t>
  </si>
  <si>
    <t>AXO. PRIMERO DE MAYO, IGLESIA CATOLICA DE VILLA FLOR NORTE 11 C.N. CASA N° 126-127</t>
  </si>
  <si>
    <t>PISTA A SABANA GRANDE, CONTIGUO A DISTRIBUIDORA LA GRANDE</t>
  </si>
  <si>
    <t>22535369 82544183</t>
  </si>
  <si>
    <t>galileo1281@hotmail.com</t>
  </si>
  <si>
    <t>0010312810027R</t>
  </si>
  <si>
    <t>KAFANIA</t>
  </si>
  <si>
    <t>MORGAN</t>
  </si>
  <si>
    <t>REPARTO VISTA HERMOSA CASA #12</t>
  </si>
  <si>
    <t>RPTO.VISTA HERMOSA, RASP.LOLI 7C.SUR, 1C. ESTE, 7C. AL SUR MANO IZQUIERDA.</t>
  </si>
  <si>
    <t>0012811810018E</t>
  </si>
  <si>
    <t>COMARCA CHIQULISTAGUA, KILOMETRO 13 CARRETERA VIEJA LEON ENTRADA 50 VARAS SUR</t>
  </si>
  <si>
    <t>22654098 84090173</t>
  </si>
  <si>
    <t>4812711810001G</t>
  </si>
  <si>
    <t>RAMONA</t>
  </si>
  <si>
    <t>BO. MONSEÑOR MADRIGAL, DE DONDE FUE GASOLINERA ESSO, 2C O. 1/2C N</t>
  </si>
  <si>
    <t>FRENTE AL HOTELITO</t>
  </si>
  <si>
    <t>22701536 27323542</t>
  </si>
  <si>
    <t>insspersa@yahoo.es</t>
  </si>
  <si>
    <t>6032611810003D</t>
  </si>
  <si>
    <t>BO, PUNTA FRIA, FRENTE AL BAR EL DIAMANTE</t>
  </si>
  <si>
    <t>ESCUELA  ESPECIAL 2 CUADRAS AL OESTE</t>
  </si>
  <si>
    <t>58223332, 82410300</t>
  </si>
  <si>
    <t>25421479 86164198</t>
  </si>
  <si>
    <t>kruznoel@gmail.com</t>
  </si>
  <si>
    <t>0012611810047G</t>
  </si>
  <si>
    <t>NEFTAL</t>
  </si>
  <si>
    <t>RED. XOCHILTLAN, KM 10  1/2 CARRETERA MASAYA QUE 1600 MTS. S. BLOQUE DE LA Q ASA N°526</t>
  </si>
  <si>
    <t>KM 10 1/2 CARRETERA MASAYA</t>
  </si>
  <si>
    <t>saluvita10@gmail.com</t>
  </si>
  <si>
    <t>2012511810005M</t>
  </si>
  <si>
    <t>BO. EL SOCORRO DE LA HERMITA  1 1/2c AL ESTE</t>
  </si>
  <si>
    <t>ERMITA EL SOCORRO 1 1/2 CUADRA ESTE.</t>
  </si>
  <si>
    <t>25524575 78913941</t>
  </si>
  <si>
    <t>medinaazucena35@gmail.com</t>
  </si>
  <si>
    <t>6071911810000E</t>
  </si>
  <si>
    <t>NICHO</t>
  </si>
  <si>
    <t>BO. SAN PEDRO, OFICINAS BLUE ENERGY 1/2C. N</t>
  </si>
  <si>
    <t>OFICINAS DE BLUE ENERGI, 100 METROS AL ESTE.</t>
  </si>
  <si>
    <t>4411911810008B</t>
  </si>
  <si>
    <t>ZONA CENTRAL DEL SUPERMERCADO 24/7  1/2C. OESTE</t>
  </si>
  <si>
    <t>DEL HOTEL BERMUDEZ, 1 CUADRA NORTE, 1/2 CUADRA OESTE.</t>
  </si>
  <si>
    <t>aldo.be44@yahoo.es</t>
  </si>
  <si>
    <t>4011411810011X</t>
  </si>
  <si>
    <t>ANTHONY</t>
  </si>
  <si>
    <t>GERARDUS</t>
  </si>
  <si>
    <t>VILLA SAN JERONIMO #24</t>
  </si>
  <si>
    <t>ENTRADA PRINCIPAL 1 CUADRA NORTE 1 CUADRA ESTE CASA ESQUINERA MANO IZQUIERDA CASA NO. 12</t>
  </si>
  <si>
    <t>25224825 82851454</t>
  </si>
  <si>
    <t>3611211810004Q</t>
  </si>
  <si>
    <t>diega</t>
  </si>
  <si>
    <t>ortencia</t>
  </si>
  <si>
    <t>peña</t>
  </si>
  <si>
    <t>CMCA. LOS COCOS, KM 88 1/2 CARRETERA AL RAMA</t>
  </si>
  <si>
    <t>LOS COCOS NO.1 KM 88 1/2 CTRA AL RAMA</t>
  </si>
  <si>
    <t>4810711810003Q</t>
  </si>
  <si>
    <t>BO. NICARAO DE LA CANCHA 2C 1/2 AL O.</t>
  </si>
  <si>
    <t>DEL GUANACASTE 2 CUADRAS 1/2 AL OESTE</t>
  </si>
  <si>
    <t>tanialopezolivas@gmail.com</t>
  </si>
  <si>
    <t>0010611810097S</t>
  </si>
  <si>
    <t>BO L.A. VELAZQUEZ CAFETIN MUSUM 1/2c E.</t>
  </si>
  <si>
    <t>DEL CLUB SOCIAL 1 1/2 CUADRA AL NORTE.</t>
  </si>
  <si>
    <t>77163312 89022595</t>
  </si>
  <si>
    <t>0840411810004F</t>
  </si>
  <si>
    <t>CMCA. EL PELLIZCO, ENTRADA 800 MTS. AL NORTE CHICHIGALPA , CHINANDEGA</t>
  </si>
  <si>
    <t>ENTRADA 800 METROS NORTE</t>
  </si>
  <si>
    <t>dra.riuz.05@hotmail.com</t>
  </si>
  <si>
    <t>0010411810046H</t>
  </si>
  <si>
    <t>AMARA</t>
  </si>
  <si>
    <t>BO. SAN SEBASTIAN, DE DONDE FUE COSEP 1c OESTE 1/2c SUR APARTAMENTO No. 514</t>
  </si>
  <si>
    <t>DE DONDE FUE EL COSEP 1 CUADRA AL OESTE 1/2 CUADRA AL SUR APARTAMENTO NO 514</t>
  </si>
  <si>
    <t>2010111810001F</t>
  </si>
  <si>
    <t>TIFFER</t>
  </si>
  <si>
    <t>MUY MUY</t>
  </si>
  <si>
    <t>RESIDENCIAL PRADERAS DEL DORAL IV ESTAPA CASA N° 567</t>
  </si>
  <si>
    <t>FRENTE AL PARQUE MUNICIPAL</t>
  </si>
  <si>
    <t>27772037 58656134</t>
  </si>
  <si>
    <t>jamtiffer@gmail.com</t>
  </si>
  <si>
    <t>1612910810011A</t>
  </si>
  <si>
    <t>ADMINISTRACION DE RENTAS 3 CUARAS AL ESTE</t>
  </si>
  <si>
    <t>DEL COLEGIO LINCOLN, 200 METROS AL ESTE, CASA NO. 28.</t>
  </si>
  <si>
    <t>aurorabustamante@live.com</t>
  </si>
  <si>
    <t>4012610810012T</t>
  </si>
  <si>
    <t>BO. SAN JUAN, CLARO CENTRAL 75VRS. O.</t>
  </si>
  <si>
    <t>OFICINAS DE CLARO CENTRAL 1/2 CUADRA AL OESTE</t>
  </si>
  <si>
    <t>0852510810000H</t>
  </si>
  <si>
    <t>SILVINO</t>
  </si>
  <si>
    <t>KM 14.5 CARRTERA MASAYA URB. PUERTAS DEL SOL AVENIDA YALI. CASA # 188</t>
  </si>
  <si>
    <t>ZONA NO.2 DEL JUZGADO 3 CUADRA  AL OESTE</t>
  </si>
  <si>
    <t>silvino_gonz@yahoo.es</t>
  </si>
  <si>
    <t>1212410810001H</t>
  </si>
  <si>
    <t>DE LA TEXACO 4C. O.</t>
  </si>
  <si>
    <t>DE DONDE FUE LA CAZUELITA 1 1/2 CUADRA AL NORTE.</t>
  </si>
  <si>
    <t>lperez1083@gmail.com</t>
  </si>
  <si>
    <t>4012310810001A</t>
  </si>
  <si>
    <t>BO. MONIMBO, 4 ESQUINAS 25VRS. ESTE 25VRS. SUR</t>
  </si>
  <si>
    <t>4 ESQUINAS, 25VRS. AL ESTE, 25VRS. AL SUR.</t>
  </si>
  <si>
    <t>2872010810001L</t>
  </si>
  <si>
    <t>SKARLETT</t>
  </si>
  <si>
    <t>GRIGALBA</t>
  </si>
  <si>
    <t>BOMBA 168 3C.ARRIBA 1\2C AL LAGO</t>
  </si>
  <si>
    <t>PISTA SABANA GRANDE, DE LA CAÑADA 4 1/2 CUADRAS AL OESTE 1 CUADRA AL SUR MANO IZQUIERDA</t>
  </si>
  <si>
    <t>4011810810007V</t>
  </si>
  <si>
    <t>RESIDENCIAL, LOTIFICADORA FLORENCIA, DE LOS SEMAFARO DE LA INCA 2 KM AL N CASA NO. 50</t>
  </si>
  <si>
    <t>AUTOLAVADO 1 CUADRA AL ESTE</t>
  </si>
  <si>
    <t>89322886 86290478 83807249 84108081</t>
  </si>
  <si>
    <t>wualtermeza2010@yahoo.com.mx</t>
  </si>
  <si>
    <t>0411710810004E</t>
  </si>
  <si>
    <t>REPARTO MARI AUXILIADORA TERCERA CALLE</t>
  </si>
  <si>
    <t>TERCERA CALLE MINI FERRETERIA 2 1/2 CUADRA SUR</t>
  </si>
  <si>
    <t>fierrod81@yahoo.com</t>
  </si>
  <si>
    <t>2811710810012M</t>
  </si>
  <si>
    <t>TELPANECA</t>
  </si>
  <si>
    <t>BO. SUTIAVA, BILLARES LACAYO 2C. S, 20VRS. E.</t>
  </si>
  <si>
    <t>FRENTE COSTADO SUR.</t>
  </si>
  <si>
    <t>dreamscalis17@yahoo.es</t>
  </si>
  <si>
    <t>3611310810004L</t>
  </si>
  <si>
    <t>ESPINOSA</t>
  </si>
  <si>
    <t>BO. LA QUEBRADA, VICTORIA LOPEZ 1 1/2c NORTE</t>
  </si>
  <si>
    <t>DE DONDE FUE LA TIENDAQ DE VICTOR LOPEZ 1.1/2 CUADRA AL NORTE</t>
  </si>
  <si>
    <t>25424092 88441390</t>
  </si>
  <si>
    <t>2011310810008H</t>
  </si>
  <si>
    <t>BO. PANCASAN, SHELL GUAPINOL 9C. N, 1C. O</t>
  </si>
  <si>
    <t>ALBERGUE PERSONAL DE SALUD, LAS AZUCENA</t>
  </si>
  <si>
    <t>8881110810000S</t>
  </si>
  <si>
    <t>BO. CARLOS FONSECA, TEMPLO BAUTISTA 2c AL OESTE</t>
  </si>
  <si>
    <t>TEMPLO BAUTISTA 2 CUADRAS AL OESTE</t>
  </si>
  <si>
    <t>25232207 88302318</t>
  </si>
  <si>
    <t>0441110810000P</t>
  </si>
  <si>
    <t>BRIGIDA</t>
  </si>
  <si>
    <t>BARRIO EL BRAZIL IGLESIA CATOLICA 1/2 KM</t>
  </si>
  <si>
    <t>DE LA TERMINAL RUTA 172, 6 CUADRAS AL OESTE 10 VARAS AL NORTE</t>
  </si>
  <si>
    <t>6161110810004R</t>
  </si>
  <si>
    <t>GUIMEL</t>
  </si>
  <si>
    <t>CÁRDENAS</t>
  </si>
  <si>
    <t>CAS. RIO MENA, PUENTE 150 VRS. S</t>
  </si>
  <si>
    <t>DETRAS DE ABARROTERIA WANGKI</t>
  </si>
  <si>
    <t>icabalzeta2@gmail.com</t>
  </si>
  <si>
    <t>2021010810002M</t>
  </si>
  <si>
    <t>BO. MARCOS A. SOMARRIBA, VECINA DE PAULA VIDEA</t>
  </si>
  <si>
    <t>CONTIGUO DONDE FUE FARMACIA ZINIA.</t>
  </si>
  <si>
    <t>marimermm@yahoo.com</t>
  </si>
  <si>
    <t>2420910810000D</t>
  </si>
  <si>
    <t>ZONA NO. 3, CASA. MINSA 1/2C. E.</t>
  </si>
  <si>
    <t>ZONA NO.3, CA. MINSA 1/2C.E.</t>
  </si>
  <si>
    <t>jubeda99@gmail.com</t>
  </si>
  <si>
    <t>0010910810095Q</t>
  </si>
  <si>
    <t>BO. ENRIQUE LORENTE, TERMINAL DE RUTA 108, 109, 2C. E. 1 1/2C. S. CASA NO. 450</t>
  </si>
  <si>
    <t>BARRIO ENRIQUE LORENTE TERMINAL 108, 109 2 C  ESTE 1 1/2 C SUR CASA 450 MANAGUA</t>
  </si>
  <si>
    <t>6160910810000H</t>
  </si>
  <si>
    <t>GRISELDA</t>
  </si>
  <si>
    <t>BO. VIVIENDAS PROGRESIVAS, ESQUINA OPUESTA PULPERIA JIMMY</t>
  </si>
  <si>
    <t>COMARCA CRUZ VERDE, FINCA LA ESPERANZA</t>
  </si>
  <si>
    <t>griselsan81@gmail.com</t>
  </si>
  <si>
    <t>0870810810000F</t>
  </si>
  <si>
    <t>RPTO.  CARLOS FONSECA, TANQUE DE A GUA 125VRS.O.</t>
  </si>
  <si>
    <t>CONTIGUO A QUINTA DUARTE</t>
  </si>
  <si>
    <t>27726065 88252006 84558463</t>
  </si>
  <si>
    <t>jcvarelacenteno@gmail.com</t>
  </si>
  <si>
    <t>0420810810000X</t>
  </si>
  <si>
    <t>KARENN</t>
  </si>
  <si>
    <t>BO. LA CONCEPCION, IGLESIA SAN JOSE 3 1/2 C. S</t>
  </si>
  <si>
    <t>IGLESIA SAN JOSE 3 1/2 CUADRA SUR</t>
  </si>
  <si>
    <t>25343509 57654031</t>
  </si>
  <si>
    <t>romkare17@gmail.com</t>
  </si>
  <si>
    <t>C00012929</t>
  </si>
  <si>
    <t>YENNY</t>
  </si>
  <si>
    <t>DEL CALVARIO 1C. ABAJO 20 VRS NORTE EL VIEJO CHINANDEGA</t>
  </si>
  <si>
    <t>luisyenny@yahoo.es</t>
  </si>
  <si>
    <t>1640710810000S</t>
  </si>
  <si>
    <t>EMA</t>
  </si>
  <si>
    <t>YAMIRYS</t>
  </si>
  <si>
    <t>BO. JOSE ESTEBAN MONCADA, TALLER PARRALES 1 1/2C, N.</t>
  </si>
  <si>
    <t>TALLER PARRALES 1C. AL NORTE</t>
  </si>
  <si>
    <t>emacorea@yahoo.es</t>
  </si>
  <si>
    <t>0860510810002J</t>
  </si>
  <si>
    <t>NOLBERTO</t>
  </si>
  <si>
    <t>EFRAIN</t>
  </si>
  <si>
    <t>BARRIO AURELIO CARRASCO IGL. ESQUIPULAS 4C. OESTE</t>
  </si>
  <si>
    <t>REPARTO SAN FRANCISCO, 1ER CALLE, 2C AL OESTE, 20VRS. AL NORTE</t>
  </si>
  <si>
    <t>nolberto_larios@yahoo.es</t>
  </si>
  <si>
    <t>2010510810002J</t>
  </si>
  <si>
    <t>SILVIO</t>
  </si>
  <si>
    <t>CALLE SAN JUAN DEL SUR, COST. SUR HOTEL GRANADA</t>
  </si>
  <si>
    <t>CALLE SAN JUAN DEL SUR, COST.SUR HOTEL GRANADA</t>
  </si>
  <si>
    <t>76840131 83524685</t>
  </si>
  <si>
    <t>5210410810006B</t>
  </si>
  <si>
    <t>LESBIA</t>
  </si>
  <si>
    <t>BO.ESPERANZA 1,CONTIGUO AL PUESTO MEDICO</t>
  </si>
  <si>
    <t>KILOMETRO 14 CARRETERA VIEJA LEON 300METROS NORTE COLEGIO NIÑO JESUS DE PRAGA</t>
  </si>
  <si>
    <t>22511037 84667611 82773547</t>
  </si>
  <si>
    <t>mayraruiz24@yahoo.com</t>
  </si>
  <si>
    <t>jerryruiz445@gmail.com</t>
  </si>
  <si>
    <t>0012809810033H</t>
  </si>
  <si>
    <t>RESID. ALTOS DE LA SABANA DE LA KOLA SHALER 150 MTS ARRIBA CASA N 82</t>
  </si>
  <si>
    <t>AMERICAS NO.1,GRUPO D ANDEN NO.6 CASA 1613</t>
  </si>
  <si>
    <t>22891738 22681975</t>
  </si>
  <si>
    <t>nanesmeralda@yahoo.com</t>
  </si>
  <si>
    <t>5612709810003M</t>
  </si>
  <si>
    <t>XINIA</t>
  </si>
  <si>
    <t>BO. EL ROSARIO CONTIGUO A IGLESIA EVANGÉLICA FUENTE DEL CIELO.</t>
  </si>
  <si>
    <t>CONTIGUO IGLESIA EVANGELICA</t>
  </si>
  <si>
    <t>xiniazavala81@gmail.com</t>
  </si>
  <si>
    <t>0012309810008U</t>
  </si>
  <si>
    <t>VILLA BOSCO MONGE, GRUPO F CASA # 606</t>
  </si>
  <si>
    <t>AGUARDIENTE MOMBACHO 2 CUADRAS AL NORTE 1 CUADRA AL OESTE 2 CUADRAS AL NORTE</t>
  </si>
  <si>
    <t>25225759 84498449</t>
  </si>
  <si>
    <t>2812309810012T</t>
  </si>
  <si>
    <t>BO. FUNDECI, II ETAPA CASA NO.B-2 P-35</t>
  </si>
  <si>
    <t>SEGUNDA ETAPA, CASA B-2P35</t>
  </si>
  <si>
    <t>ostinfrancisco@gmail.com</t>
  </si>
  <si>
    <t>0012109810012U</t>
  </si>
  <si>
    <t>GRETEL</t>
  </si>
  <si>
    <t>AHZUA</t>
  </si>
  <si>
    <t>COOP. MANOLO MORALES DE LA IGL. CAT. VILLA FLOR SUR 1C. AL SUR 1  1/2 ARRIBA</t>
  </si>
  <si>
    <t>KM 13 CARRETERA MASAYA 1 KM AL NORTE</t>
  </si>
  <si>
    <t>22891341 22891341 22660497</t>
  </si>
  <si>
    <t>0012009810040X</t>
  </si>
  <si>
    <t>KM 14 C. NUEVA LEON, URBANIZACIÓN VALLES DE SANDINO CASA N1-22</t>
  </si>
  <si>
    <t>KILOMETRO 15 CARRETERA NUEVA A LEON CASA N-1-22</t>
  </si>
  <si>
    <t>22938107 89801540</t>
  </si>
  <si>
    <t>leoperzguerrero@yahoo.es</t>
  </si>
  <si>
    <t>4011509810004E</t>
  </si>
  <si>
    <t>NESTOR</t>
  </si>
  <si>
    <t>BO. EL CALVARIO, IGLESIA CALVARIO 4 1/2c AL OESTE</t>
  </si>
  <si>
    <t>FRENTE AL CENTRO DE SALUD</t>
  </si>
  <si>
    <t>nestorballadares@yahoo.es</t>
  </si>
  <si>
    <t>3211309810002G</t>
  </si>
  <si>
    <t>ALTAMIRA DE LA JUNIOR  1 1/2 ARRIB. CASA 7 63</t>
  </si>
  <si>
    <t>DE LA IGLESIA CATOLICA 1 CUADRA AL NORTE 1/2 CUADRA AL OESTE</t>
  </si>
  <si>
    <t>22223915 87878360</t>
  </si>
  <si>
    <t>2811109810018Y</t>
  </si>
  <si>
    <t>YOHANA</t>
  </si>
  <si>
    <t>RPTO. BENITO M. LACAYO J.REYES 3C. ARRIBA</t>
  </si>
  <si>
    <t>RPTO. BENITO M. LACAYO J. REYES 3C.E.</t>
  </si>
  <si>
    <t>23155864 84372348</t>
  </si>
  <si>
    <t>0010809810044B</t>
  </si>
  <si>
    <t>VILLA PROGRESO SECTOR E CASA 650</t>
  </si>
  <si>
    <t>DE LA ROTONDA LARREYNAGA 1 C. AL SUR CASA NO. E-650.</t>
  </si>
  <si>
    <t>22518308 87546041 58407712</t>
  </si>
  <si>
    <t>marioreyes.anestesiologo@gmail.com</t>
  </si>
  <si>
    <t>8880509810000X</t>
  </si>
  <si>
    <t>BO. SAN PEDRO, HOSPITAL REGIONAL</t>
  </si>
  <si>
    <t>GASOLINERA UNO GUIDO 4 CUADRAS AL SUR 75 VARAS AL ESTE</t>
  </si>
  <si>
    <t>2810409810009Y</t>
  </si>
  <si>
    <t>TEXACO GUADALUPE 1/2C. ARRIBA</t>
  </si>
  <si>
    <t>DE LOS SEMAFOROS DEL CLUB TERRAZA 2 1/2 CUADRAS AL OESTE</t>
  </si>
  <si>
    <t>0860409810002A</t>
  </si>
  <si>
    <t>BO. HNOS. REAL ESPINALES COMANDO 2 1/2c ABAJO</t>
  </si>
  <si>
    <t>AGULA 3 CUADRAS AL ESTE, CASA # D30</t>
  </si>
  <si>
    <t>22487507 22240458 23440082 84640458</t>
  </si>
  <si>
    <t>oneyca@hotmail.com</t>
  </si>
  <si>
    <t>6110209810000Y</t>
  </si>
  <si>
    <t>DENIA</t>
  </si>
  <si>
    <t>EUFEMIA</t>
  </si>
  <si>
    <t>BO. GILBERTO ROMERO, CONTIGUO IGL. CATOLICA</t>
  </si>
  <si>
    <t>CONTIGUO IGL. CATOLICA,LINITE DE DENIS MENDIETA.</t>
  </si>
  <si>
    <t>denorcas02@yahoo.com</t>
  </si>
  <si>
    <t>2813108810004V</t>
  </si>
  <si>
    <t>JUNIETH</t>
  </si>
  <si>
    <t>CMCA. MINA EL LIMON, ENTRADA FUNDESAN 75VRS. E.</t>
  </si>
  <si>
    <t>ENTRADA FUNDESAN 75 VARAS AL  ESTE</t>
  </si>
  <si>
    <t>0013108810039P</t>
  </si>
  <si>
    <t>BO. SAN RAFAEL, VENTA DE MADERA SAN AGUSTIN 150MTS.S.</t>
  </si>
  <si>
    <t>CASA DE LOS MEDICOS</t>
  </si>
  <si>
    <t>27921062 87235788</t>
  </si>
  <si>
    <t>fjhf369@gmail.com</t>
  </si>
  <si>
    <t>2012908810006C</t>
  </si>
  <si>
    <t>ANTIGUA FARMACIA POPULAR 75 VARAS NORTE</t>
  </si>
  <si>
    <t>jairo.lopez.l@hotmail.com</t>
  </si>
  <si>
    <t>0012808810039H</t>
  </si>
  <si>
    <t>ANGELES</t>
  </si>
  <si>
    <t>DENNISE</t>
  </si>
  <si>
    <t>BARRIO LOMA LINDA SORTIDORA  2C ABAJO  Y 1/2 AL SUR</t>
  </si>
  <si>
    <t>ANTIGUA SURTIDORA 2 CUADRA OESTE 1 1/2 CUADRA AL SUR</t>
  </si>
  <si>
    <t>2812208810010H</t>
  </si>
  <si>
    <t>BO SAN JUAN , FERRETERIA MORALES 35 VRS AL N CASA N° 602</t>
  </si>
  <si>
    <t>COSTADO NORTE DE LA IGLESIA SAN JUAN 1 CUADRA Y 20 VARAS AL NORTE, MANO DERECHA, CASA 602</t>
  </si>
  <si>
    <t>DOCTOR EN MEDICINA Y CIRUGIA (inscrito el 29/02/2008</t>
  </si>
  <si>
    <t>2032108810000N</t>
  </si>
  <si>
    <t>BO. EL RECREO 1C AL SUR 2C AL O. 2C AL N.</t>
  </si>
  <si>
    <t>SECTOR 1 LOS TANQUES DE ENACAL 100 VRS ESTE</t>
  </si>
  <si>
    <t>veronicarugamavargas@yahoo.com</t>
  </si>
  <si>
    <t>2811808810003R</t>
  </si>
  <si>
    <t>EVILA</t>
  </si>
  <si>
    <t>BARRIO SUBTIAVA BAR PESCADITOS 1C.S.</t>
  </si>
  <si>
    <t>BAR PESCADITOS 1 CUADRA AL SUR ,1/2 CUADRA AL ESTE</t>
  </si>
  <si>
    <t>0011608810029V</t>
  </si>
  <si>
    <t>HOPPINGTON</t>
  </si>
  <si>
    <t>URBANIZACION PRADERAS DE COFRADIA, BLOQUE D, CASA #9 DE CORRALES VERDES, 3.5 KM AL SUR</t>
  </si>
  <si>
    <t>BLOQUE D CASA NO.9</t>
  </si>
  <si>
    <t>22507021 22601120 22665030 83723911</t>
  </si>
  <si>
    <t>MEDICO GENERAL NATURO -ORTOPATICO</t>
  </si>
  <si>
    <t>0011309810124Y</t>
  </si>
  <si>
    <t>RED. SAN ANDRÉS  II ETAPA CASA N°L-15</t>
  </si>
  <si>
    <t>BLOQUE N, CASA L-15.</t>
  </si>
  <si>
    <t>86550808 77126702</t>
  </si>
  <si>
    <t>marlonsilbabaca@gmail.com, marlonsilbaca@gmail.com</t>
  </si>
  <si>
    <t>2881208810001X</t>
  </si>
  <si>
    <t>DE LA ESCUELA GUANUCA 1/2 CUADRA AL ESTE, BARRIO 5 DE JUNIO, MATAGALPA, MATAGALPA.</t>
  </si>
  <si>
    <t>SEMAFOROS 1C. ESTE</t>
  </si>
  <si>
    <t>f_va2003@yahoo.es</t>
  </si>
  <si>
    <t>0411008810002Y</t>
  </si>
  <si>
    <t>DEL JUZGADO 1C.SUR</t>
  </si>
  <si>
    <t>JUZGADO 1 CUADRA AL SUR.</t>
  </si>
  <si>
    <t>jcarenyu@gmail.com</t>
  </si>
  <si>
    <t>2810808810004V</t>
  </si>
  <si>
    <t>BELKA</t>
  </si>
  <si>
    <t>CARERA</t>
  </si>
  <si>
    <t>BARRIO FUNDECI, II ETAPA CA-A2P528 D</t>
  </si>
  <si>
    <t>SEGUNDA ETAPA, A-2 P-5 2-D.</t>
  </si>
  <si>
    <t>23155421 86743279</t>
  </si>
  <si>
    <t>escobarcarerabelkamaria@gmail.com</t>
  </si>
  <si>
    <t>0823107810000Y</t>
  </si>
  <si>
    <t>BO. CURRAMPLA, DEL MAXI PALI 200VRS. NORTE</t>
  </si>
  <si>
    <t>fco_anto@yahoo.com</t>
  </si>
  <si>
    <t>4013007810001V</t>
  </si>
  <si>
    <t>FARMACIA 10 DE MAYO 1C.E 1C.N MASAYA</t>
  </si>
  <si>
    <t>CASA NUMERO 69</t>
  </si>
  <si>
    <t>maraguilera8133@gmail.com</t>
  </si>
  <si>
    <t>4012907810003V</t>
  </si>
  <si>
    <t>BO. SAN MIGUEL, IGLESIA SAN MIGUEL 3C S.</t>
  </si>
  <si>
    <t>PREESCOLAR LA ABEJITA 1 CUADRA NORTE 1 CUADRA OESTE</t>
  </si>
  <si>
    <t>2812807810010P</t>
  </si>
  <si>
    <t>YANETH</t>
  </si>
  <si>
    <t>IGL. ZARAGOZA 1 1/2C. ABAJO 10VRS. AL NORTE COLONIA 4 DE MAYO</t>
  </si>
  <si>
    <t>IGLESIA 1/2 CUADRA AL OESTE</t>
  </si>
  <si>
    <t>0422807810001X</t>
  </si>
  <si>
    <t>BO. SAN JOSE DE LA IGLESIA SAN JOSE 1/2C AL O. 1C AL N. 1/2C AL O.</t>
  </si>
  <si>
    <t>IGLESIA SAN JOSE   CUADRA AL OSTE, 1 CUADRA AL NORTE,  CUADRA AL OESTE.</t>
  </si>
  <si>
    <t>MEDICINA GENERAL INTEGRAL, DOCTORA EN MEDICINA</t>
  </si>
  <si>
    <t>valeri280781@yahoo.es</t>
  </si>
  <si>
    <t>2812607810008H</t>
  </si>
  <si>
    <t>ZONA NO. 5, DEL PARQUE 3C AL N.</t>
  </si>
  <si>
    <t>DEL PARQUE 3 CUADRAS AL NORTE</t>
  </si>
  <si>
    <t>2012207810000Y</t>
  </si>
  <si>
    <t>BO. BRISAS DE LAGO, CENTRO DE SALUD 1C, E.</t>
  </si>
  <si>
    <t>CENTRO DE SALUD 1 CUADRA ESTE.</t>
  </si>
  <si>
    <t>yesivelarde@hotmil.com</t>
  </si>
  <si>
    <t>4882207810001R</t>
  </si>
  <si>
    <t>ANEX. YELMA MARIA ANTONIO, DE LOS MOLINOS 2000 1C.E.</t>
  </si>
  <si>
    <t>DEL PRE-ESCOLAR DIVINO NIÑO 1/2C. AL SUR</t>
  </si>
  <si>
    <t>ricardogarcia2284@gmail.com</t>
  </si>
  <si>
    <t>0862007810000U</t>
  </si>
  <si>
    <t>SAMARIAS</t>
  </si>
  <si>
    <t>EL VIEJO, CHINANDEGA</t>
  </si>
  <si>
    <t>DE DONDE FUE DESMOTADORA LA MOTOSA 2 CUADRAS AL SUR 5 CUADRAS AL ESTE 3 CUADRAS AL SUR</t>
  </si>
  <si>
    <t>23440745 75300005</t>
  </si>
  <si>
    <t>6101907810003J</t>
  </si>
  <si>
    <t>BO. GASPAR GARCIA LAVIANA, CONTIGUO CASA DE OSCAR SILES</t>
  </si>
  <si>
    <t>DEL EMPALME LA BOMBA 30 VARAS AL NOROESTE 200V VARAS AL OESTE</t>
  </si>
  <si>
    <t>57885537 87386378</t>
  </si>
  <si>
    <t>aguilartinococarlos@gmail.com</t>
  </si>
  <si>
    <t>0011607810026L</t>
  </si>
  <si>
    <t>RESIDENCIAL VALLE SANTA ROSA CASA-B-50</t>
  </si>
  <si>
    <t>ZONA .NUMERO 9, SEGUNDA ENTRADA .CASA 237</t>
  </si>
  <si>
    <t>22696009 22681975 22681975 88272246</t>
  </si>
  <si>
    <t>dra.arlenestrada@gmail.com</t>
  </si>
  <si>
    <t>2411607810003K</t>
  </si>
  <si>
    <t>BETY</t>
  </si>
  <si>
    <t>BO. LLANO DE LA CRUZ, FTE. ESCUELA ALFREDO  ALEGRIA</t>
  </si>
  <si>
    <t>FRENTE A LA ESCUELA ALFREDO ALEGRIA</t>
  </si>
  <si>
    <t>bettyherrerach@gmail.com</t>
  </si>
  <si>
    <t>2811307810011H</t>
  </si>
  <si>
    <t>BO. EL COYOLAR, MONUMENTO DE SANDINO 1C. Y 75VRS. E.</t>
  </si>
  <si>
    <t>BO.SAN JUAN,DEL GIMNASIO HERCULES 1/2C N</t>
  </si>
  <si>
    <t>87421998, 88425391</t>
  </si>
  <si>
    <t>23124530 88221103 82213726</t>
  </si>
  <si>
    <t>dorisliseth8@gmail.com, dorislisth8@gmail.com</t>
  </si>
  <si>
    <t>0071307810001G</t>
  </si>
  <si>
    <t>ELADIA</t>
  </si>
  <si>
    <t>COL. MIRAVERDE, ENITEL 6C. O.</t>
  </si>
  <si>
    <t>, DE TELCOR 6C. OESTE.</t>
  </si>
  <si>
    <t>maritzaortega81@yahoo.es</t>
  </si>
  <si>
    <t>0411207810008D</t>
  </si>
  <si>
    <t>DANY</t>
  </si>
  <si>
    <t>BO. ERNEST THELMAN, ADMON. DE RENTAS 6C. SUR</t>
  </si>
  <si>
    <t>ADMINISTRACION DE RENTAS, 6 CUADRAS  AL SUR.</t>
  </si>
  <si>
    <t>conradodanny@yahoo.com</t>
  </si>
  <si>
    <t>2810707810005N</t>
  </si>
  <si>
    <t>DESIREE</t>
  </si>
  <si>
    <t>PERZ</t>
  </si>
  <si>
    <t>IGLESIA SAN JOSE 2 12CAL NORTE</t>
  </si>
  <si>
    <t>IGLESIA SAN JOSE 2 1/2 CUADRAS  AL NORTE</t>
  </si>
  <si>
    <t>22547897 84295974</t>
  </si>
  <si>
    <t>0010407810044E</t>
  </si>
  <si>
    <t>IDALIA</t>
  </si>
  <si>
    <t>DE LA P DEL H 3C. ARRIBA 1C. AL SUR BO. PARAISITO</t>
  </si>
  <si>
    <t>DONDE FUE LA CERAMICA 1 CUADRA AL OESTE 1/2 CUADRA AL NORTE</t>
  </si>
  <si>
    <t>idaliawiliams81@gmail.com</t>
  </si>
  <si>
    <t>2810407810010M</t>
  </si>
  <si>
    <t>XILONEM</t>
  </si>
  <si>
    <t>IGLESIA SAN FELIPE 1/2C AL NORTE</t>
  </si>
  <si>
    <t>GIMNASIO IVAN MONTENEGRO 1/2 CUADRA AL SUR.</t>
  </si>
  <si>
    <t>23152457 57521290</t>
  </si>
  <si>
    <t>2810307810009J</t>
  </si>
  <si>
    <t>ODALYS</t>
  </si>
  <si>
    <t>ESTESA 1/2C. AL ESTE</t>
  </si>
  <si>
    <t>IGLESIA LA RECOLECCION 2 1/2 CUADRA AL NORTE</t>
  </si>
  <si>
    <t>4040207810000L</t>
  </si>
  <si>
    <t>COSTADO SUR DEL MIRADOR DE CATARINA, DEL PORTON DE LA CASA DEL RETIRO DON BOSCO, 100 MTS AL N. CATARINA</t>
  </si>
  <si>
    <t>SECTOR A, FINCA LOS MONTENEGROS, 300 MTS SALIDA AL CUA</t>
  </si>
  <si>
    <t>sanchezcarballoc@yahoo.es</t>
  </si>
  <si>
    <t>2010207810000F</t>
  </si>
  <si>
    <t>DE LA ROCHA</t>
  </si>
  <si>
    <t>BO. LA ISLITA, CENTRO IXCHEN 1C O. 1/2C N. CASA NO. 102</t>
  </si>
  <si>
    <t>COLEGIO DIOCESANO 25 VARAS OESTE CASA NUMERO 709</t>
  </si>
  <si>
    <t>alexalbertho020781@gmail.com</t>
  </si>
  <si>
    <t>2903006810000H</t>
  </si>
  <si>
    <t>PEDRO</t>
  </si>
  <si>
    <t>COLEGIO SANTIAGO APOSTOL 1 CUADRA AL SUR</t>
  </si>
  <si>
    <t>BARRIO SAN ANTONIO SUR, ESC.SANTIAGO APOSTOL 1C.SUR</t>
  </si>
  <si>
    <t>86211002, 89156000</t>
  </si>
  <si>
    <t>felixpedromendoza@gmail.com</t>
  </si>
  <si>
    <t>1212906810000R</t>
  </si>
  <si>
    <t>DEL PARQUE CENTRAL 1 1/2C. AL NORTE</t>
  </si>
  <si>
    <t>CONT ALMACENES, EL GALLO MAS GALLO</t>
  </si>
  <si>
    <t>25122260 87031978</t>
  </si>
  <si>
    <t>2812806810006D</t>
  </si>
  <si>
    <t>RINA</t>
  </si>
  <si>
    <t>BO. ERMITA DE DOLORES IGL. 1C. AB. 1C. N.</t>
  </si>
  <si>
    <t>IGLESIA 1CUADRA ABAJO 1CUADRA AL NORTE</t>
  </si>
  <si>
    <t>2412706810006F</t>
  </si>
  <si>
    <t>BO. SAN ISIDRO, PUENTE VEHICULAR 5c OESTE 1/2c NORTE</t>
  </si>
  <si>
    <t>PUENTE 5 CUADRAS AL OESTE, 1/2 CUADRA AL NORTE</t>
  </si>
  <si>
    <t>2812306810007T</t>
  </si>
  <si>
    <t>MARCO</t>
  </si>
  <si>
    <t>BARRIO EL SAGRARIO, HEODRA 75VRS.ESTE</t>
  </si>
  <si>
    <t>DEL CEIBON 4 CUADRAS A L NORTE</t>
  </si>
  <si>
    <t>0422006810002A</t>
  </si>
  <si>
    <t>BO. SAN FRANCISCO CASA COMUNAL 3C. AB. 3RA. CALLE</t>
  </si>
  <si>
    <t>TERCERA. CALLE, CASA COMUNAL 3 CUADRAS ARRIBA</t>
  </si>
  <si>
    <t>3621706810000G</t>
  </si>
  <si>
    <t>LA CRUZ DE RIO GRANDE, TORTUGUERO</t>
  </si>
  <si>
    <t>CLINICA SERMESA</t>
  </si>
  <si>
    <t>2811606810008E</t>
  </si>
  <si>
    <t>BOANERGES</t>
  </si>
  <si>
    <t>GASOLINERA TEXACO GUIDO 1/2C. AL ESTE</t>
  </si>
  <si>
    <t>KM 10 CARRETERA NUEVA LEON CASA J-24. CALLE 5TA.</t>
  </si>
  <si>
    <t>23112863 22768800</t>
  </si>
  <si>
    <t>0011206810040L</t>
  </si>
  <si>
    <t>SATELITE ASOSOSCA ENTRADA PRINCIPAL 1 C E 2 C AL N 1 1/2 AL SUR ESTE</t>
  </si>
  <si>
    <t>SEMAFOROS, 4 CUADRAS AL OESTE FRENTE A A INIFOM</t>
  </si>
  <si>
    <t>0011006810010Y</t>
  </si>
  <si>
    <t>VILLA 9 DE JUNIO CASA B 234</t>
  </si>
  <si>
    <t>DE LA ENTRADA PRINCIPAL 2 1/2C AL ESTE, CASA NO.B-234</t>
  </si>
  <si>
    <t>22775764 89964437 22803818 88864215</t>
  </si>
  <si>
    <t>0010906810050Q</t>
  </si>
  <si>
    <t>BO. AMERICAS 2 COLEGIO AUTONOMO LAS AMERICAS 2c O 1c N. CA No.B-104 MANAGUA</t>
  </si>
  <si>
    <t>AMERICA NO.2, GRUPO B A-5 CASA 104</t>
  </si>
  <si>
    <t>22520238 22520238</t>
  </si>
  <si>
    <t>0410406810001W</t>
  </si>
  <si>
    <t>COVISAMA SEGUNDA ETAPA, C-2-9</t>
  </si>
  <si>
    <t>CASA NUMERO C-2-9</t>
  </si>
  <si>
    <t>84747554, 89202091</t>
  </si>
  <si>
    <t>berthag2@hotmail.com</t>
  </si>
  <si>
    <t>0063005810002P</t>
  </si>
  <si>
    <t>KM 16 1/2 CARRETERA NVA. LEON</t>
  </si>
  <si>
    <t>CMCA.LOS BRASILES,KM.16 C/NVA.LEON GAS.ESSO 1C.N.</t>
  </si>
  <si>
    <t>4012105810005S</t>
  </si>
  <si>
    <t>PUENTE DESNIVEL 1 CUADRA AL NORTE, 1 CUADRA AL ESTE, 3 CUADRAS AL SUR</t>
  </si>
  <si>
    <t>0011805810048B</t>
  </si>
  <si>
    <t>REPARTO SAN JUAN, DE LA  IGLESIA  SANTA MARTHA 1/2c E.</t>
  </si>
  <si>
    <t>REPARTO SAN JUAN,IGLESIA SANTA MARTHA C.ESTE</t>
  </si>
  <si>
    <t>oemorales@yahoo.com</t>
  </si>
  <si>
    <t>0011505810013G</t>
  </si>
  <si>
    <t>VALEZKA</t>
  </si>
  <si>
    <t>VI. JOSE B.ESCOBAR, AND.6 GRUPO-C CA.-2019</t>
  </si>
  <si>
    <t>22334628 22663946</t>
  </si>
  <si>
    <t>0011505810007A</t>
  </si>
  <si>
    <t>LUCRECIA</t>
  </si>
  <si>
    <t>BO. LOS MAESTROS, DETRAS 1RA. ANTENA CLARO</t>
  </si>
  <si>
    <t>ENITEL 6 1/2C. AL SUR .</t>
  </si>
  <si>
    <t>0411305810002L</t>
  </si>
  <si>
    <t>BO. SAN FELIPE, DISTRIBUIDORA AGRIMERSA ½C. O.</t>
  </si>
  <si>
    <t>AGRIMERSA  1 1/2 CUADRA AL OESTE.</t>
  </si>
  <si>
    <t>fatygarciitalopez@gmail.com</t>
  </si>
  <si>
    <t>0011205810028R</t>
  </si>
  <si>
    <t>DE FATIMA</t>
  </si>
  <si>
    <t>COLONIA 14 DE SEPTIEMBRE IGL. CATOLICA 1/2c O. 1c N.</t>
  </si>
  <si>
    <t>DE LA IGLESIA CATOLICA, 1/2 CUADRA AL OESTE, 1 CUADRA AL NORTE</t>
  </si>
  <si>
    <t>22892269 85453989 83398807</t>
  </si>
  <si>
    <t>2810905810004D</t>
  </si>
  <si>
    <t>BAETRIZ</t>
  </si>
  <si>
    <t>BO. SUBTIAVA, TEXACO GUIDO 3C, S. 1/2C, E.</t>
  </si>
  <si>
    <t>UNO GUIDO 3 CUADRA AL SUR 1 1/2 CUADRA AL ESTE</t>
  </si>
  <si>
    <t>0010605810064S</t>
  </si>
  <si>
    <t>CMCA. POCHOCUAPE, CENTRO DE SALUD 100VRS. S.</t>
  </si>
  <si>
    <t>CMCA POCHOCUAPE DEL PUESTO DE SALUD  100 VRS AL SUR M/D</t>
  </si>
  <si>
    <t>2810205810004N</t>
  </si>
  <si>
    <t>IGLESIA ZARAGOZA 1C ARRIBA 1/2C AL NORTE</t>
  </si>
  <si>
    <t>IGLESIA EL CALVARIO 25 VARAS AL OESTE, CASA ESQUINERA</t>
  </si>
  <si>
    <t>23117189 89145362</t>
  </si>
  <si>
    <t>sjah020581@outlok.es</t>
  </si>
  <si>
    <t>4412704810003S</t>
  </si>
  <si>
    <t>MAGELA</t>
  </si>
  <si>
    <t>BO. SAN JERONIMO, PUENTE 1 1/2C.N.</t>
  </si>
  <si>
    <t>PUENTE 1 1/2 CUADRA AL NORTE</t>
  </si>
  <si>
    <t>27722241 88330438 88984141</t>
  </si>
  <si>
    <t>magela2017@yahoo.com</t>
  </si>
  <si>
    <t>0012404810044D</t>
  </si>
  <si>
    <t>COL. MIGUEL BONILLA, COMEDOR UNAN 3C.S. 1C.O. 1C.S. CA. NO. 166</t>
  </si>
  <si>
    <t>COMEDOR LA UNAN 3 CUADRA SUR, 1 CUADRA  OESTE, 1 CUADRA SUR, CASA C-166</t>
  </si>
  <si>
    <t>86770901 84453338</t>
  </si>
  <si>
    <t>cesarvilchezmontano@gmail.com</t>
  </si>
  <si>
    <t>0842104810002U</t>
  </si>
  <si>
    <t>LISSETT</t>
  </si>
  <si>
    <t>BIBLIOTECA CENTRAL 3C AL ESTE</t>
  </si>
  <si>
    <t>BIBLIOTECA CENTRAL 3CUADRA AL ESTE</t>
  </si>
  <si>
    <t>27724816 82634360</t>
  </si>
  <si>
    <t>2811804810001N</t>
  </si>
  <si>
    <t>1º DE MAYO2 ET 5 CALLE CASA #367</t>
  </si>
  <si>
    <t>PRIMERA ETAPA QUINTA DEL PARQUE 4 CUADRA AL ESTE 2 CUADRA AL SUR</t>
  </si>
  <si>
    <t>2021604810001K</t>
  </si>
  <si>
    <t>SOLEDAD</t>
  </si>
  <si>
    <t>RESD. MIRABOSQUES CASA B-3, KM.11 CARRETERA MASAYA, DISPENSARIO DE ESQUIPULAS 500 MTS. AL NORTE.</t>
  </si>
  <si>
    <t>23116008 22658325 87392828</t>
  </si>
  <si>
    <t>3611004810001M</t>
  </si>
  <si>
    <t>VI.LIBERTAD T/BUS 116 4 ANDEN E. 75VRS S. G-1363</t>
  </si>
  <si>
    <t>TERMINAL DE RUTA 116 4 ANDENES ESTE, 75 VARAS SUR, CASA G-1363</t>
  </si>
  <si>
    <t>2811004810002W</t>
  </si>
  <si>
    <t>BO. EL CALVARIO, IGL. EL CALVARITO 1C. SUR</t>
  </si>
  <si>
    <t>DE RADIO DARIO 3 CUADRA OESTE, 25 VARAS NORTE.</t>
  </si>
  <si>
    <t>0410504810001L</t>
  </si>
  <si>
    <t>BO. CRUZ DE GUADALUPE, DE DONDE FUE PLANTA ELECTRICA 100VS. N.</t>
  </si>
  <si>
    <t>CONTIGUO DODE FUE CEPAD</t>
  </si>
  <si>
    <t>lazaromanuel25@yahoo.es</t>
  </si>
  <si>
    <t>2810504810005P</t>
  </si>
  <si>
    <t>BO. LABORIO COSTADO, COSTADO SUR IGLESIA, 3C. 1/2 ABAJO</t>
  </si>
  <si>
    <t>COSTADO SUR DE LA IGLESIA 3 1/2 CUADRAS AL OESTE</t>
  </si>
  <si>
    <t>23154083 85182445</t>
  </si>
  <si>
    <t>0010404810051S</t>
  </si>
  <si>
    <t>VI, SAN JACINTO COSTADO ESTE, IGLESIA CATOLICA CASA # C-590</t>
  </si>
  <si>
    <t>COSTADO ESTE IGLESIA CATOLICA CASA #C-590</t>
  </si>
  <si>
    <t>22485675 84404136</t>
  </si>
  <si>
    <t>0010404810048P</t>
  </si>
  <si>
    <t>BO. 380, ESCUELA PABLO ANTONIO CUADRA 1C, E. 1/2C. N.</t>
  </si>
  <si>
    <t>CASA F-10, CUARTO ANDEN, FRENTE A LOS BOMBEROS.</t>
  </si>
  <si>
    <t>1613003810006B</t>
  </si>
  <si>
    <t>YAFECK</t>
  </si>
  <si>
    <t>BARRIO EL CALVARIO DE INISER 4 CUADRAS AL OESTE</t>
  </si>
  <si>
    <t>DE IGLESIA EL CALVARIO 2C.AL S.1C.AL O.</t>
  </si>
  <si>
    <t>0012903810033V</t>
  </si>
  <si>
    <t>BELKKY</t>
  </si>
  <si>
    <t>RESD. VALLES DE SANDINO, KM. 14 CARRETERA NUEVA LEÓN CASA NO. K1-10</t>
  </si>
  <si>
    <t>KM 14 CARRETERA NUEVA LEON CASA-K-1-10</t>
  </si>
  <si>
    <t>22661707 88047042</t>
  </si>
  <si>
    <t>marjasiel83@gmail.com</t>
  </si>
  <si>
    <t>3212603810002V</t>
  </si>
  <si>
    <t>DEL CENTRO DE SALUD 7C. AL SUR,  1/2C. OESTE,</t>
  </si>
  <si>
    <t>CENTRO DE SALUD 6 CUADRAS AL SUR 1 CUADRA AL OESTE</t>
  </si>
  <si>
    <t>2412203810001U</t>
  </si>
  <si>
    <t>AMADO</t>
  </si>
  <si>
    <t>BO. CARLOS RIZO, 1ERA ETAPA DE ENIC 200VRS. AL ESTE</t>
  </si>
  <si>
    <t>ETAPA DE ENIC 200 VARAS. AL ESTE</t>
  </si>
  <si>
    <t>jairocuba87@gmail.com</t>
  </si>
  <si>
    <t>0011803810052S</t>
  </si>
  <si>
    <t>donde fue el hospital velez paiz 2 al sur 1 c al oeste</t>
  </si>
  <si>
    <t>SEMAFOROS HOSPITAL VELEZ PAIZ 2 CUADRAS SUR 1 CUADRA OESTE</t>
  </si>
  <si>
    <t>22650702 84806876</t>
  </si>
  <si>
    <t>6041003810001G</t>
  </si>
  <si>
    <t>MARYENY</t>
  </si>
  <si>
    <t>DE DONDE FUE EL CINE GUANUCA 10 V R AL N</t>
  </si>
  <si>
    <t>DDF CINE GUANUCA 10 VRS NORTE</t>
  </si>
  <si>
    <t>27720511 84310640</t>
  </si>
  <si>
    <t>4410303810008P</t>
  </si>
  <si>
    <t>JOSSARY</t>
  </si>
  <si>
    <t>BO. 5 DE JUNIO, DRA RIZO 2C, E. 1/2C, S.</t>
  </si>
  <si>
    <t>RESIDENCIAL LOMAS DE SAN FRANCISCO CASA G 18</t>
  </si>
  <si>
    <t>27722176 27724412 85154340</t>
  </si>
  <si>
    <t>2812502810014E</t>
  </si>
  <si>
    <t>BO.LABORIO, CA.CURAL 2C.S</t>
  </si>
  <si>
    <t>COSTADO ESTE IGLESIA LABORIO 2 CUADRAS AL SUR</t>
  </si>
  <si>
    <t>2902402810001U</t>
  </si>
  <si>
    <t>MARI</t>
  </si>
  <si>
    <t>LUX</t>
  </si>
  <si>
    <t>Rpt.1 DE MAYO DEL BAR TOÑA 8C AL NORTE 1/2C ABAJO</t>
  </si>
  <si>
    <t>DEL ALTO 1RO. DE MAYO 8 CUADRAS AL NORTE, 1/2 CUADRA AL OESTE.</t>
  </si>
  <si>
    <t>0052302810001L</t>
  </si>
  <si>
    <t>BO. CAÑAS BLANCAS N° ESCUELA SAN RAMOS 100 VRS. E</t>
  </si>
  <si>
    <t>IGLESIA ENMANUEL 100 VARAS SUR.</t>
  </si>
  <si>
    <t>mariaelenague45@gmail.com</t>
  </si>
  <si>
    <t>4412502810002Y</t>
  </si>
  <si>
    <t>SHERLIE</t>
  </si>
  <si>
    <t>BO. PALO ALTO BODEGA DEL MED 2 1/2C.E.</t>
  </si>
  <si>
    <t>CLINICA SANTA FE ESPECIALIDADES,  2 1/2 CUDRA  AL ESTE</t>
  </si>
  <si>
    <t>27725323 88208858</t>
  </si>
  <si>
    <t>sherliew@hotmail.com</t>
  </si>
  <si>
    <t>3661302810002T</t>
  </si>
  <si>
    <t>YAQUELIN</t>
  </si>
  <si>
    <t>DE DONDE FUE EL CINE BLANCO 4C 1/2 AL N.</t>
  </si>
  <si>
    <t>ANTIGUO CINE BLANCO 4 1/2 CUADRAS AL NORTE</t>
  </si>
  <si>
    <t>88751010 89960885</t>
  </si>
  <si>
    <t>jackymartinez981@gmail.com</t>
  </si>
  <si>
    <t>jackymartinez448@gmail.com</t>
  </si>
  <si>
    <t>0011302810056E</t>
  </si>
  <si>
    <t>CMCA. SAN ISIDRO, IGLESIA CATOLICA 1/2C.O.</t>
  </si>
  <si>
    <t>IGLESIA CATOLICA 1/2 CUADRA AL OESTE.</t>
  </si>
  <si>
    <t>22604560 22604614 22600923 87580440 88994134</t>
  </si>
  <si>
    <t>2011202810004Y</t>
  </si>
  <si>
    <t>LASTENIA</t>
  </si>
  <si>
    <t>CALLE REAL XALTEVA, CASA N0°.716</t>
  </si>
  <si>
    <t>MUSEO LA POLVORA 2 CUADRA AL SUR 1/2 CUADRA AL ESTE</t>
  </si>
  <si>
    <t>gutilaste0023@gmail.com</t>
  </si>
  <si>
    <t>2901102810004U</t>
  </si>
  <si>
    <t>AGNER</t>
  </si>
  <si>
    <t>BO. SALINAS, ENITEL 30VRS. AL SUR</t>
  </si>
  <si>
    <t>ENITEL, 30 VARAS AL SUR</t>
  </si>
  <si>
    <t>gladnerlenin2_11@yahoo.es</t>
  </si>
  <si>
    <t>4010902810005W</t>
  </si>
  <si>
    <t>ARALDI</t>
  </si>
  <si>
    <t>CALLE CRISTAL, MINISTERIO GOBERNACION 1/2c AL OESTE</t>
  </si>
  <si>
    <t>CALLE CRISTAL, MINISTERIO DE GOBERNACION  1/2 CUADRA OESTE, LABORATORIO BARILLAS</t>
  </si>
  <si>
    <t>25222008 25220563 83757127</t>
  </si>
  <si>
    <t>2810802810007K</t>
  </si>
  <si>
    <t>REPARTO PROVIDENCIA, CUARTA AVENIDA</t>
  </si>
  <si>
    <t>TOPE DE LA DUQUE ESTRADA 5 CUDRAS AL NORTE, 1 1/2 CUADR AL OESTE</t>
  </si>
  <si>
    <t>1220602810002K</t>
  </si>
  <si>
    <t>BO. PANCASAN, PARQUE 25VRS. N.</t>
  </si>
  <si>
    <t>DE LA ALCALDIA MUNICIPAL 25 VRS ESAL NORTE.</t>
  </si>
  <si>
    <t>25180421 84544067 84460294</t>
  </si>
  <si>
    <t>gutierrezgutierrez44@gmail.com</t>
  </si>
  <si>
    <t>2430502810001L</t>
  </si>
  <si>
    <t>BELTRAN</t>
  </si>
  <si>
    <t>ZONA NO.2, DE LA POLICIA NACIONAL 1C. ESTE, 1/2C. SUR</t>
  </si>
  <si>
    <t>DE DONDE FUE LA CABAÑA 10 VARAS AL NORTE</t>
  </si>
  <si>
    <t>27853139 89189200 88537411</t>
  </si>
  <si>
    <t>jopbeltranin2009@yahoo.es</t>
  </si>
  <si>
    <t>2410302810006C</t>
  </si>
  <si>
    <t>LANZA</t>
  </si>
  <si>
    <t>BARRIO ROGER HANGUIEN PRIMERA ETAPA TERCERA CALLE CASA NUMERO 854</t>
  </si>
  <si>
    <t>I ETAPA,  3RA CALLE CASA NO. 854</t>
  </si>
  <si>
    <t>27823843 87966849</t>
  </si>
  <si>
    <t>ylecsara@hotmail.com</t>
  </si>
  <si>
    <t>4012501810008D</t>
  </si>
  <si>
    <t>LEYSI</t>
  </si>
  <si>
    <t>MAGALY</t>
  </si>
  <si>
    <t>CMCA. LOS ALTOS, FRENTE CENTRO DE SALUD PEDRO ARAUZ PALACIOS</t>
  </si>
  <si>
    <t>COMARCA LOS ALTOS FTE AL CENTRO DE SALUD. PEDRO ARAUZ PALACIOS.</t>
  </si>
  <si>
    <t>maguiegonzalezm@gmail.com</t>
  </si>
  <si>
    <t>0012201810014W</t>
  </si>
  <si>
    <t>CIUDAD JARDIN 1C DETRAS DE RADIO CORPORACION CASA Q-23</t>
  </si>
  <si>
    <t>22660422 88031564</t>
  </si>
  <si>
    <t>0011401810012C</t>
  </si>
  <si>
    <t>ZHAMIR</t>
  </si>
  <si>
    <t>CASTAÑO</t>
  </si>
  <si>
    <t>CMCA, NEJAPA KM 9 1/2 CARRETERA VIEJA A LEON CASA # 25</t>
  </si>
  <si>
    <t>IGLESIA EL CALVARIO 300 METROS OESTE</t>
  </si>
  <si>
    <t>MEDICO GENERAL NATURO ORTOPATICO, DOCTOR EN MEDICINA Y CIRUGIA, ESPECIALISTA EN MEDICINA INTERNA</t>
  </si>
  <si>
    <t>drzhamirlira@oulook.es</t>
  </si>
  <si>
    <t>doctorzhamirlira@ootlook.es</t>
  </si>
  <si>
    <t>0031401810003C</t>
  </si>
  <si>
    <t>NEMESIO</t>
  </si>
  <si>
    <t>SANTOS</t>
  </si>
  <si>
    <t>COMARCA SAN FRANCIASCO, CENTRO DE SALUD 300vrs  N.</t>
  </si>
  <si>
    <t>CENTRO DE SALUD SAN FRANCISCO 500 METROS AL NORTE.</t>
  </si>
  <si>
    <t>82088841 89690575 89151115</t>
  </si>
  <si>
    <t>nemesruiz@gmail.com</t>
  </si>
  <si>
    <t>0010501810021S</t>
  </si>
  <si>
    <t>ESQUIPULRES. LOS MAYALES 4 ESQUINA 900 MTS AL NOESTE CASA 97</t>
  </si>
  <si>
    <t>22539324 86849405</t>
  </si>
  <si>
    <t>0840101810010Q</t>
  </si>
  <si>
    <t>BEJARANO</t>
  </si>
  <si>
    <t>DEL CALVARIO 1 CUADRA AL SUR</t>
  </si>
  <si>
    <t>IGLESIA EL CALVARIO 75 VARAS SUR</t>
  </si>
  <si>
    <t>23431062 58782468</t>
  </si>
  <si>
    <t>3210101810003E</t>
  </si>
  <si>
    <t>MARIELLY</t>
  </si>
  <si>
    <t>BO. SECTOR No.3 BINGO 1c ESTE</t>
  </si>
  <si>
    <t>DE LA TERCERA ENTRADA 300 METROS  AL ESTE</t>
  </si>
  <si>
    <t>3613012800000M</t>
  </si>
  <si>
    <t>BO. SAN MIGUEL  DE LOS BANCOS 3 1/2c AL NORTE</t>
  </si>
  <si>
    <t>DE LOS BANCOS 3 1/2 CUADRA AL NORTE</t>
  </si>
  <si>
    <t>0012712800066R</t>
  </si>
  <si>
    <t>DE LA FARMACIA SALAZAR 175 VRS ESTE CASA-E-435</t>
  </si>
  <si>
    <t>22400092 22529182</t>
  </si>
  <si>
    <t>4412512800009C</t>
  </si>
  <si>
    <t>MAYLIN</t>
  </si>
  <si>
    <t>ELEANOR</t>
  </si>
  <si>
    <t>BO.  PANCASAN, FRENTE A LOS MODULOS DE PANCASAN</t>
  </si>
  <si>
    <t>ESCUELA BENEDICTO HERRERA 20VRS AL ESTE</t>
  </si>
  <si>
    <t>minnimay80@hotmail.com.ar</t>
  </si>
  <si>
    <t>2812412800010T</t>
  </si>
  <si>
    <t>BO, EL CALVARIO IGLESIA 2C, E. 1/2C, S.</t>
  </si>
  <si>
    <t>CASA COMUNAL 2 CUADRA AL SUR</t>
  </si>
  <si>
    <t>mjbfundaciondamian@gmail.com</t>
  </si>
  <si>
    <t>4411912800011R</t>
  </si>
  <si>
    <t>METALES 1/2 CUADRA AL ESTE</t>
  </si>
  <si>
    <t>27724459 85411528</t>
  </si>
  <si>
    <t>francocernaj@gmail.com</t>
  </si>
  <si>
    <t>0411812800000V</t>
  </si>
  <si>
    <t>BO. SAN JOSE, GAS. ESSO 1C.O. 1/2C.S.</t>
  </si>
  <si>
    <t>GASOLINERA PUMA 1 CUADRA AL OESTE,  75 VARAS AL SUR</t>
  </si>
  <si>
    <t>2811712800011E</t>
  </si>
  <si>
    <t>CLELIA</t>
  </si>
  <si>
    <t>CMCA. LECHECUAGOSSECTOR LOS HERNANDEZ</t>
  </si>
  <si>
    <t>CASA COMUNAL 10 VARAS AL NORTE</t>
  </si>
  <si>
    <t>0891512800003C</t>
  </si>
  <si>
    <t>CAS. LAUREL GALAN, CENTRO DE SALUD 1C.E.</t>
  </si>
  <si>
    <t>IGLESIA ASAMBLEA DE DIOS 1 1/2 CUADRA ESTE.</t>
  </si>
  <si>
    <t>85756377 58691282 57921448</t>
  </si>
  <si>
    <t>salgadomejiad@gmail.com</t>
  </si>
  <si>
    <t>0011212800125X</t>
  </si>
  <si>
    <t>FANISKA</t>
  </si>
  <si>
    <t>BARRIO EL PILAR  DEL ZUMEN 3C.ESTE  Y 1/2C. AL SUR</t>
  </si>
  <si>
    <t>BO EL PILAR, DEL ZUMEN 3C.E. 1 1/2C.S.</t>
  </si>
  <si>
    <t>5211212800000F</t>
  </si>
  <si>
    <t>CLARA</t>
  </si>
  <si>
    <t>SAN MIGUELITO, RIO SAN JUAN CONTIGUO AL TANQUE DE ENACAL</t>
  </si>
  <si>
    <t>CASA DE MEDICOS CONTIGUO A CENTRO DE SALUD.</t>
  </si>
  <si>
    <t>patriciaespinoza28@yahoo.es</t>
  </si>
  <si>
    <t>0010912800077P</t>
  </si>
  <si>
    <t>VI. PACTO ANDINO, BOMBEROS IVAN MONTENEGRO 4c N. 1/2c O. CA No. 2308 MANAGUA</t>
  </si>
  <si>
    <t>VILLA PACTO ANDINO, BOMB.IVAN 4C.N. ½C.AB. CA.2308</t>
  </si>
  <si>
    <t>nancygonmu@gmail.com</t>
  </si>
  <si>
    <t>2430812800001N</t>
  </si>
  <si>
    <t>CMCA. NEVER OPORTA, SECTOR NO.3, IGLESIA CATOLICA 100 VRS. E.</t>
  </si>
  <si>
    <t>SECTOR. 3, DE LA IGLESIA. CATOLICA. 200 AL NOROESTE</t>
  </si>
  <si>
    <t>concepcionmontenegro8@gmail.com</t>
  </si>
  <si>
    <t>2810312800003Q</t>
  </si>
  <si>
    <t>BO. EL CALVARIO CANCHA TENNIS 3C AL E.</t>
  </si>
  <si>
    <t>CLINICA SANTA FE 35 VRS AL OESTE</t>
  </si>
  <si>
    <t>27780014 85062600</t>
  </si>
  <si>
    <t>eleazarjmg@hotmail.com</t>
  </si>
  <si>
    <t>0840312800003P</t>
  </si>
  <si>
    <t>AURELIA</t>
  </si>
  <si>
    <t>6TA CALLE, ENTRADA 2 CUADRA ESTE.</t>
  </si>
  <si>
    <t>2412811800007W</t>
  </si>
  <si>
    <t>COL. JORGE LUIS URBINA, ALCALDIA 1C. AL S.</t>
  </si>
  <si>
    <t>BO.SAN FRANCISCO. CANCHA MUNICIPAL 75VRS AL ESTE</t>
  </si>
  <si>
    <t>27772319 84920598 83376122</t>
  </si>
  <si>
    <t>0012511800089F</t>
  </si>
  <si>
    <t>BO. SAN JERONIMO, CONTIGUO AL COLEGIO SANTA TERESITA</t>
  </si>
  <si>
    <t>COLEGIO BUEN PASTOR, 20 VARAS ESTE</t>
  </si>
  <si>
    <t>25527571 88273687</t>
  </si>
  <si>
    <t>0010911800090W</t>
  </si>
  <si>
    <t>ARRIOLA</t>
  </si>
  <si>
    <t>BO. MOSEÑOR LEZCANO, DE DONDE FUE CINE LEON  2C. O,  2  1/2C. N</t>
  </si>
  <si>
    <t>BO. MONS. LEZCANO, CINE LEON 2C.O. 2 1/2 C. AL NORTE</t>
  </si>
  <si>
    <t>22681141 22686395</t>
  </si>
  <si>
    <t>3650911800000E</t>
  </si>
  <si>
    <t>YASSARI</t>
  </si>
  <si>
    <t>CMCA. CINCHAL, CONTIGUO A POZO DE ENACAL</t>
  </si>
  <si>
    <t>CONTIGUO AL POZO DE ENACAL</t>
  </si>
  <si>
    <t>jrocha@indeco.com.ni</t>
  </si>
  <si>
    <t>6050711800001A</t>
  </si>
  <si>
    <t>Bo.PUNTA CALIENTE,CONTIGUO A CENTRO DE SALUD</t>
  </si>
  <si>
    <t>BARRIO PUNTA CALIENTE CONTIGUO A CASA DE ISMAEL GONZALEZ</t>
  </si>
  <si>
    <t>0010411800040G</t>
  </si>
  <si>
    <t>PUENTE PARAISITO 1C. ARRIBA 2 1/2C. SUR BO. MARIA AUXILIADORA</t>
  </si>
  <si>
    <t>PUENTE EL PAISITO 1CUADRA AL ESTE 2 1/2CUADRAS AL SUR</t>
  </si>
  <si>
    <t>22488193 77432901</t>
  </si>
  <si>
    <t>1210311800002A</t>
  </si>
  <si>
    <t>DARVIN</t>
  </si>
  <si>
    <t>ZONA 5 ENACAL 1 1/2c. S</t>
  </si>
  <si>
    <t>ANTIGUA PEPSI 1 CUADRA AL OESTE 1/2 CUADRA AL SUR</t>
  </si>
  <si>
    <t>djcruz311@yahoo.es</t>
  </si>
  <si>
    <t>6010311800002X</t>
  </si>
  <si>
    <t>LOUVING</t>
  </si>
  <si>
    <t>DETRINIDAD</t>
  </si>
  <si>
    <t>RESD. JARDINES DE VERACRUZ, CLARO 1 1/2C.E. CA.N°.K-18</t>
  </si>
  <si>
    <t>JARDINES DE VERECRUZ CLARO 1 1/2C AL ESTE CASA # K-18</t>
  </si>
  <si>
    <t>4080211800002P</t>
  </si>
  <si>
    <t>RITA</t>
  </si>
  <si>
    <t>RPTO. COVISAMA, V ETAPA CASA N° K-2-4</t>
  </si>
  <si>
    <t>,CA. NO.K-2-4.</t>
  </si>
  <si>
    <t>eg.aleman16@gmail.com, ritamlopezc@gmail.com</t>
  </si>
  <si>
    <t>0010111800007P</t>
  </si>
  <si>
    <t>GERONIMO</t>
  </si>
  <si>
    <t>RSIDENCIAL JARDINES DE VERA CRUZ, ROTONDA 1C, S. CASA# A-19</t>
  </si>
  <si>
    <t>ROTONDA 1CUADRA SUR CASA-A-19</t>
  </si>
  <si>
    <t>22897577 88079920</t>
  </si>
  <si>
    <t>cmg73i@live.com</t>
  </si>
  <si>
    <t>cgmg73@gmail.com cgmg73i@gmail.com</t>
  </si>
  <si>
    <t>4092910800000G</t>
  </si>
  <si>
    <t>MADELLY</t>
  </si>
  <si>
    <t>BO. RICARDO MORALES AVILES, ALCALDIA 3C, N. 20VRS, E.</t>
  </si>
  <si>
    <t>ALCALDIA MUNICIPAL 3 CUADRAS AL NORTE 20 VARAS AL ESTE</t>
  </si>
  <si>
    <t>2812810800006K</t>
  </si>
  <si>
    <t>RESIDENCIAL GUADALUPE 1RA ETAPA  CASA D-50 , CASA DRA. MAYRA PARAJON 1/2 C OESTE.</t>
  </si>
  <si>
    <t>PRIMERA ETAPA CASA D-50</t>
  </si>
  <si>
    <t>23114626 88512146</t>
  </si>
  <si>
    <t>5612510800001S</t>
  </si>
  <si>
    <t>COSTADO OESTE GASOLINERA UNO LA CONCHA RIVAS</t>
  </si>
  <si>
    <t>COSTADO OESTE DE GASOLINERA UNO</t>
  </si>
  <si>
    <t>5622410800001H</t>
  </si>
  <si>
    <t>ESAU</t>
  </si>
  <si>
    <t>COMCA.SANTA ROSA,CONTIGUO IGLESIA CATOLICA</t>
  </si>
  <si>
    <t>CONTIGUO IGLESIA CATOLICA</t>
  </si>
  <si>
    <t>mdsncruz2@yahoo.com</t>
  </si>
  <si>
    <t>0012110800012G</t>
  </si>
  <si>
    <t>VI. LIBERTAD CASA COMUNAL 75VRS.E.</t>
  </si>
  <si>
    <t>DEL COLEGIO VILLA LIBERTAD 2 CUADRAS ESTE</t>
  </si>
  <si>
    <t>89558690 84741241</t>
  </si>
  <si>
    <t>0412010800004R</t>
  </si>
  <si>
    <t>BO. 5 DE JULIO DE DONDE FUE FARMACIA FLORES 1C ABAJO 1/2 AL NORTE</t>
  </si>
  <si>
    <t>DE LA FARMACIA FLORES 1C. BAJO 1/2C. AL NORTE</t>
  </si>
  <si>
    <t>0012010800104E</t>
  </si>
  <si>
    <t>DE LA CENTRAL SANDINISTA DE TRABAJADORES 110 METROS AL SUR.</t>
  </si>
  <si>
    <t>KM 13 CARRETERA A MASAYA, CASA-A-11</t>
  </si>
  <si>
    <t>centrobiosfera@hotmail.com</t>
  </si>
  <si>
    <t>0011610800048K</t>
  </si>
  <si>
    <t>DAGOBERTO</t>
  </si>
  <si>
    <t>VILLA BOSCO GRUPO MONGE H-812</t>
  </si>
  <si>
    <t>GRUPO - H - 812.</t>
  </si>
  <si>
    <t>dago808@hotmail.com</t>
  </si>
  <si>
    <t>0011410800027H</t>
  </si>
  <si>
    <t>YESCAS</t>
  </si>
  <si>
    <t>DE INIFOM 1C AL SUR 1C AL ESTE CASA #235</t>
  </si>
  <si>
    <t>85661943 82659528</t>
  </si>
  <si>
    <t>6161010800008Y</t>
  </si>
  <si>
    <t>DOLMOS</t>
  </si>
  <si>
    <t>TRANQUER 1C.ARRIBA 1C.C.SUR TIPITAPA.BO.YURIS ORDOÑEZ</t>
  </si>
  <si>
    <t>TRANQUERA  1 CUADRA ESTE  1 CUADRA SUR</t>
  </si>
  <si>
    <t>2870910800003U</t>
  </si>
  <si>
    <t>LARRY</t>
  </si>
  <si>
    <t>BO. MARVIN PALACIOS, CENTRO SALUD 2C. S. 2 1/2C.E.</t>
  </si>
  <si>
    <t>CTRO DE SALUD, 2 CUADRAS SUR, 2 1/2 CUADRA ESTE.</t>
  </si>
  <si>
    <t>23132064 23131192 57866008</t>
  </si>
  <si>
    <t>medicinanagarote@gmail.com</t>
  </si>
  <si>
    <t>2870910800000R</t>
  </si>
  <si>
    <t>BO. MARVIN PALACIOS, CENTRO DE SALUD  1c S. 5c AB</t>
  </si>
  <si>
    <t>DEL CENTRO DE SALUD 1C SUR, 5C ESTE</t>
  </si>
  <si>
    <t>23130785 89256663</t>
  </si>
  <si>
    <t>mwendy1980@gmail.com</t>
  </si>
  <si>
    <t>0010910800135P</t>
  </si>
  <si>
    <t>NORMA</t>
  </si>
  <si>
    <t>BO. FRANCISCO ALVAREZ, DE SEDEI 20 VSR AL O.</t>
  </si>
  <si>
    <t>BO JORGE SALAZAR PTON RAFRISA 1C E 1C N 1C AL ESTE</t>
  </si>
  <si>
    <t>0010610800053T</t>
  </si>
  <si>
    <t>GUILLERMINA</t>
  </si>
  <si>
    <t>DE DONDE FUE EL CINE JARDIN 4C AL N. 1C 1/2C AL O.</t>
  </si>
  <si>
    <t>ANTIGUO  CINE JARDIN 4 CUADRAS AL NORTE, 1 1/2 CUADRA AL OESTE</t>
  </si>
  <si>
    <t>angelacontreras25@yahoo.es</t>
  </si>
  <si>
    <t>0010610800027Q</t>
  </si>
  <si>
    <t>CHRISTIAM</t>
  </si>
  <si>
    <t>VALESKA</t>
  </si>
  <si>
    <t>SIERRA</t>
  </si>
  <si>
    <t>ALTOS DE SABANA CASA# 125</t>
  </si>
  <si>
    <t>VI. LIBERTAD, FARM.MARIEN7 ANDEN S. C.AB.CA.B-285</t>
  </si>
  <si>
    <t>22801310 25830051 82396479</t>
  </si>
  <si>
    <t>christiamvaleskacontreras@gmail.com</t>
  </si>
  <si>
    <t>2810510800008M</t>
  </si>
  <si>
    <t>CALLE LA MASCOTA CASA NUM. 618</t>
  </si>
  <si>
    <t>BO. SARAGOZA, IGL. SN. JUAN DE DIOS, 2 1/2 C. ABA.</t>
  </si>
  <si>
    <t>5612109800009L</t>
  </si>
  <si>
    <t>MARCIO</t>
  </si>
  <si>
    <t>BO. 19 DE JULIO, DEL PARQUE 75VRS.LAGO</t>
  </si>
  <si>
    <t>DEL PARQUE 75 VARAS AL ESTE</t>
  </si>
  <si>
    <t>marciosolis@yahoo.es</t>
  </si>
  <si>
    <t>marciosolismunoz@yahoo.es</t>
  </si>
  <si>
    <t>6102109800003G</t>
  </si>
  <si>
    <t>BO. MARCO ANTONIO SOMARRIBA, CONTIGUO A PULPERIA RODRIGUEZ</t>
  </si>
  <si>
    <t>CONTIGUO A CASA DE LA PROFESORA MERCEDES CENTENO.</t>
  </si>
  <si>
    <t>carlos-reyescenteno@yahoo.es</t>
  </si>
  <si>
    <t>6011409800005M</t>
  </si>
  <si>
    <t>MOLTALVAN</t>
  </si>
  <si>
    <t>Bo.LABORIO,COSTADO NORTE IGL LABORIO</t>
  </si>
  <si>
    <t>COSTA AZUL 5 1/2 CUADRA AL OESTE</t>
  </si>
  <si>
    <t>0011209800071U</t>
  </si>
  <si>
    <t>MELBA</t>
  </si>
  <si>
    <t>BO. FRANCISCO MEZA, COSTADO NORTE DEL COLEGIO CRISTO REY</t>
  </si>
  <si>
    <t>BO. FRANCISCO MEZA, COSTADO NORTE COLEGIO  CRISTO REY</t>
  </si>
  <si>
    <t>22509726 89751156 86036064</t>
  </si>
  <si>
    <t>0411009800007R</t>
  </si>
  <si>
    <t>PERLA</t>
  </si>
  <si>
    <t>BO. LINDA VISTA, KM. 104  CARRETERA A MATAGALPA 1C. N. 1/2C. E.</t>
  </si>
  <si>
    <t>COLONIA CENTROAMERICA TACOS CHARROS 1C N. 1/2C E.CASA A-70 M/D</t>
  </si>
  <si>
    <t>27753825 86485285 88440308 89345111 88500274</t>
  </si>
  <si>
    <t>pnarvaezdra@hotmail.com</t>
  </si>
  <si>
    <t>2860809800000Q</t>
  </si>
  <si>
    <t>HAROLD</t>
  </si>
  <si>
    <t>RPTO. W. FONSECA, 1RA. ETAPA. 2DA. CE.PZ. PUBLICO 85VR.E.</t>
  </si>
  <si>
    <t>FRENTE AL JUZGADO LABORAL</t>
  </si>
  <si>
    <t>27922209 88275036</t>
  </si>
  <si>
    <t>somarriba.08.h@gmail.com</t>
  </si>
  <si>
    <t>1230409800001X</t>
  </si>
  <si>
    <t>HAYDEE</t>
  </si>
  <si>
    <t>DE LA ESSO 2C OESTE 1\2C.AL SUR .STO TOMAS -CHONTALES</t>
  </si>
  <si>
    <t>DEL CENTRO ESCOLAR RUBENIA 2C AL E, CASA H-32</t>
  </si>
  <si>
    <t>22897466 87370354</t>
  </si>
  <si>
    <t>1610409800001J</t>
  </si>
  <si>
    <t>BO. RONALDO ARAUZ, CENTRO SALUD 1/2C.S.</t>
  </si>
  <si>
    <t>CENTRO DE SALUD 1/2C. AL SUR</t>
  </si>
  <si>
    <t>0010309800085Q</t>
  </si>
  <si>
    <t>KM 11 1/2 CARRETERA A MASAYA ESQUIPULAS</t>
  </si>
  <si>
    <t>KM 11 1/2C MASAYA ESQUIPULAS DE IGL.CAT.25 VRS ARRIBA 2C AL SUR</t>
  </si>
  <si>
    <t>22798071 22668033</t>
  </si>
  <si>
    <t>6080109800001B</t>
  </si>
  <si>
    <t>JHOMARIE</t>
  </si>
  <si>
    <t>MAUREEN</t>
  </si>
  <si>
    <t>BO. LIBERTAD CONTIGUO A CASA MISS KEREN WATSON</t>
  </si>
  <si>
    <t>DEL COLEGIO RIGOBERTO CABEZA.</t>
  </si>
  <si>
    <t>27922688 84359188</t>
  </si>
  <si>
    <t>nordrian2314@gmail.com</t>
  </si>
  <si>
    <t>6010109800003G</t>
  </si>
  <si>
    <t>JILLDA</t>
  </si>
  <si>
    <t>MAXINE</t>
  </si>
  <si>
    <t>BO.28 DE MAYO TOPE VILLA FLOR SUR 7C.AL SUR</t>
  </si>
  <si>
    <t>DE TOPE DE VILLA FLOR SUR 6 CUADRAS AL SUR, 4 CUADRAS AL OESTE, 1/2 CUADRA AL SUR CASA ESQUINERA</t>
  </si>
  <si>
    <t>22535531 85681935 85105490</t>
  </si>
  <si>
    <t>3232808800000V</t>
  </si>
  <si>
    <t>MOYSES</t>
  </si>
  <si>
    <t>BO.PANAMA SOBERANA DEL MONUMENTO 11/2C.O</t>
  </si>
  <si>
    <t>PRODUCTOS NICARAO 1 1/2 CUADRA AL SUR</t>
  </si>
  <si>
    <t>27131338 83545317</t>
  </si>
  <si>
    <t>0012708800017M</t>
  </si>
  <si>
    <t>RESD. BELLO HORIZONTE ROTONDA 1C.LGO. 25VRS.AB.</t>
  </si>
  <si>
    <t>JAGUITAS, HIELERA GLACIAL 800 METROS NOROESTE CASA 92</t>
  </si>
  <si>
    <t>22797086 87387886</t>
  </si>
  <si>
    <t>1212308800001X</t>
  </si>
  <si>
    <t>ELAYSI</t>
  </si>
  <si>
    <t>MIRTHALA</t>
  </si>
  <si>
    <t>SILWANY</t>
  </si>
  <si>
    <t>RPTO. SAN JUAN, GIMNACIO HERCULES 75VRS. S. RTO. CASA NO. M-5</t>
  </si>
  <si>
    <t>RPTO. SAN JUAN, GIMNASIO HERCULES 75VRS.S.CASA M-5</t>
  </si>
  <si>
    <t>elaisilwany08@gmail.com</t>
  </si>
  <si>
    <t>1622108800000F</t>
  </si>
  <si>
    <t>BO. SAUL TERCERO, IGLESIA CATOLICA 1/2C S.</t>
  </si>
  <si>
    <t>IGLESIA CATOLICA 1/2C. SUR</t>
  </si>
  <si>
    <t>0012008800029K</t>
  </si>
  <si>
    <t>COL. 10 DE JUNIO, FRENTE COLEGIO LUXEMBURGO B-586</t>
  </si>
  <si>
    <t>FRENTE COLEGIO LUXEMBURGO B-586</t>
  </si>
  <si>
    <t>0811608800002N</t>
  </si>
  <si>
    <t>COL. ROBERTO GONZALEZ, ESCUELA JUAN BAUTISTA 1C. ABAJO 75VRS. SUR</t>
  </si>
  <si>
    <t>ESCUELA J. B. ZELAYA 1C. O. 75 VRS. S.</t>
  </si>
  <si>
    <t>bayardorivas198013@gmail.com</t>
  </si>
  <si>
    <t>0011508800012F</t>
  </si>
  <si>
    <t>MEDAL</t>
  </si>
  <si>
    <t>RESIDENCIAL RUBENIA  CASA #10</t>
  </si>
  <si>
    <t>DE IGLESIA CATOLICA 1 CUADRA OESTE CASA K-2</t>
  </si>
  <si>
    <t>22718007 77361565 86395545</t>
  </si>
  <si>
    <t>sandovallauracarolina@gmail.com</t>
  </si>
  <si>
    <t>2811108800004H</t>
  </si>
  <si>
    <t>RPTO. MARIANA SAMPSON, DEL TANQUE 1C. ABAJO</t>
  </si>
  <si>
    <t>PANEDERIA ALISSON 80 METROS AL NORTE</t>
  </si>
  <si>
    <t>2810808800002Y</t>
  </si>
  <si>
    <t>BO. ZARAGOZA, FTE. DESMOTADORA D.ESTRADA</t>
  </si>
  <si>
    <t>DE LA IGLESIA ADVENTISTA 1 CUADRA AL ESTE</t>
  </si>
  <si>
    <t>jorgealbertodelgadovaldivia@gmail.com</t>
  </si>
  <si>
    <t>1650608800000A</t>
  </si>
  <si>
    <t>CMCA. SANTA CRUZ, COMUNIDAD EL NARANJO FRENTE DE DONDE FUE RESTAURANTE LAS COLINAS</t>
  </si>
  <si>
    <t>EN FRENTE  EN ANTIGUO RESTAURANTE LAS COLINAS</t>
  </si>
  <si>
    <t>4430508800000H</t>
  </si>
  <si>
    <t>YOLISETH</t>
  </si>
  <si>
    <t>BO. PANTASMA DEL HOSPITAL MANOLO M. 1/2C. AL SUR 3C. ABAJO</t>
  </si>
  <si>
    <t>BO. PANTASMA, HOSP. M. M.4C.SUR 3C.O. CASA 4</t>
  </si>
  <si>
    <t>22783920 22702831</t>
  </si>
  <si>
    <t>2810208800007R</t>
  </si>
  <si>
    <t>BO. SAN SEBASTIAN, IGLESIA SAN SEBASTIAN 1C.E. 30VRS.N.</t>
  </si>
  <si>
    <t>BO. HEALEAH, DE DONDE FUE LA TERMINAL 104 6C. ESTE. AL TOPE</t>
  </si>
  <si>
    <t>moralesmelendez@hotmail.com</t>
  </si>
  <si>
    <t>0013107800032F</t>
  </si>
  <si>
    <t>COLONIA TENDERI, CARUNA PDEL H 3c AL NORTE 10vrs AL OESTE</t>
  </si>
  <si>
    <t>D.D.F. LOS MADEROS 3C.N. 10 VRS.AB,COLONIA TENDERI E-249.</t>
  </si>
  <si>
    <t>gsgb503@gmail.com</t>
  </si>
  <si>
    <t>0822907800002C</t>
  </si>
  <si>
    <t>MARTA</t>
  </si>
  <si>
    <t>EL REALEJO</t>
  </si>
  <si>
    <t>RPTO. RAMON ANTONIO LOPEZ ESCUELA SANTA TERESITA 1 1/2c S.</t>
  </si>
  <si>
    <t>ESCUELA SANTA TERESITA 1 1/2CUADRA AL SUR</t>
  </si>
  <si>
    <t>23424023 86479427</t>
  </si>
  <si>
    <t>0412207800001X</t>
  </si>
  <si>
    <t>BO. SAN FELIPE, DE PALI 4 1/2C. S.</t>
  </si>
  <si>
    <t>PALI 3 1/2 CUADRAS AL SUR</t>
  </si>
  <si>
    <t>thimpu28@hotmail.es</t>
  </si>
  <si>
    <t>1221107800000G</t>
  </si>
  <si>
    <t>DIMARA</t>
  </si>
  <si>
    <t>II ETAPA CASA B-05</t>
  </si>
  <si>
    <t>87876628 89720608 86206575</t>
  </si>
  <si>
    <t>5620707800001B</t>
  </si>
  <si>
    <t>FERNANDA</t>
  </si>
  <si>
    <t>DE LA COTRAN 1 1/2 C AL OESTE</t>
  </si>
  <si>
    <t>4490407800000D</t>
  </si>
  <si>
    <t>BO. MARTHA QUEZADA, DE LA C.S.T 3c AL ESTE</t>
  </si>
  <si>
    <t>MITRAB 1 CUADRA AL NORTE 1 1/2 CUADRA AL OESTE</t>
  </si>
  <si>
    <t>27762182 22681975 22281619</t>
  </si>
  <si>
    <t>drmendozatrujillojamt@gmail.com</t>
  </si>
  <si>
    <t>1612706800007V</t>
  </si>
  <si>
    <t>SACHENKA</t>
  </si>
  <si>
    <t>YAHOJ</t>
  </si>
  <si>
    <t>Bo.MILENIA HERNANDEZ,DEL GALLO MAS GALLO 2C.O</t>
  </si>
  <si>
    <t>GALLO MAS GALLO 2 CUADRA OESTE MANO DERECHA CLINICA DENTAL SACHENKA</t>
  </si>
  <si>
    <t>88432438 89264395</t>
  </si>
  <si>
    <t>DOCTORA  EN CIRUGIA DENTAL</t>
  </si>
  <si>
    <t>2842306800002V</t>
  </si>
  <si>
    <t>TEXACO GUIDO 1 CUADRA AL OESTE 1 1/2 CUADRAS AL NORTE</t>
  </si>
  <si>
    <t>23131683 57074486</t>
  </si>
  <si>
    <t>0012006800025S</t>
  </si>
  <si>
    <t>MAGDA</t>
  </si>
  <si>
    <t>DE LA FACULTAD DE DERECHO 1C.AL NORTE ,1\2AL OESTE</t>
  </si>
  <si>
    <t>FACULTAD DE DERECHO 1 CUADRA AL NORTE 1/2 CUADRA AL OESTE</t>
  </si>
  <si>
    <t>RENIER</t>
  </si>
  <si>
    <t>HECHAVARRIA</t>
  </si>
  <si>
    <t>CARRETERA NVA LEON, RESIDENCIAL CIUDAD EL DORAL CASA N° O-157 AVENIDA 8, CALLE 9</t>
  </si>
  <si>
    <t>oggunfuncho48@gmail.com</t>
  </si>
  <si>
    <t>3211306800005V</t>
  </si>
  <si>
    <t>BO. ORLANDO LOPEZ, ENITEL 3 1/2c NORTE</t>
  </si>
  <si>
    <t>CLARO  4 1/2 CUADRA A L NORTE</t>
  </si>
  <si>
    <t>cludiabermudez80@gmail.com</t>
  </si>
  <si>
    <t>1611106800007L</t>
  </si>
  <si>
    <t>BO. MILENIA HERNANDEZ, DE BANCOS 1C.O 1/2C.N.</t>
  </si>
  <si>
    <t>BO.MILENIA HERNANDEZ, DE BANCOS 1C.OESTE C.NORTE</t>
  </si>
  <si>
    <t>1611006800007J</t>
  </si>
  <si>
    <t>Bo. FILEMON RIVERA, TAXACO 7C, O. 1 1/2C, S.</t>
  </si>
  <si>
    <t>ALMACEN SONY 6 CUADRAS AL OESTE 1 CUADRA AL SUR.</t>
  </si>
  <si>
    <t>lalfredu10@gmail.com</t>
  </si>
  <si>
    <t>0010206800005G</t>
  </si>
  <si>
    <t>URANIA</t>
  </si>
  <si>
    <t>BO. ARIEL DARCE, DE DONDE FUE BILLARES CHANGUELO 2C. E. 1/2 C.N</t>
  </si>
  <si>
    <t>TERMINAL RUTA 112 3 CUADRAS  AL SUR</t>
  </si>
  <si>
    <t>22897837 84570811 89933304</t>
  </si>
  <si>
    <t>bleiva94@yahoo.com, uracardoza@hotmail.com</t>
  </si>
  <si>
    <t>0010106800016R</t>
  </si>
  <si>
    <t>AVELAN</t>
  </si>
  <si>
    <t>BATAHOLA NORTE</t>
  </si>
  <si>
    <t>KM 9 DE LA TERMINAL DE LA 114 3C AL E 1 1/2C AL N 1/2C AL ESTE</t>
  </si>
  <si>
    <t>22447042 22661707</t>
  </si>
  <si>
    <t>6082705800000F</t>
  </si>
  <si>
    <t>ELSY</t>
  </si>
  <si>
    <t>LASCARLETH</t>
  </si>
  <si>
    <t>BO. LOMA VERDE IGLESIA TABERNACULO 150 MTS. O.</t>
  </si>
  <si>
    <t>DE LA IGLESIA TABERNACULO 300 MTS AL OESTE.</t>
  </si>
  <si>
    <t>27922231 58171200</t>
  </si>
  <si>
    <t>lascarlethpadilla30@yahoo.es</t>
  </si>
  <si>
    <t>0012505800044S</t>
  </si>
  <si>
    <t>complejo habitacional modesto espinal entrada principal 6 cuadras al norte casa no n-01.</t>
  </si>
  <si>
    <t>CASA NUMERO 1</t>
  </si>
  <si>
    <t>0011805800001F</t>
  </si>
  <si>
    <t>DEL HOTEL LAS COLINA 200MTS AL LAGO RTO.FRANCISCO SALAZAR</t>
  </si>
  <si>
    <t>DE LA PORTUARIA 50 METROS ESTE FRENTE A PARQUE SAN JOSE</t>
  </si>
  <si>
    <t>88535348 76003273 86568846</t>
  </si>
  <si>
    <t>6031205800007T</t>
  </si>
  <si>
    <t>XENIA</t>
  </si>
  <si>
    <t>CHOLLETTE</t>
  </si>
  <si>
    <t>BO. SAN PEDRO, DETRAS CASA DR. HAROLD BACON</t>
  </si>
  <si>
    <t>DETRAS DE CASA DEL DR HAROLD BACON</t>
  </si>
  <si>
    <t>2811105800014Y</t>
  </si>
  <si>
    <t>BO. ETA. DE DOLORES, PIZARRA ESTADIO 1C. ARRIBA 80VRS. N.</t>
  </si>
  <si>
    <t>DE LA PIZARRA DEL ESTADIO 1C. AL ESTE 80 VRS NORTE</t>
  </si>
  <si>
    <t>86969983 57500563</t>
  </si>
  <si>
    <t>2810905800003H</t>
  </si>
  <si>
    <t>IGLESIA SAN FRANCISCO 1/2C.NORTE HOTEL BERMUDEZ 2C. SUR 1C ESTE</t>
  </si>
  <si>
    <t>HOTEL BERMUDEZ 2 CUADRAS AL SUR, 1 CUADRA AL ESTE</t>
  </si>
  <si>
    <t>27720178 84966250</t>
  </si>
  <si>
    <t>1230705800000C</t>
  </si>
  <si>
    <t>CRUZ ROJ A 5 1/2C AL SUR</t>
  </si>
  <si>
    <t>CRUZ ROJA 4 1/2 CUADRA AL SUR.</t>
  </si>
  <si>
    <t>25830246 25192569</t>
  </si>
  <si>
    <t>4010605800004P</t>
  </si>
  <si>
    <t>AGNES</t>
  </si>
  <si>
    <t>JALINAS</t>
  </si>
  <si>
    <t>RPTO. KUHN, TRIO KUHN 1/2c  AL NORTE 75vrs ESTE</t>
  </si>
  <si>
    <t>ENTRADA 1CUADRA  NORTE  75 VARAS  AL ESTE CASA # 38 B</t>
  </si>
  <si>
    <t>agnesvioleta@hotmail.com</t>
  </si>
  <si>
    <t>0010505800071D</t>
  </si>
  <si>
    <t>COLONIA VILLA PROGRESO, DEL COLEGIO EL PROGRESO, 1 CUADRA ABAJO, CASA F350.</t>
  </si>
  <si>
    <t>VILLA PROGRESO, CARLOS BLAS 1C. ABAJO F-530</t>
  </si>
  <si>
    <t>jonathanmartinezarroliga@gmail.com</t>
  </si>
  <si>
    <t>2810405800001U</t>
  </si>
  <si>
    <t>REPARTO LA PROVIDENCIA 4 AVENIDA 4 CALLE</t>
  </si>
  <si>
    <t>4TA CALLE</t>
  </si>
  <si>
    <t>gap4580@yahoo.com</t>
  </si>
  <si>
    <t>4012804800005G</t>
  </si>
  <si>
    <t>HOGAR SAN ANTONIO 1C AL NORTE</t>
  </si>
  <si>
    <t>HOSPITAL RAMON PADILLA, 1 CUADRA AL NORTE</t>
  </si>
  <si>
    <t>0012704800026V</t>
  </si>
  <si>
    <t>GERMINA</t>
  </si>
  <si>
    <t>KM 16, CARRETERA TICUANTEPE 500MTS O. 100MTS. N. VISTA HERMOSA CASA A-16</t>
  </si>
  <si>
    <t>KM 14 CARRTERA MASAYA BOSQUES DE CAPISTRANO CASA #75</t>
  </si>
  <si>
    <t>22793756 89249140 88577007</t>
  </si>
  <si>
    <t>germinabonilla@gmail.com</t>
  </si>
  <si>
    <t>2812404800015W</t>
  </si>
  <si>
    <t>ANTENA DE CLARO, 2 CUADRAS OESTE.</t>
  </si>
  <si>
    <t>0012304800094L</t>
  </si>
  <si>
    <t>TRANSFER UNAN 400VR AL SUR CASA#4 BO.CASIMIRO SOTELO MANAGUA</t>
  </si>
  <si>
    <t>DE LOS SEMAFOROS DE ENEL CENTRAL 4C. AL SUR CASA NO. 1</t>
  </si>
  <si>
    <t>vasqueznery@yahoo.com</t>
  </si>
  <si>
    <t>3212304800001A</t>
  </si>
  <si>
    <t>HEINER</t>
  </si>
  <si>
    <t>RPTO. HEROES Y MARTIRES, DE BANPRO SUTIAVA 6 C AL NORTE LEON</t>
  </si>
  <si>
    <t>BANPRO SUTIAVA, 6 CUADRA  AL NORTE</t>
  </si>
  <si>
    <t>heineromarm@yahoo.com</t>
  </si>
  <si>
    <t>0011504800056C</t>
  </si>
  <si>
    <t>GRACIELA</t>
  </si>
  <si>
    <t>BO. BERTHA CALDERON, GASOLINERA ESSO GUEGUENSE 1 1/2C.S.</t>
  </si>
  <si>
    <t>SEMAFOROS RACACHACA 2C.E. 1 1/2C.S.</t>
  </si>
  <si>
    <t>bgsm12@gmail.com</t>
  </si>
  <si>
    <t>0011104800016A</t>
  </si>
  <si>
    <t>ODELL</t>
  </si>
  <si>
    <t>BO. CARLOS AGUILAR ASERIO SIN FIN 1C E.</t>
  </si>
  <si>
    <t>DE MIFAM 2 1/2 CUADRA AL SUR</t>
  </si>
  <si>
    <t>25635929 57015329</t>
  </si>
  <si>
    <t>hmendo01@yahoo.com</t>
  </si>
  <si>
    <t>0431004800001M</t>
  </si>
  <si>
    <t>OROSCO</t>
  </si>
  <si>
    <t>RES. BOSQUES DE BOLONIA . OPTICA PEREIRA 1C. OESTE 2C. NORTE13 VRS ESTE</t>
  </si>
  <si>
    <t>OPTICA PERERIA, 1 CUADRA AL NORTE, 2 CUADRAS AL OESTE.</t>
  </si>
  <si>
    <t>carlos_alberto0480@yahoo.com.mx</t>
  </si>
  <si>
    <t>2810804800001W</t>
  </si>
  <si>
    <t>RAMIRO</t>
  </si>
  <si>
    <t>REPARTO PEDRO JOSE AVENDAÑO 1ra CALLE CONTIGUO A PORTON DE LA PILA DE AGUA</t>
  </si>
  <si>
    <t>CASA MATERNA 1 CUADRA AL NORTE, 20 VARAS AL OESTE</t>
  </si>
  <si>
    <t>rguido09@hotmail.com</t>
  </si>
  <si>
    <t>0010804800028G</t>
  </si>
  <si>
    <t>HERMINIA</t>
  </si>
  <si>
    <t>RESD, LINDA VISTA NORTE P.N. 3C, O. 3C, N. 1/2C, E.</t>
  </si>
  <si>
    <t>ESTACION 2 DE POLICIA 2 CUADRAS AL OESTE, 2 CUADRAS AL NORTE, 2 CUADRAS AL ESTE, CASA NO. 16</t>
  </si>
  <si>
    <t>22682107 84722680</t>
  </si>
  <si>
    <t>MEDICINA GENERAL INTEGRAL, DOCTORA EN MEDICINA Y CIRUGIA</t>
  </si>
  <si>
    <t>drmartinezcastro08@gmail.com</t>
  </si>
  <si>
    <t>0840604800000Q</t>
  </si>
  <si>
    <t>EMPALME CHICHIGALPA 160mts N</t>
  </si>
  <si>
    <t>OFICINAS PAYCO 25 AL SUR</t>
  </si>
  <si>
    <t>86942758 84109819</t>
  </si>
  <si>
    <t>mercadeo060382@hotmail.com</t>
  </si>
  <si>
    <t>2813103800002R</t>
  </si>
  <si>
    <t>KILOMETRO 103 CARRETERA AL RAMA, COMARCA TECOLOSTOTE</t>
  </si>
  <si>
    <t>DEL PORTÓN DEL HOSPITAL 150 METROS AL OESTE</t>
  </si>
  <si>
    <t>hpedrobenito@yahoo.es</t>
  </si>
  <si>
    <t>2812903800009U</t>
  </si>
  <si>
    <t>BO. GUADALUPE, TEXACO 1 1/2C. ABAJO</t>
  </si>
  <si>
    <t>TEXACO UNO 110VRS.N.</t>
  </si>
  <si>
    <t>2811303800008J</t>
  </si>
  <si>
    <t>COL .UNIVERSITARIA CASA A-19</t>
  </si>
  <si>
    <t>CL. UNIVERSIDAD CA. A-19</t>
  </si>
  <si>
    <t>2811303800010L</t>
  </si>
  <si>
    <t>AMELIA</t>
  </si>
  <si>
    <t>RPTO. LA ARACELYS PEREZ, III CALLE FERRETERIA MERTI 1C.O. 1C.N. 1/2C.N.</t>
  </si>
  <si>
    <t>RPTO. ARACELY PEREZ 3RA. CALLE</t>
  </si>
  <si>
    <t>amelquin13@gmail.com</t>
  </si>
  <si>
    <t>5211303800002B</t>
  </si>
  <si>
    <t>LIZZETH</t>
  </si>
  <si>
    <t>VILLA SAN JERONIMO, CASA NO.46-47</t>
  </si>
  <si>
    <t>CASA NO.46-47. 1ERA ENTRADA 3 CUADRAS AL NORTE,  1/2 CUADRA AL OESTE</t>
  </si>
  <si>
    <t>2810703800000M</t>
  </si>
  <si>
    <t>FUNDECI 1ER. ETAPA CASA  B-221</t>
  </si>
  <si>
    <t>COSTADO SUR DEL COLEGIO EMILIO SOBALVARRO</t>
  </si>
  <si>
    <t>25422542 86552706</t>
  </si>
  <si>
    <t>marjuarez80@hotmail.com</t>
  </si>
  <si>
    <t>VENEZUELA</t>
  </si>
  <si>
    <t>SIERRITAS DE SANTO DOMINGO,IGLESIA DE SANTO DOMINGO 200MTS ABAJO</t>
  </si>
  <si>
    <t>mandarina.arrue@gmail.com</t>
  </si>
  <si>
    <t>2810303800007L</t>
  </si>
  <si>
    <t>DR.CALLETANDO MUNGUIA 75 VRS AL ESTE .BO.EL COYOLA.LEON</t>
  </si>
  <si>
    <t>SEGUNDA CALLE. IGLESIA VOZ DE RESTAURACION 1/2 CUADRA AL ESTE</t>
  </si>
  <si>
    <t>vallejosfigueroaluisadelcarmen@yahoo.es</t>
  </si>
  <si>
    <t>1230303800000F</t>
  </si>
  <si>
    <t>MARDIN</t>
  </si>
  <si>
    <t>TENORIO</t>
  </si>
  <si>
    <t>BARRIO PABLO UBEDA TELCOR 2c N.</t>
  </si>
  <si>
    <t>IGLESIA CATOLICA 1 CUADRA AL OESTE</t>
  </si>
  <si>
    <t>mareydoc03@hotmail.com</t>
  </si>
  <si>
    <t>6012602800000M</t>
  </si>
  <si>
    <t>ADLIN</t>
  </si>
  <si>
    <t>NERISSA</t>
  </si>
  <si>
    <t>BOLAÑO</t>
  </si>
  <si>
    <t>BARRIO CENTAL-CALLE PATTERSON SALON SIU .BLUFIELDS,</t>
  </si>
  <si>
    <t>CALLE, DONDE FUE  SALON SIU</t>
  </si>
  <si>
    <t>25722511 88541234 85110363</t>
  </si>
  <si>
    <t>0862102800004Y</t>
  </si>
  <si>
    <t>IGLESIA SAN JOSE 1C AL OESTE ,25VRS AL SUR</t>
  </si>
  <si>
    <t>IGLESIA SAN JOSE, 1 CUADRA AL OESTE, 25 VARAS AL SUR</t>
  </si>
  <si>
    <t>4811602800004H</t>
  </si>
  <si>
    <t>LIMNA</t>
  </si>
  <si>
    <t>BO.NORA ASTORGA, DEL GUANACASTE 4 1/2C AL OESTE</t>
  </si>
  <si>
    <t>DEL PRE-ESCOLAR INFANTIL 1C. AL OESTE</t>
  </si>
  <si>
    <t>mexico160260@otmail.com</t>
  </si>
  <si>
    <t>6011502800000N</t>
  </si>
  <si>
    <t>JOHAIRA</t>
  </si>
  <si>
    <t>BARRIO CAMPO BRUCE 3C ABAJO 1/2C AL SUR DONDE FUE EL CINE SALINA</t>
  </si>
  <si>
    <t>BARRIO CAMPO BRUCE CINE SALINAS 3C AL OESTE 1/2C AL SUR</t>
  </si>
  <si>
    <t>78217979 84071091</t>
  </si>
  <si>
    <t>0011202800032G</t>
  </si>
  <si>
    <t>CLEOPATRA</t>
  </si>
  <si>
    <t>KM 91\2 CARRET.MASAYA URBANIZACION MADRID CASA#27</t>
  </si>
  <si>
    <t>CUARTA ENTRADA A LAS COLINAS, CONTIGUO A LADRILLERÍA SAN PABLO, CASA NÚMERO 6.</t>
  </si>
  <si>
    <t>22506510 22761243 88772117</t>
  </si>
  <si>
    <t>2811202800017K</t>
  </si>
  <si>
    <t>CAROL</t>
  </si>
  <si>
    <t>BO. YAOSKA, TIENDA NORA 1 1/2C O.</t>
  </si>
  <si>
    <t>BO. HERMNOS CARCAMO, DDF CUBANICA 1 1/2C S.</t>
  </si>
  <si>
    <t>mcjh_nic@yahoo.es</t>
  </si>
  <si>
    <t>4011102800007J</t>
  </si>
  <si>
    <t>BO. MONIMBO, 4 ESQUINA 1C. SUR 1 1/2C. ESTE</t>
  </si>
  <si>
    <t>DE LA FERRETERIA LA LLAVE 1/2 CUADRA  AL ESTE</t>
  </si>
  <si>
    <t>25226497 82396116</t>
  </si>
  <si>
    <t>amunozgaitan@gmail.com</t>
  </si>
  <si>
    <t>2810902800007S</t>
  </si>
  <si>
    <t>BO. SAN FELIPE, IGL. SAN JOSE 1 1/2C.N.</t>
  </si>
  <si>
    <t>CASINO 1C AL ESTE 10 VARAS AL SUR</t>
  </si>
  <si>
    <t>75397043, 81885739</t>
  </si>
  <si>
    <t>23152107 75397043</t>
  </si>
  <si>
    <t>ralacayo09@gmail.com</t>
  </si>
  <si>
    <t>0860202800005J</t>
  </si>
  <si>
    <t>MARYBETH</t>
  </si>
  <si>
    <t>BO. EL CALVARIO CASA CURAL 2c ESTE</t>
  </si>
  <si>
    <t>DE LA IGLESIA ESQUIPULAS 2 CUADRAS  AL OESTE  20 VRS AL SUR</t>
  </si>
  <si>
    <t>23442364 23401852 86038084</t>
  </si>
  <si>
    <t>6012801800000K</t>
  </si>
  <si>
    <t>DAYANN</t>
  </si>
  <si>
    <t>LEVY</t>
  </si>
  <si>
    <t>BO. BEHOLDEN,  DETRAS DEL COLEGIO SAN JOSE CASA # 310</t>
  </si>
  <si>
    <t>CONTIGIO PROYECTO LOS MAESTROS</t>
  </si>
  <si>
    <t>dayannmaxine@yahoo.com</t>
  </si>
  <si>
    <t>0812601800016E</t>
  </si>
  <si>
    <t>CASSANDRA</t>
  </si>
  <si>
    <t>REPARTO CAMILO O, DE LOS ALMACENES MANTICA 1C. AL NORTE</t>
  </si>
  <si>
    <t>COPEPACH 1C AL NORTE</t>
  </si>
  <si>
    <t>0012401800053Y</t>
  </si>
  <si>
    <t>DE LOS SEMAFAROS DEL POLLO ESTRELLA 4 1/2 CUADRAS AL SUR CASA G-7</t>
  </si>
  <si>
    <t>22771881 22400271 22507121 84510442</t>
  </si>
  <si>
    <t>2012301800005X</t>
  </si>
  <si>
    <t>JADER</t>
  </si>
  <si>
    <t>VIDAURE</t>
  </si>
  <si>
    <t>DE LA IGLESIA XALTEVA 1/2C AL OESTE. GRANADA</t>
  </si>
  <si>
    <t>IGLESIA XALTEVA 1/2 CUADRA AL OESTE</t>
  </si>
  <si>
    <t>jamv230180@hotmail.com</t>
  </si>
  <si>
    <t>0012201800064G</t>
  </si>
  <si>
    <t>RESIDENCIAL ALTO DE NEJAPA CASA NO#113</t>
  </si>
  <si>
    <t>DE LA AGUJA PRINCIPAL 1 CUADRA AL OESTE 2 CUADRAS AL NORTE 2 CUADRAS AL OESTE 20 VARAS.NORTE CASA NO.113</t>
  </si>
  <si>
    <t>22547931 88847842</t>
  </si>
  <si>
    <t>blue22_8@hotmail.com</t>
  </si>
  <si>
    <t>0012201800000M</t>
  </si>
  <si>
    <t>OLMAN</t>
  </si>
  <si>
    <t>ALI</t>
  </si>
  <si>
    <t>BO. LOS BRASILES, CARRETERA NUEVA A LEON GASOLINERA UNO 1C. AL N.</t>
  </si>
  <si>
    <t>CARRETERA NUEVA A LEON DE DONDE FUE LA GASOLINERA ESSO  1 CUADRA AL  NORTE</t>
  </si>
  <si>
    <t>22651264 84274455</t>
  </si>
  <si>
    <t>olaguilar1a@yahoo.es</t>
  </si>
  <si>
    <t>4811801800004F</t>
  </si>
  <si>
    <t>LA PROVIDENCIA COSTADO NORTE CENTRO RECREATIVO LA GUADALUPANA PALACAGUINA</t>
  </si>
  <si>
    <t>INSTITUTO NACIONAL DE SEGOVIA 275 VARAS AL OESTE</t>
  </si>
  <si>
    <t>dr.abelruiz@hotmail.com</t>
  </si>
  <si>
    <t>2011101800007Y</t>
  </si>
  <si>
    <t>VILLA TEPETAPE SUR CENTRO DE SALUD 4C AL N. 1/2C AL LAGO CASA#88 GRANADA</t>
  </si>
  <si>
    <t>TEPETATE SUR, Z GAS 1 CUADRA AL NORTE, 1/2 CUADRA ESTE, CASA #88</t>
  </si>
  <si>
    <t>claudia-canton@hotmail.com</t>
  </si>
  <si>
    <t>4010701800014B</t>
  </si>
  <si>
    <t>BO. LINDA VISTA NO.2, PROYECTO CEPRODEL CASA NO.2</t>
  </si>
  <si>
    <t>BO LINDA VISTA CASA 2</t>
  </si>
  <si>
    <t>25830065, 84148719</t>
  </si>
  <si>
    <t>22499667 84148719</t>
  </si>
  <si>
    <t>cjurbina2006@gmail.com</t>
  </si>
  <si>
    <t>2850601800002T</t>
  </si>
  <si>
    <t>BETHZAYDA</t>
  </si>
  <si>
    <t>GRISSETE</t>
  </si>
  <si>
    <t>CASA DÑA VIOLETA BARRIOS 1/2C. OESTE, CASA C-36 M/D</t>
  </si>
  <si>
    <t>22281625 82678688</t>
  </si>
  <si>
    <t>2030401800000L</t>
  </si>
  <si>
    <t>DIRIOMO DE TELCOR 2c OESTE 1 1/2c SUR</t>
  </si>
  <si>
    <t>TELCOR 2CUADRA OESTE  1 CUADRA S.UR</t>
  </si>
  <si>
    <t>2810101800021J</t>
  </si>
  <si>
    <t>LAURENT</t>
  </si>
  <si>
    <t>DUBON</t>
  </si>
  <si>
    <t>CMCA. SAG. CORAZON DE JESUS, KM 72 CARRT. LEON MANAGUA</t>
  </si>
  <si>
    <t>CANCHA POSADA DEL SOL 90 VARAS AL SUR</t>
  </si>
  <si>
    <t>DOCTOR EN MEDICICNA Y CIRUGIA</t>
  </si>
  <si>
    <t>4922412790012V</t>
  </si>
  <si>
    <t>ALLAN</t>
  </si>
  <si>
    <t>RUDYARDS</t>
  </si>
  <si>
    <t>SECTOR NO.2, MERCADO MUNICIPAL 1C.O.</t>
  </si>
  <si>
    <t>COSTADO SUR DEL RINCON TURISTICO</t>
  </si>
  <si>
    <t>0012312790029X</t>
  </si>
  <si>
    <t>CMCA. ESQUIPULAS, 4 ESQUINAS 1C. OESTE</t>
  </si>
  <si>
    <t>4 ESQUINAS DE ESQUIPULAS  1 CUADRAS AL OESTE CONTIGUO AL TALLER PANTOJA</t>
  </si>
  <si>
    <t>wilmerlagaespada07@gmail.com</t>
  </si>
  <si>
    <t>0012212790023P</t>
  </si>
  <si>
    <t>JARDINES DE VERACRUZ,ENTRADA PRINCIPAL 8C SUR 75VRS ARRIBA CASA  J-16</t>
  </si>
  <si>
    <t>ENTRADA PRINCIPAL 8CUADRA .SUR, 75 VARAS ESTE</t>
  </si>
  <si>
    <t>gustavotijerino@hotmail.com</t>
  </si>
  <si>
    <t>2812212790005P</t>
  </si>
  <si>
    <t>REPUBLICA DOMINICANA</t>
  </si>
  <si>
    <t>BAMPRO SUTIAVA 2 1/2 CUADRAS AL SUR LEÓN</t>
  </si>
  <si>
    <t>BANPRO DE SUBTIAVA 2 1/2 CUADRA AL SUR</t>
  </si>
  <si>
    <t>23114152 89325669</t>
  </si>
  <si>
    <t>edgaranton79@hotmail.com</t>
  </si>
  <si>
    <t>edgaranton79@gmail.com</t>
  </si>
  <si>
    <t>0412212790000K</t>
  </si>
  <si>
    <t>BO. ERNES THELMA, ADMON RENTAS 5C, S. 25V, ARR.</t>
  </si>
  <si>
    <t>DGI, 6 CUADRAS AL SUR, 10 VARAS AL ESTE.</t>
  </si>
  <si>
    <t>2812012790007M</t>
  </si>
  <si>
    <t>BARRIO SAGRARIO DEL TELCOR CENTRAL 1/2 C AL NORTE</t>
  </si>
  <si>
    <t>HOTEL EUROPA 1 CUADRA AL ESTE, 1/2 CUADRA AL SUR</t>
  </si>
  <si>
    <t>23150882 87457373</t>
  </si>
  <si>
    <t>1611812790002Q</t>
  </si>
  <si>
    <t>ELIAS</t>
  </si>
  <si>
    <t>BO. EL CALVARIO, CENTRO DE SALUD EDUARDO SELVA 25vrs ESTE</t>
  </si>
  <si>
    <t>CENTRO SALUD EDUARDO SELVA 25VRS. ESTE</t>
  </si>
  <si>
    <t>27133562 84024516</t>
  </si>
  <si>
    <t>beltraneliaszeledon@yahoo.com</t>
  </si>
  <si>
    <t>6071712790004W</t>
  </si>
  <si>
    <t>BENARD</t>
  </si>
  <si>
    <t>BILWI BO. ARLEN SIU</t>
  </si>
  <si>
    <t>CONTIGUO A LA FAMILIA PINEDA.</t>
  </si>
  <si>
    <t>0431312790004E</t>
  </si>
  <si>
    <t>RESD. VILLA SOL CEMENTERIO SABANA GRANDE 1000mts  NOROESTE CA. No. G2-25</t>
  </si>
  <si>
    <t>DEL HOSPITAL 50 VARAS AL OESTE</t>
  </si>
  <si>
    <t>blancarosamolina@yahoo.es</t>
  </si>
  <si>
    <t>2810712790010M</t>
  </si>
  <si>
    <t>JUDIT</t>
  </si>
  <si>
    <t>BENITA</t>
  </si>
  <si>
    <t>BO. EL CALVARIO HOTEL EUROPA 1 1/2C, S.</t>
  </si>
  <si>
    <t>HOTEL EUROPA 1-1/2 CUADRA AL SUR</t>
  </si>
  <si>
    <t>juditgarcia7@hotmail.com</t>
  </si>
  <si>
    <t>4890512790000P</t>
  </si>
  <si>
    <t>RONMEL</t>
  </si>
  <si>
    <t>ELIUTH</t>
  </si>
  <si>
    <t>SECTOR NO.6, IGLESIA FILADELFIA 2C. NORTE</t>
  </si>
  <si>
    <t>CASA #458.</t>
  </si>
  <si>
    <t>2813011790024V</t>
  </si>
  <si>
    <t>RESD. PRADERAS DEL NUEVO LEON, CASA NO. 85</t>
  </si>
  <si>
    <t>CENTRO DE SALUD PRIMERO DE MAYO, 4 CUADRA AL NORTE</t>
  </si>
  <si>
    <t>dra.mariellandrearodriguezchavez@gmail.com</t>
  </si>
  <si>
    <t>2812911790016K</t>
  </si>
  <si>
    <t>DE LA IGLESIA ZARAGOZA 2C 1/2 AL NORTE 20VRS AL ESTE</t>
  </si>
  <si>
    <t>IGLESIA 3 CUADRAS AL NORTE 20 VARAS AL ESTE</t>
  </si>
  <si>
    <t>bgonzalezescorcia@yahoo.com</t>
  </si>
  <si>
    <t>3612711790001F</t>
  </si>
  <si>
    <t>ALMENDAREZ</t>
  </si>
  <si>
    <t>Bo.SANTA ISABEL ,CONT.ALA PEPSI</t>
  </si>
  <si>
    <t>CONTIGUO AL DEPOSITO PEPSI COLA</t>
  </si>
  <si>
    <t>elvialmendarez25@gmail.com</t>
  </si>
  <si>
    <t>0822511790002A</t>
  </si>
  <si>
    <t>RPTO. 25 DE FEBRERO JUZGADO LOCAL 1C. O. 1/2C. S</t>
  </si>
  <si>
    <t>JUZGADO LOCAL, 1 CUADRA OESTE, 1/2 CUADRA SUR, CASA NO 20.</t>
  </si>
  <si>
    <t>drsomarribameza@gmail.com</t>
  </si>
  <si>
    <t>4522311790000D</t>
  </si>
  <si>
    <t>JAMILETH</t>
  </si>
  <si>
    <t>DE LA TEXACO 1 CUADRA AL OESTE</t>
  </si>
  <si>
    <t>GASOLINERA TEXACO 1/2 C AL OESTE. LA DALIA</t>
  </si>
  <si>
    <t>0862211790002N</t>
  </si>
  <si>
    <t>COL. 20 DE JUNIOCOSTADO O. ESC. FELICIANO DELGADO</t>
  </si>
  <si>
    <t>COSTADO NORTE ESCUELA HERMANA ROSARIO</t>
  </si>
  <si>
    <t>henmil770@hotmail.com</t>
  </si>
  <si>
    <t>2812111790002C</t>
  </si>
  <si>
    <t>ARIOSTO</t>
  </si>
  <si>
    <t>BO. ZARAGOZA, FACULTAD DE DERECHO 30VRS. AL N.</t>
  </si>
  <si>
    <t>0811911790012F</t>
  </si>
  <si>
    <t>MYRIAN</t>
  </si>
  <si>
    <t>INDUSTRIA AMOLONCA 1C ARRIBA 1/2 AL NORTE</t>
  </si>
  <si>
    <t>AMOLONCA 1 CUADRA AL ESTE 1/2 CUADRA AL NORTE</t>
  </si>
  <si>
    <t>23404697 89950864</t>
  </si>
  <si>
    <t>1611711790002G</t>
  </si>
  <si>
    <t>KM 14 1/2 HACIA VERACRUZ, CASA #144</t>
  </si>
  <si>
    <t>2811111790008M</t>
  </si>
  <si>
    <t>PULIDO</t>
  </si>
  <si>
    <t>ESQUIPULAS</t>
  </si>
  <si>
    <t>BO. VILLA LIBERTAD, JUZGADO LOCAL 1/2C.E. 2C.N. CASA NO. 52</t>
  </si>
  <si>
    <t>BAR NORTEÑO 2C AL NORTE</t>
  </si>
  <si>
    <t>zeaseunice@gmail.com</t>
  </si>
  <si>
    <t>2811011790022A</t>
  </si>
  <si>
    <t>ARLENG</t>
  </si>
  <si>
    <t>MOLINO GUIDO 2C NOROESTE SN JACINTO TELICA,LEON</t>
  </si>
  <si>
    <t>COLONIA AMIGOS DEL POLICIA CASA D-23</t>
  </si>
  <si>
    <t>23403056 77001083</t>
  </si>
  <si>
    <t>2910911790000X</t>
  </si>
  <si>
    <t>BO. EDGARD MUNGUIA SEMAFAROS ENEL CENTRAL 3 AND S. 1 1/2 E CASA #L-18</t>
  </si>
  <si>
    <t>KILOMETRO 15 1/2 CARRETERA NUEVA LEON, CRUCE 300 VARAS AL ESTE, 25 VARAS AL SUR. MANO DERECHA</t>
  </si>
  <si>
    <t>sonialdu02@gmail.com</t>
  </si>
  <si>
    <t>2420511790002P</t>
  </si>
  <si>
    <t>DE LA POLICIA NACIONAL 1/2 C AL ESTE</t>
  </si>
  <si>
    <t>DE LA  PETRONIC 1/2 CUADRA AL SUR Y 1/2 CUADRA AL OESTE</t>
  </si>
  <si>
    <t>MEDICINA GENERAL INTEGRAL</t>
  </si>
  <si>
    <t>maikelbb12@gmail.com</t>
  </si>
  <si>
    <t>0810411790001L</t>
  </si>
  <si>
    <t>RPTO. JOSE B. ESCOBAR, 3RA CALLE CASA NO. 153</t>
  </si>
  <si>
    <t>SEMAFOROS DEL VELEZ PAIZ 200 METROS AL SUR</t>
  </si>
  <si>
    <t>23150679 88777591</t>
  </si>
  <si>
    <t>2810211790004N</t>
  </si>
  <si>
    <t>ZENELIA</t>
  </si>
  <si>
    <t>BO. HILARIO SANCHEZ EDIFCIO. ARMANDO. AGUIDO 1 1/2 C. N 75 V R S. E</t>
  </si>
  <si>
    <t>ROTONDA BELLO HORIZONTE 2 CUADRAS SUR 2 CUADRAS OESTE CASA # E-II-15</t>
  </si>
  <si>
    <t>84301153 83398694</t>
  </si>
  <si>
    <t>zeneliahernandez@yahoo.es</t>
  </si>
  <si>
    <t>zeneliahernandez36@gmail.com</t>
  </si>
  <si>
    <t>3210111790006J</t>
  </si>
  <si>
    <t>GISEL</t>
  </si>
  <si>
    <t>ORTEZ</t>
  </si>
  <si>
    <t>BO. CONSTANTINO MALDONADO, SECTOR NO.7, CONTIGUO MOVIMIENTO COMUNAL NICARAGUENSE</t>
  </si>
  <si>
    <t>CONTIGUO AL MOVIMIENTO COMUNAL NICARAGÜENSE</t>
  </si>
  <si>
    <t>direccioncmp_madriz@yahoo.es</t>
  </si>
  <si>
    <t>2410111790012Y</t>
  </si>
  <si>
    <t>LIA</t>
  </si>
  <si>
    <t>SEGOVIA</t>
  </si>
  <si>
    <t>RESD. LINDA VISTA, CASA NO.100</t>
  </si>
  <si>
    <t>QUINTA CALLE CASA-100</t>
  </si>
  <si>
    <t>0013010790039L</t>
  </si>
  <si>
    <t>CORTES</t>
  </si>
  <si>
    <t>RESIDENCIAL EL DORADO FARMACIA SALAZAR 1C. SUR 1/2C. ESTE NO. 79</t>
  </si>
  <si>
    <t>FARMACIA SALAZAR 1C. SUR, 1/ 2C. ESTE, CASAS  NO. 79.</t>
  </si>
  <si>
    <t>22443018 22239963 88831281 88877211 88877211</t>
  </si>
  <si>
    <t>0012610790029R</t>
  </si>
  <si>
    <t>DE LA ROTONDA DE BELLO HORIZONTE 4C. 1/2 AL SUR CASA BIII -27</t>
  </si>
  <si>
    <t>DE LA ROTONDA BELLO HORIZONTE 4 CUADRAS AL SUR.B-III-27</t>
  </si>
  <si>
    <t>22495935 86552823 82404570</t>
  </si>
  <si>
    <t>ferhly_davila@yahoo.com</t>
  </si>
  <si>
    <t>2012010790007H</t>
  </si>
  <si>
    <t>IGLESIA  XALTEVA 1C S. 75 VRS AL O. CALLE GALILLO</t>
  </si>
  <si>
    <t>IGLESIA XALTEVA 1 CUADRA SUR 75 VARAS OESTE CASA NO. 121</t>
  </si>
  <si>
    <t>edlarocha23@gmail.com</t>
  </si>
  <si>
    <t>2811910790001Q</t>
  </si>
  <si>
    <t>RTO.ENRIQUE LORENTE RUIZ CASA#65</t>
  </si>
  <si>
    <t>PRIMERA CALLE  CANCHA DEPORTIVA 1/2 CUADRA AL OESTE.</t>
  </si>
  <si>
    <t>5211910790001P</t>
  </si>
  <si>
    <t>CAÑADAS</t>
  </si>
  <si>
    <t>SECTOR NO. 2, DEL RANCHO 1C. AL E.</t>
  </si>
  <si>
    <t>CAS.LOS CHILES,SECT.NO.3 IGLESIA EVANGELICA 1C.N.</t>
  </si>
  <si>
    <t>sabroson00@yahoo.es</t>
  </si>
  <si>
    <t>8881610790000P</t>
  </si>
  <si>
    <t>BO. SAN JUDAS, CEIBO 3C. AL SUR, 1/2C. OESTE MANO D.</t>
  </si>
  <si>
    <t>DEL CEIBO, 2 CUADRAS AL SUR, 1/2 CUADRA AL OESTE</t>
  </si>
  <si>
    <t>22540015 84259754</t>
  </si>
  <si>
    <t>elia_maria333@hotmail.com</t>
  </si>
  <si>
    <t>0011110790064W</t>
  </si>
  <si>
    <t>BO. ESTELI HEROICO, PROYECTO ESTELI HEROICO CASA#385 MANZ#9 .ESTELI</t>
  </si>
  <si>
    <t>BODEGAS DE ENACAL 3C SUR 3ANDENES OESTE</t>
  </si>
  <si>
    <t>nanmaru_11@yahoo.es</t>
  </si>
  <si>
    <t>2901010790003E</t>
  </si>
  <si>
    <t>ENITEL 2C.ABAJO 2C AL SUR.TELICA</t>
  </si>
  <si>
    <t>CASA DE CULTURA 1 CUADRA AL OESTE, 80 VARAS AL SUR.</t>
  </si>
  <si>
    <t>23182448 86434181 88355436</t>
  </si>
  <si>
    <t>2410910790002Y</t>
  </si>
  <si>
    <t>BO. 20 DE MAYO, PORTON PRINCIPAL HOSPITAL VICTORIA MOTTA 20 VRS O. 20 VRS AL S.</t>
  </si>
  <si>
    <t>PUENTE CENTRO AMERICA 1 CUADRA AL SUR 1 CUADRA AL ESTE</t>
  </si>
  <si>
    <t>vanesd.3432@gmail.com</t>
  </si>
  <si>
    <t>4010110790012A</t>
  </si>
  <si>
    <t>BO. SN. MIGUEL IG. SN. MIGUEL 1C.E.½C.N.</t>
  </si>
  <si>
    <t>DEL HOSPITAL CRUZ AZUL 2.5 CUADRAS AL SUR</t>
  </si>
  <si>
    <t>celiabejarano81@hotmail.com</t>
  </si>
  <si>
    <t>2811909790004M</t>
  </si>
  <si>
    <t>TEXACO GUIDO 1/2C. AL SUR</t>
  </si>
  <si>
    <t>REPARTO IDANIA FERNANDEZ COLEGIO PUREZA DE MARIA 2 CUADRAS AL SUR.</t>
  </si>
  <si>
    <t>2911609790007H</t>
  </si>
  <si>
    <t>BO.ARNULFO LAINEZ,EMPRESA MINERA 1C.S. 1\2C.O.</t>
  </si>
  <si>
    <t>DE LAS CINCO ESQUINAS 3 CUADRAS NOR-ESTE, 75 VARAS AL NORTE</t>
  </si>
  <si>
    <t>cristhianisabel@yahoo.com</t>
  </si>
  <si>
    <t>2811209790006Y</t>
  </si>
  <si>
    <t>BO. SUTIAVA, IGLESIA SAN PEDRO 2 1/2C.S.</t>
  </si>
  <si>
    <t>mariofranciscomendezcastillo@yahoo.com</t>
  </si>
  <si>
    <t>0411209790000T</t>
  </si>
  <si>
    <t>BO. SAN JOSE,  TORREON UNAN 1C. S. 1C. O</t>
  </si>
  <si>
    <t>juli1279@gmail.com</t>
  </si>
  <si>
    <t>0821009790000C</t>
  </si>
  <si>
    <t>DEL SINDICATO DE AGENCIA MARITIMA 75vrs AL OESTE</t>
  </si>
  <si>
    <t>DONDE FUE HAITHAM MARKET, 75 VARAS AL OESTE.</t>
  </si>
  <si>
    <t>onive79@gmail.com</t>
  </si>
  <si>
    <t>2810709790007P</t>
  </si>
  <si>
    <t>BO. ERMITA DE DOLORES CENTRO RECREATIVO LEON PLAZA 1C.N 1/2C.O</t>
  </si>
  <si>
    <t>CENTRO RECREATIVO LEON PLAZA 1 CUADRA AL NORTE , 1/2 CUADRA AL OESTE</t>
  </si>
  <si>
    <t>23199585 87377816</t>
  </si>
  <si>
    <t>2810609790001F</t>
  </si>
  <si>
    <t>ZUGEY</t>
  </si>
  <si>
    <t>RPTO. EMIR CABEZAS LACAYO, ANDEN 7 CASA # S-194</t>
  </si>
  <si>
    <t>CONAPI 2 CUADRAS AL SUR, 10 VARAS AL OESTE</t>
  </si>
  <si>
    <t>27724306 88525506</t>
  </si>
  <si>
    <t>zegeymargaritavargas@gmail.com</t>
  </si>
  <si>
    <t>0420109790006T</t>
  </si>
  <si>
    <t>BO. EL RECREO, CENTRO ESCOLAR RENE SHICK 1C. N. 1C. O. 1C. N.</t>
  </si>
  <si>
    <t>ESCUELA RENE SHICK 1 CUADRA AL NORTE 1 CUADRA AL OESTE 1 CUADRA AL NORTE</t>
  </si>
  <si>
    <t>4410109790022A</t>
  </si>
  <si>
    <t>RONIL</t>
  </si>
  <si>
    <t>BO. CEMENTERIO, COSTADO NORTE ESTADIO CHALE SOLIS</t>
  </si>
  <si>
    <t>COSTADO SUR DEL ESTADIO SHALE NORTE</t>
  </si>
  <si>
    <t>27722122 84131797</t>
  </si>
  <si>
    <t>roniltercero@yahoo.com</t>
  </si>
  <si>
    <t>4813008790003G</t>
  </si>
  <si>
    <t>LUCILA</t>
  </si>
  <si>
    <t>BO. CARLOS M. JARQUIN DE PINAR 1 1/2C. NORTE</t>
  </si>
  <si>
    <t>CUERPO BOMBERO 1 CUADRA AL NORTE 1 CUADRA 1/2 AL OESTE</t>
  </si>
  <si>
    <t>27320084 86284580</t>
  </si>
  <si>
    <t>1612908790001M</t>
  </si>
  <si>
    <t>SALOMON</t>
  </si>
  <si>
    <t>BO. OSCAR GAMEZ NO. 1, MANZANA 2, CASA NO. 5</t>
  </si>
  <si>
    <t>IGLESIA CATOLICA, 80 VARAS AL OESTE</t>
  </si>
  <si>
    <t>27131042 86461370</t>
  </si>
  <si>
    <t>0012108790083B</t>
  </si>
  <si>
    <t>RUDDY</t>
  </si>
  <si>
    <t>BO. CAMPO BRUCE, DONDE FUE CINE SALINA 3C. OESTE 1/2  C. AL SUR</t>
  </si>
  <si>
    <t>ranavarro1979@gmail.com</t>
  </si>
  <si>
    <t>4011508790015V</t>
  </si>
  <si>
    <t>BO. AUGUSTO S. PINELL, INSS 1 1/2c OESTE</t>
  </si>
  <si>
    <t>INSS 1 1/2 CUADRA  AL OESTE</t>
  </si>
  <si>
    <t>marbelzuniga@yahoo.es</t>
  </si>
  <si>
    <t>0910908790000A</t>
  </si>
  <si>
    <t>CALINDES</t>
  </si>
  <si>
    <t>COMARCA EL JICARITO 2da CALLE SOMOTILLO</t>
  </si>
  <si>
    <t>DEL RESTAURANTE ANTONCHE 20 VARAS AL SUR</t>
  </si>
  <si>
    <t>23413727 84780696</t>
  </si>
  <si>
    <t>4010608790012X</t>
  </si>
  <si>
    <t>ENITEL CENTRAL 2 1/2 CUADRA OESTE</t>
  </si>
  <si>
    <t>OFICINAS CLARO CENTRAL 2 1/2  CUADRAS OESTE, MANO IZQUIERDA</t>
  </si>
  <si>
    <t>alvaroignaciocucalonmorales@gmail.com</t>
  </si>
  <si>
    <t>0010308790041R</t>
  </si>
  <si>
    <t>BARRIO LARGAESPADA   COL. CRISTO REY 3c AB  1 1/2c LAGO</t>
  </si>
  <si>
    <t>BUSTO JOSE MARTI 6 CUADRA ESTE 1 1/2 CUADRA NORTE</t>
  </si>
  <si>
    <t>85721700 88080859</t>
  </si>
  <si>
    <t>doctoramartinez@yahoo.com</t>
  </si>
  <si>
    <t>2813107790005B</t>
  </si>
  <si>
    <t>TENERÍA BATAAN 10 VARAS AL NORTE. BARRIO EL LABORIO</t>
  </si>
  <si>
    <t>TENERIA BATAAN, 10 VARAS AL NORTE, MANO DERECHA</t>
  </si>
  <si>
    <t>myesquivel1@hotmail.com</t>
  </si>
  <si>
    <t>4092507790004N</t>
  </si>
  <si>
    <t>MUN. LA CONCEPCION CENTRO DE SALUD 5C. E.</t>
  </si>
  <si>
    <t>DEL CENTRO DE SALUD, 5 CUADRAS AL ESTE</t>
  </si>
  <si>
    <t>25280191 84286456</t>
  </si>
  <si>
    <t>mariomiranda25@gmail.com</t>
  </si>
  <si>
    <t>0811907790002T</t>
  </si>
  <si>
    <t>IGLESIA SAN ANTONIO 75VRS</t>
  </si>
  <si>
    <t>UNION FENOSA 75 VRS AL ESTE</t>
  </si>
  <si>
    <t>86901013 86024333</t>
  </si>
  <si>
    <t>6071407790009N</t>
  </si>
  <si>
    <t>VIRGILIO</t>
  </si>
  <si>
    <t>BO. LOMA VERDE, CONTIGUO AL HOTEL KRISBI</t>
  </si>
  <si>
    <t>BARRIO FILIMON RIVERA.</t>
  </si>
  <si>
    <t>xjkoaorosales@gmail.com</t>
  </si>
  <si>
    <t>2811007790014Q</t>
  </si>
  <si>
    <t>IGLESIA ERMITA DE DOLORES 90 VARAS AL NORTE CASA NUMERO 3, FARMACIA 7/24</t>
  </si>
  <si>
    <t>87062011 23114801</t>
  </si>
  <si>
    <t>portilloflorescsalonso@yahoo.es</t>
  </si>
  <si>
    <t>0010707790062R</t>
  </si>
  <si>
    <t>NINFA</t>
  </si>
  <si>
    <t>BO. OMAR TORRIJOS</t>
  </si>
  <si>
    <t>MONUMENTO BARREDA 1 CUADRA NORTE 25 VARAS AL OESTE</t>
  </si>
  <si>
    <t>mninfita@yahoo.com</t>
  </si>
  <si>
    <t>0810107790001D</t>
  </si>
  <si>
    <t>DANIS</t>
  </si>
  <si>
    <t>BERMAN</t>
  </si>
  <si>
    <t>DEL CINE NELA 3C.OESTE .BO.EL ROSARIO,CHINANDEGA</t>
  </si>
  <si>
    <t>DE DONDE FUE CINE NELA, 3 CUADRAS AL OESTE</t>
  </si>
  <si>
    <t>89955309 88598862</t>
  </si>
  <si>
    <t>bannyber79@yahoo.es</t>
  </si>
  <si>
    <t>0012806790046N</t>
  </si>
  <si>
    <t>DESSIGETH</t>
  </si>
  <si>
    <t>CAS. LA PALMA DEL PUENTE 150VRS. AL ESTE</t>
  </si>
  <si>
    <t>COLONIA UNIDAD DE PROPOSITO CASA # C-502COLEGIO MODESTO ARMIJO 2 ANDENES ESTE</t>
  </si>
  <si>
    <t>0012406790036T</t>
  </si>
  <si>
    <t>BO. FUNDECI II ETAPA D-3P-51</t>
  </si>
  <si>
    <t>II ETAPA D-3-P-51. 1ER. PISO</t>
  </si>
  <si>
    <t>23112621 88423004</t>
  </si>
  <si>
    <t>0012106790062Q</t>
  </si>
  <si>
    <t>BRISA</t>
  </si>
  <si>
    <t>RESD. MERCEDES, 4C, N. 1C, O. # 523</t>
  </si>
  <si>
    <t>BOMBEROS 1 1/2C S</t>
  </si>
  <si>
    <t>25224524 84656171</t>
  </si>
  <si>
    <t>1252006790001D</t>
  </si>
  <si>
    <t>RESD. PRADERAS DEL DORAL, CASA MODELO 1C. E. CA. NO. B-82</t>
  </si>
  <si>
    <t>PRADERA EL DORAL CASA DE INFORMACION 1C. ARRIBA, CASA #82-B, MANAGUA.</t>
  </si>
  <si>
    <t>jorgeplata79@gmail.com</t>
  </si>
  <si>
    <t>2011806790000U</t>
  </si>
  <si>
    <t>DEL PARUQE 3C AL NORTE</t>
  </si>
  <si>
    <t>COSTADO OESTE DEL COLEGIO NIÑO JESUS</t>
  </si>
  <si>
    <t>0011306790089C</t>
  </si>
  <si>
    <t>EVERT</t>
  </si>
  <si>
    <t>BO. LA FUENTE DUYA MAGICA 1C. S. 1C. E. 200 V. S.</t>
  </si>
  <si>
    <t>BO.LA FUENTE, REPOSTERIA DUYA MAGICA 1C SUR 1C ESTE 200 VRS SUR CASA B-31</t>
  </si>
  <si>
    <t>22891016 75563061</t>
  </si>
  <si>
    <t>2910706790001M</t>
  </si>
  <si>
    <t>BO. CAYETANO SANCHEZ, FRENTE IGLESIA ADVENTISTA</t>
  </si>
  <si>
    <t>DE LA CANCHA 2 1/2C.AL OESTE</t>
  </si>
  <si>
    <t>acostasilvac@yahoo.com</t>
  </si>
  <si>
    <t>0010506790001P</t>
  </si>
  <si>
    <t>BO. FRANCISCO ROJAS, DE DEONDE FUE TRANSPORTES UNIDOS 5C, O. CASA # 101</t>
  </si>
  <si>
    <t>TRANSPORTE UNIDOS 5 CUADRAS OESTE, CASA #-101-M/D</t>
  </si>
  <si>
    <t>22954215 89775260</t>
  </si>
  <si>
    <t>osolorzano2679@gmail.com</t>
  </si>
  <si>
    <t>2812805790000B</t>
  </si>
  <si>
    <t>BO. EL CALVARIO, COSTADO NORTE PARQUE GUADALUPE 3 1/2C.E.</t>
  </si>
  <si>
    <t>COSTADO NORTE, PARQUE GUADALUPE, 3 1/2 CUADRA AL ESTE</t>
  </si>
  <si>
    <t>86690519 88585050</t>
  </si>
  <si>
    <t>2812105790008U</t>
  </si>
  <si>
    <t>BO. CALVARIO, EDGAR LANG 1 1/2C.E.</t>
  </si>
  <si>
    <t>EDGAR LANG 1 CUADRA AL ESTE</t>
  </si>
  <si>
    <t>henmack77@hotmaail.com</t>
  </si>
  <si>
    <t>1211605790003V</t>
  </si>
  <si>
    <t>ZONA NO. 3. DEL MCDO 150VRS. E.</t>
  </si>
  <si>
    <t>MERCADO MUNICIPAL 1-1/2 CUADRAS AL ESTE.</t>
  </si>
  <si>
    <t>0011605790018A</t>
  </si>
  <si>
    <t>FRANK</t>
  </si>
  <si>
    <t>VI. R. HERRERA, CA. A-40</t>
  </si>
  <si>
    <t>DE LA UPOLI 1 1/2 CUADRA AL  ESTE,  1/2 CUADRA AL SUR</t>
  </si>
  <si>
    <t>2811405790000V</t>
  </si>
  <si>
    <t>ILSEN</t>
  </si>
  <si>
    <t>TEXACO GUIDO 1C.AL SUR 1\2C.ARRIBA ,LEON</t>
  </si>
  <si>
    <t>GASOLINERA UNO SUTIAVA 1 CUADRA AL SUR, 1 CUADRA AL ESTE</t>
  </si>
  <si>
    <t>84330465 23154212</t>
  </si>
  <si>
    <t>2811205790015H</t>
  </si>
  <si>
    <t>PARQUE GUADALUPE 2 1/2C. ABAJO</t>
  </si>
  <si>
    <t>COSTADO NORTE PARQUE 2 1/2 CUADRA AL OESTE.</t>
  </si>
  <si>
    <t>23154945 85419592</t>
  </si>
  <si>
    <t>mali1279@yahoo.es</t>
  </si>
  <si>
    <t>4011205790004H</t>
  </si>
  <si>
    <t>REPARTO EL COCAL DEL PUENTE 30 DE MAYO 2C AL ESTE  75VRAS AL N.</t>
  </si>
  <si>
    <t>PUENTE 30 DE MAYO 2 C.ESTE  75 VRS. NORTE.</t>
  </si>
  <si>
    <t>25221877 57198964 85633969</t>
  </si>
  <si>
    <t>DOCTORA EN MEDICINA Y CIRUGIA, DOCTORA EN MEDICINA Y CIRUGIA (Reposicion)</t>
  </si>
  <si>
    <t>corma01@yahoo.es</t>
  </si>
  <si>
    <t>0011005790015J</t>
  </si>
  <si>
    <t>COL 10 DE JUNIO. COLEGIO LUXEMBURGO 2c O. 1/2c S CA No. A-129</t>
  </si>
  <si>
    <t>DEL CLUB TERRAZA, 2 KILOMETROS AL SUR, 3 CUADRAS AL OESTE, M/D</t>
  </si>
  <si>
    <t>22993630 83619343</t>
  </si>
  <si>
    <t>erickbm7@hotmail.com</t>
  </si>
  <si>
    <t>4010305790000J</t>
  </si>
  <si>
    <t>MASIS</t>
  </si>
  <si>
    <t>FTE. TRILLO STA. MARIA, KM. 29 CARR. MYA. GRANADA</t>
  </si>
  <si>
    <t>DEPOSITO DE COCA COLA 47 VARAS AL NORTE</t>
  </si>
  <si>
    <t>DOCTOR EN MEDICINA Y CIRUGIA, MEDICINA GENERAL INTEGRAL</t>
  </si>
  <si>
    <t>4892804790000M</t>
  </si>
  <si>
    <t>BO. MEMORIAL SANDINO, MONUMENTO SOMBRERO DE SANDINO 3C.S.3C.E. M/I</t>
  </si>
  <si>
    <t>BO. MEMORIAL S., SOMBRERO3C.SUR 3C.ESTE</t>
  </si>
  <si>
    <t>julianvelasco498@hotmail.com</t>
  </si>
  <si>
    <t>3212604790001M</t>
  </si>
  <si>
    <t>ISOLINA</t>
  </si>
  <si>
    <t>SECTOR No.15 DE LA POLICIA NACIONAL 1C. AL NORTE,  5C. AL ESTE Y 1/2C. AL NORTE</t>
  </si>
  <si>
    <t>DEL PORTON PRINCIPAL ESTADIO SANTIAGO 41/2 CUADRA  AL ESTE</t>
  </si>
  <si>
    <t>0011504790008F</t>
  </si>
  <si>
    <t>ROMAN</t>
  </si>
  <si>
    <t>BO. LA ESPERANZA, PLAZA JULIO  MARTINEZ 1C. O. 6C. S. 2C. E.</t>
  </si>
  <si>
    <t>B0. LA ESPERANZA PLAZ A J.N 1 C. ABAJO 6 C. SUR 2 C. ARRIBA</t>
  </si>
  <si>
    <t>bravoromanjavieralejandro@hotmail.com</t>
  </si>
  <si>
    <t>0011304790001T</t>
  </si>
  <si>
    <t>SAMIR</t>
  </si>
  <si>
    <t>ZONZ ENITEL 1/2C. O ESTE</t>
  </si>
  <si>
    <t>ENITEL 1/2 CUADRA AL OESTE</t>
  </si>
  <si>
    <t>22703615 22791221 25120616</t>
  </si>
  <si>
    <t>3231004790000L</t>
  </si>
  <si>
    <t>HELTON</t>
  </si>
  <si>
    <t>BO. PANAMA SOBERANA, BANCOS 6 1/2C O.</t>
  </si>
  <si>
    <t>PUENTE DEL PANAMA SOBERANA 75 VARAS AL NORTE</t>
  </si>
  <si>
    <t>27135279 89101945</t>
  </si>
  <si>
    <t>heltonmanuel@yahoo.es</t>
  </si>
  <si>
    <t>2810504790005A</t>
  </si>
  <si>
    <t>BO. SUTIAVA, GASOLINERA TEXACO GUIDO 1C.O. 15VRS.S.</t>
  </si>
  <si>
    <t>DE DONDE FUE LE TABU 5C. AL ESTE 10 VRS AL NORTE</t>
  </si>
  <si>
    <t>dannyajeher@gmail.com</t>
  </si>
  <si>
    <t>2810204790007V</t>
  </si>
  <si>
    <t>HELEN</t>
  </si>
  <si>
    <t>KATHERINE</t>
  </si>
  <si>
    <t>IGLESIA LA RECOLECCION 31\2C.AL ESTE</t>
  </si>
  <si>
    <t>ETAPA I, COLEGIO ALDON DUBON, 75 VARAS AL SUR.</t>
  </si>
  <si>
    <t>23417225 78195215</t>
  </si>
  <si>
    <t>0010204790030B</t>
  </si>
  <si>
    <t>BO. LA OLLADA, DE LOS ALTOS DE SANTO DOMINGO 2 KILOMETROS AL SUR</t>
  </si>
  <si>
    <t>DE LAS SIERRITAS 2 KELOMETROS  AL SU.</t>
  </si>
  <si>
    <t>0013003790021V</t>
  </si>
  <si>
    <t>BO. RIGUERO DE LA IGL. STA. MA. DE LOS ANGELES 1C. AL SUR 1/2C. ARRIBA</t>
  </si>
  <si>
    <t>IGLESIA SANTA MARIA DE LOS ANGELES 1 C SUR Y 1/2 C AL ESTE</t>
  </si>
  <si>
    <t>22785925 88442867</t>
  </si>
  <si>
    <t>ltriguerochavarria@yahoo.com</t>
  </si>
  <si>
    <t>4411703790012K</t>
  </si>
  <si>
    <t>COSTADO NORTE BENEFICIO PALACIOS</t>
  </si>
  <si>
    <t>27723031 27723058 84976677</t>
  </si>
  <si>
    <t>2811603790005S</t>
  </si>
  <si>
    <t>BO. EDDY SOLORZANO, FRENTE AL MINED 100vrs AL NORTE</t>
  </si>
  <si>
    <t>MINED 75 METROS NOROESTE</t>
  </si>
  <si>
    <t>27192304 88409344</t>
  </si>
  <si>
    <t>peraltabrendabppb@yahoo.com</t>
  </si>
  <si>
    <t>4011503790000W</t>
  </si>
  <si>
    <t>BO. SAN MIGUEL, DEL BND 1C. AL ESTE Y 1/2C. AL NORTE</t>
  </si>
  <si>
    <t>B0 CENTRAL HOTEL JOHANA 1/2 C ESTE TEL-5170033.</t>
  </si>
  <si>
    <t>2811403790004M</t>
  </si>
  <si>
    <t>REPARTO MAXIMO JEREZ CASA No. 5</t>
  </si>
  <si>
    <t>IGLESIA ERMITA 1 CUADRA AL OESTE.</t>
  </si>
  <si>
    <t>23114419 25830049 89024723</t>
  </si>
  <si>
    <t>eljicaral.minsa@gmail.com</t>
  </si>
  <si>
    <t>0011003790011R</t>
  </si>
  <si>
    <t>COL. INDEPENDENCIA, CASA NO. 257</t>
  </si>
  <si>
    <t>GALLO MAS GALLO DEL ZUMEN 7 CUADRAS AL SUR, 80 VARAS AL OESTE. MANO DERECHA CASA 257,</t>
  </si>
  <si>
    <t>22600755 81004944</t>
  </si>
  <si>
    <t>2810703790010D</t>
  </si>
  <si>
    <t>HEYDY</t>
  </si>
  <si>
    <t>ALTO DE VERACUZ II ETAPA DEL PORTON PRINCIPAL 200mts AL SUR 1c AL ESTE 20vrs AL SUR</t>
  </si>
  <si>
    <t>SEGUNDA ETAPA. DEL PORTON PRINCIPAL 200 METROS AL SUR 1 CUADRA AL ESTE 20 VARAS AL SUR</t>
  </si>
  <si>
    <t>0820403790001B</t>
  </si>
  <si>
    <t>COL. LOS ROBLES, VI ETAPA, CASA #27, MANAGUA</t>
  </si>
  <si>
    <t>COL.LOS ROBLES, H.COLON 1C.E.1C.S.20VRS.E</t>
  </si>
  <si>
    <t>2810403790000L</t>
  </si>
  <si>
    <t>REPARTO ANEXO VILLA SOBERANA 4ta CALLE</t>
  </si>
  <si>
    <t>DE LOS BILLARES LACAYO 2 CUADRA AL SUR.</t>
  </si>
  <si>
    <t>0812702790001C</t>
  </si>
  <si>
    <t>YANCI</t>
  </si>
  <si>
    <t>URBANIZACION MONTE BELLO, DEL PORTON PRINCIPAL 2C. N. 90MTS. OESTE</t>
  </si>
  <si>
    <t>PUENTE QUEBRADO DEL DIVINO NIÑO 4 CUADRAS AL OESTE CASA NO. C-32</t>
  </si>
  <si>
    <t>23413655 81022800</t>
  </si>
  <si>
    <t>anayahernandeza27@gmail.com</t>
  </si>
  <si>
    <t>2812602790002E</t>
  </si>
  <si>
    <t>COSTADO NORTE IGL.SAN JOSE</t>
  </si>
  <si>
    <t>FUNERARIA BONILLA 1 1/2 CUADRA OESTE.</t>
  </si>
  <si>
    <t>23115837 83881745</t>
  </si>
  <si>
    <t>kalukalu1979@yahoo.com</t>
  </si>
  <si>
    <t>2812502790000A</t>
  </si>
  <si>
    <t>BONERJE</t>
  </si>
  <si>
    <t>IGLESIA SUTIAVA 2 CUADRAS AL SUR  1/2 AL SUR</t>
  </si>
  <si>
    <t>IGLESIA SUTIAVA 200 METROS SUR 1/2 CUADRA OESTE.</t>
  </si>
  <si>
    <t>89298967 89270952</t>
  </si>
  <si>
    <t>4012202790000F</t>
  </si>
  <si>
    <t>RPTO. SACUANJOCHE, CASA COMUNAL 1C. E1/2C. N.</t>
  </si>
  <si>
    <t>IGLESIA  SAN JERONIMO 1 CUADRA NORTE 1 CUADRA OESTE</t>
  </si>
  <si>
    <t>25223063 84462519</t>
  </si>
  <si>
    <t>sonia.mariagonzalez@yahoo.es</t>
  </si>
  <si>
    <t>3622202790004G</t>
  </si>
  <si>
    <t>C\S 1C.AL NORTE 75VRS ABAJO CAMOAPA-BOACO</t>
  </si>
  <si>
    <t>BARRIO SAN MARTIN, CENTRO DE SALUD 1C.N. 75VRS.O.</t>
  </si>
  <si>
    <t>25492001 25424375</t>
  </si>
  <si>
    <t>0422202790000M</t>
  </si>
  <si>
    <t>BO. SILVIO GONZALEZ MENA, GASOLINERA UNO 3C. O. 1/2C.N</t>
  </si>
  <si>
    <t>DE GASOLINERA UNO 3 CUADRAS OESTE 1/2 CUADRA NORTE</t>
  </si>
  <si>
    <t>DOCOTOR EN MEDICINA Y CIRUGIA</t>
  </si>
  <si>
    <t>boanerges.espinoza@infasa.net</t>
  </si>
  <si>
    <t>boanerges.infasa@gmail.com</t>
  </si>
  <si>
    <t>4012102790000D</t>
  </si>
  <si>
    <t>PATRICK</t>
  </si>
  <si>
    <t>BO. LA ESTACION, DE LA EMPRESA ALFARO 75VRS. AL ESTE.</t>
  </si>
  <si>
    <t>ANTIGUO CINE SALINA 5 CUADRAS AL OESTE 2 CUADRAS AL SUR CASA S-100</t>
  </si>
  <si>
    <t>4411902790005A</t>
  </si>
  <si>
    <t>HEYDU</t>
  </si>
  <si>
    <t>BO. GERMAN POMARES, IGL. MALAGUINA 2 1/2C.E</t>
  </si>
  <si>
    <t>KM 16.8 CARRETERA A MASAYA 800MTS SUROESTE, CASA F-9</t>
  </si>
  <si>
    <t>22499957 86573334</t>
  </si>
  <si>
    <t>amgs79@yahoo.es</t>
  </si>
  <si>
    <t>0891602790000R</t>
  </si>
  <si>
    <t>GUINEA</t>
  </si>
  <si>
    <t>RPTO. ENRIQUE LORENTE CASA #34</t>
  </si>
  <si>
    <t>CASA N0.34, ANDEN N0.6</t>
  </si>
  <si>
    <t>jrmonag@yahoo.es</t>
  </si>
  <si>
    <t>0010902790035J</t>
  </si>
  <si>
    <t>PRADERAS XILOTEPEL CASA A-4</t>
  </si>
  <si>
    <t>PRADERAS DE XILOTEPELTH CASA A-4</t>
  </si>
  <si>
    <t>lizethespinoza091979@gmail.com</t>
  </si>
  <si>
    <t>2812901790029J</t>
  </si>
  <si>
    <t>PULPERIA SAN SEBSTIAN MEDIA CUADRA AL NORTE, PUERTO SANDINO, NAGAROTE, LEON</t>
  </si>
  <si>
    <t>PULPERIA SAN SEBASTIAN 1/2 CUADRA AL NORTE</t>
  </si>
  <si>
    <t>86595493 89172509</t>
  </si>
  <si>
    <t>jjbs2979@gmail.com</t>
  </si>
  <si>
    <t>4412101790009C</t>
  </si>
  <si>
    <t>APARTAMENTO MOLINO NO.21 CONTIGUO A ENITEL .MATAGALPA</t>
  </si>
  <si>
    <t>PANADERIA LINDA VISTA</t>
  </si>
  <si>
    <t>0011701790046G</t>
  </si>
  <si>
    <t>BO. SAN SEBASTIAN DE DONDE FUE EL CINE BLANCO 3C.ESTE Y 1\2C.NORTE</t>
  </si>
  <si>
    <t>B SN SEBASTIAN, CINE BLANCO 3C. ESTE 23C NORTE</t>
  </si>
  <si>
    <t>27941003 83242636</t>
  </si>
  <si>
    <t>0011301790015P</t>
  </si>
  <si>
    <t>VILLA SAN JACINTO DEL PUENTE 1C. OESTE 1 1/2 ANDEN ESTE FRENTE AA</t>
  </si>
  <si>
    <t>PORTON DEL COLEGIO SAN JACINTO 3 ANDENES AL OESTE 1 ANDEN AL SUR CASA -C-764</t>
  </si>
  <si>
    <t>22443667 89734165</t>
  </si>
  <si>
    <t>wdtl.79@hotmail.com</t>
  </si>
  <si>
    <t>0011101790028Y</t>
  </si>
  <si>
    <t>PRADERA DEL DORAL 2DA ETAPA ALAMEDA 11, CASA # 338</t>
  </si>
  <si>
    <t>2DA ETAPA, ALAMEDA 11, CASA NO. 338.</t>
  </si>
  <si>
    <t>87633661 87875429</t>
  </si>
  <si>
    <t>pseqieiraz@yahoo.es</t>
  </si>
  <si>
    <t>0431101790000Y</t>
  </si>
  <si>
    <t>BO 19 DE JULIO, ROTUNDA  1 1/2 C. E</t>
  </si>
  <si>
    <t>ROTONDITA, 70MTS ESTE. FRENTE A 1ER. PORTON DE REST LAGOS Y VOLCANES.</t>
  </si>
  <si>
    <t>franciscojosue1101@gmail.com, h_francisco79@yahoo.com</t>
  </si>
  <si>
    <t>4010801790000T</t>
  </si>
  <si>
    <t>VALEZKHA</t>
  </si>
  <si>
    <t>BO. SAN MIGUEL, IGLESIA SAN MIGUEL 1C S.</t>
  </si>
  <si>
    <t>IGL. SAN MIGUEL 1C. SUR</t>
  </si>
  <si>
    <t>arlenvalezkhaortizlopez@yahoo.es</t>
  </si>
  <si>
    <t>0010401790014T</t>
  </si>
  <si>
    <t>14 DE SEPTIEMBRE  COST   ESTE COLEGIO   N- 936</t>
  </si>
  <si>
    <t>COL. 14 DE SEPTIEMBRE, COST. ESTE  10 VRS ARRIBA. N-936</t>
  </si>
  <si>
    <t>22890726 22660497</t>
  </si>
  <si>
    <t>5210301790000U</t>
  </si>
  <si>
    <t>LEONARDO</t>
  </si>
  <si>
    <t>BO. JOSE ESTEBAN MONCADA, COSTADO NORTE PARQUE CENTRAL 3C, E.</t>
  </si>
  <si>
    <t>PORTON 5 HOSPITAL MILITAR 2 CUADRAS AL ESTE 1 CUADRA AL NORTE</t>
  </si>
  <si>
    <t>calebynatalys@gmail.com</t>
  </si>
  <si>
    <t>2813112780003M</t>
  </si>
  <si>
    <t>COLEGIO MERCANTIL 1C. ARRIBA, 1/2C.N,</t>
  </si>
  <si>
    <t>KM 15.8 CARRETERA A MASAYA</t>
  </si>
  <si>
    <t>22226120 86707312</t>
  </si>
  <si>
    <t>4893012780004D</t>
  </si>
  <si>
    <t>SECTOR No.11, DE LA ESCUELA MANUEL MONGALO 1c AL NORTE 1c AL OESTE</t>
  </si>
  <si>
    <t>ESCUELA ENMANUEL MONGALO Y RUBIOP 1 CUADRA AL NORTE, 1 CUADRA AL OESTE</t>
  </si>
  <si>
    <t>0012812780055S</t>
  </si>
  <si>
    <t>VILLA PJCH. SEMAFOROS ROBELO 6C. NORTE 1C. ESTE</t>
  </si>
  <si>
    <t>SEMAFORO ROBELO, 6C NORTE, 1C ESTE</t>
  </si>
  <si>
    <t>25634248 84106252 88239162</t>
  </si>
  <si>
    <t>romero2878@yahoo.com</t>
  </si>
  <si>
    <t>2812712780006G</t>
  </si>
  <si>
    <t>EMELINA</t>
  </si>
  <si>
    <t>BO. EL CALVARIO, INISER 2 1/2C.O.</t>
  </si>
  <si>
    <t>INISER 2 1/2 CUADRAS  OESTE</t>
  </si>
  <si>
    <t>27137800 89251924</t>
  </si>
  <si>
    <t>acevedor81@yahoo.com</t>
  </si>
  <si>
    <t>4411912780006W</t>
  </si>
  <si>
    <t>JEYDEE</t>
  </si>
  <si>
    <t>SEMAFOROS DE SALON LOPEZ 1C.O. MATAGALPA</t>
  </si>
  <si>
    <t>SILAIS 1C AL ESTE</t>
  </si>
  <si>
    <t>8881512780000F</t>
  </si>
  <si>
    <t>OBESO</t>
  </si>
  <si>
    <t>VILLA DE SANTA FE #51,DE ENEL CENTRAL 500VRS AL SUR</t>
  </si>
  <si>
    <t>RPTO. VILLAS DE SANTA FE,ENEL CENTRAL 500VRS.SUR</t>
  </si>
  <si>
    <t>0010612780029R</t>
  </si>
  <si>
    <t>CINE LEON 2C.S Y 1\2C.E.BO MONSEÑOR LEZCANO .MANAGUA</t>
  </si>
  <si>
    <t>KILOMETRO 10 CARRETERA NUEVA LEON CASA R-31.</t>
  </si>
  <si>
    <t>mardelb06@gmail.com</t>
  </si>
  <si>
    <t>0820612780003W</t>
  </si>
  <si>
    <t>HARLEN</t>
  </si>
  <si>
    <t>RESD. GUADALUPE, II ETAPA CASA NO. 6</t>
  </si>
  <si>
    <t>BAR LAS VEGAS 1 CUADRA AL SUR</t>
  </si>
  <si>
    <t>2810512780000C</t>
  </si>
  <si>
    <t>BARRIO SAN ISIDRO, PORTON PRINCIPAL DEL INACS 4 CUADRAS AL NORTE</t>
  </si>
  <si>
    <t>INACS 4 CUADRAS AL NORTE</t>
  </si>
  <si>
    <t>cristianbravo2830@hotmail.com</t>
  </si>
  <si>
    <t>3610412780004V</t>
  </si>
  <si>
    <t>MARELING</t>
  </si>
  <si>
    <t>PETRONA</t>
  </si>
  <si>
    <t>BO. SAN MIGUEL, COLEG. SAN VICENTE 75VRS. N.</t>
  </si>
  <si>
    <t>COLEGIO SAN VICENTE 75 VARAS AL NORTE</t>
  </si>
  <si>
    <t>mareling.re@hotmail.com</t>
  </si>
  <si>
    <t>0010112780067W</t>
  </si>
  <si>
    <t>BO. NUEVA LIBIA, CA. G-10 CASA COMUNAL 2C. N.</t>
  </si>
  <si>
    <t>CASA G-10 CASA COMUNAL 2CUADRA AL NORTE</t>
  </si>
  <si>
    <t>0012711780035M</t>
  </si>
  <si>
    <t>AMERICAS NUMERO 2 VILLA JOSE ESCOBAR, ANDEN 5, GRUPO C, CASA 2012</t>
  </si>
  <si>
    <t>GRUPO C, ANDEN 5, CASA NRO. 2012.</t>
  </si>
  <si>
    <t>mariajoseurizaguillen@gmail.com</t>
  </si>
  <si>
    <t>2872411780000R</t>
  </si>
  <si>
    <t>ESSO 3 1/2C AL SUR</t>
  </si>
  <si>
    <t>3ERA CALLE CASA 102. MANO DERECHA</t>
  </si>
  <si>
    <t>22681975 84483006 86998110</t>
  </si>
  <si>
    <t>lmp.figueroa@yahoo.com</t>
  </si>
  <si>
    <t>0412211780003M</t>
  </si>
  <si>
    <t>BARRIO JOSE SANCHEZ ZALAZAR DEL PARQUE 1C AL OESTE 25 VRS AL NORTE, JINOTEPE</t>
  </si>
  <si>
    <t>PARQUE 1 CUADRA AL OESTE 15 VARAS AL NORTE</t>
  </si>
  <si>
    <t>25321090 89966386</t>
  </si>
  <si>
    <t>0012111780012Y</t>
  </si>
  <si>
    <t>CONDE</t>
  </si>
  <si>
    <t>BARRIO PARRALES VALLEJOS, CEIBO ENABUS 1/2c OESTE 25vrs NORTE</t>
  </si>
  <si>
    <t>ANEXO PRIMERO DE MAYO, IGLESIA BETHEL, 1/2 CUADRA OESTE, 25 VARAS NORTE</t>
  </si>
  <si>
    <t>22777910 87442264</t>
  </si>
  <si>
    <t>yeseniaconde1111@yahoo.com</t>
  </si>
  <si>
    <t>0011611780077J</t>
  </si>
  <si>
    <t>VILLA PROGRESO-A335</t>
  </si>
  <si>
    <t>VI. PROGRESO, ENTRADA PPAL. 1C ARRIBA 1ANDEN LAGO CASA. A-335</t>
  </si>
  <si>
    <t>3231111780000P</t>
  </si>
  <si>
    <t>NELLYS</t>
  </si>
  <si>
    <t>BO. MIGUEL A. ORTEZ, ZONA NO. 1</t>
  </si>
  <si>
    <t>CONTIGUO A LA COOPERATIVA UCPCO</t>
  </si>
  <si>
    <t>6011011780003A</t>
  </si>
  <si>
    <t>BO. ERNESTO ROSALES, DEL SILAIS 1/2C. AL ESTE</t>
  </si>
  <si>
    <t>DEL SILAIS 1/2 CUADRA  AL ESTE</t>
  </si>
  <si>
    <t>ernestoleonel@gmail.com</t>
  </si>
  <si>
    <t>5640411780000Q</t>
  </si>
  <si>
    <t>CMCA. SABANA GRANDE, IGLESIA CATOLICA 50VRS. S.</t>
  </si>
  <si>
    <t>CENTRO DE SALUD 300 VARAS. AL ESTE 150 VARAS. SUR</t>
  </si>
  <si>
    <t>81762502 88741664</t>
  </si>
  <si>
    <t>kmeparamo@gmail.com</t>
  </si>
  <si>
    <t>0010211780016M</t>
  </si>
  <si>
    <t>Bº SAN JUDAS DEL CEIBO 5C AL SUR 1 1/2C ABAJO</t>
  </si>
  <si>
    <t>SAN JUDAS, ENITEL 3C. LAGO, 1-1/2C. ABAJO, MGUA.</t>
  </si>
  <si>
    <t>ericka0211p@gmail.com</t>
  </si>
  <si>
    <t>0010111780086L</t>
  </si>
  <si>
    <t>BO.LARREYNAGA,DE LA IGLESIA LA MERCEDEZ 11/2C.SUR</t>
  </si>
  <si>
    <t>IGLESIA LA MERCED, 1 1/2 CUADRA AL SUR</t>
  </si>
  <si>
    <t>22507786 86588336</t>
  </si>
  <si>
    <t>2410111780001S</t>
  </si>
  <si>
    <t>JINOTEGA TIENDA ROSSY 1\2 C.AL SUR</t>
  </si>
  <si>
    <t>CATEDRAL SAN JUAN 1 1/2 C AL SUR</t>
  </si>
  <si>
    <t>2810111780004R</t>
  </si>
  <si>
    <t>BO. SUBTIAVA, BILLARES LACAYO 1C. N. 1/2C. AB.</t>
  </si>
  <si>
    <t>CAMPESTRE AMIGOS POR SIEMPRE 300 METROS AL ESTE.</t>
  </si>
  <si>
    <t>0013110780056M</t>
  </si>
  <si>
    <t>ZOAD</t>
  </si>
  <si>
    <t>BO. BATAHOLA NORTE FTE.A ENACAL  CA.1188</t>
  </si>
  <si>
    <t>FRENTE A OFICINAS CENTRALES DE COBRO DE ENACAL CASA # 1188</t>
  </si>
  <si>
    <t>22684217 86387823</t>
  </si>
  <si>
    <t>1613110780002L</t>
  </si>
  <si>
    <t>YAHAIRA</t>
  </si>
  <si>
    <t>BO. HERORES Y MARTIRES, DEL PARQUE INFANTIL  3C. AL ESTE Y 1/2C. AL SUR</t>
  </si>
  <si>
    <t>PARQUE INFANTIL 3 CUADRAS AL ESTE 1/2 CUADRA AL SUR</t>
  </si>
  <si>
    <t>27133742 85349593</t>
  </si>
  <si>
    <t>cntyalegonz@gmail.com</t>
  </si>
  <si>
    <t>5652810780001E</t>
  </si>
  <si>
    <t>SHIRLLEY</t>
  </si>
  <si>
    <t>COMARCA ESCALANTE CONTIGUO AL POZO DE AGUA</t>
  </si>
  <si>
    <t>DE LA POLICIA 2 CUADRA  ARRIBA 20 METROS NORTE</t>
  </si>
  <si>
    <t>83228297 88974273</t>
  </si>
  <si>
    <t>juniethlopez123@hotmail.com</t>
  </si>
  <si>
    <t>0471410780002R</t>
  </si>
  <si>
    <t>SEC. NO.4, IGLESIA CATOLICA 1C.S, 75VRS.E</t>
  </si>
  <si>
    <t>IGLESIA CATOLICA 1 CUADRA AL SUR 75 VARAS AL ESTE</t>
  </si>
  <si>
    <t>ajudithruiz1410@hotmail.com</t>
  </si>
  <si>
    <t>0011310780003Q</t>
  </si>
  <si>
    <t>CLEMENTINA</t>
  </si>
  <si>
    <t>RESD. LOMAS DEL VALLE, AGUJA 1C.E 1 1/2CN. CA N° 3-D</t>
  </si>
  <si>
    <t>AGUJA 1 CUADRA ESTE 1 1/2 CUADRAS NORTE CASA 3-D.</t>
  </si>
  <si>
    <t>22774809 87684902</t>
  </si>
  <si>
    <t>dracaldera@yahoo.com</t>
  </si>
  <si>
    <t>2010810780009P</t>
  </si>
  <si>
    <t>CHRISTIANNE</t>
  </si>
  <si>
    <t>VILLA TEPETATE CASA NUM 82 83</t>
  </si>
  <si>
    <t>VILLA TEPETATE, CASA NO 82-83</t>
  </si>
  <si>
    <t>25524267 77471290 82522392</t>
  </si>
  <si>
    <t>rinanic93@gmail.com</t>
  </si>
  <si>
    <t>0010410780023S</t>
  </si>
  <si>
    <t>BO.EL RIGUERO DE LA IGLESIA STA MA DE LOS ANGELES 11\2ARRIBA CASA#12</t>
  </si>
  <si>
    <t>BO.RIGUERO, IGL.SANTA. MARIA DELOS ANGELES 1 1/2C. ESTE</t>
  </si>
  <si>
    <t>22791221 22700971</t>
  </si>
  <si>
    <t>0440210780002N</t>
  </si>
  <si>
    <t>Bo.EL CALVARIO,2DA. CALLE,3C.O</t>
  </si>
  <si>
    <t>SEGUNDA CALLE 3 CUADRA AL OESTE</t>
  </si>
  <si>
    <t>conrado0878@hotmail.com</t>
  </si>
  <si>
    <t>2810110780013U</t>
  </si>
  <si>
    <t>URTECHO</t>
  </si>
  <si>
    <t>FUNDECI 1ER. ETAPA CASA B-416</t>
  </si>
  <si>
    <t>BO. FUNDECI, 1RA. ETAPA  CA. B-416</t>
  </si>
  <si>
    <t>0810110780010N</t>
  </si>
  <si>
    <t>VALLE DORADO A1, DEL COLEGIO RAMIREZ GOYENA 1 1/2C. ABAJO</t>
  </si>
  <si>
    <t>RESIDENCIAL VALLE DORADO, INSTITUTO RAMIREZ GOYENA 1 1/2 C. AL OESTE. CASA A-1</t>
  </si>
  <si>
    <t>0012209780036P</t>
  </si>
  <si>
    <t>JAMET</t>
  </si>
  <si>
    <t>BELLO HORIZONTE 2c AL SUR 1 ABAJO 1/2c AL LAGO CASA F-II-11</t>
  </si>
  <si>
    <t>DEL CUADRO DE BEISBOL 250 METROS AL SUR-OESTE</t>
  </si>
  <si>
    <t>dsozasalgado@yahoo.com</t>
  </si>
  <si>
    <t>0012109780007F</t>
  </si>
  <si>
    <t>BRISAS V-8,MANAGUA</t>
  </si>
  <si>
    <t>DE OPTICA MUNKEL 5 CUADRAS NORTE. CASA V-8 MANO DERECHA</t>
  </si>
  <si>
    <t>22661433 88838721</t>
  </si>
  <si>
    <t>abuelitaligia@gmail.com adelitaguzman@yahoo.es</t>
  </si>
  <si>
    <t>2012109780002D</t>
  </si>
  <si>
    <t>KEYSY</t>
  </si>
  <si>
    <t>BO. LA ESTACION, POLICIA NACIONAL 1c NORTE 1/2c ESTE</t>
  </si>
  <si>
    <t>DE ESTACION DE POLICIA, 1 CUADRA AL NORTE, 1/2 CUADRA AL ESTE</t>
  </si>
  <si>
    <t>25524683 86342058 85906947</t>
  </si>
  <si>
    <t>keysy2000@hotmail.com</t>
  </si>
  <si>
    <t>2811909780009X</t>
  </si>
  <si>
    <t>DINORA</t>
  </si>
  <si>
    <t>CO.UNIVERSIDAD DE LA ROTONDA DE LA ROTONDA 2CA 1C.N LEON</t>
  </si>
  <si>
    <t>ROTONDA 2 CUADRAS AL ESTE, 1 CUADRA AL NORTE</t>
  </si>
  <si>
    <t>23116532 84371952</t>
  </si>
  <si>
    <t>dinorah199@yahoo.es</t>
  </si>
  <si>
    <t>0011809780088M</t>
  </si>
  <si>
    <t>IGLESIA SANTA ANA 1/2 CUADRA AL NORTE</t>
  </si>
  <si>
    <t>utaniatamara78@gmail.com</t>
  </si>
  <si>
    <t>0010409780013A</t>
  </si>
  <si>
    <t>EUGENIA  DEL CARMEN</t>
  </si>
  <si>
    <t>COLONIA LOS ROBLE 3ERA ETAPA CASA N°125</t>
  </si>
  <si>
    <t>HOTEL INTERCONTINENTAL METROCENTRO, 2 CUADRA ESTE, 1 CUADRA NORTE, CASA N0. 125</t>
  </si>
  <si>
    <t>22773102 88348947</t>
  </si>
  <si>
    <t>claudiazuniga785@yahoo.com</t>
  </si>
  <si>
    <t>0872808780000C</t>
  </si>
  <si>
    <t>ODILY</t>
  </si>
  <si>
    <t>CACEREZ</t>
  </si>
  <si>
    <t>COL. GERARDO LINDO ESC, LUCRECIA LINDO 25vrs AB</t>
  </si>
  <si>
    <t>WESTERN UNION, 1 CUADRA AL ESTE, 1/2 CUADRA AL SUR.</t>
  </si>
  <si>
    <t>odicruz32@yahoo.com</t>
  </si>
  <si>
    <t>2032508780003R</t>
  </si>
  <si>
    <t>DE LA ALCALDIA 5C. AL NORTE</t>
  </si>
  <si>
    <t>CASA DEL SEÑOR EUGENIO PAO.</t>
  </si>
  <si>
    <t>adiliaelenag@gmail.com</t>
  </si>
  <si>
    <t>0012208780006A</t>
  </si>
  <si>
    <t>MALO</t>
  </si>
  <si>
    <t>ITR. C/ JARDIN 3C. ABAJO Y 1/2C. AL SUR</t>
  </si>
  <si>
    <t>COSTADO OESTE CENTRO DE SALUD, CASA B-162</t>
  </si>
  <si>
    <t>22791301 22662551 88899343</t>
  </si>
  <si>
    <t>0011808780085C</t>
  </si>
  <si>
    <t>ZUNILDA</t>
  </si>
  <si>
    <t>RES. PRADERAS DEL DORAL ALAMEDA # 3 CASA 51</t>
  </si>
  <si>
    <t>PRADERAS DEL DORADO NO. 51 PISTA AL MAYOREO</t>
  </si>
  <si>
    <t>22652089 22521250 89280960</t>
  </si>
  <si>
    <t>flisoe18@gmail.com</t>
  </si>
  <si>
    <t>1621508780000D</t>
  </si>
  <si>
    <t>SIGNA</t>
  </si>
  <si>
    <t>CMCA. GUASAUYUCA, IGLESIA CATOLICA 1/2c SUR</t>
  </si>
  <si>
    <t>DDF AZULEJOS EL DIAMANTE 75VR S.</t>
  </si>
  <si>
    <t>nagsi25@yahoo.com</t>
  </si>
  <si>
    <t>0011108780092U</t>
  </si>
  <si>
    <t>TERM. 118 2C. ARRIBA 1/2C. AL LAGO</t>
  </si>
  <si>
    <t>BO LOS LAURELES SUR TERM. 118 2C ESTE 1 C. NORTE</t>
  </si>
  <si>
    <t>con_elena08@hotmail.com</t>
  </si>
  <si>
    <t>1610908780001Y</t>
  </si>
  <si>
    <t>BANCO 4C.AL OESTE,1C.AL NORTE ESTELI- NIC.</t>
  </si>
  <si>
    <t>MONUMENTO PANAMA SOBERANA 1 CUADRA NORTE 1 CUADRA ESTE</t>
  </si>
  <si>
    <t>27131008 82015090</t>
  </si>
  <si>
    <t>6080908780003A</t>
  </si>
  <si>
    <t>RACHELLE</t>
  </si>
  <si>
    <t>KIAPA</t>
  </si>
  <si>
    <t>BO. 1RO. DE MAYO, CONTIGUO A TALLER DE HARRY MARTINEZ</t>
  </si>
  <si>
    <t>AL COSTADO SUR DE LA UNIVERSIDAD BICU - CIUM</t>
  </si>
  <si>
    <t>84069347, 86183945</t>
  </si>
  <si>
    <t>DOCTOR EN MEDICINA (ANULADO-SELLO NO SE DISTINGUE), DOCTORA EN MEDICINA (RESELLADO)</t>
  </si>
  <si>
    <t>rachelleelisam@yahoo.es</t>
  </si>
  <si>
    <t>2010908780005Y</t>
  </si>
  <si>
    <t>YESSIKA</t>
  </si>
  <si>
    <t>DE LA IGLESIA SAN FRANCISCO 21/2 AL LAGO CALLE EL ARSENAL</t>
  </si>
  <si>
    <t>IGLESIA SAN FRANCISCO 2 1/2 CUADRAS AL ESTE.</t>
  </si>
  <si>
    <t>5610408780003W</t>
  </si>
  <si>
    <t>DARREL</t>
  </si>
  <si>
    <t>BO. EL BOLSON BILLARES PANCHO MODESTANO 3c OESTE 25vrs NORTE</t>
  </si>
  <si>
    <t>BILLARES PANCHO MODESTANO, 3 CUADRAS OESTE, 25 VARAS NORTE.</t>
  </si>
  <si>
    <t>25526229 84117194</t>
  </si>
  <si>
    <t>dr.darrell4878@hotmail.com</t>
  </si>
  <si>
    <t>2910408780007F</t>
  </si>
  <si>
    <t>BO. CAYETANO SANCHEZ, COSTADO SUR DE LA IGLESIA CATOLICA 2 1/2C. ARRIBA</t>
  </si>
  <si>
    <t>COSTADO SUR IGLESIA CATOLICA 2 1/2C AL OESTE.</t>
  </si>
  <si>
    <t>maramercedesr@gmail.com</t>
  </si>
  <si>
    <t>4012707780007M</t>
  </si>
  <si>
    <t>EUGENIO</t>
  </si>
  <si>
    <t>BO. MONIMBO,  PARQUE PLAZA P.J.CH. 4 1/2c S</t>
  </si>
  <si>
    <t>4TA ETAPA DE LA ROTONDA EL PERIODISTA 800METROS SUR 50METROS ESTE</t>
  </si>
  <si>
    <t>85669057 83530226</t>
  </si>
  <si>
    <t>0012607780067T</t>
  </si>
  <si>
    <t>JOYSSIANA</t>
  </si>
  <si>
    <t>BO. EDEN, GAS. CRISTIAN P. 1C. SUR 1 1/2C. ABAJO</t>
  </si>
  <si>
    <t>BO. EL EDEN, GASOLINERA ESSO DE ,LA SALVADORITA 1C.S. 1 1/2C.O.</t>
  </si>
  <si>
    <t>22481262 86791265 86791245</t>
  </si>
  <si>
    <t>2412205780012L</t>
  </si>
  <si>
    <t>ABNER</t>
  </si>
  <si>
    <t>CASRRILLO</t>
  </si>
  <si>
    <t>DONDE FUE CINE SALINAS 3C ARRIBA 25Vr AL LAGO</t>
  </si>
  <si>
    <t>DE LA IGLESIA MORMONA 1C AL SUR</t>
  </si>
  <si>
    <t>0012107780054T</t>
  </si>
  <si>
    <t>VILLA RECONCILIACION, TRANASPORTE TUCSA 3C, O. 2C, N. M/I</t>
  </si>
  <si>
    <t>TRANSPORTE TUCSA 3 CUADRA AL OESTE, 2 CUADRA AL NORTE MANO IZQUIERDA.</t>
  </si>
  <si>
    <t>guerrerosiezar@gmail.com</t>
  </si>
  <si>
    <t>0012007780029P</t>
  </si>
  <si>
    <t>MAYA</t>
  </si>
  <si>
    <t>YOUALKI</t>
  </si>
  <si>
    <t>BO. MONSEÑOR LEZCANO, DE LA ESTATUA DE MONSEÑOR LEZCANO 6C. AL NORTE Y 1/2C. AL OESTE, MANO DERECHA</t>
  </si>
  <si>
    <t>ESTATUA MONSEÑOR LEZCANO 6 CUADRAS AL NORTE, 1/2 CUADRA AL OESTE</t>
  </si>
  <si>
    <t>ucser.mayagonzalez@gmail.com</t>
  </si>
  <si>
    <t>0901707780000Y</t>
  </si>
  <si>
    <t>RPTO. CARLOS FONSECA, FRENTE AL TANQUE DEL RASTRO</t>
  </si>
  <si>
    <t>ESCUELA ALDO DUBON 20 VARAS AL SUR</t>
  </si>
  <si>
    <t>88050920 88893609</t>
  </si>
  <si>
    <t>jcwanki@yahoo.es</t>
  </si>
  <si>
    <t>2011507780005F</t>
  </si>
  <si>
    <t>BO. DOMINGAZO, SHELL GUAPINOL 3C.N. 1/2C.O.</t>
  </si>
  <si>
    <t>SHELL GUAPINOL 3 CUADRAS NORTE, 1/2 CUADRA OESTE.</t>
  </si>
  <si>
    <t>2810807780010M</t>
  </si>
  <si>
    <t>IGLESIA SAN JOSE 3 1/2C.AL NORTE LEON</t>
  </si>
  <si>
    <t>IGLESIA SAN JOSE 3 1/2 CUADRAS AL NORTE.</t>
  </si>
  <si>
    <t>2810707780008H</t>
  </si>
  <si>
    <t>COLEGIO CALASANZ 4 CUADRAS AL SUR 1/2 CUADRA AL ESTE</t>
  </si>
  <si>
    <t>23154074 86933843</t>
  </si>
  <si>
    <t>2813006780002U</t>
  </si>
  <si>
    <t>BO. FUNDECI, II ETAPA DEL PALI GUADALUPE 1C. AL E.</t>
  </si>
  <si>
    <t>COSTADO OESTE DE LA CANCHA CAMPO LOS PADRES</t>
  </si>
  <si>
    <t>acosta_dff@hotmail.com</t>
  </si>
  <si>
    <t>0053006780001T</t>
  </si>
  <si>
    <t>DE LA POLICIA 2C ARRIBA 2 1/2 AL NORTE</t>
  </si>
  <si>
    <t>COLEGIO, 2 1/2 CUADRAS  OESTE, MANO IZQUIERDA</t>
  </si>
  <si>
    <t>2812806780007V</t>
  </si>
  <si>
    <t>BO. SAN FRANCISCO, FRENTE PORTON PPAL. COLG. LA SALLE</t>
  </si>
  <si>
    <t>FRENTE PORTON PRINCIPAL, COLEGIO LA SALLE.</t>
  </si>
  <si>
    <t>23113228 88145444</t>
  </si>
  <si>
    <t>1612706780010K</t>
  </si>
  <si>
    <t>BO. EL CALVARIO, PARQUE INFANTIL 2C.O. 25VRS.N.</t>
  </si>
  <si>
    <t>PARQUE INFANTIL 2 CUADRAS OESTE 25 VARAS NORTE</t>
  </si>
  <si>
    <t>27137270 84376006</t>
  </si>
  <si>
    <t>karolina_benavides@yahoo.com</t>
  </si>
  <si>
    <t>0812306780006F</t>
  </si>
  <si>
    <t>BARRIO EL ROSARIO, IGL. NAZARENO 1/2C. O.</t>
  </si>
  <si>
    <t>IGLESIA NAZARENO, 1/2 CUADRA AL OESTE.</t>
  </si>
  <si>
    <t>23404554 82140258</t>
  </si>
  <si>
    <t>2811706780006V</t>
  </si>
  <si>
    <t>NEDDAR</t>
  </si>
  <si>
    <t>RESD.MONTECIELO,KM 12.9 CARRETERA MASAYA 2KM.E CASA No.H-380</t>
  </si>
  <si>
    <t>BO.SAN SEBASTIAN, TEATRO GONZALEZ 3«C.S. TELF: 2897466</t>
  </si>
  <si>
    <t>4011706780003E</t>
  </si>
  <si>
    <t>BO. LA REFORMA NO. 2, DIST. TOMASITA 1/2C. AL OESTE</t>
  </si>
  <si>
    <t>IGLESIA CATOLICA 1C AL OESTE, 1/2C AL SUR, 1/2C AL OESTE M/D ACERA ALTA ROJA, PORTONES NEGROS</t>
  </si>
  <si>
    <t>22681975 81805147 84157694</t>
  </si>
  <si>
    <t>0840606780000P</t>
  </si>
  <si>
    <t>ROMYCHEYLA</t>
  </si>
  <si>
    <t>CMCA. SANTO DOMINGO IGL. CAT. 1C.E.</t>
  </si>
  <si>
    <t>BLOQUE C-8 CASA NO 157</t>
  </si>
  <si>
    <t>84224342 87128362</t>
  </si>
  <si>
    <t>0010306780050T</t>
  </si>
  <si>
    <t>URBANIZACION ALTOS DE LA SABANA, KOLA SHALER 150MTS. ARRIBA N°147</t>
  </si>
  <si>
    <t>VILLA PROGRESO, DEL RUPAP 1C AL ESTE 1C AL NORTE 1/2C AL ESTE CALLE PRINCIPAL CA.C-75</t>
  </si>
  <si>
    <t>22496758 88802405 89947829</t>
  </si>
  <si>
    <t>talvaradof.03@gmail.com</t>
  </si>
  <si>
    <t>2013105780006D</t>
  </si>
  <si>
    <t>VILLA TEPETATE SUR CASA NO. 30</t>
  </si>
  <si>
    <t>CASA NUMERO 31.</t>
  </si>
  <si>
    <t>2812605780014S</t>
  </si>
  <si>
    <t>TLALOC</t>
  </si>
  <si>
    <t>IGLESIA SAN PEDRO,  1 1/2 CUADRA AL OESTE.</t>
  </si>
  <si>
    <t>6012505780000Q</t>
  </si>
  <si>
    <t>RONDA</t>
  </si>
  <si>
    <t>BELLO HORIZONTE DE LA IGLESIA PIO X 4C AL LAGO</t>
  </si>
  <si>
    <t>CONTIGUO AL RESTAURANTE TIA IRENE</t>
  </si>
  <si>
    <t>berger.ronda@yahoo.com</t>
  </si>
  <si>
    <t>0411805780004Q</t>
  </si>
  <si>
    <t>BO.FRANCISCO GONZALES, KM. 48 1/2.   CARRETERA SUR</t>
  </si>
  <si>
    <t>BANPRO 4 CUADRAS AL OESTE</t>
  </si>
  <si>
    <t>yalexcampos@hotmail.com</t>
  </si>
  <si>
    <t>2011305780002K</t>
  </si>
  <si>
    <t>DILAYLA</t>
  </si>
  <si>
    <t>EL YETHE</t>
  </si>
  <si>
    <t>RPTO. SAN IGNACIO CENTRO DE SALUD 20VRS.O.</t>
  </si>
  <si>
    <t>BO. BOCA NEGRA IGL. SN. JOSE 1C E. C S.</t>
  </si>
  <si>
    <t>dylams78@yahoo.com</t>
  </si>
  <si>
    <t>2811205780012K</t>
  </si>
  <si>
    <t>EMIG</t>
  </si>
  <si>
    <t>SAGRARIO</t>
  </si>
  <si>
    <t>FERRUFINO</t>
  </si>
  <si>
    <t>RPTO. ENRIQUE FUERTE CASA # 101 LEON</t>
  </si>
  <si>
    <t>IGLESIA PIO X 3C AL NORTE 1/2C AL ESTE CASA I-5</t>
  </si>
  <si>
    <t>emigbravo@gmail.com</t>
  </si>
  <si>
    <t>4021105780000Y</t>
  </si>
  <si>
    <t>KM 19 1/2 CARRETERA MASAYA-MANAGUA, DEL COLEGIO SAN PEDRO CLAVER 200MTS AL NORTE</t>
  </si>
  <si>
    <t>CALLE WALPA TARA FRENTE AL COLEGIO</t>
  </si>
  <si>
    <t>87310580, 89531880</t>
  </si>
  <si>
    <t>25721579 87273980</t>
  </si>
  <si>
    <t>drjcsanchez11hz@gmail.com</t>
  </si>
  <si>
    <t>2810805780009X</t>
  </si>
  <si>
    <t>YANETTE</t>
  </si>
  <si>
    <t>BILLARES LACAYO 1C.S. 10VRS. O.</t>
  </si>
  <si>
    <t>IGLESIA SAN FRANCISCO 1/2 CUADRA AL OESTE</t>
  </si>
  <si>
    <t>yanerykat@yahoo.es</t>
  </si>
  <si>
    <t>4410105780015W</t>
  </si>
  <si>
    <t>ELIAZAR</t>
  </si>
  <si>
    <t>BO. SANTIAGO, KM 104 CARRETERA A MANAGUA 2c ESTE</t>
  </si>
  <si>
    <t>DEL PORTON DE LA EMPRESA LALA, 1 CUADRA AL SUR, 1 CUADRA AL ESTE Y 175 VARAS AL NORTE</t>
  </si>
  <si>
    <t>82018927 89450933</t>
  </si>
  <si>
    <t>DOCTOR EN MEDICINA, MEDICINA GENERAL INTEGRAL</t>
  </si>
  <si>
    <t>2412904780003K</t>
  </si>
  <si>
    <t>BO. ESQUIPULAS, II CALLE DEL PARQUE DE FERIA 2C.O. 25VRS. S.</t>
  </si>
  <si>
    <t>DEL PUENTE DE LOS MILAGROS 1 CUADRA AL SUR 2 CUADRAS AL OESTE , 20 VARAS AL SUR</t>
  </si>
  <si>
    <t>dokagopi@gmail.com</t>
  </si>
  <si>
    <t>2810504780003D</t>
  </si>
  <si>
    <t>JOAQUIN</t>
  </si>
  <si>
    <t>BO. SALINAS, PORTON  CEMENTERIO 1C. S.  20VRS. E.</t>
  </si>
  <si>
    <t>DEL  PORTON DEL CEMENTERIO 1 CUADRA AL SUR,  20 VARAS AL ESTE</t>
  </si>
  <si>
    <t>83313723 84232180</t>
  </si>
  <si>
    <t>2810404780014N</t>
  </si>
  <si>
    <t>MIKE</t>
  </si>
  <si>
    <t>RESIDENCIAL PRADERAS DE NUEVO LEON, LABORATORIO DIVINA 2 1/2 KM AL ESTE CASA NO.85</t>
  </si>
  <si>
    <t>RPTO. 1ERO. DE MAYO, 4TA.CE. 1ERA.ETPA.CA.NO.244</t>
  </si>
  <si>
    <t>mikeharoldrubi@gmial.com</t>
  </si>
  <si>
    <t>2012703780004E</t>
  </si>
  <si>
    <t>CE, CUISCOMA,MCDO, 1c E.</t>
  </si>
  <si>
    <t>DE LA CATEDRAL 2 CUADRAS AL SUR.</t>
  </si>
  <si>
    <t>2902403780002T</t>
  </si>
  <si>
    <t>DE LA IGLESIA ERMITA DE DOLORES 1/2C. AL NORTE, LEON</t>
  </si>
  <si>
    <t>EMPALME 300 METROS AL ESTE, EN FARMACIA LA BOTICA</t>
  </si>
  <si>
    <t>23151810 88301907</t>
  </si>
  <si>
    <t>duniafab@yahoo.es</t>
  </si>
  <si>
    <t>0812303780002G</t>
  </si>
  <si>
    <t>BO. FCO. MORENO NO.2, DE DONDE FUE POLICIA DE TRANSITO 2 1/2C. SUROESTE</t>
  </si>
  <si>
    <t>DONDE DUE. TRANSITO 2 1/2 CUADRA. AL SUR-OESTE</t>
  </si>
  <si>
    <t>vilchezjl@yahoo.com</t>
  </si>
  <si>
    <t>0421703780001P</t>
  </si>
  <si>
    <t>BELARMINO</t>
  </si>
  <si>
    <t>BO. 22 DE JUNIO, ESCUELA RENE SHICK 2C.S. 1C.E.</t>
  </si>
  <si>
    <t>DE DONDE FUE LA BLOQUERA 1/2 CUADRA AL NORTE.</t>
  </si>
  <si>
    <t>baltogut@yahoo.com</t>
  </si>
  <si>
    <t>4011603780000E</t>
  </si>
  <si>
    <t>CARRETA NUEVA A LEON KM 20 1/2 RESIDENCIAL VISTA DEL MOMOTOMBO BLOQUE 6 LOTE 3</t>
  </si>
  <si>
    <t>KM 19 1/2 CARRETERA NUEVA A LEON FRENTE PARQUE</t>
  </si>
  <si>
    <t>86573755 87867026</t>
  </si>
  <si>
    <t>0011203780035C</t>
  </si>
  <si>
    <t>BO. FARBUNDO MARTI, IGLESIA DON BOSCO 1C.E. 1/2C.N. CA. NO. B-13</t>
  </si>
  <si>
    <t>BO. F.MARTI, B-13, IGL.  DON BOSCO 1C.E. «C.N.</t>
  </si>
  <si>
    <t>emiliopn1@hotmail.com</t>
  </si>
  <si>
    <t>2911203780001J</t>
  </si>
  <si>
    <t>BO. LINDA VISTA No.2, CDI LAS COLMENITA 1c ESTE 10vrs SUR</t>
  </si>
  <si>
    <t>daliamarcelalopezgurierrez@gmail.com</t>
  </si>
  <si>
    <t>2021003780001G</t>
  </si>
  <si>
    <t>ELDA</t>
  </si>
  <si>
    <t>RESD. LOMAS DE MONTE VERDE, KM. 13.2  CARRETERA MASAYA 1500VRS. SUROESTE CA. NO.9</t>
  </si>
  <si>
    <t>INSTITUTO. JOSE  DOLORES  ESTRADA,  1/2 CUADRA ESTE.</t>
  </si>
  <si>
    <t>ejirong@gmail.com</t>
  </si>
  <si>
    <t>6011003780005A</t>
  </si>
  <si>
    <t>BO. RICARDO MORALES AVILES, SECTOR NO.4, DETRAS PRE-ESCOLAR NICARAGUITA</t>
  </si>
  <si>
    <t>CONTIGUO  A LA IGL MARANATHA</t>
  </si>
  <si>
    <t>dr.bismarckantonio@yahoo.es</t>
  </si>
  <si>
    <t>2811003780007M</t>
  </si>
  <si>
    <t>RESID. BOLONIA, MANSION TEODOLINDA 3 1/2 C ABA</t>
  </si>
  <si>
    <t>III ETAPA, CASA B-10</t>
  </si>
  <si>
    <t>0811003780008K</t>
  </si>
  <si>
    <t>ESCUELA, 150 VARAS AL ESTE.</t>
  </si>
  <si>
    <t>0010803780096K</t>
  </si>
  <si>
    <t>MEYBEL</t>
  </si>
  <si>
    <t>RESD. PLANES DE PUNTALDIA EDIFICIO CLARO 2C.N.   2C.O.   CASA NO. 40</t>
  </si>
  <si>
    <t>EDIFICIO CLARO 2 CUADRAS NORTE 2 CUADRAS OESTE MANO DERECHA CASA # 40</t>
  </si>
  <si>
    <t>22704676 81889501</t>
  </si>
  <si>
    <t>megacisne79@hotmail.com</t>
  </si>
  <si>
    <t>mega.cisne79@hotmail.com</t>
  </si>
  <si>
    <t>0010703780008M</t>
  </si>
  <si>
    <t>LOMAS DE MONTSERRAT CASA A-8</t>
  </si>
  <si>
    <t>RESIDENCIAL PALMA NOVA, CASA 79, COLEGIO AMERICANO 2 CUADRAS AL NORESTE, 1/2 CUADRA AL NORTE</t>
  </si>
  <si>
    <t>0010403780051C</t>
  </si>
  <si>
    <t>ROSALBA</t>
  </si>
  <si>
    <t>POLICIA NACIONAL DE CAMOAPA 1C AL SUR</t>
  </si>
  <si>
    <t>22785176 22681975 89385954 86917551</t>
  </si>
  <si>
    <t>rnuezvaldez@yahoo.es</t>
  </si>
  <si>
    <t>2810103780023K</t>
  </si>
  <si>
    <t>LASHKMI</t>
  </si>
  <si>
    <t>COLONIA MIGUEL BONILLA CASA NO.211</t>
  </si>
  <si>
    <t>ANTIGUO BAR ESQUINA FIEL 5 CUADRAS AL SUR 1/2 CUADRA AL ESTE  C-211</t>
  </si>
  <si>
    <t>22701805 83879359</t>
  </si>
  <si>
    <t>lmot@hotmail.com</t>
  </si>
  <si>
    <t>4012602780000U</t>
  </si>
  <si>
    <t>KM 49 CARRETERA SUR EL CARMEN CASA No.A</t>
  </si>
  <si>
    <t>KILOMETRO 49 CARRETERA SUR CONDOMINIO A.</t>
  </si>
  <si>
    <t>25321450 86937705</t>
  </si>
  <si>
    <t>ivaniaurrutiag@gmail.com</t>
  </si>
  <si>
    <t>0012202730003K</t>
  </si>
  <si>
    <t>VILLA   RAFELA   HERRERA  B- 214</t>
  </si>
  <si>
    <t>ROTONDA CRISTO REY  6 CUADRAS AL SUR 1 CUADRA AL OESTE, 1CUADRA AL SUR MANO IZQUIERDA..</t>
  </si>
  <si>
    <t>dra.rodriguezmedical@gmail.com</t>
  </si>
  <si>
    <t>LAS BRISAS. DEL REST.  ARAGON 1c AL ESTE  11c NORTE</t>
  </si>
  <si>
    <t>isabella7802@yahoo.com</t>
  </si>
  <si>
    <t>2810202780017Y</t>
  </si>
  <si>
    <t>BO. EMTA.DE DOLORES IG.ETA.DOLORES 2½C.O.</t>
  </si>
  <si>
    <t>HOTEL EUROPA 4 1/2 CUADRAS AL ESTE</t>
  </si>
  <si>
    <t>4451901780000N</t>
  </si>
  <si>
    <t>SHEILA</t>
  </si>
  <si>
    <t>FRENTE HOSPEDAJE RIO BLANCO</t>
  </si>
  <si>
    <t>FARMACIA VIDA SANA FRENTE A MONUMENTO DE LA BIBLIA</t>
  </si>
  <si>
    <t>pjarquin.84@gmail.com</t>
  </si>
  <si>
    <t>0011901780021P</t>
  </si>
  <si>
    <t>DE LA CASA DE LAS BROMAS 1 CUADRA AL SUR</t>
  </si>
  <si>
    <t>0011801780000P</t>
  </si>
  <si>
    <t>VILLA SAN JACINTO DISTRIBUIDORA DON JUAN 1C AL SUR 1C AL OESTE</t>
  </si>
  <si>
    <t>ANTIGUO CENTRO DE SALUD 1/2 CUADRA AL SUR.</t>
  </si>
  <si>
    <t>22635670 86605117</t>
  </si>
  <si>
    <t>felix.180498@udomanagua.edu.ni, vfelixjose@yahoo.com</t>
  </si>
  <si>
    <t>1221001780001C</t>
  </si>
  <si>
    <t>KM. 16.3 CARRETERA MASAYA LOS ALMENDROS #59</t>
  </si>
  <si>
    <t>RESD. LOS ALMENDROS, KM.16.3 CARR.MYA.CA.NO.59</t>
  </si>
  <si>
    <t>22712498 22791087 22668425 84654042</t>
  </si>
  <si>
    <t>2810901780014E</t>
  </si>
  <si>
    <t>SANTA MARIA</t>
  </si>
  <si>
    <t>BO. GUADALUPE, DE LOS BILLARES DARCE 75VRS. E</t>
  </si>
  <si>
    <t>DEL PARQUE MUNICIPAL 1 CUADRA AL OESTE</t>
  </si>
  <si>
    <t>byronmendezzarate@gmail.com</t>
  </si>
  <si>
    <t>0010801780062K</t>
  </si>
  <si>
    <t>YANNETT</t>
  </si>
  <si>
    <t>COLONIA 14 SEPTIEMBRE CASA G-545</t>
  </si>
  <si>
    <t>COLEGIO CRISTO REY 3C. NORTE, 1/2C. OESTE</t>
  </si>
  <si>
    <t>1213112770008Q</t>
  </si>
  <si>
    <t>CLEDYS</t>
  </si>
  <si>
    <t>DE LA VOGE 2C SUR 1\2 OESTE BO.TAMAÑEZ JUIGALPA-CHONTALES</t>
  </si>
  <si>
    <t>DE LA ROTONDA 4 CUADRAS AL SUR, 4 CUADRA AL OESTE. CASA #G-4</t>
  </si>
  <si>
    <t>25126163 88362840</t>
  </si>
  <si>
    <t>2013112770008G</t>
  </si>
  <si>
    <t>GRANJA</t>
  </si>
  <si>
    <t>BOMBEROS 1C.NORTE  75 VRS.OESTE</t>
  </si>
  <si>
    <t>DE BANPRO CIUDAD JARDIN 4 CUADRAS AL NORTE</t>
  </si>
  <si>
    <t>3622912770003W</t>
  </si>
  <si>
    <t>BARRIO EL CARMEN ESSO 1 1/2 CUADRA AL OESTE 1 CUADRA AL SUR</t>
  </si>
  <si>
    <t>PORTON PRINCIPAL DEL MERCADO EL MAYOREO 2 CUADRAS ESTE.</t>
  </si>
  <si>
    <t>25492607 85506589</t>
  </si>
  <si>
    <t>2812412770008H</t>
  </si>
  <si>
    <t>RPTO. SAN MATEO II CALLE, DEL TOPE 10VRS. ABAJO CASA NO.14</t>
  </si>
  <si>
    <t>BO. SUBTIAVA 2DO PORTON CALAZANS 2C.SUR, 2C.OESTE.</t>
  </si>
  <si>
    <t>0811912770009U</t>
  </si>
  <si>
    <t>CANIZALES</t>
  </si>
  <si>
    <t>Bo. EL CALVARIO, COMEDOR TEJITAS 1/2C S.</t>
  </si>
  <si>
    <t>COMEDOR TEJITAS 1/2 CUADRA AL SUR</t>
  </si>
  <si>
    <t>23414172 78083171</t>
  </si>
  <si>
    <t>canizaleskarina@yahoo.es</t>
  </si>
  <si>
    <t>2831812770000V</t>
  </si>
  <si>
    <t>SUGEI</t>
  </si>
  <si>
    <t>NIÑO</t>
  </si>
  <si>
    <t>ENTRADA PRINCIPAL 3 CUADRAS AL ESTE, PULPERIA DON POLLO 75 VARAS AL NORTE.</t>
  </si>
  <si>
    <t>23114801 85059024</t>
  </si>
  <si>
    <t>sugeianabellmartineznino@gmail.com</t>
  </si>
  <si>
    <t>1611412770002S</t>
  </si>
  <si>
    <t>BO. 20 DE SEPTIEMBRE, PARQUE MUNICIPAL 1C. N.</t>
  </si>
  <si>
    <t>FERRETERIA RUFINO  GONZALEZ 3C.OESTE</t>
  </si>
  <si>
    <t>0810312770017T</t>
  </si>
  <si>
    <t>BO. 20 DE MAYO, COLEGIO LA SALLE 160VRS. SUR</t>
  </si>
  <si>
    <t>DEL INSS 1/2 CUADRA AL ESTE</t>
  </si>
  <si>
    <t>2813011770007N</t>
  </si>
  <si>
    <t>BO. SAN FELIPE, FRENTE A FUNERARIA ROSALES</t>
  </si>
  <si>
    <t>ENITEL 7 CUASDRAS AL SUR 1/2 AL ESTE</t>
  </si>
  <si>
    <t>famsaenzherrera@gmail.com</t>
  </si>
  <si>
    <t>4892811770002V</t>
  </si>
  <si>
    <t>DEL HOTELITO NO 1,31\2C.SUR ,SECTOR #5,JALAPA .N.S</t>
  </si>
  <si>
    <t>HOTELITO N 1  3 CUADRAS AL SUR.</t>
  </si>
  <si>
    <t>4012511770003K</t>
  </si>
  <si>
    <t>ITZVAN</t>
  </si>
  <si>
    <t>FABRICIO</t>
  </si>
  <si>
    <t>SIETE ESQUINAS 120VRS. AL NORTE, MASAYA</t>
  </si>
  <si>
    <t>DE LAS 7 ESQUINAS, 120 VRS AL NORTE.</t>
  </si>
  <si>
    <t>itzvanfabri@yahoo.com</t>
  </si>
  <si>
    <t>2812111770018F</t>
  </si>
  <si>
    <t>RESD. RUBENIA, COLEGIO 2C. E. CA. NO. H-32</t>
  </si>
  <si>
    <t>COLEGIO 2C.ESTE CASA H-32 RESIDENCIAL RUBENIA</t>
  </si>
  <si>
    <t>22897466 83395551</t>
  </si>
  <si>
    <t>e.sarria32@gmail.com</t>
  </si>
  <si>
    <t>2842111770000N</t>
  </si>
  <si>
    <t>GASOLINERA LA MERCED 3 CUADRAS AL OESTE</t>
  </si>
  <si>
    <t>23142329 84209352</t>
  </si>
  <si>
    <t>2901911770000N</t>
  </si>
  <si>
    <t>ISOLDA</t>
  </si>
  <si>
    <t>BO.14 DE ABRIL, PORTON PRINCIPAL ESCUELA EL ROSARIO 30VRS.S.</t>
  </si>
  <si>
    <t>ESCUELA EL ROSARIO 30 VARAS AL SUR</t>
  </si>
  <si>
    <t>27138221 89176459</t>
  </si>
  <si>
    <t>isotraa77@yahoo.com</t>
  </si>
  <si>
    <t>0011511770088Y</t>
  </si>
  <si>
    <t>KM 10 CARRETERA VIEJA A LEON MINIMARKER NEJAPA 200 MTS AL SUR</t>
  </si>
  <si>
    <t>DONDE FUE CINE AGUIRRE 1 CUADRA ESTE 1 1/2 CUADRA NORTE.</t>
  </si>
  <si>
    <t>22666950 88612117</t>
  </si>
  <si>
    <t>cr736768@gmail.com</t>
  </si>
  <si>
    <t>0911311770000P</t>
  </si>
  <si>
    <t>Bo. EL CALVARIO, FRENTE COSTADO NORTE PORTON IGLESIA EL CALVARIO</t>
  </si>
  <si>
    <t>COSTADO NORTE DE LA IGLESIA EL CALVARIO</t>
  </si>
  <si>
    <t>23413040 83300680</t>
  </si>
  <si>
    <t>normacasco@hotmail.com</t>
  </si>
  <si>
    <t>4411011770020R</t>
  </si>
  <si>
    <t>RESIDENCIAL MOLINO NORTE CASA NO 219</t>
  </si>
  <si>
    <t>SEMAFOROS DEL FAMILIAR 2 C AL SUR</t>
  </si>
  <si>
    <t>27722343 27724040 86111630</t>
  </si>
  <si>
    <t>1210811770003D</t>
  </si>
  <si>
    <t>JUIGALPA DEL HOSPEDAJE CHELE VARGAS 1/2 CUADRA AL SUR 2 CUADRA AL ESTE</t>
  </si>
  <si>
    <t>DETRAS DE LA CLINICA MATERNO INFANTIL COSTADO SUR.</t>
  </si>
  <si>
    <t>0010511770023G</t>
  </si>
  <si>
    <t>ARICELA</t>
  </si>
  <si>
    <t>DE LA ICLESIA EL CALVARITO  1 CUADRA AL SUR</t>
  </si>
  <si>
    <t>CORTEZ II CALLE.</t>
  </si>
  <si>
    <t>23111156 88434939</t>
  </si>
  <si>
    <t>0810311770012G</t>
  </si>
  <si>
    <t>BOMAR</t>
  </si>
  <si>
    <t>ESCUELA MODESTO ARMIJO 1C. AL SUR 1½C. AL ESTE</t>
  </si>
  <si>
    <t>BANCO DE MATERIALES MUNICIPALES 3 CUADRAS AL ESTE, 1 CUADRA AL SUR, CASA NUMERO 162</t>
  </si>
  <si>
    <t>0810311770001U</t>
  </si>
  <si>
    <t>DE NORORIS 1c AL NORTE 80vrs AL OESTE</t>
  </si>
  <si>
    <t>DONDE FUE  GALLO Y VILLA 2 CUADRA  AL NORTE 20 VARAS AL  ESTE</t>
  </si>
  <si>
    <t>rox_377@yahoo.es</t>
  </si>
  <si>
    <t>4040311770000L</t>
  </si>
  <si>
    <t>BO. CRISTOBAL CARBALLO, IGLESIA CATOLICA 1C.E.</t>
  </si>
  <si>
    <t>BO. CRISTOBAL CARBALLO,  IGLESIA CATOLICA 1C.E.</t>
  </si>
  <si>
    <t>2023110770003F</t>
  </si>
  <si>
    <t>BO. SAN JOSE, DE LA TEXACO 350mts AL SUR</t>
  </si>
  <si>
    <t>DE LA TEXACO 3 1/2 CUADRA SUR</t>
  </si>
  <si>
    <t>86644941 86061541</t>
  </si>
  <si>
    <t>fuertecomoleon@gmail.com</t>
  </si>
  <si>
    <t>2812710770010D</t>
  </si>
  <si>
    <t>LIESCHEN</t>
  </si>
  <si>
    <t>BO. FUNDECI, II ETAPA CASA 182 B-7</t>
  </si>
  <si>
    <t>SEGUNDA ETAPA CASA #182  B-7</t>
  </si>
  <si>
    <t>4012610770002E</t>
  </si>
  <si>
    <t>JULIANA</t>
  </si>
  <si>
    <t>BO. MONIMBO, PLAZA PEDRO JOAQUIN CHAMORRO 20VRS. SUROESTE.</t>
  </si>
  <si>
    <t>BO. MONIMBO, PZA. P.J.CH.20 VRS. AL SUR OESTE</t>
  </si>
  <si>
    <t>25223602 89818178</t>
  </si>
  <si>
    <t>floresalvaradoc@yahoo.com</t>
  </si>
  <si>
    <t>0012110770016C</t>
  </si>
  <si>
    <t>BARRIO CARLOS MARX 7 CUADRAS AL SUR</t>
  </si>
  <si>
    <t>BO. CARLOS MARX, ALCALDIA DISTRITO VI 2 1/2 C. AL S. 1/2 C. ARR.  K-484</t>
  </si>
  <si>
    <t>22521492 86860812</t>
  </si>
  <si>
    <t>0011910770019B</t>
  </si>
  <si>
    <t>TIENDA 3 B 4 C. AL NORTE 1½ AL OESTE</t>
  </si>
  <si>
    <t>RSD.LINDA VISTA NORTE, DE LA ESTACION II DE POLICIA 1C OESTE CASA #84 FRENTE BIBLIOTECA</t>
  </si>
  <si>
    <t>22664310 86791515</t>
  </si>
  <si>
    <t>2811010770002H</t>
  </si>
  <si>
    <t>REPARTO SAN ANTONIO SEMAFAROS DE LA ASAMBLE NACIONAL 4C ABAJO 1/2 C AL LAGO CASA I 89</t>
  </si>
  <si>
    <t>SEMAFOROS DE LA ASAMBLEA NACIONAL 3 CUADRAS AL OESTE, 1/2 CUADRA AL NORTE</t>
  </si>
  <si>
    <t>mbaldizon1@yahoo.es</t>
  </si>
  <si>
    <t>jjortega26.mjbg@gmail.com</t>
  </si>
  <si>
    <t>1650610770001F</t>
  </si>
  <si>
    <t>SAHITH</t>
  </si>
  <si>
    <t>REST FONDA DE LUZ.LA TRINIDAD-ESTELI</t>
  </si>
  <si>
    <t>LOS ARCOS DEL INIFON 2C S, 1C O, 1/2C S. CASA 50</t>
  </si>
  <si>
    <t>2040510770000F</t>
  </si>
  <si>
    <t>ODETTE</t>
  </si>
  <si>
    <t>COL. MIGUEL GUTIERREZ, BODEGAS DE ENABAS 1C.S. 2C.N.</t>
  </si>
  <si>
    <t>COLONIA MIGUEL GUTIERREZ, BOD. ENABAS 1C. AL S,, 2C. AL O-TELEF.2486360</t>
  </si>
  <si>
    <t>22486360 87329827</t>
  </si>
  <si>
    <t>odetteestrada77@hotmail.com</t>
  </si>
  <si>
    <t>0010310770064Q</t>
  </si>
  <si>
    <t>BO.CAMPOS BRUCE DE DONDE FUE EL CINE SALINAS 1C O. 1C AL N.</t>
  </si>
  <si>
    <t>CINE SALINAS 1 CUADRA AL OESTE  1 CUADRA AL NORTE</t>
  </si>
  <si>
    <t>5230110770000U</t>
  </si>
  <si>
    <t>MCREA</t>
  </si>
  <si>
    <t>BO. EL EDEN, PUENTE EL EDEN 3C.N. 1 1/2C.E.</t>
  </si>
  <si>
    <t>B EL EDEN DEL PTE EL EDEN 3C NORTE,  1 1/2C ESTE</t>
  </si>
  <si>
    <t>86073640, 89810903</t>
  </si>
  <si>
    <t>petronafletesm@yahoo.com</t>
  </si>
  <si>
    <t>4022709770001R</t>
  </si>
  <si>
    <t>nindiri 3c.abajo 1\2c.al sur</t>
  </si>
  <si>
    <t>KM 27 CARRETERA MANAGUA-MASAYA 75 VARAS AL SUR M/D, ZONA 6</t>
  </si>
  <si>
    <t>77712622 88891230</t>
  </si>
  <si>
    <t>2812209770008J</t>
  </si>
  <si>
    <t>JYLING</t>
  </si>
  <si>
    <t>RPTO. ENRIQUE LORENTE, COSTADO NORTE DE LA CANCHA CASA N° 51</t>
  </si>
  <si>
    <t>CASA NO.51, CANCHA 10 VARAS AL NORTE CASA ESQUINERA</t>
  </si>
  <si>
    <t>23113400 87871448</t>
  </si>
  <si>
    <t>mercedessomarriba22@gmail.com</t>
  </si>
  <si>
    <t>2910809810001X</t>
  </si>
  <si>
    <t>BO.EL CALVARIO DEL CENTRO DE SALUD  E.SELVA 75V.AL O.</t>
  </si>
  <si>
    <t>27133562 84079978</t>
  </si>
  <si>
    <t>2811709770009Y</t>
  </si>
  <si>
    <t>DE LAS MERCEDES</t>
  </si>
  <si>
    <t>IGLESIA SARAGOZA1C.ABAJO 1\2SUR</t>
  </si>
  <si>
    <t>DE LA IGLESIA ZARAGOZA 1 CUADRA AL OESTE.1/2  CUADRA AL SUR</t>
  </si>
  <si>
    <t>Iniciar busqueda</t>
  </si>
  <si>
    <t>Apellido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</si>
</sst>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Arial"/>
    </font>
    <font>
      <sz val="11"/>
      <color theme="1"/>
      <name val="Calibri"/>
      <family val="2"/>
    </font>
    <font>
      <sz val="11"/>
      <color theme="1"/>
      <name val="Times New Roman"/>
      <family val="1"/>
    </font>
    <font>
      <b/>
      <sz val="11"/>
      <color theme="0"/>
      <name val="Times New Roman"/>
      <family val="1"/>
    </font>
    <font>
      <sz val="12"/>
      <color theme="1"/>
      <name val="Times New Roman"/>
      <family val="1"/>
    </font>
    <font>
      <u/>
      <sz val="12"/>
      <color theme="1"/>
      <name val="Times New Roman"/>
      <family val="1"/>
    </font>
    <font>
      <sz val="14"/>
      <color theme="1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25">
    <xf numFmtId="0" fontId="0" fillId="0" borderId="0" xfId="0" applyFont="1" applyAlignment="1"/>
    <xf numFmtId="0" fontId="1" fillId="0" borderId="0" xfId="0" applyFont="1"/>
    <xf numFmtId="0" fontId="2" fillId="0" borderId="0" xfId="0" applyFont="1"/>
    <xf numFmtId="1" fontId="2" fillId="0" borderId="0" xfId="0" applyNumberFormat="1" applyFont="1"/>
    <xf numFmtId="0" fontId="3" fillId="4" borderId="1" xfId="0" applyFont="1" applyFill="1" applyBorder="1"/>
    <xf numFmtId="0" fontId="2" fillId="5" borderId="0" xfId="0" applyFont="1" applyFill="1" applyAlignment="1">
      <alignment horizontal="center"/>
    </xf>
    <xf numFmtId="0" fontId="2" fillId="0" borderId="0" xfId="0" applyFont="1" applyAlignment="1">
      <alignment horizontal="left"/>
    </xf>
    <xf numFmtId="0" fontId="2" fillId="0" borderId="0" xfId="0" applyNumberFormat="1" applyFont="1"/>
    <xf numFmtId="0" fontId="2" fillId="5" borderId="0" xfId="0" applyNumberFormat="1" applyFont="1" applyFill="1" applyAlignment="1">
      <alignment horizontal="center"/>
    </xf>
    <xf numFmtId="14" fontId="2" fillId="0" borderId="0" xfId="0" applyNumberFormat="1" applyFont="1"/>
    <xf numFmtId="0" fontId="2" fillId="3" borderId="0" xfId="0" applyFont="1" applyFill="1" applyAlignment="1">
      <alignment horizontal="center"/>
    </xf>
    <xf numFmtId="0" fontId="2" fillId="3" borderId="0" xfId="0" applyFont="1" applyFill="1"/>
    <xf numFmtId="0" fontId="2" fillId="0" borderId="0" xfId="0" applyFont="1" applyAlignment="1">
      <alignment horizontal="center"/>
    </xf>
    <xf numFmtId="0" fontId="4" fillId="2" borderId="0" xfId="0" applyFont="1" applyFill="1" applyProtection="1"/>
    <xf numFmtId="0" fontId="4" fillId="0" borderId="0" xfId="0" applyFont="1"/>
    <xf numFmtId="0" fontId="4" fillId="0" borderId="0" xfId="0" applyFont="1" applyAlignment="1"/>
    <xf numFmtId="0" fontId="4" fillId="0" borderId="0" xfId="0" applyFont="1" applyAlignment="1" applyProtection="1">
      <protection locked="0"/>
    </xf>
    <xf numFmtId="0" fontId="4" fillId="0" borderId="0" xfId="0" applyFont="1" applyProtection="1">
      <protection locked="0"/>
    </xf>
    <xf numFmtId="0" fontId="5" fillId="0" borderId="0" xfId="0" applyFont="1"/>
    <xf numFmtId="0" fontId="4" fillId="2" borderId="0" xfId="0" applyFont="1" applyFill="1" applyAlignment="1" applyProtection="1">
      <alignment horizontal="center"/>
    </xf>
    <xf numFmtId="0" fontId="4" fillId="0" borderId="0" xfId="0" applyFont="1" applyAlignment="1" applyProtection="1"/>
    <xf numFmtId="0" fontId="4" fillId="0" borderId="0" xfId="0" applyFont="1" applyProtection="1"/>
    <xf numFmtId="0" fontId="4" fillId="0" borderId="0" xfId="0" applyFont="1" applyAlignment="1" applyProtection="1">
      <alignment horizontal="center"/>
    </xf>
    <xf numFmtId="0" fontId="4" fillId="6" borderId="0" xfId="0" applyFont="1" applyFill="1" applyAlignment="1">
      <alignment horizontal="center"/>
    </xf>
    <xf numFmtId="0" fontId="6" fillId="0" borderId="0" xfId="0" applyFont="1" applyAlignment="1" applyProtection="1">
      <alignment horizontal="center"/>
      <protection locked="0"/>
    </xf>
  </cellXfs>
  <cellStyles count="1">
    <cellStyle name="Normal" xfId="0" builtinId="0"/>
  </cellStyles>
  <dxfs count="72">
    <dxf>
      <font>
        <strike val="0"/>
        <outline val="0"/>
        <shadow val="0"/>
        <vertAlign val="baseline"/>
        <sz val="12"/>
        <color theme="1"/>
        <name val="Times New Roman"/>
        <scheme val="none"/>
      </font>
      <protection locked="1" hidden="0"/>
    </dxf>
    <dxf>
      <font>
        <strike val="0"/>
        <outline val="0"/>
        <shadow val="0"/>
        <vertAlign val="baseline"/>
        <sz val="12"/>
        <color theme="1"/>
        <name val="Times New Roman"/>
        <scheme val="none"/>
      </font>
      <protection locked="1" hidden="0"/>
    </dxf>
    <dxf>
      <font>
        <strike val="0"/>
        <outline val="0"/>
        <shadow val="0"/>
        <vertAlign val="baseline"/>
        <sz val="12"/>
        <color theme="1"/>
        <name val="Times New Roman"/>
        <scheme val="none"/>
      </font>
      <fill>
        <patternFill patternType="solid">
          <fgColor indexed="64"/>
          <bgColor rgb="FF0070C0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general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  <alignment horizontal="center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vertAlign val="baseline"/>
        <sz val="12"/>
        <color theme="1"/>
        <name val="Times New Roman"/>
        <scheme val="none"/>
      </font>
      <protection locked="1" hidden="0"/>
    </dxf>
    <dxf>
      <font>
        <strike val="0"/>
        <outline val="0"/>
        <shadow val="0"/>
        <vertAlign val="baseline"/>
        <sz val="12"/>
        <color theme="1"/>
        <name val="Times New Roman"/>
        <scheme val="none"/>
      </font>
      <numFmt numFmtId="0" formatCode="General"/>
      <alignment horizontal="general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vertAlign val="baseline"/>
        <sz val="12"/>
        <color theme="1"/>
        <name val="Times New Roman"/>
        <scheme val="none"/>
      </font>
      <protection locked="1" hidden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11"/>
        <name val="Times New Roman"/>
        <scheme val="none"/>
      </font>
    </dxf>
    <dxf>
      <font>
        <strike val="0"/>
        <outline val="0"/>
        <shadow val="0"/>
        <u val="none"/>
        <vertAlign val="baseline"/>
        <sz val="11"/>
        <name val="Times New Roman"/>
        <scheme val="none"/>
      </font>
    </dxf>
    <dxf>
      <font>
        <strike val="0"/>
        <outline val="0"/>
        <shadow val="0"/>
        <u val="none"/>
        <vertAlign val="baseline"/>
        <sz val="11"/>
        <name val="Times New Roman"/>
        <scheme val="none"/>
      </font>
    </dxf>
    <dxf>
      <font>
        <strike val="0"/>
        <outline val="0"/>
        <shadow val="0"/>
        <u val="none"/>
        <vertAlign val="baseline"/>
        <sz val="11"/>
        <name val="Times New Roman"/>
        <scheme val="none"/>
      </font>
    </dxf>
    <dxf>
      <font>
        <strike val="0"/>
        <outline val="0"/>
        <shadow val="0"/>
        <u val="none"/>
        <vertAlign val="baseline"/>
        <sz val="11"/>
        <name val="Times New Roman"/>
        <scheme val="none"/>
      </font>
    </dxf>
    <dxf>
      <font>
        <strike val="0"/>
        <outline val="0"/>
        <shadow val="0"/>
        <u val="none"/>
        <vertAlign val="baseline"/>
        <sz val="11"/>
        <name val="Times New Roman"/>
        <scheme val="none"/>
      </font>
    </dxf>
    <dxf>
      <font>
        <strike val="0"/>
        <outline val="0"/>
        <shadow val="0"/>
        <u val="none"/>
        <vertAlign val="baseline"/>
        <sz val="11"/>
        <name val="Times New Roman"/>
        <scheme val="none"/>
      </font>
    </dxf>
    <dxf>
      <font>
        <strike val="0"/>
        <outline val="0"/>
        <shadow val="0"/>
        <u val="none"/>
        <vertAlign val="baseline"/>
        <sz val="11"/>
        <name val="Times New Roman"/>
        <scheme val="none"/>
      </font>
    </dxf>
    <dxf>
      <font>
        <strike val="0"/>
        <outline val="0"/>
        <shadow val="0"/>
        <u val="none"/>
        <vertAlign val="baseline"/>
        <sz val="11"/>
        <name val="Times New Roman"/>
        <scheme val="none"/>
      </font>
    </dxf>
    <dxf>
      <font>
        <strike val="0"/>
        <outline val="0"/>
        <shadow val="0"/>
        <u val="none"/>
        <vertAlign val="baseline"/>
        <sz val="11"/>
        <name val="Times New Roman"/>
        <scheme val="none"/>
      </font>
    </dxf>
    <dxf>
      <font>
        <strike val="0"/>
        <outline val="0"/>
        <shadow val="0"/>
        <u val="none"/>
        <vertAlign val="baseline"/>
        <sz val="11"/>
        <name val="Times New Roman"/>
        <scheme val="none"/>
      </font>
    </dxf>
    <dxf>
      <font>
        <strike val="0"/>
        <outline val="0"/>
        <shadow val="0"/>
        <u val="none"/>
        <vertAlign val="baseline"/>
        <sz val="11"/>
        <name val="Times New Roman"/>
        <scheme val="none"/>
      </font>
    </dxf>
    <dxf>
      <font>
        <strike val="0"/>
        <outline val="0"/>
        <shadow val="0"/>
        <u val="none"/>
        <vertAlign val="baseline"/>
        <sz val="11"/>
        <name val="Times New Roman"/>
        <scheme val="none"/>
      </font>
    </dxf>
    <dxf>
      <font>
        <strike val="0"/>
        <outline val="0"/>
        <shadow val="0"/>
        <u val="none"/>
        <vertAlign val="baseline"/>
        <sz val="11"/>
        <name val="Times New Roman"/>
        <scheme val="none"/>
      </font>
    </dxf>
    <dxf>
      <font>
        <strike val="0"/>
        <outline val="0"/>
        <shadow val="0"/>
        <u val="none"/>
        <vertAlign val="baseline"/>
        <sz val="11"/>
        <name val="Times New Roman"/>
        <scheme val="none"/>
      </font>
    </dxf>
    <dxf>
      <font>
        <strike val="0"/>
        <outline val="0"/>
        <shadow val="0"/>
        <u val="none"/>
        <vertAlign val="baseline"/>
        <sz val="11"/>
        <name val="Times New Roman"/>
        <scheme val="none"/>
      </font>
    </dxf>
    <dxf>
      <font>
        <strike val="0"/>
        <outline val="0"/>
        <shadow val="0"/>
        <u val="none"/>
        <vertAlign val="baseline"/>
        <sz val="11"/>
        <name val="Times New Roman"/>
        <scheme val="none"/>
      </font>
    </dxf>
    <dxf>
      <font>
        <strike val="0"/>
        <outline val="0"/>
        <shadow val="0"/>
        <u val="none"/>
        <vertAlign val="baseline"/>
        <sz val="11"/>
        <name val="Times New Roman"/>
        <scheme val="none"/>
      </font>
    </dxf>
    <dxf>
      <font>
        <strike val="0"/>
        <outline val="0"/>
        <shadow val="0"/>
        <u val="none"/>
        <vertAlign val="baseline"/>
        <sz val="11"/>
        <name val="Times New Roman"/>
        <scheme val="none"/>
      </font>
    </dxf>
    <dxf>
      <font>
        <strike val="0"/>
        <outline val="0"/>
        <shadow val="0"/>
        <u val="none"/>
        <vertAlign val="baseline"/>
        <sz val="11"/>
        <name val="Times New Roman"/>
        <scheme val="none"/>
      </font>
    </dxf>
    <dxf>
      <font>
        <strike val="0"/>
        <outline val="0"/>
        <shadow val="0"/>
        <u val="none"/>
        <vertAlign val="baseline"/>
        <sz val="11"/>
        <name val="Times New Roman"/>
        <scheme val="none"/>
      </font>
      <numFmt numFmtId="0" formatCode="General"/>
      <fill>
        <patternFill patternType="solid">
          <fgColor indexed="64"/>
          <bgColor theme="0" tint="-4.9989318521683403E-2"/>
        </patternFill>
      </fill>
    </dxf>
    <dxf>
      <font>
        <strike val="0"/>
        <outline val="0"/>
        <shadow val="0"/>
        <u val="none"/>
        <vertAlign val="baseline"/>
        <sz val="11"/>
        <name val="Times New Roman"/>
        <scheme val="none"/>
      </font>
    </dxf>
    <dxf>
      <font>
        <strike val="0"/>
        <outline val="0"/>
        <shadow val="0"/>
        <u val="none"/>
        <vertAlign val="baseline"/>
        <sz val="11"/>
        <name val="Times New Roman"/>
        <scheme val="none"/>
      </font>
    </dxf>
    <dxf>
      <font>
        <strike val="0"/>
        <outline val="0"/>
        <shadow val="0"/>
        <u val="none"/>
        <vertAlign val="baseline"/>
        <sz val="11"/>
        <name val="Times New Roman"/>
        <scheme val="none"/>
      </font>
    </dxf>
    <dxf>
      <font>
        <strike val="0"/>
        <outline val="0"/>
        <shadow val="0"/>
        <u val="none"/>
        <vertAlign val="baseline"/>
        <sz val="11"/>
        <name val="Times New Roman"/>
        <scheme val="none"/>
      </font>
    </dxf>
    <dxf>
      <font>
        <strike val="0"/>
        <outline val="0"/>
        <shadow val="0"/>
        <u val="none"/>
        <vertAlign val="baseline"/>
        <sz val="11"/>
        <name val="Times New Roman"/>
        <scheme val="none"/>
      </font>
    </dxf>
    <dxf>
      <font>
        <strike val="0"/>
        <outline val="0"/>
        <shadow val="0"/>
        <u val="none"/>
        <vertAlign val="baseline"/>
        <sz val="11"/>
        <name val="Times New Roman"/>
        <scheme val="none"/>
      </font>
    </dxf>
    <dxf>
      <font>
        <strike val="0"/>
        <outline val="0"/>
        <shadow val="0"/>
        <u val="none"/>
        <vertAlign val="baseline"/>
        <sz val="11"/>
        <name val="Times New Roman"/>
        <scheme val="none"/>
      </font>
    </dxf>
    <dxf>
      <font>
        <strike val="0"/>
        <outline val="0"/>
        <shadow val="0"/>
        <u val="none"/>
        <vertAlign val="baseline"/>
        <sz val="11"/>
        <name val="Times New Roman"/>
        <scheme val="none"/>
      </font>
    </dxf>
    <dxf>
      <font>
        <strike val="0"/>
        <outline val="0"/>
        <shadow val="0"/>
        <u val="none"/>
        <vertAlign val="baseline"/>
        <sz val="11"/>
        <name val="Times New Roman"/>
        <scheme val="none"/>
      </font>
    </dxf>
    <dxf>
      <font>
        <strike val="0"/>
        <outline val="0"/>
        <shadow val="0"/>
        <u val="none"/>
        <vertAlign val="baseline"/>
        <sz val="11"/>
        <name val="Times New Roman"/>
        <scheme val="none"/>
      </font>
    </dxf>
    <dxf>
      <font>
        <strike val="0"/>
        <outline val="0"/>
        <shadow val="0"/>
        <u val="none"/>
        <vertAlign val="baseline"/>
        <sz val="11"/>
        <name val="Times New Roman"/>
        <scheme val="none"/>
      </font>
    </dxf>
    <dxf>
      <font>
        <strike val="0"/>
        <outline val="0"/>
        <shadow val="0"/>
        <u val="none"/>
        <vertAlign val="baseline"/>
        <sz val="11"/>
        <name val="Times New Roman"/>
        <scheme val="none"/>
      </font>
    </dxf>
    <dxf>
      <font>
        <strike val="0"/>
        <outline val="0"/>
        <shadow val="0"/>
        <u val="none"/>
        <vertAlign val="baseline"/>
        <sz val="11"/>
        <name val="Times New Roman"/>
        <scheme val="none"/>
      </font>
    </dxf>
    <dxf>
      <font>
        <strike val="0"/>
        <outline val="0"/>
        <shadow val="0"/>
        <u val="none"/>
        <vertAlign val="baseline"/>
        <sz val="11"/>
        <name val="Times New Roman"/>
        <scheme val="none"/>
      </font>
    </dxf>
    <dxf>
      <font>
        <strike val="0"/>
        <outline val="0"/>
        <shadow val="0"/>
        <u val="none"/>
        <vertAlign val="baseline"/>
        <sz val="11"/>
        <name val="Times New Roman"/>
        <scheme val="none"/>
      </font>
    </dxf>
    <dxf>
      <font>
        <strike val="0"/>
        <outline val="0"/>
        <shadow val="0"/>
        <u val="none"/>
        <vertAlign val="baseline"/>
        <sz val="11"/>
        <name val="Times New Roman"/>
        <scheme val="none"/>
      </font>
    </dxf>
    <dxf>
      <font>
        <strike val="0"/>
        <outline val="0"/>
        <shadow val="0"/>
        <u val="none"/>
        <vertAlign val="baseline"/>
        <sz val="11"/>
        <name val="Times New Roman"/>
        <scheme val="none"/>
      </font>
    </dxf>
    <dxf>
      <font>
        <strike val="0"/>
        <outline val="0"/>
        <shadow val="0"/>
        <u val="none"/>
        <vertAlign val="baseline"/>
        <sz val="11"/>
        <name val="Times New Roman"/>
        <scheme val="none"/>
      </font>
    </dxf>
    <dxf>
      <font>
        <strike val="0"/>
        <outline val="0"/>
        <shadow val="0"/>
        <u val="none"/>
        <vertAlign val="baseline"/>
        <sz val="11"/>
        <name val="Times New Roman"/>
        <scheme val="none"/>
      </font>
    </dxf>
    <dxf>
      <font>
        <strike val="0"/>
        <outline val="0"/>
        <shadow val="0"/>
        <u val="none"/>
        <vertAlign val="baseline"/>
        <sz val="11"/>
        <name val="Times New Roman"/>
        <scheme val="none"/>
      </font>
    </dxf>
    <dxf>
      <font>
        <strike val="0"/>
        <outline val="0"/>
        <shadow val="0"/>
        <u val="none"/>
        <vertAlign val="baseline"/>
        <sz val="11"/>
        <name val="Times New Roman"/>
        <scheme val="none"/>
      </font>
    </dxf>
    <dxf>
      <font>
        <strike val="0"/>
        <outline val="0"/>
        <shadow val="0"/>
        <u val="none"/>
        <vertAlign val="baseline"/>
        <sz val="11"/>
        <name val="Times New Roman"/>
        <scheme val="none"/>
      </font>
    </dxf>
    <dxf>
      <font>
        <strike val="0"/>
        <outline val="0"/>
        <shadow val="0"/>
        <u val="none"/>
        <vertAlign val="baseline"/>
        <sz val="11"/>
        <name val="Times New Roman"/>
        <scheme val="none"/>
      </font>
    </dxf>
    <dxf>
      <font>
        <strike val="0"/>
        <outline val="0"/>
        <shadow val="0"/>
        <u val="none"/>
        <vertAlign val="baseline"/>
        <sz val="11"/>
        <name val="Times New Roman"/>
        <scheme val="none"/>
      </font>
    </dxf>
    <dxf>
      <font>
        <strike val="0"/>
        <outline val="0"/>
        <shadow val="0"/>
        <u val="none"/>
        <vertAlign val="baseline"/>
        <sz val="11"/>
        <name val="Times New Roman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name val="Times New Roman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name val="Times New Roman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name val="Times New Roman"/>
        <scheme val="none"/>
      </font>
    </dxf>
    <dxf>
      <font>
        <strike val="0"/>
        <outline val="0"/>
        <shadow val="0"/>
        <u val="none"/>
        <vertAlign val="baseline"/>
        <sz val="11"/>
        <name val="Times New Roman"/>
        <scheme val="none"/>
      </font>
      <numFmt numFmtId="1" formatCode="0"/>
    </dxf>
    <dxf>
      <font>
        <strike val="0"/>
        <outline val="0"/>
        <shadow val="0"/>
        <u val="none"/>
        <vertAlign val="baseline"/>
        <sz val="11"/>
        <name val="Times New Roman"/>
        <scheme val="none"/>
      </font>
    </dxf>
    <dxf>
      <font>
        <strike val="0"/>
        <outline val="0"/>
        <shadow val="0"/>
        <u val="none"/>
        <vertAlign val="baseline"/>
        <sz val="11"/>
        <name val="Times New Roman"/>
        <scheme val="none"/>
      </font>
    </dxf>
    <dxf>
      <font>
        <strike val="0"/>
        <outline val="0"/>
        <shadow val="0"/>
        <u val="none"/>
        <vertAlign val="baseline"/>
        <sz val="11"/>
        <name val="Times New Roman"/>
        <scheme val="none"/>
      </font>
    </dxf>
    <dxf>
      <font>
        <strike val="0"/>
        <outline val="0"/>
        <shadow val="0"/>
        <u val="none"/>
        <vertAlign val="baseline"/>
        <sz val="11"/>
        <name val="Times New Roman"/>
        <scheme val="none"/>
      </font>
    </dxf>
    <dxf>
      <font>
        <strike val="0"/>
        <outline val="0"/>
        <shadow val="0"/>
        <u val="none"/>
        <vertAlign val="baseline"/>
        <sz val="11"/>
        <name val="Times New Roman"/>
        <scheme val="none"/>
      </font>
    </dxf>
    <dxf>
      <font>
        <strike val="0"/>
        <outline val="0"/>
        <shadow val="0"/>
        <u val="none"/>
        <vertAlign val="baseline"/>
        <sz val="11"/>
        <name val="Times New Roman"/>
        <scheme val="none"/>
      </font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8D8D8"/>
          <bgColor rgb="FFD8D8D8"/>
        </patternFill>
      </fill>
    </dxf>
    <dxf>
      <fill>
        <patternFill patternType="solid">
          <fgColor theme="0"/>
          <bgColor theme="0"/>
        </patternFill>
      </fill>
    </dxf>
    <dxf>
      <fill>
        <patternFill patternType="solid">
          <fgColor theme="0"/>
          <bgColor theme="0"/>
        </patternFill>
      </fill>
    </dxf>
  </dxfs>
  <tableStyles count="1">
    <tableStyle name="DATOS-style" pivot="0" count="4">
      <tableStyleElement type="headerRow" dxfId="71"/>
      <tableStyleElement type="totalRow" dxfId="70"/>
      <tableStyleElement type="firstRowStripe" dxfId="69"/>
      <tableStyleElement type="secondRowStripe" dxfId="6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customschemas.google.com/relationships/workbookmetadata" Target="metadata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9" Type="http://schemas.openxmlformats.org/officeDocument/2006/relationships/theme" Target="theme/theme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561975</xdr:colOff>
      <xdr:row>0</xdr:row>
      <xdr:rowOff>142875</xdr:rowOff>
    </xdr:from>
    <xdr:ext cx="2009775" cy="666750"/>
    <xdr:sp macro="[0]!RealizarEnvioMasivo" textlink="">
      <xdr:nvSpPr>
        <xdr:cNvPr id="3" name="Shape 3"/>
        <xdr:cNvSpPr/>
      </xdr:nvSpPr>
      <xdr:spPr>
        <a:xfrm>
          <a:off x="6286500" y="142875"/>
          <a:ext cx="2009775" cy="666750"/>
        </a:xfrm>
        <a:prstGeom prst="roundRect">
          <a:avLst>
            <a:gd name="adj" fmla="val 16667"/>
          </a:avLst>
        </a:prstGeom>
        <a:solidFill>
          <a:srgbClr val="2F5496"/>
        </a:solidFill>
        <a:ln w="19050" cap="flat" cmpd="sng">
          <a:solidFill>
            <a:schemeClr val="lt1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Clr>
              <a:schemeClr val="lt2"/>
            </a:buClr>
            <a:buSzPts val="1600"/>
            <a:buFont typeface="Calibri"/>
            <a:buNone/>
          </a:pPr>
          <a:r>
            <a:rPr lang="en-US" sz="1600" b="1" cap="none">
              <a:solidFill>
                <a:schemeClr val="lt2"/>
              </a:solidFill>
              <a:latin typeface="Calibri"/>
              <a:ea typeface="Calibri"/>
              <a:cs typeface="Calibri"/>
              <a:sym typeface="Calibri"/>
            </a:rPr>
            <a:t>ENVIAR</a:t>
          </a:r>
          <a:endParaRPr sz="1400"/>
        </a:p>
      </xdr:txBody>
    </xdr:sp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6</xdr:col>
      <xdr:colOff>194163</xdr:colOff>
      <xdr:row>31</xdr:row>
      <xdr:rowOff>38100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953125" cy="59436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Table_1" displayName="Table_1" ref="A1:F201" headerRowDxfId="2" dataDxfId="0" totalsRowDxfId="1">
  <tableColumns count="6">
    <tableColumn id="1" name="IdCliente" dataDxfId="8"/>
    <tableColumn id="2" name="Nombre" dataDxfId="7">
      <calculatedColumnFormula>+VLOOKUP(Table_1[[#This Row],[IdCliente]],BD!$A$2:$BB$1759,54)</calculatedColumnFormula>
    </tableColumn>
    <tableColumn id="3" name="celda regla " dataDxfId="6"/>
    <tableColumn id="4" name="Celular" dataDxfId="5">
      <calculatedColumnFormula>+VLOOKUP(Table_1[[#This Row],[IdCliente]],BD!$A$2:$BA$1759,36)</calculatedColumnFormula>
    </tableColumn>
    <tableColumn id="5" name="saludo y nombre" dataDxfId="4"/>
    <tableColumn id="6" name="Mensaje" dataDxfId="3"/>
  </tableColumns>
  <tableStyleInfo name="DATOS-style" showFirstColumn="1" showLastColumn="1" showRowStripes="1" showColumnStripes="0"/>
</table>
</file>

<file path=xl/tables/table2.xml><?xml version="1.0" encoding="utf-8"?>
<table xmlns="http://schemas.openxmlformats.org/spreadsheetml/2006/main" id="2" name="BD" displayName="BD" ref="A1:BB1759" totalsRowShown="0" headerRowDxfId="16" dataDxfId="15">
  <autoFilter ref="A1:BB1759"/>
  <sortState ref="A2:BB1759">
    <sortCondition ref="A1:A1759"/>
  </sortState>
  <tableColumns count="54">
    <tableColumn id="1" name="Columna1" dataDxfId="67"/>
    <tableColumn id="2" name="CODIGO_SANITARIO" dataDxfId="66"/>
    <tableColumn id="3" name="GRADO_ACADEMICO" dataDxfId="65"/>
    <tableColumn id="4" name="TIPO_IDENTIFICACION" dataDxfId="64"/>
    <tableColumn id="5" name="NUMERO_IDENTIFICACION" dataDxfId="63"/>
    <tableColumn id="6" name="NSS" dataDxfId="62"/>
    <tableColumn id="7" name="EDAD" dataDxfId="61"/>
    <tableColumn id="48" name="Columna3" dataDxfId="60"/>
    <tableColumn id="47" name="NOMBRE COMPLETO" dataDxfId="59"/>
    <tableColumn id="49" name="Columna4" dataDxfId="58">
      <calculatedColumnFormula>+IF(BD[[#This Row],[DEPARTAMENTO_INSS]]="MANAGUA","_01_","_02_")</calculatedColumnFormula>
    </tableColumn>
    <tableColumn id="50" name="Columna5" dataDxfId="57">
      <calculatedColumnFormula>+CONCATENATE(BD[[#This Row],[Columna3]],BD[[#This Row],[Columna4]],BD[[#This Row],[NOMBRE COMPLETO]])</calculatedColumnFormula>
    </tableColumn>
    <tableColumn id="8" name="PRIMER_NOMBRE" dataDxfId="56"/>
    <tableColumn id="9" name="SEGUNDO_NOMBRE" dataDxfId="55"/>
    <tableColumn id="10" name="PRIMER_APELLIDO" dataDxfId="54"/>
    <tableColumn id="11" name="SEGUNDO_APELLIDO" dataDxfId="53"/>
    <tableColumn id="12" name="SEXO" dataDxfId="52"/>
    <tableColumn id="13" name="PAIS_NACIMIENTO" dataDxfId="51"/>
    <tableColumn id="14" name="FECHA_NACIMIENTO_MINSA" dataDxfId="50"/>
    <tableColumn id="15" name="FECHA_NACIMIENTO_INSS" dataDxfId="49"/>
    <tableColumn id="16" name="DEPARTAMENTO_MINSA" dataDxfId="48"/>
    <tableColumn id="17" name="DEPARTAMENTO_INSS" dataDxfId="47"/>
    <tableColumn id="18" name="MUNICIPIO_MINSA" dataDxfId="46"/>
    <tableColumn id="19" name="MUNICIPIO_INSS" dataDxfId="45"/>
    <tableColumn id="20" name="DIRECCION_MINSA" dataDxfId="44"/>
    <tableColumn id="21" name="DIRECCION_INSS" dataDxfId="43"/>
    <tableColumn id="22" name="tel minsa" dataDxfId="42"/>
    <tableColumn id="23" name="tel inss" dataDxfId="41"/>
    <tableColumn id="26" name="TITULOS_INSCRITOS" dataDxfId="40"/>
    <tableColumn id="27" name="GRADO ACADEMICO" dataDxfId="39"/>
    <tableColumn id="28" name="tel 1" dataDxfId="38"/>
    <tableColumn id="29" name="tel 2" dataDxfId="37"/>
    <tableColumn id="30" name="tel 3" dataDxfId="36"/>
    <tableColumn id="31" name="tel 4" dataDxfId="35"/>
    <tableColumn id="32" name="tel 5" dataDxfId="34"/>
    <tableColumn id="33" name="tel 6" dataDxfId="33"/>
    <tableColumn id="57" name="tel whatapps" dataDxfId="32"/>
    <tableColumn id="35" name="contar" dataDxfId="31"/>
    <tableColumn id="36" name="GRUPO EDAD" dataDxfId="30"/>
    <tableColumn id="37" name="GRUPO 1" dataDxfId="29"/>
    <tableColumn id="38" name="GRUPO 2" dataDxfId="28"/>
    <tableColumn id="39" name="GRUPO 3" dataDxfId="27"/>
    <tableColumn id="40" name="GRUPO 4" dataDxfId="26"/>
    <tableColumn id="41" name="GRUPO 5" dataDxfId="25"/>
    <tableColumn id="42" name="GRUPO 6" dataDxfId="24"/>
    <tableColumn id="43" name="GRUPO 7" dataDxfId="23"/>
    <tableColumn id="44" name="GRUPO 8" dataDxfId="22"/>
    <tableColumn id="45" name="Columna2" dataDxfId="21"/>
    <tableColumn id="46" name="Columna22" dataDxfId="20"/>
    <tableColumn id="51" name="Columna23" dataDxfId="19"/>
    <tableColumn id="52" name="Columna24" dataDxfId="18"/>
    <tableColumn id="53" name="Columna25" dataDxfId="17"/>
    <tableColumn id="58" name="CORREOS_MINSA" dataDxfId="14"/>
    <tableColumn id="59" name="CORREOS_INSS" dataDxfId="13"/>
    <tableColumn id="60" name="Apellido" dataDxfId="12">
      <calculatedColumnFormula>+PROPER(BD[[#This Row],[PRIMER_APELLIDO]])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outlinePr summaryBelow="0" summaryRight="0"/>
  </sheetPr>
  <dimension ref="A1:Y2993"/>
  <sheetViews>
    <sheetView tabSelected="1" zoomScale="80" zoomScaleNormal="80" workbookViewId="0">
      <selection activeCell="E17" sqref="E17"/>
    </sheetView>
  </sheetViews>
  <sheetFormatPr baseColWidth="10" defaultColWidth="12.625" defaultRowHeight="15" customHeight="1" x14ac:dyDescent="0.25"/>
  <cols>
    <col min="1" max="1" width="10.875" style="20" customWidth="1"/>
    <col min="2" max="2" width="15.75" style="20" customWidth="1"/>
    <col min="3" max="3" width="58.25" style="20" hidden="1" customWidth="1"/>
    <col min="4" max="4" width="15.875" style="22" customWidth="1"/>
    <col min="5" max="5" width="100.875" style="20" bestFit="1" customWidth="1"/>
    <col min="6" max="6" width="45.875" style="20" bestFit="1" customWidth="1"/>
    <col min="7" max="7" width="3.75" style="15" customWidth="1"/>
    <col min="8" max="8" width="16.25" style="15" customWidth="1"/>
    <col min="9" max="16384" width="12.625" style="15"/>
  </cols>
  <sheetData>
    <row r="1" spans="1:25" ht="15.75" x14ac:dyDescent="0.25">
      <c r="A1" s="13" t="s">
        <v>0</v>
      </c>
      <c r="B1" s="13" t="s">
        <v>1</v>
      </c>
      <c r="C1" s="13" t="s">
        <v>5</v>
      </c>
      <c r="D1" s="19" t="s">
        <v>3</v>
      </c>
      <c r="E1" s="13" t="s">
        <v>6</v>
      </c>
      <c r="F1" s="13" t="s">
        <v>2</v>
      </c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</row>
    <row r="2" spans="1:25" ht="16.5" customHeight="1" x14ac:dyDescent="0.25">
      <c r="A2" s="20">
        <f>+H9</f>
        <v>401</v>
      </c>
      <c r="B2" s="20" t="str">
        <f>+VLOOKUP(Table_1[[#This Row],[IdCliente]],BD!$A$2:$BB$1759,54)</f>
        <v>Aguilar</v>
      </c>
      <c r="C2" s="20" t="e">
        <f>+VLOOKUP(Table_1[[#This Row],[Nombre]],BD!B2:BB1759,14)</f>
        <v>#N/A</v>
      </c>
      <c r="D2" s="20">
        <f>+VLOOKUP(Table_1[[#This Row],[IdCliente]],BD!$A$2:$BA$1759,36)</f>
        <v>86578798</v>
      </c>
      <c r="E2" s="16" t="s">
        <v>7</v>
      </c>
      <c r="F2" s="17" t="s">
        <v>8</v>
      </c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</row>
    <row r="3" spans="1:25" ht="15.75" customHeight="1" x14ac:dyDescent="0.25">
      <c r="A3" s="20">
        <f>+A2+1</f>
        <v>402</v>
      </c>
      <c r="B3" s="20" t="str">
        <f>+VLOOKUP(Table_1[[#This Row],[IdCliente]],BD!$A$2:$BB$1759,54)</f>
        <v>Ordoñez</v>
      </c>
      <c r="D3" s="20">
        <f>+VLOOKUP(Table_1[[#This Row],[IdCliente]],BD!$A$2:$BA$1759,36)</f>
        <v>85724037</v>
      </c>
      <c r="E3" s="20" t="str">
        <f>+E2</f>
        <v>Te esperamos en nuestro WEBINAR y actualiza tus conocimientos para el abordaje clínico de tus pacientes con acné ✨</v>
      </c>
      <c r="F3" s="21" t="str">
        <f>+F2</f>
        <v>¡Registrate y logralo ahora! 📲 http://bit.ly/3EHYv4j</v>
      </c>
      <c r="G3" s="18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</row>
    <row r="4" spans="1:25" ht="15.75" x14ac:dyDescent="0.25">
      <c r="A4" s="20">
        <f t="shared" ref="A4:A67" si="0">+A3+1</f>
        <v>403</v>
      </c>
      <c r="B4" s="20" t="str">
        <f>+VLOOKUP(Table_1[[#This Row],[IdCliente]],BD!$A$2:$BB$1759,54)</f>
        <v>Sanchez</v>
      </c>
      <c r="D4" s="20">
        <f>+VLOOKUP(Table_1[[#This Row],[IdCliente]],BD!$A$2:$BA$1759,36)</f>
        <v>86999165</v>
      </c>
      <c r="E4" s="20" t="str">
        <f t="shared" ref="E4:E67" si="1">+E3</f>
        <v>Te esperamos en nuestro WEBINAR y actualiza tus conocimientos para el abordaje clínico de tus pacientes con acné ✨</v>
      </c>
      <c r="F4" s="21" t="str">
        <f t="shared" ref="F4:F67" si="2">+F3</f>
        <v>¡Registrate y logralo ahora! 📲 http://bit.ly/3EHYv4j</v>
      </c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4"/>
      <c r="Y4" s="14"/>
    </row>
    <row r="5" spans="1:25" ht="15.75" x14ac:dyDescent="0.25">
      <c r="A5" s="20">
        <f t="shared" si="0"/>
        <v>404</v>
      </c>
      <c r="B5" s="20" t="str">
        <f>+VLOOKUP(Table_1[[#This Row],[IdCliente]],BD!$A$2:$BB$1759,54)</f>
        <v>Jose</v>
      </c>
      <c r="C5" s="21"/>
      <c r="D5" s="20">
        <f>+VLOOKUP(Table_1[[#This Row],[IdCliente]],BD!$A$2:$BA$1759,36)</f>
        <v>81921757</v>
      </c>
      <c r="E5" s="20" t="str">
        <f t="shared" si="1"/>
        <v>Te esperamos en nuestro WEBINAR y actualiza tus conocimientos para el abordaje clínico de tus pacientes con acné ✨</v>
      </c>
      <c r="F5" s="21" t="str">
        <f t="shared" si="2"/>
        <v>¡Registrate y logralo ahora! 📲 http://bit.ly/3EHYv4j</v>
      </c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</row>
    <row r="6" spans="1:25" ht="15.75" x14ac:dyDescent="0.25">
      <c r="A6" s="20">
        <f t="shared" si="0"/>
        <v>405</v>
      </c>
      <c r="B6" s="20" t="str">
        <f>+VLOOKUP(Table_1[[#This Row],[IdCliente]],BD!$A$2:$BB$1759,54)</f>
        <v>Baldelomar</v>
      </c>
      <c r="C6" s="21"/>
      <c r="D6" s="20">
        <f>+VLOOKUP(Table_1[[#This Row],[IdCliente]],BD!$A$2:$BA$1759,36)</f>
        <v>82023716</v>
      </c>
      <c r="E6" s="20" t="str">
        <f t="shared" si="1"/>
        <v>Te esperamos en nuestro WEBINAR y actualiza tus conocimientos para el abordaje clínico de tus pacientes con acné ✨</v>
      </c>
      <c r="F6" s="21" t="str">
        <f t="shared" si="2"/>
        <v>¡Registrate y logralo ahora! 📲 http://bit.ly/3EHYv4j</v>
      </c>
      <c r="G6" s="14"/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  <c r="Y6" s="14"/>
    </row>
    <row r="7" spans="1:25" ht="15.75" x14ac:dyDescent="0.25">
      <c r="A7" s="20">
        <f t="shared" si="0"/>
        <v>406</v>
      </c>
      <c r="B7" s="20" t="str">
        <f>+VLOOKUP(Table_1[[#This Row],[IdCliente]],BD!$A$2:$BB$1759,54)</f>
        <v>Rivas</v>
      </c>
      <c r="C7" s="21"/>
      <c r="D7" s="20">
        <f>+VLOOKUP(Table_1[[#This Row],[IdCliente]],BD!$A$2:$BA$1759,36)</f>
        <v>82025508</v>
      </c>
      <c r="E7" s="20" t="str">
        <f t="shared" si="1"/>
        <v>Te esperamos en nuestro WEBINAR y actualiza tus conocimientos para el abordaje clínico de tus pacientes con acné ✨</v>
      </c>
      <c r="F7" s="21" t="str">
        <f t="shared" si="2"/>
        <v>¡Registrate y logralo ahora! 📲 http://bit.ly/3EHYv4j</v>
      </c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  <c r="Y7" s="14"/>
    </row>
    <row r="8" spans="1:25" ht="15.75" x14ac:dyDescent="0.25">
      <c r="A8" s="20">
        <f t="shared" si="0"/>
        <v>407</v>
      </c>
      <c r="B8" s="20" t="str">
        <f>+VLOOKUP(Table_1[[#This Row],[IdCliente]],BD!$A$2:$BB$1759,54)</f>
        <v>Conrado</v>
      </c>
      <c r="C8" s="21"/>
      <c r="D8" s="20">
        <f>+VLOOKUP(Table_1[[#This Row],[IdCliente]],BD!$A$2:$BA$1759,36)</f>
        <v>83320367</v>
      </c>
      <c r="E8" s="20" t="str">
        <f t="shared" si="1"/>
        <v>Te esperamos en nuestro WEBINAR y actualiza tus conocimientos para el abordaje clínico de tus pacientes con acné ✨</v>
      </c>
      <c r="F8" s="21" t="str">
        <f t="shared" si="2"/>
        <v>¡Registrate y logralo ahora! 📲 http://bit.ly/3EHYv4j</v>
      </c>
      <c r="G8" s="14"/>
      <c r="H8" s="23" t="s">
        <v>10279</v>
      </c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</row>
    <row r="9" spans="1:25" ht="18.75" x14ac:dyDescent="0.3">
      <c r="A9" s="20">
        <f t="shared" si="0"/>
        <v>408</v>
      </c>
      <c r="B9" s="20" t="str">
        <f>+VLOOKUP(Table_1[[#This Row],[IdCliente]],BD!$A$2:$BB$1759,54)</f>
        <v>Siles</v>
      </c>
      <c r="C9" s="21"/>
      <c r="D9" s="20">
        <f>+VLOOKUP(Table_1[[#This Row],[IdCliente]],BD!$A$2:$BA$1759,36)</f>
        <v>58349500</v>
      </c>
      <c r="E9" s="20" t="str">
        <f t="shared" si="1"/>
        <v>Te esperamos en nuestro WEBINAR y actualiza tus conocimientos para el abordaje clínico de tus pacientes con acné ✨</v>
      </c>
      <c r="F9" s="21" t="str">
        <f t="shared" si="2"/>
        <v>¡Registrate y logralo ahora! 📲 http://bit.ly/3EHYv4j</v>
      </c>
      <c r="G9" s="14"/>
      <c r="H9" s="24">
        <v>401</v>
      </c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</row>
    <row r="10" spans="1:25" ht="15.75" x14ac:dyDescent="0.25">
      <c r="A10" s="20">
        <f t="shared" si="0"/>
        <v>409</v>
      </c>
      <c r="B10" s="20" t="str">
        <f>+VLOOKUP(Table_1[[#This Row],[IdCliente]],BD!$A$2:$BB$1759,54)</f>
        <v>Martinez</v>
      </c>
      <c r="C10" s="21"/>
      <c r="D10" s="20">
        <f>+VLOOKUP(Table_1[[#This Row],[IdCliente]],BD!$A$2:$BA$1759,36)</f>
        <v>84760568</v>
      </c>
      <c r="E10" s="20" t="str">
        <f t="shared" si="1"/>
        <v>Te esperamos en nuestro WEBINAR y actualiza tus conocimientos para el abordaje clínico de tus pacientes con acné ✨</v>
      </c>
      <c r="F10" s="21" t="str">
        <f t="shared" si="2"/>
        <v>¡Registrate y logralo ahora! 📲 http://bit.ly/3EHYv4j</v>
      </c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</row>
    <row r="11" spans="1:25" ht="15.75" x14ac:dyDescent="0.25">
      <c r="A11" s="20">
        <f t="shared" si="0"/>
        <v>410</v>
      </c>
      <c r="B11" s="20" t="str">
        <f>+VLOOKUP(Table_1[[#This Row],[IdCliente]],BD!$A$2:$BB$1759,54)</f>
        <v>Ramirez</v>
      </c>
      <c r="C11" s="21"/>
      <c r="D11" s="20">
        <f>+VLOOKUP(Table_1[[#This Row],[IdCliente]],BD!$A$2:$BA$1759,36)</f>
        <v>58353350</v>
      </c>
      <c r="E11" s="20" t="str">
        <f t="shared" si="1"/>
        <v>Te esperamos en nuestro WEBINAR y actualiza tus conocimientos para el abordaje clínico de tus pacientes con acné ✨</v>
      </c>
      <c r="F11" s="21" t="str">
        <f t="shared" si="2"/>
        <v>¡Registrate y logralo ahora! 📲 http://bit.ly/3EHYv4j</v>
      </c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</row>
    <row r="12" spans="1:25" ht="15.75" x14ac:dyDescent="0.25">
      <c r="A12" s="20">
        <f t="shared" si="0"/>
        <v>411</v>
      </c>
      <c r="B12" s="20" t="str">
        <f>+VLOOKUP(Table_1[[#This Row],[IdCliente]],BD!$A$2:$BB$1759,54)</f>
        <v>Diaz</v>
      </c>
      <c r="C12" s="21"/>
      <c r="D12" s="20">
        <f>+VLOOKUP(Table_1[[#This Row],[IdCliente]],BD!$A$2:$BA$1759,36)</f>
        <v>89042876</v>
      </c>
      <c r="E12" s="20" t="str">
        <f t="shared" si="1"/>
        <v>Te esperamos en nuestro WEBINAR y actualiza tus conocimientos para el abordaje clínico de tus pacientes con acné ✨</v>
      </c>
      <c r="F12" s="21" t="str">
        <f t="shared" si="2"/>
        <v>¡Registrate y logralo ahora! 📲 http://bit.ly/3EHYv4j</v>
      </c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</row>
    <row r="13" spans="1:25" ht="15.75" x14ac:dyDescent="0.25">
      <c r="A13" s="20">
        <f t="shared" si="0"/>
        <v>412</v>
      </c>
      <c r="B13" s="20" t="str">
        <f>+VLOOKUP(Table_1[[#This Row],[IdCliente]],BD!$A$2:$BB$1759,54)</f>
        <v>Peres</v>
      </c>
      <c r="C13" s="21"/>
      <c r="D13" s="20">
        <f>+VLOOKUP(Table_1[[#This Row],[IdCliente]],BD!$A$2:$BA$1759,36)</f>
        <v>75113680</v>
      </c>
      <c r="E13" s="20" t="str">
        <f t="shared" si="1"/>
        <v>Te esperamos en nuestro WEBINAR y actualiza tus conocimientos para el abordaje clínico de tus pacientes con acné ✨</v>
      </c>
      <c r="F13" s="21" t="str">
        <f t="shared" si="2"/>
        <v>¡Registrate y logralo ahora! 📲 http://bit.ly/3EHYv4j</v>
      </c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</row>
    <row r="14" spans="1:25" ht="15.75" x14ac:dyDescent="0.25">
      <c r="A14" s="20">
        <f t="shared" si="0"/>
        <v>413</v>
      </c>
      <c r="B14" s="20" t="str">
        <f>+VLOOKUP(Table_1[[#This Row],[IdCliente]],BD!$A$2:$BB$1759,54)</f>
        <v>Rivas</v>
      </c>
      <c r="C14" s="21"/>
      <c r="D14" s="20">
        <f>+VLOOKUP(Table_1[[#This Row],[IdCliente]],BD!$A$2:$BA$1759,36)</f>
        <v>78320402</v>
      </c>
      <c r="E14" s="20" t="str">
        <f t="shared" si="1"/>
        <v>Te esperamos en nuestro WEBINAR y actualiza tus conocimientos para el abordaje clínico de tus pacientes con acné ✨</v>
      </c>
      <c r="F14" s="21" t="str">
        <f t="shared" si="2"/>
        <v>¡Registrate y logralo ahora! 📲 http://bit.ly/3EHYv4j</v>
      </c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</row>
    <row r="15" spans="1:25" ht="15.75" x14ac:dyDescent="0.25">
      <c r="A15" s="20">
        <f t="shared" si="0"/>
        <v>414</v>
      </c>
      <c r="B15" s="20" t="str">
        <f>+VLOOKUP(Table_1[[#This Row],[IdCliente]],BD!$A$2:$BB$1759,54)</f>
        <v>Berrios</v>
      </c>
      <c r="C15" s="21"/>
      <c r="D15" s="20">
        <f>+VLOOKUP(Table_1[[#This Row],[IdCliente]],BD!$A$2:$BA$1759,36)</f>
        <v>83720077</v>
      </c>
      <c r="E15" s="20" t="str">
        <f t="shared" si="1"/>
        <v>Te esperamos en nuestro WEBINAR y actualiza tus conocimientos para el abordaje clínico de tus pacientes con acné ✨</v>
      </c>
      <c r="F15" s="21" t="str">
        <f t="shared" si="2"/>
        <v>¡Registrate y logralo ahora! 📲 http://bit.ly/3EHYv4j</v>
      </c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</row>
    <row r="16" spans="1:25" ht="15.75" x14ac:dyDescent="0.25">
      <c r="A16" s="20">
        <f t="shared" si="0"/>
        <v>415</v>
      </c>
      <c r="B16" s="20" t="str">
        <f>+VLOOKUP(Table_1[[#This Row],[IdCliente]],BD!$A$2:$BB$1759,54)</f>
        <v>Vargas</v>
      </c>
      <c r="C16" s="21"/>
      <c r="D16" s="20">
        <f>+VLOOKUP(Table_1[[#This Row],[IdCliente]],BD!$A$2:$BA$1759,36)</f>
        <v>87198634</v>
      </c>
      <c r="E16" s="20" t="str">
        <f t="shared" si="1"/>
        <v>Te esperamos en nuestro WEBINAR y actualiza tus conocimientos para el abordaje clínico de tus pacientes con acné ✨</v>
      </c>
      <c r="F16" s="21" t="str">
        <f t="shared" si="2"/>
        <v>¡Registrate y logralo ahora! 📲 http://bit.ly/3EHYv4j</v>
      </c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</row>
    <row r="17" spans="1:25" ht="15.75" x14ac:dyDescent="0.25">
      <c r="A17" s="20">
        <f t="shared" si="0"/>
        <v>416</v>
      </c>
      <c r="B17" s="20" t="str">
        <f>+VLOOKUP(Table_1[[#This Row],[IdCliente]],BD!$A$2:$BB$1759,54)</f>
        <v>Herrera</v>
      </c>
      <c r="C17" s="21"/>
      <c r="D17" s="20">
        <f>+VLOOKUP(Table_1[[#This Row],[IdCliente]],BD!$A$2:$BA$1759,36)</f>
        <v>88029494</v>
      </c>
      <c r="E17" s="20" t="str">
        <f t="shared" si="1"/>
        <v>Te esperamos en nuestro WEBINAR y actualiza tus conocimientos para el abordaje clínico de tus pacientes con acné ✨</v>
      </c>
      <c r="F17" s="21" t="str">
        <f t="shared" si="2"/>
        <v>¡Registrate y logralo ahora! 📲 http://bit.ly/3EHYv4j</v>
      </c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</row>
    <row r="18" spans="1:25" ht="15.75" x14ac:dyDescent="0.25">
      <c r="A18" s="20">
        <f t="shared" si="0"/>
        <v>417</v>
      </c>
      <c r="B18" s="20" t="str">
        <f>+VLOOKUP(Table_1[[#This Row],[IdCliente]],BD!$A$2:$BB$1759,54)</f>
        <v>Arellano</v>
      </c>
      <c r="C18" s="21"/>
      <c r="D18" s="20">
        <f>+VLOOKUP(Table_1[[#This Row],[IdCliente]],BD!$A$2:$BA$1759,36)</f>
        <v>86053225</v>
      </c>
      <c r="E18" s="20" t="str">
        <f t="shared" si="1"/>
        <v>Te esperamos en nuestro WEBINAR y actualiza tus conocimientos para el abordaje clínico de tus pacientes con acné ✨</v>
      </c>
      <c r="F18" s="21" t="str">
        <f t="shared" si="2"/>
        <v>¡Registrate y logralo ahora! 📲 http://bit.ly/3EHYv4j</v>
      </c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</row>
    <row r="19" spans="1:25" ht="15.75" x14ac:dyDescent="0.25">
      <c r="A19" s="20">
        <f t="shared" si="0"/>
        <v>418</v>
      </c>
      <c r="B19" s="20" t="str">
        <f>+VLOOKUP(Table_1[[#This Row],[IdCliente]],BD!$A$2:$BB$1759,54)</f>
        <v>Alaniz</v>
      </c>
      <c r="C19" s="21"/>
      <c r="D19" s="20">
        <f>+VLOOKUP(Table_1[[#This Row],[IdCliente]],BD!$A$2:$BA$1759,36)</f>
        <v>86129158</v>
      </c>
      <c r="E19" s="20" t="str">
        <f t="shared" si="1"/>
        <v>Te esperamos en nuestro WEBINAR y actualiza tus conocimientos para el abordaje clínico de tus pacientes con acné ✨</v>
      </c>
      <c r="F19" s="21" t="str">
        <f t="shared" si="2"/>
        <v>¡Registrate y logralo ahora! 📲 http://bit.ly/3EHYv4j</v>
      </c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</row>
    <row r="20" spans="1:25" ht="15.75" x14ac:dyDescent="0.25">
      <c r="A20" s="20">
        <f t="shared" si="0"/>
        <v>419</v>
      </c>
      <c r="B20" s="20" t="str">
        <f>+VLOOKUP(Table_1[[#This Row],[IdCliente]],BD!$A$2:$BB$1759,54)</f>
        <v>Talavera</v>
      </c>
      <c r="C20" s="21"/>
      <c r="D20" s="20">
        <f>+VLOOKUP(Table_1[[#This Row],[IdCliente]],BD!$A$2:$BA$1759,36)</f>
        <v>57261254</v>
      </c>
      <c r="E20" s="20" t="str">
        <f t="shared" si="1"/>
        <v>Te esperamos en nuestro WEBINAR y actualiza tus conocimientos para el abordaje clínico de tus pacientes con acné ✨</v>
      </c>
      <c r="F20" s="21" t="str">
        <f t="shared" si="2"/>
        <v>¡Registrate y logralo ahora! 📲 http://bit.ly/3EHYv4j</v>
      </c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</row>
    <row r="21" spans="1:25" ht="15.75" x14ac:dyDescent="0.25">
      <c r="A21" s="20">
        <f t="shared" si="0"/>
        <v>420</v>
      </c>
      <c r="B21" s="20" t="str">
        <f>+VLOOKUP(Table_1[[#This Row],[IdCliente]],BD!$A$2:$BB$1759,54)</f>
        <v>Soza</v>
      </c>
      <c r="C21" s="21"/>
      <c r="D21" s="20">
        <f>+VLOOKUP(Table_1[[#This Row],[IdCliente]],BD!$A$2:$BA$1759,36)</f>
        <v>78103753</v>
      </c>
      <c r="E21" s="20" t="str">
        <f t="shared" si="1"/>
        <v>Te esperamos en nuestro WEBINAR y actualiza tus conocimientos para el abordaje clínico de tus pacientes con acné ✨</v>
      </c>
      <c r="F21" s="21" t="str">
        <f t="shared" si="2"/>
        <v>¡Registrate y logralo ahora! 📲 http://bit.ly/3EHYv4j</v>
      </c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</row>
    <row r="22" spans="1:25" ht="15.75" x14ac:dyDescent="0.25">
      <c r="A22" s="20">
        <f t="shared" si="0"/>
        <v>421</v>
      </c>
      <c r="B22" s="20" t="str">
        <f>+VLOOKUP(Table_1[[#This Row],[IdCliente]],BD!$A$2:$BB$1759,54)</f>
        <v>Edwards</v>
      </c>
      <c r="C22" s="21"/>
      <c r="D22" s="20">
        <f>+VLOOKUP(Table_1[[#This Row],[IdCliente]],BD!$A$2:$BA$1759,36)</f>
        <v>84313338</v>
      </c>
      <c r="E22" s="20" t="str">
        <f t="shared" si="1"/>
        <v>Te esperamos en nuestro WEBINAR y actualiza tus conocimientos para el abordaje clínico de tus pacientes con acné ✨</v>
      </c>
      <c r="F22" s="21" t="str">
        <f t="shared" si="2"/>
        <v>¡Registrate y logralo ahora! 📲 http://bit.ly/3EHYv4j</v>
      </c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</row>
    <row r="23" spans="1:25" ht="15.75" x14ac:dyDescent="0.25">
      <c r="A23" s="20">
        <f t="shared" si="0"/>
        <v>422</v>
      </c>
      <c r="B23" s="20" t="str">
        <f>+VLOOKUP(Table_1[[#This Row],[IdCliente]],BD!$A$2:$BB$1759,54)</f>
        <v>Acosta</v>
      </c>
      <c r="C23" s="21"/>
      <c r="D23" s="20">
        <f>+VLOOKUP(Table_1[[#This Row],[IdCliente]],BD!$A$2:$BA$1759,36)</f>
        <v>88521608</v>
      </c>
      <c r="E23" s="20" t="str">
        <f t="shared" si="1"/>
        <v>Te esperamos en nuestro WEBINAR y actualiza tus conocimientos para el abordaje clínico de tus pacientes con acné ✨</v>
      </c>
      <c r="F23" s="21" t="str">
        <f t="shared" si="2"/>
        <v>¡Registrate y logralo ahora! 📲 http://bit.ly/3EHYv4j</v>
      </c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</row>
    <row r="24" spans="1:25" ht="15.75" x14ac:dyDescent="0.25">
      <c r="A24" s="20">
        <f t="shared" si="0"/>
        <v>423</v>
      </c>
      <c r="B24" s="20" t="str">
        <f>+VLOOKUP(Table_1[[#This Row],[IdCliente]],BD!$A$2:$BB$1759,54)</f>
        <v>Rocha</v>
      </c>
      <c r="C24" s="21"/>
      <c r="D24" s="20">
        <f>+VLOOKUP(Table_1[[#This Row],[IdCliente]],BD!$A$2:$BA$1759,36)</f>
        <v>86120228</v>
      </c>
      <c r="E24" s="20" t="str">
        <f t="shared" si="1"/>
        <v>Te esperamos en nuestro WEBINAR y actualiza tus conocimientos para el abordaje clínico de tus pacientes con acné ✨</v>
      </c>
      <c r="F24" s="21" t="str">
        <f t="shared" si="2"/>
        <v>¡Registrate y logralo ahora! 📲 http://bit.ly/3EHYv4j</v>
      </c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</row>
    <row r="25" spans="1:25" ht="15.75" x14ac:dyDescent="0.25">
      <c r="A25" s="20">
        <f t="shared" si="0"/>
        <v>424</v>
      </c>
      <c r="B25" s="20" t="str">
        <f>+VLOOKUP(Table_1[[#This Row],[IdCliente]],BD!$A$2:$BB$1759,54)</f>
        <v>Brenes</v>
      </c>
      <c r="C25" s="21"/>
      <c r="D25" s="20">
        <f>+VLOOKUP(Table_1[[#This Row],[IdCliente]],BD!$A$2:$BA$1759,36)</f>
        <v>78307174</v>
      </c>
      <c r="E25" s="20" t="str">
        <f t="shared" si="1"/>
        <v>Te esperamos en nuestro WEBINAR y actualiza tus conocimientos para el abordaje clínico de tus pacientes con acné ✨</v>
      </c>
      <c r="F25" s="21" t="str">
        <f t="shared" si="2"/>
        <v>¡Registrate y logralo ahora! 📲 http://bit.ly/3EHYv4j</v>
      </c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</row>
    <row r="26" spans="1:25" ht="15.75" x14ac:dyDescent="0.25">
      <c r="A26" s="20">
        <f t="shared" si="0"/>
        <v>425</v>
      </c>
      <c r="B26" s="20" t="str">
        <f>+VLOOKUP(Table_1[[#This Row],[IdCliente]],BD!$A$2:$BB$1759,54)</f>
        <v>Rios</v>
      </c>
      <c r="C26" s="21"/>
      <c r="D26" s="20">
        <f>+VLOOKUP(Table_1[[#This Row],[IdCliente]],BD!$A$2:$BA$1759,36)</f>
        <v>0</v>
      </c>
      <c r="E26" s="20" t="str">
        <f t="shared" si="1"/>
        <v>Te esperamos en nuestro WEBINAR y actualiza tus conocimientos para el abordaje clínico de tus pacientes con acné ✨</v>
      </c>
      <c r="F26" s="21" t="str">
        <f t="shared" si="2"/>
        <v>¡Registrate y logralo ahora! 📲 http://bit.ly/3EHYv4j</v>
      </c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</row>
    <row r="27" spans="1:25" ht="15.75" x14ac:dyDescent="0.25">
      <c r="A27" s="20">
        <f t="shared" si="0"/>
        <v>426</v>
      </c>
      <c r="B27" s="20" t="str">
        <f>+VLOOKUP(Table_1[[#This Row],[IdCliente]],BD!$A$2:$BB$1759,54)</f>
        <v>Fedrick</v>
      </c>
      <c r="C27" s="21"/>
      <c r="D27" s="20">
        <f>+VLOOKUP(Table_1[[#This Row],[IdCliente]],BD!$A$2:$BA$1759,36)</f>
        <v>88992907</v>
      </c>
      <c r="E27" s="20" t="str">
        <f t="shared" si="1"/>
        <v>Te esperamos en nuestro WEBINAR y actualiza tus conocimientos para el abordaje clínico de tus pacientes con acné ✨</v>
      </c>
      <c r="F27" s="21" t="str">
        <f t="shared" si="2"/>
        <v>¡Registrate y logralo ahora! 📲 http://bit.ly/3EHYv4j</v>
      </c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</row>
    <row r="28" spans="1:25" ht="15.75" x14ac:dyDescent="0.25">
      <c r="A28" s="20">
        <f t="shared" si="0"/>
        <v>427</v>
      </c>
      <c r="B28" s="20" t="str">
        <f>+VLOOKUP(Table_1[[#This Row],[IdCliente]],BD!$A$2:$BB$1759,54)</f>
        <v>Solis</v>
      </c>
      <c r="C28" s="21"/>
      <c r="D28" s="20">
        <f>+VLOOKUP(Table_1[[#This Row],[IdCliente]],BD!$A$2:$BA$1759,36)</f>
        <v>85471949</v>
      </c>
      <c r="E28" s="20" t="str">
        <f t="shared" si="1"/>
        <v>Te esperamos en nuestro WEBINAR y actualiza tus conocimientos para el abordaje clínico de tus pacientes con acné ✨</v>
      </c>
      <c r="F28" s="21" t="str">
        <f t="shared" si="2"/>
        <v>¡Registrate y logralo ahora! 📲 http://bit.ly/3EHYv4j</v>
      </c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</row>
    <row r="29" spans="1:25" ht="15.75" x14ac:dyDescent="0.25">
      <c r="A29" s="20">
        <f t="shared" si="0"/>
        <v>428</v>
      </c>
      <c r="B29" s="20" t="str">
        <f>+VLOOKUP(Table_1[[#This Row],[IdCliente]],BD!$A$2:$BB$1759,54)</f>
        <v>Rodriguez</v>
      </c>
      <c r="C29" s="21"/>
      <c r="D29" s="20">
        <f>+VLOOKUP(Table_1[[#This Row],[IdCliente]],BD!$A$2:$BA$1759,36)</f>
        <v>89350033</v>
      </c>
      <c r="E29" s="20" t="str">
        <f t="shared" si="1"/>
        <v>Te esperamos en nuestro WEBINAR y actualiza tus conocimientos para el abordaje clínico de tus pacientes con acné ✨</v>
      </c>
      <c r="F29" s="21" t="str">
        <f t="shared" si="2"/>
        <v>¡Registrate y logralo ahora! 📲 http://bit.ly/3EHYv4j</v>
      </c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</row>
    <row r="30" spans="1:25" ht="15.75" x14ac:dyDescent="0.25">
      <c r="A30" s="20">
        <f t="shared" si="0"/>
        <v>429</v>
      </c>
      <c r="B30" s="20" t="str">
        <f>+VLOOKUP(Table_1[[#This Row],[IdCliente]],BD!$A$2:$BB$1759,54)</f>
        <v>Balladares</v>
      </c>
      <c r="C30" s="21"/>
      <c r="D30" s="20">
        <f>+VLOOKUP(Table_1[[#This Row],[IdCliente]],BD!$A$2:$BA$1759,36)</f>
        <v>85099717</v>
      </c>
      <c r="E30" s="20" t="str">
        <f t="shared" si="1"/>
        <v>Te esperamos en nuestro WEBINAR y actualiza tus conocimientos para el abordaje clínico de tus pacientes con acné ✨</v>
      </c>
      <c r="F30" s="21" t="str">
        <f t="shared" si="2"/>
        <v>¡Registrate y logralo ahora! 📲 http://bit.ly/3EHYv4j</v>
      </c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</row>
    <row r="31" spans="1:25" ht="15.75" x14ac:dyDescent="0.25">
      <c r="A31" s="20">
        <f t="shared" si="0"/>
        <v>430</v>
      </c>
      <c r="B31" s="20" t="str">
        <f>+VLOOKUP(Table_1[[#This Row],[IdCliente]],BD!$A$2:$BB$1759,54)</f>
        <v>Sanchez</v>
      </c>
      <c r="C31" s="21"/>
      <c r="D31" s="20">
        <f>+VLOOKUP(Table_1[[#This Row],[IdCliente]],BD!$A$2:$BA$1759,36)</f>
        <v>82850741</v>
      </c>
      <c r="E31" s="20" t="str">
        <f t="shared" si="1"/>
        <v>Te esperamos en nuestro WEBINAR y actualiza tus conocimientos para el abordaje clínico de tus pacientes con acné ✨</v>
      </c>
      <c r="F31" s="21" t="str">
        <f t="shared" si="2"/>
        <v>¡Registrate y logralo ahora! 📲 http://bit.ly/3EHYv4j</v>
      </c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</row>
    <row r="32" spans="1:25" ht="15.75" x14ac:dyDescent="0.25">
      <c r="A32" s="20">
        <f t="shared" si="0"/>
        <v>431</v>
      </c>
      <c r="B32" s="20" t="str">
        <f>+VLOOKUP(Table_1[[#This Row],[IdCliente]],BD!$A$2:$BB$1759,54)</f>
        <v>Corea</v>
      </c>
      <c r="C32" s="21"/>
      <c r="D32" s="20">
        <f>+VLOOKUP(Table_1[[#This Row],[IdCliente]],BD!$A$2:$BA$1759,36)</f>
        <v>84094168</v>
      </c>
      <c r="E32" s="20" t="str">
        <f t="shared" si="1"/>
        <v>Te esperamos en nuestro WEBINAR y actualiza tus conocimientos para el abordaje clínico de tus pacientes con acné ✨</v>
      </c>
      <c r="F32" s="21" t="str">
        <f t="shared" si="2"/>
        <v>¡Registrate y logralo ahora! 📲 http://bit.ly/3EHYv4j</v>
      </c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</row>
    <row r="33" spans="1:25" ht="15.75" x14ac:dyDescent="0.25">
      <c r="A33" s="20">
        <f t="shared" si="0"/>
        <v>432</v>
      </c>
      <c r="B33" s="20" t="str">
        <f>+VLOOKUP(Table_1[[#This Row],[IdCliente]],BD!$A$2:$BB$1759,54)</f>
        <v>Espinoza</v>
      </c>
      <c r="C33" s="21"/>
      <c r="D33" s="20">
        <f>+VLOOKUP(Table_1[[#This Row],[IdCliente]],BD!$A$2:$BA$1759,36)</f>
        <v>82251908</v>
      </c>
      <c r="E33" s="20" t="str">
        <f t="shared" si="1"/>
        <v>Te esperamos en nuestro WEBINAR y actualiza tus conocimientos para el abordaje clínico de tus pacientes con acné ✨</v>
      </c>
      <c r="F33" s="21" t="str">
        <f t="shared" si="2"/>
        <v>¡Registrate y logralo ahora! 📲 http://bit.ly/3EHYv4j</v>
      </c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</row>
    <row r="34" spans="1:25" ht="15.75" x14ac:dyDescent="0.25">
      <c r="A34" s="20">
        <f t="shared" si="0"/>
        <v>433</v>
      </c>
      <c r="B34" s="20" t="str">
        <f>+VLOOKUP(Table_1[[#This Row],[IdCliente]],BD!$A$2:$BB$1759,54)</f>
        <v>Luna</v>
      </c>
      <c r="C34" s="21"/>
      <c r="D34" s="20">
        <f>+VLOOKUP(Table_1[[#This Row],[IdCliente]],BD!$A$2:$BA$1759,36)</f>
        <v>85133169</v>
      </c>
      <c r="E34" s="20" t="str">
        <f t="shared" si="1"/>
        <v>Te esperamos en nuestro WEBINAR y actualiza tus conocimientos para el abordaje clínico de tus pacientes con acné ✨</v>
      </c>
      <c r="F34" s="21" t="str">
        <f t="shared" si="2"/>
        <v>¡Registrate y logralo ahora! 📲 http://bit.ly/3EHYv4j</v>
      </c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</row>
    <row r="35" spans="1:25" ht="15.75" x14ac:dyDescent="0.25">
      <c r="A35" s="20">
        <f t="shared" si="0"/>
        <v>434</v>
      </c>
      <c r="B35" s="20" t="str">
        <f>+VLOOKUP(Table_1[[#This Row],[IdCliente]],BD!$A$2:$BB$1759,54)</f>
        <v>Caballero</v>
      </c>
      <c r="C35" s="21"/>
      <c r="D35" s="20">
        <f>+VLOOKUP(Table_1[[#This Row],[IdCliente]],BD!$A$2:$BA$1759,36)</f>
        <v>88347600</v>
      </c>
      <c r="E35" s="20" t="str">
        <f t="shared" si="1"/>
        <v>Te esperamos en nuestro WEBINAR y actualiza tus conocimientos para el abordaje clínico de tus pacientes con acné ✨</v>
      </c>
      <c r="F35" s="21" t="str">
        <f t="shared" si="2"/>
        <v>¡Registrate y logralo ahora! 📲 http://bit.ly/3EHYv4j</v>
      </c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</row>
    <row r="36" spans="1:25" ht="15.75" x14ac:dyDescent="0.25">
      <c r="A36" s="20">
        <f t="shared" si="0"/>
        <v>435</v>
      </c>
      <c r="B36" s="20" t="str">
        <f>+VLOOKUP(Table_1[[#This Row],[IdCliente]],BD!$A$2:$BB$1759,54)</f>
        <v>Garcia</v>
      </c>
      <c r="C36" s="21"/>
      <c r="D36" s="20">
        <f>+VLOOKUP(Table_1[[#This Row],[IdCliente]],BD!$A$2:$BA$1759,36)</f>
        <v>88507216</v>
      </c>
      <c r="E36" s="20" t="str">
        <f t="shared" si="1"/>
        <v>Te esperamos en nuestro WEBINAR y actualiza tus conocimientos para el abordaje clínico de tus pacientes con acné ✨</v>
      </c>
      <c r="F36" s="21" t="str">
        <f t="shared" si="2"/>
        <v>¡Registrate y logralo ahora! 📲 http://bit.ly/3EHYv4j</v>
      </c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</row>
    <row r="37" spans="1:25" ht="15.75" x14ac:dyDescent="0.25">
      <c r="A37" s="20">
        <f t="shared" si="0"/>
        <v>436</v>
      </c>
      <c r="B37" s="20" t="str">
        <f>+VLOOKUP(Table_1[[#This Row],[IdCliente]],BD!$A$2:$BB$1759,54)</f>
        <v>Plazaola</v>
      </c>
      <c r="C37" s="21"/>
      <c r="D37" s="20">
        <f>+VLOOKUP(Table_1[[#This Row],[IdCliente]],BD!$A$2:$BA$1759,36)</f>
        <v>58691790</v>
      </c>
      <c r="E37" s="20" t="str">
        <f t="shared" si="1"/>
        <v>Te esperamos en nuestro WEBINAR y actualiza tus conocimientos para el abordaje clínico de tus pacientes con acné ✨</v>
      </c>
      <c r="F37" s="21" t="str">
        <f t="shared" si="2"/>
        <v>¡Registrate y logralo ahora! 📲 http://bit.ly/3EHYv4j</v>
      </c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</row>
    <row r="38" spans="1:25" ht="15.75" x14ac:dyDescent="0.25">
      <c r="A38" s="20">
        <f t="shared" si="0"/>
        <v>437</v>
      </c>
      <c r="B38" s="20" t="str">
        <f>+VLOOKUP(Table_1[[#This Row],[IdCliente]],BD!$A$2:$BB$1759,54)</f>
        <v>Molina</v>
      </c>
      <c r="C38" s="21"/>
      <c r="D38" s="20">
        <f>+VLOOKUP(Table_1[[#This Row],[IdCliente]],BD!$A$2:$BA$1759,36)</f>
        <v>87508140</v>
      </c>
      <c r="E38" s="20" t="str">
        <f t="shared" si="1"/>
        <v>Te esperamos en nuestro WEBINAR y actualiza tus conocimientos para el abordaje clínico de tus pacientes con acné ✨</v>
      </c>
      <c r="F38" s="21" t="str">
        <f t="shared" si="2"/>
        <v>¡Registrate y logralo ahora! 📲 http://bit.ly/3EHYv4j</v>
      </c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</row>
    <row r="39" spans="1:25" ht="15.75" x14ac:dyDescent="0.25">
      <c r="A39" s="20">
        <f t="shared" si="0"/>
        <v>438</v>
      </c>
      <c r="B39" s="20" t="str">
        <f>+VLOOKUP(Table_1[[#This Row],[IdCliente]],BD!$A$2:$BB$1759,54)</f>
        <v>Perez</v>
      </c>
      <c r="C39" s="21"/>
      <c r="D39" s="20">
        <f>+VLOOKUP(Table_1[[#This Row],[IdCliente]],BD!$A$2:$BA$1759,36)</f>
        <v>58336277</v>
      </c>
      <c r="E39" s="20" t="str">
        <f t="shared" si="1"/>
        <v>Te esperamos en nuestro WEBINAR y actualiza tus conocimientos para el abordaje clínico de tus pacientes con acné ✨</v>
      </c>
      <c r="F39" s="21" t="str">
        <f t="shared" si="2"/>
        <v>¡Registrate y logralo ahora! 📲 http://bit.ly/3EHYv4j</v>
      </c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</row>
    <row r="40" spans="1:25" ht="15.75" x14ac:dyDescent="0.25">
      <c r="A40" s="20">
        <f t="shared" si="0"/>
        <v>439</v>
      </c>
      <c r="B40" s="20" t="str">
        <f>+VLOOKUP(Table_1[[#This Row],[IdCliente]],BD!$A$2:$BB$1759,54)</f>
        <v>Savany</v>
      </c>
      <c r="C40" s="21"/>
      <c r="D40" s="20">
        <f>+VLOOKUP(Table_1[[#This Row],[IdCliente]],BD!$A$2:$BA$1759,36)</f>
        <v>84207509</v>
      </c>
      <c r="E40" s="20" t="str">
        <f t="shared" si="1"/>
        <v>Te esperamos en nuestro WEBINAR y actualiza tus conocimientos para el abordaje clínico de tus pacientes con acné ✨</v>
      </c>
      <c r="F40" s="21" t="str">
        <f t="shared" si="2"/>
        <v>¡Registrate y logralo ahora! 📲 http://bit.ly/3EHYv4j</v>
      </c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4"/>
      <c r="X40" s="14"/>
      <c r="Y40" s="14"/>
    </row>
    <row r="41" spans="1:25" ht="15.75" x14ac:dyDescent="0.25">
      <c r="A41" s="20">
        <f t="shared" si="0"/>
        <v>440</v>
      </c>
      <c r="B41" s="20" t="str">
        <f>+VLOOKUP(Table_1[[#This Row],[IdCliente]],BD!$A$2:$BB$1759,54)</f>
        <v>Mendez</v>
      </c>
      <c r="C41" s="21"/>
      <c r="D41" s="20">
        <f>+VLOOKUP(Table_1[[#This Row],[IdCliente]],BD!$A$2:$BA$1759,36)</f>
        <v>82536854</v>
      </c>
      <c r="E41" s="20" t="str">
        <f t="shared" si="1"/>
        <v>Te esperamos en nuestro WEBINAR y actualiza tus conocimientos para el abordaje clínico de tus pacientes con acné ✨</v>
      </c>
      <c r="F41" s="21" t="str">
        <f t="shared" si="2"/>
        <v>¡Registrate y logralo ahora! 📲 http://bit.ly/3EHYv4j</v>
      </c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4"/>
      <c r="Y41" s="14"/>
    </row>
    <row r="42" spans="1:25" ht="15.75" x14ac:dyDescent="0.25">
      <c r="A42" s="20">
        <f t="shared" si="0"/>
        <v>441</v>
      </c>
      <c r="B42" s="20" t="str">
        <f>+VLOOKUP(Table_1[[#This Row],[IdCliente]],BD!$A$2:$BB$1759,54)</f>
        <v>Vargas</v>
      </c>
      <c r="C42" s="21"/>
      <c r="D42" s="20">
        <f>+VLOOKUP(Table_1[[#This Row],[IdCliente]],BD!$A$2:$BA$1759,36)</f>
        <v>57425304</v>
      </c>
      <c r="E42" s="20" t="str">
        <f t="shared" si="1"/>
        <v>Te esperamos en nuestro WEBINAR y actualiza tus conocimientos para el abordaje clínico de tus pacientes con acné ✨</v>
      </c>
      <c r="F42" s="21" t="str">
        <f t="shared" si="2"/>
        <v>¡Registrate y logralo ahora! 📲 http://bit.ly/3EHYv4j</v>
      </c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</row>
    <row r="43" spans="1:25" ht="15.75" x14ac:dyDescent="0.25">
      <c r="A43" s="20">
        <f t="shared" si="0"/>
        <v>442</v>
      </c>
      <c r="B43" s="20" t="str">
        <f>+VLOOKUP(Table_1[[#This Row],[IdCliente]],BD!$A$2:$BB$1759,54)</f>
        <v>Molina</v>
      </c>
      <c r="C43" s="21"/>
      <c r="D43" s="20">
        <f>+VLOOKUP(Table_1[[#This Row],[IdCliente]],BD!$A$2:$BA$1759,36)</f>
        <v>84241682</v>
      </c>
      <c r="E43" s="20" t="str">
        <f t="shared" si="1"/>
        <v>Te esperamos en nuestro WEBINAR y actualiza tus conocimientos para el abordaje clínico de tus pacientes con acné ✨</v>
      </c>
      <c r="F43" s="21" t="str">
        <f t="shared" si="2"/>
        <v>¡Registrate y logralo ahora! 📲 http://bit.ly/3EHYv4j</v>
      </c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</row>
    <row r="44" spans="1:25" ht="15.75" x14ac:dyDescent="0.25">
      <c r="A44" s="20">
        <f t="shared" si="0"/>
        <v>443</v>
      </c>
      <c r="B44" s="20" t="str">
        <f>+VLOOKUP(Table_1[[#This Row],[IdCliente]],BD!$A$2:$BB$1759,54)</f>
        <v>Atha</v>
      </c>
      <c r="C44" s="21"/>
      <c r="D44" s="20">
        <f>+VLOOKUP(Table_1[[#This Row],[IdCliente]],BD!$A$2:$BA$1759,36)</f>
        <v>89881924</v>
      </c>
      <c r="E44" s="20" t="str">
        <f t="shared" si="1"/>
        <v>Te esperamos en nuestro WEBINAR y actualiza tus conocimientos para el abordaje clínico de tus pacientes con acné ✨</v>
      </c>
      <c r="F44" s="21" t="str">
        <f t="shared" si="2"/>
        <v>¡Registrate y logralo ahora! 📲 http://bit.ly/3EHYv4j</v>
      </c>
      <c r="G44" s="14"/>
      <c r="H44" s="14"/>
      <c r="I44" s="14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4"/>
      <c r="X44" s="14"/>
      <c r="Y44" s="14"/>
    </row>
    <row r="45" spans="1:25" ht="15.75" x14ac:dyDescent="0.25">
      <c r="A45" s="20">
        <f t="shared" si="0"/>
        <v>444</v>
      </c>
      <c r="B45" s="20" t="str">
        <f>+VLOOKUP(Table_1[[#This Row],[IdCliente]],BD!$A$2:$BB$1759,54)</f>
        <v>Palma</v>
      </c>
      <c r="C45" s="21"/>
      <c r="D45" s="20">
        <f>+VLOOKUP(Table_1[[#This Row],[IdCliente]],BD!$A$2:$BA$1759,36)</f>
        <v>88190285</v>
      </c>
      <c r="E45" s="20" t="str">
        <f t="shared" si="1"/>
        <v>Te esperamos en nuestro WEBINAR y actualiza tus conocimientos para el abordaje clínico de tus pacientes con acné ✨</v>
      </c>
      <c r="F45" s="21" t="str">
        <f t="shared" si="2"/>
        <v>¡Registrate y logralo ahora! 📲 http://bit.ly/3EHYv4j</v>
      </c>
      <c r="G45" s="14"/>
      <c r="H45" s="14"/>
      <c r="I45" s="14"/>
      <c r="J45" s="14"/>
      <c r="K45" s="14"/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4"/>
      <c r="Y45" s="14"/>
    </row>
    <row r="46" spans="1:25" ht="15.75" x14ac:dyDescent="0.25">
      <c r="A46" s="20">
        <f t="shared" si="0"/>
        <v>445</v>
      </c>
      <c r="B46" s="20" t="str">
        <f>+VLOOKUP(Table_1[[#This Row],[IdCliente]],BD!$A$2:$BB$1759,54)</f>
        <v>Chang</v>
      </c>
      <c r="C46" s="21"/>
      <c r="D46" s="20">
        <f>+VLOOKUP(Table_1[[#This Row],[IdCliente]],BD!$A$2:$BA$1759,36)</f>
        <v>89469926</v>
      </c>
      <c r="E46" s="20" t="str">
        <f t="shared" si="1"/>
        <v>Te esperamos en nuestro WEBINAR y actualiza tus conocimientos para el abordaje clínico de tus pacientes con acné ✨</v>
      </c>
      <c r="F46" s="21" t="str">
        <f t="shared" si="2"/>
        <v>¡Registrate y logralo ahora! 📲 http://bit.ly/3EHYv4j</v>
      </c>
      <c r="G46" s="14"/>
      <c r="H46" s="14"/>
      <c r="I46" s="14"/>
      <c r="J46" s="14"/>
      <c r="K46" s="14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</row>
    <row r="47" spans="1:25" ht="15.75" x14ac:dyDescent="0.25">
      <c r="A47" s="20">
        <f t="shared" si="0"/>
        <v>446</v>
      </c>
      <c r="B47" s="20" t="str">
        <f>+VLOOKUP(Table_1[[#This Row],[IdCliente]],BD!$A$2:$BB$1759,54)</f>
        <v>Ramos</v>
      </c>
      <c r="C47" s="21"/>
      <c r="D47" s="20">
        <f>+VLOOKUP(Table_1[[#This Row],[IdCliente]],BD!$A$2:$BA$1759,36)</f>
        <v>82084916</v>
      </c>
      <c r="E47" s="20" t="str">
        <f t="shared" si="1"/>
        <v>Te esperamos en nuestro WEBINAR y actualiza tus conocimientos para el abordaje clínico de tus pacientes con acné ✨</v>
      </c>
      <c r="F47" s="21" t="str">
        <f t="shared" si="2"/>
        <v>¡Registrate y logralo ahora! 📲 http://bit.ly/3EHYv4j</v>
      </c>
      <c r="G47" s="14"/>
      <c r="H47" s="14"/>
      <c r="I47" s="14"/>
      <c r="J47" s="14"/>
      <c r="K47" s="14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14"/>
    </row>
    <row r="48" spans="1:25" ht="15.75" x14ac:dyDescent="0.25">
      <c r="A48" s="20">
        <f t="shared" si="0"/>
        <v>447</v>
      </c>
      <c r="B48" s="20" t="str">
        <f>+VLOOKUP(Table_1[[#This Row],[IdCliente]],BD!$A$2:$BB$1759,54)</f>
        <v>Centeno</v>
      </c>
      <c r="C48" s="21"/>
      <c r="D48" s="20">
        <f>+VLOOKUP(Table_1[[#This Row],[IdCliente]],BD!$A$2:$BA$1759,36)</f>
        <v>86257942</v>
      </c>
      <c r="E48" s="20" t="str">
        <f t="shared" si="1"/>
        <v>Te esperamos en nuestro WEBINAR y actualiza tus conocimientos para el abordaje clínico de tus pacientes con acné ✨</v>
      </c>
      <c r="F48" s="21" t="str">
        <f t="shared" si="2"/>
        <v>¡Registrate y logralo ahora! 📲 http://bit.ly/3EHYv4j</v>
      </c>
      <c r="G48" s="14"/>
      <c r="H48" s="14"/>
      <c r="I48" s="14"/>
      <c r="J48" s="14"/>
      <c r="K48" s="14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14"/>
    </row>
    <row r="49" spans="1:25" ht="15.75" x14ac:dyDescent="0.25">
      <c r="A49" s="20">
        <f t="shared" si="0"/>
        <v>448</v>
      </c>
      <c r="B49" s="20" t="str">
        <f>+VLOOKUP(Table_1[[#This Row],[IdCliente]],BD!$A$2:$BB$1759,54)</f>
        <v>Lopez</v>
      </c>
      <c r="C49" s="21"/>
      <c r="D49" s="20">
        <f>+VLOOKUP(Table_1[[#This Row],[IdCliente]],BD!$A$2:$BA$1759,36)</f>
        <v>88176901</v>
      </c>
      <c r="E49" s="20" t="str">
        <f t="shared" si="1"/>
        <v>Te esperamos en nuestro WEBINAR y actualiza tus conocimientos para el abordaje clínico de tus pacientes con acné ✨</v>
      </c>
      <c r="F49" s="21" t="str">
        <f t="shared" si="2"/>
        <v>¡Registrate y logralo ahora! 📲 http://bit.ly/3EHYv4j</v>
      </c>
      <c r="G49" s="14"/>
      <c r="H49" s="14"/>
      <c r="I49" s="14"/>
      <c r="J49" s="14"/>
      <c r="K49" s="14"/>
      <c r="L49" s="14"/>
      <c r="M49" s="14"/>
      <c r="N49" s="14"/>
      <c r="O49" s="14"/>
      <c r="P49" s="14"/>
      <c r="Q49" s="14"/>
      <c r="R49" s="14"/>
      <c r="S49" s="14"/>
      <c r="T49" s="14"/>
      <c r="U49" s="14"/>
      <c r="V49" s="14"/>
      <c r="W49" s="14"/>
      <c r="X49" s="14"/>
      <c r="Y49" s="14"/>
    </row>
    <row r="50" spans="1:25" ht="15.75" x14ac:dyDescent="0.25">
      <c r="A50" s="20">
        <f t="shared" si="0"/>
        <v>449</v>
      </c>
      <c r="B50" s="20" t="str">
        <f>+VLOOKUP(Table_1[[#This Row],[IdCliente]],BD!$A$2:$BB$1759,54)</f>
        <v>Sevilla</v>
      </c>
      <c r="C50" s="21"/>
      <c r="D50" s="20">
        <f>+VLOOKUP(Table_1[[#This Row],[IdCliente]],BD!$A$2:$BA$1759,36)</f>
        <v>86055631</v>
      </c>
      <c r="E50" s="20" t="str">
        <f t="shared" si="1"/>
        <v>Te esperamos en nuestro WEBINAR y actualiza tus conocimientos para el abordaje clínico de tus pacientes con acné ✨</v>
      </c>
      <c r="F50" s="21" t="str">
        <f t="shared" si="2"/>
        <v>¡Registrate y logralo ahora! 📲 http://bit.ly/3EHYv4j</v>
      </c>
      <c r="G50" s="14"/>
      <c r="H50" s="14"/>
      <c r="I50" s="14"/>
      <c r="J50" s="14"/>
      <c r="K50" s="14"/>
      <c r="L50" s="14"/>
      <c r="M50" s="14"/>
      <c r="N50" s="14"/>
      <c r="O50" s="14"/>
      <c r="P50" s="14"/>
      <c r="Q50" s="14"/>
      <c r="R50" s="14"/>
      <c r="S50" s="14"/>
      <c r="T50" s="14"/>
      <c r="U50" s="14"/>
      <c r="V50" s="14"/>
      <c r="W50" s="14"/>
      <c r="X50" s="14"/>
      <c r="Y50" s="14"/>
    </row>
    <row r="51" spans="1:25" ht="15.75" x14ac:dyDescent="0.25">
      <c r="A51" s="20">
        <f t="shared" si="0"/>
        <v>450</v>
      </c>
      <c r="B51" s="20" t="str">
        <f>+VLOOKUP(Table_1[[#This Row],[IdCliente]],BD!$A$2:$BB$1759,54)</f>
        <v>Cerda</v>
      </c>
      <c r="C51" s="21"/>
      <c r="D51" s="20">
        <f>+VLOOKUP(Table_1[[#This Row],[IdCliente]],BD!$A$2:$BA$1759,36)</f>
        <v>84229343</v>
      </c>
      <c r="E51" s="20" t="str">
        <f t="shared" si="1"/>
        <v>Te esperamos en nuestro WEBINAR y actualiza tus conocimientos para el abordaje clínico de tus pacientes con acné ✨</v>
      </c>
      <c r="F51" s="21" t="str">
        <f t="shared" si="2"/>
        <v>¡Registrate y logralo ahora! 📲 http://bit.ly/3EHYv4j</v>
      </c>
      <c r="G51" s="14"/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</row>
    <row r="52" spans="1:25" ht="15.75" x14ac:dyDescent="0.25">
      <c r="A52" s="20">
        <f t="shared" si="0"/>
        <v>451</v>
      </c>
      <c r="B52" s="20" t="str">
        <f>+VLOOKUP(Table_1[[#This Row],[IdCliente]],BD!$A$2:$BB$1759,54)</f>
        <v>Martinez</v>
      </c>
      <c r="C52" s="21"/>
      <c r="D52" s="20">
        <f>+VLOOKUP(Table_1[[#This Row],[IdCliente]],BD!$A$2:$BA$1759,36)</f>
        <v>0</v>
      </c>
      <c r="E52" s="20" t="str">
        <f t="shared" si="1"/>
        <v>Te esperamos en nuestro WEBINAR y actualiza tus conocimientos para el abordaje clínico de tus pacientes con acné ✨</v>
      </c>
      <c r="F52" s="21" t="str">
        <f t="shared" si="2"/>
        <v>¡Registrate y logralo ahora! 📲 http://bit.ly/3EHYv4j</v>
      </c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</row>
    <row r="53" spans="1:25" ht="15.75" x14ac:dyDescent="0.25">
      <c r="A53" s="20">
        <f t="shared" si="0"/>
        <v>452</v>
      </c>
      <c r="B53" s="20" t="str">
        <f>+VLOOKUP(Table_1[[#This Row],[IdCliente]],BD!$A$2:$BB$1759,54)</f>
        <v>Omier</v>
      </c>
      <c r="C53" s="21"/>
      <c r="D53" s="20">
        <f>+VLOOKUP(Table_1[[#This Row],[IdCliente]],BD!$A$2:$BA$1759,36)</f>
        <v>58191000</v>
      </c>
      <c r="E53" s="20" t="str">
        <f t="shared" si="1"/>
        <v>Te esperamos en nuestro WEBINAR y actualiza tus conocimientos para el abordaje clínico de tus pacientes con acné ✨</v>
      </c>
      <c r="F53" s="21" t="str">
        <f t="shared" si="2"/>
        <v>¡Registrate y logralo ahora! 📲 http://bit.ly/3EHYv4j</v>
      </c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</row>
    <row r="54" spans="1:25" ht="15.75" x14ac:dyDescent="0.25">
      <c r="A54" s="20">
        <f t="shared" si="0"/>
        <v>453</v>
      </c>
      <c r="B54" s="20" t="str">
        <f>+VLOOKUP(Table_1[[#This Row],[IdCliente]],BD!$A$2:$BB$1759,54)</f>
        <v>Tercero</v>
      </c>
      <c r="C54" s="21"/>
      <c r="D54" s="20">
        <f>+VLOOKUP(Table_1[[#This Row],[IdCliente]],BD!$A$2:$BA$1759,36)</f>
        <v>57413634</v>
      </c>
      <c r="E54" s="20" t="str">
        <f t="shared" si="1"/>
        <v>Te esperamos en nuestro WEBINAR y actualiza tus conocimientos para el abordaje clínico de tus pacientes con acné ✨</v>
      </c>
      <c r="F54" s="21" t="str">
        <f t="shared" si="2"/>
        <v>¡Registrate y logralo ahora! 📲 http://bit.ly/3EHYv4j</v>
      </c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</row>
    <row r="55" spans="1:25" ht="15.75" x14ac:dyDescent="0.25">
      <c r="A55" s="20">
        <f t="shared" si="0"/>
        <v>454</v>
      </c>
      <c r="B55" s="20" t="str">
        <f>+VLOOKUP(Table_1[[#This Row],[IdCliente]],BD!$A$2:$BB$1759,54)</f>
        <v>Valladares</v>
      </c>
      <c r="C55" s="21"/>
      <c r="D55" s="20">
        <f>+VLOOKUP(Table_1[[#This Row],[IdCliente]],BD!$A$2:$BA$1759,36)</f>
        <v>0</v>
      </c>
      <c r="E55" s="20" t="str">
        <f t="shared" si="1"/>
        <v>Te esperamos en nuestro WEBINAR y actualiza tus conocimientos para el abordaje clínico de tus pacientes con acné ✨</v>
      </c>
      <c r="F55" s="21" t="str">
        <f t="shared" si="2"/>
        <v>¡Registrate y logralo ahora! 📲 http://bit.ly/3EHYv4j</v>
      </c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</row>
    <row r="56" spans="1:25" ht="15.75" x14ac:dyDescent="0.25">
      <c r="A56" s="20">
        <f t="shared" si="0"/>
        <v>455</v>
      </c>
      <c r="B56" s="20" t="str">
        <f>+VLOOKUP(Table_1[[#This Row],[IdCliente]],BD!$A$2:$BB$1759,54)</f>
        <v>Canales</v>
      </c>
      <c r="C56" s="21"/>
      <c r="D56" s="20">
        <f>+VLOOKUP(Table_1[[#This Row],[IdCliente]],BD!$A$2:$BA$1759,36)</f>
        <v>78137064</v>
      </c>
      <c r="E56" s="20" t="str">
        <f t="shared" si="1"/>
        <v>Te esperamos en nuestro WEBINAR y actualiza tus conocimientos para el abordaje clínico de tus pacientes con acné ✨</v>
      </c>
      <c r="F56" s="21" t="str">
        <f t="shared" si="2"/>
        <v>¡Registrate y logralo ahora! 📲 http://bit.ly/3EHYv4j</v>
      </c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14"/>
      <c r="W56" s="14"/>
      <c r="X56" s="14"/>
      <c r="Y56" s="14"/>
    </row>
    <row r="57" spans="1:25" ht="15.75" x14ac:dyDescent="0.25">
      <c r="A57" s="20">
        <f t="shared" si="0"/>
        <v>456</v>
      </c>
      <c r="B57" s="20" t="str">
        <f>+VLOOKUP(Table_1[[#This Row],[IdCliente]],BD!$A$2:$BB$1759,54)</f>
        <v>Rivas</v>
      </c>
      <c r="C57" s="21"/>
      <c r="D57" s="20">
        <f>+VLOOKUP(Table_1[[#This Row],[IdCliente]],BD!$A$2:$BA$1759,36)</f>
        <v>82375947</v>
      </c>
      <c r="E57" s="20" t="str">
        <f t="shared" si="1"/>
        <v>Te esperamos en nuestro WEBINAR y actualiza tus conocimientos para el abordaje clínico de tus pacientes con acné ✨</v>
      </c>
      <c r="F57" s="21" t="str">
        <f t="shared" si="2"/>
        <v>¡Registrate y logralo ahora! 📲 http://bit.ly/3EHYv4j</v>
      </c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</row>
    <row r="58" spans="1:25" ht="15.75" x14ac:dyDescent="0.25">
      <c r="A58" s="20">
        <f t="shared" si="0"/>
        <v>457</v>
      </c>
      <c r="B58" s="20" t="str">
        <f>+VLOOKUP(Table_1[[#This Row],[IdCliente]],BD!$A$2:$BB$1759,54)</f>
        <v>Gonzalez</v>
      </c>
      <c r="C58" s="21"/>
      <c r="D58" s="20">
        <f>+VLOOKUP(Table_1[[#This Row],[IdCliente]],BD!$A$2:$BA$1759,36)</f>
        <v>77878078</v>
      </c>
      <c r="E58" s="20" t="str">
        <f t="shared" si="1"/>
        <v>Te esperamos en nuestro WEBINAR y actualiza tus conocimientos para el abordaje clínico de tus pacientes con acné ✨</v>
      </c>
      <c r="F58" s="21" t="str">
        <f t="shared" si="2"/>
        <v>¡Registrate y logralo ahora! 📲 http://bit.ly/3EHYv4j</v>
      </c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</row>
    <row r="59" spans="1:25" ht="15.75" x14ac:dyDescent="0.25">
      <c r="A59" s="20">
        <f t="shared" si="0"/>
        <v>458</v>
      </c>
      <c r="B59" s="20" t="str">
        <f>+VLOOKUP(Table_1[[#This Row],[IdCliente]],BD!$A$2:$BB$1759,54)</f>
        <v>Munguia</v>
      </c>
      <c r="C59" s="21"/>
      <c r="D59" s="20">
        <f>+VLOOKUP(Table_1[[#This Row],[IdCliente]],BD!$A$2:$BA$1759,36)</f>
        <v>82033863</v>
      </c>
      <c r="E59" s="20" t="str">
        <f t="shared" si="1"/>
        <v>Te esperamos en nuestro WEBINAR y actualiza tus conocimientos para el abordaje clínico de tus pacientes con acné ✨</v>
      </c>
      <c r="F59" s="21" t="str">
        <f t="shared" si="2"/>
        <v>¡Registrate y logralo ahora! 📲 http://bit.ly/3EHYv4j</v>
      </c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</row>
    <row r="60" spans="1:25" ht="15.75" x14ac:dyDescent="0.25">
      <c r="A60" s="20">
        <f t="shared" si="0"/>
        <v>459</v>
      </c>
      <c r="B60" s="20" t="str">
        <f>+VLOOKUP(Table_1[[#This Row],[IdCliente]],BD!$A$2:$BB$1759,54)</f>
        <v>Espinoza</v>
      </c>
      <c r="C60" s="21"/>
      <c r="D60" s="20">
        <f>+VLOOKUP(Table_1[[#This Row],[IdCliente]],BD!$A$2:$BA$1759,36)</f>
        <v>83369866</v>
      </c>
      <c r="E60" s="20" t="str">
        <f t="shared" si="1"/>
        <v>Te esperamos en nuestro WEBINAR y actualiza tus conocimientos para el abordaje clínico de tus pacientes con acné ✨</v>
      </c>
      <c r="F60" s="21" t="str">
        <f t="shared" si="2"/>
        <v>¡Registrate y logralo ahora! 📲 http://bit.ly/3EHYv4j</v>
      </c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</row>
    <row r="61" spans="1:25" ht="15.75" x14ac:dyDescent="0.25">
      <c r="A61" s="20">
        <f t="shared" si="0"/>
        <v>460</v>
      </c>
      <c r="B61" s="20" t="str">
        <f>+VLOOKUP(Table_1[[#This Row],[IdCliente]],BD!$A$2:$BB$1759,54)</f>
        <v>Castillo</v>
      </c>
      <c r="C61" s="21"/>
      <c r="D61" s="20">
        <f>+VLOOKUP(Table_1[[#This Row],[IdCliente]],BD!$A$2:$BA$1759,36)</f>
        <v>84321219</v>
      </c>
      <c r="E61" s="20" t="str">
        <f t="shared" si="1"/>
        <v>Te esperamos en nuestro WEBINAR y actualiza tus conocimientos para el abordaje clínico de tus pacientes con acné ✨</v>
      </c>
      <c r="F61" s="21" t="str">
        <f t="shared" si="2"/>
        <v>¡Registrate y logralo ahora! 📲 http://bit.ly/3EHYv4j</v>
      </c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</row>
    <row r="62" spans="1:25" ht="15.75" x14ac:dyDescent="0.25">
      <c r="A62" s="20">
        <f t="shared" si="0"/>
        <v>461</v>
      </c>
      <c r="B62" s="20" t="str">
        <f>+VLOOKUP(Table_1[[#This Row],[IdCliente]],BD!$A$2:$BB$1759,54)</f>
        <v>Aragon</v>
      </c>
      <c r="C62" s="21"/>
      <c r="D62" s="20">
        <f>+VLOOKUP(Table_1[[#This Row],[IdCliente]],BD!$A$2:$BA$1759,36)</f>
        <v>57697512</v>
      </c>
      <c r="E62" s="20" t="str">
        <f t="shared" si="1"/>
        <v>Te esperamos en nuestro WEBINAR y actualiza tus conocimientos para el abordaje clínico de tus pacientes con acné ✨</v>
      </c>
      <c r="F62" s="21" t="str">
        <f t="shared" si="2"/>
        <v>¡Registrate y logralo ahora! 📲 http://bit.ly/3EHYv4j</v>
      </c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</row>
    <row r="63" spans="1:25" ht="15.75" x14ac:dyDescent="0.25">
      <c r="A63" s="20">
        <f t="shared" si="0"/>
        <v>462</v>
      </c>
      <c r="B63" s="20" t="str">
        <f>+VLOOKUP(Table_1[[#This Row],[IdCliente]],BD!$A$2:$BB$1759,54)</f>
        <v>Jiron</v>
      </c>
      <c r="C63" s="21"/>
      <c r="D63" s="20">
        <f>+VLOOKUP(Table_1[[#This Row],[IdCliente]],BD!$A$2:$BA$1759,36)</f>
        <v>88414947</v>
      </c>
      <c r="E63" s="20" t="str">
        <f t="shared" si="1"/>
        <v>Te esperamos en nuestro WEBINAR y actualiza tus conocimientos para el abordaje clínico de tus pacientes con acné ✨</v>
      </c>
      <c r="F63" s="21" t="str">
        <f t="shared" si="2"/>
        <v>¡Registrate y logralo ahora! 📲 http://bit.ly/3EHYv4j</v>
      </c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</row>
    <row r="64" spans="1:25" ht="15.75" x14ac:dyDescent="0.25">
      <c r="A64" s="20">
        <f t="shared" si="0"/>
        <v>463</v>
      </c>
      <c r="B64" s="20" t="str">
        <f>+VLOOKUP(Table_1[[#This Row],[IdCliente]],BD!$A$2:$BB$1759,54)</f>
        <v>Lumbi</v>
      </c>
      <c r="C64" s="21"/>
      <c r="D64" s="20">
        <f>+VLOOKUP(Table_1[[#This Row],[IdCliente]],BD!$A$2:$BA$1759,36)</f>
        <v>0</v>
      </c>
      <c r="E64" s="20" t="str">
        <f t="shared" si="1"/>
        <v>Te esperamos en nuestro WEBINAR y actualiza tus conocimientos para el abordaje clínico de tus pacientes con acné ✨</v>
      </c>
      <c r="F64" s="21" t="str">
        <f t="shared" si="2"/>
        <v>¡Registrate y logralo ahora! 📲 http://bit.ly/3EHYv4j</v>
      </c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</row>
    <row r="65" spans="1:25" ht="15.75" x14ac:dyDescent="0.25">
      <c r="A65" s="20">
        <f t="shared" si="0"/>
        <v>464</v>
      </c>
      <c r="B65" s="20" t="str">
        <f>+VLOOKUP(Table_1[[#This Row],[IdCliente]],BD!$A$2:$BB$1759,54)</f>
        <v>Baltodano</v>
      </c>
      <c r="C65" s="21"/>
      <c r="D65" s="20">
        <f>+VLOOKUP(Table_1[[#This Row],[IdCliente]],BD!$A$2:$BA$1759,36)</f>
        <v>86232596</v>
      </c>
      <c r="E65" s="20" t="str">
        <f t="shared" si="1"/>
        <v>Te esperamos en nuestro WEBINAR y actualiza tus conocimientos para el abordaje clínico de tus pacientes con acné ✨</v>
      </c>
      <c r="F65" s="21" t="str">
        <f t="shared" si="2"/>
        <v>¡Registrate y logralo ahora! 📲 http://bit.ly/3EHYv4j</v>
      </c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</row>
    <row r="66" spans="1:25" ht="15.75" x14ac:dyDescent="0.25">
      <c r="A66" s="20">
        <f t="shared" si="0"/>
        <v>465</v>
      </c>
      <c r="B66" s="20" t="str">
        <f>+VLOOKUP(Table_1[[#This Row],[IdCliente]],BD!$A$2:$BB$1759,54)</f>
        <v>Medina</v>
      </c>
      <c r="C66" s="21"/>
      <c r="D66" s="20">
        <f>+VLOOKUP(Table_1[[#This Row],[IdCliente]],BD!$A$2:$BA$1759,36)</f>
        <v>83955002</v>
      </c>
      <c r="E66" s="20" t="str">
        <f t="shared" si="1"/>
        <v>Te esperamos en nuestro WEBINAR y actualiza tus conocimientos para el abordaje clínico de tus pacientes con acné ✨</v>
      </c>
      <c r="F66" s="21" t="str">
        <f t="shared" si="2"/>
        <v>¡Registrate y logralo ahora! 📲 http://bit.ly/3EHYv4j</v>
      </c>
      <c r="G66" s="14"/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</row>
    <row r="67" spans="1:25" ht="15.75" x14ac:dyDescent="0.25">
      <c r="A67" s="20">
        <f t="shared" si="0"/>
        <v>466</v>
      </c>
      <c r="B67" s="20" t="str">
        <f>+VLOOKUP(Table_1[[#This Row],[IdCliente]],BD!$A$2:$BB$1759,54)</f>
        <v>Gomez</v>
      </c>
      <c r="C67" s="21"/>
      <c r="D67" s="20">
        <f>+VLOOKUP(Table_1[[#This Row],[IdCliente]],BD!$A$2:$BA$1759,36)</f>
        <v>84418754</v>
      </c>
      <c r="E67" s="20" t="str">
        <f t="shared" si="1"/>
        <v>Te esperamos en nuestro WEBINAR y actualiza tus conocimientos para el abordaje clínico de tus pacientes con acné ✨</v>
      </c>
      <c r="F67" s="21" t="str">
        <f t="shared" si="2"/>
        <v>¡Registrate y logralo ahora! 📲 http://bit.ly/3EHYv4j</v>
      </c>
      <c r="G67" s="14"/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</row>
    <row r="68" spans="1:25" ht="15.75" x14ac:dyDescent="0.25">
      <c r="A68" s="20">
        <f t="shared" ref="A68:A131" si="3">+A67+1</f>
        <v>467</v>
      </c>
      <c r="B68" s="20" t="str">
        <f>+VLOOKUP(Table_1[[#This Row],[IdCliente]],BD!$A$2:$BB$1759,54)</f>
        <v>Prado</v>
      </c>
      <c r="C68" s="21"/>
      <c r="D68" s="20">
        <f>+VLOOKUP(Table_1[[#This Row],[IdCliente]],BD!$A$2:$BA$1759,36)</f>
        <v>86572260</v>
      </c>
      <c r="E68" s="20" t="str">
        <f t="shared" ref="E68:E131" si="4">+E67</f>
        <v>Te esperamos en nuestro WEBINAR y actualiza tus conocimientos para el abordaje clínico de tus pacientes con acné ✨</v>
      </c>
      <c r="F68" s="21" t="str">
        <f t="shared" ref="F68:F131" si="5">+F67</f>
        <v>¡Registrate y logralo ahora! 📲 http://bit.ly/3EHYv4j</v>
      </c>
      <c r="G68" s="14"/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</row>
    <row r="69" spans="1:25" ht="15.75" x14ac:dyDescent="0.25">
      <c r="A69" s="20">
        <f t="shared" si="3"/>
        <v>468</v>
      </c>
      <c r="B69" s="20" t="str">
        <f>+VLOOKUP(Table_1[[#This Row],[IdCliente]],BD!$A$2:$BB$1759,54)</f>
        <v>Arroliga</v>
      </c>
      <c r="C69" s="21"/>
      <c r="D69" s="20">
        <f>+VLOOKUP(Table_1[[#This Row],[IdCliente]],BD!$A$2:$BA$1759,36)</f>
        <v>58851589</v>
      </c>
      <c r="E69" s="20" t="str">
        <f t="shared" si="4"/>
        <v>Te esperamos en nuestro WEBINAR y actualiza tus conocimientos para el abordaje clínico de tus pacientes con acné ✨</v>
      </c>
      <c r="F69" s="21" t="str">
        <f t="shared" si="5"/>
        <v>¡Registrate y logralo ahora! 📲 http://bit.ly/3EHYv4j</v>
      </c>
      <c r="G69" s="14"/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</row>
    <row r="70" spans="1:25" ht="15.75" x14ac:dyDescent="0.25">
      <c r="A70" s="20">
        <f t="shared" si="3"/>
        <v>469</v>
      </c>
      <c r="B70" s="20" t="str">
        <f>+VLOOKUP(Table_1[[#This Row],[IdCliente]],BD!$A$2:$BB$1759,54)</f>
        <v>Arbizu</v>
      </c>
      <c r="C70" s="21"/>
      <c r="D70" s="20">
        <f>+VLOOKUP(Table_1[[#This Row],[IdCliente]],BD!$A$2:$BA$1759,36)</f>
        <v>84328524</v>
      </c>
      <c r="E70" s="20" t="str">
        <f t="shared" si="4"/>
        <v>Te esperamos en nuestro WEBINAR y actualiza tus conocimientos para el abordaje clínico de tus pacientes con acné ✨</v>
      </c>
      <c r="F70" s="21" t="str">
        <f t="shared" si="5"/>
        <v>¡Registrate y logralo ahora! 📲 http://bit.ly/3EHYv4j</v>
      </c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</row>
    <row r="71" spans="1:25" ht="15.75" x14ac:dyDescent="0.25">
      <c r="A71" s="20">
        <f t="shared" si="3"/>
        <v>470</v>
      </c>
      <c r="B71" s="20" t="str">
        <f>+VLOOKUP(Table_1[[#This Row],[IdCliente]],BD!$A$2:$BB$1759,54)</f>
        <v>Pravia</v>
      </c>
      <c r="C71" s="21"/>
      <c r="D71" s="20">
        <f>+VLOOKUP(Table_1[[#This Row],[IdCliente]],BD!$A$2:$BA$1759,36)</f>
        <v>84048421</v>
      </c>
      <c r="E71" s="20" t="str">
        <f t="shared" si="4"/>
        <v>Te esperamos en nuestro WEBINAR y actualiza tus conocimientos para el abordaje clínico de tus pacientes con acné ✨</v>
      </c>
      <c r="F71" s="21" t="str">
        <f t="shared" si="5"/>
        <v>¡Registrate y logralo ahora! 📲 http://bit.ly/3EHYv4j</v>
      </c>
      <c r="G71" s="14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</row>
    <row r="72" spans="1:25" ht="15.75" x14ac:dyDescent="0.25">
      <c r="A72" s="20">
        <f t="shared" si="3"/>
        <v>471</v>
      </c>
      <c r="B72" s="20" t="str">
        <f>+VLOOKUP(Table_1[[#This Row],[IdCliente]],BD!$A$2:$BB$1759,54)</f>
        <v>Morales</v>
      </c>
      <c r="C72" s="21"/>
      <c r="D72" s="20">
        <f>+VLOOKUP(Table_1[[#This Row],[IdCliente]],BD!$A$2:$BA$1759,36)</f>
        <v>85146100</v>
      </c>
      <c r="E72" s="20" t="str">
        <f t="shared" si="4"/>
        <v>Te esperamos en nuestro WEBINAR y actualiza tus conocimientos para el abordaje clínico de tus pacientes con acné ✨</v>
      </c>
      <c r="F72" s="21" t="str">
        <f t="shared" si="5"/>
        <v>¡Registrate y logralo ahora! 📲 http://bit.ly/3EHYv4j</v>
      </c>
      <c r="G72" s="14"/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</row>
    <row r="73" spans="1:25" ht="15.75" x14ac:dyDescent="0.25">
      <c r="A73" s="20">
        <f t="shared" si="3"/>
        <v>472</v>
      </c>
      <c r="B73" s="20" t="str">
        <f>+VLOOKUP(Table_1[[#This Row],[IdCliente]],BD!$A$2:$BB$1759,54)</f>
        <v>Arcedas</v>
      </c>
      <c r="C73" s="21"/>
      <c r="D73" s="20">
        <f>+VLOOKUP(Table_1[[#This Row],[IdCliente]],BD!$A$2:$BA$1759,36)</f>
        <v>88437031</v>
      </c>
      <c r="E73" s="20" t="str">
        <f t="shared" si="4"/>
        <v>Te esperamos en nuestro WEBINAR y actualiza tus conocimientos para el abordaje clínico de tus pacientes con acné ✨</v>
      </c>
      <c r="F73" s="21" t="str">
        <f t="shared" si="5"/>
        <v>¡Registrate y logralo ahora! 📲 http://bit.ly/3EHYv4j</v>
      </c>
      <c r="G73" s="14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</row>
    <row r="74" spans="1:25" ht="15.75" x14ac:dyDescent="0.25">
      <c r="A74" s="20">
        <f t="shared" si="3"/>
        <v>473</v>
      </c>
      <c r="B74" s="20" t="str">
        <f>+VLOOKUP(Table_1[[#This Row],[IdCliente]],BD!$A$2:$BB$1759,54)</f>
        <v>Solis</v>
      </c>
      <c r="C74" s="21"/>
      <c r="D74" s="20">
        <f>+VLOOKUP(Table_1[[#This Row],[IdCliente]],BD!$A$2:$BA$1759,36)</f>
        <v>83637182</v>
      </c>
      <c r="E74" s="20" t="str">
        <f t="shared" si="4"/>
        <v>Te esperamos en nuestro WEBINAR y actualiza tus conocimientos para el abordaje clínico de tus pacientes con acné ✨</v>
      </c>
      <c r="F74" s="21" t="str">
        <f t="shared" si="5"/>
        <v>¡Registrate y logralo ahora! 📲 http://bit.ly/3EHYv4j</v>
      </c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</row>
    <row r="75" spans="1:25" ht="15.75" x14ac:dyDescent="0.25">
      <c r="A75" s="20">
        <f t="shared" si="3"/>
        <v>474</v>
      </c>
      <c r="B75" s="20" t="str">
        <f>+VLOOKUP(Table_1[[#This Row],[IdCliente]],BD!$A$2:$BB$1759,54)</f>
        <v>Centeno</v>
      </c>
      <c r="C75" s="21"/>
      <c r="D75" s="20">
        <f>+VLOOKUP(Table_1[[#This Row],[IdCliente]],BD!$A$2:$BA$1759,36)</f>
        <v>57113900</v>
      </c>
      <c r="E75" s="20" t="str">
        <f t="shared" si="4"/>
        <v>Te esperamos en nuestro WEBINAR y actualiza tus conocimientos para el abordaje clínico de tus pacientes con acné ✨</v>
      </c>
      <c r="F75" s="21" t="str">
        <f t="shared" si="5"/>
        <v>¡Registrate y logralo ahora! 📲 http://bit.ly/3EHYv4j</v>
      </c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</row>
    <row r="76" spans="1:25" ht="15.75" x14ac:dyDescent="0.25">
      <c r="A76" s="20">
        <f t="shared" si="3"/>
        <v>475</v>
      </c>
      <c r="B76" s="20" t="str">
        <f>+VLOOKUP(Table_1[[#This Row],[IdCliente]],BD!$A$2:$BB$1759,54)</f>
        <v>Reyes</v>
      </c>
      <c r="C76" s="21"/>
      <c r="D76" s="20">
        <f>+VLOOKUP(Table_1[[#This Row],[IdCliente]],BD!$A$2:$BA$1759,36)</f>
        <v>77844838</v>
      </c>
      <c r="E76" s="20" t="str">
        <f t="shared" si="4"/>
        <v>Te esperamos en nuestro WEBINAR y actualiza tus conocimientos para el abordaje clínico de tus pacientes con acné ✨</v>
      </c>
      <c r="F76" s="21" t="str">
        <f t="shared" si="5"/>
        <v>¡Registrate y logralo ahora! 📲 http://bit.ly/3EHYv4j</v>
      </c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</row>
    <row r="77" spans="1:25" ht="15.75" x14ac:dyDescent="0.25">
      <c r="A77" s="20">
        <f t="shared" si="3"/>
        <v>476</v>
      </c>
      <c r="B77" s="20" t="str">
        <f>+VLOOKUP(Table_1[[#This Row],[IdCliente]],BD!$A$2:$BB$1759,54)</f>
        <v>Cruz</v>
      </c>
      <c r="C77" s="21"/>
      <c r="D77" s="20">
        <f>+VLOOKUP(Table_1[[#This Row],[IdCliente]],BD!$A$2:$BA$1759,36)</f>
        <v>58863030</v>
      </c>
      <c r="E77" s="20" t="str">
        <f t="shared" si="4"/>
        <v>Te esperamos en nuestro WEBINAR y actualiza tus conocimientos para el abordaje clínico de tus pacientes con acné ✨</v>
      </c>
      <c r="F77" s="21" t="str">
        <f t="shared" si="5"/>
        <v>¡Registrate y logralo ahora! 📲 http://bit.ly/3EHYv4j</v>
      </c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</row>
    <row r="78" spans="1:25" ht="15.75" x14ac:dyDescent="0.25">
      <c r="A78" s="20">
        <f t="shared" si="3"/>
        <v>477</v>
      </c>
      <c r="B78" s="20" t="str">
        <f>+VLOOKUP(Table_1[[#This Row],[IdCliente]],BD!$A$2:$BB$1759,54)</f>
        <v>Miranda</v>
      </c>
      <c r="C78" s="21"/>
      <c r="D78" s="20">
        <f>+VLOOKUP(Table_1[[#This Row],[IdCliente]],BD!$A$2:$BA$1759,36)</f>
        <v>89163722</v>
      </c>
      <c r="E78" s="20" t="str">
        <f t="shared" si="4"/>
        <v>Te esperamos en nuestro WEBINAR y actualiza tus conocimientos para el abordaje clínico de tus pacientes con acné ✨</v>
      </c>
      <c r="F78" s="21" t="str">
        <f t="shared" si="5"/>
        <v>¡Registrate y logralo ahora! 📲 http://bit.ly/3EHYv4j</v>
      </c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</row>
    <row r="79" spans="1:25" ht="15.75" x14ac:dyDescent="0.25">
      <c r="A79" s="20">
        <f t="shared" si="3"/>
        <v>478</v>
      </c>
      <c r="B79" s="20" t="str">
        <f>+VLOOKUP(Table_1[[#This Row],[IdCliente]],BD!$A$2:$BB$1759,54)</f>
        <v>Palacios</v>
      </c>
      <c r="C79" s="21"/>
      <c r="D79" s="20">
        <f>+VLOOKUP(Table_1[[#This Row],[IdCliente]],BD!$A$2:$BA$1759,36)</f>
        <v>89321935</v>
      </c>
      <c r="E79" s="20" t="str">
        <f t="shared" si="4"/>
        <v>Te esperamos en nuestro WEBINAR y actualiza tus conocimientos para el abordaje clínico de tus pacientes con acné ✨</v>
      </c>
      <c r="F79" s="21" t="str">
        <f t="shared" si="5"/>
        <v>¡Registrate y logralo ahora! 📲 http://bit.ly/3EHYv4j</v>
      </c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</row>
    <row r="80" spans="1:25" ht="15.75" x14ac:dyDescent="0.25">
      <c r="A80" s="20">
        <f t="shared" si="3"/>
        <v>479</v>
      </c>
      <c r="B80" s="20" t="str">
        <f>+VLOOKUP(Table_1[[#This Row],[IdCliente]],BD!$A$2:$BB$1759,54)</f>
        <v>Salgado</v>
      </c>
      <c r="C80" s="21"/>
      <c r="D80" s="20">
        <f>+VLOOKUP(Table_1[[#This Row],[IdCliente]],BD!$A$2:$BA$1759,36)</f>
        <v>85381470</v>
      </c>
      <c r="E80" s="20" t="str">
        <f t="shared" si="4"/>
        <v>Te esperamos en nuestro WEBINAR y actualiza tus conocimientos para el abordaje clínico de tus pacientes con acné ✨</v>
      </c>
      <c r="F80" s="21" t="str">
        <f t="shared" si="5"/>
        <v>¡Registrate y logralo ahora! 📲 http://bit.ly/3EHYv4j</v>
      </c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</row>
    <row r="81" spans="1:25" ht="15.75" x14ac:dyDescent="0.25">
      <c r="A81" s="20">
        <f t="shared" si="3"/>
        <v>480</v>
      </c>
      <c r="B81" s="20" t="str">
        <f>+VLOOKUP(Table_1[[#This Row],[IdCliente]],BD!$A$2:$BB$1759,54)</f>
        <v>Blanco</v>
      </c>
      <c r="C81" s="21"/>
      <c r="D81" s="20">
        <f>+VLOOKUP(Table_1[[#This Row],[IdCliente]],BD!$A$2:$BA$1759,36)</f>
        <v>57121844</v>
      </c>
      <c r="E81" s="20" t="str">
        <f t="shared" si="4"/>
        <v>Te esperamos en nuestro WEBINAR y actualiza tus conocimientos para el abordaje clínico de tus pacientes con acné ✨</v>
      </c>
      <c r="F81" s="21" t="str">
        <f t="shared" si="5"/>
        <v>¡Registrate y logralo ahora! 📲 http://bit.ly/3EHYv4j</v>
      </c>
      <c r="G81" s="14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</row>
    <row r="82" spans="1:25" ht="15.75" x14ac:dyDescent="0.25">
      <c r="A82" s="20">
        <f t="shared" si="3"/>
        <v>481</v>
      </c>
      <c r="B82" s="20" t="str">
        <f>+VLOOKUP(Table_1[[#This Row],[IdCliente]],BD!$A$2:$BB$1759,54)</f>
        <v>Taleno</v>
      </c>
      <c r="C82" s="21"/>
      <c r="D82" s="20">
        <f>+VLOOKUP(Table_1[[#This Row],[IdCliente]],BD!$A$2:$BA$1759,36)</f>
        <v>88575504</v>
      </c>
      <c r="E82" s="20" t="str">
        <f t="shared" si="4"/>
        <v>Te esperamos en nuestro WEBINAR y actualiza tus conocimientos para el abordaje clínico de tus pacientes con acné ✨</v>
      </c>
      <c r="F82" s="21" t="str">
        <f t="shared" si="5"/>
        <v>¡Registrate y logralo ahora! 📲 http://bit.ly/3EHYv4j</v>
      </c>
      <c r="G82" s="14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</row>
    <row r="83" spans="1:25" ht="15.75" x14ac:dyDescent="0.25">
      <c r="A83" s="20">
        <f t="shared" si="3"/>
        <v>482</v>
      </c>
      <c r="B83" s="20" t="str">
        <f>+VLOOKUP(Table_1[[#This Row],[IdCliente]],BD!$A$2:$BB$1759,54)</f>
        <v>Amador</v>
      </c>
      <c r="C83" s="21"/>
      <c r="D83" s="20">
        <f>+VLOOKUP(Table_1[[#This Row],[IdCliente]],BD!$A$2:$BA$1759,36)</f>
        <v>83932731</v>
      </c>
      <c r="E83" s="20" t="str">
        <f t="shared" si="4"/>
        <v>Te esperamos en nuestro WEBINAR y actualiza tus conocimientos para el abordaje clínico de tus pacientes con acné ✨</v>
      </c>
      <c r="F83" s="21" t="str">
        <f t="shared" si="5"/>
        <v>¡Registrate y logralo ahora! 📲 http://bit.ly/3EHYv4j</v>
      </c>
      <c r="G83" s="14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</row>
    <row r="84" spans="1:25" ht="15.75" x14ac:dyDescent="0.25">
      <c r="A84" s="20">
        <f t="shared" si="3"/>
        <v>483</v>
      </c>
      <c r="B84" s="20" t="str">
        <f>+VLOOKUP(Table_1[[#This Row],[IdCliente]],BD!$A$2:$BB$1759,54)</f>
        <v>Perez</v>
      </c>
      <c r="C84" s="21"/>
      <c r="D84" s="20">
        <f>+VLOOKUP(Table_1[[#This Row],[IdCliente]],BD!$A$2:$BA$1759,36)</f>
        <v>82400034</v>
      </c>
      <c r="E84" s="20" t="str">
        <f t="shared" si="4"/>
        <v>Te esperamos en nuestro WEBINAR y actualiza tus conocimientos para el abordaje clínico de tus pacientes con acné ✨</v>
      </c>
      <c r="F84" s="21" t="str">
        <f t="shared" si="5"/>
        <v>¡Registrate y logralo ahora! 📲 http://bit.ly/3EHYv4j</v>
      </c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</row>
    <row r="85" spans="1:25" ht="15.75" x14ac:dyDescent="0.25">
      <c r="A85" s="20">
        <f t="shared" si="3"/>
        <v>484</v>
      </c>
      <c r="B85" s="20" t="str">
        <f>+VLOOKUP(Table_1[[#This Row],[IdCliente]],BD!$A$2:$BB$1759,54)</f>
        <v>Solari</v>
      </c>
      <c r="C85" s="21"/>
      <c r="D85" s="20">
        <f>+VLOOKUP(Table_1[[#This Row],[IdCliente]],BD!$A$2:$BA$1759,36)</f>
        <v>88783700</v>
      </c>
      <c r="E85" s="20" t="str">
        <f t="shared" si="4"/>
        <v>Te esperamos en nuestro WEBINAR y actualiza tus conocimientos para el abordaje clínico de tus pacientes con acné ✨</v>
      </c>
      <c r="F85" s="21" t="str">
        <f t="shared" si="5"/>
        <v>¡Registrate y logralo ahora! 📲 http://bit.ly/3EHYv4j</v>
      </c>
      <c r="G85" s="14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</row>
    <row r="86" spans="1:25" ht="15.75" x14ac:dyDescent="0.25">
      <c r="A86" s="20">
        <f t="shared" si="3"/>
        <v>485</v>
      </c>
      <c r="B86" s="20" t="str">
        <f>+VLOOKUP(Table_1[[#This Row],[IdCliente]],BD!$A$2:$BB$1759,54)</f>
        <v>Orozco</v>
      </c>
      <c r="C86" s="21"/>
      <c r="D86" s="20">
        <f>+VLOOKUP(Table_1[[#This Row],[IdCliente]],BD!$A$2:$BA$1759,36)</f>
        <v>82302222</v>
      </c>
      <c r="E86" s="20" t="str">
        <f t="shared" si="4"/>
        <v>Te esperamos en nuestro WEBINAR y actualiza tus conocimientos para el abordaje clínico de tus pacientes con acné ✨</v>
      </c>
      <c r="F86" s="21" t="str">
        <f t="shared" si="5"/>
        <v>¡Registrate y logralo ahora! 📲 http://bit.ly/3EHYv4j</v>
      </c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</row>
    <row r="87" spans="1:25" ht="15.75" x14ac:dyDescent="0.25">
      <c r="A87" s="20">
        <f t="shared" si="3"/>
        <v>486</v>
      </c>
      <c r="B87" s="20" t="str">
        <f>+VLOOKUP(Table_1[[#This Row],[IdCliente]],BD!$A$2:$BB$1759,54)</f>
        <v>Centeno</v>
      </c>
      <c r="C87" s="21"/>
      <c r="D87" s="20">
        <f>+VLOOKUP(Table_1[[#This Row],[IdCliente]],BD!$A$2:$BA$1759,36)</f>
        <v>84196072</v>
      </c>
      <c r="E87" s="20" t="str">
        <f t="shared" si="4"/>
        <v>Te esperamos en nuestro WEBINAR y actualiza tus conocimientos para el abordaje clínico de tus pacientes con acné ✨</v>
      </c>
      <c r="F87" s="21" t="str">
        <f t="shared" si="5"/>
        <v>¡Registrate y logralo ahora! 📲 http://bit.ly/3EHYv4j</v>
      </c>
      <c r="G87" s="14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</row>
    <row r="88" spans="1:25" ht="15.75" x14ac:dyDescent="0.25">
      <c r="A88" s="20">
        <f t="shared" si="3"/>
        <v>487</v>
      </c>
      <c r="B88" s="20" t="str">
        <f>+VLOOKUP(Table_1[[#This Row],[IdCliente]],BD!$A$2:$BB$1759,54)</f>
        <v>Aguilar</v>
      </c>
      <c r="C88" s="21"/>
      <c r="D88" s="20">
        <f>+VLOOKUP(Table_1[[#This Row],[IdCliente]],BD!$A$2:$BA$1759,36)</f>
        <v>77964714</v>
      </c>
      <c r="E88" s="20" t="str">
        <f t="shared" si="4"/>
        <v>Te esperamos en nuestro WEBINAR y actualiza tus conocimientos para el abordaje clínico de tus pacientes con acné ✨</v>
      </c>
      <c r="F88" s="21" t="str">
        <f t="shared" si="5"/>
        <v>¡Registrate y logralo ahora! 📲 http://bit.ly/3EHYv4j</v>
      </c>
      <c r="G88" s="14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</row>
    <row r="89" spans="1:25" ht="15.75" x14ac:dyDescent="0.25">
      <c r="A89" s="20">
        <f t="shared" si="3"/>
        <v>488</v>
      </c>
      <c r="B89" s="20" t="str">
        <f>+VLOOKUP(Table_1[[#This Row],[IdCliente]],BD!$A$2:$BB$1759,54)</f>
        <v>Vanegas</v>
      </c>
      <c r="C89" s="21"/>
      <c r="D89" s="20">
        <f>+VLOOKUP(Table_1[[#This Row],[IdCliente]],BD!$A$2:$BA$1759,36)</f>
        <v>88072015</v>
      </c>
      <c r="E89" s="20" t="str">
        <f t="shared" si="4"/>
        <v>Te esperamos en nuestro WEBINAR y actualiza tus conocimientos para el abordaje clínico de tus pacientes con acné ✨</v>
      </c>
      <c r="F89" s="21" t="str">
        <f t="shared" si="5"/>
        <v>¡Registrate y logralo ahora! 📲 http://bit.ly/3EHYv4j</v>
      </c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</row>
    <row r="90" spans="1:25" ht="15.75" x14ac:dyDescent="0.25">
      <c r="A90" s="20">
        <f t="shared" si="3"/>
        <v>489</v>
      </c>
      <c r="B90" s="20" t="str">
        <f>+VLOOKUP(Table_1[[#This Row],[IdCliente]],BD!$A$2:$BB$1759,54)</f>
        <v>Castellon</v>
      </c>
      <c r="C90" s="21"/>
      <c r="D90" s="20">
        <f>+VLOOKUP(Table_1[[#This Row],[IdCliente]],BD!$A$2:$BA$1759,36)</f>
        <v>83711297</v>
      </c>
      <c r="E90" s="20" t="str">
        <f t="shared" si="4"/>
        <v>Te esperamos en nuestro WEBINAR y actualiza tus conocimientos para el abordaje clínico de tus pacientes con acné ✨</v>
      </c>
      <c r="F90" s="21" t="str">
        <f t="shared" si="5"/>
        <v>¡Registrate y logralo ahora! 📲 http://bit.ly/3EHYv4j</v>
      </c>
      <c r="G90" s="14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</row>
    <row r="91" spans="1:25" ht="15.75" x14ac:dyDescent="0.25">
      <c r="A91" s="20">
        <f t="shared" si="3"/>
        <v>490</v>
      </c>
      <c r="B91" s="20" t="str">
        <f>+VLOOKUP(Table_1[[#This Row],[IdCliente]],BD!$A$2:$BB$1759,54)</f>
        <v>Mayorga</v>
      </c>
      <c r="C91" s="21"/>
      <c r="D91" s="20">
        <f>+VLOOKUP(Table_1[[#This Row],[IdCliente]],BD!$A$2:$BA$1759,36)</f>
        <v>89692972</v>
      </c>
      <c r="E91" s="20" t="str">
        <f t="shared" si="4"/>
        <v>Te esperamos en nuestro WEBINAR y actualiza tus conocimientos para el abordaje clínico de tus pacientes con acné ✨</v>
      </c>
      <c r="F91" s="21" t="str">
        <f t="shared" si="5"/>
        <v>¡Registrate y logralo ahora! 📲 http://bit.ly/3EHYv4j</v>
      </c>
      <c r="G91" s="14"/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</row>
    <row r="92" spans="1:25" ht="15.75" x14ac:dyDescent="0.25">
      <c r="A92" s="20">
        <f t="shared" si="3"/>
        <v>491</v>
      </c>
      <c r="B92" s="20" t="str">
        <f>+VLOOKUP(Table_1[[#This Row],[IdCliente]],BD!$A$2:$BB$1759,54)</f>
        <v>Madriz</v>
      </c>
      <c r="C92" s="21"/>
      <c r="D92" s="20">
        <f>+VLOOKUP(Table_1[[#This Row],[IdCliente]],BD!$A$2:$BA$1759,36)</f>
        <v>89557160</v>
      </c>
      <c r="E92" s="20" t="str">
        <f t="shared" si="4"/>
        <v>Te esperamos en nuestro WEBINAR y actualiza tus conocimientos para el abordaje clínico de tus pacientes con acné ✨</v>
      </c>
      <c r="F92" s="21" t="str">
        <f t="shared" si="5"/>
        <v>¡Registrate y logralo ahora! 📲 http://bit.ly/3EHYv4j</v>
      </c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</row>
    <row r="93" spans="1:25" ht="15.75" x14ac:dyDescent="0.25">
      <c r="A93" s="20">
        <f t="shared" si="3"/>
        <v>492</v>
      </c>
      <c r="B93" s="20" t="str">
        <f>+VLOOKUP(Table_1[[#This Row],[IdCliente]],BD!$A$2:$BB$1759,54)</f>
        <v>Miranda</v>
      </c>
      <c r="C93" s="21"/>
      <c r="D93" s="20">
        <f>+VLOOKUP(Table_1[[#This Row],[IdCliente]],BD!$A$2:$BA$1759,36)</f>
        <v>85184004</v>
      </c>
      <c r="E93" s="20" t="str">
        <f t="shared" si="4"/>
        <v>Te esperamos en nuestro WEBINAR y actualiza tus conocimientos para el abordaje clínico de tus pacientes con acné ✨</v>
      </c>
      <c r="F93" s="21" t="str">
        <f t="shared" si="5"/>
        <v>¡Registrate y logralo ahora! 📲 http://bit.ly/3EHYv4j</v>
      </c>
      <c r="G93" s="14"/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</row>
    <row r="94" spans="1:25" ht="15.75" x14ac:dyDescent="0.25">
      <c r="A94" s="20">
        <f t="shared" si="3"/>
        <v>493</v>
      </c>
      <c r="B94" s="20" t="str">
        <f>+VLOOKUP(Table_1[[#This Row],[IdCliente]],BD!$A$2:$BB$1759,54)</f>
        <v>Martinez</v>
      </c>
      <c r="C94" s="21"/>
      <c r="D94" s="20">
        <f>+VLOOKUP(Table_1[[#This Row],[IdCliente]],BD!$A$2:$BA$1759,36)</f>
        <v>57918595</v>
      </c>
      <c r="E94" s="20" t="str">
        <f t="shared" si="4"/>
        <v>Te esperamos en nuestro WEBINAR y actualiza tus conocimientos para el abordaje clínico de tus pacientes con acné ✨</v>
      </c>
      <c r="F94" s="21" t="str">
        <f t="shared" si="5"/>
        <v>¡Registrate y logralo ahora! 📲 http://bit.ly/3EHYv4j</v>
      </c>
      <c r="G94" s="14"/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</row>
    <row r="95" spans="1:25" ht="15.75" x14ac:dyDescent="0.25">
      <c r="A95" s="20">
        <f t="shared" si="3"/>
        <v>494</v>
      </c>
      <c r="B95" s="20" t="str">
        <f>+VLOOKUP(Table_1[[#This Row],[IdCliente]],BD!$A$2:$BB$1759,54)</f>
        <v>Fitoria</v>
      </c>
      <c r="C95" s="21"/>
      <c r="D95" s="20">
        <f>+VLOOKUP(Table_1[[#This Row],[IdCliente]],BD!$A$2:$BA$1759,36)</f>
        <v>86110953</v>
      </c>
      <c r="E95" s="20" t="str">
        <f t="shared" si="4"/>
        <v>Te esperamos en nuestro WEBINAR y actualiza tus conocimientos para el abordaje clínico de tus pacientes con acné ✨</v>
      </c>
      <c r="F95" s="21" t="str">
        <f t="shared" si="5"/>
        <v>¡Registrate y logralo ahora! 📲 http://bit.ly/3EHYv4j</v>
      </c>
      <c r="G95" s="14"/>
      <c r="H95" s="14"/>
      <c r="I95" s="14"/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4"/>
      <c r="U95" s="14"/>
      <c r="V95" s="14"/>
      <c r="W95" s="14"/>
      <c r="X95" s="14"/>
      <c r="Y95" s="14"/>
    </row>
    <row r="96" spans="1:25" ht="15.75" x14ac:dyDescent="0.25">
      <c r="A96" s="20">
        <f t="shared" si="3"/>
        <v>495</v>
      </c>
      <c r="B96" s="20" t="str">
        <f>+VLOOKUP(Table_1[[#This Row],[IdCliente]],BD!$A$2:$BB$1759,54)</f>
        <v>Cantarero</v>
      </c>
      <c r="C96" s="21"/>
      <c r="D96" s="20">
        <f>+VLOOKUP(Table_1[[#This Row],[IdCliente]],BD!$A$2:$BA$1759,36)</f>
        <v>81441732</v>
      </c>
      <c r="E96" s="20" t="str">
        <f t="shared" si="4"/>
        <v>Te esperamos en nuestro WEBINAR y actualiza tus conocimientos para el abordaje clínico de tus pacientes con acné ✨</v>
      </c>
      <c r="F96" s="21" t="str">
        <f t="shared" si="5"/>
        <v>¡Registrate y logralo ahora! 📲 http://bit.ly/3EHYv4j</v>
      </c>
      <c r="G96" s="14"/>
      <c r="H96" s="14"/>
      <c r="I96" s="14"/>
      <c r="J96" s="14"/>
      <c r="K96" s="14"/>
      <c r="L96" s="14"/>
      <c r="M96" s="14"/>
      <c r="N96" s="14"/>
      <c r="O96" s="14"/>
      <c r="P96" s="14"/>
      <c r="Q96" s="14"/>
      <c r="R96" s="14"/>
      <c r="S96" s="14"/>
      <c r="T96" s="14"/>
      <c r="U96" s="14"/>
      <c r="V96" s="14"/>
      <c r="W96" s="14"/>
      <c r="X96" s="14"/>
      <c r="Y96" s="14"/>
    </row>
    <row r="97" spans="1:25" ht="15.75" x14ac:dyDescent="0.25">
      <c r="A97" s="20">
        <f t="shared" si="3"/>
        <v>496</v>
      </c>
      <c r="B97" s="20" t="str">
        <f>+VLOOKUP(Table_1[[#This Row],[IdCliente]],BD!$A$2:$BB$1759,54)</f>
        <v>Gutierrez</v>
      </c>
      <c r="C97" s="21"/>
      <c r="D97" s="20">
        <f>+VLOOKUP(Table_1[[#This Row],[IdCliente]],BD!$A$2:$BA$1759,36)</f>
        <v>57247463</v>
      </c>
      <c r="E97" s="20" t="str">
        <f t="shared" si="4"/>
        <v>Te esperamos en nuestro WEBINAR y actualiza tus conocimientos para el abordaje clínico de tus pacientes con acné ✨</v>
      </c>
      <c r="F97" s="21" t="str">
        <f t="shared" si="5"/>
        <v>¡Registrate y logralo ahora! 📲 http://bit.ly/3EHYv4j</v>
      </c>
      <c r="G97" s="14"/>
      <c r="H97" s="14"/>
      <c r="I97" s="14"/>
      <c r="J97" s="14"/>
      <c r="K97" s="14"/>
      <c r="L97" s="14"/>
      <c r="M97" s="14"/>
      <c r="N97" s="14"/>
      <c r="O97" s="14"/>
      <c r="P97" s="14"/>
      <c r="Q97" s="14"/>
      <c r="R97" s="14"/>
      <c r="S97" s="14"/>
      <c r="T97" s="14"/>
      <c r="U97" s="14"/>
      <c r="V97" s="14"/>
      <c r="W97" s="14"/>
      <c r="X97" s="14"/>
      <c r="Y97" s="14"/>
    </row>
    <row r="98" spans="1:25" ht="15.75" x14ac:dyDescent="0.25">
      <c r="A98" s="20">
        <f t="shared" si="3"/>
        <v>497</v>
      </c>
      <c r="B98" s="20" t="str">
        <f>+VLOOKUP(Table_1[[#This Row],[IdCliente]],BD!$A$2:$BB$1759,54)</f>
        <v>Santana</v>
      </c>
      <c r="C98" s="21"/>
      <c r="D98" s="20">
        <f>+VLOOKUP(Table_1[[#This Row],[IdCliente]],BD!$A$2:$BA$1759,36)</f>
        <v>84451285</v>
      </c>
      <c r="E98" s="20" t="str">
        <f t="shared" si="4"/>
        <v>Te esperamos en nuestro WEBINAR y actualiza tus conocimientos para el abordaje clínico de tus pacientes con acné ✨</v>
      </c>
      <c r="F98" s="21" t="str">
        <f t="shared" si="5"/>
        <v>¡Registrate y logralo ahora! 📲 http://bit.ly/3EHYv4j</v>
      </c>
      <c r="G98" s="14"/>
      <c r="H98" s="14"/>
      <c r="I98" s="14"/>
      <c r="J98" s="14"/>
      <c r="K98" s="14"/>
      <c r="L98" s="14"/>
      <c r="M98" s="14"/>
      <c r="N98" s="14"/>
      <c r="O98" s="14"/>
      <c r="P98" s="14"/>
      <c r="Q98" s="14"/>
      <c r="R98" s="14"/>
      <c r="S98" s="14"/>
      <c r="T98" s="14"/>
      <c r="U98" s="14"/>
      <c r="V98" s="14"/>
      <c r="W98" s="14"/>
      <c r="X98" s="14"/>
      <c r="Y98" s="14"/>
    </row>
    <row r="99" spans="1:25" ht="15.75" x14ac:dyDescent="0.25">
      <c r="A99" s="20">
        <f t="shared" si="3"/>
        <v>498</v>
      </c>
      <c r="B99" s="20" t="str">
        <f>+VLOOKUP(Table_1[[#This Row],[IdCliente]],BD!$A$2:$BB$1759,54)</f>
        <v>Bogran</v>
      </c>
      <c r="C99" s="21"/>
      <c r="D99" s="20">
        <f>+VLOOKUP(Table_1[[#This Row],[IdCliente]],BD!$A$2:$BA$1759,36)</f>
        <v>84336877</v>
      </c>
      <c r="E99" s="20" t="str">
        <f t="shared" si="4"/>
        <v>Te esperamos en nuestro WEBINAR y actualiza tus conocimientos para el abordaje clínico de tus pacientes con acné ✨</v>
      </c>
      <c r="F99" s="21" t="str">
        <f t="shared" si="5"/>
        <v>¡Registrate y logralo ahora! 📲 http://bit.ly/3EHYv4j</v>
      </c>
      <c r="G99" s="14"/>
      <c r="H99" s="14"/>
      <c r="I99" s="14"/>
      <c r="J99" s="14"/>
      <c r="K99" s="14"/>
      <c r="L99" s="14"/>
      <c r="M99" s="14"/>
      <c r="N99" s="14"/>
      <c r="O99" s="14"/>
      <c r="P99" s="14"/>
      <c r="Q99" s="14"/>
      <c r="R99" s="14"/>
      <c r="S99" s="14"/>
      <c r="T99" s="14"/>
      <c r="U99" s="14"/>
      <c r="V99" s="14"/>
      <c r="W99" s="14"/>
      <c r="X99" s="14"/>
      <c r="Y99" s="14"/>
    </row>
    <row r="100" spans="1:25" ht="15.75" x14ac:dyDescent="0.25">
      <c r="A100" s="20">
        <f t="shared" si="3"/>
        <v>499</v>
      </c>
      <c r="B100" s="20" t="str">
        <f>+VLOOKUP(Table_1[[#This Row],[IdCliente]],BD!$A$2:$BB$1759,54)</f>
        <v>De La Cruz</v>
      </c>
      <c r="C100" s="21"/>
      <c r="D100" s="20">
        <f>+VLOOKUP(Table_1[[#This Row],[IdCliente]],BD!$A$2:$BA$1759,36)</f>
        <v>76584917</v>
      </c>
      <c r="E100" s="20" t="str">
        <f t="shared" si="4"/>
        <v>Te esperamos en nuestro WEBINAR y actualiza tus conocimientos para el abordaje clínico de tus pacientes con acné ✨</v>
      </c>
      <c r="F100" s="21" t="str">
        <f t="shared" si="5"/>
        <v>¡Registrate y logralo ahora! 📲 http://bit.ly/3EHYv4j</v>
      </c>
      <c r="G100" s="14"/>
      <c r="H100" s="14"/>
      <c r="I100" s="14"/>
      <c r="J100" s="14"/>
      <c r="K100" s="14"/>
      <c r="L100" s="14"/>
      <c r="M100" s="14"/>
      <c r="N100" s="14"/>
      <c r="O100" s="14"/>
      <c r="P100" s="14"/>
      <c r="Q100" s="14"/>
      <c r="R100" s="14"/>
      <c r="S100" s="14"/>
      <c r="T100" s="14"/>
      <c r="U100" s="14"/>
      <c r="V100" s="14"/>
      <c r="W100" s="14"/>
      <c r="X100" s="14"/>
      <c r="Y100" s="14"/>
    </row>
    <row r="101" spans="1:25" ht="15.75" x14ac:dyDescent="0.25">
      <c r="A101" s="20">
        <f t="shared" si="3"/>
        <v>500</v>
      </c>
      <c r="B101" s="20" t="str">
        <f>+VLOOKUP(Table_1[[#This Row],[IdCliente]],BD!$A$2:$BB$1759,54)</f>
        <v>Ponce</v>
      </c>
      <c r="C101" s="21"/>
      <c r="D101" s="20">
        <f>+VLOOKUP(Table_1[[#This Row],[IdCliente]],BD!$A$2:$BA$1759,36)</f>
        <v>77357465</v>
      </c>
      <c r="E101" s="20" t="str">
        <f t="shared" si="4"/>
        <v>Te esperamos en nuestro WEBINAR y actualiza tus conocimientos para el abordaje clínico de tus pacientes con acné ✨</v>
      </c>
      <c r="F101" s="21" t="str">
        <f t="shared" si="5"/>
        <v>¡Registrate y logralo ahora! 📲 http://bit.ly/3EHYv4j</v>
      </c>
      <c r="G101" s="14"/>
      <c r="H101" s="14"/>
      <c r="I101" s="14"/>
      <c r="J101" s="14"/>
      <c r="K101" s="14"/>
      <c r="L101" s="14"/>
      <c r="M101" s="14"/>
      <c r="N101" s="14"/>
      <c r="O101" s="14"/>
      <c r="P101" s="14"/>
      <c r="Q101" s="14"/>
      <c r="R101" s="14"/>
      <c r="S101" s="14"/>
      <c r="T101" s="14"/>
      <c r="U101" s="14"/>
      <c r="V101" s="14"/>
      <c r="W101" s="14"/>
      <c r="X101" s="14"/>
      <c r="Y101" s="14"/>
    </row>
    <row r="102" spans="1:25" ht="15.75" x14ac:dyDescent="0.25">
      <c r="A102" s="20">
        <f t="shared" si="3"/>
        <v>501</v>
      </c>
      <c r="B102" s="20" t="str">
        <f>+VLOOKUP(Table_1[[#This Row],[IdCliente]],BD!$A$2:$BB$1759,54)</f>
        <v>De Trinidad</v>
      </c>
      <c r="C102" s="21"/>
      <c r="D102" s="20">
        <f>+VLOOKUP(Table_1[[#This Row],[IdCliente]],BD!$A$2:$BA$1759,36)</f>
        <v>84819137</v>
      </c>
      <c r="E102" s="20" t="str">
        <f t="shared" si="4"/>
        <v>Te esperamos en nuestro WEBINAR y actualiza tus conocimientos para el abordaje clínico de tus pacientes con acné ✨</v>
      </c>
      <c r="F102" s="21" t="str">
        <f t="shared" si="5"/>
        <v>¡Registrate y logralo ahora! 📲 http://bit.ly/3EHYv4j</v>
      </c>
      <c r="G102" s="14"/>
      <c r="H102" s="14"/>
      <c r="I102" s="14"/>
      <c r="J102" s="14"/>
      <c r="K102" s="14"/>
      <c r="L102" s="14"/>
      <c r="M102" s="14"/>
      <c r="N102" s="14"/>
      <c r="O102" s="14"/>
      <c r="P102" s="14"/>
      <c r="Q102" s="14"/>
      <c r="R102" s="14"/>
      <c r="S102" s="14"/>
      <c r="T102" s="14"/>
      <c r="U102" s="14"/>
      <c r="V102" s="14"/>
      <c r="W102" s="14"/>
      <c r="X102" s="14"/>
      <c r="Y102" s="14"/>
    </row>
    <row r="103" spans="1:25" ht="15.75" x14ac:dyDescent="0.25">
      <c r="A103" s="20">
        <f t="shared" si="3"/>
        <v>502</v>
      </c>
      <c r="B103" s="20" t="str">
        <f>+VLOOKUP(Table_1[[#This Row],[IdCliente]],BD!$A$2:$BB$1759,54)</f>
        <v>Renteria</v>
      </c>
      <c r="C103" s="21"/>
      <c r="D103" s="20">
        <f>+VLOOKUP(Table_1[[#This Row],[IdCliente]],BD!$A$2:$BA$1759,36)</f>
        <v>85604619</v>
      </c>
      <c r="E103" s="20" t="str">
        <f t="shared" si="4"/>
        <v>Te esperamos en nuestro WEBINAR y actualiza tus conocimientos para el abordaje clínico de tus pacientes con acné ✨</v>
      </c>
      <c r="F103" s="21" t="str">
        <f t="shared" si="5"/>
        <v>¡Registrate y logralo ahora! 📲 http://bit.ly/3EHYv4j</v>
      </c>
      <c r="G103" s="14"/>
      <c r="H103" s="14"/>
      <c r="I103" s="14"/>
      <c r="J103" s="14"/>
      <c r="K103" s="14"/>
      <c r="L103" s="14"/>
      <c r="M103" s="14"/>
      <c r="N103" s="14"/>
      <c r="O103" s="14"/>
      <c r="P103" s="14"/>
      <c r="Q103" s="14"/>
      <c r="R103" s="14"/>
      <c r="S103" s="14"/>
      <c r="T103" s="14"/>
      <c r="U103" s="14"/>
      <c r="V103" s="14"/>
      <c r="W103" s="14"/>
      <c r="X103" s="14"/>
      <c r="Y103" s="14"/>
    </row>
    <row r="104" spans="1:25" ht="15.75" x14ac:dyDescent="0.25">
      <c r="A104" s="20">
        <f t="shared" si="3"/>
        <v>503</v>
      </c>
      <c r="B104" s="20" t="str">
        <f>+VLOOKUP(Table_1[[#This Row],[IdCliente]],BD!$A$2:$BB$1759,54)</f>
        <v>Lumbi</v>
      </c>
      <c r="C104" s="21"/>
      <c r="D104" s="20">
        <f>+VLOOKUP(Table_1[[#This Row],[IdCliente]],BD!$A$2:$BA$1759,36)</f>
        <v>86032072</v>
      </c>
      <c r="E104" s="20" t="str">
        <f t="shared" si="4"/>
        <v>Te esperamos en nuestro WEBINAR y actualiza tus conocimientos para el abordaje clínico de tus pacientes con acné ✨</v>
      </c>
      <c r="F104" s="21" t="str">
        <f t="shared" si="5"/>
        <v>¡Registrate y logralo ahora! 📲 http://bit.ly/3EHYv4j</v>
      </c>
      <c r="G104" s="14"/>
      <c r="H104" s="14"/>
      <c r="I104" s="14"/>
      <c r="J104" s="14"/>
      <c r="K104" s="14"/>
      <c r="L104" s="14"/>
      <c r="M104" s="14"/>
      <c r="N104" s="14"/>
      <c r="O104" s="14"/>
      <c r="P104" s="14"/>
      <c r="Q104" s="14"/>
      <c r="R104" s="14"/>
      <c r="S104" s="14"/>
      <c r="T104" s="14"/>
      <c r="U104" s="14"/>
      <c r="V104" s="14"/>
      <c r="W104" s="14"/>
      <c r="X104" s="14"/>
      <c r="Y104" s="14"/>
    </row>
    <row r="105" spans="1:25" ht="15.75" x14ac:dyDescent="0.25">
      <c r="A105" s="20">
        <f t="shared" si="3"/>
        <v>504</v>
      </c>
      <c r="B105" s="20" t="str">
        <f>+VLOOKUP(Table_1[[#This Row],[IdCliente]],BD!$A$2:$BB$1759,54)</f>
        <v>Vilchez</v>
      </c>
      <c r="C105" s="21"/>
      <c r="D105" s="20">
        <f>+VLOOKUP(Table_1[[#This Row],[IdCliente]],BD!$A$2:$BA$1759,36)</f>
        <v>81722820</v>
      </c>
      <c r="E105" s="20" t="str">
        <f t="shared" si="4"/>
        <v>Te esperamos en nuestro WEBINAR y actualiza tus conocimientos para el abordaje clínico de tus pacientes con acné ✨</v>
      </c>
      <c r="F105" s="21" t="str">
        <f t="shared" si="5"/>
        <v>¡Registrate y logralo ahora! 📲 http://bit.ly/3EHYv4j</v>
      </c>
      <c r="G105" s="14"/>
      <c r="H105" s="14"/>
      <c r="I105" s="14"/>
      <c r="J105" s="14"/>
      <c r="K105" s="14"/>
      <c r="L105" s="14"/>
      <c r="M105" s="14"/>
      <c r="N105" s="14"/>
      <c r="O105" s="14"/>
      <c r="P105" s="14"/>
      <c r="Q105" s="14"/>
      <c r="R105" s="14"/>
      <c r="S105" s="14"/>
      <c r="T105" s="14"/>
      <c r="U105" s="14"/>
      <c r="V105" s="14"/>
      <c r="W105" s="14"/>
      <c r="X105" s="14"/>
      <c r="Y105" s="14"/>
    </row>
    <row r="106" spans="1:25" ht="15.75" x14ac:dyDescent="0.25">
      <c r="A106" s="20">
        <f t="shared" si="3"/>
        <v>505</v>
      </c>
      <c r="B106" s="20" t="str">
        <f>+VLOOKUP(Table_1[[#This Row],[IdCliente]],BD!$A$2:$BB$1759,54)</f>
        <v>Segura</v>
      </c>
      <c r="C106" s="21"/>
      <c r="D106" s="20">
        <f>+VLOOKUP(Table_1[[#This Row],[IdCliente]],BD!$A$2:$BA$1759,36)</f>
        <v>77060612</v>
      </c>
      <c r="E106" s="20" t="str">
        <f t="shared" si="4"/>
        <v>Te esperamos en nuestro WEBINAR y actualiza tus conocimientos para el abordaje clínico de tus pacientes con acné ✨</v>
      </c>
      <c r="F106" s="21" t="str">
        <f t="shared" si="5"/>
        <v>¡Registrate y logralo ahora! 📲 http://bit.ly/3EHYv4j</v>
      </c>
      <c r="G106" s="14"/>
      <c r="H106" s="14"/>
      <c r="I106" s="14"/>
      <c r="J106" s="14"/>
      <c r="K106" s="14"/>
      <c r="L106" s="14"/>
      <c r="M106" s="14"/>
      <c r="N106" s="14"/>
      <c r="O106" s="14"/>
      <c r="P106" s="14"/>
      <c r="Q106" s="14"/>
      <c r="R106" s="14"/>
      <c r="S106" s="14"/>
      <c r="T106" s="14"/>
      <c r="U106" s="14"/>
      <c r="V106" s="14"/>
      <c r="W106" s="14"/>
      <c r="X106" s="14"/>
      <c r="Y106" s="14"/>
    </row>
    <row r="107" spans="1:25" ht="15.75" x14ac:dyDescent="0.25">
      <c r="A107" s="20">
        <f t="shared" si="3"/>
        <v>506</v>
      </c>
      <c r="B107" s="20" t="str">
        <f>+VLOOKUP(Table_1[[#This Row],[IdCliente]],BD!$A$2:$BB$1759,54)</f>
        <v>Solis</v>
      </c>
      <c r="C107" s="21"/>
      <c r="D107" s="20">
        <f>+VLOOKUP(Table_1[[#This Row],[IdCliente]],BD!$A$2:$BA$1759,36)</f>
        <v>76706289</v>
      </c>
      <c r="E107" s="20" t="str">
        <f t="shared" si="4"/>
        <v>Te esperamos en nuestro WEBINAR y actualiza tus conocimientos para el abordaje clínico de tus pacientes con acné ✨</v>
      </c>
      <c r="F107" s="21" t="str">
        <f t="shared" si="5"/>
        <v>¡Registrate y logralo ahora! 📲 http://bit.ly/3EHYv4j</v>
      </c>
      <c r="G107" s="14"/>
      <c r="H107" s="14"/>
      <c r="I107" s="14"/>
      <c r="J107" s="14"/>
      <c r="K107" s="14"/>
      <c r="L107" s="14"/>
      <c r="M107" s="14"/>
      <c r="N107" s="14"/>
      <c r="O107" s="14"/>
      <c r="P107" s="14"/>
      <c r="Q107" s="14"/>
      <c r="R107" s="14"/>
      <c r="S107" s="14"/>
      <c r="T107" s="14"/>
      <c r="U107" s="14"/>
      <c r="V107" s="14"/>
      <c r="W107" s="14"/>
      <c r="X107" s="14"/>
      <c r="Y107" s="14"/>
    </row>
    <row r="108" spans="1:25" ht="15.75" x14ac:dyDescent="0.25">
      <c r="A108" s="20">
        <f t="shared" si="3"/>
        <v>507</v>
      </c>
      <c r="B108" s="20" t="str">
        <f>+VLOOKUP(Table_1[[#This Row],[IdCliente]],BD!$A$2:$BB$1759,54)</f>
        <v>Ardon</v>
      </c>
      <c r="C108" s="21"/>
      <c r="D108" s="20">
        <f>+VLOOKUP(Table_1[[#This Row],[IdCliente]],BD!$A$2:$BA$1759,36)</f>
        <v>82116453</v>
      </c>
      <c r="E108" s="20" t="str">
        <f t="shared" si="4"/>
        <v>Te esperamos en nuestro WEBINAR y actualiza tus conocimientos para el abordaje clínico de tus pacientes con acné ✨</v>
      </c>
      <c r="F108" s="21" t="str">
        <f t="shared" si="5"/>
        <v>¡Registrate y logralo ahora! 📲 http://bit.ly/3EHYv4j</v>
      </c>
      <c r="G108" s="14"/>
      <c r="H108" s="14"/>
      <c r="I108" s="14"/>
      <c r="J108" s="14"/>
      <c r="K108" s="14"/>
      <c r="L108" s="14"/>
      <c r="M108" s="14"/>
      <c r="N108" s="14"/>
      <c r="O108" s="14"/>
      <c r="P108" s="14"/>
      <c r="Q108" s="14"/>
      <c r="R108" s="14"/>
      <c r="S108" s="14"/>
      <c r="T108" s="14"/>
      <c r="U108" s="14"/>
      <c r="V108" s="14"/>
      <c r="W108" s="14"/>
      <c r="X108" s="14"/>
      <c r="Y108" s="14"/>
    </row>
    <row r="109" spans="1:25" ht="15.75" x14ac:dyDescent="0.25">
      <c r="A109" s="20">
        <f t="shared" si="3"/>
        <v>508</v>
      </c>
      <c r="B109" s="20" t="str">
        <f>+VLOOKUP(Table_1[[#This Row],[IdCliente]],BD!$A$2:$BB$1759,54)</f>
        <v>Mendoza</v>
      </c>
      <c r="C109" s="21"/>
      <c r="D109" s="20">
        <f>+VLOOKUP(Table_1[[#This Row],[IdCliente]],BD!$A$2:$BA$1759,36)</f>
        <v>86303663</v>
      </c>
      <c r="E109" s="20" t="str">
        <f t="shared" si="4"/>
        <v>Te esperamos en nuestro WEBINAR y actualiza tus conocimientos para el abordaje clínico de tus pacientes con acné ✨</v>
      </c>
      <c r="F109" s="21" t="str">
        <f t="shared" si="5"/>
        <v>¡Registrate y logralo ahora! 📲 http://bit.ly/3EHYv4j</v>
      </c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</row>
    <row r="110" spans="1:25" ht="15.75" x14ac:dyDescent="0.25">
      <c r="A110" s="20">
        <f t="shared" si="3"/>
        <v>509</v>
      </c>
      <c r="B110" s="20" t="str">
        <f>+VLOOKUP(Table_1[[#This Row],[IdCliente]],BD!$A$2:$BB$1759,54)</f>
        <v>Cox</v>
      </c>
      <c r="C110" s="21"/>
      <c r="D110" s="20">
        <f>+VLOOKUP(Table_1[[#This Row],[IdCliente]],BD!$A$2:$BA$1759,36)</f>
        <v>89298435</v>
      </c>
      <c r="E110" s="20" t="str">
        <f t="shared" si="4"/>
        <v>Te esperamos en nuestro WEBINAR y actualiza tus conocimientos para el abordaje clínico de tus pacientes con acné ✨</v>
      </c>
      <c r="F110" s="21" t="str">
        <f t="shared" si="5"/>
        <v>¡Registrate y logralo ahora! 📲 http://bit.ly/3EHYv4j</v>
      </c>
      <c r="G110" s="14"/>
      <c r="H110" s="14"/>
      <c r="I110" s="14"/>
      <c r="J110" s="14"/>
      <c r="K110" s="14"/>
      <c r="L110" s="14"/>
      <c r="M110" s="14"/>
      <c r="N110" s="14"/>
      <c r="O110" s="14"/>
      <c r="P110" s="14"/>
      <c r="Q110" s="14"/>
      <c r="R110" s="14"/>
      <c r="S110" s="14"/>
      <c r="T110" s="14"/>
      <c r="U110" s="14"/>
      <c r="V110" s="14"/>
      <c r="W110" s="14"/>
      <c r="X110" s="14"/>
      <c r="Y110" s="14"/>
    </row>
    <row r="111" spans="1:25" ht="15.75" x14ac:dyDescent="0.25">
      <c r="A111" s="20">
        <f t="shared" si="3"/>
        <v>510</v>
      </c>
      <c r="B111" s="20" t="str">
        <f>+VLOOKUP(Table_1[[#This Row],[IdCliente]],BD!$A$2:$BB$1759,54)</f>
        <v>Mejia</v>
      </c>
      <c r="C111" s="21"/>
      <c r="D111" s="20">
        <f>+VLOOKUP(Table_1[[#This Row],[IdCliente]],BD!$A$2:$BA$1759,36)</f>
        <v>84461730</v>
      </c>
      <c r="E111" s="20" t="str">
        <f t="shared" si="4"/>
        <v>Te esperamos en nuestro WEBINAR y actualiza tus conocimientos para el abordaje clínico de tus pacientes con acné ✨</v>
      </c>
      <c r="F111" s="21" t="str">
        <f t="shared" si="5"/>
        <v>¡Registrate y logralo ahora! 📲 http://bit.ly/3EHYv4j</v>
      </c>
      <c r="G111" s="14"/>
      <c r="H111" s="14"/>
      <c r="I111" s="14"/>
      <c r="J111" s="14"/>
      <c r="K111" s="14"/>
      <c r="L111" s="14"/>
      <c r="M111" s="14"/>
      <c r="N111" s="14"/>
      <c r="O111" s="14"/>
      <c r="P111" s="14"/>
      <c r="Q111" s="14"/>
      <c r="R111" s="14"/>
      <c r="S111" s="14"/>
      <c r="T111" s="14"/>
      <c r="U111" s="14"/>
      <c r="V111" s="14"/>
      <c r="W111" s="14"/>
      <c r="X111" s="14"/>
      <c r="Y111" s="14"/>
    </row>
    <row r="112" spans="1:25" ht="15.75" x14ac:dyDescent="0.25">
      <c r="A112" s="20">
        <f t="shared" si="3"/>
        <v>511</v>
      </c>
      <c r="B112" s="20" t="str">
        <f>+VLOOKUP(Table_1[[#This Row],[IdCliente]],BD!$A$2:$BB$1759,54)</f>
        <v>Toledo</v>
      </c>
      <c r="C112" s="21"/>
      <c r="D112" s="20">
        <f>+VLOOKUP(Table_1[[#This Row],[IdCliente]],BD!$A$2:$BA$1759,36)</f>
        <v>0</v>
      </c>
      <c r="E112" s="20" t="str">
        <f t="shared" si="4"/>
        <v>Te esperamos en nuestro WEBINAR y actualiza tus conocimientos para el abordaje clínico de tus pacientes con acné ✨</v>
      </c>
      <c r="F112" s="21" t="str">
        <f t="shared" si="5"/>
        <v>¡Registrate y logralo ahora! 📲 http://bit.ly/3EHYv4j</v>
      </c>
      <c r="G112" s="14"/>
      <c r="H112" s="14"/>
      <c r="I112" s="14"/>
      <c r="J112" s="14"/>
      <c r="K112" s="14"/>
      <c r="L112" s="14"/>
      <c r="M112" s="14"/>
      <c r="N112" s="14"/>
      <c r="O112" s="14"/>
      <c r="P112" s="14"/>
      <c r="Q112" s="14"/>
      <c r="R112" s="14"/>
      <c r="S112" s="14"/>
      <c r="T112" s="14"/>
      <c r="U112" s="14"/>
      <c r="V112" s="14"/>
      <c r="W112" s="14"/>
      <c r="X112" s="14"/>
      <c r="Y112" s="14"/>
    </row>
    <row r="113" spans="1:25" ht="15.75" x14ac:dyDescent="0.25">
      <c r="A113" s="20">
        <f t="shared" si="3"/>
        <v>512</v>
      </c>
      <c r="B113" s="20" t="str">
        <f>+VLOOKUP(Table_1[[#This Row],[IdCliente]],BD!$A$2:$BB$1759,54)</f>
        <v>Vasquez</v>
      </c>
      <c r="C113" s="21"/>
      <c r="D113" s="20">
        <f>+VLOOKUP(Table_1[[#This Row],[IdCliente]],BD!$A$2:$BA$1759,36)</f>
        <v>82633847</v>
      </c>
      <c r="E113" s="20" t="str">
        <f t="shared" si="4"/>
        <v>Te esperamos en nuestro WEBINAR y actualiza tus conocimientos para el abordaje clínico de tus pacientes con acné ✨</v>
      </c>
      <c r="F113" s="21" t="str">
        <f t="shared" si="5"/>
        <v>¡Registrate y logralo ahora! 📲 http://bit.ly/3EHYv4j</v>
      </c>
      <c r="G113" s="14"/>
      <c r="H113" s="14"/>
      <c r="I113" s="14"/>
      <c r="J113" s="14"/>
      <c r="K113" s="14"/>
      <c r="L113" s="14"/>
      <c r="M113" s="14"/>
      <c r="N113" s="14"/>
      <c r="O113" s="14"/>
      <c r="P113" s="14"/>
      <c r="Q113" s="14"/>
      <c r="R113" s="14"/>
      <c r="S113" s="14"/>
      <c r="T113" s="14"/>
      <c r="U113" s="14"/>
      <c r="V113" s="14"/>
      <c r="W113" s="14"/>
      <c r="X113" s="14"/>
      <c r="Y113" s="14"/>
    </row>
    <row r="114" spans="1:25" ht="15.75" x14ac:dyDescent="0.25">
      <c r="A114" s="20">
        <f t="shared" si="3"/>
        <v>513</v>
      </c>
      <c r="B114" s="20" t="str">
        <f>+VLOOKUP(Table_1[[#This Row],[IdCliente]],BD!$A$2:$BB$1759,54)</f>
        <v>Estrada</v>
      </c>
      <c r="C114" s="21"/>
      <c r="D114" s="20">
        <f>+VLOOKUP(Table_1[[#This Row],[IdCliente]],BD!$A$2:$BA$1759,36)</f>
        <v>84458692</v>
      </c>
      <c r="E114" s="20" t="str">
        <f t="shared" si="4"/>
        <v>Te esperamos en nuestro WEBINAR y actualiza tus conocimientos para el abordaje clínico de tus pacientes con acné ✨</v>
      </c>
      <c r="F114" s="21" t="str">
        <f t="shared" si="5"/>
        <v>¡Registrate y logralo ahora! 📲 http://bit.ly/3EHYv4j</v>
      </c>
      <c r="G114" s="14"/>
      <c r="H114" s="14"/>
      <c r="I114" s="14"/>
      <c r="J114" s="14"/>
      <c r="K114" s="14"/>
      <c r="L114" s="14"/>
      <c r="M114" s="14"/>
      <c r="N114" s="14"/>
      <c r="O114" s="14"/>
      <c r="P114" s="14"/>
      <c r="Q114" s="14"/>
      <c r="R114" s="14"/>
      <c r="S114" s="14"/>
      <c r="T114" s="14"/>
      <c r="U114" s="14"/>
      <c r="V114" s="14"/>
      <c r="W114" s="14"/>
      <c r="X114" s="14"/>
      <c r="Y114" s="14"/>
    </row>
    <row r="115" spans="1:25" ht="15.75" x14ac:dyDescent="0.25">
      <c r="A115" s="20">
        <f t="shared" si="3"/>
        <v>514</v>
      </c>
      <c r="B115" s="20" t="str">
        <f>+VLOOKUP(Table_1[[#This Row],[IdCliente]],BD!$A$2:$BB$1759,54)</f>
        <v>Ross</v>
      </c>
      <c r="C115" s="21"/>
      <c r="D115" s="20">
        <f>+VLOOKUP(Table_1[[#This Row],[IdCliente]],BD!$A$2:$BA$1759,36)</f>
        <v>82759767</v>
      </c>
      <c r="E115" s="20" t="str">
        <f t="shared" si="4"/>
        <v>Te esperamos en nuestro WEBINAR y actualiza tus conocimientos para el abordaje clínico de tus pacientes con acné ✨</v>
      </c>
      <c r="F115" s="21" t="str">
        <f t="shared" si="5"/>
        <v>¡Registrate y logralo ahora! 📲 http://bit.ly/3EHYv4j</v>
      </c>
      <c r="G115" s="14"/>
      <c r="H115" s="14"/>
      <c r="I115" s="14"/>
      <c r="J115" s="14"/>
      <c r="K115" s="14"/>
      <c r="L115" s="14"/>
      <c r="M115" s="14"/>
      <c r="N115" s="14"/>
      <c r="O115" s="14"/>
      <c r="P115" s="14"/>
      <c r="Q115" s="14"/>
      <c r="R115" s="14"/>
      <c r="S115" s="14"/>
      <c r="T115" s="14"/>
      <c r="U115" s="14"/>
      <c r="V115" s="14"/>
      <c r="W115" s="14"/>
      <c r="X115" s="14"/>
      <c r="Y115" s="14"/>
    </row>
    <row r="116" spans="1:25" ht="15.75" x14ac:dyDescent="0.25">
      <c r="A116" s="20">
        <f t="shared" si="3"/>
        <v>515</v>
      </c>
      <c r="B116" s="20" t="str">
        <f>+VLOOKUP(Table_1[[#This Row],[IdCliente]],BD!$A$2:$BB$1759,54)</f>
        <v>Sandoval</v>
      </c>
      <c r="C116" s="21"/>
      <c r="D116" s="20">
        <f>+VLOOKUP(Table_1[[#This Row],[IdCliente]],BD!$A$2:$BA$1759,36)</f>
        <v>87465882</v>
      </c>
      <c r="E116" s="20" t="str">
        <f t="shared" si="4"/>
        <v>Te esperamos en nuestro WEBINAR y actualiza tus conocimientos para el abordaje clínico de tus pacientes con acné ✨</v>
      </c>
      <c r="F116" s="21" t="str">
        <f t="shared" si="5"/>
        <v>¡Registrate y logralo ahora! 📲 http://bit.ly/3EHYv4j</v>
      </c>
      <c r="G116" s="14"/>
      <c r="H116" s="14"/>
      <c r="I116" s="14"/>
      <c r="J116" s="14"/>
      <c r="K116" s="14"/>
      <c r="L116" s="14"/>
      <c r="M116" s="14"/>
      <c r="N116" s="14"/>
      <c r="O116" s="14"/>
      <c r="P116" s="14"/>
      <c r="Q116" s="14"/>
      <c r="R116" s="14"/>
      <c r="S116" s="14"/>
      <c r="T116" s="14"/>
      <c r="U116" s="14"/>
      <c r="V116" s="14"/>
      <c r="W116" s="14"/>
      <c r="X116" s="14"/>
      <c r="Y116" s="14"/>
    </row>
    <row r="117" spans="1:25" ht="15.75" x14ac:dyDescent="0.25">
      <c r="A117" s="20">
        <f t="shared" si="3"/>
        <v>516</v>
      </c>
      <c r="B117" s="20" t="str">
        <f>+VLOOKUP(Table_1[[#This Row],[IdCliente]],BD!$A$2:$BB$1759,54)</f>
        <v>Pravia</v>
      </c>
      <c r="C117" s="21"/>
      <c r="D117" s="20">
        <f>+VLOOKUP(Table_1[[#This Row],[IdCliente]],BD!$A$2:$BA$1759,36)</f>
        <v>82379101</v>
      </c>
      <c r="E117" s="20" t="str">
        <f t="shared" si="4"/>
        <v>Te esperamos en nuestro WEBINAR y actualiza tus conocimientos para el abordaje clínico de tus pacientes con acné ✨</v>
      </c>
      <c r="F117" s="21" t="str">
        <f t="shared" si="5"/>
        <v>¡Registrate y logralo ahora! 📲 http://bit.ly/3EHYv4j</v>
      </c>
      <c r="G117" s="14"/>
      <c r="H117" s="14"/>
      <c r="I117" s="14"/>
      <c r="J117" s="14"/>
      <c r="K117" s="14"/>
      <c r="L117" s="14"/>
      <c r="M117" s="14"/>
      <c r="N117" s="14"/>
      <c r="O117" s="14"/>
      <c r="P117" s="14"/>
      <c r="Q117" s="14"/>
      <c r="R117" s="14"/>
      <c r="S117" s="14"/>
      <c r="T117" s="14"/>
      <c r="U117" s="14"/>
      <c r="V117" s="14"/>
      <c r="W117" s="14"/>
      <c r="X117" s="14"/>
      <c r="Y117" s="14"/>
    </row>
    <row r="118" spans="1:25" ht="15.75" x14ac:dyDescent="0.25">
      <c r="A118" s="20">
        <f t="shared" si="3"/>
        <v>517</v>
      </c>
      <c r="B118" s="20" t="str">
        <f>+VLOOKUP(Table_1[[#This Row],[IdCliente]],BD!$A$2:$BB$1759,54)</f>
        <v>Cerna</v>
      </c>
      <c r="C118" s="21"/>
      <c r="D118" s="20">
        <f>+VLOOKUP(Table_1[[#This Row],[IdCliente]],BD!$A$2:$BA$1759,36)</f>
        <v>84193669</v>
      </c>
      <c r="E118" s="20" t="str">
        <f t="shared" si="4"/>
        <v>Te esperamos en nuestro WEBINAR y actualiza tus conocimientos para el abordaje clínico de tus pacientes con acné ✨</v>
      </c>
      <c r="F118" s="21" t="str">
        <f t="shared" si="5"/>
        <v>¡Registrate y logralo ahora! 📲 http://bit.ly/3EHYv4j</v>
      </c>
      <c r="G118" s="14"/>
      <c r="H118" s="14"/>
      <c r="I118" s="14"/>
      <c r="J118" s="14"/>
      <c r="K118" s="14"/>
      <c r="L118" s="14"/>
      <c r="M118" s="14"/>
      <c r="N118" s="14"/>
      <c r="O118" s="14"/>
      <c r="P118" s="14"/>
      <c r="Q118" s="14"/>
      <c r="R118" s="14"/>
      <c r="S118" s="14"/>
      <c r="T118" s="14"/>
      <c r="U118" s="14"/>
      <c r="V118" s="14"/>
      <c r="W118" s="14"/>
      <c r="X118" s="14"/>
      <c r="Y118" s="14"/>
    </row>
    <row r="119" spans="1:25" ht="15.75" x14ac:dyDescent="0.25">
      <c r="A119" s="20">
        <f t="shared" si="3"/>
        <v>518</v>
      </c>
      <c r="B119" s="20" t="str">
        <f>+VLOOKUP(Table_1[[#This Row],[IdCliente]],BD!$A$2:$BB$1759,54)</f>
        <v>Zamora</v>
      </c>
      <c r="C119" s="21"/>
      <c r="D119" s="20">
        <f>+VLOOKUP(Table_1[[#This Row],[IdCliente]],BD!$A$2:$BA$1759,36)</f>
        <v>86570742</v>
      </c>
      <c r="E119" s="20" t="str">
        <f t="shared" si="4"/>
        <v>Te esperamos en nuestro WEBINAR y actualiza tus conocimientos para el abordaje clínico de tus pacientes con acné ✨</v>
      </c>
      <c r="F119" s="21" t="str">
        <f t="shared" si="5"/>
        <v>¡Registrate y logralo ahora! 📲 http://bit.ly/3EHYv4j</v>
      </c>
      <c r="G119" s="14"/>
      <c r="H119" s="14"/>
      <c r="I119" s="14"/>
      <c r="J119" s="14"/>
      <c r="K119" s="14"/>
      <c r="L119" s="14"/>
      <c r="M119" s="14"/>
      <c r="N119" s="14"/>
      <c r="O119" s="14"/>
      <c r="P119" s="14"/>
      <c r="Q119" s="14"/>
      <c r="R119" s="14"/>
      <c r="S119" s="14"/>
      <c r="T119" s="14"/>
      <c r="U119" s="14"/>
      <c r="V119" s="14"/>
      <c r="W119" s="14"/>
      <c r="X119" s="14"/>
      <c r="Y119" s="14"/>
    </row>
    <row r="120" spans="1:25" ht="15.75" x14ac:dyDescent="0.25">
      <c r="A120" s="20">
        <f t="shared" si="3"/>
        <v>519</v>
      </c>
      <c r="B120" s="20" t="str">
        <f>+VLOOKUP(Table_1[[#This Row],[IdCliente]],BD!$A$2:$BB$1759,54)</f>
        <v>Pastrana</v>
      </c>
      <c r="C120" s="21"/>
      <c r="D120" s="20">
        <f>+VLOOKUP(Table_1[[#This Row],[IdCliente]],BD!$A$2:$BA$1759,36)</f>
        <v>0</v>
      </c>
      <c r="E120" s="20" t="str">
        <f t="shared" si="4"/>
        <v>Te esperamos en nuestro WEBINAR y actualiza tus conocimientos para el abordaje clínico de tus pacientes con acné ✨</v>
      </c>
      <c r="F120" s="21" t="str">
        <f t="shared" si="5"/>
        <v>¡Registrate y logralo ahora! 📲 http://bit.ly/3EHYv4j</v>
      </c>
      <c r="G120" s="14"/>
      <c r="H120" s="14"/>
      <c r="I120" s="14"/>
      <c r="J120" s="14"/>
      <c r="K120" s="14"/>
      <c r="L120" s="14"/>
      <c r="M120" s="14"/>
      <c r="N120" s="14"/>
      <c r="O120" s="14"/>
      <c r="P120" s="14"/>
      <c r="Q120" s="14"/>
      <c r="R120" s="14"/>
      <c r="S120" s="14"/>
      <c r="T120" s="14"/>
      <c r="U120" s="14"/>
      <c r="V120" s="14"/>
      <c r="W120" s="14"/>
      <c r="X120" s="14"/>
      <c r="Y120" s="14"/>
    </row>
    <row r="121" spans="1:25" ht="15.75" x14ac:dyDescent="0.25">
      <c r="A121" s="20">
        <f t="shared" si="3"/>
        <v>520</v>
      </c>
      <c r="B121" s="20" t="str">
        <f>+VLOOKUP(Table_1[[#This Row],[IdCliente]],BD!$A$2:$BB$1759,54)</f>
        <v>Flores</v>
      </c>
      <c r="C121" s="21"/>
      <c r="D121" s="20">
        <f>+VLOOKUP(Table_1[[#This Row],[IdCliente]],BD!$A$2:$BA$1759,36)</f>
        <v>88275929</v>
      </c>
      <c r="E121" s="20" t="str">
        <f t="shared" si="4"/>
        <v>Te esperamos en nuestro WEBINAR y actualiza tus conocimientos para el abordaje clínico de tus pacientes con acné ✨</v>
      </c>
      <c r="F121" s="21" t="str">
        <f t="shared" si="5"/>
        <v>¡Registrate y logralo ahora! 📲 http://bit.ly/3EHYv4j</v>
      </c>
      <c r="G121" s="14"/>
      <c r="H121" s="14"/>
      <c r="I121" s="14"/>
      <c r="J121" s="14"/>
      <c r="K121" s="14"/>
      <c r="L121" s="14"/>
      <c r="M121" s="14"/>
      <c r="N121" s="14"/>
      <c r="O121" s="14"/>
      <c r="P121" s="14"/>
      <c r="Q121" s="14"/>
      <c r="R121" s="14"/>
      <c r="S121" s="14"/>
      <c r="T121" s="14"/>
      <c r="U121" s="14"/>
      <c r="V121" s="14"/>
      <c r="W121" s="14"/>
      <c r="X121" s="14"/>
      <c r="Y121" s="14"/>
    </row>
    <row r="122" spans="1:25" ht="15.75" x14ac:dyDescent="0.25">
      <c r="A122" s="20">
        <f t="shared" si="3"/>
        <v>521</v>
      </c>
      <c r="B122" s="20" t="str">
        <f>+VLOOKUP(Table_1[[#This Row],[IdCliente]],BD!$A$2:$BB$1759,54)</f>
        <v>Martinez</v>
      </c>
      <c r="C122" s="21"/>
      <c r="D122" s="20">
        <f>+VLOOKUP(Table_1[[#This Row],[IdCliente]],BD!$A$2:$BA$1759,36)</f>
        <v>86473837</v>
      </c>
      <c r="E122" s="20" t="str">
        <f t="shared" si="4"/>
        <v>Te esperamos en nuestro WEBINAR y actualiza tus conocimientos para el abordaje clínico de tus pacientes con acné ✨</v>
      </c>
      <c r="F122" s="21" t="str">
        <f t="shared" si="5"/>
        <v>¡Registrate y logralo ahora! 📲 http://bit.ly/3EHYv4j</v>
      </c>
      <c r="G122" s="14"/>
      <c r="H122" s="14"/>
      <c r="I122" s="14"/>
      <c r="J122" s="14"/>
      <c r="K122" s="14"/>
      <c r="L122" s="14"/>
      <c r="M122" s="14"/>
      <c r="N122" s="14"/>
      <c r="O122" s="14"/>
      <c r="P122" s="14"/>
      <c r="Q122" s="14"/>
      <c r="R122" s="14"/>
      <c r="S122" s="14"/>
      <c r="T122" s="14"/>
      <c r="U122" s="14"/>
      <c r="V122" s="14"/>
      <c r="W122" s="14"/>
      <c r="X122" s="14"/>
      <c r="Y122" s="14"/>
    </row>
    <row r="123" spans="1:25" ht="15.75" x14ac:dyDescent="0.25">
      <c r="A123" s="20">
        <f t="shared" si="3"/>
        <v>522</v>
      </c>
      <c r="B123" s="20" t="str">
        <f>+VLOOKUP(Table_1[[#This Row],[IdCliente]],BD!$A$2:$BB$1759,54)</f>
        <v>Vallejos</v>
      </c>
      <c r="C123" s="21"/>
      <c r="D123" s="20">
        <f>+VLOOKUP(Table_1[[#This Row],[IdCliente]],BD!$A$2:$BA$1759,36)</f>
        <v>0</v>
      </c>
      <c r="E123" s="20" t="str">
        <f t="shared" si="4"/>
        <v>Te esperamos en nuestro WEBINAR y actualiza tus conocimientos para el abordaje clínico de tus pacientes con acné ✨</v>
      </c>
      <c r="F123" s="21" t="str">
        <f t="shared" si="5"/>
        <v>¡Registrate y logralo ahora! 📲 http://bit.ly/3EHYv4j</v>
      </c>
      <c r="G123" s="14"/>
      <c r="H123" s="14"/>
      <c r="I123" s="14"/>
      <c r="J123" s="14"/>
      <c r="K123" s="14"/>
      <c r="L123" s="14"/>
      <c r="M123" s="14"/>
      <c r="N123" s="14"/>
      <c r="O123" s="14"/>
      <c r="P123" s="14"/>
      <c r="Q123" s="14"/>
      <c r="R123" s="14"/>
      <c r="S123" s="14"/>
      <c r="T123" s="14"/>
      <c r="U123" s="14"/>
      <c r="V123" s="14"/>
      <c r="W123" s="14"/>
      <c r="X123" s="14"/>
      <c r="Y123" s="14"/>
    </row>
    <row r="124" spans="1:25" ht="15.75" x14ac:dyDescent="0.25">
      <c r="A124" s="20">
        <f t="shared" si="3"/>
        <v>523</v>
      </c>
      <c r="B124" s="20" t="str">
        <f>+VLOOKUP(Table_1[[#This Row],[IdCliente]],BD!$A$2:$BB$1759,54)</f>
        <v>Espinoza</v>
      </c>
      <c r="C124" s="21"/>
      <c r="D124" s="20">
        <f>+VLOOKUP(Table_1[[#This Row],[IdCliente]],BD!$A$2:$BA$1759,36)</f>
        <v>87504160</v>
      </c>
      <c r="E124" s="20" t="str">
        <f t="shared" si="4"/>
        <v>Te esperamos en nuestro WEBINAR y actualiza tus conocimientos para el abordaje clínico de tus pacientes con acné ✨</v>
      </c>
      <c r="F124" s="21" t="str">
        <f t="shared" si="5"/>
        <v>¡Registrate y logralo ahora! 📲 http://bit.ly/3EHYv4j</v>
      </c>
      <c r="G124" s="14"/>
      <c r="H124" s="14"/>
      <c r="I124" s="14"/>
      <c r="J124" s="14"/>
      <c r="K124" s="14"/>
      <c r="L124" s="14"/>
      <c r="M124" s="14"/>
      <c r="N124" s="14"/>
      <c r="O124" s="14"/>
      <c r="P124" s="14"/>
      <c r="Q124" s="14"/>
      <c r="R124" s="14"/>
      <c r="S124" s="14"/>
      <c r="T124" s="14"/>
      <c r="U124" s="14"/>
      <c r="V124" s="14"/>
      <c r="W124" s="14"/>
      <c r="X124" s="14"/>
      <c r="Y124" s="14"/>
    </row>
    <row r="125" spans="1:25" ht="15.75" x14ac:dyDescent="0.25">
      <c r="A125" s="20">
        <f t="shared" si="3"/>
        <v>524</v>
      </c>
      <c r="B125" s="20" t="str">
        <f>+VLOOKUP(Table_1[[#This Row],[IdCliente]],BD!$A$2:$BB$1759,54)</f>
        <v>Garcia</v>
      </c>
      <c r="C125" s="21"/>
      <c r="D125" s="20">
        <f>+VLOOKUP(Table_1[[#This Row],[IdCliente]],BD!$A$2:$BA$1759,36)</f>
        <v>83377688</v>
      </c>
      <c r="E125" s="20" t="str">
        <f t="shared" si="4"/>
        <v>Te esperamos en nuestro WEBINAR y actualiza tus conocimientos para el abordaje clínico de tus pacientes con acné ✨</v>
      </c>
      <c r="F125" s="21" t="str">
        <f t="shared" si="5"/>
        <v>¡Registrate y logralo ahora! 📲 http://bit.ly/3EHYv4j</v>
      </c>
      <c r="G125" s="14"/>
      <c r="H125" s="14"/>
      <c r="I125" s="14"/>
      <c r="J125" s="14"/>
      <c r="K125" s="14"/>
      <c r="L125" s="14"/>
      <c r="M125" s="14"/>
      <c r="N125" s="14"/>
      <c r="O125" s="14"/>
      <c r="P125" s="14"/>
      <c r="Q125" s="14"/>
      <c r="R125" s="14"/>
      <c r="S125" s="14"/>
      <c r="T125" s="14"/>
      <c r="U125" s="14"/>
      <c r="V125" s="14"/>
      <c r="W125" s="14"/>
      <c r="X125" s="14"/>
      <c r="Y125" s="14"/>
    </row>
    <row r="126" spans="1:25" ht="15.75" x14ac:dyDescent="0.25">
      <c r="A126" s="20">
        <f t="shared" si="3"/>
        <v>525</v>
      </c>
      <c r="B126" s="20" t="str">
        <f>+VLOOKUP(Table_1[[#This Row],[IdCliente]],BD!$A$2:$BB$1759,54)</f>
        <v>Davila</v>
      </c>
      <c r="C126" s="21"/>
      <c r="D126" s="20">
        <f>+VLOOKUP(Table_1[[#This Row],[IdCliente]],BD!$A$2:$BA$1759,36)</f>
        <v>83228879</v>
      </c>
      <c r="E126" s="20" t="str">
        <f t="shared" si="4"/>
        <v>Te esperamos en nuestro WEBINAR y actualiza tus conocimientos para el abordaje clínico de tus pacientes con acné ✨</v>
      </c>
      <c r="F126" s="21" t="str">
        <f t="shared" si="5"/>
        <v>¡Registrate y logralo ahora! 📲 http://bit.ly/3EHYv4j</v>
      </c>
      <c r="G126" s="14"/>
      <c r="H126" s="14"/>
      <c r="I126" s="14"/>
      <c r="J126" s="14"/>
      <c r="K126" s="14"/>
      <c r="L126" s="14"/>
      <c r="M126" s="14"/>
      <c r="N126" s="14"/>
      <c r="O126" s="14"/>
      <c r="P126" s="14"/>
      <c r="Q126" s="14"/>
      <c r="R126" s="14"/>
      <c r="S126" s="14"/>
      <c r="T126" s="14"/>
      <c r="U126" s="14"/>
      <c r="V126" s="14"/>
      <c r="W126" s="14"/>
      <c r="X126" s="14"/>
      <c r="Y126" s="14"/>
    </row>
    <row r="127" spans="1:25" ht="15.75" x14ac:dyDescent="0.25">
      <c r="A127" s="20">
        <f t="shared" si="3"/>
        <v>526</v>
      </c>
      <c r="B127" s="20" t="str">
        <f>+VLOOKUP(Table_1[[#This Row],[IdCliente]],BD!$A$2:$BB$1759,54)</f>
        <v>Calero</v>
      </c>
      <c r="C127" s="21"/>
      <c r="D127" s="20">
        <f>+VLOOKUP(Table_1[[#This Row],[IdCliente]],BD!$A$2:$BA$1759,36)</f>
        <v>88663055</v>
      </c>
      <c r="E127" s="20" t="str">
        <f t="shared" si="4"/>
        <v>Te esperamos en nuestro WEBINAR y actualiza tus conocimientos para el abordaje clínico de tus pacientes con acné ✨</v>
      </c>
      <c r="F127" s="21" t="str">
        <f t="shared" si="5"/>
        <v>¡Registrate y logralo ahora! 📲 http://bit.ly/3EHYv4j</v>
      </c>
      <c r="G127" s="14"/>
      <c r="H127" s="14"/>
      <c r="I127" s="14"/>
      <c r="J127" s="14"/>
      <c r="K127" s="14"/>
      <c r="L127" s="14"/>
      <c r="M127" s="14"/>
      <c r="N127" s="14"/>
      <c r="O127" s="14"/>
      <c r="P127" s="14"/>
      <c r="Q127" s="14"/>
      <c r="R127" s="14"/>
      <c r="S127" s="14"/>
      <c r="T127" s="14"/>
      <c r="U127" s="14"/>
      <c r="V127" s="14"/>
      <c r="W127" s="14"/>
      <c r="X127" s="14"/>
      <c r="Y127" s="14"/>
    </row>
    <row r="128" spans="1:25" ht="15.75" x14ac:dyDescent="0.25">
      <c r="A128" s="20">
        <f t="shared" si="3"/>
        <v>527</v>
      </c>
      <c r="B128" s="20" t="str">
        <f>+VLOOKUP(Table_1[[#This Row],[IdCliente]],BD!$A$2:$BB$1759,54)</f>
        <v>Ruiz</v>
      </c>
      <c r="C128" s="21"/>
      <c r="D128" s="20">
        <f>+VLOOKUP(Table_1[[#This Row],[IdCliente]],BD!$A$2:$BA$1759,36)</f>
        <v>88421751</v>
      </c>
      <c r="E128" s="20" t="str">
        <f t="shared" si="4"/>
        <v>Te esperamos en nuestro WEBINAR y actualiza tus conocimientos para el abordaje clínico de tus pacientes con acné ✨</v>
      </c>
      <c r="F128" s="21" t="str">
        <f t="shared" si="5"/>
        <v>¡Registrate y logralo ahora! 📲 http://bit.ly/3EHYv4j</v>
      </c>
      <c r="G128" s="14"/>
      <c r="H128" s="14"/>
      <c r="I128" s="14"/>
      <c r="J128" s="14"/>
      <c r="K128" s="14"/>
      <c r="L128" s="14"/>
      <c r="M128" s="14"/>
      <c r="N128" s="14"/>
      <c r="O128" s="14"/>
      <c r="P128" s="14"/>
      <c r="Q128" s="14"/>
      <c r="R128" s="14"/>
      <c r="S128" s="14"/>
      <c r="T128" s="14"/>
      <c r="U128" s="14"/>
      <c r="V128" s="14"/>
      <c r="W128" s="14"/>
      <c r="X128" s="14"/>
      <c r="Y128" s="14"/>
    </row>
    <row r="129" spans="1:25" ht="15.75" x14ac:dyDescent="0.25">
      <c r="A129" s="20">
        <f t="shared" si="3"/>
        <v>528</v>
      </c>
      <c r="B129" s="20" t="str">
        <f>+VLOOKUP(Table_1[[#This Row],[IdCliente]],BD!$A$2:$BB$1759,54)</f>
        <v>Solis</v>
      </c>
      <c r="C129" s="21"/>
      <c r="D129" s="20">
        <f>+VLOOKUP(Table_1[[#This Row],[IdCliente]],BD!$A$2:$BA$1759,36)</f>
        <v>78513144</v>
      </c>
      <c r="E129" s="20" t="str">
        <f t="shared" si="4"/>
        <v>Te esperamos en nuestro WEBINAR y actualiza tus conocimientos para el abordaje clínico de tus pacientes con acné ✨</v>
      </c>
      <c r="F129" s="21" t="str">
        <f t="shared" si="5"/>
        <v>¡Registrate y logralo ahora! 📲 http://bit.ly/3EHYv4j</v>
      </c>
      <c r="G129" s="14"/>
      <c r="H129" s="14"/>
      <c r="I129" s="14"/>
      <c r="J129" s="14"/>
      <c r="K129" s="14"/>
      <c r="L129" s="14"/>
      <c r="M129" s="14"/>
      <c r="N129" s="14"/>
      <c r="O129" s="14"/>
      <c r="P129" s="14"/>
      <c r="Q129" s="14"/>
      <c r="R129" s="14"/>
      <c r="S129" s="14"/>
      <c r="T129" s="14"/>
      <c r="U129" s="14"/>
      <c r="V129" s="14"/>
      <c r="W129" s="14"/>
      <c r="X129" s="14"/>
      <c r="Y129" s="14"/>
    </row>
    <row r="130" spans="1:25" ht="15.75" x14ac:dyDescent="0.25">
      <c r="A130" s="20">
        <f t="shared" si="3"/>
        <v>529</v>
      </c>
      <c r="B130" s="20" t="str">
        <f>+VLOOKUP(Table_1[[#This Row],[IdCliente]],BD!$A$2:$BB$1759,54)</f>
        <v>Castillo</v>
      </c>
      <c r="C130" s="21"/>
      <c r="D130" s="20">
        <f>+VLOOKUP(Table_1[[#This Row],[IdCliente]],BD!$A$2:$BA$1759,36)</f>
        <v>88191222</v>
      </c>
      <c r="E130" s="20" t="str">
        <f t="shared" si="4"/>
        <v>Te esperamos en nuestro WEBINAR y actualiza tus conocimientos para el abordaje clínico de tus pacientes con acné ✨</v>
      </c>
      <c r="F130" s="21" t="str">
        <f t="shared" si="5"/>
        <v>¡Registrate y logralo ahora! 📲 http://bit.ly/3EHYv4j</v>
      </c>
      <c r="G130" s="14"/>
      <c r="H130" s="14"/>
      <c r="I130" s="14"/>
      <c r="J130" s="14"/>
      <c r="K130" s="14"/>
      <c r="L130" s="14"/>
      <c r="M130" s="14"/>
      <c r="N130" s="14"/>
      <c r="O130" s="14"/>
      <c r="P130" s="14"/>
      <c r="Q130" s="14"/>
      <c r="R130" s="14"/>
      <c r="S130" s="14"/>
      <c r="T130" s="14"/>
      <c r="U130" s="14"/>
      <c r="V130" s="14"/>
      <c r="W130" s="14"/>
      <c r="X130" s="14"/>
      <c r="Y130" s="14"/>
    </row>
    <row r="131" spans="1:25" ht="15.75" x14ac:dyDescent="0.25">
      <c r="A131" s="20">
        <f t="shared" si="3"/>
        <v>530</v>
      </c>
      <c r="B131" s="20" t="str">
        <f>+VLOOKUP(Table_1[[#This Row],[IdCliente]],BD!$A$2:$BB$1759,54)</f>
        <v>Lopez</v>
      </c>
      <c r="C131" s="21"/>
      <c r="D131" s="20">
        <f>+VLOOKUP(Table_1[[#This Row],[IdCliente]],BD!$A$2:$BA$1759,36)</f>
        <v>84660284</v>
      </c>
      <c r="E131" s="20" t="str">
        <f t="shared" si="4"/>
        <v>Te esperamos en nuestro WEBINAR y actualiza tus conocimientos para el abordaje clínico de tus pacientes con acné ✨</v>
      </c>
      <c r="F131" s="21" t="str">
        <f t="shared" si="5"/>
        <v>¡Registrate y logralo ahora! 📲 http://bit.ly/3EHYv4j</v>
      </c>
      <c r="G131" s="14"/>
      <c r="H131" s="14"/>
      <c r="I131" s="14"/>
      <c r="J131" s="14"/>
      <c r="K131" s="14"/>
      <c r="L131" s="14"/>
      <c r="M131" s="14"/>
      <c r="N131" s="14"/>
      <c r="O131" s="14"/>
      <c r="P131" s="14"/>
      <c r="Q131" s="14"/>
      <c r="R131" s="14"/>
      <c r="S131" s="14"/>
      <c r="T131" s="14"/>
      <c r="U131" s="14"/>
      <c r="V131" s="14"/>
      <c r="W131" s="14"/>
      <c r="X131" s="14"/>
      <c r="Y131" s="14"/>
    </row>
    <row r="132" spans="1:25" ht="15.75" x14ac:dyDescent="0.25">
      <c r="A132" s="20">
        <f t="shared" ref="A132:A195" si="6">+A131+1</f>
        <v>531</v>
      </c>
      <c r="B132" s="20" t="str">
        <f>+VLOOKUP(Table_1[[#This Row],[IdCliente]],BD!$A$2:$BB$1759,54)</f>
        <v>Gonzalez</v>
      </c>
      <c r="C132" s="21"/>
      <c r="D132" s="20">
        <f>+VLOOKUP(Table_1[[#This Row],[IdCliente]],BD!$A$2:$BA$1759,36)</f>
        <v>82643868</v>
      </c>
      <c r="E132" s="20" t="str">
        <f t="shared" ref="E132:E195" si="7">+E131</f>
        <v>Te esperamos en nuestro WEBINAR y actualiza tus conocimientos para el abordaje clínico de tus pacientes con acné ✨</v>
      </c>
      <c r="F132" s="21" t="str">
        <f t="shared" ref="F132:F195" si="8">+F131</f>
        <v>¡Registrate y logralo ahora! 📲 http://bit.ly/3EHYv4j</v>
      </c>
      <c r="G132" s="14"/>
      <c r="H132" s="14"/>
      <c r="I132" s="14"/>
      <c r="J132" s="14"/>
      <c r="K132" s="14"/>
      <c r="L132" s="14"/>
      <c r="M132" s="14"/>
      <c r="N132" s="14"/>
      <c r="O132" s="14"/>
      <c r="P132" s="14"/>
      <c r="Q132" s="14"/>
      <c r="R132" s="14"/>
      <c r="S132" s="14"/>
      <c r="T132" s="14"/>
      <c r="U132" s="14"/>
      <c r="V132" s="14"/>
      <c r="W132" s="14"/>
      <c r="X132" s="14"/>
      <c r="Y132" s="14"/>
    </row>
    <row r="133" spans="1:25" ht="15.75" x14ac:dyDescent="0.25">
      <c r="A133" s="20">
        <f t="shared" si="6"/>
        <v>532</v>
      </c>
      <c r="B133" s="20" t="str">
        <f>+VLOOKUP(Table_1[[#This Row],[IdCliente]],BD!$A$2:$BB$1759,54)</f>
        <v>Montiel</v>
      </c>
      <c r="C133" s="21"/>
      <c r="D133" s="20">
        <f>+VLOOKUP(Table_1[[#This Row],[IdCliente]],BD!$A$2:$BA$1759,36)</f>
        <v>82519564</v>
      </c>
      <c r="E133" s="20" t="str">
        <f t="shared" si="7"/>
        <v>Te esperamos en nuestro WEBINAR y actualiza tus conocimientos para el abordaje clínico de tus pacientes con acné ✨</v>
      </c>
      <c r="F133" s="21" t="str">
        <f t="shared" si="8"/>
        <v>¡Registrate y logralo ahora! 📲 http://bit.ly/3EHYv4j</v>
      </c>
      <c r="G133" s="14"/>
      <c r="H133" s="14"/>
      <c r="I133" s="14"/>
      <c r="J133" s="14"/>
      <c r="K133" s="14"/>
      <c r="L133" s="14"/>
      <c r="M133" s="14"/>
      <c r="N133" s="14"/>
      <c r="O133" s="14"/>
      <c r="P133" s="14"/>
      <c r="Q133" s="14"/>
      <c r="R133" s="14"/>
      <c r="S133" s="14"/>
      <c r="T133" s="14"/>
      <c r="U133" s="14"/>
      <c r="V133" s="14"/>
      <c r="W133" s="14"/>
      <c r="X133" s="14"/>
      <c r="Y133" s="14"/>
    </row>
    <row r="134" spans="1:25" ht="15.75" x14ac:dyDescent="0.25">
      <c r="A134" s="20">
        <f t="shared" si="6"/>
        <v>533</v>
      </c>
      <c r="B134" s="20" t="str">
        <f>+VLOOKUP(Table_1[[#This Row],[IdCliente]],BD!$A$2:$BB$1759,54)</f>
        <v>Martinez</v>
      </c>
      <c r="C134" s="21"/>
      <c r="D134" s="20">
        <f>+VLOOKUP(Table_1[[#This Row],[IdCliente]],BD!$A$2:$BA$1759,36)</f>
        <v>87252169</v>
      </c>
      <c r="E134" s="20" t="str">
        <f t="shared" si="7"/>
        <v>Te esperamos en nuestro WEBINAR y actualiza tus conocimientos para el abordaje clínico de tus pacientes con acné ✨</v>
      </c>
      <c r="F134" s="21" t="str">
        <f t="shared" si="8"/>
        <v>¡Registrate y logralo ahora! 📲 http://bit.ly/3EHYv4j</v>
      </c>
      <c r="G134" s="14"/>
      <c r="H134" s="14"/>
      <c r="I134" s="14"/>
      <c r="J134" s="14"/>
      <c r="K134" s="14"/>
      <c r="L134" s="14"/>
      <c r="M134" s="14"/>
      <c r="N134" s="14"/>
      <c r="O134" s="14"/>
      <c r="P134" s="14"/>
      <c r="Q134" s="14"/>
      <c r="R134" s="14"/>
      <c r="S134" s="14"/>
      <c r="T134" s="14"/>
      <c r="U134" s="14"/>
      <c r="V134" s="14"/>
      <c r="W134" s="14"/>
      <c r="X134" s="14"/>
      <c r="Y134" s="14"/>
    </row>
    <row r="135" spans="1:25" ht="15.75" x14ac:dyDescent="0.25">
      <c r="A135" s="20">
        <f t="shared" si="6"/>
        <v>534</v>
      </c>
      <c r="B135" s="20" t="str">
        <f>+VLOOKUP(Table_1[[#This Row],[IdCliente]],BD!$A$2:$BB$1759,54)</f>
        <v>Solis</v>
      </c>
      <c r="C135" s="21"/>
      <c r="D135" s="20">
        <f>+VLOOKUP(Table_1[[#This Row],[IdCliente]],BD!$A$2:$BA$1759,36)</f>
        <v>84342099</v>
      </c>
      <c r="E135" s="20" t="str">
        <f t="shared" si="7"/>
        <v>Te esperamos en nuestro WEBINAR y actualiza tus conocimientos para el abordaje clínico de tus pacientes con acné ✨</v>
      </c>
      <c r="F135" s="21" t="str">
        <f t="shared" si="8"/>
        <v>¡Registrate y logralo ahora! 📲 http://bit.ly/3EHYv4j</v>
      </c>
      <c r="G135" s="14"/>
      <c r="H135" s="14"/>
      <c r="I135" s="14"/>
      <c r="J135" s="14"/>
      <c r="K135" s="14"/>
      <c r="L135" s="14"/>
      <c r="M135" s="14"/>
      <c r="N135" s="14"/>
      <c r="O135" s="14"/>
      <c r="P135" s="14"/>
      <c r="Q135" s="14"/>
      <c r="R135" s="14"/>
      <c r="S135" s="14"/>
      <c r="T135" s="14"/>
      <c r="U135" s="14"/>
      <c r="V135" s="14"/>
      <c r="W135" s="14"/>
      <c r="X135" s="14"/>
      <c r="Y135" s="14"/>
    </row>
    <row r="136" spans="1:25" ht="15.75" x14ac:dyDescent="0.25">
      <c r="A136" s="20">
        <f t="shared" si="6"/>
        <v>535</v>
      </c>
      <c r="B136" s="20" t="str">
        <f>+VLOOKUP(Table_1[[#This Row],[IdCliente]],BD!$A$2:$BB$1759,54)</f>
        <v>Duarte</v>
      </c>
      <c r="C136" s="21"/>
      <c r="D136" s="20">
        <f>+VLOOKUP(Table_1[[#This Row],[IdCliente]],BD!$A$2:$BA$1759,36)</f>
        <v>82090285</v>
      </c>
      <c r="E136" s="20" t="str">
        <f t="shared" si="7"/>
        <v>Te esperamos en nuestro WEBINAR y actualiza tus conocimientos para el abordaje clínico de tus pacientes con acné ✨</v>
      </c>
      <c r="F136" s="21" t="str">
        <f t="shared" si="8"/>
        <v>¡Registrate y logralo ahora! 📲 http://bit.ly/3EHYv4j</v>
      </c>
      <c r="G136" s="14"/>
      <c r="H136" s="14"/>
      <c r="I136" s="14"/>
      <c r="J136" s="14"/>
      <c r="K136" s="14"/>
      <c r="L136" s="14"/>
      <c r="M136" s="14"/>
      <c r="N136" s="14"/>
      <c r="O136" s="14"/>
      <c r="P136" s="14"/>
      <c r="Q136" s="14"/>
      <c r="R136" s="14"/>
      <c r="S136" s="14"/>
      <c r="T136" s="14"/>
      <c r="U136" s="14"/>
      <c r="V136" s="14"/>
      <c r="W136" s="14"/>
      <c r="X136" s="14"/>
      <c r="Y136" s="14"/>
    </row>
    <row r="137" spans="1:25" ht="15.75" x14ac:dyDescent="0.25">
      <c r="A137" s="20">
        <f t="shared" si="6"/>
        <v>536</v>
      </c>
      <c r="B137" s="20" t="str">
        <f>+VLOOKUP(Table_1[[#This Row],[IdCliente]],BD!$A$2:$BB$1759,54)</f>
        <v>Gomez</v>
      </c>
      <c r="C137" s="21"/>
      <c r="D137" s="20">
        <f>+VLOOKUP(Table_1[[#This Row],[IdCliente]],BD!$A$2:$BA$1759,36)</f>
        <v>85606798</v>
      </c>
      <c r="E137" s="20" t="str">
        <f t="shared" si="7"/>
        <v>Te esperamos en nuestro WEBINAR y actualiza tus conocimientos para el abordaje clínico de tus pacientes con acné ✨</v>
      </c>
      <c r="F137" s="21" t="str">
        <f t="shared" si="8"/>
        <v>¡Registrate y logralo ahora! 📲 http://bit.ly/3EHYv4j</v>
      </c>
      <c r="G137" s="14"/>
      <c r="H137" s="14"/>
      <c r="I137" s="14"/>
      <c r="J137" s="14"/>
      <c r="K137" s="14"/>
      <c r="L137" s="14"/>
      <c r="M137" s="14"/>
      <c r="N137" s="14"/>
      <c r="O137" s="14"/>
      <c r="P137" s="14"/>
      <c r="Q137" s="14"/>
      <c r="R137" s="14"/>
      <c r="S137" s="14"/>
      <c r="T137" s="14"/>
      <c r="U137" s="14"/>
      <c r="V137" s="14"/>
      <c r="W137" s="14"/>
      <c r="X137" s="14"/>
      <c r="Y137" s="14"/>
    </row>
    <row r="138" spans="1:25" ht="15.75" x14ac:dyDescent="0.25">
      <c r="A138" s="20">
        <f t="shared" si="6"/>
        <v>537</v>
      </c>
      <c r="B138" s="20" t="str">
        <f>+VLOOKUP(Table_1[[#This Row],[IdCliente]],BD!$A$2:$BB$1759,54)</f>
        <v>Navarrete</v>
      </c>
      <c r="C138" s="21"/>
      <c r="D138" s="20">
        <f>+VLOOKUP(Table_1[[#This Row],[IdCliente]],BD!$A$2:$BA$1759,36)</f>
        <v>89630466</v>
      </c>
      <c r="E138" s="20" t="str">
        <f t="shared" si="7"/>
        <v>Te esperamos en nuestro WEBINAR y actualiza tus conocimientos para el abordaje clínico de tus pacientes con acné ✨</v>
      </c>
      <c r="F138" s="21" t="str">
        <f t="shared" si="8"/>
        <v>¡Registrate y logralo ahora! 📲 http://bit.ly/3EHYv4j</v>
      </c>
      <c r="G138" s="14"/>
      <c r="H138" s="14"/>
      <c r="I138" s="14"/>
      <c r="J138" s="14"/>
      <c r="K138" s="14"/>
      <c r="L138" s="14"/>
      <c r="M138" s="14"/>
      <c r="N138" s="14"/>
      <c r="O138" s="14"/>
      <c r="P138" s="14"/>
      <c r="Q138" s="14"/>
      <c r="R138" s="14"/>
      <c r="S138" s="14"/>
      <c r="T138" s="14"/>
      <c r="U138" s="14"/>
      <c r="V138" s="14"/>
      <c r="W138" s="14"/>
      <c r="X138" s="14"/>
      <c r="Y138" s="14"/>
    </row>
    <row r="139" spans="1:25" ht="15.75" x14ac:dyDescent="0.25">
      <c r="A139" s="20">
        <f t="shared" si="6"/>
        <v>538</v>
      </c>
      <c r="B139" s="20" t="str">
        <f>+VLOOKUP(Table_1[[#This Row],[IdCliente]],BD!$A$2:$BB$1759,54)</f>
        <v>Carrasco</v>
      </c>
      <c r="C139" s="21"/>
      <c r="D139" s="20">
        <f>+VLOOKUP(Table_1[[#This Row],[IdCliente]],BD!$A$2:$BA$1759,36)</f>
        <v>58464334</v>
      </c>
      <c r="E139" s="20" t="str">
        <f t="shared" si="7"/>
        <v>Te esperamos en nuestro WEBINAR y actualiza tus conocimientos para el abordaje clínico de tus pacientes con acné ✨</v>
      </c>
      <c r="F139" s="21" t="str">
        <f t="shared" si="8"/>
        <v>¡Registrate y logralo ahora! 📲 http://bit.ly/3EHYv4j</v>
      </c>
      <c r="G139" s="14"/>
      <c r="H139" s="14"/>
      <c r="I139" s="14"/>
      <c r="J139" s="14"/>
      <c r="K139" s="14"/>
      <c r="L139" s="14"/>
      <c r="M139" s="14"/>
      <c r="N139" s="14"/>
      <c r="O139" s="14"/>
      <c r="P139" s="14"/>
      <c r="Q139" s="14"/>
      <c r="R139" s="14"/>
      <c r="S139" s="14"/>
      <c r="T139" s="14"/>
      <c r="U139" s="14"/>
      <c r="V139" s="14"/>
      <c r="W139" s="14"/>
      <c r="X139" s="14"/>
      <c r="Y139" s="14"/>
    </row>
    <row r="140" spans="1:25" ht="15.75" x14ac:dyDescent="0.25">
      <c r="A140" s="20">
        <f t="shared" si="6"/>
        <v>539</v>
      </c>
      <c r="B140" s="20" t="str">
        <f>+VLOOKUP(Table_1[[#This Row],[IdCliente]],BD!$A$2:$BB$1759,54)</f>
        <v>Garcia</v>
      </c>
      <c r="C140" s="21"/>
      <c r="D140" s="20">
        <f>+VLOOKUP(Table_1[[#This Row],[IdCliente]],BD!$A$2:$BA$1759,36)</f>
        <v>0</v>
      </c>
      <c r="E140" s="20" t="str">
        <f t="shared" si="7"/>
        <v>Te esperamos en nuestro WEBINAR y actualiza tus conocimientos para el abordaje clínico de tus pacientes con acné ✨</v>
      </c>
      <c r="F140" s="21" t="str">
        <f t="shared" si="8"/>
        <v>¡Registrate y logralo ahora! 📲 http://bit.ly/3EHYv4j</v>
      </c>
      <c r="G140" s="14"/>
      <c r="H140" s="14"/>
      <c r="I140" s="14"/>
      <c r="J140" s="14"/>
      <c r="K140" s="14"/>
      <c r="L140" s="14"/>
      <c r="M140" s="14"/>
      <c r="N140" s="14"/>
      <c r="O140" s="14"/>
      <c r="P140" s="14"/>
      <c r="Q140" s="14"/>
      <c r="R140" s="14"/>
      <c r="S140" s="14"/>
      <c r="T140" s="14"/>
      <c r="U140" s="14"/>
      <c r="V140" s="14"/>
      <c r="W140" s="14"/>
      <c r="X140" s="14"/>
      <c r="Y140" s="14"/>
    </row>
    <row r="141" spans="1:25" ht="15.75" x14ac:dyDescent="0.25">
      <c r="A141" s="20">
        <f t="shared" si="6"/>
        <v>540</v>
      </c>
      <c r="B141" s="20" t="str">
        <f>+VLOOKUP(Table_1[[#This Row],[IdCliente]],BD!$A$2:$BB$1759,54)</f>
        <v>Navarro</v>
      </c>
      <c r="C141" s="21"/>
      <c r="D141" s="20">
        <f>+VLOOKUP(Table_1[[#This Row],[IdCliente]],BD!$A$2:$BA$1759,36)</f>
        <v>77015211</v>
      </c>
      <c r="E141" s="20" t="str">
        <f t="shared" si="7"/>
        <v>Te esperamos en nuestro WEBINAR y actualiza tus conocimientos para el abordaje clínico de tus pacientes con acné ✨</v>
      </c>
      <c r="F141" s="21" t="str">
        <f t="shared" si="8"/>
        <v>¡Registrate y logralo ahora! 📲 http://bit.ly/3EHYv4j</v>
      </c>
      <c r="G141" s="14"/>
      <c r="H141" s="14"/>
      <c r="I141" s="14"/>
      <c r="J141" s="14"/>
      <c r="K141" s="14"/>
      <c r="L141" s="14"/>
      <c r="M141" s="14"/>
      <c r="N141" s="14"/>
      <c r="O141" s="14"/>
      <c r="P141" s="14"/>
      <c r="Q141" s="14"/>
      <c r="R141" s="14"/>
      <c r="S141" s="14"/>
      <c r="T141" s="14"/>
      <c r="U141" s="14"/>
      <c r="V141" s="14"/>
      <c r="W141" s="14"/>
      <c r="X141" s="14"/>
      <c r="Y141" s="14"/>
    </row>
    <row r="142" spans="1:25" ht="15.75" x14ac:dyDescent="0.25">
      <c r="A142" s="20">
        <f t="shared" si="6"/>
        <v>541</v>
      </c>
      <c r="B142" s="20" t="str">
        <f>+VLOOKUP(Table_1[[#This Row],[IdCliente]],BD!$A$2:$BB$1759,54)</f>
        <v>Quintero</v>
      </c>
      <c r="C142" s="21"/>
      <c r="D142" s="20">
        <f>+VLOOKUP(Table_1[[#This Row],[IdCliente]],BD!$A$2:$BA$1759,36)</f>
        <v>58063480</v>
      </c>
      <c r="E142" s="20" t="str">
        <f t="shared" si="7"/>
        <v>Te esperamos en nuestro WEBINAR y actualiza tus conocimientos para el abordaje clínico de tus pacientes con acné ✨</v>
      </c>
      <c r="F142" s="21" t="str">
        <f t="shared" si="8"/>
        <v>¡Registrate y logralo ahora! 📲 http://bit.ly/3EHYv4j</v>
      </c>
      <c r="G142" s="14"/>
      <c r="H142" s="14"/>
      <c r="I142" s="14"/>
      <c r="J142" s="14"/>
      <c r="K142" s="14"/>
      <c r="L142" s="14"/>
      <c r="M142" s="14"/>
      <c r="N142" s="14"/>
      <c r="O142" s="14"/>
      <c r="P142" s="14"/>
      <c r="Q142" s="14"/>
      <c r="R142" s="14"/>
      <c r="S142" s="14"/>
      <c r="T142" s="14"/>
      <c r="U142" s="14"/>
      <c r="V142" s="14"/>
      <c r="W142" s="14"/>
      <c r="X142" s="14"/>
      <c r="Y142" s="14"/>
    </row>
    <row r="143" spans="1:25" ht="15.75" x14ac:dyDescent="0.25">
      <c r="A143" s="20">
        <f t="shared" si="6"/>
        <v>542</v>
      </c>
      <c r="B143" s="20" t="str">
        <f>+VLOOKUP(Table_1[[#This Row],[IdCliente]],BD!$A$2:$BB$1759,54)</f>
        <v>Blandon</v>
      </c>
      <c r="C143" s="21"/>
      <c r="D143" s="20">
        <f>+VLOOKUP(Table_1[[#This Row],[IdCliente]],BD!$A$2:$BA$1759,36)</f>
        <v>89191882</v>
      </c>
      <c r="E143" s="20" t="str">
        <f t="shared" si="7"/>
        <v>Te esperamos en nuestro WEBINAR y actualiza tus conocimientos para el abordaje clínico de tus pacientes con acné ✨</v>
      </c>
      <c r="F143" s="21" t="str">
        <f t="shared" si="8"/>
        <v>¡Registrate y logralo ahora! 📲 http://bit.ly/3EHYv4j</v>
      </c>
      <c r="G143" s="14"/>
      <c r="H143" s="14"/>
      <c r="I143" s="14"/>
      <c r="J143" s="14"/>
      <c r="K143" s="14"/>
      <c r="L143" s="14"/>
      <c r="M143" s="14"/>
      <c r="N143" s="14"/>
      <c r="O143" s="14"/>
      <c r="P143" s="14"/>
      <c r="Q143" s="14"/>
      <c r="R143" s="14"/>
      <c r="S143" s="14"/>
      <c r="T143" s="14"/>
      <c r="U143" s="14"/>
      <c r="V143" s="14"/>
      <c r="W143" s="14"/>
      <c r="X143" s="14"/>
      <c r="Y143" s="14"/>
    </row>
    <row r="144" spans="1:25" ht="15.75" x14ac:dyDescent="0.25">
      <c r="A144" s="20">
        <f t="shared" si="6"/>
        <v>543</v>
      </c>
      <c r="B144" s="20" t="str">
        <f>+VLOOKUP(Table_1[[#This Row],[IdCliente]],BD!$A$2:$BB$1759,54)</f>
        <v>Estrada</v>
      </c>
      <c r="C144" s="21"/>
      <c r="D144" s="20">
        <f>+VLOOKUP(Table_1[[#This Row],[IdCliente]],BD!$A$2:$BA$1759,36)</f>
        <v>83958787</v>
      </c>
      <c r="E144" s="20" t="str">
        <f t="shared" si="7"/>
        <v>Te esperamos en nuestro WEBINAR y actualiza tus conocimientos para el abordaje clínico de tus pacientes con acné ✨</v>
      </c>
      <c r="F144" s="21" t="str">
        <f t="shared" si="8"/>
        <v>¡Registrate y logralo ahora! 📲 http://bit.ly/3EHYv4j</v>
      </c>
      <c r="G144" s="14"/>
      <c r="H144" s="14"/>
      <c r="I144" s="14"/>
      <c r="J144" s="14"/>
      <c r="K144" s="14"/>
      <c r="L144" s="14"/>
      <c r="M144" s="14"/>
      <c r="N144" s="14"/>
      <c r="O144" s="14"/>
      <c r="P144" s="14"/>
      <c r="Q144" s="14"/>
      <c r="R144" s="14"/>
      <c r="S144" s="14"/>
      <c r="T144" s="14"/>
      <c r="U144" s="14"/>
      <c r="V144" s="14"/>
      <c r="W144" s="14"/>
      <c r="X144" s="14"/>
      <c r="Y144" s="14"/>
    </row>
    <row r="145" spans="1:25" ht="15.75" x14ac:dyDescent="0.25">
      <c r="A145" s="20">
        <f t="shared" si="6"/>
        <v>544</v>
      </c>
      <c r="B145" s="20" t="str">
        <f>+VLOOKUP(Table_1[[#This Row],[IdCliente]],BD!$A$2:$BB$1759,54)</f>
        <v>Sevilla</v>
      </c>
      <c r="C145" s="21"/>
      <c r="D145" s="20">
        <f>+VLOOKUP(Table_1[[#This Row],[IdCliente]],BD!$A$2:$BA$1759,36)</f>
        <v>89078766</v>
      </c>
      <c r="E145" s="20" t="str">
        <f t="shared" si="7"/>
        <v>Te esperamos en nuestro WEBINAR y actualiza tus conocimientos para el abordaje clínico de tus pacientes con acné ✨</v>
      </c>
      <c r="F145" s="21" t="str">
        <f t="shared" si="8"/>
        <v>¡Registrate y logralo ahora! 📲 http://bit.ly/3EHYv4j</v>
      </c>
      <c r="G145" s="14"/>
      <c r="H145" s="14"/>
      <c r="I145" s="14"/>
      <c r="J145" s="14"/>
      <c r="K145" s="14"/>
      <c r="L145" s="14"/>
      <c r="M145" s="14"/>
      <c r="N145" s="14"/>
      <c r="O145" s="14"/>
      <c r="P145" s="14"/>
      <c r="Q145" s="14"/>
      <c r="R145" s="14"/>
      <c r="S145" s="14"/>
      <c r="T145" s="14"/>
      <c r="U145" s="14"/>
      <c r="V145" s="14"/>
      <c r="W145" s="14"/>
      <c r="X145" s="14"/>
      <c r="Y145" s="14"/>
    </row>
    <row r="146" spans="1:25" ht="15.75" x14ac:dyDescent="0.25">
      <c r="A146" s="20">
        <f t="shared" si="6"/>
        <v>545</v>
      </c>
      <c r="B146" s="20" t="str">
        <f>+VLOOKUP(Table_1[[#This Row],[IdCliente]],BD!$A$2:$BB$1759,54)</f>
        <v>Vallez</v>
      </c>
      <c r="C146" s="21"/>
      <c r="D146" s="20">
        <f>+VLOOKUP(Table_1[[#This Row],[IdCliente]],BD!$A$2:$BA$1759,36)</f>
        <v>88565564</v>
      </c>
      <c r="E146" s="20" t="str">
        <f t="shared" si="7"/>
        <v>Te esperamos en nuestro WEBINAR y actualiza tus conocimientos para el abordaje clínico de tus pacientes con acné ✨</v>
      </c>
      <c r="F146" s="21" t="str">
        <f t="shared" si="8"/>
        <v>¡Registrate y logralo ahora! 📲 http://bit.ly/3EHYv4j</v>
      </c>
      <c r="G146" s="14"/>
      <c r="H146" s="14"/>
      <c r="I146" s="14"/>
      <c r="J146" s="14"/>
      <c r="K146" s="14"/>
      <c r="L146" s="14"/>
      <c r="M146" s="14"/>
      <c r="N146" s="14"/>
      <c r="O146" s="14"/>
      <c r="P146" s="14"/>
      <c r="Q146" s="14"/>
      <c r="R146" s="14"/>
      <c r="S146" s="14"/>
      <c r="T146" s="14"/>
      <c r="U146" s="14"/>
      <c r="V146" s="14"/>
      <c r="W146" s="14"/>
      <c r="X146" s="14"/>
      <c r="Y146" s="14"/>
    </row>
    <row r="147" spans="1:25" ht="15.75" x14ac:dyDescent="0.25">
      <c r="A147" s="20">
        <f t="shared" si="6"/>
        <v>546</v>
      </c>
      <c r="B147" s="20" t="str">
        <f>+VLOOKUP(Table_1[[#This Row],[IdCliente]],BD!$A$2:$BB$1759,54)</f>
        <v>Arroliga</v>
      </c>
      <c r="C147" s="21"/>
      <c r="D147" s="20">
        <f>+VLOOKUP(Table_1[[#This Row],[IdCliente]],BD!$A$2:$BA$1759,36)</f>
        <v>85456671</v>
      </c>
      <c r="E147" s="20" t="str">
        <f t="shared" si="7"/>
        <v>Te esperamos en nuestro WEBINAR y actualiza tus conocimientos para el abordaje clínico de tus pacientes con acné ✨</v>
      </c>
      <c r="F147" s="21" t="str">
        <f t="shared" si="8"/>
        <v>¡Registrate y logralo ahora! 📲 http://bit.ly/3EHYv4j</v>
      </c>
      <c r="G147" s="14"/>
      <c r="H147" s="14"/>
      <c r="I147" s="14"/>
      <c r="J147" s="14"/>
      <c r="K147" s="14"/>
      <c r="L147" s="14"/>
      <c r="M147" s="14"/>
      <c r="N147" s="14"/>
      <c r="O147" s="14"/>
      <c r="P147" s="14"/>
      <c r="Q147" s="14"/>
      <c r="R147" s="14"/>
      <c r="S147" s="14"/>
      <c r="T147" s="14"/>
      <c r="U147" s="14"/>
      <c r="V147" s="14"/>
      <c r="W147" s="14"/>
      <c r="X147" s="14"/>
      <c r="Y147" s="14"/>
    </row>
    <row r="148" spans="1:25" ht="15.75" x14ac:dyDescent="0.25">
      <c r="A148" s="20">
        <f t="shared" si="6"/>
        <v>547</v>
      </c>
      <c r="B148" s="20" t="str">
        <f>+VLOOKUP(Table_1[[#This Row],[IdCliente]],BD!$A$2:$BB$1759,54)</f>
        <v>Rodriguez</v>
      </c>
      <c r="C148" s="21"/>
      <c r="D148" s="20">
        <f>+VLOOKUP(Table_1[[#This Row],[IdCliente]],BD!$A$2:$BA$1759,36)</f>
        <v>89211858</v>
      </c>
      <c r="E148" s="20" t="str">
        <f t="shared" si="7"/>
        <v>Te esperamos en nuestro WEBINAR y actualiza tus conocimientos para el abordaje clínico de tus pacientes con acné ✨</v>
      </c>
      <c r="F148" s="21" t="str">
        <f t="shared" si="8"/>
        <v>¡Registrate y logralo ahora! 📲 http://bit.ly/3EHYv4j</v>
      </c>
      <c r="G148" s="14"/>
      <c r="H148" s="14"/>
      <c r="I148" s="14"/>
      <c r="J148" s="14"/>
      <c r="K148" s="14"/>
      <c r="L148" s="14"/>
      <c r="M148" s="14"/>
      <c r="N148" s="14"/>
      <c r="O148" s="14"/>
      <c r="P148" s="14"/>
      <c r="Q148" s="14"/>
      <c r="R148" s="14"/>
      <c r="S148" s="14"/>
      <c r="T148" s="14"/>
      <c r="U148" s="14"/>
      <c r="V148" s="14"/>
      <c r="W148" s="14"/>
      <c r="X148" s="14"/>
      <c r="Y148" s="14"/>
    </row>
    <row r="149" spans="1:25" ht="15.75" x14ac:dyDescent="0.25">
      <c r="A149" s="20">
        <f t="shared" si="6"/>
        <v>548</v>
      </c>
      <c r="B149" s="20" t="str">
        <f>+VLOOKUP(Table_1[[#This Row],[IdCliente]],BD!$A$2:$BB$1759,54)</f>
        <v>Galeano</v>
      </c>
      <c r="C149" s="21"/>
      <c r="D149" s="20">
        <f>+VLOOKUP(Table_1[[#This Row],[IdCliente]],BD!$A$2:$BA$1759,36)</f>
        <v>86390098</v>
      </c>
      <c r="E149" s="20" t="str">
        <f t="shared" si="7"/>
        <v>Te esperamos en nuestro WEBINAR y actualiza tus conocimientos para el abordaje clínico de tus pacientes con acné ✨</v>
      </c>
      <c r="F149" s="21" t="str">
        <f t="shared" si="8"/>
        <v>¡Registrate y logralo ahora! 📲 http://bit.ly/3EHYv4j</v>
      </c>
      <c r="G149" s="14"/>
      <c r="H149" s="14"/>
      <c r="I149" s="14"/>
      <c r="J149" s="14"/>
      <c r="K149" s="14"/>
      <c r="L149" s="14"/>
      <c r="M149" s="14"/>
      <c r="N149" s="14"/>
      <c r="O149" s="14"/>
      <c r="P149" s="14"/>
      <c r="Q149" s="14"/>
      <c r="R149" s="14"/>
      <c r="S149" s="14"/>
      <c r="T149" s="14"/>
      <c r="U149" s="14"/>
      <c r="V149" s="14"/>
      <c r="W149" s="14"/>
      <c r="X149" s="14"/>
      <c r="Y149" s="14"/>
    </row>
    <row r="150" spans="1:25" ht="15.75" x14ac:dyDescent="0.25">
      <c r="A150" s="20">
        <f t="shared" si="6"/>
        <v>549</v>
      </c>
      <c r="B150" s="20" t="str">
        <f>+VLOOKUP(Table_1[[#This Row],[IdCliente]],BD!$A$2:$BB$1759,54)</f>
        <v>Rodas</v>
      </c>
      <c r="C150" s="21"/>
      <c r="D150" s="20">
        <f>+VLOOKUP(Table_1[[#This Row],[IdCliente]],BD!$A$2:$BA$1759,36)</f>
        <v>75106845</v>
      </c>
      <c r="E150" s="20" t="str">
        <f t="shared" si="7"/>
        <v>Te esperamos en nuestro WEBINAR y actualiza tus conocimientos para el abordaje clínico de tus pacientes con acné ✨</v>
      </c>
      <c r="F150" s="21" t="str">
        <f t="shared" si="8"/>
        <v>¡Registrate y logralo ahora! 📲 http://bit.ly/3EHYv4j</v>
      </c>
      <c r="G150" s="14"/>
      <c r="H150" s="14"/>
      <c r="I150" s="14"/>
      <c r="J150" s="14"/>
      <c r="K150" s="14"/>
      <c r="L150" s="14"/>
      <c r="M150" s="14"/>
      <c r="N150" s="14"/>
      <c r="O150" s="14"/>
      <c r="P150" s="14"/>
      <c r="Q150" s="14"/>
      <c r="R150" s="14"/>
      <c r="S150" s="14"/>
      <c r="T150" s="14"/>
      <c r="U150" s="14"/>
      <c r="V150" s="14"/>
      <c r="W150" s="14"/>
      <c r="X150" s="14"/>
      <c r="Y150" s="14"/>
    </row>
    <row r="151" spans="1:25" ht="15.75" x14ac:dyDescent="0.25">
      <c r="A151" s="20">
        <f t="shared" si="6"/>
        <v>550</v>
      </c>
      <c r="B151" s="20" t="str">
        <f>+VLOOKUP(Table_1[[#This Row],[IdCliente]],BD!$A$2:$BB$1759,54)</f>
        <v>Suarez</v>
      </c>
      <c r="C151" s="21"/>
      <c r="D151" s="20">
        <f>+VLOOKUP(Table_1[[#This Row],[IdCliente]],BD!$A$2:$BA$1759,36)</f>
        <v>0</v>
      </c>
      <c r="E151" s="20" t="str">
        <f t="shared" si="7"/>
        <v>Te esperamos en nuestro WEBINAR y actualiza tus conocimientos para el abordaje clínico de tus pacientes con acné ✨</v>
      </c>
      <c r="F151" s="21" t="str">
        <f t="shared" si="8"/>
        <v>¡Registrate y logralo ahora! 📲 http://bit.ly/3EHYv4j</v>
      </c>
      <c r="G151" s="14"/>
      <c r="H151" s="14"/>
      <c r="I151" s="14"/>
      <c r="J151" s="14"/>
      <c r="K151" s="14"/>
      <c r="L151" s="14"/>
      <c r="M151" s="14"/>
      <c r="N151" s="14"/>
      <c r="O151" s="14"/>
      <c r="P151" s="14"/>
      <c r="Q151" s="14"/>
      <c r="R151" s="14"/>
      <c r="S151" s="14"/>
      <c r="T151" s="14"/>
      <c r="U151" s="14"/>
      <c r="V151" s="14"/>
      <c r="W151" s="14"/>
      <c r="X151" s="14"/>
      <c r="Y151" s="14"/>
    </row>
    <row r="152" spans="1:25" ht="15.75" x14ac:dyDescent="0.25">
      <c r="A152" s="20">
        <f t="shared" si="6"/>
        <v>551</v>
      </c>
      <c r="B152" s="20" t="str">
        <f>+VLOOKUP(Table_1[[#This Row],[IdCliente]],BD!$A$2:$BB$1759,54)</f>
        <v>Escoto</v>
      </c>
      <c r="C152" s="21"/>
      <c r="D152" s="20">
        <f>+VLOOKUP(Table_1[[#This Row],[IdCliente]],BD!$A$2:$BA$1759,36)</f>
        <v>86740262</v>
      </c>
      <c r="E152" s="20" t="str">
        <f t="shared" si="7"/>
        <v>Te esperamos en nuestro WEBINAR y actualiza tus conocimientos para el abordaje clínico de tus pacientes con acné ✨</v>
      </c>
      <c r="F152" s="21" t="str">
        <f t="shared" si="8"/>
        <v>¡Registrate y logralo ahora! 📲 http://bit.ly/3EHYv4j</v>
      </c>
      <c r="G152" s="14"/>
      <c r="H152" s="14"/>
      <c r="I152" s="14"/>
      <c r="J152" s="14"/>
      <c r="K152" s="14"/>
      <c r="L152" s="14"/>
      <c r="M152" s="14"/>
      <c r="N152" s="14"/>
      <c r="O152" s="14"/>
      <c r="P152" s="14"/>
      <c r="Q152" s="14"/>
      <c r="R152" s="14"/>
      <c r="S152" s="14"/>
      <c r="T152" s="14"/>
      <c r="U152" s="14"/>
      <c r="V152" s="14"/>
      <c r="W152" s="14"/>
      <c r="X152" s="14"/>
      <c r="Y152" s="14"/>
    </row>
    <row r="153" spans="1:25" ht="15.75" x14ac:dyDescent="0.25">
      <c r="A153" s="20">
        <f t="shared" si="6"/>
        <v>552</v>
      </c>
      <c r="B153" s="20" t="str">
        <f>+VLOOKUP(Table_1[[#This Row],[IdCliente]],BD!$A$2:$BB$1759,54)</f>
        <v>Izaguirre</v>
      </c>
      <c r="C153" s="21"/>
      <c r="D153" s="20">
        <f>+VLOOKUP(Table_1[[#This Row],[IdCliente]],BD!$A$2:$BA$1759,36)</f>
        <v>88484884</v>
      </c>
      <c r="E153" s="20" t="str">
        <f t="shared" si="7"/>
        <v>Te esperamos en nuestro WEBINAR y actualiza tus conocimientos para el abordaje clínico de tus pacientes con acné ✨</v>
      </c>
      <c r="F153" s="21" t="str">
        <f t="shared" si="8"/>
        <v>¡Registrate y logralo ahora! 📲 http://bit.ly/3EHYv4j</v>
      </c>
      <c r="G153" s="14"/>
      <c r="H153" s="14"/>
      <c r="I153" s="14"/>
      <c r="J153" s="14"/>
      <c r="K153" s="14"/>
      <c r="L153" s="14"/>
      <c r="M153" s="14"/>
      <c r="N153" s="14"/>
      <c r="O153" s="14"/>
      <c r="P153" s="14"/>
      <c r="Q153" s="14"/>
      <c r="R153" s="14"/>
      <c r="S153" s="14"/>
      <c r="T153" s="14"/>
      <c r="U153" s="14"/>
      <c r="V153" s="14"/>
      <c r="W153" s="14"/>
      <c r="X153" s="14"/>
      <c r="Y153" s="14"/>
    </row>
    <row r="154" spans="1:25" ht="15.75" x14ac:dyDescent="0.25">
      <c r="A154" s="20">
        <f t="shared" si="6"/>
        <v>553</v>
      </c>
      <c r="B154" s="20" t="str">
        <f>+VLOOKUP(Table_1[[#This Row],[IdCliente]],BD!$A$2:$BB$1759,54)</f>
        <v>Garcia</v>
      </c>
      <c r="C154" s="21"/>
      <c r="D154" s="20">
        <f>+VLOOKUP(Table_1[[#This Row],[IdCliente]],BD!$A$2:$BA$1759,36)</f>
        <v>89316986</v>
      </c>
      <c r="E154" s="20" t="str">
        <f t="shared" si="7"/>
        <v>Te esperamos en nuestro WEBINAR y actualiza tus conocimientos para el abordaje clínico de tus pacientes con acné ✨</v>
      </c>
      <c r="F154" s="21" t="str">
        <f t="shared" si="8"/>
        <v>¡Registrate y logralo ahora! 📲 http://bit.ly/3EHYv4j</v>
      </c>
      <c r="G154" s="14"/>
      <c r="H154" s="14"/>
      <c r="I154" s="14"/>
      <c r="J154" s="14"/>
      <c r="K154" s="14"/>
      <c r="L154" s="14"/>
      <c r="M154" s="14"/>
      <c r="N154" s="14"/>
      <c r="O154" s="14"/>
      <c r="P154" s="14"/>
      <c r="Q154" s="14"/>
      <c r="R154" s="14"/>
      <c r="S154" s="14"/>
      <c r="T154" s="14"/>
      <c r="U154" s="14"/>
      <c r="V154" s="14"/>
      <c r="W154" s="14"/>
      <c r="X154" s="14"/>
      <c r="Y154" s="14"/>
    </row>
    <row r="155" spans="1:25" ht="15.75" x14ac:dyDescent="0.25">
      <c r="A155" s="20">
        <f t="shared" si="6"/>
        <v>554</v>
      </c>
      <c r="B155" s="20" t="str">
        <f>+VLOOKUP(Table_1[[#This Row],[IdCliente]],BD!$A$2:$BB$1759,54)</f>
        <v>Calero</v>
      </c>
      <c r="C155" s="21"/>
      <c r="D155" s="20">
        <f>+VLOOKUP(Table_1[[#This Row],[IdCliente]],BD!$A$2:$BA$1759,36)</f>
        <v>89884897</v>
      </c>
      <c r="E155" s="20" t="str">
        <f t="shared" si="7"/>
        <v>Te esperamos en nuestro WEBINAR y actualiza tus conocimientos para el abordaje clínico de tus pacientes con acné ✨</v>
      </c>
      <c r="F155" s="21" t="str">
        <f t="shared" si="8"/>
        <v>¡Registrate y logralo ahora! 📲 http://bit.ly/3EHYv4j</v>
      </c>
      <c r="G155" s="14"/>
      <c r="H155" s="14"/>
      <c r="I155" s="14"/>
      <c r="J155" s="14"/>
      <c r="K155" s="14"/>
      <c r="L155" s="14"/>
      <c r="M155" s="14"/>
      <c r="N155" s="14"/>
      <c r="O155" s="14"/>
      <c r="P155" s="14"/>
      <c r="Q155" s="14"/>
      <c r="R155" s="14"/>
      <c r="S155" s="14"/>
      <c r="T155" s="14"/>
      <c r="U155" s="14"/>
      <c r="V155" s="14"/>
      <c r="W155" s="14"/>
      <c r="X155" s="14"/>
      <c r="Y155" s="14"/>
    </row>
    <row r="156" spans="1:25" ht="15.75" x14ac:dyDescent="0.25">
      <c r="A156" s="20">
        <f t="shared" si="6"/>
        <v>555</v>
      </c>
      <c r="B156" s="20" t="str">
        <f>+VLOOKUP(Table_1[[#This Row],[IdCliente]],BD!$A$2:$BB$1759,54)</f>
        <v>Flores</v>
      </c>
      <c r="C156" s="21"/>
      <c r="D156" s="20">
        <f>+VLOOKUP(Table_1[[#This Row],[IdCliente]],BD!$A$2:$BA$1759,36)</f>
        <v>83967733</v>
      </c>
      <c r="E156" s="20" t="str">
        <f t="shared" si="7"/>
        <v>Te esperamos en nuestro WEBINAR y actualiza tus conocimientos para el abordaje clínico de tus pacientes con acné ✨</v>
      </c>
      <c r="F156" s="21" t="str">
        <f t="shared" si="8"/>
        <v>¡Registrate y logralo ahora! 📲 http://bit.ly/3EHYv4j</v>
      </c>
      <c r="G156" s="14"/>
      <c r="H156" s="14"/>
      <c r="I156" s="14"/>
      <c r="J156" s="14"/>
      <c r="K156" s="14"/>
      <c r="L156" s="14"/>
      <c r="M156" s="14"/>
      <c r="N156" s="14"/>
      <c r="O156" s="14"/>
      <c r="P156" s="14"/>
      <c r="Q156" s="14"/>
      <c r="R156" s="14"/>
      <c r="S156" s="14"/>
      <c r="T156" s="14"/>
      <c r="U156" s="14"/>
      <c r="V156" s="14"/>
      <c r="W156" s="14"/>
      <c r="X156" s="14"/>
      <c r="Y156" s="14"/>
    </row>
    <row r="157" spans="1:25" ht="15.75" x14ac:dyDescent="0.25">
      <c r="A157" s="20">
        <f t="shared" si="6"/>
        <v>556</v>
      </c>
      <c r="B157" s="20" t="str">
        <f>+VLOOKUP(Table_1[[#This Row],[IdCliente]],BD!$A$2:$BB$1759,54)</f>
        <v>Rivera</v>
      </c>
      <c r="C157" s="21"/>
      <c r="D157" s="20">
        <f>+VLOOKUP(Table_1[[#This Row],[IdCliente]],BD!$A$2:$BA$1759,36)</f>
        <v>58539697</v>
      </c>
      <c r="E157" s="20" t="str">
        <f t="shared" si="7"/>
        <v>Te esperamos en nuestro WEBINAR y actualiza tus conocimientos para el abordaje clínico de tus pacientes con acné ✨</v>
      </c>
      <c r="F157" s="21" t="str">
        <f t="shared" si="8"/>
        <v>¡Registrate y logralo ahora! 📲 http://bit.ly/3EHYv4j</v>
      </c>
      <c r="G157" s="14"/>
      <c r="H157" s="14"/>
      <c r="I157" s="14"/>
      <c r="J157" s="14"/>
      <c r="K157" s="14"/>
      <c r="L157" s="14"/>
      <c r="M157" s="14"/>
      <c r="N157" s="14"/>
      <c r="O157" s="14"/>
      <c r="P157" s="14"/>
      <c r="Q157" s="14"/>
      <c r="R157" s="14"/>
      <c r="S157" s="14"/>
      <c r="T157" s="14"/>
      <c r="U157" s="14"/>
      <c r="V157" s="14"/>
      <c r="W157" s="14"/>
      <c r="X157" s="14"/>
      <c r="Y157" s="14"/>
    </row>
    <row r="158" spans="1:25" ht="15.75" x14ac:dyDescent="0.25">
      <c r="A158" s="20">
        <f t="shared" si="6"/>
        <v>557</v>
      </c>
      <c r="B158" s="20" t="str">
        <f>+VLOOKUP(Table_1[[#This Row],[IdCliente]],BD!$A$2:$BB$1759,54)</f>
        <v>Narvaez</v>
      </c>
      <c r="C158" s="21"/>
      <c r="D158" s="20">
        <f>+VLOOKUP(Table_1[[#This Row],[IdCliente]],BD!$A$2:$BA$1759,36)</f>
        <v>89192104</v>
      </c>
      <c r="E158" s="20" t="str">
        <f t="shared" si="7"/>
        <v>Te esperamos en nuestro WEBINAR y actualiza tus conocimientos para el abordaje clínico de tus pacientes con acné ✨</v>
      </c>
      <c r="F158" s="21" t="str">
        <f t="shared" si="8"/>
        <v>¡Registrate y logralo ahora! 📲 http://bit.ly/3EHYv4j</v>
      </c>
      <c r="G158" s="14"/>
      <c r="H158" s="14"/>
      <c r="I158" s="14"/>
      <c r="J158" s="14"/>
      <c r="K158" s="14"/>
      <c r="L158" s="14"/>
      <c r="M158" s="14"/>
      <c r="N158" s="14"/>
      <c r="O158" s="14"/>
      <c r="P158" s="14"/>
      <c r="Q158" s="14"/>
      <c r="R158" s="14"/>
      <c r="S158" s="14"/>
      <c r="T158" s="14"/>
      <c r="U158" s="14"/>
      <c r="V158" s="14"/>
      <c r="W158" s="14"/>
      <c r="X158" s="14"/>
      <c r="Y158" s="14"/>
    </row>
    <row r="159" spans="1:25" ht="15.75" x14ac:dyDescent="0.25">
      <c r="A159" s="20">
        <f t="shared" si="6"/>
        <v>558</v>
      </c>
      <c r="B159" s="20" t="str">
        <f>+VLOOKUP(Table_1[[#This Row],[IdCliente]],BD!$A$2:$BB$1759,54)</f>
        <v>Salazar</v>
      </c>
      <c r="C159" s="21"/>
      <c r="D159" s="20">
        <f>+VLOOKUP(Table_1[[#This Row],[IdCliente]],BD!$A$2:$BA$1759,36)</f>
        <v>55000001</v>
      </c>
      <c r="E159" s="20" t="str">
        <f t="shared" si="7"/>
        <v>Te esperamos en nuestro WEBINAR y actualiza tus conocimientos para el abordaje clínico de tus pacientes con acné ✨</v>
      </c>
      <c r="F159" s="21" t="str">
        <f t="shared" si="8"/>
        <v>¡Registrate y logralo ahora! 📲 http://bit.ly/3EHYv4j</v>
      </c>
      <c r="G159" s="14"/>
      <c r="H159" s="14"/>
      <c r="I159" s="14"/>
      <c r="J159" s="14"/>
      <c r="K159" s="14"/>
      <c r="L159" s="14"/>
      <c r="M159" s="14"/>
      <c r="N159" s="14"/>
      <c r="O159" s="14"/>
      <c r="P159" s="14"/>
      <c r="Q159" s="14"/>
      <c r="R159" s="14"/>
      <c r="S159" s="14"/>
      <c r="T159" s="14"/>
      <c r="U159" s="14"/>
      <c r="V159" s="14"/>
      <c r="W159" s="14"/>
      <c r="X159" s="14"/>
      <c r="Y159" s="14"/>
    </row>
    <row r="160" spans="1:25" ht="15.75" x14ac:dyDescent="0.25">
      <c r="A160" s="20">
        <f t="shared" si="6"/>
        <v>559</v>
      </c>
      <c r="B160" s="20" t="str">
        <f>+VLOOKUP(Table_1[[#This Row],[IdCliente]],BD!$A$2:$BB$1759,54)</f>
        <v>Cruz</v>
      </c>
      <c r="C160" s="21"/>
      <c r="D160" s="20">
        <f>+VLOOKUP(Table_1[[#This Row],[IdCliente]],BD!$A$2:$BA$1759,36)</f>
        <v>88330247</v>
      </c>
      <c r="E160" s="20" t="str">
        <f t="shared" si="7"/>
        <v>Te esperamos en nuestro WEBINAR y actualiza tus conocimientos para el abordaje clínico de tus pacientes con acné ✨</v>
      </c>
      <c r="F160" s="21" t="str">
        <f t="shared" si="8"/>
        <v>¡Registrate y logralo ahora! 📲 http://bit.ly/3EHYv4j</v>
      </c>
      <c r="G160" s="14"/>
      <c r="H160" s="14"/>
      <c r="I160" s="14"/>
      <c r="J160" s="14"/>
      <c r="K160" s="14"/>
      <c r="L160" s="14"/>
      <c r="M160" s="14"/>
      <c r="N160" s="14"/>
      <c r="O160" s="14"/>
      <c r="P160" s="14"/>
      <c r="Q160" s="14"/>
      <c r="R160" s="14"/>
      <c r="S160" s="14"/>
      <c r="T160" s="14"/>
      <c r="U160" s="14"/>
      <c r="V160" s="14"/>
      <c r="W160" s="14"/>
      <c r="X160" s="14"/>
      <c r="Y160" s="14"/>
    </row>
    <row r="161" spans="1:25" ht="15.75" x14ac:dyDescent="0.25">
      <c r="A161" s="20">
        <f t="shared" si="6"/>
        <v>560</v>
      </c>
      <c r="B161" s="20" t="str">
        <f>+VLOOKUP(Table_1[[#This Row],[IdCliente]],BD!$A$2:$BB$1759,54)</f>
        <v>Montiel</v>
      </c>
      <c r="C161" s="21"/>
      <c r="D161" s="20">
        <f>+VLOOKUP(Table_1[[#This Row],[IdCliente]],BD!$A$2:$BA$1759,36)</f>
        <v>83340732</v>
      </c>
      <c r="E161" s="20" t="str">
        <f t="shared" si="7"/>
        <v>Te esperamos en nuestro WEBINAR y actualiza tus conocimientos para el abordaje clínico de tus pacientes con acné ✨</v>
      </c>
      <c r="F161" s="21" t="str">
        <f t="shared" si="8"/>
        <v>¡Registrate y logralo ahora! 📲 http://bit.ly/3EHYv4j</v>
      </c>
      <c r="G161" s="14"/>
      <c r="H161" s="14"/>
      <c r="I161" s="14"/>
      <c r="J161" s="14"/>
      <c r="K161" s="14"/>
      <c r="L161" s="14"/>
      <c r="M161" s="14"/>
      <c r="N161" s="14"/>
      <c r="O161" s="14"/>
      <c r="P161" s="14"/>
      <c r="Q161" s="14"/>
      <c r="R161" s="14"/>
      <c r="S161" s="14"/>
      <c r="T161" s="14"/>
      <c r="U161" s="14"/>
      <c r="V161" s="14"/>
      <c r="W161" s="14"/>
      <c r="X161" s="14"/>
      <c r="Y161" s="14"/>
    </row>
    <row r="162" spans="1:25" ht="15.75" x14ac:dyDescent="0.25">
      <c r="A162" s="20">
        <f t="shared" si="6"/>
        <v>561</v>
      </c>
      <c r="B162" s="20" t="str">
        <f>+VLOOKUP(Table_1[[#This Row],[IdCliente]],BD!$A$2:$BB$1759,54)</f>
        <v>Lorío</v>
      </c>
      <c r="C162" s="21"/>
      <c r="D162" s="20">
        <f>+VLOOKUP(Table_1[[#This Row],[IdCliente]],BD!$A$2:$BA$1759,36)</f>
        <v>86352688</v>
      </c>
      <c r="E162" s="20" t="str">
        <f t="shared" si="7"/>
        <v>Te esperamos en nuestro WEBINAR y actualiza tus conocimientos para el abordaje clínico de tus pacientes con acné ✨</v>
      </c>
      <c r="F162" s="21" t="str">
        <f t="shared" si="8"/>
        <v>¡Registrate y logralo ahora! 📲 http://bit.ly/3EHYv4j</v>
      </c>
      <c r="G162" s="14"/>
      <c r="H162" s="14"/>
      <c r="I162" s="14"/>
      <c r="J162" s="14"/>
      <c r="K162" s="14"/>
      <c r="L162" s="14"/>
      <c r="M162" s="14"/>
      <c r="N162" s="14"/>
      <c r="O162" s="14"/>
      <c r="P162" s="14"/>
      <c r="Q162" s="14"/>
      <c r="R162" s="14"/>
      <c r="S162" s="14"/>
      <c r="T162" s="14"/>
      <c r="U162" s="14"/>
      <c r="V162" s="14"/>
      <c r="W162" s="14"/>
      <c r="X162" s="14"/>
      <c r="Y162" s="14"/>
    </row>
    <row r="163" spans="1:25" ht="15.75" x14ac:dyDescent="0.25">
      <c r="A163" s="20">
        <f t="shared" si="6"/>
        <v>562</v>
      </c>
      <c r="B163" s="20" t="str">
        <f>+VLOOKUP(Table_1[[#This Row],[IdCliente]],BD!$A$2:$BB$1759,54)</f>
        <v>Zamora</v>
      </c>
      <c r="C163" s="21"/>
      <c r="D163" s="20">
        <f>+VLOOKUP(Table_1[[#This Row],[IdCliente]],BD!$A$2:$BA$1759,36)</f>
        <v>78467347</v>
      </c>
      <c r="E163" s="20" t="str">
        <f t="shared" si="7"/>
        <v>Te esperamos en nuestro WEBINAR y actualiza tus conocimientos para el abordaje clínico de tus pacientes con acné ✨</v>
      </c>
      <c r="F163" s="21" t="str">
        <f t="shared" si="8"/>
        <v>¡Registrate y logralo ahora! 📲 http://bit.ly/3EHYv4j</v>
      </c>
      <c r="G163" s="14"/>
      <c r="H163" s="14"/>
      <c r="I163" s="14"/>
      <c r="J163" s="14"/>
      <c r="K163" s="14"/>
      <c r="L163" s="14"/>
      <c r="M163" s="14"/>
      <c r="N163" s="14"/>
      <c r="O163" s="14"/>
      <c r="P163" s="14"/>
      <c r="Q163" s="14"/>
      <c r="R163" s="14"/>
      <c r="S163" s="14"/>
      <c r="T163" s="14"/>
      <c r="U163" s="14"/>
      <c r="V163" s="14"/>
      <c r="W163" s="14"/>
      <c r="X163" s="14"/>
      <c r="Y163" s="14"/>
    </row>
    <row r="164" spans="1:25" ht="15.75" x14ac:dyDescent="0.25">
      <c r="A164" s="20">
        <f t="shared" si="6"/>
        <v>563</v>
      </c>
      <c r="B164" s="20" t="str">
        <f>+VLOOKUP(Table_1[[#This Row],[IdCliente]],BD!$A$2:$BB$1759,54)</f>
        <v>Flores</v>
      </c>
      <c r="C164" s="21"/>
      <c r="D164" s="20">
        <f>+VLOOKUP(Table_1[[#This Row],[IdCliente]],BD!$A$2:$BA$1759,36)</f>
        <v>86955079</v>
      </c>
      <c r="E164" s="20" t="str">
        <f t="shared" si="7"/>
        <v>Te esperamos en nuestro WEBINAR y actualiza tus conocimientos para el abordaje clínico de tus pacientes con acné ✨</v>
      </c>
      <c r="F164" s="21" t="str">
        <f t="shared" si="8"/>
        <v>¡Registrate y logralo ahora! 📲 http://bit.ly/3EHYv4j</v>
      </c>
      <c r="G164" s="14"/>
      <c r="H164" s="14"/>
      <c r="I164" s="14"/>
      <c r="J164" s="14"/>
      <c r="K164" s="14"/>
      <c r="L164" s="14"/>
      <c r="M164" s="14"/>
      <c r="N164" s="14"/>
      <c r="O164" s="14"/>
      <c r="P164" s="14"/>
      <c r="Q164" s="14"/>
      <c r="R164" s="14"/>
      <c r="S164" s="14"/>
      <c r="T164" s="14"/>
      <c r="U164" s="14"/>
      <c r="V164" s="14"/>
      <c r="W164" s="14"/>
      <c r="X164" s="14"/>
      <c r="Y164" s="14"/>
    </row>
    <row r="165" spans="1:25" ht="15.75" x14ac:dyDescent="0.25">
      <c r="A165" s="20">
        <f t="shared" si="6"/>
        <v>564</v>
      </c>
      <c r="B165" s="20" t="str">
        <f>+VLOOKUP(Table_1[[#This Row],[IdCliente]],BD!$A$2:$BB$1759,54)</f>
        <v>Lopez</v>
      </c>
      <c r="C165" s="21"/>
      <c r="D165" s="20">
        <f>+VLOOKUP(Table_1[[#This Row],[IdCliente]],BD!$A$2:$BA$1759,36)</f>
        <v>89043684</v>
      </c>
      <c r="E165" s="20" t="str">
        <f t="shared" si="7"/>
        <v>Te esperamos en nuestro WEBINAR y actualiza tus conocimientos para el abordaje clínico de tus pacientes con acné ✨</v>
      </c>
      <c r="F165" s="21" t="str">
        <f t="shared" si="8"/>
        <v>¡Registrate y logralo ahora! 📲 http://bit.ly/3EHYv4j</v>
      </c>
      <c r="G165" s="14"/>
      <c r="H165" s="14"/>
      <c r="I165" s="14"/>
      <c r="J165" s="14"/>
      <c r="K165" s="14"/>
      <c r="L165" s="14"/>
      <c r="M165" s="14"/>
      <c r="N165" s="14"/>
      <c r="O165" s="14"/>
      <c r="P165" s="14"/>
      <c r="Q165" s="14"/>
      <c r="R165" s="14"/>
      <c r="S165" s="14"/>
      <c r="T165" s="14"/>
      <c r="U165" s="14"/>
      <c r="V165" s="14"/>
      <c r="W165" s="14"/>
      <c r="X165" s="14"/>
      <c r="Y165" s="14"/>
    </row>
    <row r="166" spans="1:25" ht="15.75" x14ac:dyDescent="0.25">
      <c r="A166" s="20">
        <f t="shared" si="6"/>
        <v>565</v>
      </c>
      <c r="B166" s="20" t="str">
        <f>+VLOOKUP(Table_1[[#This Row],[IdCliente]],BD!$A$2:$BB$1759,54)</f>
        <v>Romero</v>
      </c>
      <c r="C166" s="21"/>
      <c r="D166" s="20">
        <f>+VLOOKUP(Table_1[[#This Row],[IdCliente]],BD!$A$2:$BA$1759,36)</f>
        <v>86455720</v>
      </c>
      <c r="E166" s="20" t="str">
        <f t="shared" si="7"/>
        <v>Te esperamos en nuestro WEBINAR y actualiza tus conocimientos para el abordaje clínico de tus pacientes con acné ✨</v>
      </c>
      <c r="F166" s="21" t="str">
        <f t="shared" si="8"/>
        <v>¡Registrate y logralo ahora! 📲 http://bit.ly/3EHYv4j</v>
      </c>
      <c r="G166" s="14"/>
      <c r="H166" s="14"/>
      <c r="I166" s="14"/>
      <c r="J166" s="14"/>
      <c r="K166" s="14"/>
      <c r="L166" s="14"/>
      <c r="M166" s="14"/>
      <c r="N166" s="14"/>
      <c r="O166" s="14"/>
      <c r="P166" s="14"/>
      <c r="Q166" s="14"/>
      <c r="R166" s="14"/>
      <c r="S166" s="14"/>
      <c r="T166" s="14"/>
      <c r="U166" s="14"/>
      <c r="V166" s="14"/>
      <c r="W166" s="14"/>
      <c r="X166" s="14"/>
      <c r="Y166" s="14"/>
    </row>
    <row r="167" spans="1:25" ht="15.75" x14ac:dyDescent="0.25">
      <c r="A167" s="20">
        <f t="shared" si="6"/>
        <v>566</v>
      </c>
      <c r="B167" s="20" t="str">
        <f>+VLOOKUP(Table_1[[#This Row],[IdCliente]],BD!$A$2:$BB$1759,54)</f>
        <v>Uriarte</v>
      </c>
      <c r="C167" s="21"/>
      <c r="D167" s="20">
        <f>+VLOOKUP(Table_1[[#This Row],[IdCliente]],BD!$A$2:$BA$1759,36)</f>
        <v>85327653</v>
      </c>
      <c r="E167" s="20" t="str">
        <f t="shared" si="7"/>
        <v>Te esperamos en nuestro WEBINAR y actualiza tus conocimientos para el abordaje clínico de tus pacientes con acné ✨</v>
      </c>
      <c r="F167" s="21" t="str">
        <f t="shared" si="8"/>
        <v>¡Registrate y logralo ahora! 📲 http://bit.ly/3EHYv4j</v>
      </c>
      <c r="G167" s="14"/>
      <c r="H167" s="14"/>
      <c r="I167" s="14"/>
      <c r="J167" s="14"/>
      <c r="K167" s="14"/>
      <c r="L167" s="14"/>
      <c r="M167" s="14"/>
      <c r="N167" s="14"/>
      <c r="O167" s="14"/>
      <c r="P167" s="14"/>
      <c r="Q167" s="14"/>
      <c r="R167" s="14"/>
      <c r="S167" s="14"/>
      <c r="T167" s="14"/>
      <c r="U167" s="14"/>
      <c r="V167" s="14"/>
      <c r="W167" s="14"/>
      <c r="X167" s="14"/>
      <c r="Y167" s="14"/>
    </row>
    <row r="168" spans="1:25" ht="15.75" x14ac:dyDescent="0.25">
      <c r="A168" s="20">
        <f t="shared" si="6"/>
        <v>567</v>
      </c>
      <c r="B168" s="20" t="str">
        <f>+VLOOKUP(Table_1[[#This Row],[IdCliente]],BD!$A$2:$BB$1759,54)</f>
        <v>Aguilar</v>
      </c>
      <c r="C168" s="21"/>
      <c r="D168" s="20">
        <f>+VLOOKUP(Table_1[[#This Row],[IdCliente]],BD!$A$2:$BA$1759,36)</f>
        <v>83363807</v>
      </c>
      <c r="E168" s="20" t="str">
        <f t="shared" si="7"/>
        <v>Te esperamos en nuestro WEBINAR y actualiza tus conocimientos para el abordaje clínico de tus pacientes con acné ✨</v>
      </c>
      <c r="F168" s="21" t="str">
        <f t="shared" si="8"/>
        <v>¡Registrate y logralo ahora! 📲 http://bit.ly/3EHYv4j</v>
      </c>
      <c r="G168" s="14"/>
      <c r="H168" s="14"/>
      <c r="I168" s="14"/>
      <c r="J168" s="14"/>
      <c r="K168" s="14"/>
      <c r="L168" s="14"/>
      <c r="M168" s="14"/>
      <c r="N168" s="14"/>
      <c r="O168" s="14"/>
      <c r="P168" s="14"/>
      <c r="Q168" s="14"/>
      <c r="R168" s="14"/>
      <c r="S168" s="14"/>
      <c r="T168" s="14"/>
      <c r="U168" s="14"/>
      <c r="V168" s="14"/>
      <c r="W168" s="14"/>
      <c r="X168" s="14"/>
      <c r="Y168" s="14"/>
    </row>
    <row r="169" spans="1:25" ht="15.75" x14ac:dyDescent="0.25">
      <c r="A169" s="20">
        <f t="shared" si="6"/>
        <v>568</v>
      </c>
      <c r="B169" s="20" t="str">
        <f>+VLOOKUP(Table_1[[#This Row],[IdCliente]],BD!$A$2:$BB$1759,54)</f>
        <v>Mendez</v>
      </c>
      <c r="C169" s="21"/>
      <c r="D169" s="20">
        <f>+VLOOKUP(Table_1[[#This Row],[IdCliente]],BD!$A$2:$BA$1759,36)</f>
        <v>75037683</v>
      </c>
      <c r="E169" s="20" t="str">
        <f t="shared" si="7"/>
        <v>Te esperamos en nuestro WEBINAR y actualiza tus conocimientos para el abordaje clínico de tus pacientes con acné ✨</v>
      </c>
      <c r="F169" s="21" t="str">
        <f t="shared" si="8"/>
        <v>¡Registrate y logralo ahora! 📲 http://bit.ly/3EHYv4j</v>
      </c>
      <c r="G169" s="14"/>
      <c r="H169" s="14"/>
      <c r="I169" s="14"/>
      <c r="J169" s="14"/>
      <c r="K169" s="14"/>
      <c r="L169" s="14"/>
      <c r="M169" s="14"/>
      <c r="N169" s="14"/>
      <c r="O169" s="14"/>
      <c r="P169" s="14"/>
      <c r="Q169" s="14"/>
      <c r="R169" s="14"/>
      <c r="S169" s="14"/>
      <c r="T169" s="14"/>
      <c r="U169" s="14"/>
      <c r="V169" s="14"/>
      <c r="W169" s="14"/>
      <c r="X169" s="14"/>
      <c r="Y169" s="14"/>
    </row>
    <row r="170" spans="1:25" ht="15.75" x14ac:dyDescent="0.25">
      <c r="A170" s="20">
        <f t="shared" si="6"/>
        <v>569</v>
      </c>
      <c r="B170" s="20" t="str">
        <f>+VLOOKUP(Table_1[[#This Row],[IdCliente]],BD!$A$2:$BB$1759,54)</f>
        <v>Rodriguez</v>
      </c>
      <c r="C170" s="21"/>
      <c r="D170" s="20">
        <f>+VLOOKUP(Table_1[[#This Row],[IdCliente]],BD!$A$2:$BA$1759,36)</f>
        <v>82851376</v>
      </c>
      <c r="E170" s="20" t="str">
        <f t="shared" si="7"/>
        <v>Te esperamos en nuestro WEBINAR y actualiza tus conocimientos para el abordaje clínico de tus pacientes con acné ✨</v>
      </c>
      <c r="F170" s="21" t="str">
        <f t="shared" si="8"/>
        <v>¡Registrate y logralo ahora! 📲 http://bit.ly/3EHYv4j</v>
      </c>
      <c r="G170" s="14"/>
      <c r="H170" s="14"/>
      <c r="I170" s="14"/>
      <c r="J170" s="14"/>
      <c r="K170" s="14"/>
      <c r="L170" s="14"/>
      <c r="M170" s="14"/>
      <c r="N170" s="14"/>
      <c r="O170" s="14"/>
      <c r="P170" s="14"/>
      <c r="Q170" s="14"/>
      <c r="R170" s="14"/>
      <c r="S170" s="14"/>
      <c r="T170" s="14"/>
      <c r="U170" s="14"/>
      <c r="V170" s="14"/>
      <c r="W170" s="14"/>
      <c r="X170" s="14"/>
      <c r="Y170" s="14"/>
    </row>
    <row r="171" spans="1:25" ht="15.75" x14ac:dyDescent="0.25">
      <c r="A171" s="20">
        <f t="shared" si="6"/>
        <v>570</v>
      </c>
      <c r="B171" s="20" t="str">
        <f>+VLOOKUP(Table_1[[#This Row],[IdCliente]],BD!$A$2:$BB$1759,54)</f>
        <v>Meneses</v>
      </c>
      <c r="C171" s="21"/>
      <c r="D171" s="20">
        <f>+VLOOKUP(Table_1[[#This Row],[IdCliente]],BD!$A$2:$BA$1759,36)</f>
        <v>84213522</v>
      </c>
      <c r="E171" s="20" t="str">
        <f t="shared" si="7"/>
        <v>Te esperamos en nuestro WEBINAR y actualiza tus conocimientos para el abordaje clínico de tus pacientes con acné ✨</v>
      </c>
      <c r="F171" s="21" t="str">
        <f t="shared" si="8"/>
        <v>¡Registrate y logralo ahora! 📲 http://bit.ly/3EHYv4j</v>
      </c>
      <c r="G171" s="14"/>
      <c r="H171" s="14"/>
      <c r="I171" s="14"/>
      <c r="J171" s="14"/>
      <c r="K171" s="14"/>
      <c r="L171" s="14"/>
      <c r="M171" s="14"/>
      <c r="N171" s="14"/>
      <c r="O171" s="14"/>
      <c r="P171" s="14"/>
      <c r="Q171" s="14"/>
      <c r="R171" s="14"/>
      <c r="S171" s="14"/>
      <c r="T171" s="14"/>
      <c r="U171" s="14"/>
      <c r="V171" s="14"/>
      <c r="W171" s="14"/>
      <c r="X171" s="14"/>
      <c r="Y171" s="14"/>
    </row>
    <row r="172" spans="1:25" ht="15.75" x14ac:dyDescent="0.25">
      <c r="A172" s="20">
        <f t="shared" si="6"/>
        <v>571</v>
      </c>
      <c r="B172" s="20" t="str">
        <f>+VLOOKUP(Table_1[[#This Row],[IdCliente]],BD!$A$2:$BB$1759,54)</f>
        <v>Meza</v>
      </c>
      <c r="C172" s="21"/>
      <c r="D172" s="20">
        <f>+VLOOKUP(Table_1[[#This Row],[IdCliente]],BD!$A$2:$BA$1759,36)</f>
        <v>89238241</v>
      </c>
      <c r="E172" s="20" t="str">
        <f t="shared" si="7"/>
        <v>Te esperamos en nuestro WEBINAR y actualiza tus conocimientos para el abordaje clínico de tus pacientes con acné ✨</v>
      </c>
      <c r="F172" s="21" t="str">
        <f t="shared" si="8"/>
        <v>¡Registrate y logralo ahora! 📲 http://bit.ly/3EHYv4j</v>
      </c>
      <c r="G172" s="14"/>
      <c r="H172" s="14"/>
      <c r="I172" s="14"/>
      <c r="J172" s="14"/>
      <c r="K172" s="14"/>
      <c r="L172" s="14"/>
      <c r="M172" s="14"/>
      <c r="N172" s="14"/>
      <c r="O172" s="14"/>
      <c r="P172" s="14"/>
      <c r="Q172" s="14"/>
      <c r="R172" s="14"/>
      <c r="S172" s="14"/>
      <c r="T172" s="14"/>
      <c r="U172" s="14"/>
      <c r="V172" s="14"/>
      <c r="W172" s="14"/>
      <c r="X172" s="14"/>
      <c r="Y172" s="14"/>
    </row>
    <row r="173" spans="1:25" ht="15.75" x14ac:dyDescent="0.25">
      <c r="A173" s="20">
        <f t="shared" si="6"/>
        <v>572</v>
      </c>
      <c r="B173" s="20" t="str">
        <f>+VLOOKUP(Table_1[[#This Row],[IdCliente]],BD!$A$2:$BB$1759,54)</f>
        <v>Herrera</v>
      </c>
      <c r="C173" s="21"/>
      <c r="D173" s="20">
        <f>+VLOOKUP(Table_1[[#This Row],[IdCliente]],BD!$A$2:$BA$1759,36)</f>
        <v>83674156</v>
      </c>
      <c r="E173" s="20" t="str">
        <f t="shared" si="7"/>
        <v>Te esperamos en nuestro WEBINAR y actualiza tus conocimientos para el abordaje clínico de tus pacientes con acné ✨</v>
      </c>
      <c r="F173" s="21" t="str">
        <f t="shared" si="8"/>
        <v>¡Registrate y logralo ahora! 📲 http://bit.ly/3EHYv4j</v>
      </c>
      <c r="G173" s="14"/>
      <c r="H173" s="14"/>
      <c r="I173" s="14"/>
      <c r="J173" s="14"/>
      <c r="K173" s="14"/>
      <c r="L173" s="14"/>
      <c r="M173" s="14"/>
      <c r="N173" s="14"/>
      <c r="O173" s="14"/>
      <c r="P173" s="14"/>
      <c r="Q173" s="14"/>
      <c r="R173" s="14"/>
      <c r="S173" s="14"/>
      <c r="T173" s="14"/>
      <c r="U173" s="14"/>
      <c r="V173" s="14"/>
      <c r="W173" s="14"/>
      <c r="X173" s="14"/>
      <c r="Y173" s="14"/>
    </row>
    <row r="174" spans="1:25" ht="15.75" x14ac:dyDescent="0.25">
      <c r="A174" s="20">
        <f t="shared" si="6"/>
        <v>573</v>
      </c>
      <c r="B174" s="20" t="str">
        <f>+VLOOKUP(Table_1[[#This Row],[IdCliente]],BD!$A$2:$BB$1759,54)</f>
        <v>Hernandez</v>
      </c>
      <c r="C174" s="21"/>
      <c r="D174" s="20">
        <f>+VLOOKUP(Table_1[[#This Row],[IdCliente]],BD!$A$2:$BA$1759,36)</f>
        <v>81004171</v>
      </c>
      <c r="E174" s="20" t="str">
        <f t="shared" si="7"/>
        <v>Te esperamos en nuestro WEBINAR y actualiza tus conocimientos para el abordaje clínico de tus pacientes con acné ✨</v>
      </c>
      <c r="F174" s="21" t="str">
        <f t="shared" si="8"/>
        <v>¡Registrate y logralo ahora! 📲 http://bit.ly/3EHYv4j</v>
      </c>
      <c r="G174" s="14"/>
      <c r="H174" s="14"/>
      <c r="I174" s="14"/>
      <c r="J174" s="14"/>
      <c r="K174" s="14"/>
      <c r="L174" s="14"/>
      <c r="M174" s="14"/>
      <c r="N174" s="14"/>
      <c r="O174" s="14"/>
      <c r="P174" s="14"/>
      <c r="Q174" s="14"/>
      <c r="R174" s="14"/>
      <c r="S174" s="14"/>
      <c r="T174" s="14"/>
      <c r="U174" s="14"/>
      <c r="V174" s="14"/>
      <c r="W174" s="14"/>
      <c r="X174" s="14"/>
      <c r="Y174" s="14"/>
    </row>
    <row r="175" spans="1:25" ht="15.75" x14ac:dyDescent="0.25">
      <c r="A175" s="20">
        <f t="shared" si="6"/>
        <v>574</v>
      </c>
      <c r="B175" s="20" t="str">
        <f>+VLOOKUP(Table_1[[#This Row],[IdCliente]],BD!$A$2:$BB$1759,54)</f>
        <v>Romero</v>
      </c>
      <c r="C175" s="21"/>
      <c r="D175" s="20">
        <f>+VLOOKUP(Table_1[[#This Row],[IdCliente]],BD!$A$2:$BA$1759,36)</f>
        <v>82404445</v>
      </c>
      <c r="E175" s="20" t="str">
        <f t="shared" si="7"/>
        <v>Te esperamos en nuestro WEBINAR y actualiza tus conocimientos para el abordaje clínico de tus pacientes con acné ✨</v>
      </c>
      <c r="F175" s="21" t="str">
        <f t="shared" si="8"/>
        <v>¡Registrate y logralo ahora! 📲 http://bit.ly/3EHYv4j</v>
      </c>
      <c r="G175" s="14"/>
      <c r="H175" s="14"/>
      <c r="I175" s="14"/>
      <c r="J175" s="14"/>
      <c r="K175" s="14"/>
      <c r="L175" s="14"/>
      <c r="M175" s="14"/>
      <c r="N175" s="14"/>
      <c r="O175" s="14"/>
      <c r="P175" s="14"/>
      <c r="Q175" s="14"/>
      <c r="R175" s="14"/>
      <c r="S175" s="14"/>
      <c r="T175" s="14"/>
      <c r="U175" s="14"/>
      <c r="V175" s="14"/>
      <c r="W175" s="14"/>
      <c r="X175" s="14"/>
      <c r="Y175" s="14"/>
    </row>
    <row r="176" spans="1:25" ht="15.75" x14ac:dyDescent="0.25">
      <c r="A176" s="20">
        <f t="shared" si="6"/>
        <v>575</v>
      </c>
      <c r="B176" s="20" t="str">
        <f>+VLOOKUP(Table_1[[#This Row],[IdCliente]],BD!$A$2:$BB$1759,54)</f>
        <v>Gonzalez</v>
      </c>
      <c r="C176" s="21"/>
      <c r="D176" s="20">
        <f>+VLOOKUP(Table_1[[#This Row],[IdCliente]],BD!$A$2:$BA$1759,36)</f>
        <v>84905246</v>
      </c>
      <c r="E176" s="20" t="str">
        <f t="shared" si="7"/>
        <v>Te esperamos en nuestro WEBINAR y actualiza tus conocimientos para el abordaje clínico de tus pacientes con acné ✨</v>
      </c>
      <c r="F176" s="21" t="str">
        <f t="shared" si="8"/>
        <v>¡Registrate y logralo ahora! 📲 http://bit.ly/3EHYv4j</v>
      </c>
      <c r="G176" s="14"/>
      <c r="H176" s="14"/>
      <c r="I176" s="14"/>
      <c r="J176" s="14"/>
      <c r="K176" s="14"/>
      <c r="L176" s="14"/>
      <c r="M176" s="14"/>
      <c r="N176" s="14"/>
      <c r="O176" s="14"/>
      <c r="P176" s="14"/>
      <c r="Q176" s="14"/>
      <c r="R176" s="14"/>
      <c r="S176" s="14"/>
      <c r="T176" s="14"/>
      <c r="U176" s="14"/>
      <c r="V176" s="14"/>
      <c r="W176" s="14"/>
      <c r="X176" s="14"/>
      <c r="Y176" s="14"/>
    </row>
    <row r="177" spans="1:25" ht="15.75" x14ac:dyDescent="0.25">
      <c r="A177" s="20">
        <f t="shared" si="6"/>
        <v>576</v>
      </c>
      <c r="B177" s="20" t="str">
        <f>+VLOOKUP(Table_1[[#This Row],[IdCliente]],BD!$A$2:$BB$1759,54)</f>
        <v>Ortega</v>
      </c>
      <c r="C177" s="21"/>
      <c r="D177" s="20">
        <f>+VLOOKUP(Table_1[[#This Row],[IdCliente]],BD!$A$2:$BA$1759,36)</f>
        <v>55004467</v>
      </c>
      <c r="E177" s="20" t="str">
        <f t="shared" si="7"/>
        <v>Te esperamos en nuestro WEBINAR y actualiza tus conocimientos para el abordaje clínico de tus pacientes con acné ✨</v>
      </c>
      <c r="F177" s="21" t="str">
        <f t="shared" si="8"/>
        <v>¡Registrate y logralo ahora! 📲 http://bit.ly/3EHYv4j</v>
      </c>
      <c r="G177" s="14"/>
      <c r="H177" s="14"/>
      <c r="I177" s="14"/>
      <c r="J177" s="14"/>
      <c r="K177" s="14"/>
      <c r="L177" s="14"/>
      <c r="M177" s="14"/>
      <c r="N177" s="14"/>
      <c r="O177" s="14"/>
      <c r="P177" s="14"/>
      <c r="Q177" s="14"/>
      <c r="R177" s="14"/>
      <c r="S177" s="14"/>
      <c r="T177" s="14"/>
      <c r="U177" s="14"/>
      <c r="V177" s="14"/>
      <c r="W177" s="14"/>
      <c r="X177" s="14"/>
      <c r="Y177" s="14"/>
    </row>
    <row r="178" spans="1:25" ht="15.75" x14ac:dyDescent="0.25">
      <c r="A178" s="20">
        <f t="shared" si="6"/>
        <v>577</v>
      </c>
      <c r="B178" s="20" t="str">
        <f>+VLOOKUP(Table_1[[#This Row],[IdCliente]],BD!$A$2:$BB$1759,54)</f>
        <v>Lopez</v>
      </c>
      <c r="C178" s="21"/>
      <c r="D178" s="20">
        <f>+VLOOKUP(Table_1[[#This Row],[IdCliente]],BD!$A$2:$BA$1759,36)</f>
        <v>81661176</v>
      </c>
      <c r="E178" s="20" t="str">
        <f t="shared" si="7"/>
        <v>Te esperamos en nuestro WEBINAR y actualiza tus conocimientos para el abordaje clínico de tus pacientes con acné ✨</v>
      </c>
      <c r="F178" s="21" t="str">
        <f t="shared" si="8"/>
        <v>¡Registrate y logralo ahora! 📲 http://bit.ly/3EHYv4j</v>
      </c>
      <c r="G178" s="14"/>
      <c r="H178" s="14"/>
      <c r="I178" s="14"/>
      <c r="J178" s="14"/>
      <c r="K178" s="14"/>
      <c r="L178" s="14"/>
      <c r="M178" s="14"/>
      <c r="N178" s="14"/>
      <c r="O178" s="14"/>
      <c r="P178" s="14"/>
      <c r="Q178" s="14"/>
      <c r="R178" s="14"/>
      <c r="S178" s="14"/>
      <c r="T178" s="14"/>
      <c r="U178" s="14"/>
      <c r="V178" s="14"/>
      <c r="W178" s="14"/>
      <c r="X178" s="14"/>
      <c r="Y178" s="14"/>
    </row>
    <row r="179" spans="1:25" ht="15.75" x14ac:dyDescent="0.25">
      <c r="A179" s="20">
        <f t="shared" si="6"/>
        <v>578</v>
      </c>
      <c r="B179" s="20" t="str">
        <f>+VLOOKUP(Table_1[[#This Row],[IdCliente]],BD!$A$2:$BB$1759,54)</f>
        <v>Martinez</v>
      </c>
      <c r="C179" s="21"/>
      <c r="D179" s="20">
        <f>+VLOOKUP(Table_1[[#This Row],[IdCliente]],BD!$A$2:$BA$1759,36)</f>
        <v>84066846</v>
      </c>
      <c r="E179" s="20" t="str">
        <f t="shared" si="7"/>
        <v>Te esperamos en nuestro WEBINAR y actualiza tus conocimientos para el abordaje clínico de tus pacientes con acné ✨</v>
      </c>
      <c r="F179" s="21" t="str">
        <f t="shared" si="8"/>
        <v>¡Registrate y logralo ahora! 📲 http://bit.ly/3EHYv4j</v>
      </c>
      <c r="G179" s="14"/>
      <c r="H179" s="14"/>
      <c r="I179" s="14"/>
      <c r="J179" s="14"/>
      <c r="K179" s="14"/>
      <c r="L179" s="14"/>
      <c r="M179" s="14"/>
      <c r="N179" s="14"/>
      <c r="O179" s="14"/>
      <c r="P179" s="14"/>
      <c r="Q179" s="14"/>
      <c r="R179" s="14"/>
      <c r="S179" s="14"/>
      <c r="T179" s="14"/>
      <c r="U179" s="14"/>
      <c r="V179" s="14"/>
      <c r="W179" s="14"/>
      <c r="X179" s="14"/>
      <c r="Y179" s="14"/>
    </row>
    <row r="180" spans="1:25" ht="15.75" x14ac:dyDescent="0.25">
      <c r="A180" s="20">
        <f t="shared" si="6"/>
        <v>579</v>
      </c>
      <c r="B180" s="20" t="str">
        <f>+VLOOKUP(Table_1[[#This Row],[IdCliente]],BD!$A$2:$BB$1759,54)</f>
        <v>Gomez</v>
      </c>
      <c r="C180" s="21"/>
      <c r="D180" s="20">
        <f>+VLOOKUP(Table_1[[#This Row],[IdCliente]],BD!$A$2:$BA$1759,36)</f>
        <v>87903645</v>
      </c>
      <c r="E180" s="20" t="str">
        <f t="shared" si="7"/>
        <v>Te esperamos en nuestro WEBINAR y actualiza tus conocimientos para el abordaje clínico de tus pacientes con acné ✨</v>
      </c>
      <c r="F180" s="21" t="str">
        <f t="shared" si="8"/>
        <v>¡Registrate y logralo ahora! 📲 http://bit.ly/3EHYv4j</v>
      </c>
      <c r="G180" s="14"/>
      <c r="H180" s="14"/>
      <c r="I180" s="14"/>
      <c r="J180" s="14"/>
      <c r="K180" s="14"/>
      <c r="L180" s="14"/>
      <c r="M180" s="14"/>
      <c r="N180" s="14"/>
      <c r="O180" s="14"/>
      <c r="P180" s="14"/>
      <c r="Q180" s="14"/>
      <c r="R180" s="14"/>
      <c r="S180" s="14"/>
      <c r="T180" s="14"/>
      <c r="U180" s="14"/>
      <c r="V180" s="14"/>
      <c r="W180" s="14"/>
      <c r="X180" s="14"/>
      <c r="Y180" s="14"/>
    </row>
    <row r="181" spans="1:25" ht="15.75" x14ac:dyDescent="0.25">
      <c r="A181" s="20">
        <f t="shared" si="6"/>
        <v>580</v>
      </c>
      <c r="B181" s="20" t="str">
        <f>+VLOOKUP(Table_1[[#This Row],[IdCliente]],BD!$A$2:$BB$1759,54)</f>
        <v>Palma</v>
      </c>
      <c r="C181" s="21"/>
      <c r="D181" s="20">
        <f>+VLOOKUP(Table_1[[#This Row],[IdCliente]],BD!$A$2:$BA$1759,36)</f>
        <v>84309997</v>
      </c>
      <c r="E181" s="20" t="str">
        <f t="shared" si="7"/>
        <v>Te esperamos en nuestro WEBINAR y actualiza tus conocimientos para el abordaje clínico de tus pacientes con acné ✨</v>
      </c>
      <c r="F181" s="21" t="str">
        <f t="shared" si="8"/>
        <v>¡Registrate y logralo ahora! 📲 http://bit.ly/3EHYv4j</v>
      </c>
      <c r="G181" s="14"/>
      <c r="H181" s="14"/>
      <c r="I181" s="14"/>
      <c r="J181" s="14"/>
      <c r="K181" s="14"/>
      <c r="L181" s="14"/>
      <c r="M181" s="14"/>
      <c r="N181" s="14"/>
      <c r="O181" s="14"/>
      <c r="P181" s="14"/>
      <c r="Q181" s="14"/>
      <c r="R181" s="14"/>
      <c r="S181" s="14"/>
      <c r="T181" s="14"/>
      <c r="U181" s="14"/>
      <c r="V181" s="14"/>
      <c r="W181" s="14"/>
      <c r="X181" s="14"/>
      <c r="Y181" s="14"/>
    </row>
    <row r="182" spans="1:25" ht="15.75" x14ac:dyDescent="0.25">
      <c r="A182" s="20">
        <f t="shared" si="6"/>
        <v>581</v>
      </c>
      <c r="B182" s="20" t="str">
        <f>+VLOOKUP(Table_1[[#This Row],[IdCliente]],BD!$A$2:$BB$1759,54)</f>
        <v>Silva</v>
      </c>
      <c r="C182" s="21"/>
      <c r="D182" s="20">
        <f>+VLOOKUP(Table_1[[#This Row],[IdCliente]],BD!$A$2:$BA$1759,36)</f>
        <v>82442427</v>
      </c>
      <c r="E182" s="20" t="str">
        <f t="shared" si="7"/>
        <v>Te esperamos en nuestro WEBINAR y actualiza tus conocimientos para el abordaje clínico de tus pacientes con acné ✨</v>
      </c>
      <c r="F182" s="21" t="str">
        <f t="shared" si="8"/>
        <v>¡Registrate y logralo ahora! 📲 http://bit.ly/3EHYv4j</v>
      </c>
      <c r="G182" s="14"/>
      <c r="H182" s="14"/>
      <c r="I182" s="14"/>
      <c r="J182" s="14"/>
      <c r="K182" s="14"/>
      <c r="L182" s="14"/>
      <c r="M182" s="14"/>
      <c r="N182" s="14"/>
      <c r="O182" s="14"/>
      <c r="P182" s="14"/>
      <c r="Q182" s="14"/>
      <c r="R182" s="14"/>
      <c r="S182" s="14"/>
      <c r="T182" s="14"/>
      <c r="U182" s="14"/>
      <c r="V182" s="14"/>
      <c r="W182" s="14"/>
      <c r="X182" s="14"/>
      <c r="Y182" s="14"/>
    </row>
    <row r="183" spans="1:25" ht="15.75" x14ac:dyDescent="0.25">
      <c r="A183" s="20">
        <f t="shared" si="6"/>
        <v>582</v>
      </c>
      <c r="B183" s="20" t="str">
        <f>+VLOOKUP(Table_1[[#This Row],[IdCliente]],BD!$A$2:$BB$1759,54)</f>
        <v>Moncada</v>
      </c>
      <c r="C183" s="21"/>
      <c r="D183" s="20">
        <f>+VLOOKUP(Table_1[[#This Row],[IdCliente]],BD!$A$2:$BA$1759,36)</f>
        <v>85280943</v>
      </c>
      <c r="E183" s="20" t="str">
        <f t="shared" si="7"/>
        <v>Te esperamos en nuestro WEBINAR y actualiza tus conocimientos para el abordaje clínico de tus pacientes con acné ✨</v>
      </c>
      <c r="F183" s="21" t="str">
        <f t="shared" si="8"/>
        <v>¡Registrate y logralo ahora! 📲 http://bit.ly/3EHYv4j</v>
      </c>
      <c r="G183" s="14"/>
      <c r="H183" s="14"/>
      <c r="I183" s="14"/>
      <c r="J183" s="14"/>
      <c r="K183" s="14"/>
      <c r="L183" s="14"/>
      <c r="M183" s="14"/>
      <c r="N183" s="14"/>
      <c r="O183" s="14"/>
      <c r="P183" s="14"/>
      <c r="Q183" s="14"/>
      <c r="R183" s="14"/>
      <c r="S183" s="14"/>
      <c r="T183" s="14"/>
      <c r="U183" s="14"/>
      <c r="V183" s="14"/>
      <c r="W183" s="14"/>
      <c r="X183" s="14"/>
      <c r="Y183" s="14"/>
    </row>
    <row r="184" spans="1:25" ht="15.75" x14ac:dyDescent="0.25">
      <c r="A184" s="20">
        <f t="shared" si="6"/>
        <v>583</v>
      </c>
      <c r="B184" s="20" t="str">
        <f>+VLOOKUP(Table_1[[#This Row],[IdCliente]],BD!$A$2:$BB$1759,54)</f>
        <v>Norori</v>
      </c>
      <c r="C184" s="21"/>
      <c r="D184" s="20">
        <f>+VLOOKUP(Table_1[[#This Row],[IdCliente]],BD!$A$2:$BA$1759,36)</f>
        <v>88047722</v>
      </c>
      <c r="E184" s="20" t="str">
        <f t="shared" si="7"/>
        <v>Te esperamos en nuestro WEBINAR y actualiza tus conocimientos para el abordaje clínico de tus pacientes con acné ✨</v>
      </c>
      <c r="F184" s="21" t="str">
        <f t="shared" si="8"/>
        <v>¡Registrate y logralo ahora! 📲 http://bit.ly/3EHYv4j</v>
      </c>
      <c r="G184" s="14"/>
      <c r="H184" s="14"/>
      <c r="I184" s="14"/>
      <c r="J184" s="14"/>
      <c r="K184" s="14"/>
      <c r="L184" s="14"/>
      <c r="M184" s="14"/>
      <c r="N184" s="14"/>
      <c r="O184" s="14"/>
      <c r="P184" s="14"/>
      <c r="Q184" s="14"/>
      <c r="R184" s="14"/>
      <c r="S184" s="14"/>
      <c r="T184" s="14"/>
      <c r="U184" s="14"/>
      <c r="V184" s="14"/>
      <c r="W184" s="14"/>
      <c r="X184" s="14"/>
      <c r="Y184" s="14"/>
    </row>
    <row r="185" spans="1:25" ht="15.75" x14ac:dyDescent="0.25">
      <c r="A185" s="20">
        <f t="shared" si="6"/>
        <v>584</v>
      </c>
      <c r="B185" s="20" t="str">
        <f>+VLOOKUP(Table_1[[#This Row],[IdCliente]],BD!$A$2:$BB$1759,54)</f>
        <v>Orochena</v>
      </c>
      <c r="C185" s="21"/>
      <c r="D185" s="20">
        <f>+VLOOKUP(Table_1[[#This Row],[IdCliente]],BD!$A$2:$BA$1759,36)</f>
        <v>88974045</v>
      </c>
      <c r="E185" s="20" t="str">
        <f t="shared" si="7"/>
        <v>Te esperamos en nuestro WEBINAR y actualiza tus conocimientos para el abordaje clínico de tus pacientes con acné ✨</v>
      </c>
      <c r="F185" s="21" t="str">
        <f t="shared" si="8"/>
        <v>¡Registrate y logralo ahora! 📲 http://bit.ly/3EHYv4j</v>
      </c>
      <c r="G185" s="14"/>
      <c r="H185" s="14"/>
      <c r="I185" s="14"/>
      <c r="J185" s="14"/>
      <c r="K185" s="14"/>
      <c r="L185" s="14"/>
      <c r="M185" s="14"/>
      <c r="N185" s="14"/>
      <c r="O185" s="14"/>
      <c r="P185" s="14"/>
      <c r="Q185" s="14"/>
      <c r="R185" s="14"/>
      <c r="S185" s="14"/>
      <c r="T185" s="14"/>
      <c r="U185" s="14"/>
      <c r="V185" s="14"/>
      <c r="W185" s="14"/>
      <c r="X185" s="14"/>
      <c r="Y185" s="14"/>
    </row>
    <row r="186" spans="1:25" ht="15.75" x14ac:dyDescent="0.25">
      <c r="A186" s="20">
        <f t="shared" si="6"/>
        <v>585</v>
      </c>
      <c r="B186" s="20" t="str">
        <f>+VLOOKUP(Table_1[[#This Row],[IdCliente]],BD!$A$2:$BB$1759,54)</f>
        <v>Bustamante</v>
      </c>
      <c r="C186" s="21"/>
      <c r="D186" s="20">
        <f>+VLOOKUP(Table_1[[#This Row],[IdCliente]],BD!$A$2:$BA$1759,36)</f>
        <v>84177452</v>
      </c>
      <c r="E186" s="20" t="str">
        <f t="shared" si="7"/>
        <v>Te esperamos en nuestro WEBINAR y actualiza tus conocimientos para el abordaje clínico de tus pacientes con acné ✨</v>
      </c>
      <c r="F186" s="21" t="str">
        <f t="shared" si="8"/>
        <v>¡Registrate y logralo ahora! 📲 http://bit.ly/3EHYv4j</v>
      </c>
      <c r="G186" s="14"/>
      <c r="H186" s="14"/>
      <c r="I186" s="14"/>
      <c r="J186" s="14"/>
      <c r="K186" s="14"/>
      <c r="L186" s="14"/>
      <c r="M186" s="14"/>
      <c r="N186" s="14"/>
      <c r="O186" s="14"/>
      <c r="P186" s="14"/>
      <c r="Q186" s="14"/>
      <c r="R186" s="14"/>
      <c r="S186" s="14"/>
      <c r="T186" s="14"/>
      <c r="U186" s="14"/>
      <c r="V186" s="14"/>
      <c r="W186" s="14"/>
      <c r="X186" s="14"/>
      <c r="Y186" s="14"/>
    </row>
    <row r="187" spans="1:25" ht="15.75" x14ac:dyDescent="0.25">
      <c r="A187" s="20">
        <f t="shared" si="6"/>
        <v>586</v>
      </c>
      <c r="B187" s="20" t="str">
        <f>+VLOOKUP(Table_1[[#This Row],[IdCliente]],BD!$A$2:$BB$1759,54)</f>
        <v>Aguilar</v>
      </c>
      <c r="C187" s="21"/>
      <c r="D187" s="20">
        <f>+VLOOKUP(Table_1[[#This Row],[IdCliente]],BD!$A$2:$BA$1759,36)</f>
        <v>77189316</v>
      </c>
      <c r="E187" s="20" t="str">
        <f t="shared" si="7"/>
        <v>Te esperamos en nuestro WEBINAR y actualiza tus conocimientos para el abordaje clínico de tus pacientes con acné ✨</v>
      </c>
      <c r="F187" s="21" t="str">
        <f t="shared" si="8"/>
        <v>¡Registrate y logralo ahora! 📲 http://bit.ly/3EHYv4j</v>
      </c>
      <c r="G187" s="14"/>
      <c r="H187" s="14"/>
      <c r="I187" s="14"/>
      <c r="J187" s="14"/>
      <c r="K187" s="14"/>
      <c r="L187" s="14"/>
      <c r="M187" s="14"/>
      <c r="N187" s="14"/>
      <c r="O187" s="14"/>
      <c r="P187" s="14"/>
      <c r="Q187" s="14"/>
      <c r="R187" s="14"/>
      <c r="S187" s="14"/>
      <c r="T187" s="14"/>
      <c r="U187" s="14"/>
      <c r="V187" s="14"/>
      <c r="W187" s="14"/>
      <c r="X187" s="14"/>
      <c r="Y187" s="14"/>
    </row>
    <row r="188" spans="1:25" ht="15.75" x14ac:dyDescent="0.25">
      <c r="A188" s="20">
        <f t="shared" si="6"/>
        <v>587</v>
      </c>
      <c r="B188" s="20" t="str">
        <f>+VLOOKUP(Table_1[[#This Row],[IdCliente]],BD!$A$2:$BB$1759,54)</f>
        <v>Vivas</v>
      </c>
      <c r="C188" s="21"/>
      <c r="D188" s="20">
        <f>+VLOOKUP(Table_1[[#This Row],[IdCliente]],BD!$A$2:$BA$1759,36)</f>
        <v>76083576</v>
      </c>
      <c r="E188" s="20" t="str">
        <f t="shared" si="7"/>
        <v>Te esperamos en nuestro WEBINAR y actualiza tus conocimientos para el abordaje clínico de tus pacientes con acné ✨</v>
      </c>
      <c r="F188" s="21" t="str">
        <f t="shared" si="8"/>
        <v>¡Registrate y logralo ahora! 📲 http://bit.ly/3EHYv4j</v>
      </c>
      <c r="G188" s="14"/>
      <c r="H188" s="14"/>
      <c r="I188" s="14"/>
      <c r="J188" s="14"/>
      <c r="K188" s="14"/>
      <c r="L188" s="14"/>
      <c r="M188" s="14"/>
      <c r="N188" s="14"/>
      <c r="O188" s="14"/>
      <c r="P188" s="14"/>
      <c r="Q188" s="14"/>
      <c r="R188" s="14"/>
      <c r="S188" s="14"/>
      <c r="T188" s="14"/>
      <c r="U188" s="14"/>
      <c r="V188" s="14"/>
      <c r="W188" s="14"/>
      <c r="X188" s="14"/>
      <c r="Y188" s="14"/>
    </row>
    <row r="189" spans="1:25" ht="15.75" x14ac:dyDescent="0.25">
      <c r="A189" s="20">
        <f t="shared" si="6"/>
        <v>588</v>
      </c>
      <c r="B189" s="20" t="str">
        <f>+VLOOKUP(Table_1[[#This Row],[IdCliente]],BD!$A$2:$BB$1759,54)</f>
        <v>Blas</v>
      </c>
      <c r="C189" s="21"/>
      <c r="D189" s="20">
        <f>+VLOOKUP(Table_1[[#This Row],[IdCliente]],BD!$A$2:$BA$1759,36)</f>
        <v>82207118</v>
      </c>
      <c r="E189" s="20" t="str">
        <f t="shared" si="7"/>
        <v>Te esperamos en nuestro WEBINAR y actualiza tus conocimientos para el abordaje clínico de tus pacientes con acné ✨</v>
      </c>
      <c r="F189" s="21" t="str">
        <f t="shared" si="8"/>
        <v>¡Registrate y logralo ahora! 📲 http://bit.ly/3EHYv4j</v>
      </c>
      <c r="G189" s="14"/>
      <c r="H189" s="14"/>
      <c r="I189" s="14"/>
      <c r="J189" s="14"/>
      <c r="K189" s="14"/>
      <c r="L189" s="14"/>
      <c r="M189" s="14"/>
      <c r="N189" s="14"/>
      <c r="O189" s="14"/>
      <c r="P189" s="14"/>
      <c r="Q189" s="14"/>
      <c r="R189" s="14"/>
      <c r="S189" s="14"/>
      <c r="T189" s="14"/>
      <c r="U189" s="14"/>
      <c r="V189" s="14"/>
      <c r="W189" s="14"/>
      <c r="X189" s="14"/>
      <c r="Y189" s="14"/>
    </row>
    <row r="190" spans="1:25" ht="15.75" x14ac:dyDescent="0.25">
      <c r="A190" s="20">
        <f t="shared" si="6"/>
        <v>589</v>
      </c>
      <c r="B190" s="20" t="str">
        <f>+VLOOKUP(Table_1[[#This Row],[IdCliente]],BD!$A$2:$BB$1759,54)</f>
        <v>Montoya</v>
      </c>
      <c r="C190" s="21"/>
      <c r="D190" s="20">
        <f>+VLOOKUP(Table_1[[#This Row],[IdCliente]],BD!$A$2:$BA$1759,36)</f>
        <v>84371304</v>
      </c>
      <c r="E190" s="20" t="str">
        <f t="shared" si="7"/>
        <v>Te esperamos en nuestro WEBINAR y actualiza tus conocimientos para el abordaje clínico de tus pacientes con acné ✨</v>
      </c>
      <c r="F190" s="21" t="str">
        <f t="shared" si="8"/>
        <v>¡Registrate y logralo ahora! 📲 http://bit.ly/3EHYv4j</v>
      </c>
      <c r="G190" s="14"/>
      <c r="H190" s="14"/>
      <c r="I190" s="14"/>
      <c r="J190" s="14"/>
      <c r="K190" s="14"/>
      <c r="L190" s="14"/>
      <c r="M190" s="14"/>
      <c r="N190" s="14"/>
      <c r="O190" s="14"/>
      <c r="P190" s="14"/>
      <c r="Q190" s="14"/>
      <c r="R190" s="14"/>
      <c r="S190" s="14"/>
      <c r="T190" s="14"/>
      <c r="U190" s="14"/>
      <c r="V190" s="14"/>
      <c r="W190" s="14"/>
      <c r="X190" s="14"/>
      <c r="Y190" s="14"/>
    </row>
    <row r="191" spans="1:25" ht="15.75" x14ac:dyDescent="0.25">
      <c r="A191" s="20">
        <f t="shared" si="6"/>
        <v>590</v>
      </c>
      <c r="B191" s="20" t="str">
        <f>+VLOOKUP(Table_1[[#This Row],[IdCliente]],BD!$A$2:$BB$1759,54)</f>
        <v>Bolaños</v>
      </c>
      <c r="C191" s="21"/>
      <c r="D191" s="20">
        <f>+VLOOKUP(Table_1[[#This Row],[IdCliente]],BD!$A$2:$BA$1759,36)</f>
        <v>83259918</v>
      </c>
      <c r="E191" s="20" t="str">
        <f t="shared" si="7"/>
        <v>Te esperamos en nuestro WEBINAR y actualiza tus conocimientos para el abordaje clínico de tus pacientes con acné ✨</v>
      </c>
      <c r="F191" s="21" t="str">
        <f t="shared" si="8"/>
        <v>¡Registrate y logralo ahora! 📲 http://bit.ly/3EHYv4j</v>
      </c>
      <c r="G191" s="14"/>
      <c r="H191" s="14"/>
      <c r="I191" s="14"/>
      <c r="J191" s="14"/>
      <c r="K191" s="14"/>
      <c r="L191" s="14"/>
      <c r="M191" s="14"/>
      <c r="N191" s="14"/>
      <c r="O191" s="14"/>
      <c r="P191" s="14"/>
      <c r="Q191" s="14"/>
      <c r="R191" s="14"/>
      <c r="S191" s="14"/>
      <c r="T191" s="14"/>
      <c r="U191" s="14"/>
      <c r="V191" s="14"/>
      <c r="W191" s="14"/>
      <c r="X191" s="14"/>
      <c r="Y191" s="14"/>
    </row>
    <row r="192" spans="1:25" ht="15.75" x14ac:dyDescent="0.25">
      <c r="A192" s="20">
        <f t="shared" si="6"/>
        <v>591</v>
      </c>
      <c r="B192" s="20" t="str">
        <f>+VLOOKUP(Table_1[[#This Row],[IdCliente]],BD!$A$2:$BB$1759,54)</f>
        <v>Caballero</v>
      </c>
      <c r="C192" s="21"/>
      <c r="D192" s="20">
        <f>+VLOOKUP(Table_1[[#This Row],[IdCliente]],BD!$A$2:$BA$1759,36)</f>
        <v>84367337</v>
      </c>
      <c r="E192" s="20" t="str">
        <f t="shared" si="7"/>
        <v>Te esperamos en nuestro WEBINAR y actualiza tus conocimientos para el abordaje clínico de tus pacientes con acné ✨</v>
      </c>
      <c r="F192" s="21" t="str">
        <f t="shared" si="8"/>
        <v>¡Registrate y logralo ahora! 📲 http://bit.ly/3EHYv4j</v>
      </c>
      <c r="G192" s="14"/>
      <c r="H192" s="14"/>
      <c r="I192" s="14"/>
      <c r="J192" s="14"/>
      <c r="K192" s="14"/>
      <c r="L192" s="14"/>
      <c r="M192" s="14"/>
      <c r="N192" s="14"/>
      <c r="O192" s="14"/>
      <c r="P192" s="14"/>
      <c r="Q192" s="14"/>
      <c r="R192" s="14"/>
      <c r="S192" s="14"/>
      <c r="T192" s="14"/>
      <c r="U192" s="14"/>
      <c r="V192" s="14"/>
      <c r="W192" s="14"/>
      <c r="X192" s="14"/>
      <c r="Y192" s="14"/>
    </row>
    <row r="193" spans="1:25" ht="15.75" x14ac:dyDescent="0.25">
      <c r="A193" s="20">
        <f t="shared" si="6"/>
        <v>592</v>
      </c>
      <c r="B193" s="20" t="str">
        <f>+VLOOKUP(Table_1[[#This Row],[IdCliente]],BD!$A$2:$BB$1759,54)</f>
        <v>Guadamuz</v>
      </c>
      <c r="C193" s="21"/>
      <c r="D193" s="20">
        <f>+VLOOKUP(Table_1[[#This Row],[IdCliente]],BD!$A$2:$BA$1759,36)</f>
        <v>88736826</v>
      </c>
      <c r="E193" s="20" t="str">
        <f t="shared" si="7"/>
        <v>Te esperamos en nuestro WEBINAR y actualiza tus conocimientos para el abordaje clínico de tus pacientes con acné ✨</v>
      </c>
      <c r="F193" s="21" t="str">
        <f t="shared" si="8"/>
        <v>¡Registrate y logralo ahora! 📲 http://bit.ly/3EHYv4j</v>
      </c>
      <c r="G193" s="14"/>
      <c r="H193" s="14"/>
      <c r="I193" s="14"/>
      <c r="J193" s="14"/>
      <c r="K193" s="14"/>
      <c r="L193" s="14"/>
      <c r="M193" s="14"/>
      <c r="N193" s="14"/>
      <c r="O193" s="14"/>
      <c r="P193" s="14"/>
      <c r="Q193" s="14"/>
      <c r="R193" s="14"/>
      <c r="S193" s="14"/>
      <c r="T193" s="14"/>
      <c r="U193" s="14"/>
      <c r="V193" s="14"/>
      <c r="W193" s="14"/>
      <c r="X193" s="14"/>
      <c r="Y193" s="14"/>
    </row>
    <row r="194" spans="1:25" ht="15.75" x14ac:dyDescent="0.25">
      <c r="A194" s="20">
        <f t="shared" si="6"/>
        <v>593</v>
      </c>
      <c r="B194" s="20" t="str">
        <f>+VLOOKUP(Table_1[[#This Row],[IdCliente]],BD!$A$2:$BB$1759,54)</f>
        <v>Ramirez</v>
      </c>
      <c r="C194" s="21"/>
      <c r="D194" s="20">
        <f>+VLOOKUP(Table_1[[#This Row],[IdCliente]],BD!$A$2:$BA$1759,36)</f>
        <v>81121337</v>
      </c>
      <c r="E194" s="20" t="str">
        <f t="shared" si="7"/>
        <v>Te esperamos en nuestro WEBINAR y actualiza tus conocimientos para el abordaje clínico de tus pacientes con acné ✨</v>
      </c>
      <c r="F194" s="21" t="str">
        <f t="shared" si="8"/>
        <v>¡Registrate y logralo ahora! 📲 http://bit.ly/3EHYv4j</v>
      </c>
      <c r="G194" s="14"/>
      <c r="H194" s="14"/>
      <c r="I194" s="14"/>
      <c r="J194" s="14"/>
      <c r="K194" s="14"/>
      <c r="L194" s="14"/>
      <c r="M194" s="14"/>
      <c r="N194" s="14"/>
      <c r="O194" s="14"/>
      <c r="P194" s="14"/>
      <c r="Q194" s="14"/>
      <c r="R194" s="14"/>
      <c r="S194" s="14"/>
      <c r="T194" s="14"/>
      <c r="U194" s="14"/>
      <c r="V194" s="14"/>
      <c r="W194" s="14"/>
      <c r="X194" s="14"/>
      <c r="Y194" s="14"/>
    </row>
    <row r="195" spans="1:25" ht="15.75" x14ac:dyDescent="0.25">
      <c r="A195" s="20">
        <f t="shared" si="6"/>
        <v>594</v>
      </c>
      <c r="B195" s="20" t="str">
        <f>+VLOOKUP(Table_1[[#This Row],[IdCliente]],BD!$A$2:$BB$1759,54)</f>
        <v>Hernandez</v>
      </c>
      <c r="C195" s="21"/>
      <c r="D195" s="20">
        <f>+VLOOKUP(Table_1[[#This Row],[IdCliente]],BD!$A$2:$BA$1759,36)</f>
        <v>84194513</v>
      </c>
      <c r="E195" s="20" t="str">
        <f t="shared" si="7"/>
        <v>Te esperamos en nuestro WEBINAR y actualiza tus conocimientos para el abordaje clínico de tus pacientes con acné ✨</v>
      </c>
      <c r="F195" s="21" t="str">
        <f t="shared" si="8"/>
        <v>¡Registrate y logralo ahora! 📲 http://bit.ly/3EHYv4j</v>
      </c>
      <c r="G195" s="14"/>
      <c r="H195" s="14"/>
      <c r="I195" s="14"/>
      <c r="J195" s="14"/>
      <c r="K195" s="14"/>
      <c r="L195" s="14"/>
      <c r="M195" s="14"/>
      <c r="N195" s="14"/>
      <c r="O195" s="14"/>
      <c r="P195" s="14"/>
      <c r="Q195" s="14"/>
      <c r="R195" s="14"/>
      <c r="S195" s="14"/>
      <c r="T195" s="14"/>
      <c r="U195" s="14"/>
      <c r="V195" s="14"/>
      <c r="W195" s="14"/>
      <c r="X195" s="14"/>
      <c r="Y195" s="14"/>
    </row>
    <row r="196" spans="1:25" ht="15.75" x14ac:dyDescent="0.25">
      <c r="A196" s="20">
        <f t="shared" ref="A196:A200" si="9">+A195+1</f>
        <v>595</v>
      </c>
      <c r="B196" s="20" t="str">
        <f>+VLOOKUP(Table_1[[#This Row],[IdCliente]],BD!$A$2:$BB$1759,54)</f>
        <v>Murillo</v>
      </c>
      <c r="C196" s="21"/>
      <c r="D196" s="20">
        <f>+VLOOKUP(Table_1[[#This Row],[IdCliente]],BD!$A$2:$BA$1759,36)</f>
        <v>0</v>
      </c>
      <c r="E196" s="20" t="str">
        <f t="shared" ref="E196:E201" si="10">+E195</f>
        <v>Te esperamos en nuestro WEBINAR y actualiza tus conocimientos para el abordaje clínico de tus pacientes con acné ✨</v>
      </c>
      <c r="F196" s="21" t="str">
        <f t="shared" ref="F196:F201" si="11">+F195</f>
        <v>¡Registrate y logralo ahora! 📲 http://bit.ly/3EHYv4j</v>
      </c>
      <c r="G196" s="14"/>
      <c r="H196" s="14"/>
      <c r="I196" s="14"/>
      <c r="J196" s="14"/>
      <c r="K196" s="14"/>
      <c r="L196" s="14"/>
      <c r="M196" s="14"/>
      <c r="N196" s="14"/>
      <c r="O196" s="14"/>
      <c r="P196" s="14"/>
      <c r="Q196" s="14"/>
      <c r="R196" s="14"/>
      <c r="S196" s="14"/>
      <c r="T196" s="14"/>
      <c r="U196" s="14"/>
      <c r="V196" s="14"/>
      <c r="W196" s="14"/>
      <c r="X196" s="14"/>
      <c r="Y196" s="14"/>
    </row>
    <row r="197" spans="1:25" ht="15.75" x14ac:dyDescent="0.25">
      <c r="A197" s="20">
        <f t="shared" si="9"/>
        <v>596</v>
      </c>
      <c r="B197" s="20" t="str">
        <f>+VLOOKUP(Table_1[[#This Row],[IdCliente]],BD!$A$2:$BB$1759,54)</f>
        <v>Rugama</v>
      </c>
      <c r="C197" s="21"/>
      <c r="D197" s="20">
        <f>+VLOOKUP(Table_1[[#This Row],[IdCliente]],BD!$A$2:$BA$1759,36)</f>
        <v>87290030</v>
      </c>
      <c r="E197" s="20" t="str">
        <f t="shared" si="10"/>
        <v>Te esperamos en nuestro WEBINAR y actualiza tus conocimientos para el abordaje clínico de tus pacientes con acné ✨</v>
      </c>
      <c r="F197" s="21" t="str">
        <f t="shared" si="11"/>
        <v>¡Registrate y logralo ahora! 📲 http://bit.ly/3EHYv4j</v>
      </c>
      <c r="G197" s="14"/>
      <c r="H197" s="14"/>
      <c r="I197" s="14"/>
      <c r="J197" s="14"/>
      <c r="K197" s="14"/>
      <c r="L197" s="14"/>
      <c r="M197" s="14"/>
      <c r="N197" s="14"/>
      <c r="O197" s="14"/>
      <c r="P197" s="14"/>
      <c r="Q197" s="14"/>
      <c r="R197" s="14"/>
      <c r="S197" s="14"/>
      <c r="T197" s="14"/>
      <c r="U197" s="14"/>
      <c r="V197" s="14"/>
      <c r="W197" s="14"/>
      <c r="X197" s="14"/>
      <c r="Y197" s="14"/>
    </row>
    <row r="198" spans="1:25" ht="15.75" x14ac:dyDescent="0.25">
      <c r="A198" s="20">
        <f t="shared" si="9"/>
        <v>597</v>
      </c>
      <c r="B198" s="20" t="str">
        <f>+VLOOKUP(Table_1[[#This Row],[IdCliente]],BD!$A$2:$BB$1759,54)</f>
        <v>López</v>
      </c>
      <c r="C198" s="21"/>
      <c r="D198" s="20">
        <f>+VLOOKUP(Table_1[[#This Row],[IdCliente]],BD!$A$2:$BA$1759,36)</f>
        <v>81988365</v>
      </c>
      <c r="E198" s="20" t="str">
        <f t="shared" si="10"/>
        <v>Te esperamos en nuestro WEBINAR y actualiza tus conocimientos para el abordaje clínico de tus pacientes con acné ✨</v>
      </c>
      <c r="F198" s="21" t="str">
        <f t="shared" si="11"/>
        <v>¡Registrate y logralo ahora! 📲 http://bit.ly/3EHYv4j</v>
      </c>
      <c r="G198" s="14"/>
      <c r="H198" s="14"/>
      <c r="I198" s="14"/>
      <c r="J198" s="14"/>
      <c r="K198" s="14"/>
      <c r="L198" s="14"/>
      <c r="M198" s="14"/>
      <c r="N198" s="14"/>
      <c r="O198" s="14"/>
      <c r="P198" s="14"/>
      <c r="Q198" s="14"/>
      <c r="R198" s="14"/>
      <c r="S198" s="14"/>
      <c r="T198" s="14"/>
      <c r="U198" s="14"/>
      <c r="V198" s="14"/>
      <c r="W198" s="14"/>
      <c r="X198" s="14"/>
      <c r="Y198" s="14"/>
    </row>
    <row r="199" spans="1:25" ht="15.75" x14ac:dyDescent="0.25">
      <c r="A199" s="20">
        <f t="shared" si="9"/>
        <v>598</v>
      </c>
      <c r="B199" s="20" t="str">
        <f>+VLOOKUP(Table_1[[#This Row],[IdCliente]],BD!$A$2:$BB$1759,54)</f>
        <v>Perez</v>
      </c>
      <c r="C199" s="21"/>
      <c r="D199" s="20">
        <f>+VLOOKUP(Table_1[[#This Row],[IdCliente]],BD!$A$2:$BA$1759,36)</f>
        <v>88642123</v>
      </c>
      <c r="E199" s="20" t="str">
        <f t="shared" si="10"/>
        <v>Te esperamos en nuestro WEBINAR y actualiza tus conocimientos para el abordaje clínico de tus pacientes con acné ✨</v>
      </c>
      <c r="F199" s="21" t="str">
        <f t="shared" si="11"/>
        <v>¡Registrate y logralo ahora! 📲 http://bit.ly/3EHYv4j</v>
      </c>
      <c r="G199" s="14"/>
      <c r="H199" s="14"/>
      <c r="I199" s="14"/>
      <c r="J199" s="14"/>
      <c r="K199" s="14"/>
      <c r="L199" s="14"/>
      <c r="M199" s="14"/>
      <c r="N199" s="14"/>
      <c r="O199" s="14"/>
      <c r="P199" s="14"/>
      <c r="Q199" s="14"/>
      <c r="R199" s="14"/>
      <c r="S199" s="14"/>
      <c r="T199" s="14"/>
      <c r="U199" s="14"/>
      <c r="V199" s="14"/>
      <c r="W199" s="14"/>
      <c r="X199" s="14"/>
      <c r="Y199" s="14"/>
    </row>
    <row r="200" spans="1:25" ht="15.75" x14ac:dyDescent="0.25">
      <c r="A200" s="20">
        <f t="shared" si="9"/>
        <v>599</v>
      </c>
      <c r="B200" s="20" t="str">
        <f>+VLOOKUP(Table_1[[#This Row],[IdCliente]],BD!$A$2:$BB$1759,54)</f>
        <v>Hernandez</v>
      </c>
      <c r="C200" s="21"/>
      <c r="D200" s="20">
        <f>+VLOOKUP(Table_1[[#This Row],[IdCliente]],BD!$A$2:$BA$1759,36)</f>
        <v>81110140</v>
      </c>
      <c r="E200" s="20" t="str">
        <f t="shared" si="10"/>
        <v>Te esperamos en nuestro WEBINAR y actualiza tus conocimientos para el abordaje clínico de tus pacientes con acné ✨</v>
      </c>
      <c r="F200" s="21" t="str">
        <f t="shared" si="11"/>
        <v>¡Registrate y logralo ahora! 📲 http://bit.ly/3EHYv4j</v>
      </c>
      <c r="G200" s="14"/>
      <c r="H200" s="14"/>
      <c r="I200" s="14"/>
      <c r="J200" s="14"/>
      <c r="K200" s="14"/>
      <c r="L200" s="14"/>
      <c r="M200" s="14"/>
      <c r="N200" s="14"/>
      <c r="O200" s="14"/>
      <c r="P200" s="14"/>
      <c r="Q200" s="14"/>
      <c r="R200" s="14"/>
      <c r="S200" s="14"/>
      <c r="T200" s="14"/>
      <c r="U200" s="14"/>
      <c r="V200" s="14"/>
      <c r="W200" s="14"/>
      <c r="X200" s="14"/>
      <c r="Y200" s="14"/>
    </row>
    <row r="201" spans="1:25" ht="15.75" x14ac:dyDescent="0.25">
      <c r="A201" s="20">
        <f t="shared" ref="A201" si="12">+A200+1</f>
        <v>600</v>
      </c>
      <c r="B201" s="20" t="str">
        <f>+VLOOKUP(Table_1[[#This Row],[IdCliente]],BD!$A$2:$BB$1759,54)</f>
        <v>Ramirez</v>
      </c>
      <c r="C201" s="21"/>
      <c r="D201" s="20">
        <f>+VLOOKUP(Table_1[[#This Row],[IdCliente]],BD!$A$2:$BA$1759,36)</f>
        <v>84929884</v>
      </c>
      <c r="E201" s="20" t="str">
        <f t="shared" si="10"/>
        <v>Te esperamos en nuestro WEBINAR y actualiza tus conocimientos para el abordaje clínico de tus pacientes con acné ✨</v>
      </c>
      <c r="F201" s="21" t="str">
        <f t="shared" si="11"/>
        <v>¡Registrate y logralo ahora! 📲 http://bit.ly/3EHYv4j</v>
      </c>
      <c r="G201" s="14"/>
      <c r="H201" s="14"/>
      <c r="I201" s="14"/>
      <c r="J201" s="14"/>
      <c r="K201" s="14"/>
      <c r="L201" s="14"/>
      <c r="M201" s="14"/>
      <c r="N201" s="14"/>
      <c r="O201" s="14"/>
      <c r="P201" s="14"/>
      <c r="Q201" s="14"/>
      <c r="R201" s="14"/>
      <c r="S201" s="14"/>
      <c r="T201" s="14"/>
      <c r="U201" s="14"/>
      <c r="V201" s="14"/>
      <c r="W201" s="14"/>
      <c r="X201" s="14"/>
      <c r="Y201" s="14"/>
    </row>
    <row r="202" spans="1:25" ht="15.75" x14ac:dyDescent="0.25">
      <c r="A202" s="21"/>
      <c r="B202" s="21"/>
      <c r="C202" s="21"/>
      <c r="E202" s="21"/>
      <c r="F202" s="21"/>
      <c r="G202" s="14"/>
      <c r="H202" s="14"/>
      <c r="I202" s="14"/>
      <c r="J202" s="14"/>
      <c r="K202" s="14"/>
      <c r="L202" s="14"/>
      <c r="M202" s="14"/>
      <c r="N202" s="14"/>
      <c r="O202" s="14"/>
      <c r="P202" s="14"/>
      <c r="Q202" s="14"/>
      <c r="R202" s="14"/>
      <c r="S202" s="14"/>
      <c r="T202" s="14"/>
      <c r="U202" s="14"/>
      <c r="V202" s="14"/>
      <c r="W202" s="14"/>
      <c r="X202" s="14"/>
      <c r="Y202" s="14"/>
    </row>
    <row r="203" spans="1:25" ht="15.75" x14ac:dyDescent="0.25">
      <c r="A203" s="21"/>
      <c r="B203" s="21"/>
      <c r="C203" s="21"/>
      <c r="E203" s="21"/>
      <c r="F203" s="21"/>
      <c r="G203" s="14"/>
      <c r="H203" s="14"/>
      <c r="I203" s="14"/>
      <c r="J203" s="14"/>
      <c r="K203" s="14"/>
      <c r="L203" s="14"/>
      <c r="M203" s="14"/>
      <c r="N203" s="14"/>
      <c r="O203" s="14"/>
      <c r="P203" s="14"/>
      <c r="Q203" s="14"/>
      <c r="R203" s="14"/>
      <c r="S203" s="14"/>
      <c r="T203" s="14"/>
      <c r="U203" s="14"/>
      <c r="V203" s="14"/>
      <c r="W203" s="14"/>
      <c r="X203" s="14"/>
      <c r="Y203" s="14"/>
    </row>
    <row r="204" spans="1:25" ht="15.75" x14ac:dyDescent="0.25">
      <c r="A204" s="21"/>
      <c r="B204" s="21"/>
      <c r="C204" s="21"/>
      <c r="E204" s="21"/>
      <c r="F204" s="21"/>
      <c r="G204" s="14"/>
      <c r="H204" s="14"/>
      <c r="I204" s="14"/>
      <c r="J204" s="14"/>
      <c r="K204" s="14"/>
      <c r="L204" s="14"/>
      <c r="M204" s="14"/>
      <c r="N204" s="14"/>
      <c r="O204" s="14"/>
      <c r="P204" s="14"/>
      <c r="Q204" s="14"/>
      <c r="R204" s="14"/>
      <c r="S204" s="14"/>
      <c r="T204" s="14"/>
      <c r="U204" s="14"/>
      <c r="V204" s="14"/>
      <c r="W204" s="14"/>
      <c r="X204" s="14"/>
      <c r="Y204" s="14"/>
    </row>
    <row r="205" spans="1:25" ht="15.75" x14ac:dyDescent="0.25">
      <c r="A205" s="21"/>
      <c r="B205" s="21"/>
      <c r="C205" s="21"/>
      <c r="E205" s="21"/>
      <c r="F205" s="21"/>
      <c r="G205" s="14"/>
      <c r="H205" s="14"/>
      <c r="I205" s="14"/>
      <c r="J205" s="14"/>
      <c r="K205" s="14"/>
      <c r="L205" s="14"/>
      <c r="M205" s="14"/>
      <c r="N205" s="14"/>
      <c r="O205" s="14"/>
      <c r="P205" s="14"/>
      <c r="Q205" s="14"/>
      <c r="R205" s="14"/>
      <c r="S205" s="14"/>
      <c r="T205" s="14"/>
      <c r="U205" s="14"/>
      <c r="V205" s="14"/>
      <c r="W205" s="14"/>
      <c r="X205" s="14"/>
      <c r="Y205" s="14"/>
    </row>
    <row r="206" spans="1:25" ht="15.75" x14ac:dyDescent="0.25">
      <c r="A206" s="21"/>
      <c r="B206" s="21"/>
      <c r="C206" s="21"/>
      <c r="E206" s="21"/>
      <c r="F206" s="21"/>
      <c r="G206" s="14"/>
      <c r="H206" s="14"/>
      <c r="I206" s="14"/>
      <c r="J206" s="14"/>
      <c r="K206" s="14"/>
      <c r="L206" s="14"/>
      <c r="M206" s="14"/>
      <c r="N206" s="14"/>
      <c r="O206" s="14"/>
      <c r="P206" s="14"/>
      <c r="Q206" s="14"/>
      <c r="R206" s="14"/>
      <c r="S206" s="14"/>
      <c r="T206" s="14"/>
      <c r="U206" s="14"/>
      <c r="V206" s="14"/>
      <c r="W206" s="14"/>
      <c r="X206" s="14"/>
      <c r="Y206" s="14"/>
    </row>
    <row r="207" spans="1:25" ht="15.75" x14ac:dyDescent="0.25">
      <c r="A207" s="21"/>
      <c r="B207" s="21"/>
      <c r="C207" s="21"/>
      <c r="E207" s="21"/>
      <c r="F207" s="21"/>
      <c r="G207" s="14"/>
      <c r="H207" s="14"/>
      <c r="I207" s="14"/>
      <c r="J207" s="14"/>
      <c r="K207" s="14"/>
      <c r="L207" s="14"/>
      <c r="M207" s="14"/>
      <c r="N207" s="14"/>
      <c r="O207" s="14"/>
      <c r="P207" s="14"/>
      <c r="Q207" s="14"/>
      <c r="R207" s="14"/>
      <c r="S207" s="14"/>
      <c r="T207" s="14"/>
      <c r="U207" s="14"/>
      <c r="V207" s="14"/>
      <c r="W207" s="14"/>
      <c r="X207" s="14"/>
      <c r="Y207" s="14"/>
    </row>
    <row r="208" spans="1:25" ht="15.75" x14ac:dyDescent="0.25">
      <c r="A208" s="21"/>
      <c r="B208" s="21"/>
      <c r="C208" s="21"/>
      <c r="E208" s="21"/>
      <c r="F208" s="21"/>
      <c r="G208" s="14"/>
      <c r="H208" s="14"/>
      <c r="I208" s="14"/>
      <c r="J208" s="14"/>
      <c r="K208" s="14"/>
      <c r="L208" s="14"/>
      <c r="M208" s="14"/>
      <c r="N208" s="14"/>
      <c r="O208" s="14"/>
      <c r="P208" s="14"/>
      <c r="Q208" s="14"/>
      <c r="R208" s="14"/>
      <c r="S208" s="14"/>
      <c r="T208" s="14"/>
      <c r="U208" s="14"/>
      <c r="V208" s="14"/>
      <c r="W208" s="14"/>
      <c r="X208" s="14"/>
      <c r="Y208" s="14"/>
    </row>
    <row r="209" spans="1:25" ht="15.75" x14ac:dyDescent="0.25">
      <c r="A209" s="21"/>
      <c r="B209" s="21"/>
      <c r="C209" s="21"/>
      <c r="E209" s="21"/>
      <c r="F209" s="21"/>
      <c r="G209" s="14"/>
      <c r="H209" s="14"/>
      <c r="I209" s="14"/>
      <c r="J209" s="14"/>
      <c r="K209" s="14"/>
      <c r="L209" s="14"/>
      <c r="M209" s="14"/>
      <c r="N209" s="14"/>
      <c r="O209" s="14"/>
      <c r="P209" s="14"/>
      <c r="Q209" s="14"/>
      <c r="R209" s="14"/>
      <c r="S209" s="14"/>
      <c r="T209" s="14"/>
      <c r="U209" s="14"/>
      <c r="V209" s="14"/>
      <c r="W209" s="14"/>
      <c r="X209" s="14"/>
      <c r="Y209" s="14"/>
    </row>
    <row r="210" spans="1:25" ht="15.75" x14ac:dyDescent="0.25">
      <c r="A210" s="21"/>
      <c r="B210" s="21"/>
      <c r="C210" s="21"/>
      <c r="E210" s="21"/>
      <c r="F210" s="21"/>
      <c r="G210" s="14"/>
      <c r="H210" s="14"/>
      <c r="I210" s="14"/>
      <c r="J210" s="14"/>
      <c r="K210" s="14"/>
      <c r="L210" s="14"/>
      <c r="M210" s="14"/>
      <c r="N210" s="14"/>
      <c r="O210" s="14"/>
      <c r="P210" s="14"/>
      <c r="Q210" s="14"/>
      <c r="R210" s="14"/>
      <c r="S210" s="14"/>
      <c r="T210" s="14"/>
      <c r="U210" s="14"/>
      <c r="V210" s="14"/>
      <c r="W210" s="14"/>
      <c r="X210" s="14"/>
      <c r="Y210" s="14"/>
    </row>
    <row r="211" spans="1:25" ht="15.75" x14ac:dyDescent="0.25">
      <c r="A211" s="21"/>
      <c r="B211" s="21"/>
      <c r="C211" s="21"/>
      <c r="E211" s="21"/>
      <c r="F211" s="21"/>
      <c r="G211" s="14"/>
      <c r="H211" s="14"/>
      <c r="I211" s="14"/>
      <c r="J211" s="14"/>
      <c r="K211" s="14"/>
      <c r="L211" s="14"/>
      <c r="M211" s="14"/>
      <c r="N211" s="14"/>
      <c r="O211" s="14"/>
      <c r="P211" s="14"/>
      <c r="Q211" s="14"/>
      <c r="R211" s="14"/>
      <c r="S211" s="14"/>
      <c r="T211" s="14"/>
      <c r="U211" s="14"/>
      <c r="V211" s="14"/>
      <c r="W211" s="14"/>
      <c r="X211" s="14"/>
      <c r="Y211" s="14"/>
    </row>
    <row r="212" spans="1:25" ht="15.75" x14ac:dyDescent="0.25">
      <c r="A212" s="21"/>
      <c r="B212" s="21"/>
      <c r="C212" s="21"/>
      <c r="E212" s="21"/>
      <c r="F212" s="21"/>
      <c r="G212" s="14"/>
      <c r="H212" s="14"/>
      <c r="I212" s="14"/>
      <c r="J212" s="14"/>
      <c r="K212" s="14"/>
      <c r="L212" s="14"/>
      <c r="M212" s="14"/>
      <c r="N212" s="14"/>
      <c r="O212" s="14"/>
      <c r="P212" s="14"/>
      <c r="Q212" s="14"/>
      <c r="R212" s="14"/>
      <c r="S212" s="14"/>
      <c r="T212" s="14"/>
      <c r="U212" s="14"/>
      <c r="V212" s="14"/>
      <c r="W212" s="14"/>
      <c r="X212" s="14"/>
      <c r="Y212" s="14"/>
    </row>
    <row r="213" spans="1:25" ht="15.75" x14ac:dyDescent="0.25">
      <c r="A213" s="21"/>
      <c r="B213" s="21"/>
      <c r="C213" s="21"/>
      <c r="E213" s="21"/>
      <c r="F213" s="21"/>
      <c r="G213" s="14"/>
      <c r="H213" s="14"/>
      <c r="I213" s="14"/>
      <c r="J213" s="14"/>
      <c r="K213" s="14"/>
      <c r="L213" s="14"/>
      <c r="M213" s="14"/>
      <c r="N213" s="14"/>
      <c r="O213" s="14"/>
      <c r="P213" s="14"/>
      <c r="Q213" s="14"/>
      <c r="R213" s="14"/>
      <c r="S213" s="14"/>
      <c r="T213" s="14"/>
      <c r="U213" s="14"/>
      <c r="V213" s="14"/>
      <c r="W213" s="14"/>
      <c r="X213" s="14"/>
      <c r="Y213" s="14"/>
    </row>
    <row r="214" spans="1:25" ht="15.75" x14ac:dyDescent="0.25">
      <c r="A214" s="21"/>
      <c r="B214" s="21"/>
      <c r="C214" s="21"/>
      <c r="E214" s="21"/>
      <c r="F214" s="21"/>
      <c r="G214" s="14"/>
      <c r="H214" s="14"/>
      <c r="I214" s="14"/>
      <c r="J214" s="14"/>
      <c r="K214" s="14"/>
      <c r="L214" s="14"/>
      <c r="M214" s="14"/>
      <c r="N214" s="14"/>
      <c r="O214" s="14"/>
      <c r="P214" s="14"/>
      <c r="Q214" s="14"/>
      <c r="R214" s="14"/>
      <c r="S214" s="14"/>
      <c r="T214" s="14"/>
      <c r="U214" s="14"/>
      <c r="V214" s="14"/>
      <c r="W214" s="14"/>
      <c r="X214" s="14"/>
      <c r="Y214" s="14"/>
    </row>
    <row r="215" spans="1:25" ht="15.75" x14ac:dyDescent="0.25">
      <c r="A215" s="21"/>
      <c r="B215" s="21"/>
      <c r="C215" s="21"/>
      <c r="E215" s="21"/>
      <c r="F215" s="21"/>
      <c r="G215" s="14"/>
      <c r="H215" s="14"/>
      <c r="I215" s="14"/>
      <c r="J215" s="14"/>
      <c r="K215" s="14"/>
      <c r="L215" s="14"/>
      <c r="M215" s="14"/>
      <c r="N215" s="14"/>
      <c r="O215" s="14"/>
      <c r="P215" s="14"/>
      <c r="Q215" s="14"/>
      <c r="R215" s="14"/>
      <c r="S215" s="14"/>
      <c r="T215" s="14"/>
      <c r="U215" s="14"/>
      <c r="V215" s="14"/>
      <c r="W215" s="14"/>
      <c r="X215" s="14"/>
      <c r="Y215" s="14"/>
    </row>
    <row r="216" spans="1:25" ht="15.75" x14ac:dyDescent="0.25">
      <c r="A216" s="21"/>
      <c r="B216" s="21"/>
      <c r="C216" s="21"/>
      <c r="E216" s="21"/>
      <c r="F216" s="21"/>
      <c r="G216" s="14"/>
      <c r="H216" s="14"/>
      <c r="I216" s="14"/>
      <c r="J216" s="14"/>
      <c r="K216" s="14"/>
      <c r="L216" s="14"/>
      <c r="M216" s="14"/>
      <c r="N216" s="14"/>
      <c r="O216" s="14"/>
      <c r="P216" s="14"/>
      <c r="Q216" s="14"/>
      <c r="R216" s="14"/>
      <c r="S216" s="14"/>
      <c r="T216" s="14"/>
      <c r="U216" s="14"/>
      <c r="V216" s="14"/>
      <c r="W216" s="14"/>
      <c r="X216" s="14"/>
      <c r="Y216" s="14"/>
    </row>
    <row r="217" spans="1:25" ht="15.75" x14ac:dyDescent="0.25">
      <c r="A217" s="21"/>
      <c r="B217" s="21"/>
      <c r="C217" s="21"/>
      <c r="E217" s="21"/>
      <c r="F217" s="21"/>
      <c r="G217" s="14"/>
      <c r="H217" s="14"/>
      <c r="I217" s="14"/>
      <c r="J217" s="14"/>
      <c r="K217" s="14"/>
      <c r="L217" s="14"/>
      <c r="M217" s="14"/>
      <c r="N217" s="14"/>
      <c r="O217" s="14"/>
      <c r="P217" s="14"/>
      <c r="Q217" s="14"/>
      <c r="R217" s="14"/>
      <c r="S217" s="14"/>
      <c r="T217" s="14"/>
      <c r="U217" s="14"/>
      <c r="V217" s="14"/>
      <c r="W217" s="14"/>
      <c r="X217" s="14"/>
      <c r="Y217" s="14"/>
    </row>
    <row r="218" spans="1:25" ht="15.75" x14ac:dyDescent="0.25">
      <c r="A218" s="21"/>
      <c r="B218" s="21"/>
      <c r="C218" s="21"/>
      <c r="E218" s="21"/>
      <c r="F218" s="21"/>
      <c r="G218" s="14"/>
      <c r="H218" s="14"/>
      <c r="I218" s="14"/>
      <c r="J218" s="14"/>
      <c r="K218" s="14"/>
      <c r="L218" s="14"/>
      <c r="M218" s="14"/>
      <c r="N218" s="14"/>
      <c r="O218" s="14"/>
      <c r="P218" s="14"/>
      <c r="Q218" s="14"/>
      <c r="R218" s="14"/>
      <c r="S218" s="14"/>
      <c r="T218" s="14"/>
      <c r="U218" s="14"/>
      <c r="V218" s="14"/>
      <c r="W218" s="14"/>
      <c r="X218" s="14"/>
      <c r="Y218" s="14"/>
    </row>
    <row r="219" spans="1:25" ht="15.75" x14ac:dyDescent="0.25">
      <c r="A219" s="21"/>
      <c r="B219" s="21"/>
      <c r="C219" s="21"/>
      <c r="E219" s="21"/>
      <c r="F219" s="21"/>
      <c r="G219" s="14"/>
      <c r="H219" s="14"/>
      <c r="I219" s="14"/>
      <c r="J219" s="14"/>
      <c r="K219" s="14"/>
      <c r="L219" s="14"/>
      <c r="M219" s="14"/>
      <c r="N219" s="14"/>
      <c r="O219" s="14"/>
      <c r="P219" s="14"/>
      <c r="Q219" s="14"/>
      <c r="R219" s="14"/>
      <c r="S219" s="14"/>
      <c r="T219" s="14"/>
      <c r="U219" s="14"/>
      <c r="V219" s="14"/>
      <c r="W219" s="14"/>
      <c r="X219" s="14"/>
      <c r="Y219" s="14"/>
    </row>
    <row r="220" spans="1:25" ht="15.75" x14ac:dyDescent="0.25">
      <c r="A220" s="21"/>
      <c r="B220" s="21"/>
      <c r="C220" s="21"/>
      <c r="E220" s="21"/>
      <c r="F220" s="21"/>
      <c r="G220" s="14"/>
      <c r="H220" s="14"/>
      <c r="I220" s="14"/>
      <c r="J220" s="14"/>
      <c r="K220" s="14"/>
      <c r="L220" s="14"/>
      <c r="M220" s="14"/>
      <c r="N220" s="14"/>
      <c r="O220" s="14"/>
      <c r="P220" s="14"/>
      <c r="Q220" s="14"/>
      <c r="R220" s="14"/>
      <c r="S220" s="14"/>
      <c r="T220" s="14"/>
      <c r="U220" s="14"/>
      <c r="V220" s="14"/>
      <c r="W220" s="14"/>
      <c r="X220" s="14"/>
      <c r="Y220" s="14"/>
    </row>
    <row r="221" spans="1:25" ht="15.75" x14ac:dyDescent="0.25">
      <c r="A221" s="21"/>
      <c r="B221" s="21"/>
      <c r="C221" s="21"/>
      <c r="E221" s="21"/>
      <c r="F221" s="21"/>
      <c r="G221" s="14"/>
      <c r="H221" s="14"/>
      <c r="I221" s="14"/>
      <c r="J221" s="14"/>
      <c r="K221" s="14"/>
      <c r="L221" s="14"/>
      <c r="M221" s="14"/>
      <c r="N221" s="14"/>
      <c r="O221" s="14"/>
      <c r="P221" s="14"/>
      <c r="Q221" s="14"/>
      <c r="R221" s="14"/>
      <c r="S221" s="14"/>
      <c r="T221" s="14"/>
      <c r="U221" s="14"/>
      <c r="V221" s="14"/>
      <c r="W221" s="14"/>
      <c r="X221" s="14"/>
      <c r="Y221" s="14"/>
    </row>
    <row r="222" spans="1:25" ht="15.75" x14ac:dyDescent="0.25">
      <c r="A222" s="21"/>
      <c r="B222" s="21"/>
      <c r="C222" s="21"/>
      <c r="E222" s="21"/>
      <c r="F222" s="21"/>
      <c r="G222" s="14"/>
      <c r="H222" s="14"/>
      <c r="I222" s="14"/>
      <c r="J222" s="14"/>
      <c r="K222" s="14"/>
      <c r="L222" s="14"/>
      <c r="M222" s="14"/>
      <c r="N222" s="14"/>
      <c r="O222" s="14"/>
      <c r="P222" s="14"/>
      <c r="Q222" s="14"/>
      <c r="R222" s="14"/>
      <c r="S222" s="14"/>
      <c r="T222" s="14"/>
      <c r="U222" s="14"/>
      <c r="V222" s="14"/>
      <c r="W222" s="14"/>
      <c r="X222" s="14"/>
      <c r="Y222" s="14"/>
    </row>
    <row r="223" spans="1:25" ht="15.75" x14ac:dyDescent="0.25">
      <c r="A223" s="21"/>
      <c r="B223" s="21"/>
      <c r="C223" s="21"/>
      <c r="E223" s="21"/>
      <c r="F223" s="21"/>
      <c r="G223" s="14"/>
      <c r="H223" s="14"/>
      <c r="I223" s="14"/>
      <c r="J223" s="14"/>
      <c r="K223" s="14"/>
      <c r="L223" s="14"/>
      <c r="M223" s="14"/>
      <c r="N223" s="14"/>
      <c r="O223" s="14"/>
      <c r="P223" s="14"/>
      <c r="Q223" s="14"/>
      <c r="R223" s="14"/>
      <c r="S223" s="14"/>
      <c r="T223" s="14"/>
      <c r="U223" s="14"/>
      <c r="V223" s="14"/>
      <c r="W223" s="14"/>
      <c r="X223" s="14"/>
      <c r="Y223" s="14"/>
    </row>
    <row r="224" spans="1:25" ht="15.75" x14ac:dyDescent="0.25">
      <c r="A224" s="21"/>
      <c r="B224" s="21"/>
      <c r="C224" s="21"/>
      <c r="E224" s="21"/>
      <c r="F224" s="21"/>
      <c r="G224" s="14"/>
      <c r="H224" s="14"/>
      <c r="I224" s="14"/>
      <c r="J224" s="14"/>
      <c r="K224" s="14"/>
      <c r="L224" s="14"/>
      <c r="M224" s="14"/>
      <c r="N224" s="14"/>
      <c r="O224" s="14"/>
      <c r="P224" s="14"/>
      <c r="Q224" s="14"/>
      <c r="R224" s="14"/>
      <c r="S224" s="14"/>
      <c r="T224" s="14"/>
      <c r="U224" s="14"/>
      <c r="V224" s="14"/>
      <c r="W224" s="14"/>
      <c r="X224" s="14"/>
      <c r="Y224" s="14"/>
    </row>
    <row r="225" spans="1:25" ht="15.75" x14ac:dyDescent="0.25">
      <c r="A225" s="21"/>
      <c r="B225" s="21"/>
      <c r="C225" s="21"/>
      <c r="E225" s="21"/>
      <c r="F225" s="21"/>
      <c r="G225" s="14"/>
      <c r="H225" s="14"/>
      <c r="I225" s="14"/>
      <c r="J225" s="14"/>
      <c r="K225" s="14"/>
      <c r="L225" s="14"/>
      <c r="M225" s="14"/>
      <c r="N225" s="14"/>
      <c r="O225" s="14"/>
      <c r="P225" s="14"/>
      <c r="Q225" s="14"/>
      <c r="R225" s="14"/>
      <c r="S225" s="14"/>
      <c r="T225" s="14"/>
      <c r="U225" s="14"/>
      <c r="V225" s="14"/>
      <c r="W225" s="14"/>
      <c r="X225" s="14"/>
      <c r="Y225" s="14"/>
    </row>
    <row r="226" spans="1:25" ht="15.75" x14ac:dyDescent="0.25">
      <c r="A226" s="21"/>
      <c r="B226" s="21"/>
      <c r="C226" s="21"/>
      <c r="E226" s="21"/>
      <c r="F226" s="21"/>
      <c r="G226" s="14"/>
      <c r="H226" s="14"/>
      <c r="I226" s="14"/>
      <c r="J226" s="14"/>
      <c r="K226" s="14"/>
      <c r="L226" s="14"/>
      <c r="M226" s="14"/>
      <c r="N226" s="14"/>
      <c r="O226" s="14"/>
      <c r="P226" s="14"/>
      <c r="Q226" s="14"/>
      <c r="R226" s="14"/>
      <c r="S226" s="14"/>
      <c r="T226" s="14"/>
      <c r="U226" s="14"/>
      <c r="V226" s="14"/>
      <c r="W226" s="14"/>
      <c r="X226" s="14"/>
      <c r="Y226" s="14"/>
    </row>
    <row r="227" spans="1:25" ht="15.75" x14ac:dyDescent="0.25">
      <c r="A227" s="21"/>
      <c r="B227" s="21"/>
      <c r="C227" s="21"/>
      <c r="E227" s="21"/>
      <c r="F227" s="21"/>
      <c r="G227" s="14"/>
      <c r="H227" s="14"/>
      <c r="I227" s="14"/>
      <c r="J227" s="14"/>
      <c r="K227" s="14"/>
      <c r="L227" s="14"/>
      <c r="M227" s="14"/>
      <c r="N227" s="14"/>
      <c r="O227" s="14"/>
      <c r="P227" s="14"/>
      <c r="Q227" s="14"/>
      <c r="R227" s="14"/>
      <c r="S227" s="14"/>
      <c r="T227" s="14"/>
      <c r="U227" s="14"/>
      <c r="V227" s="14"/>
      <c r="W227" s="14"/>
      <c r="X227" s="14"/>
      <c r="Y227" s="14"/>
    </row>
    <row r="228" spans="1:25" ht="15.75" x14ac:dyDescent="0.25">
      <c r="A228" s="21"/>
      <c r="B228" s="21"/>
      <c r="C228" s="21"/>
      <c r="E228" s="21"/>
      <c r="F228" s="21"/>
      <c r="G228" s="14"/>
      <c r="H228" s="14"/>
      <c r="I228" s="14"/>
      <c r="J228" s="14"/>
      <c r="K228" s="14"/>
      <c r="L228" s="14"/>
      <c r="M228" s="14"/>
      <c r="N228" s="14"/>
      <c r="O228" s="14"/>
      <c r="P228" s="14"/>
      <c r="Q228" s="14"/>
      <c r="R228" s="14"/>
      <c r="S228" s="14"/>
      <c r="T228" s="14"/>
      <c r="U228" s="14"/>
      <c r="V228" s="14"/>
      <c r="W228" s="14"/>
      <c r="X228" s="14"/>
      <c r="Y228" s="14"/>
    </row>
    <row r="229" spans="1:25" ht="15.75" x14ac:dyDescent="0.25">
      <c r="A229" s="21"/>
      <c r="B229" s="21"/>
      <c r="C229" s="21"/>
      <c r="E229" s="21"/>
      <c r="F229" s="21"/>
      <c r="G229" s="14"/>
      <c r="H229" s="14"/>
      <c r="I229" s="14"/>
      <c r="J229" s="14"/>
      <c r="K229" s="14"/>
      <c r="L229" s="14"/>
      <c r="M229" s="14"/>
      <c r="N229" s="14"/>
      <c r="O229" s="14"/>
      <c r="P229" s="14"/>
      <c r="Q229" s="14"/>
      <c r="R229" s="14"/>
      <c r="S229" s="14"/>
      <c r="T229" s="14"/>
      <c r="U229" s="14"/>
      <c r="V229" s="14"/>
      <c r="W229" s="14"/>
      <c r="X229" s="14"/>
      <c r="Y229" s="14"/>
    </row>
    <row r="230" spans="1:25" ht="15.75" x14ac:dyDescent="0.25">
      <c r="A230" s="21"/>
      <c r="B230" s="21"/>
      <c r="C230" s="21"/>
      <c r="E230" s="21"/>
      <c r="F230" s="21"/>
      <c r="G230" s="14"/>
      <c r="H230" s="14"/>
      <c r="I230" s="14"/>
      <c r="J230" s="14"/>
      <c r="K230" s="14"/>
      <c r="L230" s="14"/>
      <c r="M230" s="14"/>
      <c r="N230" s="14"/>
      <c r="O230" s="14"/>
      <c r="P230" s="14"/>
      <c r="Q230" s="14"/>
      <c r="R230" s="14"/>
      <c r="S230" s="14"/>
      <c r="T230" s="14"/>
      <c r="U230" s="14"/>
      <c r="V230" s="14"/>
      <c r="W230" s="14"/>
      <c r="X230" s="14"/>
      <c r="Y230" s="14"/>
    </row>
    <row r="231" spans="1:25" ht="15.75" x14ac:dyDescent="0.25">
      <c r="A231" s="21"/>
      <c r="B231" s="21"/>
      <c r="C231" s="21"/>
      <c r="E231" s="21"/>
      <c r="F231" s="21"/>
      <c r="G231" s="14"/>
      <c r="H231" s="14"/>
      <c r="I231" s="14"/>
      <c r="J231" s="14"/>
      <c r="K231" s="14"/>
      <c r="L231" s="14"/>
      <c r="M231" s="14"/>
      <c r="N231" s="14"/>
      <c r="O231" s="14"/>
      <c r="P231" s="14"/>
      <c r="Q231" s="14"/>
      <c r="R231" s="14"/>
      <c r="S231" s="14"/>
      <c r="T231" s="14"/>
      <c r="U231" s="14"/>
      <c r="V231" s="14"/>
      <c r="W231" s="14"/>
      <c r="X231" s="14"/>
      <c r="Y231" s="14"/>
    </row>
    <row r="232" spans="1:25" ht="15.75" x14ac:dyDescent="0.25">
      <c r="A232" s="21"/>
      <c r="B232" s="21"/>
      <c r="C232" s="21"/>
      <c r="E232" s="21"/>
      <c r="F232" s="21"/>
      <c r="G232" s="14"/>
      <c r="H232" s="14"/>
      <c r="I232" s="14"/>
      <c r="J232" s="14"/>
      <c r="K232" s="14"/>
      <c r="L232" s="14"/>
      <c r="M232" s="14"/>
      <c r="N232" s="14"/>
      <c r="O232" s="14"/>
      <c r="P232" s="14"/>
      <c r="Q232" s="14"/>
      <c r="R232" s="14"/>
      <c r="S232" s="14"/>
      <c r="T232" s="14"/>
      <c r="U232" s="14"/>
      <c r="V232" s="14"/>
      <c r="W232" s="14"/>
      <c r="X232" s="14"/>
      <c r="Y232" s="14"/>
    </row>
    <row r="233" spans="1:25" ht="15.75" x14ac:dyDescent="0.25">
      <c r="A233" s="21"/>
      <c r="B233" s="21"/>
      <c r="C233" s="21"/>
      <c r="E233" s="21"/>
      <c r="F233" s="21"/>
      <c r="G233" s="14"/>
      <c r="H233" s="14"/>
      <c r="I233" s="14"/>
      <c r="J233" s="14"/>
      <c r="K233" s="14"/>
      <c r="L233" s="14"/>
      <c r="M233" s="14"/>
      <c r="N233" s="14"/>
      <c r="O233" s="14"/>
      <c r="P233" s="14"/>
      <c r="Q233" s="14"/>
      <c r="R233" s="14"/>
      <c r="S233" s="14"/>
      <c r="T233" s="14"/>
      <c r="U233" s="14"/>
      <c r="V233" s="14"/>
      <c r="W233" s="14"/>
      <c r="X233" s="14"/>
      <c r="Y233" s="14"/>
    </row>
    <row r="234" spans="1:25" ht="15.75" x14ac:dyDescent="0.25">
      <c r="A234" s="21"/>
      <c r="B234" s="21"/>
      <c r="C234" s="21"/>
      <c r="E234" s="21"/>
      <c r="F234" s="21"/>
      <c r="G234" s="14"/>
      <c r="H234" s="14"/>
      <c r="I234" s="14"/>
      <c r="J234" s="14"/>
      <c r="K234" s="14"/>
      <c r="L234" s="14"/>
      <c r="M234" s="14"/>
      <c r="N234" s="14"/>
      <c r="O234" s="14"/>
      <c r="P234" s="14"/>
      <c r="Q234" s="14"/>
      <c r="R234" s="14"/>
      <c r="S234" s="14"/>
      <c r="T234" s="14"/>
      <c r="U234" s="14"/>
      <c r="V234" s="14"/>
      <c r="W234" s="14"/>
      <c r="X234" s="14"/>
      <c r="Y234" s="14"/>
    </row>
    <row r="235" spans="1:25" ht="15.75" x14ac:dyDescent="0.25">
      <c r="A235" s="21"/>
      <c r="B235" s="21"/>
      <c r="C235" s="21"/>
      <c r="E235" s="21"/>
      <c r="F235" s="21"/>
      <c r="G235" s="14"/>
      <c r="H235" s="14"/>
      <c r="I235" s="14"/>
      <c r="J235" s="14"/>
      <c r="K235" s="14"/>
      <c r="L235" s="14"/>
      <c r="M235" s="14"/>
      <c r="N235" s="14"/>
      <c r="O235" s="14"/>
      <c r="P235" s="14"/>
      <c r="Q235" s="14"/>
      <c r="R235" s="14"/>
      <c r="S235" s="14"/>
      <c r="T235" s="14"/>
      <c r="U235" s="14"/>
      <c r="V235" s="14"/>
      <c r="W235" s="14"/>
      <c r="X235" s="14"/>
      <c r="Y235" s="14"/>
    </row>
    <row r="236" spans="1:25" ht="15.75" x14ac:dyDescent="0.25">
      <c r="A236" s="21"/>
      <c r="B236" s="21"/>
      <c r="C236" s="21"/>
      <c r="E236" s="21"/>
      <c r="F236" s="21"/>
      <c r="G236" s="14"/>
      <c r="H236" s="14"/>
      <c r="I236" s="14"/>
      <c r="J236" s="14"/>
      <c r="K236" s="14"/>
      <c r="L236" s="14"/>
      <c r="M236" s="14"/>
      <c r="N236" s="14"/>
      <c r="O236" s="14"/>
      <c r="P236" s="14"/>
      <c r="Q236" s="14"/>
      <c r="R236" s="14"/>
      <c r="S236" s="14"/>
      <c r="T236" s="14"/>
      <c r="U236" s="14"/>
      <c r="V236" s="14"/>
      <c r="W236" s="14"/>
      <c r="X236" s="14"/>
      <c r="Y236" s="14"/>
    </row>
    <row r="237" spans="1:25" ht="15.75" x14ac:dyDescent="0.25">
      <c r="A237" s="21"/>
      <c r="B237" s="21"/>
      <c r="C237" s="21"/>
      <c r="E237" s="21"/>
      <c r="F237" s="21"/>
      <c r="G237" s="14"/>
      <c r="H237" s="14"/>
      <c r="I237" s="14"/>
      <c r="J237" s="14"/>
      <c r="K237" s="14"/>
      <c r="L237" s="14"/>
      <c r="M237" s="14"/>
      <c r="N237" s="14"/>
      <c r="O237" s="14"/>
      <c r="P237" s="14"/>
      <c r="Q237" s="14"/>
      <c r="R237" s="14"/>
      <c r="S237" s="14"/>
      <c r="T237" s="14"/>
      <c r="U237" s="14"/>
      <c r="V237" s="14"/>
      <c r="W237" s="14"/>
      <c r="X237" s="14"/>
      <c r="Y237" s="14"/>
    </row>
    <row r="238" spans="1:25" ht="15.75" x14ac:dyDescent="0.25">
      <c r="A238" s="21"/>
      <c r="B238" s="21"/>
      <c r="C238" s="21"/>
      <c r="E238" s="21"/>
      <c r="F238" s="21"/>
      <c r="G238" s="14"/>
      <c r="H238" s="14"/>
      <c r="I238" s="14"/>
      <c r="J238" s="14"/>
      <c r="K238" s="14"/>
      <c r="L238" s="14"/>
      <c r="M238" s="14"/>
      <c r="N238" s="14"/>
      <c r="O238" s="14"/>
      <c r="P238" s="14"/>
      <c r="Q238" s="14"/>
      <c r="R238" s="14"/>
      <c r="S238" s="14"/>
      <c r="T238" s="14"/>
      <c r="U238" s="14"/>
      <c r="V238" s="14"/>
      <c r="W238" s="14"/>
      <c r="X238" s="14"/>
      <c r="Y238" s="14"/>
    </row>
    <row r="239" spans="1:25" ht="15.75" x14ac:dyDescent="0.25">
      <c r="A239" s="21"/>
      <c r="B239" s="21"/>
      <c r="C239" s="21"/>
      <c r="E239" s="21"/>
      <c r="F239" s="21"/>
      <c r="G239" s="14"/>
      <c r="H239" s="14"/>
      <c r="I239" s="14"/>
      <c r="J239" s="14"/>
      <c r="K239" s="14"/>
      <c r="L239" s="14"/>
      <c r="M239" s="14"/>
      <c r="N239" s="14"/>
      <c r="O239" s="14"/>
      <c r="P239" s="14"/>
      <c r="Q239" s="14"/>
      <c r="R239" s="14"/>
      <c r="S239" s="14"/>
      <c r="T239" s="14"/>
      <c r="U239" s="14"/>
      <c r="V239" s="14"/>
      <c r="W239" s="14"/>
      <c r="X239" s="14"/>
      <c r="Y239" s="14"/>
    </row>
    <row r="240" spans="1:25" ht="15.75" x14ac:dyDescent="0.25">
      <c r="A240" s="21"/>
      <c r="B240" s="21"/>
      <c r="C240" s="21"/>
      <c r="E240" s="21"/>
      <c r="F240" s="21"/>
      <c r="G240" s="14"/>
      <c r="H240" s="14"/>
      <c r="I240" s="14"/>
      <c r="J240" s="14"/>
      <c r="K240" s="14"/>
      <c r="L240" s="14"/>
      <c r="M240" s="14"/>
      <c r="N240" s="14"/>
      <c r="O240" s="14"/>
      <c r="P240" s="14"/>
      <c r="Q240" s="14"/>
      <c r="R240" s="14"/>
      <c r="S240" s="14"/>
      <c r="T240" s="14"/>
      <c r="U240" s="14"/>
      <c r="V240" s="14"/>
      <c r="W240" s="14"/>
      <c r="X240" s="14"/>
      <c r="Y240" s="14"/>
    </row>
    <row r="241" spans="1:25" ht="15.75" x14ac:dyDescent="0.25">
      <c r="A241" s="21"/>
      <c r="B241" s="21"/>
      <c r="C241" s="21"/>
      <c r="E241" s="21"/>
      <c r="F241" s="21"/>
      <c r="G241" s="14"/>
      <c r="H241" s="14"/>
      <c r="I241" s="14"/>
      <c r="J241" s="14"/>
      <c r="K241" s="14"/>
      <c r="L241" s="14"/>
      <c r="M241" s="14"/>
      <c r="N241" s="14"/>
      <c r="O241" s="14"/>
      <c r="P241" s="14"/>
      <c r="Q241" s="14"/>
      <c r="R241" s="14"/>
      <c r="S241" s="14"/>
      <c r="T241" s="14"/>
      <c r="U241" s="14"/>
      <c r="V241" s="14"/>
      <c r="W241" s="14"/>
      <c r="X241" s="14"/>
      <c r="Y241" s="14"/>
    </row>
    <row r="242" spans="1:25" ht="15.75" x14ac:dyDescent="0.25">
      <c r="A242" s="21"/>
      <c r="B242" s="21"/>
      <c r="C242" s="21"/>
      <c r="E242" s="21"/>
      <c r="F242" s="21"/>
      <c r="G242" s="14"/>
      <c r="H242" s="14"/>
      <c r="I242" s="14"/>
      <c r="J242" s="14"/>
      <c r="K242" s="14"/>
      <c r="L242" s="14"/>
      <c r="M242" s="14"/>
      <c r="N242" s="14"/>
      <c r="O242" s="14"/>
      <c r="P242" s="14"/>
      <c r="Q242" s="14"/>
      <c r="R242" s="14"/>
      <c r="S242" s="14"/>
      <c r="T242" s="14"/>
      <c r="U242" s="14"/>
      <c r="V242" s="14"/>
      <c r="W242" s="14"/>
      <c r="X242" s="14"/>
      <c r="Y242" s="14"/>
    </row>
    <row r="243" spans="1:25" ht="15.75" x14ac:dyDescent="0.25">
      <c r="A243" s="21"/>
      <c r="B243" s="21"/>
      <c r="C243" s="21"/>
      <c r="E243" s="21"/>
      <c r="F243" s="21"/>
      <c r="G243" s="14"/>
      <c r="H243" s="14"/>
      <c r="I243" s="14"/>
      <c r="J243" s="14"/>
      <c r="K243" s="14"/>
      <c r="L243" s="14"/>
      <c r="M243" s="14"/>
      <c r="N243" s="14"/>
      <c r="O243" s="14"/>
      <c r="P243" s="14"/>
      <c r="Q243" s="14"/>
      <c r="R243" s="14"/>
      <c r="S243" s="14"/>
      <c r="T243" s="14"/>
      <c r="U243" s="14"/>
      <c r="V243" s="14"/>
      <c r="W243" s="14"/>
      <c r="X243" s="14"/>
      <c r="Y243" s="14"/>
    </row>
    <row r="244" spans="1:25" ht="15.75" x14ac:dyDescent="0.25">
      <c r="A244" s="21"/>
      <c r="B244" s="21"/>
      <c r="C244" s="21"/>
      <c r="E244" s="21"/>
      <c r="F244" s="21"/>
      <c r="G244" s="14"/>
      <c r="H244" s="14"/>
      <c r="I244" s="14"/>
      <c r="J244" s="14"/>
      <c r="K244" s="14"/>
      <c r="L244" s="14"/>
      <c r="M244" s="14"/>
      <c r="N244" s="14"/>
      <c r="O244" s="14"/>
      <c r="P244" s="14"/>
      <c r="Q244" s="14"/>
      <c r="R244" s="14"/>
      <c r="S244" s="14"/>
      <c r="T244" s="14"/>
      <c r="U244" s="14"/>
      <c r="V244" s="14"/>
      <c r="W244" s="14"/>
      <c r="X244" s="14"/>
      <c r="Y244" s="14"/>
    </row>
    <row r="245" spans="1:25" ht="15.75" x14ac:dyDescent="0.25">
      <c r="A245" s="21"/>
      <c r="B245" s="21"/>
      <c r="C245" s="21"/>
      <c r="E245" s="21"/>
      <c r="F245" s="21"/>
      <c r="G245" s="14"/>
      <c r="H245" s="14"/>
      <c r="I245" s="14"/>
      <c r="J245" s="14"/>
      <c r="K245" s="14"/>
      <c r="L245" s="14"/>
      <c r="M245" s="14"/>
      <c r="N245" s="14"/>
      <c r="O245" s="14"/>
      <c r="P245" s="14"/>
      <c r="Q245" s="14"/>
      <c r="R245" s="14"/>
      <c r="S245" s="14"/>
      <c r="T245" s="14"/>
      <c r="U245" s="14"/>
      <c r="V245" s="14"/>
      <c r="W245" s="14"/>
      <c r="X245" s="14"/>
      <c r="Y245" s="14"/>
    </row>
    <row r="246" spans="1:25" ht="15.75" x14ac:dyDescent="0.25">
      <c r="A246" s="21"/>
      <c r="B246" s="21"/>
      <c r="C246" s="21"/>
      <c r="E246" s="21"/>
      <c r="F246" s="21"/>
      <c r="G246" s="14"/>
      <c r="H246" s="14"/>
      <c r="I246" s="14"/>
      <c r="J246" s="14"/>
      <c r="K246" s="14"/>
      <c r="L246" s="14"/>
      <c r="M246" s="14"/>
      <c r="N246" s="14"/>
      <c r="O246" s="14"/>
      <c r="P246" s="14"/>
      <c r="Q246" s="14"/>
      <c r="R246" s="14"/>
      <c r="S246" s="14"/>
      <c r="T246" s="14"/>
      <c r="U246" s="14"/>
      <c r="V246" s="14"/>
      <c r="W246" s="14"/>
      <c r="X246" s="14"/>
      <c r="Y246" s="14"/>
    </row>
    <row r="247" spans="1:25" ht="15.75" x14ac:dyDescent="0.25">
      <c r="A247" s="21"/>
      <c r="B247" s="21"/>
      <c r="C247" s="21"/>
      <c r="E247" s="21"/>
      <c r="F247" s="21"/>
      <c r="G247" s="14"/>
      <c r="H247" s="14"/>
      <c r="I247" s="14"/>
      <c r="J247" s="14"/>
      <c r="K247" s="14"/>
      <c r="L247" s="14"/>
      <c r="M247" s="14"/>
      <c r="N247" s="14"/>
      <c r="O247" s="14"/>
      <c r="P247" s="14"/>
      <c r="Q247" s="14"/>
      <c r="R247" s="14"/>
      <c r="S247" s="14"/>
      <c r="T247" s="14"/>
      <c r="U247" s="14"/>
      <c r="V247" s="14"/>
      <c r="W247" s="14"/>
      <c r="X247" s="14"/>
      <c r="Y247" s="14"/>
    </row>
    <row r="248" spans="1:25" ht="15.75" x14ac:dyDescent="0.25">
      <c r="A248" s="21"/>
      <c r="B248" s="21"/>
      <c r="C248" s="21"/>
      <c r="E248" s="21"/>
      <c r="F248" s="21"/>
      <c r="G248" s="14"/>
      <c r="H248" s="14"/>
      <c r="I248" s="14"/>
      <c r="J248" s="14"/>
      <c r="K248" s="14"/>
      <c r="L248" s="14"/>
      <c r="M248" s="14"/>
      <c r="N248" s="14"/>
      <c r="O248" s="14"/>
      <c r="P248" s="14"/>
      <c r="Q248" s="14"/>
      <c r="R248" s="14"/>
      <c r="S248" s="14"/>
      <c r="T248" s="14"/>
      <c r="U248" s="14"/>
      <c r="V248" s="14"/>
      <c r="W248" s="14"/>
      <c r="X248" s="14"/>
      <c r="Y248" s="14"/>
    </row>
    <row r="249" spans="1:25" ht="15.75" x14ac:dyDescent="0.25">
      <c r="A249" s="21"/>
      <c r="B249" s="21"/>
      <c r="C249" s="21"/>
      <c r="E249" s="21"/>
      <c r="F249" s="21"/>
      <c r="G249" s="14"/>
      <c r="H249" s="14"/>
      <c r="I249" s="14"/>
      <c r="J249" s="14"/>
      <c r="K249" s="14"/>
      <c r="L249" s="14"/>
      <c r="M249" s="14"/>
      <c r="N249" s="14"/>
      <c r="O249" s="14"/>
      <c r="P249" s="14"/>
      <c r="Q249" s="14"/>
      <c r="R249" s="14"/>
      <c r="S249" s="14"/>
      <c r="T249" s="14"/>
      <c r="U249" s="14"/>
      <c r="V249" s="14"/>
      <c r="W249" s="14"/>
      <c r="X249" s="14"/>
      <c r="Y249" s="14"/>
    </row>
    <row r="250" spans="1:25" ht="15.75" x14ac:dyDescent="0.25">
      <c r="A250" s="21"/>
      <c r="B250" s="21"/>
      <c r="C250" s="21"/>
      <c r="E250" s="21"/>
      <c r="F250" s="21"/>
      <c r="G250" s="14"/>
      <c r="H250" s="14"/>
      <c r="I250" s="14"/>
      <c r="J250" s="14"/>
      <c r="K250" s="14"/>
      <c r="L250" s="14"/>
      <c r="M250" s="14"/>
      <c r="N250" s="14"/>
      <c r="O250" s="14"/>
      <c r="P250" s="14"/>
      <c r="Q250" s="14"/>
      <c r="R250" s="14"/>
      <c r="S250" s="14"/>
      <c r="T250" s="14"/>
      <c r="U250" s="14"/>
      <c r="V250" s="14"/>
      <c r="W250" s="14"/>
      <c r="X250" s="14"/>
      <c r="Y250" s="14"/>
    </row>
    <row r="251" spans="1:25" ht="15.75" x14ac:dyDescent="0.25">
      <c r="A251" s="21"/>
      <c r="B251" s="21"/>
      <c r="C251" s="21"/>
      <c r="E251" s="21"/>
      <c r="F251" s="21"/>
      <c r="G251" s="14"/>
      <c r="H251" s="14"/>
      <c r="I251" s="14"/>
      <c r="J251" s="14"/>
      <c r="K251" s="14"/>
      <c r="L251" s="14"/>
      <c r="M251" s="14"/>
      <c r="N251" s="14"/>
      <c r="O251" s="14"/>
      <c r="P251" s="14"/>
      <c r="Q251" s="14"/>
      <c r="R251" s="14"/>
      <c r="S251" s="14"/>
      <c r="T251" s="14"/>
      <c r="U251" s="14"/>
      <c r="V251" s="14"/>
      <c r="W251" s="14"/>
      <c r="X251" s="14"/>
      <c r="Y251" s="14"/>
    </row>
    <row r="252" spans="1:25" ht="15.75" x14ac:dyDescent="0.25">
      <c r="A252" s="21"/>
      <c r="B252" s="21"/>
      <c r="C252" s="21"/>
      <c r="E252" s="21"/>
      <c r="F252" s="21"/>
      <c r="G252" s="14"/>
      <c r="H252" s="14"/>
      <c r="I252" s="14"/>
      <c r="J252" s="14"/>
      <c r="K252" s="14"/>
      <c r="L252" s="14"/>
      <c r="M252" s="14"/>
      <c r="N252" s="14"/>
      <c r="O252" s="14"/>
      <c r="P252" s="14"/>
      <c r="Q252" s="14"/>
      <c r="R252" s="14"/>
      <c r="S252" s="14"/>
      <c r="T252" s="14"/>
      <c r="U252" s="14"/>
      <c r="V252" s="14"/>
      <c r="W252" s="14"/>
      <c r="X252" s="14"/>
      <c r="Y252" s="14"/>
    </row>
    <row r="253" spans="1:25" ht="15.75" x14ac:dyDescent="0.25">
      <c r="A253" s="21"/>
      <c r="B253" s="21"/>
      <c r="C253" s="21"/>
      <c r="E253" s="21"/>
      <c r="F253" s="21"/>
      <c r="G253" s="14"/>
      <c r="H253" s="14"/>
      <c r="I253" s="14"/>
      <c r="J253" s="14"/>
      <c r="K253" s="14"/>
      <c r="L253" s="14"/>
      <c r="M253" s="14"/>
      <c r="N253" s="14"/>
      <c r="O253" s="14"/>
      <c r="P253" s="14"/>
      <c r="Q253" s="14"/>
      <c r="R253" s="14"/>
      <c r="S253" s="14"/>
      <c r="T253" s="14"/>
      <c r="U253" s="14"/>
      <c r="V253" s="14"/>
      <c r="W253" s="14"/>
      <c r="X253" s="14"/>
      <c r="Y253" s="14"/>
    </row>
    <row r="254" spans="1:25" ht="15.75" x14ac:dyDescent="0.25">
      <c r="A254" s="21"/>
      <c r="B254" s="21"/>
      <c r="C254" s="21"/>
      <c r="E254" s="21"/>
      <c r="F254" s="21"/>
      <c r="G254" s="14"/>
      <c r="H254" s="14"/>
      <c r="I254" s="14"/>
      <c r="J254" s="14"/>
      <c r="K254" s="14"/>
      <c r="L254" s="14"/>
      <c r="M254" s="14"/>
      <c r="N254" s="14"/>
      <c r="O254" s="14"/>
      <c r="P254" s="14"/>
      <c r="Q254" s="14"/>
      <c r="R254" s="14"/>
      <c r="S254" s="14"/>
      <c r="T254" s="14"/>
      <c r="U254" s="14"/>
      <c r="V254" s="14"/>
      <c r="W254" s="14"/>
      <c r="X254" s="14"/>
      <c r="Y254" s="14"/>
    </row>
    <row r="255" spans="1:25" ht="15.75" x14ac:dyDescent="0.25">
      <c r="A255" s="21"/>
      <c r="B255" s="21"/>
      <c r="C255" s="21"/>
      <c r="E255" s="21"/>
      <c r="F255" s="21"/>
      <c r="G255" s="14"/>
      <c r="H255" s="14"/>
      <c r="I255" s="14"/>
      <c r="J255" s="14"/>
      <c r="K255" s="14"/>
      <c r="L255" s="14"/>
      <c r="M255" s="14"/>
      <c r="N255" s="14"/>
      <c r="O255" s="14"/>
      <c r="P255" s="14"/>
      <c r="Q255" s="14"/>
      <c r="R255" s="14"/>
      <c r="S255" s="14"/>
      <c r="T255" s="14"/>
      <c r="U255" s="14"/>
      <c r="V255" s="14"/>
      <c r="W255" s="14"/>
      <c r="X255" s="14"/>
      <c r="Y255" s="14"/>
    </row>
    <row r="256" spans="1:25" ht="15.75" x14ac:dyDescent="0.25">
      <c r="A256" s="21"/>
      <c r="B256" s="21"/>
      <c r="C256" s="21"/>
      <c r="E256" s="21"/>
      <c r="F256" s="21"/>
      <c r="G256" s="14"/>
      <c r="H256" s="14"/>
      <c r="I256" s="14"/>
      <c r="J256" s="14"/>
      <c r="K256" s="14"/>
      <c r="L256" s="14"/>
      <c r="M256" s="14"/>
      <c r="N256" s="14"/>
      <c r="O256" s="14"/>
      <c r="P256" s="14"/>
      <c r="Q256" s="14"/>
      <c r="R256" s="14"/>
      <c r="S256" s="14"/>
      <c r="T256" s="14"/>
      <c r="U256" s="14"/>
      <c r="V256" s="14"/>
      <c r="W256" s="14"/>
      <c r="X256" s="14"/>
      <c r="Y256" s="14"/>
    </row>
    <row r="257" spans="1:25" ht="15.75" x14ac:dyDescent="0.25">
      <c r="A257" s="21"/>
      <c r="B257" s="21"/>
      <c r="C257" s="21"/>
      <c r="E257" s="21"/>
      <c r="F257" s="21"/>
      <c r="G257" s="14"/>
      <c r="H257" s="14"/>
      <c r="I257" s="14"/>
      <c r="J257" s="14"/>
      <c r="K257" s="14"/>
      <c r="L257" s="14"/>
      <c r="M257" s="14"/>
      <c r="N257" s="14"/>
      <c r="O257" s="14"/>
      <c r="P257" s="14"/>
      <c r="Q257" s="14"/>
      <c r="R257" s="14"/>
      <c r="S257" s="14"/>
      <c r="T257" s="14"/>
      <c r="U257" s="14"/>
      <c r="V257" s="14"/>
      <c r="W257" s="14"/>
      <c r="X257" s="14"/>
      <c r="Y257" s="14"/>
    </row>
    <row r="258" spans="1:25" ht="15.75" x14ac:dyDescent="0.25">
      <c r="A258" s="21"/>
      <c r="B258" s="21"/>
      <c r="C258" s="21"/>
      <c r="E258" s="21"/>
      <c r="F258" s="21"/>
      <c r="G258" s="14"/>
      <c r="H258" s="14"/>
      <c r="I258" s="14"/>
      <c r="J258" s="14"/>
      <c r="K258" s="14"/>
      <c r="L258" s="14"/>
      <c r="M258" s="14"/>
      <c r="N258" s="14"/>
      <c r="O258" s="14"/>
      <c r="P258" s="14"/>
      <c r="Q258" s="14"/>
      <c r="R258" s="14"/>
      <c r="S258" s="14"/>
      <c r="T258" s="14"/>
      <c r="U258" s="14"/>
      <c r="V258" s="14"/>
      <c r="W258" s="14"/>
      <c r="X258" s="14"/>
      <c r="Y258" s="14"/>
    </row>
    <row r="259" spans="1:25" ht="15.75" x14ac:dyDescent="0.25">
      <c r="A259" s="21"/>
      <c r="B259" s="21"/>
      <c r="C259" s="21"/>
      <c r="E259" s="21"/>
      <c r="F259" s="21"/>
      <c r="G259" s="14"/>
      <c r="H259" s="14"/>
      <c r="I259" s="14"/>
      <c r="J259" s="14"/>
      <c r="K259" s="14"/>
      <c r="L259" s="14"/>
      <c r="M259" s="14"/>
      <c r="N259" s="14"/>
      <c r="O259" s="14"/>
      <c r="P259" s="14"/>
      <c r="Q259" s="14"/>
      <c r="R259" s="14"/>
      <c r="S259" s="14"/>
      <c r="T259" s="14"/>
      <c r="U259" s="14"/>
      <c r="V259" s="14"/>
      <c r="W259" s="14"/>
      <c r="X259" s="14"/>
      <c r="Y259" s="14"/>
    </row>
    <row r="260" spans="1:25" ht="15.75" x14ac:dyDescent="0.25">
      <c r="A260" s="21"/>
      <c r="B260" s="21"/>
      <c r="C260" s="21"/>
      <c r="E260" s="21"/>
      <c r="F260" s="21"/>
      <c r="G260" s="14"/>
      <c r="H260" s="14"/>
      <c r="I260" s="14"/>
      <c r="J260" s="14"/>
      <c r="K260" s="14"/>
      <c r="L260" s="14"/>
      <c r="M260" s="14"/>
      <c r="N260" s="14"/>
      <c r="O260" s="14"/>
      <c r="P260" s="14"/>
      <c r="Q260" s="14"/>
      <c r="R260" s="14"/>
      <c r="S260" s="14"/>
      <c r="T260" s="14"/>
      <c r="U260" s="14"/>
      <c r="V260" s="14"/>
      <c r="W260" s="14"/>
      <c r="X260" s="14"/>
      <c r="Y260" s="14"/>
    </row>
    <row r="261" spans="1:25" ht="15.75" x14ac:dyDescent="0.25">
      <c r="A261" s="21"/>
      <c r="B261" s="21"/>
      <c r="C261" s="21"/>
      <c r="E261" s="21"/>
      <c r="F261" s="21"/>
      <c r="G261" s="14"/>
      <c r="H261" s="14"/>
      <c r="I261" s="14"/>
      <c r="J261" s="14"/>
      <c r="K261" s="14"/>
      <c r="L261" s="14"/>
      <c r="M261" s="14"/>
      <c r="N261" s="14"/>
      <c r="O261" s="14"/>
      <c r="P261" s="14"/>
      <c r="Q261" s="14"/>
      <c r="R261" s="14"/>
      <c r="S261" s="14"/>
      <c r="T261" s="14"/>
      <c r="U261" s="14"/>
      <c r="V261" s="14"/>
      <c r="W261" s="14"/>
      <c r="X261" s="14"/>
      <c r="Y261" s="14"/>
    </row>
    <row r="262" spans="1:25" ht="15.75" x14ac:dyDescent="0.25">
      <c r="A262" s="21"/>
      <c r="B262" s="21"/>
      <c r="C262" s="21"/>
      <c r="E262" s="21"/>
      <c r="F262" s="21"/>
      <c r="G262" s="14"/>
      <c r="H262" s="14"/>
      <c r="I262" s="14"/>
      <c r="J262" s="14"/>
      <c r="K262" s="14"/>
      <c r="L262" s="14"/>
      <c r="M262" s="14"/>
      <c r="N262" s="14"/>
      <c r="O262" s="14"/>
      <c r="P262" s="14"/>
      <c r="Q262" s="14"/>
      <c r="R262" s="14"/>
      <c r="S262" s="14"/>
      <c r="T262" s="14"/>
      <c r="U262" s="14"/>
      <c r="V262" s="14"/>
      <c r="W262" s="14"/>
      <c r="X262" s="14"/>
      <c r="Y262" s="14"/>
    </row>
    <row r="263" spans="1:25" ht="15.75" x14ac:dyDescent="0.25">
      <c r="A263" s="21"/>
      <c r="B263" s="21"/>
      <c r="C263" s="21"/>
      <c r="E263" s="21"/>
      <c r="F263" s="21"/>
      <c r="G263" s="14"/>
      <c r="H263" s="14"/>
      <c r="I263" s="14"/>
      <c r="J263" s="14"/>
      <c r="K263" s="14"/>
      <c r="L263" s="14"/>
      <c r="M263" s="14"/>
      <c r="N263" s="14"/>
      <c r="O263" s="14"/>
      <c r="P263" s="14"/>
      <c r="Q263" s="14"/>
      <c r="R263" s="14"/>
      <c r="S263" s="14"/>
      <c r="T263" s="14"/>
      <c r="U263" s="14"/>
      <c r="V263" s="14"/>
      <c r="W263" s="14"/>
      <c r="X263" s="14"/>
      <c r="Y263" s="14"/>
    </row>
    <row r="264" spans="1:25" ht="15.75" x14ac:dyDescent="0.25">
      <c r="A264" s="21"/>
      <c r="B264" s="21"/>
      <c r="C264" s="21"/>
      <c r="E264" s="21"/>
      <c r="F264" s="21"/>
      <c r="G264" s="14"/>
      <c r="H264" s="14"/>
      <c r="I264" s="14"/>
      <c r="J264" s="14"/>
      <c r="K264" s="14"/>
      <c r="L264" s="14"/>
      <c r="M264" s="14"/>
      <c r="N264" s="14"/>
      <c r="O264" s="14"/>
      <c r="P264" s="14"/>
      <c r="Q264" s="14"/>
      <c r="R264" s="14"/>
      <c r="S264" s="14"/>
      <c r="T264" s="14"/>
      <c r="U264" s="14"/>
      <c r="V264" s="14"/>
      <c r="W264" s="14"/>
      <c r="X264" s="14"/>
      <c r="Y264" s="14"/>
    </row>
    <row r="265" spans="1:25" ht="15.75" x14ac:dyDescent="0.25">
      <c r="A265" s="21"/>
      <c r="B265" s="21"/>
      <c r="C265" s="21"/>
      <c r="E265" s="21"/>
      <c r="F265" s="21"/>
      <c r="G265" s="14"/>
      <c r="H265" s="14"/>
      <c r="I265" s="14"/>
      <c r="J265" s="14"/>
      <c r="K265" s="14"/>
      <c r="L265" s="14"/>
      <c r="M265" s="14"/>
      <c r="N265" s="14"/>
      <c r="O265" s="14"/>
      <c r="P265" s="14"/>
      <c r="Q265" s="14"/>
      <c r="R265" s="14"/>
      <c r="S265" s="14"/>
      <c r="T265" s="14"/>
      <c r="U265" s="14"/>
      <c r="V265" s="14"/>
      <c r="W265" s="14"/>
      <c r="X265" s="14"/>
      <c r="Y265" s="14"/>
    </row>
    <row r="266" spans="1:25" ht="15.75" x14ac:dyDescent="0.25">
      <c r="A266" s="21"/>
      <c r="B266" s="21"/>
      <c r="C266" s="21"/>
      <c r="E266" s="21"/>
      <c r="F266" s="21"/>
      <c r="G266" s="14"/>
      <c r="H266" s="14"/>
      <c r="I266" s="14"/>
      <c r="J266" s="14"/>
      <c r="K266" s="14"/>
      <c r="L266" s="14"/>
      <c r="M266" s="14"/>
      <c r="N266" s="14"/>
      <c r="O266" s="14"/>
      <c r="P266" s="14"/>
      <c r="Q266" s="14"/>
      <c r="R266" s="14"/>
      <c r="S266" s="14"/>
      <c r="T266" s="14"/>
      <c r="U266" s="14"/>
      <c r="V266" s="14"/>
      <c r="W266" s="14"/>
      <c r="X266" s="14"/>
      <c r="Y266" s="14"/>
    </row>
    <row r="267" spans="1:25" ht="15.75" x14ac:dyDescent="0.25">
      <c r="A267" s="21"/>
      <c r="B267" s="21"/>
      <c r="C267" s="21"/>
      <c r="E267" s="21"/>
      <c r="F267" s="21"/>
      <c r="G267" s="14"/>
      <c r="H267" s="14"/>
      <c r="I267" s="14"/>
      <c r="J267" s="14"/>
      <c r="K267" s="14"/>
      <c r="L267" s="14"/>
      <c r="M267" s="14"/>
      <c r="N267" s="14"/>
      <c r="O267" s="14"/>
      <c r="P267" s="14"/>
      <c r="Q267" s="14"/>
      <c r="R267" s="14"/>
      <c r="S267" s="14"/>
      <c r="T267" s="14"/>
      <c r="U267" s="14"/>
      <c r="V267" s="14"/>
      <c r="W267" s="14"/>
      <c r="X267" s="14"/>
      <c r="Y267" s="14"/>
    </row>
    <row r="268" spans="1:25" ht="15.75" x14ac:dyDescent="0.25">
      <c r="A268" s="21"/>
      <c r="B268" s="21"/>
      <c r="C268" s="21"/>
      <c r="E268" s="21"/>
      <c r="F268" s="21"/>
      <c r="G268" s="14"/>
      <c r="H268" s="14"/>
      <c r="I268" s="14"/>
      <c r="J268" s="14"/>
      <c r="K268" s="14"/>
      <c r="L268" s="14"/>
      <c r="M268" s="14"/>
      <c r="N268" s="14"/>
      <c r="O268" s="14"/>
      <c r="P268" s="14"/>
      <c r="Q268" s="14"/>
      <c r="R268" s="14"/>
      <c r="S268" s="14"/>
      <c r="T268" s="14"/>
      <c r="U268" s="14"/>
      <c r="V268" s="14"/>
      <c r="W268" s="14"/>
      <c r="X268" s="14"/>
      <c r="Y268" s="14"/>
    </row>
    <row r="269" spans="1:25" ht="15.75" x14ac:dyDescent="0.25">
      <c r="A269" s="21"/>
      <c r="B269" s="21"/>
      <c r="C269" s="21"/>
      <c r="E269" s="21"/>
      <c r="F269" s="21"/>
      <c r="G269" s="14"/>
      <c r="H269" s="14"/>
      <c r="I269" s="14"/>
      <c r="J269" s="14"/>
      <c r="K269" s="14"/>
      <c r="L269" s="14"/>
      <c r="M269" s="14"/>
      <c r="N269" s="14"/>
      <c r="O269" s="14"/>
      <c r="P269" s="14"/>
      <c r="Q269" s="14"/>
      <c r="R269" s="14"/>
      <c r="S269" s="14"/>
      <c r="T269" s="14"/>
      <c r="U269" s="14"/>
      <c r="V269" s="14"/>
      <c r="W269" s="14"/>
      <c r="X269" s="14"/>
      <c r="Y269" s="14"/>
    </row>
    <row r="270" spans="1:25" ht="15.75" x14ac:dyDescent="0.25">
      <c r="A270" s="21"/>
      <c r="B270" s="21"/>
      <c r="C270" s="21"/>
      <c r="E270" s="21"/>
      <c r="F270" s="21"/>
      <c r="G270" s="14"/>
      <c r="H270" s="14"/>
      <c r="I270" s="14"/>
      <c r="J270" s="14"/>
      <c r="K270" s="14"/>
      <c r="L270" s="14"/>
      <c r="M270" s="14"/>
      <c r="N270" s="14"/>
      <c r="O270" s="14"/>
      <c r="P270" s="14"/>
      <c r="Q270" s="14"/>
      <c r="R270" s="14"/>
      <c r="S270" s="14"/>
      <c r="T270" s="14"/>
      <c r="U270" s="14"/>
      <c r="V270" s="14"/>
      <c r="W270" s="14"/>
      <c r="X270" s="14"/>
      <c r="Y270" s="14"/>
    </row>
    <row r="271" spans="1:25" ht="15.75" x14ac:dyDescent="0.25">
      <c r="A271" s="21"/>
      <c r="B271" s="21"/>
      <c r="C271" s="21"/>
      <c r="E271" s="21"/>
      <c r="F271" s="21"/>
      <c r="G271" s="14"/>
      <c r="H271" s="14"/>
      <c r="I271" s="14"/>
      <c r="J271" s="14"/>
      <c r="K271" s="14"/>
      <c r="L271" s="14"/>
      <c r="M271" s="14"/>
      <c r="N271" s="14"/>
      <c r="O271" s="14"/>
      <c r="P271" s="14"/>
      <c r="Q271" s="14"/>
      <c r="R271" s="14"/>
      <c r="S271" s="14"/>
      <c r="T271" s="14"/>
      <c r="U271" s="14"/>
      <c r="V271" s="14"/>
      <c r="W271" s="14"/>
      <c r="X271" s="14"/>
      <c r="Y271" s="14"/>
    </row>
    <row r="272" spans="1:25" ht="15.75" x14ac:dyDescent="0.25">
      <c r="A272" s="21"/>
      <c r="B272" s="21"/>
      <c r="C272" s="21"/>
      <c r="E272" s="21"/>
      <c r="F272" s="21"/>
      <c r="G272" s="14"/>
      <c r="H272" s="14"/>
      <c r="I272" s="14"/>
      <c r="J272" s="14"/>
      <c r="K272" s="14"/>
      <c r="L272" s="14"/>
      <c r="M272" s="14"/>
      <c r="N272" s="14"/>
      <c r="O272" s="14"/>
      <c r="P272" s="14"/>
      <c r="Q272" s="14"/>
      <c r="R272" s="14"/>
      <c r="S272" s="14"/>
      <c r="T272" s="14"/>
      <c r="U272" s="14"/>
      <c r="V272" s="14"/>
      <c r="W272" s="14"/>
      <c r="X272" s="14"/>
      <c r="Y272" s="14"/>
    </row>
    <row r="273" spans="1:25" ht="15.75" x14ac:dyDescent="0.25">
      <c r="A273" s="21"/>
      <c r="B273" s="21"/>
      <c r="C273" s="21"/>
      <c r="E273" s="21"/>
      <c r="F273" s="21"/>
      <c r="G273" s="14"/>
      <c r="H273" s="14"/>
      <c r="I273" s="14"/>
      <c r="J273" s="14"/>
      <c r="K273" s="14"/>
      <c r="L273" s="14"/>
      <c r="M273" s="14"/>
      <c r="N273" s="14"/>
      <c r="O273" s="14"/>
      <c r="P273" s="14"/>
      <c r="Q273" s="14"/>
      <c r="R273" s="14"/>
      <c r="S273" s="14"/>
      <c r="T273" s="14"/>
      <c r="U273" s="14"/>
      <c r="V273" s="14"/>
      <c r="W273" s="14"/>
      <c r="X273" s="14"/>
      <c r="Y273" s="14"/>
    </row>
    <row r="274" spans="1:25" ht="15.75" x14ac:dyDescent="0.25">
      <c r="A274" s="21"/>
      <c r="B274" s="21"/>
      <c r="C274" s="21"/>
      <c r="E274" s="21"/>
      <c r="F274" s="21"/>
      <c r="G274" s="14"/>
      <c r="H274" s="14"/>
      <c r="I274" s="14"/>
      <c r="J274" s="14"/>
      <c r="K274" s="14"/>
      <c r="L274" s="14"/>
      <c r="M274" s="14"/>
      <c r="N274" s="14"/>
      <c r="O274" s="14"/>
      <c r="P274" s="14"/>
      <c r="Q274" s="14"/>
      <c r="R274" s="14"/>
      <c r="S274" s="14"/>
      <c r="T274" s="14"/>
      <c r="U274" s="14"/>
      <c r="V274" s="14"/>
      <c r="W274" s="14"/>
      <c r="X274" s="14"/>
      <c r="Y274" s="14"/>
    </row>
    <row r="275" spans="1:25" ht="15.75" x14ac:dyDescent="0.25">
      <c r="A275" s="21"/>
      <c r="B275" s="21"/>
      <c r="C275" s="21"/>
      <c r="E275" s="21"/>
      <c r="F275" s="21"/>
      <c r="G275" s="14"/>
      <c r="H275" s="14"/>
      <c r="I275" s="14"/>
      <c r="J275" s="14"/>
      <c r="K275" s="14"/>
      <c r="L275" s="14"/>
      <c r="M275" s="14"/>
      <c r="N275" s="14"/>
      <c r="O275" s="14"/>
      <c r="P275" s="14"/>
      <c r="Q275" s="14"/>
      <c r="R275" s="14"/>
      <c r="S275" s="14"/>
      <c r="T275" s="14"/>
      <c r="U275" s="14"/>
      <c r="V275" s="14"/>
      <c r="W275" s="14"/>
      <c r="X275" s="14"/>
      <c r="Y275" s="14"/>
    </row>
    <row r="276" spans="1:25" ht="15.75" x14ac:dyDescent="0.25">
      <c r="A276" s="21"/>
      <c r="B276" s="21"/>
      <c r="C276" s="21"/>
      <c r="E276" s="21"/>
      <c r="F276" s="21"/>
      <c r="G276" s="14"/>
      <c r="H276" s="14"/>
      <c r="I276" s="14"/>
      <c r="J276" s="14"/>
      <c r="K276" s="14"/>
      <c r="L276" s="14"/>
      <c r="M276" s="14"/>
      <c r="N276" s="14"/>
      <c r="O276" s="14"/>
      <c r="P276" s="14"/>
      <c r="Q276" s="14"/>
      <c r="R276" s="14"/>
      <c r="S276" s="14"/>
      <c r="T276" s="14"/>
      <c r="U276" s="14"/>
      <c r="V276" s="14"/>
      <c r="W276" s="14"/>
      <c r="X276" s="14"/>
      <c r="Y276" s="14"/>
    </row>
    <row r="277" spans="1:25" ht="15.75" x14ac:dyDescent="0.25">
      <c r="A277" s="21"/>
      <c r="B277" s="21"/>
      <c r="C277" s="21"/>
      <c r="E277" s="21"/>
      <c r="F277" s="21"/>
      <c r="G277" s="14"/>
      <c r="H277" s="14"/>
      <c r="I277" s="14"/>
      <c r="J277" s="14"/>
      <c r="K277" s="14"/>
      <c r="L277" s="14"/>
      <c r="M277" s="14"/>
      <c r="N277" s="14"/>
      <c r="O277" s="14"/>
      <c r="P277" s="14"/>
      <c r="Q277" s="14"/>
      <c r="R277" s="14"/>
      <c r="S277" s="14"/>
      <c r="T277" s="14"/>
      <c r="U277" s="14"/>
      <c r="V277" s="14"/>
      <c r="W277" s="14"/>
      <c r="X277" s="14"/>
      <c r="Y277" s="14"/>
    </row>
    <row r="278" spans="1:25" ht="15.75" x14ac:dyDescent="0.25">
      <c r="A278" s="21"/>
      <c r="B278" s="21"/>
      <c r="C278" s="21"/>
      <c r="E278" s="21"/>
      <c r="F278" s="21"/>
      <c r="G278" s="14"/>
      <c r="H278" s="14"/>
      <c r="I278" s="14"/>
      <c r="J278" s="14"/>
      <c r="K278" s="14"/>
      <c r="L278" s="14"/>
      <c r="M278" s="14"/>
      <c r="N278" s="14"/>
      <c r="O278" s="14"/>
      <c r="P278" s="14"/>
      <c r="Q278" s="14"/>
      <c r="R278" s="14"/>
      <c r="S278" s="14"/>
      <c r="T278" s="14"/>
      <c r="U278" s="14"/>
      <c r="V278" s="14"/>
      <c r="W278" s="14"/>
      <c r="X278" s="14"/>
      <c r="Y278" s="14"/>
    </row>
    <row r="279" spans="1:25" ht="15.75" x14ac:dyDescent="0.25">
      <c r="A279" s="21"/>
      <c r="B279" s="21"/>
      <c r="C279" s="21"/>
      <c r="E279" s="21"/>
      <c r="F279" s="21"/>
      <c r="G279" s="14"/>
      <c r="H279" s="14"/>
      <c r="I279" s="14"/>
      <c r="J279" s="14"/>
      <c r="K279" s="14"/>
      <c r="L279" s="14"/>
      <c r="M279" s="14"/>
      <c r="N279" s="14"/>
      <c r="O279" s="14"/>
      <c r="P279" s="14"/>
      <c r="Q279" s="14"/>
      <c r="R279" s="14"/>
      <c r="S279" s="14"/>
      <c r="T279" s="14"/>
      <c r="U279" s="14"/>
      <c r="V279" s="14"/>
      <c r="W279" s="14"/>
      <c r="X279" s="14"/>
      <c r="Y279" s="14"/>
    </row>
    <row r="280" spans="1:25" ht="15.75" x14ac:dyDescent="0.25">
      <c r="A280" s="21"/>
      <c r="B280" s="21"/>
      <c r="C280" s="21"/>
      <c r="E280" s="21"/>
      <c r="F280" s="21"/>
      <c r="G280" s="14"/>
      <c r="H280" s="14"/>
      <c r="I280" s="14"/>
      <c r="J280" s="14"/>
      <c r="K280" s="14"/>
      <c r="L280" s="14"/>
      <c r="M280" s="14"/>
      <c r="N280" s="14"/>
      <c r="O280" s="14"/>
      <c r="P280" s="14"/>
      <c r="Q280" s="14"/>
      <c r="R280" s="14"/>
      <c r="S280" s="14"/>
      <c r="T280" s="14"/>
      <c r="U280" s="14"/>
      <c r="V280" s="14"/>
      <c r="W280" s="14"/>
      <c r="X280" s="14"/>
      <c r="Y280" s="14"/>
    </row>
    <row r="281" spans="1:25" ht="15.75" x14ac:dyDescent="0.25">
      <c r="A281" s="21"/>
      <c r="B281" s="21"/>
      <c r="C281" s="21"/>
      <c r="E281" s="21"/>
      <c r="F281" s="21"/>
      <c r="G281" s="14"/>
      <c r="H281" s="14"/>
      <c r="I281" s="14"/>
      <c r="J281" s="14"/>
      <c r="K281" s="14"/>
      <c r="L281" s="14"/>
      <c r="M281" s="14"/>
      <c r="N281" s="14"/>
      <c r="O281" s="14"/>
      <c r="P281" s="14"/>
      <c r="Q281" s="14"/>
      <c r="R281" s="14"/>
      <c r="S281" s="14"/>
      <c r="T281" s="14"/>
      <c r="U281" s="14"/>
      <c r="V281" s="14"/>
      <c r="W281" s="14"/>
      <c r="X281" s="14"/>
      <c r="Y281" s="14"/>
    </row>
    <row r="282" spans="1:25" ht="15.75" x14ac:dyDescent="0.25">
      <c r="A282" s="21"/>
      <c r="B282" s="21"/>
      <c r="C282" s="21"/>
      <c r="E282" s="21"/>
      <c r="F282" s="21"/>
      <c r="G282" s="14"/>
      <c r="H282" s="14"/>
      <c r="I282" s="14"/>
      <c r="J282" s="14"/>
      <c r="K282" s="14"/>
      <c r="L282" s="14"/>
      <c r="M282" s="14"/>
      <c r="N282" s="14"/>
      <c r="O282" s="14"/>
      <c r="P282" s="14"/>
      <c r="Q282" s="14"/>
      <c r="R282" s="14"/>
      <c r="S282" s="14"/>
      <c r="T282" s="14"/>
      <c r="U282" s="14"/>
      <c r="V282" s="14"/>
      <c r="W282" s="14"/>
      <c r="X282" s="14"/>
      <c r="Y282" s="14"/>
    </row>
    <row r="283" spans="1:25" ht="15.75" x14ac:dyDescent="0.25">
      <c r="A283" s="21"/>
      <c r="B283" s="21"/>
      <c r="C283" s="21"/>
      <c r="E283" s="21"/>
      <c r="F283" s="21"/>
      <c r="G283" s="14"/>
      <c r="H283" s="14"/>
      <c r="I283" s="14"/>
      <c r="J283" s="14"/>
      <c r="K283" s="14"/>
      <c r="L283" s="14"/>
      <c r="M283" s="14"/>
      <c r="N283" s="14"/>
      <c r="O283" s="14"/>
      <c r="P283" s="14"/>
      <c r="Q283" s="14"/>
      <c r="R283" s="14"/>
      <c r="S283" s="14"/>
      <c r="T283" s="14"/>
      <c r="U283" s="14"/>
      <c r="V283" s="14"/>
      <c r="W283" s="14"/>
      <c r="X283" s="14"/>
      <c r="Y283" s="14"/>
    </row>
    <row r="284" spans="1:25" ht="15.75" x14ac:dyDescent="0.25">
      <c r="A284" s="21"/>
      <c r="B284" s="21"/>
      <c r="C284" s="21"/>
      <c r="E284" s="21"/>
      <c r="F284" s="21"/>
      <c r="G284" s="14"/>
      <c r="H284" s="14"/>
      <c r="I284" s="14"/>
      <c r="J284" s="14"/>
      <c r="K284" s="14"/>
      <c r="L284" s="14"/>
      <c r="M284" s="14"/>
      <c r="N284" s="14"/>
      <c r="O284" s="14"/>
      <c r="P284" s="14"/>
      <c r="Q284" s="14"/>
      <c r="R284" s="14"/>
      <c r="S284" s="14"/>
      <c r="T284" s="14"/>
      <c r="U284" s="14"/>
      <c r="V284" s="14"/>
      <c r="W284" s="14"/>
      <c r="X284" s="14"/>
      <c r="Y284" s="14"/>
    </row>
    <row r="285" spans="1:25" ht="15.75" x14ac:dyDescent="0.25">
      <c r="A285" s="21"/>
      <c r="B285" s="21"/>
      <c r="C285" s="21"/>
      <c r="E285" s="21"/>
      <c r="F285" s="21"/>
      <c r="G285" s="14"/>
      <c r="H285" s="14"/>
      <c r="I285" s="14"/>
      <c r="J285" s="14"/>
      <c r="K285" s="14"/>
      <c r="L285" s="14"/>
      <c r="M285" s="14"/>
      <c r="N285" s="14"/>
      <c r="O285" s="14"/>
      <c r="P285" s="14"/>
      <c r="Q285" s="14"/>
      <c r="R285" s="14"/>
      <c r="S285" s="14"/>
      <c r="T285" s="14"/>
      <c r="U285" s="14"/>
      <c r="V285" s="14"/>
      <c r="W285" s="14"/>
      <c r="X285" s="14"/>
      <c r="Y285" s="14"/>
    </row>
    <row r="286" spans="1:25" ht="15.75" x14ac:dyDescent="0.25">
      <c r="A286" s="21"/>
      <c r="B286" s="21"/>
      <c r="C286" s="21"/>
      <c r="E286" s="21"/>
      <c r="F286" s="21"/>
      <c r="G286" s="14"/>
      <c r="H286" s="14"/>
      <c r="I286" s="14"/>
      <c r="J286" s="14"/>
      <c r="K286" s="14"/>
      <c r="L286" s="14"/>
      <c r="M286" s="14"/>
      <c r="N286" s="14"/>
      <c r="O286" s="14"/>
      <c r="P286" s="14"/>
      <c r="Q286" s="14"/>
      <c r="R286" s="14"/>
      <c r="S286" s="14"/>
      <c r="T286" s="14"/>
      <c r="U286" s="14"/>
      <c r="V286" s="14"/>
      <c r="W286" s="14"/>
      <c r="X286" s="14"/>
      <c r="Y286" s="14"/>
    </row>
    <row r="287" spans="1:25" ht="15.75" x14ac:dyDescent="0.25">
      <c r="A287" s="21"/>
      <c r="B287" s="21"/>
      <c r="C287" s="21"/>
      <c r="E287" s="21"/>
      <c r="F287" s="21"/>
      <c r="G287" s="14"/>
      <c r="H287" s="14"/>
      <c r="I287" s="14"/>
      <c r="J287" s="14"/>
      <c r="K287" s="14"/>
      <c r="L287" s="14"/>
      <c r="M287" s="14"/>
      <c r="N287" s="14"/>
      <c r="O287" s="14"/>
      <c r="P287" s="14"/>
      <c r="Q287" s="14"/>
      <c r="R287" s="14"/>
      <c r="S287" s="14"/>
      <c r="T287" s="14"/>
      <c r="U287" s="14"/>
      <c r="V287" s="14"/>
      <c r="W287" s="14"/>
      <c r="X287" s="14"/>
      <c r="Y287" s="14"/>
    </row>
    <row r="288" spans="1:25" ht="15.75" x14ac:dyDescent="0.25">
      <c r="A288" s="21"/>
      <c r="B288" s="21"/>
      <c r="C288" s="21"/>
      <c r="E288" s="21"/>
      <c r="F288" s="21"/>
      <c r="G288" s="14"/>
      <c r="H288" s="14"/>
      <c r="I288" s="14"/>
      <c r="J288" s="14"/>
      <c r="K288" s="14"/>
      <c r="L288" s="14"/>
      <c r="M288" s="14"/>
      <c r="N288" s="14"/>
      <c r="O288" s="14"/>
      <c r="P288" s="14"/>
      <c r="Q288" s="14"/>
      <c r="R288" s="14"/>
      <c r="S288" s="14"/>
      <c r="T288" s="14"/>
      <c r="U288" s="14"/>
      <c r="V288" s="14"/>
      <c r="W288" s="14"/>
      <c r="X288" s="14"/>
      <c r="Y288" s="14"/>
    </row>
    <row r="289" spans="1:25" ht="15.75" x14ac:dyDescent="0.25">
      <c r="A289" s="21"/>
      <c r="B289" s="21"/>
      <c r="C289" s="21"/>
      <c r="E289" s="21"/>
      <c r="F289" s="21"/>
      <c r="G289" s="14"/>
      <c r="H289" s="14"/>
      <c r="I289" s="14"/>
      <c r="J289" s="14"/>
      <c r="K289" s="14"/>
      <c r="L289" s="14"/>
      <c r="M289" s="14"/>
      <c r="N289" s="14"/>
      <c r="O289" s="14"/>
      <c r="P289" s="14"/>
      <c r="Q289" s="14"/>
      <c r="R289" s="14"/>
      <c r="S289" s="14"/>
      <c r="T289" s="14"/>
      <c r="U289" s="14"/>
      <c r="V289" s="14"/>
      <c r="W289" s="14"/>
      <c r="X289" s="14"/>
      <c r="Y289" s="14"/>
    </row>
    <row r="290" spans="1:25" ht="15.75" x14ac:dyDescent="0.25">
      <c r="A290" s="21"/>
      <c r="B290" s="21"/>
      <c r="C290" s="21"/>
      <c r="E290" s="21"/>
      <c r="F290" s="21"/>
      <c r="G290" s="14"/>
      <c r="H290" s="14"/>
      <c r="I290" s="14"/>
      <c r="J290" s="14"/>
      <c r="K290" s="14"/>
      <c r="L290" s="14"/>
      <c r="M290" s="14"/>
      <c r="N290" s="14"/>
      <c r="O290" s="14"/>
      <c r="P290" s="14"/>
      <c r="Q290" s="14"/>
      <c r="R290" s="14"/>
      <c r="S290" s="14"/>
      <c r="T290" s="14"/>
      <c r="U290" s="14"/>
      <c r="V290" s="14"/>
      <c r="W290" s="14"/>
      <c r="X290" s="14"/>
      <c r="Y290" s="14"/>
    </row>
    <row r="291" spans="1:25" ht="15.75" x14ac:dyDescent="0.25">
      <c r="A291" s="21"/>
      <c r="B291" s="21"/>
      <c r="C291" s="21"/>
      <c r="E291" s="21"/>
      <c r="F291" s="21"/>
      <c r="G291" s="14"/>
      <c r="H291" s="14"/>
      <c r="I291" s="14"/>
      <c r="J291" s="14"/>
      <c r="K291" s="14"/>
      <c r="L291" s="14"/>
      <c r="M291" s="14"/>
      <c r="N291" s="14"/>
      <c r="O291" s="14"/>
      <c r="P291" s="14"/>
      <c r="Q291" s="14"/>
      <c r="R291" s="14"/>
      <c r="S291" s="14"/>
      <c r="T291" s="14"/>
      <c r="U291" s="14"/>
      <c r="V291" s="14"/>
      <c r="W291" s="14"/>
      <c r="X291" s="14"/>
      <c r="Y291" s="14"/>
    </row>
    <row r="292" spans="1:25" ht="15.75" x14ac:dyDescent="0.25">
      <c r="A292" s="21"/>
      <c r="B292" s="21"/>
      <c r="C292" s="21"/>
      <c r="E292" s="21"/>
      <c r="F292" s="21"/>
      <c r="G292" s="14"/>
      <c r="H292" s="14"/>
      <c r="I292" s="14"/>
      <c r="J292" s="14"/>
      <c r="K292" s="14"/>
      <c r="L292" s="14"/>
      <c r="M292" s="14"/>
      <c r="N292" s="14"/>
      <c r="O292" s="14"/>
      <c r="P292" s="14"/>
      <c r="Q292" s="14"/>
      <c r="R292" s="14"/>
      <c r="S292" s="14"/>
      <c r="T292" s="14"/>
      <c r="U292" s="14"/>
      <c r="V292" s="14"/>
      <c r="W292" s="14"/>
      <c r="X292" s="14"/>
      <c r="Y292" s="14"/>
    </row>
    <row r="293" spans="1:25" ht="15.75" x14ac:dyDescent="0.25">
      <c r="A293" s="21"/>
      <c r="B293" s="21"/>
      <c r="C293" s="21"/>
      <c r="E293" s="21"/>
      <c r="F293" s="21"/>
      <c r="G293" s="14"/>
      <c r="H293" s="14"/>
      <c r="I293" s="14"/>
      <c r="J293" s="14"/>
      <c r="K293" s="14"/>
      <c r="L293" s="14"/>
      <c r="M293" s="14"/>
      <c r="N293" s="14"/>
      <c r="O293" s="14"/>
      <c r="P293" s="14"/>
      <c r="Q293" s="14"/>
      <c r="R293" s="14"/>
      <c r="S293" s="14"/>
      <c r="T293" s="14"/>
      <c r="U293" s="14"/>
      <c r="V293" s="14"/>
      <c r="W293" s="14"/>
      <c r="X293" s="14"/>
      <c r="Y293" s="14"/>
    </row>
    <row r="294" spans="1:25" ht="15.75" x14ac:dyDescent="0.25">
      <c r="A294" s="21"/>
      <c r="B294" s="21"/>
      <c r="C294" s="21"/>
      <c r="E294" s="21"/>
      <c r="F294" s="21"/>
      <c r="G294" s="14"/>
      <c r="H294" s="14"/>
      <c r="I294" s="14"/>
      <c r="J294" s="14"/>
      <c r="K294" s="14"/>
      <c r="L294" s="14"/>
      <c r="M294" s="14"/>
      <c r="N294" s="14"/>
      <c r="O294" s="14"/>
      <c r="P294" s="14"/>
      <c r="Q294" s="14"/>
      <c r="R294" s="14"/>
      <c r="S294" s="14"/>
      <c r="T294" s="14"/>
      <c r="U294" s="14"/>
      <c r="V294" s="14"/>
      <c r="W294" s="14"/>
      <c r="X294" s="14"/>
      <c r="Y294" s="14"/>
    </row>
    <row r="295" spans="1:25" ht="15.75" x14ac:dyDescent="0.25">
      <c r="A295" s="21"/>
      <c r="B295" s="21"/>
      <c r="C295" s="21"/>
      <c r="E295" s="21"/>
      <c r="F295" s="21"/>
      <c r="G295" s="14"/>
      <c r="H295" s="14"/>
      <c r="I295" s="14"/>
      <c r="J295" s="14"/>
      <c r="K295" s="14"/>
      <c r="L295" s="14"/>
      <c r="M295" s="14"/>
      <c r="N295" s="14"/>
      <c r="O295" s="14"/>
      <c r="P295" s="14"/>
      <c r="Q295" s="14"/>
      <c r="R295" s="14"/>
      <c r="S295" s="14"/>
      <c r="T295" s="14"/>
      <c r="U295" s="14"/>
      <c r="V295" s="14"/>
      <c r="W295" s="14"/>
      <c r="X295" s="14"/>
      <c r="Y295" s="14"/>
    </row>
    <row r="296" spans="1:25" ht="15.75" x14ac:dyDescent="0.25">
      <c r="A296" s="21"/>
      <c r="B296" s="21"/>
      <c r="C296" s="21"/>
      <c r="E296" s="21"/>
      <c r="F296" s="21"/>
      <c r="G296" s="14"/>
      <c r="H296" s="14"/>
      <c r="I296" s="14"/>
      <c r="J296" s="14"/>
      <c r="K296" s="14"/>
      <c r="L296" s="14"/>
      <c r="M296" s="14"/>
      <c r="N296" s="14"/>
      <c r="O296" s="14"/>
      <c r="P296" s="14"/>
      <c r="Q296" s="14"/>
      <c r="R296" s="14"/>
      <c r="S296" s="14"/>
      <c r="T296" s="14"/>
      <c r="U296" s="14"/>
      <c r="V296" s="14"/>
      <c r="W296" s="14"/>
      <c r="X296" s="14"/>
      <c r="Y296" s="14"/>
    </row>
    <row r="297" spans="1:25" ht="15.75" x14ac:dyDescent="0.25">
      <c r="A297" s="21"/>
      <c r="B297" s="21"/>
      <c r="C297" s="21"/>
      <c r="E297" s="21"/>
      <c r="F297" s="21"/>
      <c r="G297" s="14"/>
      <c r="H297" s="14"/>
      <c r="I297" s="14"/>
      <c r="J297" s="14"/>
      <c r="K297" s="14"/>
      <c r="L297" s="14"/>
      <c r="M297" s="14"/>
      <c r="N297" s="14"/>
      <c r="O297" s="14"/>
      <c r="P297" s="14"/>
      <c r="Q297" s="14"/>
      <c r="R297" s="14"/>
      <c r="S297" s="14"/>
      <c r="T297" s="14"/>
      <c r="U297" s="14"/>
      <c r="V297" s="14"/>
      <c r="W297" s="14"/>
      <c r="X297" s="14"/>
      <c r="Y297" s="14"/>
    </row>
    <row r="298" spans="1:25" ht="15.75" x14ac:dyDescent="0.25">
      <c r="A298" s="21"/>
      <c r="B298" s="21"/>
      <c r="C298" s="21"/>
      <c r="E298" s="21"/>
      <c r="F298" s="21"/>
      <c r="G298" s="14"/>
      <c r="H298" s="14"/>
      <c r="I298" s="14"/>
      <c r="J298" s="14"/>
      <c r="K298" s="14"/>
      <c r="L298" s="14"/>
      <c r="M298" s="14"/>
      <c r="N298" s="14"/>
      <c r="O298" s="14"/>
      <c r="P298" s="14"/>
      <c r="Q298" s="14"/>
      <c r="R298" s="14"/>
      <c r="S298" s="14"/>
      <c r="T298" s="14"/>
      <c r="U298" s="14"/>
      <c r="V298" s="14"/>
      <c r="W298" s="14"/>
      <c r="X298" s="14"/>
      <c r="Y298" s="14"/>
    </row>
    <row r="299" spans="1:25" ht="15.75" x14ac:dyDescent="0.25">
      <c r="A299" s="21"/>
      <c r="B299" s="21"/>
      <c r="C299" s="21"/>
      <c r="E299" s="21"/>
      <c r="F299" s="21"/>
      <c r="G299" s="14"/>
      <c r="H299" s="14"/>
      <c r="I299" s="14"/>
      <c r="J299" s="14"/>
      <c r="K299" s="14"/>
      <c r="L299" s="14"/>
      <c r="M299" s="14"/>
      <c r="N299" s="14"/>
      <c r="O299" s="14"/>
      <c r="P299" s="14"/>
      <c r="Q299" s="14"/>
      <c r="R299" s="14"/>
      <c r="S299" s="14"/>
      <c r="T299" s="14"/>
      <c r="U299" s="14"/>
      <c r="V299" s="14"/>
      <c r="W299" s="14"/>
      <c r="X299" s="14"/>
      <c r="Y299" s="14"/>
    </row>
    <row r="300" spans="1:25" ht="15.75" x14ac:dyDescent="0.25">
      <c r="A300" s="21"/>
      <c r="B300" s="21"/>
      <c r="C300" s="21"/>
      <c r="E300" s="21"/>
      <c r="F300" s="21"/>
      <c r="G300" s="14"/>
      <c r="H300" s="14"/>
      <c r="I300" s="14"/>
      <c r="J300" s="14"/>
      <c r="K300" s="14"/>
      <c r="L300" s="14"/>
      <c r="M300" s="14"/>
      <c r="N300" s="14"/>
      <c r="O300" s="14"/>
      <c r="P300" s="14"/>
      <c r="Q300" s="14"/>
      <c r="R300" s="14"/>
      <c r="S300" s="14"/>
      <c r="T300" s="14"/>
      <c r="U300" s="14"/>
      <c r="V300" s="14"/>
      <c r="W300" s="14"/>
      <c r="X300" s="14"/>
      <c r="Y300" s="14"/>
    </row>
    <row r="301" spans="1:25" ht="15.75" x14ac:dyDescent="0.25">
      <c r="A301" s="21"/>
      <c r="B301" s="21"/>
      <c r="C301" s="21"/>
      <c r="E301" s="21"/>
      <c r="F301" s="21"/>
      <c r="G301" s="14"/>
      <c r="H301" s="14"/>
      <c r="I301" s="14"/>
      <c r="J301" s="14"/>
      <c r="K301" s="14"/>
      <c r="L301" s="14"/>
      <c r="M301" s="14"/>
      <c r="N301" s="14"/>
      <c r="O301" s="14"/>
      <c r="P301" s="14"/>
      <c r="Q301" s="14"/>
      <c r="R301" s="14"/>
      <c r="S301" s="14"/>
      <c r="T301" s="14"/>
      <c r="U301" s="14"/>
      <c r="V301" s="14"/>
      <c r="W301" s="14"/>
      <c r="X301" s="14"/>
      <c r="Y301" s="14"/>
    </row>
    <row r="302" spans="1:25" ht="15.75" x14ac:dyDescent="0.25">
      <c r="A302" s="21"/>
      <c r="B302" s="21"/>
      <c r="C302" s="21"/>
      <c r="E302" s="21"/>
      <c r="F302" s="21"/>
      <c r="G302" s="14"/>
      <c r="H302" s="14"/>
      <c r="I302" s="14"/>
      <c r="J302" s="14"/>
      <c r="K302" s="14"/>
      <c r="L302" s="14"/>
      <c r="M302" s="14"/>
      <c r="N302" s="14"/>
      <c r="O302" s="14"/>
      <c r="P302" s="14"/>
      <c r="Q302" s="14"/>
      <c r="R302" s="14"/>
      <c r="S302" s="14"/>
      <c r="T302" s="14"/>
      <c r="U302" s="14"/>
      <c r="V302" s="14"/>
      <c r="W302" s="14"/>
      <c r="X302" s="14"/>
      <c r="Y302" s="14"/>
    </row>
    <row r="303" spans="1:25" ht="15.75" x14ac:dyDescent="0.25">
      <c r="A303" s="21"/>
      <c r="B303" s="21"/>
      <c r="C303" s="21"/>
      <c r="E303" s="21"/>
      <c r="F303" s="21"/>
      <c r="G303" s="14"/>
      <c r="H303" s="14"/>
      <c r="I303" s="14"/>
      <c r="J303" s="14"/>
      <c r="K303" s="14"/>
      <c r="L303" s="14"/>
      <c r="M303" s="14"/>
      <c r="N303" s="14"/>
      <c r="O303" s="14"/>
      <c r="P303" s="14"/>
      <c r="Q303" s="14"/>
      <c r="R303" s="14"/>
      <c r="S303" s="14"/>
      <c r="T303" s="14"/>
      <c r="U303" s="14"/>
      <c r="V303" s="14"/>
      <c r="W303" s="14"/>
      <c r="X303" s="14"/>
      <c r="Y303" s="14"/>
    </row>
    <row r="304" spans="1:25" ht="15.75" x14ac:dyDescent="0.25">
      <c r="A304" s="21"/>
      <c r="B304" s="21"/>
      <c r="C304" s="21"/>
      <c r="E304" s="21"/>
      <c r="F304" s="21"/>
      <c r="G304" s="14"/>
      <c r="H304" s="14"/>
      <c r="I304" s="14"/>
      <c r="J304" s="14"/>
      <c r="K304" s="14"/>
      <c r="L304" s="14"/>
      <c r="M304" s="14"/>
      <c r="N304" s="14"/>
      <c r="O304" s="14"/>
      <c r="P304" s="14"/>
      <c r="Q304" s="14"/>
      <c r="R304" s="14"/>
      <c r="S304" s="14"/>
      <c r="T304" s="14"/>
      <c r="U304" s="14"/>
      <c r="V304" s="14"/>
      <c r="W304" s="14"/>
      <c r="X304" s="14"/>
      <c r="Y304" s="14"/>
    </row>
    <row r="305" spans="1:25" ht="15.75" x14ac:dyDescent="0.25">
      <c r="A305" s="21"/>
      <c r="B305" s="21"/>
      <c r="C305" s="21"/>
      <c r="E305" s="21"/>
      <c r="F305" s="21"/>
      <c r="G305" s="14"/>
      <c r="H305" s="14"/>
      <c r="I305" s="14"/>
      <c r="J305" s="14"/>
      <c r="K305" s="14"/>
      <c r="L305" s="14"/>
      <c r="M305" s="14"/>
      <c r="N305" s="14"/>
      <c r="O305" s="14"/>
      <c r="P305" s="14"/>
      <c r="Q305" s="14"/>
      <c r="R305" s="14"/>
      <c r="S305" s="14"/>
      <c r="T305" s="14"/>
      <c r="U305" s="14"/>
      <c r="V305" s="14"/>
      <c r="W305" s="14"/>
      <c r="X305" s="14"/>
      <c r="Y305" s="14"/>
    </row>
    <row r="306" spans="1:25" ht="15.75" x14ac:dyDescent="0.25">
      <c r="A306" s="21"/>
      <c r="B306" s="21"/>
      <c r="C306" s="21"/>
      <c r="E306" s="21"/>
      <c r="F306" s="21"/>
      <c r="G306" s="14"/>
      <c r="H306" s="14"/>
      <c r="I306" s="14"/>
      <c r="J306" s="14"/>
      <c r="K306" s="14"/>
      <c r="L306" s="14"/>
      <c r="M306" s="14"/>
      <c r="N306" s="14"/>
      <c r="O306" s="14"/>
      <c r="P306" s="14"/>
      <c r="Q306" s="14"/>
      <c r="R306" s="14"/>
      <c r="S306" s="14"/>
      <c r="T306" s="14"/>
      <c r="U306" s="14"/>
      <c r="V306" s="14"/>
      <c r="W306" s="14"/>
      <c r="X306" s="14"/>
      <c r="Y306" s="14"/>
    </row>
    <row r="307" spans="1:25" ht="15.75" x14ac:dyDescent="0.25">
      <c r="A307" s="21"/>
      <c r="B307" s="21"/>
      <c r="C307" s="21"/>
      <c r="E307" s="21"/>
      <c r="F307" s="21"/>
      <c r="G307" s="14"/>
      <c r="H307" s="14"/>
      <c r="I307" s="14"/>
      <c r="J307" s="14"/>
      <c r="K307" s="14"/>
      <c r="L307" s="14"/>
      <c r="M307" s="14"/>
      <c r="N307" s="14"/>
      <c r="O307" s="14"/>
      <c r="P307" s="14"/>
      <c r="Q307" s="14"/>
      <c r="R307" s="14"/>
      <c r="S307" s="14"/>
      <c r="T307" s="14"/>
      <c r="U307" s="14"/>
      <c r="V307" s="14"/>
      <c r="W307" s="14"/>
      <c r="X307" s="14"/>
      <c r="Y307" s="14"/>
    </row>
    <row r="308" spans="1:25" ht="15.75" x14ac:dyDescent="0.25">
      <c r="A308" s="21"/>
      <c r="B308" s="21"/>
      <c r="C308" s="21"/>
      <c r="E308" s="21"/>
      <c r="F308" s="21"/>
      <c r="G308" s="14"/>
      <c r="H308" s="14"/>
      <c r="I308" s="14"/>
      <c r="J308" s="14"/>
      <c r="K308" s="14"/>
      <c r="L308" s="14"/>
      <c r="M308" s="14"/>
      <c r="N308" s="14"/>
      <c r="O308" s="14"/>
      <c r="P308" s="14"/>
      <c r="Q308" s="14"/>
      <c r="R308" s="14"/>
      <c r="S308" s="14"/>
      <c r="T308" s="14"/>
      <c r="U308" s="14"/>
      <c r="V308" s="14"/>
      <c r="W308" s="14"/>
      <c r="X308" s="14"/>
      <c r="Y308" s="14"/>
    </row>
    <row r="309" spans="1:25" ht="15.75" x14ac:dyDescent="0.25">
      <c r="A309" s="21"/>
      <c r="B309" s="21"/>
      <c r="C309" s="21"/>
      <c r="E309" s="21"/>
      <c r="F309" s="21"/>
      <c r="G309" s="14"/>
      <c r="H309" s="14"/>
      <c r="I309" s="14"/>
      <c r="J309" s="14"/>
      <c r="K309" s="14"/>
      <c r="L309" s="14"/>
      <c r="M309" s="14"/>
      <c r="N309" s="14"/>
      <c r="O309" s="14"/>
      <c r="P309" s="14"/>
      <c r="Q309" s="14"/>
      <c r="R309" s="14"/>
      <c r="S309" s="14"/>
      <c r="T309" s="14"/>
      <c r="U309" s="14"/>
      <c r="V309" s="14"/>
      <c r="W309" s="14"/>
      <c r="X309" s="14"/>
      <c r="Y309" s="14"/>
    </row>
    <row r="310" spans="1:25" ht="15.75" x14ac:dyDescent="0.25">
      <c r="A310" s="21"/>
      <c r="B310" s="21"/>
      <c r="C310" s="21"/>
      <c r="E310" s="21"/>
      <c r="F310" s="21"/>
      <c r="G310" s="14"/>
      <c r="H310" s="14"/>
      <c r="I310" s="14"/>
      <c r="J310" s="14"/>
      <c r="K310" s="14"/>
      <c r="L310" s="14"/>
      <c r="M310" s="14"/>
      <c r="N310" s="14"/>
      <c r="O310" s="14"/>
      <c r="P310" s="14"/>
      <c r="Q310" s="14"/>
      <c r="R310" s="14"/>
      <c r="S310" s="14"/>
      <c r="T310" s="14"/>
      <c r="U310" s="14"/>
      <c r="V310" s="14"/>
      <c r="W310" s="14"/>
      <c r="X310" s="14"/>
      <c r="Y310" s="14"/>
    </row>
    <row r="311" spans="1:25" ht="15.75" x14ac:dyDescent="0.25">
      <c r="A311" s="21"/>
      <c r="B311" s="21"/>
      <c r="C311" s="21"/>
      <c r="E311" s="21"/>
      <c r="F311" s="21"/>
      <c r="G311" s="14"/>
      <c r="H311" s="14"/>
      <c r="I311" s="14"/>
      <c r="J311" s="14"/>
      <c r="K311" s="14"/>
      <c r="L311" s="14"/>
      <c r="M311" s="14"/>
      <c r="N311" s="14"/>
      <c r="O311" s="14"/>
      <c r="P311" s="14"/>
      <c r="Q311" s="14"/>
      <c r="R311" s="14"/>
      <c r="S311" s="14"/>
      <c r="T311" s="14"/>
      <c r="U311" s="14"/>
      <c r="V311" s="14"/>
      <c r="W311" s="14"/>
      <c r="X311" s="14"/>
      <c r="Y311" s="14"/>
    </row>
    <row r="312" spans="1:25" ht="15.75" x14ac:dyDescent="0.25">
      <c r="A312" s="21"/>
      <c r="B312" s="21"/>
      <c r="C312" s="21"/>
      <c r="E312" s="21"/>
      <c r="F312" s="21"/>
      <c r="G312" s="14"/>
      <c r="H312" s="14"/>
      <c r="I312" s="14"/>
      <c r="J312" s="14"/>
      <c r="K312" s="14"/>
      <c r="L312" s="14"/>
      <c r="M312" s="14"/>
      <c r="N312" s="14"/>
      <c r="O312" s="14"/>
      <c r="P312" s="14"/>
      <c r="Q312" s="14"/>
      <c r="R312" s="14"/>
      <c r="S312" s="14"/>
      <c r="T312" s="14"/>
      <c r="U312" s="14"/>
      <c r="V312" s="14"/>
      <c r="W312" s="14"/>
      <c r="X312" s="14"/>
      <c r="Y312" s="14"/>
    </row>
    <row r="313" spans="1:25" ht="15.75" x14ac:dyDescent="0.25">
      <c r="A313" s="21"/>
      <c r="B313" s="21"/>
      <c r="C313" s="21"/>
      <c r="E313" s="21"/>
      <c r="F313" s="21"/>
      <c r="G313" s="14"/>
      <c r="H313" s="14"/>
      <c r="I313" s="14"/>
      <c r="J313" s="14"/>
      <c r="K313" s="14"/>
      <c r="L313" s="14"/>
      <c r="M313" s="14"/>
      <c r="N313" s="14"/>
      <c r="O313" s="14"/>
      <c r="P313" s="14"/>
      <c r="Q313" s="14"/>
      <c r="R313" s="14"/>
      <c r="S313" s="14"/>
      <c r="T313" s="14"/>
      <c r="U313" s="14"/>
      <c r="V313" s="14"/>
      <c r="W313" s="14"/>
      <c r="X313" s="14"/>
      <c r="Y313" s="14"/>
    </row>
    <row r="314" spans="1:25" ht="15.75" x14ac:dyDescent="0.25">
      <c r="A314" s="21"/>
      <c r="B314" s="21"/>
      <c r="C314" s="21"/>
      <c r="E314" s="21"/>
      <c r="F314" s="21"/>
      <c r="G314" s="14"/>
      <c r="H314" s="14"/>
      <c r="I314" s="14"/>
      <c r="J314" s="14"/>
      <c r="K314" s="14"/>
      <c r="L314" s="14"/>
      <c r="M314" s="14"/>
      <c r="N314" s="14"/>
      <c r="O314" s="14"/>
      <c r="P314" s="14"/>
      <c r="Q314" s="14"/>
      <c r="R314" s="14"/>
      <c r="S314" s="14"/>
      <c r="T314" s="14"/>
      <c r="U314" s="14"/>
      <c r="V314" s="14"/>
      <c r="W314" s="14"/>
      <c r="X314" s="14"/>
      <c r="Y314" s="14"/>
    </row>
    <row r="315" spans="1:25" ht="15.75" x14ac:dyDescent="0.25">
      <c r="A315" s="21"/>
      <c r="B315" s="21"/>
      <c r="C315" s="21"/>
      <c r="E315" s="21"/>
      <c r="F315" s="21"/>
      <c r="G315" s="14"/>
      <c r="H315" s="14"/>
      <c r="I315" s="14"/>
      <c r="J315" s="14"/>
      <c r="K315" s="14"/>
      <c r="L315" s="14"/>
      <c r="M315" s="14"/>
      <c r="N315" s="14"/>
      <c r="O315" s="14"/>
      <c r="P315" s="14"/>
      <c r="Q315" s="14"/>
      <c r="R315" s="14"/>
      <c r="S315" s="14"/>
      <c r="T315" s="14"/>
      <c r="U315" s="14"/>
      <c r="V315" s="14"/>
      <c r="W315" s="14"/>
      <c r="X315" s="14"/>
      <c r="Y315" s="14"/>
    </row>
    <row r="316" spans="1:25" ht="15.75" x14ac:dyDescent="0.25">
      <c r="A316" s="21"/>
      <c r="B316" s="21"/>
      <c r="C316" s="21"/>
      <c r="E316" s="21"/>
      <c r="F316" s="21"/>
      <c r="G316" s="14"/>
      <c r="H316" s="14"/>
      <c r="I316" s="14"/>
      <c r="J316" s="14"/>
      <c r="K316" s="14"/>
      <c r="L316" s="14"/>
      <c r="M316" s="14"/>
      <c r="N316" s="14"/>
      <c r="O316" s="14"/>
      <c r="P316" s="14"/>
      <c r="Q316" s="14"/>
      <c r="R316" s="14"/>
      <c r="S316" s="14"/>
      <c r="T316" s="14"/>
      <c r="U316" s="14"/>
      <c r="V316" s="14"/>
      <c r="W316" s="14"/>
      <c r="X316" s="14"/>
      <c r="Y316" s="14"/>
    </row>
    <row r="317" spans="1:25" ht="15.75" x14ac:dyDescent="0.25">
      <c r="A317" s="21"/>
      <c r="B317" s="21"/>
      <c r="C317" s="21"/>
      <c r="E317" s="21"/>
      <c r="F317" s="21"/>
      <c r="G317" s="14"/>
      <c r="H317" s="14"/>
      <c r="I317" s="14"/>
      <c r="J317" s="14"/>
      <c r="K317" s="14"/>
      <c r="L317" s="14"/>
      <c r="M317" s="14"/>
      <c r="N317" s="14"/>
      <c r="O317" s="14"/>
      <c r="P317" s="14"/>
      <c r="Q317" s="14"/>
      <c r="R317" s="14"/>
      <c r="S317" s="14"/>
      <c r="T317" s="14"/>
      <c r="U317" s="14"/>
      <c r="V317" s="14"/>
      <c r="W317" s="14"/>
      <c r="X317" s="14"/>
      <c r="Y317" s="14"/>
    </row>
    <row r="318" spans="1:25" ht="15.75" x14ac:dyDescent="0.25">
      <c r="A318" s="21"/>
      <c r="B318" s="21"/>
      <c r="C318" s="21"/>
      <c r="E318" s="21"/>
      <c r="F318" s="21"/>
      <c r="G318" s="14"/>
      <c r="H318" s="14"/>
      <c r="I318" s="14"/>
      <c r="J318" s="14"/>
      <c r="K318" s="14"/>
      <c r="L318" s="14"/>
      <c r="M318" s="14"/>
      <c r="N318" s="14"/>
      <c r="O318" s="14"/>
      <c r="P318" s="14"/>
      <c r="Q318" s="14"/>
      <c r="R318" s="14"/>
      <c r="S318" s="14"/>
      <c r="T318" s="14"/>
      <c r="U318" s="14"/>
      <c r="V318" s="14"/>
      <c r="W318" s="14"/>
      <c r="X318" s="14"/>
      <c r="Y318" s="14"/>
    </row>
    <row r="319" spans="1:25" ht="15.75" x14ac:dyDescent="0.25">
      <c r="A319" s="21"/>
      <c r="B319" s="21"/>
      <c r="C319" s="21"/>
      <c r="E319" s="21"/>
      <c r="F319" s="21"/>
      <c r="G319" s="14"/>
      <c r="H319" s="14"/>
      <c r="I319" s="14"/>
      <c r="J319" s="14"/>
      <c r="K319" s="14"/>
      <c r="L319" s="14"/>
      <c r="M319" s="14"/>
      <c r="N319" s="14"/>
      <c r="O319" s="14"/>
      <c r="P319" s="14"/>
      <c r="Q319" s="14"/>
      <c r="R319" s="14"/>
      <c r="S319" s="14"/>
      <c r="T319" s="14"/>
      <c r="U319" s="14"/>
      <c r="V319" s="14"/>
      <c r="W319" s="14"/>
      <c r="X319" s="14"/>
      <c r="Y319" s="14"/>
    </row>
    <row r="320" spans="1:25" ht="15.75" x14ac:dyDescent="0.25">
      <c r="A320" s="21"/>
      <c r="B320" s="21"/>
      <c r="C320" s="21"/>
      <c r="E320" s="21"/>
      <c r="F320" s="21"/>
      <c r="G320" s="14"/>
      <c r="H320" s="14"/>
      <c r="I320" s="14"/>
      <c r="J320" s="14"/>
      <c r="K320" s="14"/>
      <c r="L320" s="14"/>
      <c r="M320" s="14"/>
      <c r="N320" s="14"/>
      <c r="O320" s="14"/>
      <c r="P320" s="14"/>
      <c r="Q320" s="14"/>
      <c r="R320" s="14"/>
      <c r="S320" s="14"/>
      <c r="T320" s="14"/>
      <c r="U320" s="14"/>
      <c r="V320" s="14"/>
      <c r="W320" s="14"/>
      <c r="X320" s="14"/>
      <c r="Y320" s="14"/>
    </row>
    <row r="321" spans="1:25" ht="15.75" x14ac:dyDescent="0.25">
      <c r="A321" s="21"/>
      <c r="B321" s="21"/>
      <c r="C321" s="21"/>
      <c r="E321" s="21"/>
      <c r="F321" s="21"/>
      <c r="G321" s="14"/>
      <c r="H321" s="14"/>
      <c r="I321" s="14"/>
      <c r="J321" s="14"/>
      <c r="K321" s="14"/>
      <c r="L321" s="14"/>
      <c r="M321" s="14"/>
      <c r="N321" s="14"/>
      <c r="O321" s="14"/>
      <c r="P321" s="14"/>
      <c r="Q321" s="14"/>
      <c r="R321" s="14"/>
      <c r="S321" s="14"/>
      <c r="T321" s="14"/>
      <c r="U321" s="14"/>
      <c r="V321" s="14"/>
      <c r="W321" s="14"/>
      <c r="X321" s="14"/>
      <c r="Y321" s="14"/>
    </row>
    <row r="322" spans="1:25" ht="15.75" x14ac:dyDescent="0.25">
      <c r="A322" s="21"/>
      <c r="B322" s="21"/>
      <c r="C322" s="21"/>
      <c r="E322" s="21"/>
      <c r="F322" s="21"/>
      <c r="G322" s="14"/>
      <c r="H322" s="14"/>
      <c r="I322" s="14"/>
      <c r="J322" s="14"/>
      <c r="K322" s="14"/>
      <c r="L322" s="14"/>
      <c r="M322" s="14"/>
      <c r="N322" s="14"/>
      <c r="O322" s="14"/>
      <c r="P322" s="14"/>
      <c r="Q322" s="14"/>
      <c r="R322" s="14"/>
      <c r="S322" s="14"/>
      <c r="T322" s="14"/>
      <c r="U322" s="14"/>
      <c r="V322" s="14"/>
      <c r="W322" s="14"/>
      <c r="X322" s="14"/>
      <c r="Y322" s="14"/>
    </row>
    <row r="323" spans="1:25" ht="15.75" x14ac:dyDescent="0.25">
      <c r="A323" s="21"/>
      <c r="B323" s="21"/>
      <c r="C323" s="21"/>
      <c r="E323" s="21"/>
      <c r="F323" s="21"/>
      <c r="G323" s="14"/>
      <c r="H323" s="14"/>
      <c r="I323" s="14"/>
      <c r="J323" s="14"/>
      <c r="K323" s="14"/>
      <c r="L323" s="14"/>
      <c r="M323" s="14"/>
      <c r="N323" s="14"/>
      <c r="O323" s="14"/>
      <c r="P323" s="14"/>
      <c r="Q323" s="14"/>
      <c r="R323" s="14"/>
      <c r="S323" s="14"/>
      <c r="T323" s="14"/>
      <c r="U323" s="14"/>
      <c r="V323" s="14"/>
      <c r="W323" s="14"/>
      <c r="X323" s="14"/>
      <c r="Y323" s="14"/>
    </row>
    <row r="324" spans="1:25" ht="15.75" x14ac:dyDescent="0.25">
      <c r="A324" s="21"/>
      <c r="B324" s="21"/>
      <c r="C324" s="21"/>
      <c r="E324" s="21"/>
      <c r="F324" s="21"/>
      <c r="G324" s="14"/>
      <c r="H324" s="14"/>
      <c r="I324" s="14"/>
      <c r="J324" s="14"/>
      <c r="K324" s="14"/>
      <c r="L324" s="14"/>
      <c r="M324" s="14"/>
      <c r="N324" s="14"/>
      <c r="O324" s="14"/>
      <c r="P324" s="14"/>
      <c r="Q324" s="14"/>
      <c r="R324" s="14"/>
      <c r="S324" s="14"/>
      <c r="T324" s="14"/>
      <c r="U324" s="14"/>
      <c r="V324" s="14"/>
      <c r="W324" s="14"/>
      <c r="X324" s="14"/>
      <c r="Y324" s="14"/>
    </row>
    <row r="325" spans="1:25" ht="15.75" x14ac:dyDescent="0.25">
      <c r="A325" s="21"/>
      <c r="B325" s="21"/>
      <c r="C325" s="21"/>
      <c r="E325" s="21"/>
      <c r="F325" s="21"/>
      <c r="G325" s="14"/>
      <c r="H325" s="14"/>
      <c r="I325" s="14"/>
      <c r="J325" s="14"/>
      <c r="K325" s="14"/>
      <c r="L325" s="14"/>
      <c r="M325" s="14"/>
      <c r="N325" s="14"/>
      <c r="O325" s="14"/>
      <c r="P325" s="14"/>
      <c r="Q325" s="14"/>
      <c r="R325" s="14"/>
      <c r="S325" s="14"/>
      <c r="T325" s="14"/>
      <c r="U325" s="14"/>
      <c r="V325" s="14"/>
      <c r="W325" s="14"/>
      <c r="X325" s="14"/>
      <c r="Y325" s="14"/>
    </row>
    <row r="326" spans="1:25" ht="15.75" x14ac:dyDescent="0.25">
      <c r="A326" s="21"/>
      <c r="B326" s="21"/>
      <c r="C326" s="21"/>
      <c r="E326" s="21"/>
      <c r="F326" s="21"/>
      <c r="G326" s="14"/>
      <c r="H326" s="14"/>
      <c r="I326" s="14"/>
      <c r="J326" s="14"/>
      <c r="K326" s="14"/>
      <c r="L326" s="14"/>
      <c r="M326" s="14"/>
      <c r="N326" s="14"/>
      <c r="O326" s="14"/>
      <c r="P326" s="14"/>
      <c r="Q326" s="14"/>
      <c r="R326" s="14"/>
      <c r="S326" s="14"/>
      <c r="T326" s="14"/>
      <c r="U326" s="14"/>
      <c r="V326" s="14"/>
      <c r="W326" s="14"/>
      <c r="X326" s="14"/>
      <c r="Y326" s="14"/>
    </row>
    <row r="327" spans="1:25" ht="15.75" x14ac:dyDescent="0.25">
      <c r="A327" s="21"/>
      <c r="B327" s="21"/>
      <c r="C327" s="21"/>
      <c r="E327" s="21"/>
      <c r="F327" s="21"/>
      <c r="G327" s="14"/>
      <c r="H327" s="14"/>
      <c r="I327" s="14"/>
      <c r="J327" s="14"/>
      <c r="K327" s="14"/>
      <c r="L327" s="14"/>
      <c r="M327" s="14"/>
      <c r="N327" s="14"/>
      <c r="O327" s="14"/>
      <c r="P327" s="14"/>
      <c r="Q327" s="14"/>
      <c r="R327" s="14"/>
      <c r="S327" s="14"/>
      <c r="T327" s="14"/>
      <c r="U327" s="14"/>
      <c r="V327" s="14"/>
      <c r="W327" s="14"/>
      <c r="X327" s="14"/>
      <c r="Y327" s="14"/>
    </row>
    <row r="328" spans="1:25" ht="15.75" x14ac:dyDescent="0.25">
      <c r="A328" s="21"/>
      <c r="B328" s="21"/>
      <c r="C328" s="21"/>
      <c r="E328" s="21"/>
      <c r="F328" s="21"/>
      <c r="G328" s="14"/>
      <c r="H328" s="14"/>
      <c r="I328" s="14"/>
      <c r="J328" s="14"/>
      <c r="K328" s="14"/>
      <c r="L328" s="14"/>
      <c r="M328" s="14"/>
      <c r="N328" s="14"/>
      <c r="O328" s="14"/>
      <c r="P328" s="14"/>
      <c r="Q328" s="14"/>
      <c r="R328" s="14"/>
      <c r="S328" s="14"/>
      <c r="T328" s="14"/>
      <c r="U328" s="14"/>
      <c r="V328" s="14"/>
      <c r="W328" s="14"/>
      <c r="X328" s="14"/>
      <c r="Y328" s="14"/>
    </row>
    <row r="329" spans="1:25" ht="15.75" x14ac:dyDescent="0.25">
      <c r="A329" s="21"/>
      <c r="B329" s="21"/>
      <c r="C329" s="21"/>
      <c r="E329" s="21"/>
      <c r="F329" s="21"/>
      <c r="G329" s="14"/>
      <c r="H329" s="14"/>
      <c r="I329" s="14"/>
      <c r="J329" s="14"/>
      <c r="K329" s="14"/>
      <c r="L329" s="14"/>
      <c r="M329" s="14"/>
      <c r="N329" s="14"/>
      <c r="O329" s="14"/>
      <c r="P329" s="14"/>
      <c r="Q329" s="14"/>
      <c r="R329" s="14"/>
      <c r="S329" s="14"/>
      <c r="T329" s="14"/>
      <c r="U329" s="14"/>
      <c r="V329" s="14"/>
      <c r="W329" s="14"/>
      <c r="X329" s="14"/>
      <c r="Y329" s="14"/>
    </row>
    <row r="330" spans="1:25" ht="15.75" x14ac:dyDescent="0.25">
      <c r="A330" s="21"/>
      <c r="B330" s="21"/>
      <c r="C330" s="21"/>
      <c r="E330" s="21"/>
      <c r="F330" s="21"/>
      <c r="G330" s="14"/>
      <c r="H330" s="14"/>
      <c r="I330" s="14"/>
      <c r="J330" s="14"/>
      <c r="K330" s="14"/>
      <c r="L330" s="14"/>
      <c r="M330" s="14"/>
      <c r="N330" s="14"/>
      <c r="O330" s="14"/>
      <c r="P330" s="14"/>
      <c r="Q330" s="14"/>
      <c r="R330" s="14"/>
      <c r="S330" s="14"/>
      <c r="T330" s="14"/>
      <c r="U330" s="14"/>
      <c r="V330" s="14"/>
      <c r="W330" s="14"/>
      <c r="X330" s="14"/>
      <c r="Y330" s="14"/>
    </row>
    <row r="331" spans="1:25" ht="15.75" x14ac:dyDescent="0.25">
      <c r="A331" s="21"/>
      <c r="B331" s="21"/>
      <c r="C331" s="21"/>
      <c r="E331" s="21"/>
      <c r="F331" s="21"/>
      <c r="G331" s="14"/>
      <c r="H331" s="14"/>
      <c r="I331" s="14"/>
      <c r="J331" s="14"/>
      <c r="K331" s="14"/>
      <c r="L331" s="14"/>
      <c r="M331" s="14"/>
      <c r="N331" s="14"/>
      <c r="O331" s="14"/>
      <c r="P331" s="14"/>
      <c r="Q331" s="14"/>
      <c r="R331" s="14"/>
      <c r="S331" s="14"/>
      <c r="T331" s="14"/>
      <c r="U331" s="14"/>
      <c r="V331" s="14"/>
      <c r="W331" s="14"/>
      <c r="X331" s="14"/>
      <c r="Y331" s="14"/>
    </row>
    <row r="332" spans="1:25" ht="15.75" x14ac:dyDescent="0.25">
      <c r="A332" s="21"/>
      <c r="B332" s="21"/>
      <c r="C332" s="21"/>
      <c r="E332" s="21"/>
      <c r="F332" s="21"/>
      <c r="G332" s="14"/>
      <c r="H332" s="14"/>
      <c r="I332" s="14"/>
      <c r="J332" s="14"/>
      <c r="K332" s="14"/>
      <c r="L332" s="14"/>
      <c r="M332" s="14"/>
      <c r="N332" s="14"/>
      <c r="O332" s="14"/>
      <c r="P332" s="14"/>
      <c r="Q332" s="14"/>
      <c r="R332" s="14"/>
      <c r="S332" s="14"/>
      <c r="T332" s="14"/>
      <c r="U332" s="14"/>
      <c r="V332" s="14"/>
      <c r="W332" s="14"/>
      <c r="X332" s="14"/>
      <c r="Y332" s="14"/>
    </row>
    <row r="333" spans="1:25" ht="15.75" x14ac:dyDescent="0.25">
      <c r="A333" s="21"/>
      <c r="B333" s="21"/>
      <c r="C333" s="21"/>
      <c r="E333" s="21"/>
      <c r="F333" s="21"/>
      <c r="G333" s="14"/>
      <c r="H333" s="14"/>
      <c r="I333" s="14"/>
      <c r="J333" s="14"/>
      <c r="K333" s="14"/>
      <c r="L333" s="14"/>
      <c r="M333" s="14"/>
      <c r="N333" s="14"/>
      <c r="O333" s="14"/>
      <c r="P333" s="14"/>
      <c r="Q333" s="14"/>
      <c r="R333" s="14"/>
      <c r="S333" s="14"/>
      <c r="T333" s="14"/>
      <c r="U333" s="14"/>
      <c r="V333" s="14"/>
      <c r="W333" s="14"/>
      <c r="X333" s="14"/>
      <c r="Y333" s="14"/>
    </row>
    <row r="334" spans="1:25" ht="15.75" x14ac:dyDescent="0.25">
      <c r="A334" s="21"/>
      <c r="B334" s="21"/>
      <c r="C334" s="21"/>
      <c r="E334" s="21"/>
      <c r="F334" s="21"/>
      <c r="G334" s="14"/>
      <c r="H334" s="14"/>
      <c r="I334" s="14"/>
      <c r="J334" s="14"/>
      <c r="K334" s="14"/>
      <c r="L334" s="14"/>
      <c r="M334" s="14"/>
      <c r="N334" s="14"/>
      <c r="O334" s="14"/>
      <c r="P334" s="14"/>
      <c r="Q334" s="14"/>
      <c r="R334" s="14"/>
      <c r="S334" s="14"/>
      <c r="T334" s="14"/>
      <c r="U334" s="14"/>
      <c r="V334" s="14"/>
      <c r="W334" s="14"/>
      <c r="X334" s="14"/>
      <c r="Y334" s="14"/>
    </row>
    <row r="335" spans="1:25" ht="15.75" x14ac:dyDescent="0.25">
      <c r="A335" s="21"/>
      <c r="B335" s="21"/>
      <c r="C335" s="21"/>
      <c r="E335" s="21"/>
      <c r="F335" s="21"/>
      <c r="G335" s="14"/>
      <c r="H335" s="14"/>
      <c r="I335" s="14"/>
      <c r="J335" s="14"/>
      <c r="K335" s="14"/>
      <c r="L335" s="14"/>
      <c r="M335" s="14"/>
      <c r="N335" s="14"/>
      <c r="O335" s="14"/>
      <c r="P335" s="14"/>
      <c r="Q335" s="14"/>
      <c r="R335" s="14"/>
      <c r="S335" s="14"/>
      <c r="T335" s="14"/>
      <c r="U335" s="14"/>
      <c r="V335" s="14"/>
      <c r="W335" s="14"/>
      <c r="X335" s="14"/>
      <c r="Y335" s="14"/>
    </row>
    <row r="336" spans="1:25" ht="15.75" x14ac:dyDescent="0.25">
      <c r="A336" s="21"/>
      <c r="B336" s="21"/>
      <c r="C336" s="21"/>
      <c r="E336" s="21"/>
      <c r="F336" s="21"/>
      <c r="G336" s="14"/>
      <c r="H336" s="14"/>
      <c r="I336" s="14"/>
      <c r="J336" s="14"/>
      <c r="K336" s="14"/>
      <c r="L336" s="14"/>
      <c r="M336" s="14"/>
      <c r="N336" s="14"/>
      <c r="O336" s="14"/>
      <c r="P336" s="14"/>
      <c r="Q336" s="14"/>
      <c r="R336" s="14"/>
      <c r="S336" s="14"/>
      <c r="T336" s="14"/>
      <c r="U336" s="14"/>
      <c r="V336" s="14"/>
      <c r="W336" s="14"/>
      <c r="X336" s="14"/>
      <c r="Y336" s="14"/>
    </row>
    <row r="337" spans="1:25" ht="15.75" x14ac:dyDescent="0.25">
      <c r="A337" s="21"/>
      <c r="B337" s="21"/>
      <c r="C337" s="21"/>
      <c r="E337" s="21"/>
      <c r="F337" s="21"/>
      <c r="G337" s="14"/>
      <c r="H337" s="14"/>
      <c r="I337" s="14"/>
      <c r="J337" s="14"/>
      <c r="K337" s="14"/>
      <c r="L337" s="14"/>
      <c r="M337" s="14"/>
      <c r="N337" s="14"/>
      <c r="O337" s="14"/>
      <c r="P337" s="14"/>
      <c r="Q337" s="14"/>
      <c r="R337" s="14"/>
      <c r="S337" s="14"/>
      <c r="T337" s="14"/>
      <c r="U337" s="14"/>
      <c r="V337" s="14"/>
      <c r="W337" s="14"/>
      <c r="X337" s="14"/>
      <c r="Y337" s="14"/>
    </row>
    <row r="338" spans="1:25" ht="15.75" x14ac:dyDescent="0.25">
      <c r="A338" s="21"/>
      <c r="B338" s="21"/>
      <c r="C338" s="21"/>
      <c r="E338" s="21"/>
      <c r="F338" s="21"/>
      <c r="G338" s="14"/>
      <c r="H338" s="14"/>
      <c r="I338" s="14"/>
      <c r="J338" s="14"/>
      <c r="K338" s="14"/>
      <c r="L338" s="14"/>
      <c r="M338" s="14"/>
      <c r="N338" s="14"/>
      <c r="O338" s="14"/>
      <c r="P338" s="14"/>
      <c r="Q338" s="14"/>
      <c r="R338" s="14"/>
      <c r="S338" s="14"/>
      <c r="T338" s="14"/>
      <c r="U338" s="14"/>
      <c r="V338" s="14"/>
      <c r="W338" s="14"/>
      <c r="X338" s="14"/>
      <c r="Y338" s="14"/>
    </row>
    <row r="339" spans="1:25" ht="15.75" x14ac:dyDescent="0.25">
      <c r="A339" s="21"/>
      <c r="B339" s="21"/>
      <c r="C339" s="21"/>
      <c r="E339" s="21"/>
      <c r="F339" s="21"/>
      <c r="G339" s="14"/>
      <c r="H339" s="14"/>
      <c r="I339" s="14"/>
      <c r="J339" s="14"/>
      <c r="K339" s="14"/>
      <c r="L339" s="14"/>
      <c r="M339" s="14"/>
      <c r="N339" s="14"/>
      <c r="O339" s="14"/>
      <c r="P339" s="14"/>
      <c r="Q339" s="14"/>
      <c r="R339" s="14"/>
      <c r="S339" s="14"/>
      <c r="T339" s="14"/>
      <c r="U339" s="14"/>
      <c r="V339" s="14"/>
      <c r="W339" s="14"/>
      <c r="X339" s="14"/>
      <c r="Y339" s="14"/>
    </row>
    <row r="340" spans="1:25" ht="15.75" x14ac:dyDescent="0.25">
      <c r="A340" s="21"/>
      <c r="B340" s="21"/>
      <c r="C340" s="21"/>
      <c r="E340" s="21"/>
      <c r="F340" s="21"/>
      <c r="G340" s="14"/>
      <c r="H340" s="14"/>
      <c r="I340" s="14"/>
      <c r="J340" s="14"/>
      <c r="K340" s="14"/>
      <c r="L340" s="14"/>
      <c r="M340" s="14"/>
      <c r="N340" s="14"/>
      <c r="O340" s="14"/>
      <c r="P340" s="14"/>
      <c r="Q340" s="14"/>
      <c r="R340" s="14"/>
      <c r="S340" s="14"/>
      <c r="T340" s="14"/>
      <c r="U340" s="14"/>
      <c r="V340" s="14"/>
      <c r="W340" s="14"/>
      <c r="X340" s="14"/>
      <c r="Y340" s="14"/>
    </row>
    <row r="341" spans="1:25" ht="15.75" x14ac:dyDescent="0.25">
      <c r="A341" s="21"/>
      <c r="B341" s="21"/>
      <c r="C341" s="21"/>
      <c r="E341" s="21"/>
      <c r="F341" s="21"/>
      <c r="G341" s="14"/>
      <c r="H341" s="14"/>
      <c r="I341" s="14"/>
      <c r="J341" s="14"/>
      <c r="K341" s="14"/>
      <c r="L341" s="14"/>
      <c r="M341" s="14"/>
      <c r="N341" s="14"/>
      <c r="O341" s="14"/>
      <c r="P341" s="14"/>
      <c r="Q341" s="14"/>
      <c r="R341" s="14"/>
      <c r="S341" s="14"/>
      <c r="T341" s="14"/>
      <c r="U341" s="14"/>
      <c r="V341" s="14"/>
      <c r="W341" s="14"/>
      <c r="X341" s="14"/>
      <c r="Y341" s="14"/>
    </row>
    <row r="342" spans="1:25" ht="15.75" x14ac:dyDescent="0.25">
      <c r="A342" s="21"/>
      <c r="B342" s="21"/>
      <c r="C342" s="21"/>
      <c r="E342" s="21"/>
      <c r="F342" s="21"/>
      <c r="G342" s="14"/>
      <c r="H342" s="14"/>
      <c r="I342" s="14"/>
      <c r="J342" s="14"/>
      <c r="K342" s="14"/>
      <c r="L342" s="14"/>
      <c r="M342" s="14"/>
      <c r="N342" s="14"/>
      <c r="O342" s="14"/>
      <c r="P342" s="14"/>
      <c r="Q342" s="14"/>
      <c r="R342" s="14"/>
      <c r="S342" s="14"/>
      <c r="T342" s="14"/>
      <c r="U342" s="14"/>
      <c r="V342" s="14"/>
      <c r="W342" s="14"/>
      <c r="X342" s="14"/>
      <c r="Y342" s="14"/>
    </row>
    <row r="343" spans="1:25" ht="15.75" x14ac:dyDescent="0.25">
      <c r="A343" s="21"/>
      <c r="B343" s="21"/>
      <c r="C343" s="21"/>
      <c r="E343" s="21"/>
      <c r="F343" s="21"/>
      <c r="G343" s="14"/>
      <c r="H343" s="14"/>
      <c r="I343" s="14"/>
      <c r="J343" s="14"/>
      <c r="K343" s="14"/>
      <c r="L343" s="14"/>
      <c r="M343" s="14"/>
      <c r="N343" s="14"/>
      <c r="O343" s="14"/>
      <c r="P343" s="14"/>
      <c r="Q343" s="14"/>
      <c r="R343" s="14"/>
      <c r="S343" s="14"/>
      <c r="T343" s="14"/>
      <c r="U343" s="14"/>
      <c r="V343" s="14"/>
      <c r="W343" s="14"/>
      <c r="X343" s="14"/>
      <c r="Y343" s="14"/>
    </row>
    <row r="344" spans="1:25" ht="15.75" x14ac:dyDescent="0.25">
      <c r="A344" s="21"/>
      <c r="B344" s="21"/>
      <c r="C344" s="21"/>
      <c r="E344" s="21"/>
      <c r="F344" s="21"/>
      <c r="G344" s="14"/>
      <c r="H344" s="14"/>
      <c r="I344" s="14"/>
      <c r="J344" s="14"/>
      <c r="K344" s="14"/>
      <c r="L344" s="14"/>
      <c r="M344" s="14"/>
      <c r="N344" s="14"/>
      <c r="O344" s="14"/>
      <c r="P344" s="14"/>
      <c r="Q344" s="14"/>
      <c r="R344" s="14"/>
      <c r="S344" s="14"/>
      <c r="T344" s="14"/>
      <c r="U344" s="14"/>
      <c r="V344" s="14"/>
      <c r="W344" s="14"/>
      <c r="X344" s="14"/>
      <c r="Y344" s="14"/>
    </row>
    <row r="345" spans="1:25" ht="15.75" x14ac:dyDescent="0.25">
      <c r="A345" s="21"/>
      <c r="B345" s="21"/>
      <c r="C345" s="21"/>
      <c r="E345" s="21"/>
      <c r="F345" s="21"/>
      <c r="G345" s="14"/>
      <c r="H345" s="14"/>
      <c r="I345" s="14"/>
      <c r="J345" s="14"/>
      <c r="K345" s="14"/>
      <c r="L345" s="14"/>
      <c r="M345" s="14"/>
      <c r="N345" s="14"/>
      <c r="O345" s="14"/>
      <c r="P345" s="14"/>
      <c r="Q345" s="14"/>
      <c r="R345" s="14"/>
      <c r="S345" s="14"/>
      <c r="T345" s="14"/>
      <c r="U345" s="14"/>
      <c r="V345" s="14"/>
      <c r="W345" s="14"/>
      <c r="X345" s="14"/>
      <c r="Y345" s="14"/>
    </row>
    <row r="346" spans="1:25" ht="15.75" x14ac:dyDescent="0.25">
      <c r="A346" s="21"/>
      <c r="B346" s="21"/>
      <c r="C346" s="21"/>
      <c r="E346" s="21"/>
      <c r="F346" s="21"/>
      <c r="G346" s="14"/>
      <c r="H346" s="14"/>
      <c r="I346" s="14"/>
      <c r="J346" s="14"/>
      <c r="K346" s="14"/>
      <c r="L346" s="14"/>
      <c r="M346" s="14"/>
      <c r="N346" s="14"/>
      <c r="O346" s="14"/>
      <c r="P346" s="14"/>
      <c r="Q346" s="14"/>
      <c r="R346" s="14"/>
      <c r="S346" s="14"/>
      <c r="T346" s="14"/>
      <c r="U346" s="14"/>
      <c r="V346" s="14"/>
      <c r="W346" s="14"/>
      <c r="X346" s="14"/>
      <c r="Y346" s="14"/>
    </row>
    <row r="347" spans="1:25" ht="15.75" x14ac:dyDescent="0.25">
      <c r="A347" s="21"/>
      <c r="B347" s="21"/>
      <c r="C347" s="21"/>
      <c r="E347" s="21"/>
      <c r="F347" s="21"/>
      <c r="G347" s="14"/>
      <c r="H347" s="14"/>
      <c r="I347" s="14"/>
      <c r="J347" s="14"/>
      <c r="K347" s="14"/>
      <c r="L347" s="14"/>
      <c r="M347" s="14"/>
      <c r="N347" s="14"/>
      <c r="O347" s="14"/>
      <c r="P347" s="14"/>
      <c r="Q347" s="14"/>
      <c r="R347" s="14"/>
      <c r="S347" s="14"/>
      <c r="T347" s="14"/>
      <c r="U347" s="14"/>
      <c r="V347" s="14"/>
      <c r="W347" s="14"/>
      <c r="X347" s="14"/>
      <c r="Y347" s="14"/>
    </row>
    <row r="348" spans="1:25" ht="15.75" x14ac:dyDescent="0.25">
      <c r="A348" s="21"/>
      <c r="B348" s="21"/>
      <c r="C348" s="21"/>
      <c r="E348" s="21"/>
      <c r="F348" s="21"/>
      <c r="G348" s="14"/>
      <c r="H348" s="14"/>
      <c r="I348" s="14"/>
      <c r="J348" s="14"/>
      <c r="K348" s="14"/>
      <c r="L348" s="14"/>
      <c r="M348" s="14"/>
      <c r="N348" s="14"/>
      <c r="O348" s="14"/>
      <c r="P348" s="14"/>
      <c r="Q348" s="14"/>
      <c r="R348" s="14"/>
      <c r="S348" s="14"/>
      <c r="T348" s="14"/>
      <c r="U348" s="14"/>
      <c r="V348" s="14"/>
      <c r="W348" s="14"/>
      <c r="X348" s="14"/>
      <c r="Y348" s="14"/>
    </row>
    <row r="349" spans="1:25" ht="15.75" x14ac:dyDescent="0.25">
      <c r="A349" s="21"/>
      <c r="B349" s="21"/>
      <c r="C349" s="21"/>
      <c r="E349" s="21"/>
      <c r="F349" s="21"/>
      <c r="G349" s="14"/>
      <c r="H349" s="14"/>
      <c r="I349" s="14"/>
      <c r="J349" s="14"/>
      <c r="K349" s="14"/>
      <c r="L349" s="14"/>
      <c r="M349" s="14"/>
      <c r="N349" s="14"/>
      <c r="O349" s="14"/>
      <c r="P349" s="14"/>
      <c r="Q349" s="14"/>
      <c r="R349" s="14"/>
      <c r="S349" s="14"/>
      <c r="T349" s="14"/>
      <c r="U349" s="14"/>
      <c r="V349" s="14"/>
      <c r="W349" s="14"/>
      <c r="X349" s="14"/>
      <c r="Y349" s="14"/>
    </row>
    <row r="350" spans="1:25" ht="15.75" x14ac:dyDescent="0.25">
      <c r="A350" s="21"/>
      <c r="B350" s="21"/>
      <c r="C350" s="21"/>
      <c r="E350" s="21"/>
      <c r="F350" s="21"/>
      <c r="G350" s="14"/>
      <c r="H350" s="14"/>
      <c r="I350" s="14"/>
      <c r="J350" s="14"/>
      <c r="K350" s="14"/>
      <c r="L350" s="14"/>
      <c r="M350" s="14"/>
      <c r="N350" s="14"/>
      <c r="O350" s="14"/>
      <c r="P350" s="14"/>
      <c r="Q350" s="14"/>
      <c r="R350" s="14"/>
      <c r="S350" s="14"/>
      <c r="T350" s="14"/>
      <c r="U350" s="14"/>
      <c r="V350" s="14"/>
      <c r="W350" s="14"/>
      <c r="X350" s="14"/>
      <c r="Y350" s="14"/>
    </row>
    <row r="351" spans="1:25" ht="15.75" x14ac:dyDescent="0.25">
      <c r="A351" s="21"/>
      <c r="B351" s="21"/>
      <c r="C351" s="21"/>
      <c r="E351" s="21"/>
      <c r="F351" s="21"/>
      <c r="G351" s="14"/>
      <c r="H351" s="14"/>
      <c r="I351" s="14"/>
      <c r="J351" s="14"/>
      <c r="K351" s="14"/>
      <c r="L351" s="14"/>
      <c r="M351" s="14"/>
      <c r="N351" s="14"/>
      <c r="O351" s="14"/>
      <c r="P351" s="14"/>
      <c r="Q351" s="14"/>
      <c r="R351" s="14"/>
      <c r="S351" s="14"/>
      <c r="T351" s="14"/>
      <c r="U351" s="14"/>
      <c r="V351" s="14"/>
      <c r="W351" s="14"/>
      <c r="X351" s="14"/>
      <c r="Y351" s="14"/>
    </row>
    <row r="352" spans="1:25" ht="15.75" x14ac:dyDescent="0.25">
      <c r="A352" s="21"/>
      <c r="B352" s="21"/>
      <c r="C352" s="21"/>
      <c r="E352" s="21"/>
      <c r="F352" s="21"/>
      <c r="G352" s="14"/>
      <c r="H352" s="14"/>
      <c r="I352" s="14"/>
      <c r="J352" s="14"/>
      <c r="K352" s="14"/>
      <c r="L352" s="14"/>
      <c r="M352" s="14"/>
      <c r="N352" s="14"/>
      <c r="O352" s="14"/>
      <c r="P352" s="14"/>
      <c r="Q352" s="14"/>
      <c r="R352" s="14"/>
      <c r="S352" s="14"/>
      <c r="T352" s="14"/>
      <c r="U352" s="14"/>
      <c r="V352" s="14"/>
      <c r="W352" s="14"/>
      <c r="X352" s="14"/>
      <c r="Y352" s="14"/>
    </row>
    <row r="353" spans="1:25" ht="15.75" x14ac:dyDescent="0.25">
      <c r="A353" s="21"/>
      <c r="B353" s="21"/>
      <c r="C353" s="21"/>
      <c r="E353" s="21"/>
      <c r="F353" s="21"/>
      <c r="G353" s="14"/>
      <c r="H353" s="14"/>
      <c r="I353" s="14"/>
      <c r="J353" s="14"/>
      <c r="K353" s="14"/>
      <c r="L353" s="14"/>
      <c r="M353" s="14"/>
      <c r="N353" s="14"/>
      <c r="O353" s="14"/>
      <c r="P353" s="14"/>
      <c r="Q353" s="14"/>
      <c r="R353" s="14"/>
      <c r="S353" s="14"/>
      <c r="T353" s="14"/>
      <c r="U353" s="14"/>
      <c r="V353" s="14"/>
      <c r="W353" s="14"/>
      <c r="X353" s="14"/>
      <c r="Y353" s="14"/>
    </row>
    <row r="354" spans="1:25" ht="15.75" x14ac:dyDescent="0.25">
      <c r="A354" s="21"/>
      <c r="B354" s="21"/>
      <c r="C354" s="21"/>
      <c r="E354" s="21"/>
      <c r="F354" s="21"/>
      <c r="G354" s="14"/>
      <c r="H354" s="14"/>
      <c r="I354" s="14"/>
      <c r="J354" s="14"/>
      <c r="K354" s="14"/>
      <c r="L354" s="14"/>
      <c r="M354" s="14"/>
      <c r="N354" s="14"/>
      <c r="O354" s="14"/>
      <c r="P354" s="14"/>
      <c r="Q354" s="14"/>
      <c r="R354" s="14"/>
      <c r="S354" s="14"/>
      <c r="T354" s="14"/>
      <c r="U354" s="14"/>
      <c r="V354" s="14"/>
      <c r="W354" s="14"/>
      <c r="X354" s="14"/>
      <c r="Y354" s="14"/>
    </row>
    <row r="355" spans="1:25" ht="15.75" x14ac:dyDescent="0.25">
      <c r="A355" s="21"/>
      <c r="B355" s="21"/>
      <c r="C355" s="21"/>
      <c r="E355" s="21"/>
      <c r="F355" s="21"/>
      <c r="G355" s="14"/>
      <c r="H355" s="14"/>
      <c r="I355" s="14"/>
      <c r="J355" s="14"/>
      <c r="K355" s="14"/>
      <c r="L355" s="14"/>
      <c r="M355" s="14"/>
      <c r="N355" s="14"/>
      <c r="O355" s="14"/>
      <c r="P355" s="14"/>
      <c r="Q355" s="14"/>
      <c r="R355" s="14"/>
      <c r="S355" s="14"/>
      <c r="T355" s="14"/>
      <c r="U355" s="14"/>
      <c r="V355" s="14"/>
      <c r="W355" s="14"/>
      <c r="X355" s="14"/>
      <c r="Y355" s="14"/>
    </row>
    <row r="356" spans="1:25" ht="15.75" x14ac:dyDescent="0.25">
      <c r="A356" s="21"/>
      <c r="B356" s="21"/>
      <c r="C356" s="21"/>
      <c r="E356" s="21"/>
      <c r="F356" s="21"/>
      <c r="G356" s="14"/>
      <c r="H356" s="14"/>
      <c r="I356" s="14"/>
      <c r="J356" s="14"/>
      <c r="K356" s="14"/>
      <c r="L356" s="14"/>
      <c r="M356" s="14"/>
      <c r="N356" s="14"/>
      <c r="O356" s="14"/>
      <c r="P356" s="14"/>
      <c r="Q356" s="14"/>
      <c r="R356" s="14"/>
      <c r="S356" s="14"/>
      <c r="T356" s="14"/>
      <c r="U356" s="14"/>
      <c r="V356" s="14"/>
      <c r="W356" s="14"/>
      <c r="X356" s="14"/>
      <c r="Y356" s="14"/>
    </row>
    <row r="357" spans="1:25" ht="15.75" x14ac:dyDescent="0.25">
      <c r="A357" s="21"/>
      <c r="B357" s="21"/>
      <c r="C357" s="21"/>
      <c r="E357" s="21"/>
      <c r="F357" s="21"/>
      <c r="G357" s="14"/>
      <c r="H357" s="14"/>
      <c r="I357" s="14"/>
      <c r="J357" s="14"/>
      <c r="K357" s="14"/>
      <c r="L357" s="14"/>
      <c r="M357" s="14"/>
      <c r="N357" s="14"/>
      <c r="O357" s="14"/>
      <c r="P357" s="14"/>
      <c r="Q357" s="14"/>
      <c r="R357" s="14"/>
      <c r="S357" s="14"/>
      <c r="T357" s="14"/>
      <c r="U357" s="14"/>
      <c r="V357" s="14"/>
      <c r="W357" s="14"/>
      <c r="X357" s="14"/>
      <c r="Y357" s="14"/>
    </row>
    <row r="358" spans="1:25" ht="15.75" x14ac:dyDescent="0.25">
      <c r="A358" s="21"/>
      <c r="B358" s="21"/>
      <c r="C358" s="21"/>
      <c r="E358" s="21"/>
      <c r="F358" s="21"/>
      <c r="G358" s="14"/>
      <c r="H358" s="14"/>
      <c r="I358" s="14"/>
      <c r="J358" s="14"/>
      <c r="K358" s="14"/>
      <c r="L358" s="14"/>
      <c r="M358" s="14"/>
      <c r="N358" s="14"/>
      <c r="O358" s="14"/>
      <c r="P358" s="14"/>
      <c r="Q358" s="14"/>
      <c r="R358" s="14"/>
      <c r="S358" s="14"/>
      <c r="T358" s="14"/>
      <c r="U358" s="14"/>
      <c r="V358" s="14"/>
      <c r="W358" s="14"/>
      <c r="X358" s="14"/>
      <c r="Y358" s="14"/>
    </row>
    <row r="359" spans="1:25" ht="15.75" x14ac:dyDescent="0.25">
      <c r="A359" s="21"/>
      <c r="B359" s="21"/>
      <c r="C359" s="21"/>
      <c r="E359" s="21"/>
      <c r="F359" s="21"/>
      <c r="G359" s="14"/>
      <c r="H359" s="14"/>
      <c r="I359" s="14"/>
      <c r="J359" s="14"/>
      <c r="K359" s="14"/>
      <c r="L359" s="14"/>
      <c r="M359" s="14"/>
      <c r="N359" s="14"/>
      <c r="O359" s="14"/>
      <c r="P359" s="14"/>
      <c r="Q359" s="14"/>
      <c r="R359" s="14"/>
      <c r="S359" s="14"/>
      <c r="T359" s="14"/>
      <c r="U359" s="14"/>
      <c r="V359" s="14"/>
      <c r="W359" s="14"/>
      <c r="X359" s="14"/>
      <c r="Y359" s="14"/>
    </row>
    <row r="360" spans="1:25" ht="15.75" x14ac:dyDescent="0.25">
      <c r="A360" s="21"/>
      <c r="B360" s="21"/>
      <c r="C360" s="21"/>
      <c r="E360" s="21"/>
      <c r="F360" s="21"/>
      <c r="G360" s="14"/>
      <c r="H360" s="14"/>
      <c r="I360" s="14"/>
      <c r="J360" s="14"/>
      <c r="K360" s="14"/>
      <c r="L360" s="14"/>
      <c r="M360" s="14"/>
      <c r="N360" s="14"/>
      <c r="O360" s="14"/>
      <c r="P360" s="14"/>
      <c r="Q360" s="14"/>
      <c r="R360" s="14"/>
      <c r="S360" s="14"/>
      <c r="T360" s="14"/>
      <c r="U360" s="14"/>
      <c r="V360" s="14"/>
      <c r="W360" s="14"/>
      <c r="X360" s="14"/>
      <c r="Y360" s="14"/>
    </row>
    <row r="361" spans="1:25" ht="15.75" x14ac:dyDescent="0.25">
      <c r="A361" s="21"/>
      <c r="B361" s="21"/>
      <c r="C361" s="21"/>
      <c r="E361" s="21"/>
      <c r="F361" s="21"/>
      <c r="G361" s="14"/>
      <c r="H361" s="14"/>
      <c r="I361" s="14"/>
      <c r="J361" s="14"/>
      <c r="K361" s="14"/>
      <c r="L361" s="14"/>
      <c r="M361" s="14"/>
      <c r="N361" s="14"/>
      <c r="O361" s="14"/>
      <c r="P361" s="14"/>
      <c r="Q361" s="14"/>
      <c r="R361" s="14"/>
      <c r="S361" s="14"/>
      <c r="T361" s="14"/>
      <c r="U361" s="14"/>
      <c r="V361" s="14"/>
      <c r="W361" s="14"/>
      <c r="X361" s="14"/>
      <c r="Y361" s="14"/>
    </row>
    <row r="362" spans="1:25" ht="15.75" x14ac:dyDescent="0.25">
      <c r="A362" s="21"/>
      <c r="B362" s="21"/>
      <c r="C362" s="21"/>
      <c r="E362" s="21"/>
      <c r="F362" s="21"/>
      <c r="G362" s="14"/>
      <c r="H362" s="14"/>
      <c r="I362" s="14"/>
      <c r="J362" s="14"/>
      <c r="K362" s="14"/>
      <c r="L362" s="14"/>
      <c r="M362" s="14"/>
      <c r="N362" s="14"/>
      <c r="O362" s="14"/>
      <c r="P362" s="14"/>
      <c r="Q362" s="14"/>
      <c r="R362" s="14"/>
      <c r="S362" s="14"/>
      <c r="T362" s="14"/>
      <c r="U362" s="14"/>
      <c r="V362" s="14"/>
      <c r="W362" s="14"/>
      <c r="X362" s="14"/>
      <c r="Y362" s="14"/>
    </row>
    <row r="363" spans="1:25" ht="15.75" x14ac:dyDescent="0.25">
      <c r="A363" s="21"/>
      <c r="B363" s="21"/>
      <c r="C363" s="21"/>
      <c r="E363" s="21"/>
      <c r="F363" s="21"/>
      <c r="G363" s="14"/>
      <c r="H363" s="14"/>
      <c r="I363" s="14"/>
      <c r="J363" s="14"/>
      <c r="K363" s="14"/>
      <c r="L363" s="14"/>
      <c r="M363" s="14"/>
      <c r="N363" s="14"/>
      <c r="O363" s="14"/>
      <c r="P363" s="14"/>
      <c r="Q363" s="14"/>
      <c r="R363" s="14"/>
      <c r="S363" s="14"/>
      <c r="T363" s="14"/>
      <c r="U363" s="14"/>
      <c r="V363" s="14"/>
      <c r="W363" s="14"/>
      <c r="X363" s="14"/>
      <c r="Y363" s="14"/>
    </row>
    <row r="364" spans="1:25" ht="15.75" x14ac:dyDescent="0.25">
      <c r="A364" s="21"/>
      <c r="B364" s="21"/>
      <c r="C364" s="21"/>
      <c r="E364" s="21"/>
      <c r="F364" s="21"/>
      <c r="G364" s="14"/>
      <c r="H364" s="14"/>
      <c r="I364" s="14"/>
      <c r="J364" s="14"/>
      <c r="K364" s="14"/>
      <c r="L364" s="14"/>
      <c r="M364" s="14"/>
      <c r="N364" s="14"/>
      <c r="O364" s="14"/>
      <c r="P364" s="14"/>
      <c r="Q364" s="14"/>
      <c r="R364" s="14"/>
      <c r="S364" s="14"/>
      <c r="T364" s="14"/>
      <c r="U364" s="14"/>
      <c r="V364" s="14"/>
      <c r="W364" s="14"/>
      <c r="X364" s="14"/>
      <c r="Y364" s="14"/>
    </row>
    <row r="365" spans="1:25" ht="15.75" x14ac:dyDescent="0.25">
      <c r="A365" s="21"/>
      <c r="B365" s="21"/>
      <c r="C365" s="21"/>
      <c r="E365" s="21"/>
      <c r="F365" s="21"/>
      <c r="G365" s="14"/>
      <c r="H365" s="14"/>
      <c r="I365" s="14"/>
      <c r="J365" s="14"/>
      <c r="K365" s="14"/>
      <c r="L365" s="14"/>
      <c r="M365" s="14"/>
      <c r="N365" s="14"/>
      <c r="O365" s="14"/>
      <c r="P365" s="14"/>
      <c r="Q365" s="14"/>
      <c r="R365" s="14"/>
      <c r="S365" s="14"/>
      <c r="T365" s="14"/>
      <c r="U365" s="14"/>
      <c r="V365" s="14"/>
      <c r="W365" s="14"/>
      <c r="X365" s="14"/>
      <c r="Y365" s="14"/>
    </row>
    <row r="366" spans="1:25" ht="15.75" x14ac:dyDescent="0.25">
      <c r="A366" s="21"/>
      <c r="B366" s="21"/>
      <c r="C366" s="21"/>
      <c r="E366" s="21"/>
      <c r="F366" s="21"/>
      <c r="G366" s="14"/>
      <c r="H366" s="14"/>
      <c r="I366" s="14"/>
      <c r="J366" s="14"/>
      <c r="K366" s="14"/>
      <c r="L366" s="14"/>
      <c r="M366" s="14"/>
      <c r="N366" s="14"/>
      <c r="O366" s="14"/>
      <c r="P366" s="14"/>
      <c r="Q366" s="14"/>
      <c r="R366" s="14"/>
      <c r="S366" s="14"/>
      <c r="T366" s="14"/>
      <c r="U366" s="14"/>
      <c r="V366" s="14"/>
      <c r="W366" s="14"/>
      <c r="X366" s="14"/>
      <c r="Y366" s="14"/>
    </row>
    <row r="367" spans="1:25" ht="15.75" x14ac:dyDescent="0.25">
      <c r="A367" s="21"/>
      <c r="B367" s="21"/>
      <c r="C367" s="21"/>
      <c r="E367" s="21"/>
      <c r="F367" s="21"/>
      <c r="G367" s="14"/>
      <c r="H367" s="14"/>
      <c r="I367" s="14"/>
      <c r="J367" s="14"/>
      <c r="K367" s="14"/>
      <c r="L367" s="14"/>
      <c r="M367" s="14"/>
      <c r="N367" s="14"/>
      <c r="O367" s="14"/>
      <c r="P367" s="14"/>
      <c r="Q367" s="14"/>
      <c r="R367" s="14"/>
      <c r="S367" s="14"/>
      <c r="T367" s="14"/>
      <c r="U367" s="14"/>
      <c r="V367" s="14"/>
      <c r="W367" s="14"/>
      <c r="X367" s="14"/>
      <c r="Y367" s="14"/>
    </row>
    <row r="368" spans="1:25" ht="15.75" x14ac:dyDescent="0.25">
      <c r="A368" s="21"/>
      <c r="B368" s="21"/>
      <c r="C368" s="21"/>
      <c r="E368" s="21"/>
      <c r="F368" s="21"/>
      <c r="G368" s="14"/>
      <c r="H368" s="14"/>
      <c r="I368" s="14"/>
      <c r="J368" s="14"/>
      <c r="K368" s="14"/>
      <c r="L368" s="14"/>
      <c r="M368" s="14"/>
      <c r="N368" s="14"/>
      <c r="O368" s="14"/>
      <c r="P368" s="14"/>
      <c r="Q368" s="14"/>
      <c r="R368" s="14"/>
      <c r="S368" s="14"/>
      <c r="T368" s="14"/>
      <c r="U368" s="14"/>
      <c r="V368" s="14"/>
      <c r="W368" s="14"/>
      <c r="X368" s="14"/>
      <c r="Y368" s="14"/>
    </row>
    <row r="369" spans="1:25" ht="15.75" x14ac:dyDescent="0.25">
      <c r="A369" s="21"/>
      <c r="B369" s="21"/>
      <c r="C369" s="21"/>
      <c r="E369" s="21"/>
      <c r="F369" s="21"/>
      <c r="G369" s="14"/>
      <c r="H369" s="14"/>
      <c r="I369" s="14"/>
      <c r="J369" s="14"/>
      <c r="K369" s="14"/>
      <c r="L369" s="14"/>
      <c r="M369" s="14"/>
      <c r="N369" s="14"/>
      <c r="O369" s="14"/>
      <c r="P369" s="14"/>
      <c r="Q369" s="14"/>
      <c r="R369" s="14"/>
      <c r="S369" s="14"/>
      <c r="T369" s="14"/>
      <c r="U369" s="14"/>
      <c r="V369" s="14"/>
      <c r="W369" s="14"/>
      <c r="X369" s="14"/>
      <c r="Y369" s="14"/>
    </row>
    <row r="370" spans="1:25" ht="15.75" x14ac:dyDescent="0.25">
      <c r="A370" s="21"/>
      <c r="B370" s="21"/>
      <c r="C370" s="21"/>
      <c r="E370" s="21"/>
      <c r="F370" s="21"/>
      <c r="G370" s="14"/>
      <c r="H370" s="14"/>
      <c r="I370" s="14"/>
      <c r="J370" s="14"/>
      <c r="K370" s="14"/>
      <c r="L370" s="14"/>
      <c r="M370" s="14"/>
      <c r="N370" s="14"/>
      <c r="O370" s="14"/>
      <c r="P370" s="14"/>
      <c r="Q370" s="14"/>
      <c r="R370" s="14"/>
      <c r="S370" s="14"/>
      <c r="T370" s="14"/>
      <c r="U370" s="14"/>
      <c r="V370" s="14"/>
      <c r="W370" s="14"/>
      <c r="X370" s="14"/>
      <c r="Y370" s="14"/>
    </row>
    <row r="371" spans="1:25" ht="15.75" x14ac:dyDescent="0.25">
      <c r="A371" s="21"/>
      <c r="B371" s="21"/>
      <c r="C371" s="21"/>
      <c r="E371" s="21"/>
      <c r="F371" s="21"/>
      <c r="G371" s="14"/>
      <c r="H371" s="14"/>
      <c r="I371" s="14"/>
      <c r="J371" s="14"/>
      <c r="K371" s="14"/>
      <c r="L371" s="14"/>
      <c r="M371" s="14"/>
      <c r="N371" s="14"/>
      <c r="O371" s="14"/>
      <c r="P371" s="14"/>
      <c r="Q371" s="14"/>
      <c r="R371" s="14"/>
      <c r="S371" s="14"/>
      <c r="T371" s="14"/>
      <c r="U371" s="14"/>
      <c r="V371" s="14"/>
      <c r="W371" s="14"/>
      <c r="X371" s="14"/>
      <c r="Y371" s="14"/>
    </row>
    <row r="372" spans="1:25" ht="15.75" x14ac:dyDescent="0.25">
      <c r="A372" s="21"/>
      <c r="B372" s="21"/>
      <c r="C372" s="21"/>
      <c r="E372" s="21"/>
      <c r="F372" s="21"/>
      <c r="G372" s="14"/>
      <c r="H372" s="14"/>
      <c r="I372" s="14"/>
      <c r="J372" s="14"/>
      <c r="K372" s="14"/>
      <c r="L372" s="14"/>
      <c r="M372" s="14"/>
      <c r="N372" s="14"/>
      <c r="O372" s="14"/>
      <c r="P372" s="14"/>
      <c r="Q372" s="14"/>
      <c r="R372" s="14"/>
      <c r="S372" s="14"/>
      <c r="T372" s="14"/>
      <c r="U372" s="14"/>
      <c r="V372" s="14"/>
      <c r="W372" s="14"/>
      <c r="X372" s="14"/>
      <c r="Y372" s="14"/>
    </row>
    <row r="373" spans="1:25" ht="15.75" x14ac:dyDescent="0.25">
      <c r="A373" s="21"/>
      <c r="B373" s="21"/>
      <c r="C373" s="21"/>
      <c r="E373" s="21"/>
      <c r="F373" s="21"/>
      <c r="G373" s="14"/>
      <c r="H373" s="14"/>
      <c r="I373" s="14"/>
      <c r="J373" s="14"/>
      <c r="K373" s="14"/>
      <c r="L373" s="14"/>
      <c r="M373" s="14"/>
      <c r="N373" s="14"/>
      <c r="O373" s="14"/>
      <c r="P373" s="14"/>
      <c r="Q373" s="14"/>
      <c r="R373" s="14"/>
      <c r="S373" s="14"/>
      <c r="T373" s="14"/>
      <c r="U373" s="14"/>
      <c r="V373" s="14"/>
      <c r="W373" s="14"/>
      <c r="X373" s="14"/>
      <c r="Y373" s="14"/>
    </row>
    <row r="374" spans="1:25" ht="15.75" x14ac:dyDescent="0.25">
      <c r="A374" s="21"/>
      <c r="B374" s="21"/>
      <c r="C374" s="21"/>
      <c r="E374" s="21"/>
      <c r="F374" s="21"/>
      <c r="G374" s="14"/>
      <c r="H374" s="14"/>
      <c r="I374" s="14"/>
      <c r="J374" s="14"/>
      <c r="K374" s="14"/>
      <c r="L374" s="14"/>
      <c r="M374" s="14"/>
      <c r="N374" s="14"/>
      <c r="O374" s="14"/>
      <c r="P374" s="14"/>
      <c r="Q374" s="14"/>
      <c r="R374" s="14"/>
      <c r="S374" s="14"/>
      <c r="T374" s="14"/>
      <c r="U374" s="14"/>
      <c r="V374" s="14"/>
      <c r="W374" s="14"/>
      <c r="X374" s="14"/>
      <c r="Y374" s="14"/>
    </row>
    <row r="375" spans="1:25" ht="15.75" x14ac:dyDescent="0.25">
      <c r="A375" s="21"/>
      <c r="B375" s="21"/>
      <c r="C375" s="21"/>
      <c r="E375" s="21"/>
      <c r="F375" s="21"/>
      <c r="G375" s="14"/>
      <c r="H375" s="14"/>
      <c r="I375" s="14"/>
      <c r="J375" s="14"/>
      <c r="K375" s="14"/>
      <c r="L375" s="14"/>
      <c r="M375" s="14"/>
      <c r="N375" s="14"/>
      <c r="O375" s="14"/>
      <c r="P375" s="14"/>
      <c r="Q375" s="14"/>
      <c r="R375" s="14"/>
      <c r="S375" s="14"/>
      <c r="T375" s="14"/>
      <c r="U375" s="14"/>
      <c r="V375" s="14"/>
      <c r="W375" s="14"/>
      <c r="X375" s="14"/>
      <c r="Y375" s="14"/>
    </row>
    <row r="376" spans="1:25" ht="15.75" x14ac:dyDescent="0.25">
      <c r="A376" s="21"/>
      <c r="B376" s="21"/>
      <c r="C376" s="21"/>
      <c r="E376" s="21"/>
      <c r="F376" s="21"/>
      <c r="G376" s="14"/>
      <c r="H376" s="14"/>
      <c r="I376" s="14"/>
      <c r="J376" s="14"/>
      <c r="K376" s="14"/>
      <c r="L376" s="14"/>
      <c r="M376" s="14"/>
      <c r="N376" s="14"/>
      <c r="O376" s="14"/>
      <c r="P376" s="14"/>
      <c r="Q376" s="14"/>
      <c r="R376" s="14"/>
      <c r="S376" s="14"/>
      <c r="T376" s="14"/>
      <c r="U376" s="14"/>
      <c r="V376" s="14"/>
      <c r="W376" s="14"/>
      <c r="X376" s="14"/>
      <c r="Y376" s="14"/>
    </row>
    <row r="377" spans="1:25" ht="15.75" x14ac:dyDescent="0.25">
      <c r="A377" s="21"/>
      <c r="B377" s="21"/>
      <c r="C377" s="21"/>
      <c r="E377" s="21"/>
      <c r="F377" s="21"/>
      <c r="G377" s="14"/>
      <c r="H377" s="14"/>
      <c r="I377" s="14"/>
      <c r="J377" s="14"/>
      <c r="K377" s="14"/>
      <c r="L377" s="14"/>
      <c r="M377" s="14"/>
      <c r="N377" s="14"/>
      <c r="O377" s="14"/>
      <c r="P377" s="14"/>
      <c r="Q377" s="14"/>
      <c r="R377" s="14"/>
      <c r="S377" s="14"/>
      <c r="T377" s="14"/>
      <c r="U377" s="14"/>
      <c r="V377" s="14"/>
      <c r="W377" s="14"/>
      <c r="X377" s="14"/>
      <c r="Y377" s="14"/>
    </row>
    <row r="378" spans="1:25" ht="15.75" x14ac:dyDescent="0.25">
      <c r="A378" s="21"/>
      <c r="B378" s="21"/>
      <c r="C378" s="21"/>
      <c r="E378" s="21"/>
      <c r="F378" s="21"/>
      <c r="G378" s="14"/>
      <c r="H378" s="14"/>
      <c r="I378" s="14"/>
      <c r="J378" s="14"/>
      <c r="K378" s="14"/>
      <c r="L378" s="14"/>
      <c r="M378" s="14"/>
      <c r="N378" s="14"/>
      <c r="O378" s="14"/>
      <c r="P378" s="14"/>
      <c r="Q378" s="14"/>
      <c r="R378" s="14"/>
      <c r="S378" s="14"/>
      <c r="T378" s="14"/>
      <c r="U378" s="14"/>
      <c r="V378" s="14"/>
      <c r="W378" s="14"/>
      <c r="X378" s="14"/>
      <c r="Y378" s="14"/>
    </row>
    <row r="379" spans="1:25" ht="15.75" x14ac:dyDescent="0.25">
      <c r="A379" s="21"/>
      <c r="B379" s="21"/>
      <c r="C379" s="21"/>
      <c r="E379" s="21"/>
      <c r="F379" s="21"/>
      <c r="G379" s="14"/>
      <c r="H379" s="14"/>
      <c r="I379" s="14"/>
      <c r="J379" s="14"/>
      <c r="K379" s="14"/>
      <c r="L379" s="14"/>
      <c r="M379" s="14"/>
      <c r="N379" s="14"/>
      <c r="O379" s="14"/>
      <c r="P379" s="14"/>
      <c r="Q379" s="14"/>
      <c r="R379" s="14"/>
      <c r="S379" s="14"/>
      <c r="T379" s="14"/>
      <c r="U379" s="14"/>
      <c r="V379" s="14"/>
      <c r="W379" s="14"/>
      <c r="X379" s="14"/>
      <c r="Y379" s="14"/>
    </row>
    <row r="380" spans="1:25" ht="15.75" x14ac:dyDescent="0.25">
      <c r="A380" s="21"/>
      <c r="B380" s="21"/>
      <c r="C380" s="21"/>
      <c r="E380" s="21"/>
      <c r="F380" s="21"/>
      <c r="G380" s="14"/>
      <c r="H380" s="14"/>
      <c r="I380" s="14"/>
      <c r="J380" s="14"/>
      <c r="K380" s="14"/>
      <c r="L380" s="14"/>
      <c r="M380" s="14"/>
      <c r="N380" s="14"/>
      <c r="O380" s="14"/>
      <c r="P380" s="14"/>
      <c r="Q380" s="14"/>
      <c r="R380" s="14"/>
      <c r="S380" s="14"/>
      <c r="T380" s="14"/>
      <c r="U380" s="14"/>
      <c r="V380" s="14"/>
      <c r="W380" s="14"/>
      <c r="X380" s="14"/>
      <c r="Y380" s="14"/>
    </row>
    <row r="381" spans="1:25" ht="15.75" x14ac:dyDescent="0.25">
      <c r="A381" s="21"/>
      <c r="B381" s="21"/>
      <c r="C381" s="21"/>
      <c r="E381" s="21"/>
      <c r="F381" s="21"/>
      <c r="G381" s="14"/>
      <c r="H381" s="14"/>
      <c r="I381" s="14"/>
      <c r="J381" s="14"/>
      <c r="K381" s="14"/>
      <c r="L381" s="14"/>
      <c r="M381" s="14"/>
      <c r="N381" s="14"/>
      <c r="O381" s="14"/>
      <c r="P381" s="14"/>
      <c r="Q381" s="14"/>
      <c r="R381" s="14"/>
      <c r="S381" s="14"/>
      <c r="T381" s="14"/>
      <c r="U381" s="14"/>
      <c r="V381" s="14"/>
      <c r="W381" s="14"/>
      <c r="X381" s="14"/>
      <c r="Y381" s="14"/>
    </row>
    <row r="382" spans="1:25" ht="15.75" x14ac:dyDescent="0.25">
      <c r="A382" s="21"/>
      <c r="B382" s="21"/>
      <c r="C382" s="21"/>
      <c r="E382" s="21"/>
      <c r="F382" s="21"/>
      <c r="G382" s="14"/>
      <c r="H382" s="14"/>
      <c r="I382" s="14"/>
      <c r="J382" s="14"/>
      <c r="K382" s="14"/>
      <c r="L382" s="14"/>
      <c r="M382" s="14"/>
      <c r="N382" s="14"/>
      <c r="O382" s="14"/>
      <c r="P382" s="14"/>
      <c r="Q382" s="14"/>
      <c r="R382" s="14"/>
      <c r="S382" s="14"/>
      <c r="T382" s="14"/>
      <c r="U382" s="14"/>
      <c r="V382" s="14"/>
      <c r="W382" s="14"/>
      <c r="X382" s="14"/>
      <c r="Y382" s="14"/>
    </row>
    <row r="383" spans="1:25" ht="15.75" x14ac:dyDescent="0.25">
      <c r="A383" s="21"/>
      <c r="B383" s="21"/>
      <c r="C383" s="21"/>
      <c r="E383" s="21"/>
      <c r="F383" s="21"/>
      <c r="G383" s="14"/>
      <c r="H383" s="14"/>
      <c r="I383" s="14"/>
      <c r="J383" s="14"/>
      <c r="K383" s="14"/>
      <c r="L383" s="14"/>
      <c r="M383" s="14"/>
      <c r="N383" s="14"/>
      <c r="O383" s="14"/>
      <c r="P383" s="14"/>
      <c r="Q383" s="14"/>
      <c r="R383" s="14"/>
      <c r="S383" s="14"/>
      <c r="T383" s="14"/>
      <c r="U383" s="14"/>
      <c r="V383" s="14"/>
      <c r="W383" s="14"/>
      <c r="X383" s="14"/>
      <c r="Y383" s="14"/>
    </row>
    <row r="384" spans="1:25" ht="15.75" x14ac:dyDescent="0.25">
      <c r="A384" s="21"/>
      <c r="B384" s="21"/>
      <c r="C384" s="21"/>
      <c r="E384" s="21"/>
      <c r="F384" s="21"/>
      <c r="G384" s="14"/>
      <c r="H384" s="14"/>
      <c r="I384" s="14"/>
      <c r="J384" s="14"/>
      <c r="K384" s="14"/>
      <c r="L384" s="14"/>
      <c r="M384" s="14"/>
      <c r="N384" s="14"/>
      <c r="O384" s="14"/>
      <c r="P384" s="14"/>
      <c r="Q384" s="14"/>
      <c r="R384" s="14"/>
      <c r="S384" s="14"/>
      <c r="T384" s="14"/>
      <c r="U384" s="14"/>
      <c r="V384" s="14"/>
      <c r="W384" s="14"/>
      <c r="X384" s="14"/>
      <c r="Y384" s="14"/>
    </row>
    <row r="385" spans="1:25" ht="15.75" x14ac:dyDescent="0.25">
      <c r="A385" s="21"/>
      <c r="B385" s="21"/>
      <c r="C385" s="21"/>
      <c r="E385" s="21"/>
      <c r="F385" s="21"/>
      <c r="G385" s="14"/>
      <c r="H385" s="14"/>
      <c r="I385" s="14"/>
      <c r="J385" s="14"/>
      <c r="K385" s="14"/>
      <c r="L385" s="14"/>
      <c r="M385" s="14"/>
      <c r="N385" s="14"/>
      <c r="O385" s="14"/>
      <c r="P385" s="14"/>
      <c r="Q385" s="14"/>
      <c r="R385" s="14"/>
      <c r="S385" s="14"/>
      <c r="T385" s="14"/>
      <c r="U385" s="14"/>
      <c r="V385" s="14"/>
      <c r="W385" s="14"/>
      <c r="X385" s="14"/>
      <c r="Y385" s="14"/>
    </row>
    <row r="386" spans="1:25" ht="15.75" x14ac:dyDescent="0.25">
      <c r="A386" s="21"/>
      <c r="B386" s="21"/>
      <c r="C386" s="21"/>
      <c r="E386" s="21"/>
      <c r="F386" s="21"/>
      <c r="G386" s="14"/>
      <c r="H386" s="14"/>
      <c r="I386" s="14"/>
      <c r="J386" s="14"/>
      <c r="K386" s="14"/>
      <c r="L386" s="14"/>
      <c r="M386" s="14"/>
      <c r="N386" s="14"/>
      <c r="O386" s="14"/>
      <c r="P386" s="14"/>
      <c r="Q386" s="14"/>
      <c r="R386" s="14"/>
      <c r="S386" s="14"/>
      <c r="T386" s="14"/>
      <c r="U386" s="14"/>
      <c r="V386" s="14"/>
      <c r="W386" s="14"/>
      <c r="X386" s="14"/>
      <c r="Y386" s="14"/>
    </row>
    <row r="387" spans="1:25" ht="15.75" x14ac:dyDescent="0.25">
      <c r="A387" s="21"/>
      <c r="B387" s="21"/>
      <c r="C387" s="21"/>
      <c r="E387" s="21"/>
      <c r="F387" s="21"/>
      <c r="G387" s="14"/>
      <c r="H387" s="14"/>
      <c r="I387" s="14"/>
      <c r="J387" s="14"/>
      <c r="K387" s="14"/>
      <c r="L387" s="14"/>
      <c r="M387" s="14"/>
      <c r="N387" s="14"/>
      <c r="O387" s="14"/>
      <c r="P387" s="14"/>
      <c r="Q387" s="14"/>
      <c r="R387" s="14"/>
      <c r="S387" s="14"/>
      <c r="T387" s="14"/>
      <c r="U387" s="14"/>
      <c r="V387" s="14"/>
      <c r="W387" s="14"/>
      <c r="X387" s="14"/>
      <c r="Y387" s="14"/>
    </row>
    <row r="388" spans="1:25" ht="15.75" x14ac:dyDescent="0.25">
      <c r="A388" s="21"/>
      <c r="B388" s="21"/>
      <c r="C388" s="21"/>
      <c r="E388" s="21"/>
      <c r="F388" s="21"/>
      <c r="G388" s="14"/>
      <c r="H388" s="14"/>
      <c r="I388" s="14"/>
      <c r="J388" s="14"/>
      <c r="K388" s="14"/>
      <c r="L388" s="14"/>
      <c r="M388" s="14"/>
      <c r="N388" s="14"/>
      <c r="O388" s="14"/>
      <c r="P388" s="14"/>
      <c r="Q388" s="14"/>
      <c r="R388" s="14"/>
      <c r="S388" s="14"/>
      <c r="T388" s="14"/>
      <c r="U388" s="14"/>
      <c r="V388" s="14"/>
      <c r="W388" s="14"/>
      <c r="X388" s="14"/>
      <c r="Y388" s="14"/>
    </row>
    <row r="389" spans="1:25" ht="15.75" x14ac:dyDescent="0.25">
      <c r="A389" s="21"/>
      <c r="B389" s="21"/>
      <c r="C389" s="21"/>
      <c r="E389" s="21"/>
      <c r="F389" s="21"/>
      <c r="G389" s="14"/>
      <c r="H389" s="14"/>
      <c r="I389" s="14"/>
      <c r="J389" s="14"/>
      <c r="K389" s="14"/>
      <c r="L389" s="14"/>
      <c r="M389" s="14"/>
      <c r="N389" s="14"/>
      <c r="O389" s="14"/>
      <c r="P389" s="14"/>
      <c r="Q389" s="14"/>
      <c r="R389" s="14"/>
      <c r="S389" s="14"/>
      <c r="T389" s="14"/>
      <c r="U389" s="14"/>
      <c r="V389" s="14"/>
      <c r="W389" s="14"/>
      <c r="X389" s="14"/>
      <c r="Y389" s="14"/>
    </row>
    <row r="390" spans="1:25" ht="15.75" x14ac:dyDescent="0.25">
      <c r="A390" s="21"/>
      <c r="B390" s="21"/>
      <c r="C390" s="21"/>
      <c r="E390" s="21"/>
      <c r="F390" s="21"/>
      <c r="G390" s="14"/>
      <c r="H390" s="14"/>
      <c r="I390" s="14"/>
      <c r="J390" s="14"/>
      <c r="K390" s="14"/>
      <c r="L390" s="14"/>
      <c r="M390" s="14"/>
      <c r="N390" s="14"/>
      <c r="O390" s="14"/>
      <c r="P390" s="14"/>
      <c r="Q390" s="14"/>
      <c r="R390" s="14"/>
      <c r="S390" s="14"/>
      <c r="T390" s="14"/>
      <c r="U390" s="14"/>
      <c r="V390" s="14"/>
      <c r="W390" s="14"/>
      <c r="X390" s="14"/>
      <c r="Y390" s="14"/>
    </row>
    <row r="391" spans="1:25" ht="15.75" x14ac:dyDescent="0.25">
      <c r="A391" s="21"/>
      <c r="B391" s="21"/>
      <c r="C391" s="21"/>
      <c r="E391" s="21"/>
      <c r="F391" s="21"/>
      <c r="G391" s="14"/>
      <c r="H391" s="14"/>
      <c r="I391" s="14"/>
      <c r="J391" s="14"/>
      <c r="K391" s="14"/>
      <c r="L391" s="14"/>
      <c r="M391" s="14"/>
      <c r="N391" s="14"/>
      <c r="O391" s="14"/>
      <c r="P391" s="14"/>
      <c r="Q391" s="14"/>
      <c r="R391" s="14"/>
      <c r="S391" s="14"/>
      <c r="T391" s="14"/>
      <c r="U391" s="14"/>
      <c r="V391" s="14"/>
      <c r="W391" s="14"/>
      <c r="X391" s="14"/>
      <c r="Y391" s="14"/>
    </row>
    <row r="392" spans="1:25" ht="15.75" x14ac:dyDescent="0.25">
      <c r="A392" s="21"/>
      <c r="B392" s="21"/>
      <c r="C392" s="21"/>
      <c r="E392" s="21"/>
      <c r="F392" s="21"/>
      <c r="G392" s="14"/>
      <c r="H392" s="14"/>
      <c r="I392" s="14"/>
      <c r="J392" s="14"/>
      <c r="K392" s="14"/>
      <c r="L392" s="14"/>
      <c r="M392" s="14"/>
      <c r="N392" s="14"/>
      <c r="O392" s="14"/>
      <c r="P392" s="14"/>
      <c r="Q392" s="14"/>
      <c r="R392" s="14"/>
      <c r="S392" s="14"/>
      <c r="T392" s="14"/>
      <c r="U392" s="14"/>
      <c r="V392" s="14"/>
      <c r="W392" s="14"/>
      <c r="X392" s="14"/>
      <c r="Y392" s="14"/>
    </row>
    <row r="393" spans="1:25" ht="15.75" x14ac:dyDescent="0.25">
      <c r="A393" s="21"/>
      <c r="B393" s="21"/>
      <c r="C393" s="21"/>
      <c r="E393" s="21"/>
      <c r="F393" s="21"/>
      <c r="G393" s="14"/>
      <c r="H393" s="14"/>
      <c r="I393" s="14"/>
      <c r="J393" s="14"/>
      <c r="K393" s="14"/>
      <c r="L393" s="14"/>
      <c r="M393" s="14"/>
      <c r="N393" s="14"/>
      <c r="O393" s="14"/>
      <c r="P393" s="14"/>
      <c r="Q393" s="14"/>
      <c r="R393" s="14"/>
      <c r="S393" s="14"/>
      <c r="T393" s="14"/>
      <c r="U393" s="14"/>
      <c r="V393" s="14"/>
      <c r="W393" s="14"/>
      <c r="X393" s="14"/>
      <c r="Y393" s="14"/>
    </row>
    <row r="394" spans="1:25" ht="15.75" x14ac:dyDescent="0.25">
      <c r="A394" s="21"/>
      <c r="B394" s="21"/>
      <c r="C394" s="21"/>
      <c r="E394" s="21"/>
      <c r="F394" s="21"/>
      <c r="G394" s="14"/>
      <c r="H394" s="14"/>
      <c r="I394" s="14"/>
      <c r="J394" s="14"/>
      <c r="K394" s="14"/>
      <c r="L394" s="14"/>
      <c r="M394" s="14"/>
      <c r="N394" s="14"/>
      <c r="O394" s="14"/>
      <c r="P394" s="14"/>
      <c r="Q394" s="14"/>
      <c r="R394" s="14"/>
      <c r="S394" s="14"/>
      <c r="T394" s="14"/>
      <c r="U394" s="14"/>
      <c r="V394" s="14"/>
      <c r="W394" s="14"/>
      <c r="X394" s="14"/>
      <c r="Y394" s="14"/>
    </row>
    <row r="395" spans="1:25" ht="15.75" x14ac:dyDescent="0.25">
      <c r="A395" s="21"/>
      <c r="B395" s="21"/>
      <c r="C395" s="21"/>
      <c r="E395" s="21"/>
      <c r="F395" s="21"/>
      <c r="G395" s="14"/>
      <c r="H395" s="14"/>
      <c r="I395" s="14"/>
      <c r="J395" s="14"/>
      <c r="K395" s="14"/>
      <c r="L395" s="14"/>
      <c r="M395" s="14"/>
      <c r="N395" s="14"/>
      <c r="O395" s="14"/>
      <c r="P395" s="14"/>
      <c r="Q395" s="14"/>
      <c r="R395" s="14"/>
      <c r="S395" s="14"/>
      <c r="T395" s="14"/>
      <c r="U395" s="14"/>
      <c r="V395" s="14"/>
      <c r="W395" s="14"/>
      <c r="X395" s="14"/>
      <c r="Y395" s="14"/>
    </row>
    <row r="396" spans="1:25" ht="15.75" x14ac:dyDescent="0.25">
      <c r="A396" s="21"/>
      <c r="B396" s="21"/>
      <c r="C396" s="21"/>
      <c r="E396" s="21"/>
      <c r="F396" s="21"/>
      <c r="G396" s="14"/>
      <c r="H396" s="14"/>
      <c r="I396" s="14"/>
      <c r="J396" s="14"/>
      <c r="K396" s="14"/>
      <c r="L396" s="14"/>
      <c r="M396" s="14"/>
      <c r="N396" s="14"/>
      <c r="O396" s="14"/>
      <c r="P396" s="14"/>
      <c r="Q396" s="14"/>
      <c r="R396" s="14"/>
      <c r="S396" s="14"/>
      <c r="T396" s="14"/>
      <c r="U396" s="14"/>
      <c r="V396" s="14"/>
      <c r="W396" s="14"/>
      <c r="X396" s="14"/>
      <c r="Y396" s="14"/>
    </row>
    <row r="397" spans="1:25" ht="15.75" x14ac:dyDescent="0.25">
      <c r="A397" s="21"/>
      <c r="B397" s="21"/>
      <c r="C397" s="21"/>
      <c r="E397" s="21"/>
      <c r="F397" s="21"/>
      <c r="G397" s="14"/>
      <c r="H397" s="14"/>
      <c r="I397" s="14"/>
      <c r="J397" s="14"/>
      <c r="K397" s="14"/>
      <c r="L397" s="14"/>
      <c r="M397" s="14"/>
      <c r="N397" s="14"/>
      <c r="O397" s="14"/>
      <c r="P397" s="14"/>
      <c r="Q397" s="14"/>
      <c r="R397" s="14"/>
      <c r="S397" s="14"/>
      <c r="T397" s="14"/>
      <c r="U397" s="14"/>
      <c r="V397" s="14"/>
      <c r="W397" s="14"/>
      <c r="X397" s="14"/>
      <c r="Y397" s="14"/>
    </row>
    <row r="398" spans="1:25" ht="15.75" x14ac:dyDescent="0.25">
      <c r="A398" s="21"/>
      <c r="B398" s="21"/>
      <c r="C398" s="21"/>
      <c r="E398" s="21"/>
      <c r="F398" s="21"/>
      <c r="G398" s="14"/>
      <c r="H398" s="14"/>
      <c r="I398" s="14"/>
      <c r="J398" s="14"/>
      <c r="K398" s="14"/>
      <c r="L398" s="14"/>
      <c r="M398" s="14"/>
      <c r="N398" s="14"/>
      <c r="O398" s="14"/>
      <c r="P398" s="14"/>
      <c r="Q398" s="14"/>
      <c r="R398" s="14"/>
      <c r="S398" s="14"/>
      <c r="T398" s="14"/>
      <c r="U398" s="14"/>
      <c r="V398" s="14"/>
      <c r="W398" s="14"/>
      <c r="X398" s="14"/>
      <c r="Y398" s="14"/>
    </row>
    <row r="399" spans="1:25" ht="15.75" x14ac:dyDescent="0.25">
      <c r="A399" s="21"/>
      <c r="B399" s="21"/>
      <c r="C399" s="21"/>
      <c r="E399" s="21"/>
      <c r="F399" s="21"/>
      <c r="G399" s="14"/>
      <c r="H399" s="14"/>
      <c r="I399" s="14"/>
      <c r="J399" s="14"/>
      <c r="K399" s="14"/>
      <c r="L399" s="14"/>
      <c r="M399" s="14"/>
      <c r="N399" s="14"/>
      <c r="O399" s="14"/>
      <c r="P399" s="14"/>
      <c r="Q399" s="14"/>
      <c r="R399" s="14"/>
      <c r="S399" s="14"/>
      <c r="T399" s="14"/>
      <c r="U399" s="14"/>
      <c r="V399" s="14"/>
      <c r="W399" s="14"/>
      <c r="X399" s="14"/>
      <c r="Y399" s="14"/>
    </row>
    <row r="400" spans="1:25" ht="15.75" x14ac:dyDescent="0.25">
      <c r="A400" s="21"/>
      <c r="B400" s="21"/>
      <c r="C400" s="21"/>
      <c r="E400" s="21"/>
      <c r="F400" s="21"/>
      <c r="G400" s="14"/>
      <c r="H400" s="14"/>
      <c r="I400" s="14"/>
      <c r="J400" s="14"/>
      <c r="K400" s="14"/>
      <c r="L400" s="14"/>
      <c r="M400" s="14"/>
      <c r="N400" s="14"/>
      <c r="O400" s="14"/>
      <c r="P400" s="14"/>
      <c r="Q400" s="14"/>
      <c r="R400" s="14"/>
      <c r="S400" s="14"/>
      <c r="T400" s="14"/>
      <c r="U400" s="14"/>
      <c r="V400" s="14"/>
      <c r="W400" s="14"/>
      <c r="X400" s="14"/>
      <c r="Y400" s="14"/>
    </row>
    <row r="401" spans="1:25" ht="15.75" x14ac:dyDescent="0.25">
      <c r="A401" s="21"/>
      <c r="B401" s="21"/>
      <c r="C401" s="21"/>
      <c r="E401" s="21"/>
      <c r="F401" s="21"/>
      <c r="G401" s="14"/>
      <c r="H401" s="14"/>
      <c r="I401" s="14"/>
      <c r="J401" s="14"/>
      <c r="K401" s="14"/>
      <c r="L401" s="14"/>
      <c r="M401" s="14"/>
      <c r="N401" s="14"/>
      <c r="O401" s="14"/>
      <c r="P401" s="14"/>
      <c r="Q401" s="14"/>
      <c r="R401" s="14"/>
      <c r="S401" s="14"/>
      <c r="T401" s="14"/>
      <c r="U401" s="14"/>
      <c r="V401" s="14"/>
      <c r="W401" s="14"/>
      <c r="X401" s="14"/>
      <c r="Y401" s="14"/>
    </row>
    <row r="402" spans="1:25" ht="15.75" x14ac:dyDescent="0.25">
      <c r="A402" s="21"/>
      <c r="B402" s="21"/>
      <c r="C402" s="21"/>
      <c r="E402" s="21"/>
      <c r="F402" s="21"/>
      <c r="G402" s="14"/>
      <c r="H402" s="14"/>
      <c r="I402" s="14"/>
      <c r="J402" s="14"/>
      <c r="K402" s="14"/>
      <c r="L402" s="14"/>
      <c r="M402" s="14"/>
      <c r="N402" s="14"/>
      <c r="O402" s="14"/>
      <c r="P402" s="14"/>
      <c r="Q402" s="14"/>
      <c r="R402" s="14"/>
      <c r="S402" s="14"/>
      <c r="T402" s="14"/>
      <c r="U402" s="14"/>
      <c r="V402" s="14"/>
      <c r="W402" s="14"/>
      <c r="X402" s="14"/>
      <c r="Y402" s="14"/>
    </row>
    <row r="403" spans="1:25" ht="15.75" x14ac:dyDescent="0.25">
      <c r="A403" s="21"/>
      <c r="B403" s="21"/>
      <c r="C403" s="21"/>
      <c r="E403" s="21"/>
      <c r="F403" s="21"/>
      <c r="G403" s="14"/>
      <c r="H403" s="14"/>
      <c r="I403" s="14"/>
      <c r="J403" s="14"/>
      <c r="K403" s="14"/>
      <c r="L403" s="14"/>
      <c r="M403" s="14"/>
      <c r="N403" s="14"/>
      <c r="O403" s="14"/>
      <c r="P403" s="14"/>
      <c r="Q403" s="14"/>
      <c r="R403" s="14"/>
      <c r="S403" s="14"/>
      <c r="T403" s="14"/>
      <c r="U403" s="14"/>
      <c r="V403" s="14"/>
      <c r="W403" s="14"/>
      <c r="X403" s="14"/>
      <c r="Y403" s="14"/>
    </row>
    <row r="404" spans="1:25" ht="15.75" x14ac:dyDescent="0.25">
      <c r="A404" s="21"/>
      <c r="B404" s="21"/>
      <c r="C404" s="21"/>
      <c r="E404" s="21"/>
      <c r="F404" s="21"/>
      <c r="G404" s="14"/>
      <c r="H404" s="14"/>
      <c r="I404" s="14"/>
      <c r="J404" s="14"/>
      <c r="K404" s="14"/>
      <c r="L404" s="14"/>
      <c r="M404" s="14"/>
      <c r="N404" s="14"/>
      <c r="O404" s="14"/>
      <c r="P404" s="14"/>
      <c r="Q404" s="14"/>
      <c r="R404" s="14"/>
      <c r="S404" s="14"/>
      <c r="T404" s="14"/>
      <c r="U404" s="14"/>
      <c r="V404" s="14"/>
      <c r="W404" s="14"/>
      <c r="X404" s="14"/>
      <c r="Y404" s="14"/>
    </row>
    <row r="405" spans="1:25" ht="15.75" x14ac:dyDescent="0.25">
      <c r="A405" s="21"/>
      <c r="B405" s="21"/>
      <c r="C405" s="21"/>
      <c r="E405" s="21"/>
      <c r="F405" s="21"/>
      <c r="G405" s="14"/>
      <c r="H405" s="14"/>
      <c r="I405" s="14"/>
      <c r="J405" s="14"/>
      <c r="K405" s="14"/>
      <c r="L405" s="14"/>
      <c r="M405" s="14"/>
      <c r="N405" s="14"/>
      <c r="O405" s="14"/>
      <c r="P405" s="14"/>
      <c r="Q405" s="14"/>
      <c r="R405" s="14"/>
      <c r="S405" s="14"/>
      <c r="T405" s="14"/>
      <c r="U405" s="14"/>
      <c r="V405" s="14"/>
      <c r="W405" s="14"/>
      <c r="X405" s="14"/>
      <c r="Y405" s="14"/>
    </row>
    <row r="406" spans="1:25" ht="15.75" x14ac:dyDescent="0.25">
      <c r="A406" s="21"/>
      <c r="B406" s="21"/>
      <c r="C406" s="21"/>
      <c r="E406" s="21"/>
      <c r="F406" s="21"/>
      <c r="G406" s="14"/>
      <c r="H406" s="14"/>
      <c r="I406" s="14"/>
      <c r="J406" s="14"/>
      <c r="K406" s="14"/>
      <c r="L406" s="14"/>
      <c r="M406" s="14"/>
      <c r="N406" s="14"/>
      <c r="O406" s="14"/>
      <c r="P406" s="14"/>
      <c r="Q406" s="14"/>
      <c r="R406" s="14"/>
      <c r="S406" s="14"/>
      <c r="T406" s="14"/>
      <c r="U406" s="14"/>
      <c r="V406" s="14"/>
      <c r="W406" s="14"/>
      <c r="X406" s="14"/>
      <c r="Y406" s="14"/>
    </row>
    <row r="407" spans="1:25" ht="15.75" x14ac:dyDescent="0.25">
      <c r="A407" s="21"/>
      <c r="B407" s="21"/>
      <c r="C407" s="21"/>
      <c r="E407" s="21"/>
      <c r="F407" s="21"/>
      <c r="G407" s="14"/>
      <c r="H407" s="14"/>
      <c r="I407" s="14"/>
      <c r="J407" s="14"/>
      <c r="K407" s="14"/>
      <c r="L407" s="14"/>
      <c r="M407" s="14"/>
      <c r="N407" s="14"/>
      <c r="O407" s="14"/>
      <c r="P407" s="14"/>
      <c r="Q407" s="14"/>
      <c r="R407" s="14"/>
      <c r="S407" s="14"/>
      <c r="T407" s="14"/>
      <c r="U407" s="14"/>
      <c r="V407" s="14"/>
      <c r="W407" s="14"/>
      <c r="X407" s="14"/>
      <c r="Y407" s="14"/>
    </row>
    <row r="408" spans="1:25" ht="15.75" x14ac:dyDescent="0.25">
      <c r="A408" s="21"/>
      <c r="B408" s="21"/>
      <c r="C408" s="21"/>
      <c r="E408" s="21"/>
      <c r="F408" s="21"/>
      <c r="G408" s="14"/>
      <c r="H408" s="14"/>
      <c r="I408" s="14"/>
      <c r="J408" s="14"/>
      <c r="K408" s="14"/>
      <c r="L408" s="14"/>
      <c r="M408" s="14"/>
      <c r="N408" s="14"/>
      <c r="O408" s="14"/>
      <c r="P408" s="14"/>
      <c r="Q408" s="14"/>
      <c r="R408" s="14"/>
      <c r="S408" s="14"/>
      <c r="T408" s="14"/>
      <c r="U408" s="14"/>
      <c r="V408" s="14"/>
      <c r="W408" s="14"/>
      <c r="X408" s="14"/>
      <c r="Y408" s="14"/>
    </row>
    <row r="409" spans="1:25" ht="15.75" x14ac:dyDescent="0.25">
      <c r="A409" s="21"/>
      <c r="B409" s="21"/>
      <c r="C409" s="21"/>
      <c r="E409" s="21"/>
      <c r="F409" s="21"/>
      <c r="G409" s="14"/>
      <c r="H409" s="14"/>
      <c r="I409" s="14"/>
      <c r="J409" s="14"/>
      <c r="K409" s="14"/>
      <c r="L409" s="14"/>
      <c r="M409" s="14"/>
      <c r="N409" s="14"/>
      <c r="O409" s="14"/>
      <c r="P409" s="14"/>
      <c r="Q409" s="14"/>
      <c r="R409" s="14"/>
      <c r="S409" s="14"/>
      <c r="T409" s="14"/>
      <c r="U409" s="14"/>
      <c r="V409" s="14"/>
      <c r="W409" s="14"/>
      <c r="X409" s="14"/>
      <c r="Y409" s="14"/>
    </row>
    <row r="410" spans="1:25" ht="15.75" x14ac:dyDescent="0.25">
      <c r="A410" s="21"/>
      <c r="B410" s="21"/>
      <c r="C410" s="21"/>
      <c r="E410" s="21"/>
      <c r="F410" s="21"/>
      <c r="G410" s="14"/>
      <c r="H410" s="14"/>
      <c r="I410" s="14"/>
      <c r="J410" s="14"/>
      <c r="K410" s="14"/>
      <c r="L410" s="14"/>
      <c r="M410" s="14"/>
      <c r="N410" s="14"/>
      <c r="O410" s="14"/>
      <c r="P410" s="14"/>
      <c r="Q410" s="14"/>
      <c r="R410" s="14"/>
      <c r="S410" s="14"/>
      <c r="T410" s="14"/>
      <c r="U410" s="14"/>
      <c r="V410" s="14"/>
      <c r="W410" s="14"/>
      <c r="X410" s="14"/>
      <c r="Y410" s="14"/>
    </row>
    <row r="411" spans="1:25" ht="15.75" x14ac:dyDescent="0.25">
      <c r="A411" s="21"/>
      <c r="B411" s="21"/>
      <c r="C411" s="21"/>
      <c r="E411" s="21"/>
      <c r="F411" s="21"/>
      <c r="G411" s="14"/>
      <c r="H411" s="14"/>
      <c r="I411" s="14"/>
      <c r="J411" s="14"/>
      <c r="K411" s="14"/>
      <c r="L411" s="14"/>
      <c r="M411" s="14"/>
      <c r="N411" s="14"/>
      <c r="O411" s="14"/>
      <c r="P411" s="14"/>
      <c r="Q411" s="14"/>
      <c r="R411" s="14"/>
      <c r="S411" s="14"/>
      <c r="T411" s="14"/>
      <c r="U411" s="14"/>
      <c r="V411" s="14"/>
      <c r="W411" s="14"/>
      <c r="X411" s="14"/>
      <c r="Y411" s="14"/>
    </row>
    <row r="412" spans="1:25" ht="15.75" x14ac:dyDescent="0.25">
      <c r="A412" s="21"/>
      <c r="B412" s="21"/>
      <c r="C412" s="21"/>
      <c r="E412" s="21"/>
      <c r="F412" s="21"/>
      <c r="G412" s="14"/>
      <c r="H412" s="14"/>
      <c r="I412" s="14"/>
      <c r="J412" s="14"/>
      <c r="K412" s="14"/>
      <c r="L412" s="14"/>
      <c r="M412" s="14"/>
      <c r="N412" s="14"/>
      <c r="O412" s="14"/>
      <c r="P412" s="14"/>
      <c r="Q412" s="14"/>
      <c r="R412" s="14"/>
      <c r="S412" s="14"/>
      <c r="T412" s="14"/>
      <c r="U412" s="14"/>
      <c r="V412" s="14"/>
      <c r="W412" s="14"/>
      <c r="X412" s="14"/>
      <c r="Y412" s="14"/>
    </row>
    <row r="413" spans="1:25" ht="15.75" x14ac:dyDescent="0.25">
      <c r="A413" s="21"/>
      <c r="B413" s="21"/>
      <c r="C413" s="21"/>
      <c r="E413" s="21"/>
      <c r="F413" s="21"/>
      <c r="G413" s="14"/>
      <c r="H413" s="14"/>
      <c r="I413" s="14"/>
      <c r="J413" s="14"/>
      <c r="K413" s="14"/>
      <c r="L413" s="14"/>
      <c r="M413" s="14"/>
      <c r="N413" s="14"/>
      <c r="O413" s="14"/>
      <c r="P413" s="14"/>
      <c r="Q413" s="14"/>
      <c r="R413" s="14"/>
      <c r="S413" s="14"/>
      <c r="T413" s="14"/>
      <c r="U413" s="14"/>
      <c r="V413" s="14"/>
      <c r="W413" s="14"/>
      <c r="X413" s="14"/>
      <c r="Y413" s="14"/>
    </row>
    <row r="414" spans="1:25" ht="15.75" x14ac:dyDescent="0.25">
      <c r="A414" s="21"/>
      <c r="B414" s="21"/>
      <c r="C414" s="21"/>
      <c r="E414" s="21"/>
      <c r="F414" s="21"/>
      <c r="G414" s="14"/>
      <c r="H414" s="14"/>
      <c r="I414" s="14"/>
      <c r="J414" s="14"/>
      <c r="K414" s="14"/>
      <c r="L414" s="14"/>
      <c r="M414" s="14"/>
      <c r="N414" s="14"/>
      <c r="O414" s="14"/>
      <c r="P414" s="14"/>
      <c r="Q414" s="14"/>
      <c r="R414" s="14"/>
      <c r="S414" s="14"/>
      <c r="T414" s="14"/>
      <c r="U414" s="14"/>
      <c r="V414" s="14"/>
      <c r="W414" s="14"/>
      <c r="X414" s="14"/>
      <c r="Y414" s="14"/>
    </row>
    <row r="415" spans="1:25" ht="15.75" x14ac:dyDescent="0.25">
      <c r="A415" s="21"/>
      <c r="B415" s="21"/>
      <c r="C415" s="21"/>
      <c r="E415" s="21"/>
      <c r="F415" s="21"/>
      <c r="G415" s="14"/>
      <c r="H415" s="14"/>
      <c r="I415" s="14"/>
      <c r="J415" s="14"/>
      <c r="K415" s="14"/>
      <c r="L415" s="14"/>
      <c r="M415" s="14"/>
      <c r="N415" s="14"/>
      <c r="O415" s="14"/>
      <c r="P415" s="14"/>
      <c r="Q415" s="14"/>
      <c r="R415" s="14"/>
      <c r="S415" s="14"/>
      <c r="T415" s="14"/>
      <c r="U415" s="14"/>
      <c r="V415" s="14"/>
      <c r="W415" s="14"/>
      <c r="X415" s="14"/>
      <c r="Y415" s="14"/>
    </row>
    <row r="416" spans="1:25" ht="15.75" x14ac:dyDescent="0.25">
      <c r="A416" s="21"/>
      <c r="B416" s="21"/>
      <c r="C416" s="21"/>
      <c r="E416" s="21"/>
      <c r="F416" s="21"/>
      <c r="G416" s="14"/>
      <c r="H416" s="14"/>
      <c r="I416" s="14"/>
      <c r="J416" s="14"/>
      <c r="K416" s="14"/>
      <c r="L416" s="14"/>
      <c r="M416" s="14"/>
      <c r="N416" s="14"/>
      <c r="O416" s="14"/>
      <c r="P416" s="14"/>
      <c r="Q416" s="14"/>
      <c r="R416" s="14"/>
      <c r="S416" s="14"/>
      <c r="T416" s="14"/>
      <c r="U416" s="14"/>
      <c r="V416" s="14"/>
      <c r="W416" s="14"/>
      <c r="X416" s="14"/>
      <c r="Y416" s="14"/>
    </row>
    <row r="417" spans="1:25" ht="15.75" x14ac:dyDescent="0.25">
      <c r="A417" s="21"/>
      <c r="B417" s="21"/>
      <c r="C417" s="21"/>
      <c r="E417" s="21"/>
      <c r="F417" s="21"/>
      <c r="G417" s="14"/>
      <c r="H417" s="14"/>
      <c r="I417" s="14"/>
      <c r="J417" s="14"/>
      <c r="K417" s="14"/>
      <c r="L417" s="14"/>
      <c r="M417" s="14"/>
      <c r="N417" s="14"/>
      <c r="O417" s="14"/>
      <c r="P417" s="14"/>
      <c r="Q417" s="14"/>
      <c r="R417" s="14"/>
      <c r="S417" s="14"/>
      <c r="T417" s="14"/>
      <c r="U417" s="14"/>
      <c r="V417" s="14"/>
      <c r="W417" s="14"/>
      <c r="X417" s="14"/>
      <c r="Y417" s="14"/>
    </row>
    <row r="418" spans="1:25" ht="15.75" x14ac:dyDescent="0.25">
      <c r="A418" s="21"/>
      <c r="B418" s="21"/>
      <c r="C418" s="21"/>
      <c r="E418" s="21"/>
      <c r="F418" s="21"/>
      <c r="G418" s="14"/>
      <c r="H418" s="14"/>
      <c r="I418" s="14"/>
      <c r="J418" s="14"/>
      <c r="K418" s="14"/>
      <c r="L418" s="14"/>
      <c r="M418" s="14"/>
      <c r="N418" s="14"/>
      <c r="O418" s="14"/>
      <c r="P418" s="14"/>
      <c r="Q418" s="14"/>
      <c r="R418" s="14"/>
      <c r="S418" s="14"/>
      <c r="T418" s="14"/>
      <c r="U418" s="14"/>
      <c r="V418" s="14"/>
      <c r="W418" s="14"/>
      <c r="X418" s="14"/>
      <c r="Y418" s="14"/>
    </row>
    <row r="419" spans="1:25" ht="15.75" x14ac:dyDescent="0.25">
      <c r="A419" s="21"/>
      <c r="B419" s="21"/>
      <c r="C419" s="21"/>
      <c r="E419" s="21"/>
      <c r="F419" s="21"/>
      <c r="G419" s="14"/>
      <c r="H419" s="14"/>
      <c r="I419" s="14"/>
      <c r="J419" s="14"/>
      <c r="K419" s="14"/>
      <c r="L419" s="14"/>
      <c r="M419" s="14"/>
      <c r="N419" s="14"/>
      <c r="O419" s="14"/>
      <c r="P419" s="14"/>
      <c r="Q419" s="14"/>
      <c r="R419" s="14"/>
      <c r="S419" s="14"/>
      <c r="T419" s="14"/>
      <c r="U419" s="14"/>
      <c r="V419" s="14"/>
      <c r="W419" s="14"/>
      <c r="X419" s="14"/>
      <c r="Y419" s="14"/>
    </row>
    <row r="420" spans="1:25" ht="15.75" x14ac:dyDescent="0.25">
      <c r="A420" s="21"/>
      <c r="B420" s="21"/>
      <c r="C420" s="21"/>
      <c r="E420" s="21"/>
      <c r="F420" s="21"/>
      <c r="G420" s="14"/>
      <c r="H420" s="14"/>
      <c r="I420" s="14"/>
      <c r="J420" s="14"/>
      <c r="K420" s="14"/>
      <c r="L420" s="14"/>
      <c r="M420" s="14"/>
      <c r="N420" s="14"/>
      <c r="O420" s="14"/>
      <c r="P420" s="14"/>
      <c r="Q420" s="14"/>
      <c r="R420" s="14"/>
      <c r="S420" s="14"/>
      <c r="T420" s="14"/>
      <c r="U420" s="14"/>
      <c r="V420" s="14"/>
      <c r="W420" s="14"/>
      <c r="X420" s="14"/>
      <c r="Y420" s="14"/>
    </row>
    <row r="421" spans="1:25" ht="15.75" x14ac:dyDescent="0.25">
      <c r="A421" s="21"/>
      <c r="B421" s="21"/>
      <c r="C421" s="21"/>
      <c r="E421" s="21"/>
      <c r="F421" s="21"/>
      <c r="G421" s="14"/>
      <c r="H421" s="14"/>
      <c r="I421" s="14"/>
      <c r="J421" s="14"/>
      <c r="K421" s="14"/>
      <c r="L421" s="14"/>
      <c r="M421" s="14"/>
      <c r="N421" s="14"/>
      <c r="O421" s="14"/>
      <c r="P421" s="14"/>
      <c r="Q421" s="14"/>
      <c r="R421" s="14"/>
      <c r="S421" s="14"/>
      <c r="T421" s="14"/>
      <c r="U421" s="14"/>
      <c r="V421" s="14"/>
      <c r="W421" s="14"/>
      <c r="X421" s="14"/>
      <c r="Y421" s="14"/>
    </row>
    <row r="422" spans="1:25" ht="15.75" x14ac:dyDescent="0.25">
      <c r="A422" s="21"/>
      <c r="B422" s="21"/>
      <c r="C422" s="21"/>
      <c r="E422" s="21"/>
      <c r="F422" s="21"/>
      <c r="G422" s="14"/>
      <c r="H422" s="14"/>
      <c r="I422" s="14"/>
      <c r="J422" s="14"/>
      <c r="K422" s="14"/>
      <c r="L422" s="14"/>
      <c r="M422" s="14"/>
      <c r="N422" s="14"/>
      <c r="O422" s="14"/>
      <c r="P422" s="14"/>
      <c r="Q422" s="14"/>
      <c r="R422" s="14"/>
      <c r="S422" s="14"/>
      <c r="T422" s="14"/>
      <c r="U422" s="14"/>
      <c r="V422" s="14"/>
      <c r="W422" s="14"/>
      <c r="X422" s="14"/>
      <c r="Y422" s="14"/>
    </row>
    <row r="423" spans="1:25" ht="15.75" x14ac:dyDescent="0.25">
      <c r="A423" s="21"/>
      <c r="B423" s="21"/>
      <c r="C423" s="21"/>
      <c r="E423" s="21"/>
      <c r="F423" s="21"/>
      <c r="G423" s="14"/>
      <c r="H423" s="14"/>
      <c r="I423" s="14"/>
      <c r="J423" s="14"/>
      <c r="K423" s="14"/>
      <c r="L423" s="14"/>
      <c r="M423" s="14"/>
      <c r="N423" s="14"/>
      <c r="O423" s="14"/>
      <c r="P423" s="14"/>
      <c r="Q423" s="14"/>
      <c r="R423" s="14"/>
      <c r="S423" s="14"/>
      <c r="T423" s="14"/>
      <c r="U423" s="14"/>
      <c r="V423" s="14"/>
      <c r="W423" s="14"/>
      <c r="X423" s="14"/>
      <c r="Y423" s="14"/>
    </row>
    <row r="424" spans="1:25" ht="15.75" x14ac:dyDescent="0.25">
      <c r="A424" s="21"/>
      <c r="B424" s="21"/>
      <c r="C424" s="21"/>
      <c r="E424" s="21"/>
      <c r="F424" s="21"/>
      <c r="G424" s="14"/>
      <c r="H424" s="14"/>
      <c r="I424" s="14"/>
      <c r="J424" s="14"/>
      <c r="K424" s="14"/>
      <c r="L424" s="14"/>
      <c r="M424" s="14"/>
      <c r="N424" s="14"/>
      <c r="O424" s="14"/>
      <c r="P424" s="14"/>
      <c r="Q424" s="14"/>
      <c r="R424" s="14"/>
      <c r="S424" s="14"/>
      <c r="T424" s="14"/>
      <c r="U424" s="14"/>
      <c r="V424" s="14"/>
      <c r="W424" s="14"/>
      <c r="X424" s="14"/>
      <c r="Y424" s="14"/>
    </row>
    <row r="425" spans="1:25" ht="15.75" x14ac:dyDescent="0.25">
      <c r="A425" s="21"/>
      <c r="B425" s="21"/>
      <c r="C425" s="21"/>
      <c r="E425" s="21"/>
      <c r="F425" s="21"/>
      <c r="G425" s="14"/>
      <c r="H425" s="14"/>
      <c r="I425" s="14"/>
      <c r="J425" s="14"/>
      <c r="K425" s="14"/>
      <c r="L425" s="14"/>
      <c r="M425" s="14"/>
      <c r="N425" s="14"/>
      <c r="O425" s="14"/>
      <c r="P425" s="14"/>
      <c r="Q425" s="14"/>
      <c r="R425" s="14"/>
      <c r="S425" s="14"/>
      <c r="T425" s="14"/>
      <c r="U425" s="14"/>
      <c r="V425" s="14"/>
      <c r="W425" s="14"/>
      <c r="X425" s="14"/>
      <c r="Y425" s="14"/>
    </row>
    <row r="426" spans="1:25" ht="15.75" x14ac:dyDescent="0.25">
      <c r="A426" s="21"/>
      <c r="B426" s="21"/>
      <c r="C426" s="21"/>
      <c r="E426" s="21"/>
      <c r="F426" s="21"/>
      <c r="G426" s="14"/>
      <c r="H426" s="14"/>
      <c r="I426" s="14"/>
      <c r="J426" s="14"/>
      <c r="K426" s="14"/>
      <c r="L426" s="14"/>
      <c r="M426" s="14"/>
      <c r="N426" s="14"/>
      <c r="O426" s="14"/>
      <c r="P426" s="14"/>
      <c r="Q426" s="14"/>
      <c r="R426" s="14"/>
      <c r="S426" s="14"/>
      <c r="T426" s="14"/>
      <c r="U426" s="14"/>
      <c r="V426" s="14"/>
      <c r="W426" s="14"/>
      <c r="X426" s="14"/>
      <c r="Y426" s="14"/>
    </row>
    <row r="427" spans="1:25" ht="15.75" x14ac:dyDescent="0.25">
      <c r="A427" s="21"/>
      <c r="B427" s="21"/>
      <c r="C427" s="21"/>
      <c r="E427" s="21"/>
      <c r="F427" s="21"/>
      <c r="G427" s="14"/>
      <c r="H427" s="14"/>
      <c r="I427" s="14"/>
      <c r="J427" s="14"/>
      <c r="K427" s="14"/>
      <c r="L427" s="14"/>
      <c r="M427" s="14"/>
      <c r="N427" s="14"/>
      <c r="O427" s="14"/>
      <c r="P427" s="14"/>
      <c r="Q427" s="14"/>
      <c r="R427" s="14"/>
      <c r="S427" s="14"/>
      <c r="T427" s="14"/>
      <c r="U427" s="14"/>
      <c r="V427" s="14"/>
      <c r="W427" s="14"/>
      <c r="X427" s="14"/>
      <c r="Y427" s="14"/>
    </row>
    <row r="428" spans="1:25" ht="15.75" x14ac:dyDescent="0.25">
      <c r="A428" s="21"/>
      <c r="B428" s="21"/>
      <c r="C428" s="21"/>
      <c r="E428" s="21"/>
      <c r="F428" s="21"/>
      <c r="G428" s="14"/>
      <c r="H428" s="14"/>
      <c r="I428" s="14"/>
      <c r="J428" s="14"/>
      <c r="K428" s="14"/>
      <c r="L428" s="14"/>
      <c r="M428" s="14"/>
      <c r="N428" s="14"/>
      <c r="O428" s="14"/>
      <c r="P428" s="14"/>
      <c r="Q428" s="14"/>
      <c r="R428" s="14"/>
      <c r="S428" s="14"/>
      <c r="T428" s="14"/>
      <c r="U428" s="14"/>
      <c r="V428" s="14"/>
      <c r="W428" s="14"/>
      <c r="X428" s="14"/>
      <c r="Y428" s="14"/>
    </row>
    <row r="429" spans="1:25" ht="15.75" x14ac:dyDescent="0.25">
      <c r="A429" s="21"/>
      <c r="B429" s="21"/>
      <c r="C429" s="21"/>
      <c r="E429" s="21"/>
      <c r="F429" s="21"/>
      <c r="G429" s="14"/>
      <c r="H429" s="14"/>
      <c r="I429" s="14"/>
      <c r="J429" s="14"/>
      <c r="K429" s="14"/>
      <c r="L429" s="14"/>
      <c r="M429" s="14"/>
      <c r="N429" s="14"/>
      <c r="O429" s="14"/>
      <c r="P429" s="14"/>
      <c r="Q429" s="14"/>
      <c r="R429" s="14"/>
      <c r="S429" s="14"/>
      <c r="T429" s="14"/>
      <c r="U429" s="14"/>
      <c r="V429" s="14"/>
      <c r="W429" s="14"/>
      <c r="X429" s="14"/>
      <c r="Y429" s="14"/>
    </row>
    <row r="430" spans="1:25" ht="15.75" x14ac:dyDescent="0.25">
      <c r="A430" s="21"/>
      <c r="B430" s="21"/>
      <c r="C430" s="21"/>
      <c r="E430" s="21"/>
      <c r="F430" s="21"/>
      <c r="G430" s="14"/>
      <c r="H430" s="14"/>
      <c r="I430" s="14"/>
      <c r="J430" s="14"/>
      <c r="K430" s="14"/>
      <c r="L430" s="14"/>
      <c r="M430" s="14"/>
      <c r="N430" s="14"/>
      <c r="O430" s="14"/>
      <c r="P430" s="14"/>
      <c r="Q430" s="14"/>
      <c r="R430" s="14"/>
      <c r="S430" s="14"/>
      <c r="T430" s="14"/>
      <c r="U430" s="14"/>
      <c r="V430" s="14"/>
      <c r="W430" s="14"/>
      <c r="X430" s="14"/>
      <c r="Y430" s="14"/>
    </row>
    <row r="431" spans="1:25" ht="15.75" x14ac:dyDescent="0.25">
      <c r="A431" s="21"/>
      <c r="B431" s="21"/>
      <c r="C431" s="21"/>
      <c r="E431" s="21"/>
      <c r="F431" s="21"/>
      <c r="G431" s="14"/>
      <c r="H431" s="14"/>
      <c r="I431" s="14"/>
      <c r="J431" s="14"/>
      <c r="K431" s="14"/>
      <c r="L431" s="14"/>
      <c r="M431" s="14"/>
      <c r="N431" s="14"/>
      <c r="O431" s="14"/>
      <c r="P431" s="14"/>
      <c r="Q431" s="14"/>
      <c r="R431" s="14"/>
      <c r="S431" s="14"/>
      <c r="T431" s="14"/>
      <c r="U431" s="14"/>
      <c r="V431" s="14"/>
      <c r="W431" s="14"/>
      <c r="X431" s="14"/>
      <c r="Y431" s="14"/>
    </row>
    <row r="432" spans="1:25" ht="15.75" x14ac:dyDescent="0.25">
      <c r="A432" s="21"/>
      <c r="B432" s="21"/>
      <c r="C432" s="21"/>
      <c r="E432" s="21"/>
      <c r="F432" s="21"/>
      <c r="G432" s="14"/>
      <c r="H432" s="14"/>
      <c r="I432" s="14"/>
      <c r="J432" s="14"/>
      <c r="K432" s="14"/>
      <c r="L432" s="14"/>
      <c r="M432" s="14"/>
      <c r="N432" s="14"/>
      <c r="O432" s="14"/>
      <c r="P432" s="14"/>
      <c r="Q432" s="14"/>
      <c r="R432" s="14"/>
      <c r="S432" s="14"/>
      <c r="T432" s="14"/>
      <c r="U432" s="14"/>
      <c r="V432" s="14"/>
      <c r="W432" s="14"/>
      <c r="X432" s="14"/>
      <c r="Y432" s="14"/>
    </row>
    <row r="433" spans="1:25" ht="15.75" x14ac:dyDescent="0.25">
      <c r="A433" s="21"/>
      <c r="B433" s="21"/>
      <c r="C433" s="21"/>
      <c r="E433" s="21"/>
      <c r="F433" s="21"/>
      <c r="G433" s="14"/>
      <c r="H433" s="14"/>
      <c r="I433" s="14"/>
      <c r="J433" s="14"/>
      <c r="K433" s="14"/>
      <c r="L433" s="14"/>
      <c r="M433" s="14"/>
      <c r="N433" s="14"/>
      <c r="O433" s="14"/>
      <c r="P433" s="14"/>
      <c r="Q433" s="14"/>
      <c r="R433" s="14"/>
      <c r="S433" s="14"/>
      <c r="T433" s="14"/>
      <c r="U433" s="14"/>
      <c r="V433" s="14"/>
      <c r="W433" s="14"/>
      <c r="X433" s="14"/>
      <c r="Y433" s="14"/>
    </row>
    <row r="434" spans="1:25" ht="15.75" x14ac:dyDescent="0.25">
      <c r="A434" s="21"/>
      <c r="B434" s="21"/>
      <c r="C434" s="21"/>
      <c r="E434" s="21"/>
      <c r="F434" s="21"/>
      <c r="G434" s="14"/>
      <c r="H434" s="14"/>
      <c r="I434" s="14"/>
      <c r="J434" s="14"/>
      <c r="K434" s="14"/>
      <c r="L434" s="14"/>
      <c r="M434" s="14"/>
      <c r="N434" s="14"/>
      <c r="O434" s="14"/>
      <c r="P434" s="14"/>
      <c r="Q434" s="14"/>
      <c r="R434" s="14"/>
      <c r="S434" s="14"/>
      <c r="T434" s="14"/>
      <c r="U434" s="14"/>
      <c r="V434" s="14"/>
      <c r="W434" s="14"/>
      <c r="X434" s="14"/>
      <c r="Y434" s="14"/>
    </row>
    <row r="435" spans="1:25" ht="15.75" x14ac:dyDescent="0.25">
      <c r="A435" s="21"/>
      <c r="B435" s="21"/>
      <c r="C435" s="21"/>
      <c r="E435" s="21"/>
      <c r="F435" s="21"/>
      <c r="G435" s="14"/>
      <c r="H435" s="14"/>
      <c r="I435" s="14"/>
      <c r="J435" s="14"/>
      <c r="K435" s="14"/>
      <c r="L435" s="14"/>
      <c r="M435" s="14"/>
      <c r="N435" s="14"/>
      <c r="O435" s="14"/>
      <c r="P435" s="14"/>
      <c r="Q435" s="14"/>
      <c r="R435" s="14"/>
      <c r="S435" s="14"/>
      <c r="T435" s="14"/>
      <c r="U435" s="14"/>
      <c r="V435" s="14"/>
      <c r="W435" s="14"/>
      <c r="X435" s="14"/>
      <c r="Y435" s="14"/>
    </row>
    <row r="436" spans="1:25" ht="15.75" x14ac:dyDescent="0.25">
      <c r="A436" s="21"/>
      <c r="B436" s="21"/>
      <c r="C436" s="21"/>
      <c r="E436" s="21"/>
      <c r="F436" s="21"/>
      <c r="G436" s="14"/>
      <c r="H436" s="14"/>
      <c r="I436" s="14"/>
      <c r="J436" s="14"/>
      <c r="K436" s="14"/>
      <c r="L436" s="14"/>
      <c r="M436" s="14"/>
      <c r="N436" s="14"/>
      <c r="O436" s="14"/>
      <c r="P436" s="14"/>
      <c r="Q436" s="14"/>
      <c r="R436" s="14"/>
      <c r="S436" s="14"/>
      <c r="T436" s="14"/>
      <c r="U436" s="14"/>
      <c r="V436" s="14"/>
      <c r="W436" s="14"/>
      <c r="X436" s="14"/>
      <c r="Y436" s="14"/>
    </row>
    <row r="437" spans="1:25" ht="15.75" x14ac:dyDescent="0.25">
      <c r="A437" s="21"/>
      <c r="B437" s="21"/>
      <c r="C437" s="21"/>
      <c r="E437" s="21"/>
      <c r="F437" s="21"/>
      <c r="G437" s="14"/>
      <c r="H437" s="14"/>
      <c r="I437" s="14"/>
      <c r="J437" s="14"/>
      <c r="K437" s="14"/>
      <c r="L437" s="14"/>
      <c r="M437" s="14"/>
      <c r="N437" s="14"/>
      <c r="O437" s="14"/>
      <c r="P437" s="14"/>
      <c r="Q437" s="14"/>
      <c r="R437" s="14"/>
      <c r="S437" s="14"/>
      <c r="T437" s="14"/>
      <c r="U437" s="14"/>
      <c r="V437" s="14"/>
      <c r="W437" s="14"/>
      <c r="X437" s="14"/>
      <c r="Y437" s="14"/>
    </row>
    <row r="438" spans="1:25" ht="15.75" x14ac:dyDescent="0.25">
      <c r="A438" s="21"/>
      <c r="B438" s="21"/>
      <c r="C438" s="21"/>
      <c r="E438" s="21"/>
      <c r="F438" s="21"/>
      <c r="G438" s="14"/>
      <c r="H438" s="14"/>
      <c r="I438" s="14"/>
      <c r="J438" s="14"/>
      <c r="K438" s="14"/>
      <c r="L438" s="14"/>
      <c r="M438" s="14"/>
      <c r="N438" s="14"/>
      <c r="O438" s="14"/>
      <c r="P438" s="14"/>
      <c r="Q438" s="14"/>
      <c r="R438" s="14"/>
      <c r="S438" s="14"/>
      <c r="T438" s="14"/>
      <c r="U438" s="14"/>
      <c r="V438" s="14"/>
      <c r="W438" s="14"/>
      <c r="X438" s="14"/>
      <c r="Y438" s="14"/>
    </row>
    <row r="439" spans="1:25" ht="15.75" x14ac:dyDescent="0.25">
      <c r="A439" s="21"/>
      <c r="B439" s="21"/>
      <c r="C439" s="21"/>
      <c r="E439" s="21"/>
      <c r="F439" s="21"/>
      <c r="G439" s="14"/>
      <c r="H439" s="14"/>
      <c r="I439" s="14"/>
      <c r="J439" s="14"/>
      <c r="K439" s="14"/>
      <c r="L439" s="14"/>
      <c r="M439" s="14"/>
      <c r="N439" s="14"/>
      <c r="O439" s="14"/>
      <c r="P439" s="14"/>
      <c r="Q439" s="14"/>
      <c r="R439" s="14"/>
      <c r="S439" s="14"/>
      <c r="T439" s="14"/>
      <c r="U439" s="14"/>
      <c r="V439" s="14"/>
      <c r="W439" s="14"/>
      <c r="X439" s="14"/>
      <c r="Y439" s="14"/>
    </row>
    <row r="440" spans="1:25" ht="15.75" x14ac:dyDescent="0.25">
      <c r="A440" s="21"/>
      <c r="B440" s="21"/>
      <c r="C440" s="21"/>
      <c r="E440" s="21"/>
      <c r="F440" s="21"/>
      <c r="G440" s="14"/>
      <c r="H440" s="14"/>
      <c r="I440" s="14"/>
      <c r="J440" s="14"/>
      <c r="K440" s="14"/>
      <c r="L440" s="14"/>
      <c r="M440" s="14"/>
      <c r="N440" s="14"/>
      <c r="O440" s="14"/>
      <c r="P440" s="14"/>
      <c r="Q440" s="14"/>
      <c r="R440" s="14"/>
      <c r="S440" s="14"/>
      <c r="T440" s="14"/>
      <c r="U440" s="14"/>
      <c r="V440" s="14"/>
      <c r="W440" s="14"/>
      <c r="X440" s="14"/>
      <c r="Y440" s="14"/>
    </row>
    <row r="441" spans="1:25" ht="15.75" x14ac:dyDescent="0.25">
      <c r="A441" s="21"/>
      <c r="B441" s="21"/>
      <c r="C441" s="21"/>
      <c r="E441" s="21"/>
      <c r="F441" s="21"/>
      <c r="G441" s="14"/>
      <c r="H441" s="14"/>
      <c r="I441" s="14"/>
      <c r="J441" s="14"/>
      <c r="K441" s="14"/>
      <c r="L441" s="14"/>
      <c r="M441" s="14"/>
      <c r="N441" s="14"/>
      <c r="O441" s="14"/>
      <c r="P441" s="14"/>
      <c r="Q441" s="14"/>
      <c r="R441" s="14"/>
      <c r="S441" s="14"/>
      <c r="T441" s="14"/>
      <c r="U441" s="14"/>
      <c r="V441" s="14"/>
      <c r="W441" s="14"/>
      <c r="X441" s="14"/>
      <c r="Y441" s="14"/>
    </row>
    <row r="442" spans="1:25" ht="15.75" x14ac:dyDescent="0.25">
      <c r="A442" s="21"/>
      <c r="B442" s="21"/>
      <c r="C442" s="21"/>
      <c r="E442" s="21"/>
      <c r="F442" s="21"/>
      <c r="G442" s="14"/>
      <c r="H442" s="14"/>
      <c r="I442" s="14"/>
      <c r="J442" s="14"/>
      <c r="K442" s="14"/>
      <c r="L442" s="14"/>
      <c r="M442" s="14"/>
      <c r="N442" s="14"/>
      <c r="O442" s="14"/>
      <c r="P442" s="14"/>
      <c r="Q442" s="14"/>
      <c r="R442" s="14"/>
      <c r="S442" s="14"/>
      <c r="T442" s="14"/>
      <c r="U442" s="14"/>
      <c r="V442" s="14"/>
      <c r="W442" s="14"/>
      <c r="X442" s="14"/>
      <c r="Y442" s="14"/>
    </row>
    <row r="443" spans="1:25" ht="15.75" x14ac:dyDescent="0.25">
      <c r="A443" s="21"/>
      <c r="B443" s="21"/>
      <c r="C443" s="21"/>
      <c r="E443" s="21"/>
      <c r="F443" s="21"/>
      <c r="G443" s="14"/>
      <c r="H443" s="14"/>
      <c r="I443" s="14"/>
      <c r="J443" s="14"/>
      <c r="K443" s="14"/>
      <c r="L443" s="14"/>
      <c r="M443" s="14"/>
      <c r="N443" s="14"/>
      <c r="O443" s="14"/>
      <c r="P443" s="14"/>
      <c r="Q443" s="14"/>
      <c r="R443" s="14"/>
      <c r="S443" s="14"/>
      <c r="T443" s="14"/>
      <c r="U443" s="14"/>
      <c r="V443" s="14"/>
      <c r="W443" s="14"/>
      <c r="X443" s="14"/>
      <c r="Y443" s="14"/>
    </row>
    <row r="444" spans="1:25" ht="15.75" x14ac:dyDescent="0.25">
      <c r="A444" s="21"/>
      <c r="B444" s="21"/>
      <c r="C444" s="21"/>
      <c r="E444" s="21"/>
      <c r="F444" s="21"/>
      <c r="G444" s="14"/>
      <c r="H444" s="14"/>
      <c r="I444" s="14"/>
      <c r="J444" s="14"/>
      <c r="K444" s="14"/>
      <c r="L444" s="14"/>
      <c r="M444" s="14"/>
      <c r="N444" s="14"/>
      <c r="O444" s="14"/>
      <c r="P444" s="14"/>
      <c r="Q444" s="14"/>
      <c r="R444" s="14"/>
      <c r="S444" s="14"/>
      <c r="T444" s="14"/>
      <c r="U444" s="14"/>
      <c r="V444" s="14"/>
      <c r="W444" s="14"/>
      <c r="X444" s="14"/>
      <c r="Y444" s="14"/>
    </row>
    <row r="445" spans="1:25" ht="15.75" x14ac:dyDescent="0.25">
      <c r="A445" s="21"/>
      <c r="B445" s="21"/>
      <c r="C445" s="21"/>
      <c r="E445" s="21"/>
      <c r="F445" s="21"/>
      <c r="G445" s="14"/>
      <c r="H445" s="14"/>
      <c r="I445" s="14"/>
      <c r="J445" s="14"/>
      <c r="K445" s="14"/>
      <c r="L445" s="14"/>
      <c r="M445" s="14"/>
      <c r="N445" s="14"/>
      <c r="O445" s="14"/>
      <c r="P445" s="14"/>
      <c r="Q445" s="14"/>
      <c r="R445" s="14"/>
      <c r="S445" s="14"/>
      <c r="T445" s="14"/>
      <c r="U445" s="14"/>
      <c r="V445" s="14"/>
      <c r="W445" s="14"/>
      <c r="X445" s="14"/>
      <c r="Y445" s="14"/>
    </row>
    <row r="446" spans="1:25" ht="15.75" x14ac:dyDescent="0.25">
      <c r="A446" s="21"/>
      <c r="B446" s="21"/>
      <c r="C446" s="21"/>
      <c r="E446" s="21"/>
      <c r="F446" s="21"/>
      <c r="G446" s="14"/>
      <c r="H446" s="14"/>
      <c r="I446" s="14"/>
      <c r="J446" s="14"/>
      <c r="K446" s="14"/>
      <c r="L446" s="14"/>
      <c r="M446" s="14"/>
      <c r="N446" s="14"/>
      <c r="O446" s="14"/>
      <c r="P446" s="14"/>
      <c r="Q446" s="14"/>
      <c r="R446" s="14"/>
      <c r="S446" s="14"/>
      <c r="T446" s="14"/>
      <c r="U446" s="14"/>
      <c r="V446" s="14"/>
      <c r="W446" s="14"/>
      <c r="X446" s="14"/>
      <c r="Y446" s="14"/>
    </row>
    <row r="447" spans="1:25" ht="15.75" x14ac:dyDescent="0.25">
      <c r="A447" s="21"/>
      <c r="B447" s="21"/>
      <c r="C447" s="21"/>
      <c r="E447" s="21"/>
      <c r="F447" s="21"/>
      <c r="G447" s="14"/>
      <c r="H447" s="14"/>
      <c r="I447" s="14"/>
      <c r="J447" s="14"/>
      <c r="K447" s="14"/>
      <c r="L447" s="14"/>
      <c r="M447" s="14"/>
      <c r="N447" s="14"/>
      <c r="O447" s="14"/>
      <c r="P447" s="14"/>
      <c r="Q447" s="14"/>
      <c r="R447" s="14"/>
      <c r="S447" s="14"/>
      <c r="T447" s="14"/>
      <c r="U447" s="14"/>
      <c r="V447" s="14"/>
      <c r="W447" s="14"/>
      <c r="X447" s="14"/>
      <c r="Y447" s="14"/>
    </row>
    <row r="448" spans="1:25" ht="15.75" x14ac:dyDescent="0.25">
      <c r="A448" s="21"/>
      <c r="B448" s="21"/>
      <c r="C448" s="21"/>
      <c r="E448" s="21"/>
      <c r="F448" s="21"/>
      <c r="G448" s="14"/>
      <c r="H448" s="14"/>
      <c r="I448" s="14"/>
      <c r="J448" s="14"/>
      <c r="K448" s="14"/>
      <c r="L448" s="14"/>
      <c r="M448" s="14"/>
      <c r="N448" s="14"/>
      <c r="O448" s="14"/>
      <c r="P448" s="14"/>
      <c r="Q448" s="14"/>
      <c r="R448" s="14"/>
      <c r="S448" s="14"/>
      <c r="T448" s="14"/>
      <c r="U448" s="14"/>
      <c r="V448" s="14"/>
      <c r="W448" s="14"/>
      <c r="X448" s="14"/>
      <c r="Y448" s="14"/>
    </row>
    <row r="449" spans="1:25" ht="15.75" x14ac:dyDescent="0.25">
      <c r="A449" s="21"/>
      <c r="B449" s="21"/>
      <c r="C449" s="21"/>
      <c r="E449" s="21"/>
      <c r="F449" s="21"/>
      <c r="G449" s="14"/>
      <c r="H449" s="14"/>
      <c r="I449" s="14"/>
      <c r="J449" s="14"/>
      <c r="K449" s="14"/>
      <c r="L449" s="14"/>
      <c r="M449" s="14"/>
      <c r="N449" s="14"/>
      <c r="O449" s="14"/>
      <c r="P449" s="14"/>
      <c r="Q449" s="14"/>
      <c r="R449" s="14"/>
      <c r="S449" s="14"/>
      <c r="T449" s="14"/>
      <c r="U449" s="14"/>
      <c r="V449" s="14"/>
      <c r="W449" s="14"/>
      <c r="X449" s="14"/>
      <c r="Y449" s="14"/>
    </row>
    <row r="450" spans="1:25" ht="15.75" x14ac:dyDescent="0.25">
      <c r="A450" s="21"/>
      <c r="B450" s="21"/>
      <c r="C450" s="21"/>
      <c r="E450" s="21"/>
      <c r="F450" s="21"/>
      <c r="G450" s="14"/>
      <c r="H450" s="14"/>
      <c r="I450" s="14"/>
      <c r="J450" s="14"/>
      <c r="K450" s="14"/>
      <c r="L450" s="14"/>
      <c r="M450" s="14"/>
      <c r="N450" s="14"/>
      <c r="O450" s="14"/>
      <c r="P450" s="14"/>
      <c r="Q450" s="14"/>
      <c r="R450" s="14"/>
      <c r="S450" s="14"/>
      <c r="T450" s="14"/>
      <c r="U450" s="14"/>
      <c r="V450" s="14"/>
      <c r="W450" s="14"/>
      <c r="X450" s="14"/>
      <c r="Y450" s="14"/>
    </row>
    <row r="451" spans="1:25" ht="15.75" x14ac:dyDescent="0.25">
      <c r="A451" s="21"/>
      <c r="B451" s="21"/>
      <c r="C451" s="21"/>
      <c r="E451" s="21"/>
      <c r="F451" s="21"/>
      <c r="G451" s="14"/>
      <c r="H451" s="14"/>
      <c r="I451" s="14"/>
      <c r="J451" s="14"/>
      <c r="K451" s="14"/>
      <c r="L451" s="14"/>
      <c r="M451" s="14"/>
      <c r="N451" s="14"/>
      <c r="O451" s="14"/>
      <c r="P451" s="14"/>
      <c r="Q451" s="14"/>
      <c r="R451" s="14"/>
      <c r="S451" s="14"/>
      <c r="T451" s="14"/>
      <c r="U451" s="14"/>
      <c r="V451" s="14"/>
      <c r="W451" s="14"/>
      <c r="X451" s="14"/>
      <c r="Y451" s="14"/>
    </row>
    <row r="452" spans="1:25" ht="15.75" x14ac:dyDescent="0.25">
      <c r="A452" s="21"/>
      <c r="B452" s="21"/>
      <c r="C452" s="21"/>
      <c r="E452" s="21"/>
      <c r="F452" s="21"/>
      <c r="G452" s="14"/>
      <c r="H452" s="14"/>
      <c r="I452" s="14"/>
      <c r="J452" s="14"/>
      <c r="K452" s="14"/>
      <c r="L452" s="14"/>
      <c r="M452" s="14"/>
      <c r="N452" s="14"/>
      <c r="O452" s="14"/>
      <c r="P452" s="14"/>
      <c r="Q452" s="14"/>
      <c r="R452" s="14"/>
      <c r="S452" s="14"/>
      <c r="T452" s="14"/>
      <c r="U452" s="14"/>
      <c r="V452" s="14"/>
      <c r="W452" s="14"/>
      <c r="X452" s="14"/>
      <c r="Y452" s="14"/>
    </row>
    <row r="453" spans="1:25" ht="15.75" x14ac:dyDescent="0.25">
      <c r="A453" s="21"/>
      <c r="B453" s="21"/>
      <c r="C453" s="21"/>
      <c r="E453" s="21"/>
      <c r="F453" s="21"/>
      <c r="G453" s="14"/>
      <c r="H453" s="14"/>
      <c r="I453" s="14"/>
      <c r="J453" s="14"/>
      <c r="K453" s="14"/>
      <c r="L453" s="14"/>
      <c r="M453" s="14"/>
      <c r="N453" s="14"/>
      <c r="O453" s="14"/>
      <c r="P453" s="14"/>
      <c r="Q453" s="14"/>
      <c r="R453" s="14"/>
      <c r="S453" s="14"/>
      <c r="T453" s="14"/>
      <c r="U453" s="14"/>
      <c r="V453" s="14"/>
      <c r="W453" s="14"/>
      <c r="X453" s="14"/>
      <c r="Y453" s="14"/>
    </row>
    <row r="454" spans="1:25" ht="15.75" x14ac:dyDescent="0.25">
      <c r="A454" s="21"/>
      <c r="B454" s="21"/>
      <c r="C454" s="21"/>
      <c r="E454" s="21"/>
      <c r="F454" s="21"/>
      <c r="G454" s="14"/>
      <c r="H454" s="14"/>
      <c r="I454" s="14"/>
      <c r="J454" s="14"/>
      <c r="K454" s="14"/>
      <c r="L454" s="14"/>
      <c r="M454" s="14"/>
      <c r="N454" s="14"/>
      <c r="O454" s="14"/>
      <c r="P454" s="14"/>
      <c r="Q454" s="14"/>
      <c r="R454" s="14"/>
      <c r="S454" s="14"/>
      <c r="T454" s="14"/>
      <c r="U454" s="14"/>
      <c r="V454" s="14"/>
      <c r="W454" s="14"/>
      <c r="X454" s="14"/>
      <c r="Y454" s="14"/>
    </row>
    <row r="455" spans="1:25" ht="15.75" x14ac:dyDescent="0.25">
      <c r="A455" s="21"/>
      <c r="B455" s="21"/>
      <c r="C455" s="21"/>
      <c r="E455" s="21"/>
      <c r="F455" s="21"/>
      <c r="G455" s="14"/>
      <c r="H455" s="14"/>
      <c r="I455" s="14"/>
      <c r="J455" s="14"/>
      <c r="K455" s="14"/>
      <c r="L455" s="14"/>
      <c r="M455" s="14"/>
      <c r="N455" s="14"/>
      <c r="O455" s="14"/>
      <c r="P455" s="14"/>
      <c r="Q455" s="14"/>
      <c r="R455" s="14"/>
      <c r="S455" s="14"/>
      <c r="T455" s="14"/>
      <c r="U455" s="14"/>
      <c r="V455" s="14"/>
      <c r="W455" s="14"/>
      <c r="X455" s="14"/>
      <c r="Y455" s="14"/>
    </row>
    <row r="456" spans="1:25" ht="15.75" x14ac:dyDescent="0.25">
      <c r="A456" s="21"/>
      <c r="B456" s="21"/>
      <c r="C456" s="21"/>
      <c r="E456" s="21"/>
      <c r="F456" s="21"/>
      <c r="G456" s="14"/>
      <c r="H456" s="14"/>
      <c r="I456" s="14"/>
      <c r="J456" s="14"/>
      <c r="K456" s="14"/>
      <c r="L456" s="14"/>
      <c r="M456" s="14"/>
      <c r="N456" s="14"/>
      <c r="O456" s="14"/>
      <c r="P456" s="14"/>
      <c r="Q456" s="14"/>
      <c r="R456" s="14"/>
      <c r="S456" s="14"/>
      <c r="T456" s="14"/>
      <c r="U456" s="14"/>
      <c r="V456" s="14"/>
      <c r="W456" s="14"/>
      <c r="X456" s="14"/>
      <c r="Y456" s="14"/>
    </row>
    <row r="457" spans="1:25" ht="15.75" x14ac:dyDescent="0.25">
      <c r="A457" s="21"/>
      <c r="B457" s="21"/>
      <c r="C457" s="21"/>
      <c r="E457" s="21"/>
      <c r="F457" s="21"/>
      <c r="G457" s="14"/>
      <c r="H457" s="14"/>
      <c r="I457" s="14"/>
      <c r="J457" s="14"/>
      <c r="K457" s="14"/>
      <c r="L457" s="14"/>
      <c r="M457" s="14"/>
      <c r="N457" s="14"/>
      <c r="O457" s="14"/>
      <c r="P457" s="14"/>
      <c r="Q457" s="14"/>
      <c r="R457" s="14"/>
      <c r="S457" s="14"/>
      <c r="T457" s="14"/>
      <c r="U457" s="14"/>
      <c r="V457" s="14"/>
      <c r="W457" s="14"/>
      <c r="X457" s="14"/>
      <c r="Y457" s="14"/>
    </row>
    <row r="458" spans="1:25" ht="15.75" x14ac:dyDescent="0.25">
      <c r="A458" s="21"/>
      <c r="B458" s="21"/>
      <c r="C458" s="21"/>
      <c r="E458" s="21"/>
      <c r="F458" s="21"/>
      <c r="G458" s="14"/>
      <c r="H458" s="14"/>
      <c r="I458" s="14"/>
      <c r="J458" s="14"/>
      <c r="K458" s="14"/>
      <c r="L458" s="14"/>
      <c r="M458" s="14"/>
      <c r="N458" s="14"/>
      <c r="O458" s="14"/>
      <c r="P458" s="14"/>
      <c r="Q458" s="14"/>
      <c r="R458" s="14"/>
      <c r="S458" s="14"/>
      <c r="T458" s="14"/>
      <c r="U458" s="14"/>
      <c r="V458" s="14"/>
      <c r="W458" s="14"/>
      <c r="X458" s="14"/>
      <c r="Y458" s="14"/>
    </row>
    <row r="459" spans="1:25" ht="15.75" x14ac:dyDescent="0.25">
      <c r="A459" s="21"/>
      <c r="B459" s="21"/>
      <c r="C459" s="21"/>
      <c r="E459" s="21"/>
      <c r="F459" s="21"/>
      <c r="G459" s="14"/>
      <c r="H459" s="14"/>
      <c r="I459" s="14"/>
      <c r="J459" s="14"/>
      <c r="K459" s="14"/>
      <c r="L459" s="14"/>
      <c r="M459" s="14"/>
      <c r="N459" s="14"/>
      <c r="O459" s="14"/>
      <c r="P459" s="14"/>
      <c r="Q459" s="14"/>
      <c r="R459" s="14"/>
      <c r="S459" s="14"/>
      <c r="T459" s="14"/>
      <c r="U459" s="14"/>
      <c r="V459" s="14"/>
      <c r="W459" s="14"/>
      <c r="X459" s="14"/>
      <c r="Y459" s="14"/>
    </row>
    <row r="460" spans="1:25" ht="15.75" x14ac:dyDescent="0.25">
      <c r="A460" s="21"/>
      <c r="B460" s="21"/>
      <c r="C460" s="21"/>
      <c r="E460" s="21"/>
      <c r="F460" s="21"/>
      <c r="G460" s="14"/>
      <c r="H460" s="14"/>
      <c r="I460" s="14"/>
      <c r="J460" s="14"/>
      <c r="K460" s="14"/>
      <c r="L460" s="14"/>
      <c r="M460" s="14"/>
      <c r="N460" s="14"/>
      <c r="O460" s="14"/>
      <c r="P460" s="14"/>
      <c r="Q460" s="14"/>
      <c r="R460" s="14"/>
      <c r="S460" s="14"/>
      <c r="T460" s="14"/>
      <c r="U460" s="14"/>
      <c r="V460" s="14"/>
      <c r="W460" s="14"/>
      <c r="X460" s="14"/>
      <c r="Y460" s="14"/>
    </row>
    <row r="461" spans="1:25" ht="15.75" x14ac:dyDescent="0.25">
      <c r="A461" s="21"/>
      <c r="B461" s="21"/>
      <c r="C461" s="21"/>
      <c r="E461" s="21"/>
      <c r="F461" s="21"/>
      <c r="G461" s="14"/>
      <c r="H461" s="14"/>
      <c r="I461" s="14"/>
      <c r="J461" s="14"/>
      <c r="K461" s="14"/>
      <c r="L461" s="14"/>
      <c r="M461" s="14"/>
      <c r="N461" s="14"/>
      <c r="O461" s="14"/>
      <c r="P461" s="14"/>
      <c r="Q461" s="14"/>
      <c r="R461" s="14"/>
      <c r="S461" s="14"/>
      <c r="T461" s="14"/>
      <c r="U461" s="14"/>
      <c r="V461" s="14"/>
      <c r="W461" s="14"/>
      <c r="X461" s="14"/>
      <c r="Y461" s="14"/>
    </row>
    <row r="462" spans="1:25" ht="15.75" x14ac:dyDescent="0.25">
      <c r="A462" s="21"/>
      <c r="B462" s="21"/>
      <c r="C462" s="21"/>
      <c r="E462" s="21"/>
      <c r="F462" s="21"/>
      <c r="G462" s="14"/>
      <c r="H462" s="14"/>
      <c r="I462" s="14"/>
      <c r="J462" s="14"/>
      <c r="K462" s="14"/>
      <c r="L462" s="14"/>
      <c r="M462" s="14"/>
      <c r="N462" s="14"/>
      <c r="O462" s="14"/>
      <c r="P462" s="14"/>
      <c r="Q462" s="14"/>
      <c r="R462" s="14"/>
      <c r="S462" s="14"/>
      <c r="T462" s="14"/>
      <c r="U462" s="14"/>
      <c r="V462" s="14"/>
      <c r="W462" s="14"/>
      <c r="X462" s="14"/>
      <c r="Y462" s="14"/>
    </row>
    <row r="463" spans="1:25" ht="15.75" x14ac:dyDescent="0.25">
      <c r="A463" s="21"/>
      <c r="B463" s="21"/>
      <c r="C463" s="21"/>
      <c r="E463" s="21"/>
      <c r="F463" s="21"/>
      <c r="G463" s="14"/>
      <c r="H463" s="14"/>
      <c r="I463" s="14"/>
      <c r="J463" s="14"/>
      <c r="K463" s="14"/>
      <c r="L463" s="14"/>
      <c r="M463" s="14"/>
      <c r="N463" s="14"/>
      <c r="O463" s="14"/>
      <c r="P463" s="14"/>
      <c r="Q463" s="14"/>
      <c r="R463" s="14"/>
      <c r="S463" s="14"/>
      <c r="T463" s="14"/>
      <c r="U463" s="14"/>
      <c r="V463" s="14"/>
      <c r="W463" s="14"/>
      <c r="X463" s="14"/>
      <c r="Y463" s="14"/>
    </row>
    <row r="464" spans="1:25" ht="15.75" x14ac:dyDescent="0.25">
      <c r="A464" s="21"/>
      <c r="B464" s="21"/>
      <c r="C464" s="21"/>
      <c r="E464" s="21"/>
      <c r="F464" s="21"/>
      <c r="G464" s="14"/>
      <c r="H464" s="14"/>
      <c r="I464" s="14"/>
      <c r="J464" s="14"/>
      <c r="K464" s="14"/>
      <c r="L464" s="14"/>
      <c r="M464" s="14"/>
      <c r="N464" s="14"/>
      <c r="O464" s="14"/>
      <c r="P464" s="14"/>
      <c r="Q464" s="14"/>
      <c r="R464" s="14"/>
      <c r="S464" s="14"/>
      <c r="T464" s="14"/>
      <c r="U464" s="14"/>
      <c r="V464" s="14"/>
      <c r="W464" s="14"/>
      <c r="X464" s="14"/>
      <c r="Y464" s="14"/>
    </row>
    <row r="465" spans="1:25" ht="15.75" x14ac:dyDescent="0.25">
      <c r="A465" s="21"/>
      <c r="B465" s="21"/>
      <c r="C465" s="21"/>
      <c r="E465" s="21"/>
      <c r="F465" s="21"/>
      <c r="G465" s="14"/>
      <c r="H465" s="14"/>
      <c r="I465" s="14"/>
      <c r="J465" s="14"/>
      <c r="K465" s="14"/>
      <c r="L465" s="14"/>
      <c r="M465" s="14"/>
      <c r="N465" s="14"/>
      <c r="O465" s="14"/>
      <c r="P465" s="14"/>
      <c r="Q465" s="14"/>
      <c r="R465" s="14"/>
      <c r="S465" s="14"/>
      <c r="T465" s="14"/>
      <c r="U465" s="14"/>
      <c r="V465" s="14"/>
      <c r="W465" s="14"/>
      <c r="X465" s="14"/>
      <c r="Y465" s="14"/>
    </row>
    <row r="466" spans="1:25" ht="15.75" x14ac:dyDescent="0.25">
      <c r="A466" s="21"/>
      <c r="B466" s="21"/>
      <c r="C466" s="21"/>
      <c r="E466" s="21"/>
      <c r="F466" s="21"/>
      <c r="G466" s="14"/>
      <c r="H466" s="14"/>
      <c r="I466" s="14"/>
      <c r="J466" s="14"/>
      <c r="K466" s="14"/>
      <c r="L466" s="14"/>
      <c r="M466" s="14"/>
      <c r="N466" s="14"/>
      <c r="O466" s="14"/>
      <c r="P466" s="14"/>
      <c r="Q466" s="14"/>
      <c r="R466" s="14"/>
      <c r="S466" s="14"/>
      <c r="T466" s="14"/>
      <c r="U466" s="14"/>
      <c r="V466" s="14"/>
      <c r="W466" s="14"/>
      <c r="X466" s="14"/>
      <c r="Y466" s="14"/>
    </row>
    <row r="467" spans="1:25" ht="15.75" x14ac:dyDescent="0.25">
      <c r="A467" s="21"/>
      <c r="B467" s="21"/>
      <c r="C467" s="21"/>
      <c r="E467" s="21"/>
      <c r="F467" s="21"/>
      <c r="G467" s="14"/>
      <c r="H467" s="14"/>
      <c r="I467" s="14"/>
      <c r="J467" s="14"/>
      <c r="K467" s="14"/>
      <c r="L467" s="14"/>
      <c r="M467" s="14"/>
      <c r="N467" s="14"/>
      <c r="O467" s="14"/>
      <c r="P467" s="14"/>
      <c r="Q467" s="14"/>
      <c r="R467" s="14"/>
      <c r="S467" s="14"/>
      <c r="T467" s="14"/>
      <c r="U467" s="14"/>
      <c r="V467" s="14"/>
      <c r="W467" s="14"/>
      <c r="X467" s="14"/>
      <c r="Y467" s="14"/>
    </row>
    <row r="468" spans="1:25" ht="15.75" x14ac:dyDescent="0.25">
      <c r="A468" s="21"/>
      <c r="B468" s="21"/>
      <c r="C468" s="21"/>
      <c r="E468" s="21"/>
      <c r="F468" s="21"/>
      <c r="G468" s="14"/>
      <c r="H468" s="14"/>
      <c r="I468" s="14"/>
      <c r="J468" s="14"/>
      <c r="K468" s="14"/>
      <c r="L468" s="14"/>
      <c r="M468" s="14"/>
      <c r="N468" s="14"/>
      <c r="O468" s="14"/>
      <c r="P468" s="14"/>
      <c r="Q468" s="14"/>
      <c r="R468" s="14"/>
      <c r="S468" s="14"/>
      <c r="T468" s="14"/>
      <c r="U468" s="14"/>
      <c r="V468" s="14"/>
      <c r="W468" s="14"/>
      <c r="X468" s="14"/>
      <c r="Y468" s="14"/>
    </row>
    <row r="469" spans="1:25" ht="15.75" x14ac:dyDescent="0.25">
      <c r="A469" s="21"/>
      <c r="B469" s="21"/>
      <c r="C469" s="21"/>
      <c r="E469" s="21"/>
      <c r="F469" s="21"/>
      <c r="G469" s="14"/>
      <c r="H469" s="14"/>
      <c r="I469" s="14"/>
      <c r="J469" s="14"/>
      <c r="K469" s="14"/>
      <c r="L469" s="14"/>
      <c r="M469" s="14"/>
      <c r="N469" s="14"/>
      <c r="O469" s="14"/>
      <c r="P469" s="14"/>
      <c r="Q469" s="14"/>
      <c r="R469" s="14"/>
      <c r="S469" s="14"/>
      <c r="T469" s="14"/>
      <c r="U469" s="14"/>
      <c r="V469" s="14"/>
      <c r="W469" s="14"/>
      <c r="X469" s="14"/>
      <c r="Y469" s="14"/>
    </row>
    <row r="470" spans="1:25" ht="15.75" x14ac:dyDescent="0.25">
      <c r="A470" s="21"/>
      <c r="B470" s="21"/>
      <c r="C470" s="21"/>
      <c r="E470" s="21"/>
      <c r="F470" s="21"/>
      <c r="G470" s="14"/>
      <c r="H470" s="14"/>
      <c r="I470" s="14"/>
      <c r="J470" s="14"/>
      <c r="K470" s="14"/>
      <c r="L470" s="14"/>
      <c r="M470" s="14"/>
      <c r="N470" s="14"/>
      <c r="O470" s="14"/>
      <c r="P470" s="14"/>
      <c r="Q470" s="14"/>
      <c r="R470" s="14"/>
      <c r="S470" s="14"/>
      <c r="T470" s="14"/>
      <c r="U470" s="14"/>
      <c r="V470" s="14"/>
      <c r="W470" s="14"/>
      <c r="X470" s="14"/>
      <c r="Y470" s="14"/>
    </row>
    <row r="471" spans="1:25" ht="15.75" x14ac:dyDescent="0.25">
      <c r="A471" s="21"/>
      <c r="B471" s="21"/>
      <c r="C471" s="21"/>
      <c r="E471" s="21"/>
      <c r="F471" s="21"/>
      <c r="G471" s="14"/>
      <c r="H471" s="14"/>
      <c r="I471" s="14"/>
      <c r="J471" s="14"/>
      <c r="K471" s="14"/>
      <c r="L471" s="14"/>
      <c r="M471" s="14"/>
      <c r="N471" s="14"/>
      <c r="O471" s="14"/>
      <c r="P471" s="14"/>
      <c r="Q471" s="14"/>
      <c r="R471" s="14"/>
      <c r="S471" s="14"/>
      <c r="T471" s="14"/>
      <c r="U471" s="14"/>
      <c r="V471" s="14"/>
      <c r="W471" s="14"/>
      <c r="X471" s="14"/>
      <c r="Y471" s="14"/>
    </row>
    <row r="472" spans="1:25" ht="15.75" x14ac:dyDescent="0.25">
      <c r="A472" s="21"/>
      <c r="B472" s="21"/>
      <c r="C472" s="21"/>
      <c r="E472" s="21"/>
      <c r="F472" s="21"/>
      <c r="G472" s="14"/>
      <c r="H472" s="14"/>
      <c r="I472" s="14"/>
      <c r="J472" s="14"/>
      <c r="K472" s="14"/>
      <c r="L472" s="14"/>
      <c r="M472" s="14"/>
      <c r="N472" s="14"/>
      <c r="O472" s="14"/>
      <c r="P472" s="14"/>
      <c r="Q472" s="14"/>
      <c r="R472" s="14"/>
      <c r="S472" s="14"/>
      <c r="T472" s="14"/>
      <c r="U472" s="14"/>
      <c r="V472" s="14"/>
      <c r="W472" s="14"/>
      <c r="X472" s="14"/>
      <c r="Y472" s="14"/>
    </row>
    <row r="473" spans="1:25" ht="15.75" x14ac:dyDescent="0.25">
      <c r="A473" s="21"/>
      <c r="B473" s="21"/>
      <c r="C473" s="21"/>
      <c r="E473" s="21"/>
      <c r="F473" s="21"/>
      <c r="G473" s="14"/>
      <c r="H473" s="14"/>
      <c r="I473" s="14"/>
      <c r="J473" s="14"/>
      <c r="K473" s="14"/>
      <c r="L473" s="14"/>
      <c r="M473" s="14"/>
      <c r="N473" s="14"/>
      <c r="O473" s="14"/>
      <c r="P473" s="14"/>
      <c r="Q473" s="14"/>
      <c r="R473" s="14"/>
      <c r="S473" s="14"/>
      <c r="T473" s="14"/>
      <c r="U473" s="14"/>
      <c r="V473" s="14"/>
      <c r="W473" s="14"/>
      <c r="X473" s="14"/>
      <c r="Y473" s="14"/>
    </row>
    <row r="474" spans="1:25" ht="15.75" x14ac:dyDescent="0.25">
      <c r="A474" s="21"/>
      <c r="B474" s="21"/>
      <c r="C474" s="21"/>
      <c r="E474" s="21"/>
      <c r="F474" s="21"/>
      <c r="G474" s="14"/>
      <c r="H474" s="14"/>
      <c r="I474" s="14"/>
      <c r="J474" s="14"/>
      <c r="K474" s="14"/>
      <c r="L474" s="14"/>
      <c r="M474" s="14"/>
      <c r="N474" s="14"/>
      <c r="O474" s="14"/>
      <c r="P474" s="14"/>
      <c r="Q474" s="14"/>
      <c r="R474" s="14"/>
      <c r="S474" s="14"/>
      <c r="T474" s="14"/>
      <c r="U474" s="14"/>
      <c r="V474" s="14"/>
      <c r="W474" s="14"/>
      <c r="X474" s="14"/>
      <c r="Y474" s="14"/>
    </row>
    <row r="475" spans="1:25" ht="15.75" x14ac:dyDescent="0.25">
      <c r="A475" s="21"/>
      <c r="B475" s="21"/>
      <c r="C475" s="21"/>
      <c r="E475" s="21"/>
      <c r="F475" s="21"/>
      <c r="G475" s="14"/>
      <c r="H475" s="14"/>
      <c r="I475" s="14"/>
      <c r="J475" s="14"/>
      <c r="K475" s="14"/>
      <c r="L475" s="14"/>
      <c r="M475" s="14"/>
      <c r="N475" s="14"/>
      <c r="O475" s="14"/>
      <c r="P475" s="14"/>
      <c r="Q475" s="14"/>
      <c r="R475" s="14"/>
      <c r="S475" s="14"/>
      <c r="T475" s="14"/>
      <c r="U475" s="14"/>
      <c r="V475" s="14"/>
      <c r="W475" s="14"/>
      <c r="X475" s="14"/>
      <c r="Y475" s="14"/>
    </row>
    <row r="476" spans="1:25" ht="15.75" x14ac:dyDescent="0.25">
      <c r="A476" s="21"/>
      <c r="B476" s="21"/>
      <c r="C476" s="21"/>
      <c r="E476" s="21"/>
      <c r="F476" s="21"/>
      <c r="G476" s="14"/>
      <c r="H476" s="14"/>
      <c r="I476" s="14"/>
      <c r="J476" s="14"/>
      <c r="K476" s="14"/>
      <c r="L476" s="14"/>
      <c r="M476" s="14"/>
      <c r="N476" s="14"/>
      <c r="O476" s="14"/>
      <c r="P476" s="14"/>
      <c r="Q476" s="14"/>
      <c r="R476" s="14"/>
      <c r="S476" s="14"/>
      <c r="T476" s="14"/>
      <c r="U476" s="14"/>
      <c r="V476" s="14"/>
      <c r="W476" s="14"/>
      <c r="X476" s="14"/>
      <c r="Y476" s="14"/>
    </row>
    <row r="477" spans="1:25" ht="15.75" x14ac:dyDescent="0.25">
      <c r="A477" s="21"/>
      <c r="B477" s="21"/>
      <c r="C477" s="21"/>
      <c r="E477" s="21"/>
      <c r="F477" s="21"/>
      <c r="G477" s="14"/>
      <c r="H477" s="14"/>
      <c r="I477" s="14"/>
      <c r="J477" s="14"/>
      <c r="K477" s="14"/>
      <c r="L477" s="14"/>
      <c r="M477" s="14"/>
      <c r="N477" s="14"/>
      <c r="O477" s="14"/>
      <c r="P477" s="14"/>
      <c r="Q477" s="14"/>
      <c r="R477" s="14"/>
      <c r="S477" s="14"/>
      <c r="T477" s="14"/>
      <c r="U477" s="14"/>
      <c r="V477" s="14"/>
      <c r="W477" s="14"/>
      <c r="X477" s="14"/>
      <c r="Y477" s="14"/>
    </row>
    <row r="478" spans="1:25" ht="15.75" x14ac:dyDescent="0.25">
      <c r="A478" s="21"/>
      <c r="B478" s="21"/>
      <c r="C478" s="21"/>
      <c r="E478" s="21"/>
      <c r="F478" s="21"/>
      <c r="G478" s="14"/>
      <c r="H478" s="14"/>
      <c r="I478" s="14"/>
      <c r="J478" s="14"/>
      <c r="K478" s="14"/>
      <c r="L478" s="14"/>
      <c r="M478" s="14"/>
      <c r="N478" s="14"/>
      <c r="O478" s="14"/>
      <c r="P478" s="14"/>
      <c r="Q478" s="14"/>
      <c r="R478" s="14"/>
      <c r="S478" s="14"/>
      <c r="T478" s="14"/>
      <c r="U478" s="14"/>
      <c r="V478" s="14"/>
      <c r="W478" s="14"/>
      <c r="X478" s="14"/>
      <c r="Y478" s="14"/>
    </row>
    <row r="479" spans="1:25" ht="15.75" x14ac:dyDescent="0.25">
      <c r="A479" s="21"/>
      <c r="B479" s="21"/>
      <c r="C479" s="21"/>
      <c r="E479" s="21"/>
      <c r="F479" s="21"/>
      <c r="G479" s="14"/>
      <c r="H479" s="14"/>
      <c r="I479" s="14"/>
      <c r="J479" s="14"/>
      <c r="K479" s="14"/>
      <c r="L479" s="14"/>
      <c r="M479" s="14"/>
      <c r="N479" s="14"/>
      <c r="O479" s="14"/>
      <c r="P479" s="14"/>
      <c r="Q479" s="14"/>
      <c r="R479" s="14"/>
      <c r="S479" s="14"/>
      <c r="T479" s="14"/>
      <c r="U479" s="14"/>
      <c r="V479" s="14"/>
      <c r="W479" s="14"/>
      <c r="X479" s="14"/>
      <c r="Y479" s="14"/>
    </row>
    <row r="480" spans="1:25" ht="15.75" x14ac:dyDescent="0.25">
      <c r="A480" s="21"/>
      <c r="B480" s="21"/>
      <c r="C480" s="21"/>
      <c r="E480" s="21"/>
      <c r="F480" s="21"/>
      <c r="G480" s="14"/>
      <c r="H480" s="14"/>
      <c r="I480" s="14"/>
      <c r="J480" s="14"/>
      <c r="K480" s="14"/>
      <c r="L480" s="14"/>
      <c r="M480" s="14"/>
      <c r="N480" s="14"/>
      <c r="O480" s="14"/>
      <c r="P480" s="14"/>
      <c r="Q480" s="14"/>
      <c r="R480" s="14"/>
      <c r="S480" s="14"/>
      <c r="T480" s="14"/>
      <c r="U480" s="14"/>
      <c r="V480" s="14"/>
      <c r="W480" s="14"/>
      <c r="X480" s="14"/>
      <c r="Y480" s="14"/>
    </row>
    <row r="481" spans="1:25" ht="15.75" x14ac:dyDescent="0.25">
      <c r="A481" s="21"/>
      <c r="B481" s="21"/>
      <c r="C481" s="21"/>
      <c r="E481" s="21"/>
      <c r="F481" s="21"/>
      <c r="G481" s="14"/>
      <c r="H481" s="14"/>
      <c r="I481" s="14"/>
      <c r="J481" s="14"/>
      <c r="K481" s="14"/>
      <c r="L481" s="14"/>
      <c r="M481" s="14"/>
      <c r="N481" s="14"/>
      <c r="O481" s="14"/>
      <c r="P481" s="14"/>
      <c r="Q481" s="14"/>
      <c r="R481" s="14"/>
      <c r="S481" s="14"/>
      <c r="T481" s="14"/>
      <c r="U481" s="14"/>
      <c r="V481" s="14"/>
      <c r="W481" s="14"/>
      <c r="X481" s="14"/>
      <c r="Y481" s="14"/>
    </row>
    <row r="482" spans="1:25" ht="15.75" x14ac:dyDescent="0.25">
      <c r="A482" s="21"/>
      <c r="B482" s="21"/>
      <c r="C482" s="21"/>
      <c r="E482" s="21"/>
      <c r="F482" s="21"/>
      <c r="G482" s="14"/>
      <c r="H482" s="14"/>
      <c r="I482" s="14"/>
      <c r="J482" s="14"/>
      <c r="K482" s="14"/>
      <c r="L482" s="14"/>
      <c r="M482" s="14"/>
      <c r="N482" s="14"/>
      <c r="O482" s="14"/>
      <c r="P482" s="14"/>
      <c r="Q482" s="14"/>
      <c r="R482" s="14"/>
      <c r="S482" s="14"/>
      <c r="T482" s="14"/>
      <c r="U482" s="14"/>
      <c r="V482" s="14"/>
      <c r="W482" s="14"/>
      <c r="X482" s="14"/>
      <c r="Y482" s="14"/>
    </row>
    <row r="483" spans="1:25" ht="15.75" x14ac:dyDescent="0.25">
      <c r="A483" s="21"/>
      <c r="B483" s="21"/>
      <c r="C483" s="21"/>
      <c r="E483" s="21"/>
      <c r="F483" s="21"/>
      <c r="G483" s="14"/>
      <c r="H483" s="14"/>
      <c r="I483" s="14"/>
      <c r="J483" s="14"/>
      <c r="K483" s="14"/>
      <c r="L483" s="14"/>
      <c r="M483" s="14"/>
      <c r="N483" s="14"/>
      <c r="O483" s="14"/>
      <c r="P483" s="14"/>
      <c r="Q483" s="14"/>
      <c r="R483" s="14"/>
      <c r="S483" s="14"/>
      <c r="T483" s="14"/>
      <c r="U483" s="14"/>
      <c r="V483" s="14"/>
      <c r="W483" s="14"/>
      <c r="X483" s="14"/>
      <c r="Y483" s="14"/>
    </row>
    <row r="484" spans="1:25" ht="15.75" x14ac:dyDescent="0.25">
      <c r="A484" s="21"/>
      <c r="B484" s="21"/>
      <c r="C484" s="21"/>
      <c r="E484" s="21"/>
      <c r="F484" s="21"/>
      <c r="G484" s="14"/>
      <c r="H484" s="14"/>
      <c r="I484" s="14"/>
      <c r="J484" s="14"/>
      <c r="K484" s="14"/>
      <c r="L484" s="14"/>
      <c r="M484" s="14"/>
      <c r="N484" s="14"/>
      <c r="O484" s="14"/>
      <c r="P484" s="14"/>
      <c r="Q484" s="14"/>
      <c r="R484" s="14"/>
      <c r="S484" s="14"/>
      <c r="T484" s="14"/>
      <c r="U484" s="14"/>
      <c r="V484" s="14"/>
      <c r="W484" s="14"/>
      <c r="X484" s="14"/>
      <c r="Y484" s="14"/>
    </row>
    <row r="485" spans="1:25" ht="15.75" x14ac:dyDescent="0.25">
      <c r="A485" s="21"/>
      <c r="B485" s="21"/>
      <c r="C485" s="21"/>
      <c r="E485" s="21"/>
      <c r="F485" s="21"/>
      <c r="G485" s="14"/>
      <c r="H485" s="14"/>
      <c r="I485" s="14"/>
      <c r="J485" s="14"/>
      <c r="K485" s="14"/>
      <c r="L485" s="14"/>
      <c r="M485" s="14"/>
      <c r="N485" s="14"/>
      <c r="O485" s="14"/>
      <c r="P485" s="14"/>
      <c r="Q485" s="14"/>
      <c r="R485" s="14"/>
      <c r="S485" s="14"/>
      <c r="T485" s="14"/>
      <c r="U485" s="14"/>
      <c r="V485" s="14"/>
      <c r="W485" s="14"/>
      <c r="X485" s="14"/>
      <c r="Y485" s="14"/>
    </row>
    <row r="486" spans="1:25" ht="15.75" x14ac:dyDescent="0.25">
      <c r="A486" s="21"/>
      <c r="B486" s="21"/>
      <c r="C486" s="21"/>
      <c r="E486" s="21"/>
      <c r="F486" s="21"/>
      <c r="G486" s="14"/>
      <c r="H486" s="14"/>
      <c r="I486" s="14"/>
      <c r="J486" s="14"/>
      <c r="K486" s="14"/>
      <c r="L486" s="14"/>
      <c r="M486" s="14"/>
      <c r="N486" s="14"/>
      <c r="O486" s="14"/>
      <c r="P486" s="14"/>
      <c r="Q486" s="14"/>
      <c r="R486" s="14"/>
      <c r="S486" s="14"/>
      <c r="T486" s="14"/>
      <c r="U486" s="14"/>
      <c r="V486" s="14"/>
      <c r="W486" s="14"/>
      <c r="X486" s="14"/>
      <c r="Y486" s="14"/>
    </row>
    <row r="487" spans="1:25" ht="15.75" x14ac:dyDescent="0.25">
      <c r="A487" s="21"/>
      <c r="B487" s="21"/>
      <c r="C487" s="21"/>
      <c r="E487" s="21"/>
      <c r="F487" s="21"/>
      <c r="G487" s="14"/>
      <c r="H487" s="14"/>
      <c r="I487" s="14"/>
      <c r="J487" s="14"/>
      <c r="K487" s="14"/>
      <c r="L487" s="14"/>
      <c r="M487" s="14"/>
      <c r="N487" s="14"/>
      <c r="O487" s="14"/>
      <c r="P487" s="14"/>
      <c r="Q487" s="14"/>
      <c r="R487" s="14"/>
      <c r="S487" s="14"/>
      <c r="T487" s="14"/>
      <c r="U487" s="14"/>
      <c r="V487" s="14"/>
      <c r="W487" s="14"/>
      <c r="X487" s="14"/>
      <c r="Y487" s="14"/>
    </row>
    <row r="488" spans="1:25" ht="15.75" x14ac:dyDescent="0.25">
      <c r="A488" s="21"/>
      <c r="B488" s="21"/>
      <c r="C488" s="21"/>
      <c r="E488" s="21"/>
      <c r="F488" s="21"/>
      <c r="G488" s="14"/>
      <c r="H488" s="14"/>
      <c r="I488" s="14"/>
      <c r="J488" s="14"/>
      <c r="K488" s="14"/>
      <c r="L488" s="14"/>
      <c r="M488" s="14"/>
      <c r="N488" s="14"/>
      <c r="O488" s="14"/>
      <c r="P488" s="14"/>
      <c r="Q488" s="14"/>
      <c r="R488" s="14"/>
      <c r="S488" s="14"/>
      <c r="T488" s="14"/>
      <c r="U488" s="14"/>
      <c r="V488" s="14"/>
      <c r="W488" s="14"/>
      <c r="X488" s="14"/>
      <c r="Y488" s="14"/>
    </row>
    <row r="489" spans="1:25" ht="15.75" x14ac:dyDescent="0.25">
      <c r="A489" s="21"/>
      <c r="B489" s="21"/>
      <c r="C489" s="21"/>
      <c r="E489" s="21"/>
      <c r="F489" s="21"/>
      <c r="G489" s="14"/>
      <c r="H489" s="14"/>
      <c r="I489" s="14"/>
      <c r="J489" s="14"/>
      <c r="K489" s="14"/>
      <c r="L489" s="14"/>
      <c r="M489" s="14"/>
      <c r="N489" s="14"/>
      <c r="O489" s="14"/>
      <c r="P489" s="14"/>
      <c r="Q489" s="14"/>
      <c r="R489" s="14"/>
      <c r="S489" s="14"/>
      <c r="T489" s="14"/>
      <c r="U489" s="14"/>
      <c r="V489" s="14"/>
      <c r="W489" s="14"/>
      <c r="X489" s="14"/>
      <c r="Y489" s="14"/>
    </row>
    <row r="490" spans="1:25" ht="15.75" x14ac:dyDescent="0.25">
      <c r="A490" s="21"/>
      <c r="B490" s="21"/>
      <c r="C490" s="21"/>
      <c r="E490" s="21"/>
      <c r="F490" s="21"/>
      <c r="G490" s="14"/>
      <c r="H490" s="14"/>
      <c r="I490" s="14"/>
      <c r="J490" s="14"/>
      <c r="K490" s="14"/>
      <c r="L490" s="14"/>
      <c r="M490" s="14"/>
      <c r="N490" s="14"/>
      <c r="O490" s="14"/>
      <c r="P490" s="14"/>
      <c r="Q490" s="14"/>
      <c r="R490" s="14"/>
      <c r="S490" s="14"/>
      <c r="T490" s="14"/>
      <c r="U490" s="14"/>
      <c r="V490" s="14"/>
      <c r="W490" s="14"/>
      <c r="X490" s="14"/>
      <c r="Y490" s="14"/>
    </row>
    <row r="491" spans="1:25" ht="15.75" x14ac:dyDescent="0.25">
      <c r="A491" s="21"/>
      <c r="B491" s="21"/>
      <c r="C491" s="21"/>
      <c r="E491" s="21"/>
      <c r="F491" s="21"/>
      <c r="G491" s="14"/>
      <c r="H491" s="14"/>
      <c r="I491" s="14"/>
      <c r="J491" s="14"/>
      <c r="K491" s="14"/>
      <c r="L491" s="14"/>
      <c r="M491" s="14"/>
      <c r="N491" s="14"/>
      <c r="O491" s="14"/>
      <c r="P491" s="14"/>
      <c r="Q491" s="14"/>
      <c r="R491" s="14"/>
      <c r="S491" s="14"/>
      <c r="T491" s="14"/>
      <c r="U491" s="14"/>
      <c r="V491" s="14"/>
      <c r="W491" s="14"/>
      <c r="X491" s="14"/>
      <c r="Y491" s="14"/>
    </row>
    <row r="492" spans="1:25" ht="15.75" x14ac:dyDescent="0.25">
      <c r="A492" s="21"/>
      <c r="B492" s="21"/>
      <c r="C492" s="21"/>
      <c r="E492" s="21"/>
      <c r="F492" s="21"/>
      <c r="G492" s="14"/>
      <c r="H492" s="14"/>
      <c r="I492" s="14"/>
      <c r="J492" s="14"/>
      <c r="K492" s="14"/>
      <c r="L492" s="14"/>
      <c r="M492" s="14"/>
      <c r="N492" s="14"/>
      <c r="O492" s="14"/>
      <c r="P492" s="14"/>
      <c r="Q492" s="14"/>
      <c r="R492" s="14"/>
      <c r="S492" s="14"/>
      <c r="T492" s="14"/>
      <c r="U492" s="14"/>
      <c r="V492" s="14"/>
      <c r="W492" s="14"/>
      <c r="X492" s="14"/>
      <c r="Y492" s="14"/>
    </row>
    <row r="493" spans="1:25" ht="15.75" x14ac:dyDescent="0.25">
      <c r="A493" s="21"/>
      <c r="B493" s="21"/>
      <c r="C493" s="21"/>
      <c r="E493" s="21"/>
      <c r="F493" s="21"/>
      <c r="G493" s="14"/>
      <c r="H493" s="14"/>
      <c r="I493" s="14"/>
      <c r="J493" s="14"/>
      <c r="K493" s="14"/>
      <c r="L493" s="14"/>
      <c r="M493" s="14"/>
      <c r="N493" s="14"/>
      <c r="O493" s="14"/>
      <c r="P493" s="14"/>
      <c r="Q493" s="14"/>
      <c r="R493" s="14"/>
      <c r="S493" s="14"/>
      <c r="T493" s="14"/>
      <c r="U493" s="14"/>
      <c r="V493" s="14"/>
      <c r="W493" s="14"/>
      <c r="X493" s="14"/>
      <c r="Y493" s="14"/>
    </row>
    <row r="494" spans="1:25" ht="15.75" x14ac:dyDescent="0.25">
      <c r="A494" s="21"/>
      <c r="B494" s="21"/>
      <c r="C494" s="21"/>
      <c r="E494" s="21"/>
      <c r="F494" s="21"/>
      <c r="G494" s="14"/>
      <c r="H494" s="14"/>
      <c r="I494" s="14"/>
      <c r="J494" s="14"/>
      <c r="K494" s="14"/>
      <c r="L494" s="14"/>
      <c r="M494" s="14"/>
      <c r="N494" s="14"/>
      <c r="O494" s="14"/>
      <c r="P494" s="14"/>
      <c r="Q494" s="14"/>
      <c r="R494" s="14"/>
      <c r="S494" s="14"/>
      <c r="T494" s="14"/>
      <c r="U494" s="14"/>
      <c r="V494" s="14"/>
      <c r="W494" s="14"/>
      <c r="X494" s="14"/>
      <c r="Y494" s="14"/>
    </row>
    <row r="495" spans="1:25" ht="15.75" x14ac:dyDescent="0.25">
      <c r="A495" s="21"/>
      <c r="B495" s="21"/>
      <c r="C495" s="21"/>
      <c r="E495" s="21"/>
      <c r="F495" s="21"/>
      <c r="G495" s="14"/>
      <c r="H495" s="14"/>
      <c r="I495" s="14"/>
      <c r="J495" s="14"/>
      <c r="K495" s="14"/>
      <c r="L495" s="14"/>
      <c r="M495" s="14"/>
      <c r="N495" s="14"/>
      <c r="O495" s="14"/>
      <c r="P495" s="14"/>
      <c r="Q495" s="14"/>
      <c r="R495" s="14"/>
      <c r="S495" s="14"/>
      <c r="T495" s="14"/>
      <c r="U495" s="14"/>
      <c r="V495" s="14"/>
      <c r="W495" s="14"/>
      <c r="X495" s="14"/>
      <c r="Y495" s="14"/>
    </row>
    <row r="496" spans="1:25" ht="15.75" x14ac:dyDescent="0.25">
      <c r="A496" s="21"/>
      <c r="B496" s="21"/>
      <c r="C496" s="21"/>
      <c r="E496" s="21"/>
      <c r="F496" s="21"/>
      <c r="G496" s="14"/>
      <c r="H496" s="14"/>
      <c r="I496" s="14"/>
      <c r="J496" s="14"/>
      <c r="K496" s="14"/>
      <c r="L496" s="14"/>
      <c r="M496" s="14"/>
      <c r="N496" s="14"/>
      <c r="O496" s="14"/>
      <c r="P496" s="14"/>
      <c r="Q496" s="14"/>
      <c r="R496" s="14"/>
      <c r="S496" s="14"/>
      <c r="T496" s="14"/>
      <c r="U496" s="14"/>
      <c r="V496" s="14"/>
      <c r="W496" s="14"/>
      <c r="X496" s="14"/>
      <c r="Y496" s="14"/>
    </row>
    <row r="497" spans="1:25" ht="15.75" x14ac:dyDescent="0.25">
      <c r="A497" s="21"/>
      <c r="B497" s="21"/>
      <c r="C497" s="21"/>
      <c r="E497" s="21"/>
      <c r="F497" s="21"/>
      <c r="G497" s="14"/>
      <c r="H497" s="14"/>
      <c r="I497" s="14"/>
      <c r="J497" s="14"/>
      <c r="K497" s="14"/>
      <c r="L497" s="14"/>
      <c r="M497" s="14"/>
      <c r="N497" s="14"/>
      <c r="O497" s="14"/>
      <c r="P497" s="14"/>
      <c r="Q497" s="14"/>
      <c r="R497" s="14"/>
      <c r="S497" s="14"/>
      <c r="T497" s="14"/>
      <c r="U497" s="14"/>
      <c r="V497" s="14"/>
      <c r="W497" s="14"/>
      <c r="X497" s="14"/>
      <c r="Y497" s="14"/>
    </row>
    <row r="498" spans="1:25" ht="15.75" x14ac:dyDescent="0.25">
      <c r="A498" s="21"/>
      <c r="B498" s="21"/>
      <c r="C498" s="21"/>
      <c r="E498" s="21"/>
      <c r="F498" s="21"/>
      <c r="G498" s="14"/>
      <c r="H498" s="14"/>
      <c r="I498" s="14"/>
      <c r="J498" s="14"/>
      <c r="K498" s="14"/>
      <c r="L498" s="14"/>
      <c r="M498" s="14"/>
      <c r="N498" s="14"/>
      <c r="O498" s="14"/>
      <c r="P498" s="14"/>
      <c r="Q498" s="14"/>
      <c r="R498" s="14"/>
      <c r="S498" s="14"/>
      <c r="T498" s="14"/>
      <c r="U498" s="14"/>
      <c r="V498" s="14"/>
      <c r="W498" s="14"/>
      <c r="X498" s="14"/>
      <c r="Y498" s="14"/>
    </row>
    <row r="499" spans="1:25" ht="15.75" x14ac:dyDescent="0.25">
      <c r="A499" s="21"/>
      <c r="B499" s="21"/>
      <c r="C499" s="21"/>
      <c r="E499" s="21"/>
      <c r="F499" s="21"/>
      <c r="G499" s="14"/>
      <c r="H499" s="14"/>
      <c r="I499" s="14"/>
      <c r="J499" s="14"/>
      <c r="K499" s="14"/>
      <c r="L499" s="14"/>
      <c r="M499" s="14"/>
      <c r="N499" s="14"/>
      <c r="O499" s="14"/>
      <c r="P499" s="14"/>
      <c r="Q499" s="14"/>
      <c r="R499" s="14"/>
      <c r="S499" s="14"/>
      <c r="T499" s="14"/>
      <c r="U499" s="14"/>
      <c r="V499" s="14"/>
      <c r="W499" s="14"/>
      <c r="X499" s="14"/>
      <c r="Y499" s="14"/>
    </row>
    <row r="500" spans="1:25" ht="15.75" x14ac:dyDescent="0.25">
      <c r="A500" s="21"/>
      <c r="B500" s="21"/>
      <c r="C500" s="21"/>
      <c r="E500" s="21"/>
      <c r="F500" s="21"/>
      <c r="G500" s="14"/>
      <c r="H500" s="14"/>
      <c r="I500" s="14"/>
      <c r="J500" s="14"/>
      <c r="K500" s="14"/>
      <c r="L500" s="14"/>
      <c r="M500" s="14"/>
      <c r="N500" s="14"/>
      <c r="O500" s="14"/>
      <c r="P500" s="14"/>
      <c r="Q500" s="14"/>
      <c r="R500" s="14"/>
      <c r="S500" s="14"/>
      <c r="T500" s="14"/>
      <c r="U500" s="14"/>
      <c r="V500" s="14"/>
      <c r="W500" s="14"/>
      <c r="X500" s="14"/>
      <c r="Y500" s="14"/>
    </row>
    <row r="501" spans="1:25" ht="15.75" x14ac:dyDescent="0.25">
      <c r="A501" s="21"/>
      <c r="B501" s="21"/>
      <c r="C501" s="21"/>
      <c r="E501" s="21"/>
      <c r="F501" s="21"/>
      <c r="G501" s="14"/>
      <c r="H501" s="14"/>
      <c r="I501" s="14"/>
      <c r="J501" s="14"/>
      <c r="K501" s="14"/>
      <c r="L501" s="14"/>
      <c r="M501" s="14"/>
      <c r="N501" s="14"/>
      <c r="O501" s="14"/>
      <c r="P501" s="14"/>
      <c r="Q501" s="14"/>
      <c r="R501" s="14"/>
      <c r="S501" s="14"/>
      <c r="T501" s="14"/>
      <c r="U501" s="14"/>
      <c r="V501" s="14"/>
      <c r="W501" s="14"/>
      <c r="X501" s="14"/>
      <c r="Y501" s="14"/>
    </row>
    <row r="502" spans="1:25" ht="15.75" x14ac:dyDescent="0.25">
      <c r="A502" s="21"/>
      <c r="B502" s="21"/>
      <c r="C502" s="21"/>
      <c r="E502" s="21"/>
      <c r="F502" s="21"/>
      <c r="G502" s="14"/>
      <c r="H502" s="14"/>
      <c r="I502" s="14"/>
      <c r="J502" s="14"/>
      <c r="K502" s="14"/>
      <c r="L502" s="14"/>
      <c r="M502" s="14"/>
      <c r="N502" s="14"/>
      <c r="O502" s="14"/>
      <c r="P502" s="14"/>
      <c r="Q502" s="14"/>
      <c r="R502" s="14"/>
      <c r="S502" s="14"/>
      <c r="T502" s="14"/>
      <c r="U502" s="14"/>
      <c r="V502" s="14"/>
      <c r="W502" s="14"/>
      <c r="X502" s="14"/>
      <c r="Y502" s="14"/>
    </row>
    <row r="503" spans="1:25" ht="15.75" x14ac:dyDescent="0.25">
      <c r="A503" s="21"/>
      <c r="B503" s="21"/>
      <c r="C503" s="21"/>
      <c r="E503" s="21"/>
      <c r="F503" s="21"/>
      <c r="G503" s="14"/>
      <c r="H503" s="14"/>
      <c r="I503" s="14"/>
      <c r="J503" s="14"/>
      <c r="K503" s="14"/>
      <c r="L503" s="14"/>
      <c r="M503" s="14"/>
      <c r="N503" s="14"/>
      <c r="O503" s="14"/>
      <c r="P503" s="14"/>
      <c r="Q503" s="14"/>
      <c r="R503" s="14"/>
      <c r="S503" s="14"/>
      <c r="T503" s="14"/>
      <c r="U503" s="14"/>
      <c r="V503" s="14"/>
      <c r="W503" s="14"/>
      <c r="X503" s="14"/>
      <c r="Y503" s="14"/>
    </row>
    <row r="504" spans="1:25" ht="15.75" x14ac:dyDescent="0.25">
      <c r="A504" s="21"/>
      <c r="B504" s="21"/>
      <c r="C504" s="21"/>
      <c r="E504" s="21"/>
      <c r="F504" s="21"/>
      <c r="G504" s="14"/>
      <c r="H504" s="14"/>
      <c r="I504" s="14"/>
      <c r="J504" s="14"/>
      <c r="K504" s="14"/>
      <c r="L504" s="14"/>
      <c r="M504" s="14"/>
      <c r="N504" s="14"/>
      <c r="O504" s="14"/>
      <c r="P504" s="14"/>
      <c r="Q504" s="14"/>
      <c r="R504" s="14"/>
      <c r="S504" s="14"/>
      <c r="T504" s="14"/>
      <c r="U504" s="14"/>
      <c r="V504" s="14"/>
      <c r="W504" s="14"/>
      <c r="X504" s="14"/>
      <c r="Y504" s="14"/>
    </row>
    <row r="505" spans="1:25" ht="15.75" x14ac:dyDescent="0.25">
      <c r="A505" s="21"/>
      <c r="B505" s="21"/>
      <c r="C505" s="21"/>
      <c r="E505" s="21"/>
      <c r="F505" s="21"/>
      <c r="G505" s="14"/>
      <c r="H505" s="14"/>
      <c r="I505" s="14"/>
      <c r="J505" s="14"/>
      <c r="K505" s="14"/>
      <c r="L505" s="14"/>
      <c r="M505" s="14"/>
      <c r="N505" s="14"/>
      <c r="O505" s="14"/>
      <c r="P505" s="14"/>
      <c r="Q505" s="14"/>
      <c r="R505" s="14"/>
      <c r="S505" s="14"/>
      <c r="T505" s="14"/>
      <c r="U505" s="14"/>
      <c r="V505" s="14"/>
      <c r="W505" s="14"/>
      <c r="X505" s="14"/>
      <c r="Y505" s="14"/>
    </row>
    <row r="506" spans="1:25" ht="15.75" x14ac:dyDescent="0.25">
      <c r="A506" s="21"/>
      <c r="B506" s="21"/>
      <c r="C506" s="21"/>
      <c r="E506" s="21"/>
      <c r="F506" s="21"/>
      <c r="G506" s="14"/>
      <c r="H506" s="14"/>
      <c r="I506" s="14"/>
      <c r="J506" s="14"/>
      <c r="K506" s="14"/>
      <c r="L506" s="14"/>
      <c r="M506" s="14"/>
      <c r="N506" s="14"/>
      <c r="O506" s="14"/>
      <c r="P506" s="14"/>
      <c r="Q506" s="14"/>
      <c r="R506" s="14"/>
      <c r="S506" s="14"/>
      <c r="T506" s="14"/>
      <c r="U506" s="14"/>
      <c r="V506" s="14"/>
      <c r="W506" s="14"/>
      <c r="X506" s="14"/>
      <c r="Y506" s="14"/>
    </row>
    <row r="507" spans="1:25" ht="15.75" x14ac:dyDescent="0.25">
      <c r="A507" s="21"/>
      <c r="B507" s="21"/>
      <c r="C507" s="21"/>
      <c r="E507" s="21"/>
      <c r="F507" s="21"/>
      <c r="G507" s="14"/>
      <c r="H507" s="14"/>
      <c r="I507" s="14"/>
      <c r="J507" s="14"/>
      <c r="K507" s="14"/>
      <c r="L507" s="14"/>
      <c r="M507" s="14"/>
      <c r="N507" s="14"/>
      <c r="O507" s="14"/>
      <c r="P507" s="14"/>
      <c r="Q507" s="14"/>
      <c r="R507" s="14"/>
      <c r="S507" s="14"/>
      <c r="T507" s="14"/>
      <c r="U507" s="14"/>
      <c r="V507" s="14"/>
      <c r="W507" s="14"/>
      <c r="X507" s="14"/>
      <c r="Y507" s="14"/>
    </row>
    <row r="508" spans="1:25" ht="15.75" x14ac:dyDescent="0.25">
      <c r="A508" s="21"/>
      <c r="B508" s="21"/>
      <c r="C508" s="21"/>
      <c r="E508" s="21"/>
      <c r="F508" s="21"/>
      <c r="G508" s="14"/>
      <c r="H508" s="14"/>
      <c r="I508" s="14"/>
      <c r="J508" s="14"/>
      <c r="K508" s="14"/>
      <c r="L508" s="14"/>
      <c r="M508" s="14"/>
      <c r="N508" s="14"/>
      <c r="O508" s="14"/>
      <c r="P508" s="14"/>
      <c r="Q508" s="14"/>
      <c r="R508" s="14"/>
      <c r="S508" s="14"/>
      <c r="T508" s="14"/>
      <c r="U508" s="14"/>
      <c r="V508" s="14"/>
      <c r="W508" s="14"/>
      <c r="X508" s="14"/>
      <c r="Y508" s="14"/>
    </row>
    <row r="509" spans="1:25" ht="15.75" x14ac:dyDescent="0.25">
      <c r="A509" s="21"/>
      <c r="B509" s="21"/>
      <c r="C509" s="21"/>
      <c r="E509" s="21"/>
      <c r="F509" s="21"/>
      <c r="G509" s="14"/>
      <c r="H509" s="14"/>
      <c r="I509" s="14"/>
      <c r="J509" s="14"/>
      <c r="K509" s="14"/>
      <c r="L509" s="14"/>
      <c r="M509" s="14"/>
      <c r="N509" s="14"/>
      <c r="O509" s="14"/>
      <c r="P509" s="14"/>
      <c r="Q509" s="14"/>
      <c r="R509" s="14"/>
      <c r="S509" s="14"/>
      <c r="T509" s="14"/>
      <c r="U509" s="14"/>
      <c r="V509" s="14"/>
      <c r="W509" s="14"/>
      <c r="X509" s="14"/>
      <c r="Y509" s="14"/>
    </row>
    <row r="510" spans="1:25" ht="15.75" x14ac:dyDescent="0.25">
      <c r="A510" s="21"/>
      <c r="B510" s="21"/>
      <c r="C510" s="21"/>
      <c r="E510" s="21"/>
      <c r="F510" s="21"/>
      <c r="G510" s="14"/>
      <c r="H510" s="14"/>
      <c r="I510" s="14"/>
      <c r="J510" s="14"/>
      <c r="K510" s="14"/>
      <c r="L510" s="14"/>
      <c r="M510" s="14"/>
      <c r="N510" s="14"/>
      <c r="O510" s="14"/>
      <c r="P510" s="14"/>
      <c r="Q510" s="14"/>
      <c r="R510" s="14"/>
      <c r="S510" s="14"/>
      <c r="T510" s="14"/>
      <c r="U510" s="14"/>
      <c r="V510" s="14"/>
      <c r="W510" s="14"/>
      <c r="X510" s="14"/>
      <c r="Y510" s="14"/>
    </row>
    <row r="511" spans="1:25" ht="15.75" x14ac:dyDescent="0.25">
      <c r="A511" s="21"/>
      <c r="B511" s="21"/>
      <c r="C511" s="21"/>
      <c r="E511" s="21"/>
      <c r="F511" s="21"/>
      <c r="G511" s="14"/>
      <c r="H511" s="14"/>
      <c r="I511" s="14"/>
      <c r="J511" s="14"/>
      <c r="K511" s="14"/>
      <c r="L511" s="14"/>
      <c r="M511" s="14"/>
      <c r="N511" s="14"/>
      <c r="O511" s="14"/>
      <c r="P511" s="14"/>
      <c r="Q511" s="14"/>
      <c r="R511" s="14"/>
      <c r="S511" s="14"/>
      <c r="T511" s="14"/>
      <c r="U511" s="14"/>
      <c r="V511" s="14"/>
      <c r="W511" s="14"/>
      <c r="X511" s="14"/>
      <c r="Y511" s="14"/>
    </row>
    <row r="512" spans="1:25" ht="15.75" x14ac:dyDescent="0.25">
      <c r="A512" s="21"/>
      <c r="B512" s="21"/>
      <c r="C512" s="21"/>
      <c r="E512" s="21"/>
      <c r="F512" s="21"/>
      <c r="G512" s="14"/>
      <c r="H512" s="14"/>
      <c r="I512" s="14"/>
      <c r="J512" s="14"/>
      <c r="K512" s="14"/>
      <c r="L512" s="14"/>
      <c r="M512" s="14"/>
      <c r="N512" s="14"/>
      <c r="O512" s="14"/>
      <c r="P512" s="14"/>
      <c r="Q512" s="14"/>
      <c r="R512" s="14"/>
      <c r="S512" s="14"/>
      <c r="T512" s="14"/>
      <c r="U512" s="14"/>
      <c r="V512" s="14"/>
      <c r="W512" s="14"/>
      <c r="X512" s="14"/>
      <c r="Y512" s="14"/>
    </row>
    <row r="513" spans="1:25" ht="15.75" x14ac:dyDescent="0.25">
      <c r="A513" s="21"/>
      <c r="B513" s="21"/>
      <c r="C513" s="21"/>
      <c r="E513" s="21"/>
      <c r="F513" s="21"/>
      <c r="G513" s="14"/>
      <c r="H513" s="14"/>
      <c r="I513" s="14"/>
      <c r="J513" s="14"/>
      <c r="K513" s="14"/>
      <c r="L513" s="14"/>
      <c r="M513" s="14"/>
      <c r="N513" s="14"/>
      <c r="O513" s="14"/>
      <c r="P513" s="14"/>
      <c r="Q513" s="14"/>
      <c r="R513" s="14"/>
      <c r="S513" s="14"/>
      <c r="T513" s="14"/>
      <c r="U513" s="14"/>
      <c r="V513" s="14"/>
      <c r="W513" s="14"/>
      <c r="X513" s="14"/>
      <c r="Y513" s="14"/>
    </row>
    <row r="514" spans="1:25" ht="15.75" x14ac:dyDescent="0.25">
      <c r="A514" s="21"/>
      <c r="B514" s="21"/>
      <c r="C514" s="21"/>
      <c r="E514" s="21"/>
      <c r="F514" s="21"/>
      <c r="G514" s="14"/>
      <c r="H514" s="14"/>
      <c r="I514" s="14"/>
      <c r="J514" s="14"/>
      <c r="K514" s="14"/>
      <c r="L514" s="14"/>
      <c r="M514" s="14"/>
      <c r="N514" s="14"/>
      <c r="O514" s="14"/>
      <c r="P514" s="14"/>
      <c r="Q514" s="14"/>
      <c r="R514" s="14"/>
      <c r="S514" s="14"/>
      <c r="T514" s="14"/>
      <c r="U514" s="14"/>
      <c r="V514" s="14"/>
      <c r="W514" s="14"/>
      <c r="X514" s="14"/>
      <c r="Y514" s="14"/>
    </row>
    <row r="515" spans="1:25" ht="15.75" x14ac:dyDescent="0.25">
      <c r="A515" s="21"/>
      <c r="B515" s="21"/>
      <c r="C515" s="21"/>
      <c r="E515" s="21"/>
      <c r="F515" s="21"/>
      <c r="G515" s="14"/>
      <c r="H515" s="14"/>
      <c r="I515" s="14"/>
      <c r="J515" s="14"/>
      <c r="K515" s="14"/>
      <c r="L515" s="14"/>
      <c r="M515" s="14"/>
      <c r="N515" s="14"/>
      <c r="O515" s="14"/>
      <c r="P515" s="14"/>
      <c r="Q515" s="14"/>
      <c r="R515" s="14"/>
      <c r="S515" s="14"/>
      <c r="T515" s="14"/>
      <c r="U515" s="14"/>
      <c r="V515" s="14"/>
      <c r="W515" s="14"/>
      <c r="X515" s="14"/>
      <c r="Y515" s="14"/>
    </row>
    <row r="516" spans="1:25" ht="15.75" x14ac:dyDescent="0.25">
      <c r="A516" s="21"/>
      <c r="B516" s="21"/>
      <c r="C516" s="21"/>
      <c r="E516" s="21"/>
      <c r="F516" s="21"/>
      <c r="G516" s="14"/>
      <c r="H516" s="14"/>
      <c r="I516" s="14"/>
      <c r="J516" s="14"/>
      <c r="K516" s="14"/>
      <c r="L516" s="14"/>
      <c r="M516" s="14"/>
      <c r="N516" s="14"/>
      <c r="O516" s="14"/>
      <c r="P516" s="14"/>
      <c r="Q516" s="14"/>
      <c r="R516" s="14"/>
      <c r="S516" s="14"/>
      <c r="T516" s="14"/>
      <c r="U516" s="14"/>
      <c r="V516" s="14"/>
      <c r="W516" s="14"/>
      <c r="X516" s="14"/>
      <c r="Y516" s="14"/>
    </row>
    <row r="517" spans="1:25" ht="15.75" x14ac:dyDescent="0.25">
      <c r="A517" s="21"/>
      <c r="B517" s="21"/>
      <c r="C517" s="21"/>
      <c r="E517" s="21"/>
      <c r="F517" s="21"/>
      <c r="G517" s="14"/>
      <c r="H517" s="14"/>
      <c r="I517" s="14"/>
      <c r="J517" s="14"/>
      <c r="K517" s="14"/>
      <c r="L517" s="14"/>
      <c r="M517" s="14"/>
      <c r="N517" s="14"/>
      <c r="O517" s="14"/>
      <c r="P517" s="14"/>
      <c r="Q517" s="14"/>
      <c r="R517" s="14"/>
      <c r="S517" s="14"/>
      <c r="T517" s="14"/>
      <c r="U517" s="14"/>
      <c r="V517" s="14"/>
      <c r="W517" s="14"/>
      <c r="X517" s="14"/>
      <c r="Y517" s="14"/>
    </row>
    <row r="518" spans="1:25" ht="15.75" x14ac:dyDescent="0.25">
      <c r="A518" s="21"/>
      <c r="B518" s="21"/>
      <c r="C518" s="21"/>
      <c r="E518" s="21"/>
      <c r="F518" s="21"/>
      <c r="G518" s="14"/>
      <c r="H518" s="14"/>
      <c r="I518" s="14"/>
      <c r="J518" s="14"/>
      <c r="K518" s="14"/>
      <c r="L518" s="14"/>
      <c r="M518" s="14"/>
      <c r="N518" s="14"/>
      <c r="O518" s="14"/>
      <c r="P518" s="14"/>
      <c r="Q518" s="14"/>
      <c r="R518" s="14"/>
      <c r="S518" s="14"/>
      <c r="T518" s="14"/>
      <c r="U518" s="14"/>
      <c r="V518" s="14"/>
      <c r="W518" s="14"/>
      <c r="X518" s="14"/>
      <c r="Y518" s="14"/>
    </row>
    <row r="519" spans="1:25" ht="15.75" x14ac:dyDescent="0.25">
      <c r="A519" s="21"/>
      <c r="B519" s="21"/>
      <c r="C519" s="21"/>
      <c r="E519" s="21"/>
      <c r="F519" s="21"/>
      <c r="G519" s="14"/>
      <c r="H519" s="14"/>
      <c r="I519" s="14"/>
      <c r="J519" s="14"/>
      <c r="K519" s="14"/>
      <c r="L519" s="14"/>
      <c r="M519" s="14"/>
      <c r="N519" s="14"/>
      <c r="O519" s="14"/>
      <c r="P519" s="14"/>
      <c r="Q519" s="14"/>
      <c r="R519" s="14"/>
      <c r="S519" s="14"/>
      <c r="T519" s="14"/>
      <c r="U519" s="14"/>
      <c r="V519" s="14"/>
      <c r="W519" s="14"/>
      <c r="X519" s="14"/>
      <c r="Y519" s="14"/>
    </row>
    <row r="520" spans="1:25" ht="15.75" x14ac:dyDescent="0.25">
      <c r="A520" s="21"/>
      <c r="B520" s="21"/>
      <c r="C520" s="21"/>
      <c r="E520" s="21"/>
      <c r="F520" s="21"/>
      <c r="G520" s="14"/>
      <c r="H520" s="14"/>
      <c r="I520" s="14"/>
      <c r="J520" s="14"/>
      <c r="K520" s="14"/>
      <c r="L520" s="14"/>
      <c r="M520" s="14"/>
      <c r="N520" s="14"/>
      <c r="O520" s="14"/>
      <c r="P520" s="14"/>
      <c r="Q520" s="14"/>
      <c r="R520" s="14"/>
      <c r="S520" s="14"/>
      <c r="T520" s="14"/>
      <c r="U520" s="14"/>
      <c r="V520" s="14"/>
      <c r="W520" s="14"/>
      <c r="X520" s="14"/>
      <c r="Y520" s="14"/>
    </row>
    <row r="521" spans="1:25" ht="15.75" x14ac:dyDescent="0.25">
      <c r="A521" s="21"/>
      <c r="B521" s="21"/>
      <c r="C521" s="21"/>
      <c r="E521" s="21"/>
      <c r="F521" s="21"/>
      <c r="G521" s="14"/>
      <c r="H521" s="14"/>
      <c r="I521" s="14"/>
      <c r="J521" s="14"/>
      <c r="K521" s="14"/>
      <c r="L521" s="14"/>
      <c r="M521" s="14"/>
      <c r="N521" s="14"/>
      <c r="O521" s="14"/>
      <c r="P521" s="14"/>
      <c r="Q521" s="14"/>
      <c r="R521" s="14"/>
      <c r="S521" s="14"/>
      <c r="T521" s="14"/>
      <c r="U521" s="14"/>
      <c r="V521" s="14"/>
      <c r="W521" s="14"/>
      <c r="X521" s="14"/>
      <c r="Y521" s="14"/>
    </row>
    <row r="522" spans="1:25" ht="15.75" x14ac:dyDescent="0.25">
      <c r="A522" s="21"/>
      <c r="B522" s="21"/>
      <c r="C522" s="21"/>
      <c r="E522" s="21"/>
      <c r="F522" s="21"/>
      <c r="G522" s="14"/>
      <c r="H522" s="14"/>
      <c r="I522" s="14"/>
      <c r="J522" s="14"/>
      <c r="K522" s="14"/>
      <c r="L522" s="14"/>
      <c r="M522" s="14"/>
      <c r="N522" s="14"/>
      <c r="O522" s="14"/>
      <c r="P522" s="14"/>
      <c r="Q522" s="14"/>
      <c r="R522" s="14"/>
      <c r="S522" s="14"/>
      <c r="T522" s="14"/>
      <c r="U522" s="14"/>
      <c r="V522" s="14"/>
      <c r="W522" s="14"/>
      <c r="X522" s="14"/>
      <c r="Y522" s="14"/>
    </row>
    <row r="523" spans="1:25" ht="15.75" x14ac:dyDescent="0.25">
      <c r="A523" s="21"/>
      <c r="B523" s="21"/>
      <c r="C523" s="21"/>
      <c r="E523" s="21"/>
      <c r="F523" s="21"/>
      <c r="G523" s="14"/>
      <c r="H523" s="14"/>
      <c r="I523" s="14"/>
      <c r="J523" s="14"/>
      <c r="K523" s="14"/>
      <c r="L523" s="14"/>
      <c r="M523" s="14"/>
      <c r="N523" s="14"/>
      <c r="O523" s="14"/>
      <c r="P523" s="14"/>
      <c r="Q523" s="14"/>
      <c r="R523" s="14"/>
      <c r="S523" s="14"/>
      <c r="T523" s="14"/>
      <c r="U523" s="14"/>
      <c r="V523" s="14"/>
      <c r="W523" s="14"/>
      <c r="X523" s="14"/>
      <c r="Y523" s="14"/>
    </row>
    <row r="524" spans="1:25" ht="15.75" x14ac:dyDescent="0.25">
      <c r="A524" s="21"/>
      <c r="B524" s="21"/>
      <c r="C524" s="21"/>
      <c r="E524" s="21"/>
      <c r="F524" s="21"/>
      <c r="G524" s="14"/>
      <c r="H524" s="14"/>
      <c r="I524" s="14"/>
      <c r="J524" s="14"/>
      <c r="K524" s="14"/>
      <c r="L524" s="14"/>
      <c r="M524" s="14"/>
      <c r="N524" s="14"/>
      <c r="O524" s="14"/>
      <c r="P524" s="14"/>
      <c r="Q524" s="14"/>
      <c r="R524" s="14"/>
      <c r="S524" s="14"/>
      <c r="T524" s="14"/>
      <c r="U524" s="14"/>
      <c r="V524" s="14"/>
      <c r="W524" s="14"/>
      <c r="X524" s="14"/>
      <c r="Y524" s="14"/>
    </row>
    <row r="525" spans="1:25" ht="15.75" x14ac:dyDescent="0.25">
      <c r="A525" s="21"/>
      <c r="B525" s="21"/>
      <c r="C525" s="21"/>
      <c r="E525" s="21"/>
      <c r="F525" s="21"/>
      <c r="G525" s="14"/>
      <c r="H525" s="14"/>
      <c r="I525" s="14"/>
      <c r="J525" s="14"/>
      <c r="K525" s="14"/>
      <c r="L525" s="14"/>
      <c r="M525" s="14"/>
      <c r="N525" s="14"/>
      <c r="O525" s="14"/>
      <c r="P525" s="14"/>
      <c r="Q525" s="14"/>
      <c r="R525" s="14"/>
      <c r="S525" s="14"/>
      <c r="T525" s="14"/>
      <c r="U525" s="14"/>
      <c r="V525" s="14"/>
      <c r="W525" s="14"/>
      <c r="X525" s="14"/>
      <c r="Y525" s="14"/>
    </row>
    <row r="526" spans="1:25" ht="15.75" x14ac:dyDescent="0.25">
      <c r="A526" s="21"/>
      <c r="B526" s="21"/>
      <c r="C526" s="21"/>
      <c r="E526" s="21"/>
      <c r="F526" s="21"/>
      <c r="G526" s="14"/>
      <c r="H526" s="14"/>
      <c r="I526" s="14"/>
      <c r="J526" s="14"/>
      <c r="K526" s="14"/>
      <c r="L526" s="14"/>
      <c r="M526" s="14"/>
      <c r="N526" s="14"/>
      <c r="O526" s="14"/>
      <c r="P526" s="14"/>
      <c r="Q526" s="14"/>
      <c r="R526" s="14"/>
      <c r="S526" s="14"/>
      <c r="T526" s="14"/>
      <c r="U526" s="14"/>
      <c r="V526" s="14"/>
      <c r="W526" s="14"/>
      <c r="X526" s="14"/>
      <c r="Y526" s="14"/>
    </row>
    <row r="527" spans="1:25" ht="15.75" x14ac:dyDescent="0.25">
      <c r="A527" s="21"/>
      <c r="B527" s="21"/>
      <c r="C527" s="21"/>
      <c r="E527" s="21"/>
      <c r="F527" s="21"/>
      <c r="G527" s="14"/>
      <c r="H527" s="14"/>
      <c r="I527" s="14"/>
      <c r="J527" s="14"/>
      <c r="K527" s="14"/>
      <c r="L527" s="14"/>
      <c r="M527" s="14"/>
      <c r="N527" s="14"/>
      <c r="O527" s="14"/>
      <c r="P527" s="14"/>
      <c r="Q527" s="14"/>
      <c r="R527" s="14"/>
      <c r="S527" s="14"/>
      <c r="T527" s="14"/>
      <c r="U527" s="14"/>
      <c r="V527" s="14"/>
      <c r="W527" s="14"/>
      <c r="X527" s="14"/>
      <c r="Y527" s="14"/>
    </row>
    <row r="528" spans="1:25" ht="15.75" x14ac:dyDescent="0.25">
      <c r="A528" s="21"/>
      <c r="B528" s="21"/>
      <c r="C528" s="21"/>
      <c r="E528" s="21"/>
      <c r="F528" s="21"/>
      <c r="G528" s="14"/>
      <c r="H528" s="14"/>
      <c r="I528" s="14"/>
      <c r="J528" s="14"/>
      <c r="K528" s="14"/>
      <c r="L528" s="14"/>
      <c r="M528" s="14"/>
      <c r="N528" s="14"/>
      <c r="O528" s="14"/>
      <c r="P528" s="14"/>
      <c r="Q528" s="14"/>
      <c r="R528" s="14"/>
      <c r="S528" s="14"/>
      <c r="T528" s="14"/>
      <c r="U528" s="14"/>
      <c r="V528" s="14"/>
      <c r="W528" s="14"/>
      <c r="X528" s="14"/>
      <c r="Y528" s="14"/>
    </row>
    <row r="529" spans="1:25" ht="15.75" x14ac:dyDescent="0.25">
      <c r="A529" s="21"/>
      <c r="B529" s="21"/>
      <c r="C529" s="21"/>
      <c r="E529" s="21"/>
      <c r="F529" s="21"/>
      <c r="G529" s="14"/>
      <c r="H529" s="14"/>
      <c r="I529" s="14"/>
      <c r="J529" s="14"/>
      <c r="K529" s="14"/>
      <c r="L529" s="14"/>
      <c r="M529" s="14"/>
      <c r="N529" s="14"/>
      <c r="O529" s="14"/>
      <c r="P529" s="14"/>
      <c r="Q529" s="14"/>
      <c r="R529" s="14"/>
      <c r="S529" s="14"/>
      <c r="T529" s="14"/>
      <c r="U529" s="14"/>
      <c r="V529" s="14"/>
      <c r="W529" s="14"/>
      <c r="X529" s="14"/>
      <c r="Y529" s="14"/>
    </row>
    <row r="530" spans="1:25" ht="15.75" x14ac:dyDescent="0.25">
      <c r="A530" s="21"/>
      <c r="B530" s="21"/>
      <c r="C530" s="21"/>
      <c r="E530" s="21"/>
      <c r="F530" s="21"/>
      <c r="G530" s="14"/>
      <c r="H530" s="14"/>
      <c r="I530" s="14"/>
      <c r="J530" s="14"/>
      <c r="K530" s="14"/>
      <c r="L530" s="14"/>
      <c r="M530" s="14"/>
      <c r="N530" s="14"/>
      <c r="O530" s="14"/>
      <c r="P530" s="14"/>
      <c r="Q530" s="14"/>
      <c r="R530" s="14"/>
      <c r="S530" s="14"/>
      <c r="T530" s="14"/>
      <c r="U530" s="14"/>
      <c r="V530" s="14"/>
      <c r="W530" s="14"/>
      <c r="X530" s="14"/>
      <c r="Y530" s="14"/>
    </row>
    <row r="531" spans="1:25" ht="15.75" x14ac:dyDescent="0.25">
      <c r="A531" s="21"/>
      <c r="B531" s="21"/>
      <c r="C531" s="21"/>
      <c r="E531" s="21"/>
      <c r="F531" s="21"/>
      <c r="G531" s="14"/>
      <c r="H531" s="14"/>
      <c r="I531" s="14"/>
      <c r="J531" s="14"/>
      <c r="K531" s="14"/>
      <c r="L531" s="14"/>
      <c r="M531" s="14"/>
      <c r="N531" s="14"/>
      <c r="O531" s="14"/>
      <c r="P531" s="14"/>
      <c r="Q531" s="14"/>
      <c r="R531" s="14"/>
      <c r="S531" s="14"/>
      <c r="T531" s="14"/>
      <c r="U531" s="14"/>
      <c r="V531" s="14"/>
      <c r="W531" s="14"/>
      <c r="X531" s="14"/>
      <c r="Y531" s="14"/>
    </row>
    <row r="532" spans="1:25" ht="15.75" x14ac:dyDescent="0.25">
      <c r="A532" s="21"/>
      <c r="B532" s="21"/>
      <c r="C532" s="21"/>
      <c r="E532" s="21"/>
      <c r="F532" s="21"/>
      <c r="G532" s="14"/>
      <c r="H532" s="14"/>
      <c r="I532" s="14"/>
      <c r="J532" s="14"/>
      <c r="K532" s="14"/>
      <c r="L532" s="14"/>
      <c r="M532" s="14"/>
      <c r="N532" s="14"/>
      <c r="O532" s="14"/>
      <c r="P532" s="14"/>
      <c r="Q532" s="14"/>
      <c r="R532" s="14"/>
      <c r="S532" s="14"/>
      <c r="T532" s="14"/>
      <c r="U532" s="14"/>
      <c r="V532" s="14"/>
      <c r="W532" s="14"/>
      <c r="X532" s="14"/>
      <c r="Y532" s="14"/>
    </row>
    <row r="533" spans="1:25" ht="15.75" x14ac:dyDescent="0.25">
      <c r="A533" s="21"/>
      <c r="B533" s="21"/>
      <c r="C533" s="21"/>
      <c r="E533" s="21"/>
      <c r="F533" s="21"/>
      <c r="G533" s="14"/>
      <c r="H533" s="14"/>
      <c r="I533" s="14"/>
      <c r="J533" s="14"/>
      <c r="K533" s="14"/>
      <c r="L533" s="14"/>
      <c r="M533" s="14"/>
      <c r="N533" s="14"/>
      <c r="O533" s="14"/>
      <c r="P533" s="14"/>
      <c r="Q533" s="14"/>
      <c r="R533" s="14"/>
      <c r="S533" s="14"/>
      <c r="T533" s="14"/>
      <c r="U533" s="14"/>
      <c r="V533" s="14"/>
      <c r="W533" s="14"/>
      <c r="X533" s="14"/>
      <c r="Y533" s="14"/>
    </row>
    <row r="534" spans="1:25" ht="15.75" x14ac:dyDescent="0.25">
      <c r="A534" s="21"/>
      <c r="B534" s="21"/>
      <c r="C534" s="21"/>
      <c r="E534" s="21"/>
      <c r="F534" s="21"/>
      <c r="G534" s="14"/>
      <c r="H534" s="14"/>
      <c r="I534" s="14"/>
      <c r="J534" s="14"/>
      <c r="K534" s="14"/>
      <c r="L534" s="14"/>
      <c r="M534" s="14"/>
      <c r="N534" s="14"/>
      <c r="O534" s="14"/>
      <c r="P534" s="14"/>
      <c r="Q534" s="14"/>
      <c r="R534" s="14"/>
      <c r="S534" s="14"/>
      <c r="T534" s="14"/>
      <c r="U534" s="14"/>
      <c r="V534" s="14"/>
      <c r="W534" s="14"/>
      <c r="X534" s="14"/>
      <c r="Y534" s="14"/>
    </row>
    <row r="535" spans="1:25" ht="15.75" x14ac:dyDescent="0.25">
      <c r="A535" s="21"/>
      <c r="B535" s="21"/>
      <c r="C535" s="21"/>
      <c r="E535" s="21"/>
      <c r="F535" s="21"/>
      <c r="G535" s="14"/>
      <c r="H535" s="14"/>
      <c r="I535" s="14"/>
      <c r="J535" s="14"/>
      <c r="K535" s="14"/>
      <c r="L535" s="14"/>
      <c r="M535" s="14"/>
      <c r="N535" s="14"/>
      <c r="O535" s="14"/>
      <c r="P535" s="14"/>
      <c r="Q535" s="14"/>
      <c r="R535" s="14"/>
      <c r="S535" s="14"/>
      <c r="T535" s="14"/>
      <c r="U535" s="14"/>
      <c r="V535" s="14"/>
      <c r="W535" s="14"/>
      <c r="X535" s="14"/>
      <c r="Y535" s="14"/>
    </row>
    <row r="536" spans="1:25" ht="15.75" x14ac:dyDescent="0.25">
      <c r="A536" s="21"/>
      <c r="B536" s="21"/>
      <c r="C536" s="21"/>
      <c r="E536" s="21"/>
      <c r="F536" s="21"/>
      <c r="G536" s="14"/>
      <c r="H536" s="14"/>
      <c r="I536" s="14"/>
      <c r="J536" s="14"/>
      <c r="K536" s="14"/>
      <c r="L536" s="14"/>
      <c r="M536" s="14"/>
      <c r="N536" s="14"/>
      <c r="O536" s="14"/>
      <c r="P536" s="14"/>
      <c r="Q536" s="14"/>
      <c r="R536" s="14"/>
      <c r="S536" s="14"/>
      <c r="T536" s="14"/>
      <c r="U536" s="14"/>
      <c r="V536" s="14"/>
      <c r="W536" s="14"/>
      <c r="X536" s="14"/>
      <c r="Y536" s="14"/>
    </row>
    <row r="537" spans="1:25" ht="15.75" x14ac:dyDescent="0.25">
      <c r="A537" s="21"/>
      <c r="B537" s="21"/>
      <c r="C537" s="21"/>
      <c r="E537" s="21"/>
      <c r="F537" s="21"/>
      <c r="G537" s="14"/>
      <c r="H537" s="14"/>
      <c r="I537" s="14"/>
      <c r="J537" s="14"/>
      <c r="K537" s="14"/>
      <c r="L537" s="14"/>
      <c r="M537" s="14"/>
      <c r="N537" s="14"/>
      <c r="O537" s="14"/>
      <c r="P537" s="14"/>
      <c r="Q537" s="14"/>
      <c r="R537" s="14"/>
      <c r="S537" s="14"/>
      <c r="T537" s="14"/>
      <c r="U537" s="14"/>
      <c r="V537" s="14"/>
      <c r="W537" s="14"/>
      <c r="X537" s="14"/>
      <c r="Y537" s="14"/>
    </row>
    <row r="538" spans="1:25" ht="15.75" x14ac:dyDescent="0.25">
      <c r="A538" s="21"/>
      <c r="B538" s="21"/>
      <c r="C538" s="21"/>
      <c r="E538" s="21"/>
      <c r="F538" s="21"/>
      <c r="G538" s="14"/>
      <c r="H538" s="14"/>
      <c r="I538" s="14"/>
      <c r="J538" s="14"/>
      <c r="K538" s="14"/>
      <c r="L538" s="14"/>
      <c r="M538" s="14"/>
      <c r="N538" s="14"/>
      <c r="O538" s="14"/>
      <c r="P538" s="14"/>
      <c r="Q538" s="14"/>
      <c r="R538" s="14"/>
      <c r="S538" s="14"/>
      <c r="T538" s="14"/>
      <c r="U538" s="14"/>
      <c r="V538" s="14"/>
      <c r="W538" s="14"/>
      <c r="X538" s="14"/>
      <c r="Y538" s="14"/>
    </row>
    <row r="539" spans="1:25" ht="15.75" x14ac:dyDescent="0.25">
      <c r="A539" s="21"/>
      <c r="B539" s="21"/>
      <c r="C539" s="21"/>
      <c r="E539" s="21"/>
      <c r="F539" s="21"/>
      <c r="G539" s="14"/>
      <c r="H539" s="14"/>
      <c r="I539" s="14"/>
      <c r="J539" s="14"/>
      <c r="K539" s="14"/>
      <c r="L539" s="14"/>
      <c r="M539" s="14"/>
      <c r="N539" s="14"/>
      <c r="O539" s="14"/>
      <c r="P539" s="14"/>
      <c r="Q539" s="14"/>
      <c r="R539" s="14"/>
      <c r="S539" s="14"/>
      <c r="T539" s="14"/>
      <c r="U539" s="14"/>
      <c r="V539" s="14"/>
      <c r="W539" s="14"/>
      <c r="X539" s="14"/>
      <c r="Y539" s="14"/>
    </row>
    <row r="540" spans="1:25" ht="15.75" x14ac:dyDescent="0.25">
      <c r="A540" s="21"/>
      <c r="B540" s="21"/>
      <c r="C540" s="21"/>
      <c r="E540" s="21"/>
      <c r="F540" s="21"/>
      <c r="G540" s="14"/>
      <c r="H540" s="14"/>
      <c r="I540" s="14"/>
      <c r="J540" s="14"/>
      <c r="K540" s="14"/>
      <c r="L540" s="14"/>
      <c r="M540" s="14"/>
      <c r="N540" s="14"/>
      <c r="O540" s="14"/>
      <c r="P540" s="14"/>
      <c r="Q540" s="14"/>
      <c r="R540" s="14"/>
      <c r="S540" s="14"/>
      <c r="T540" s="14"/>
      <c r="U540" s="14"/>
      <c r="V540" s="14"/>
      <c r="W540" s="14"/>
      <c r="X540" s="14"/>
      <c r="Y540" s="14"/>
    </row>
    <row r="541" spans="1:25" ht="15.75" x14ac:dyDescent="0.25">
      <c r="A541" s="21"/>
      <c r="B541" s="21"/>
      <c r="C541" s="21"/>
      <c r="E541" s="21"/>
      <c r="F541" s="21"/>
      <c r="G541" s="14"/>
      <c r="H541" s="14"/>
      <c r="I541" s="14"/>
      <c r="J541" s="14"/>
      <c r="K541" s="14"/>
      <c r="L541" s="14"/>
      <c r="M541" s="14"/>
      <c r="N541" s="14"/>
      <c r="O541" s="14"/>
      <c r="P541" s="14"/>
      <c r="Q541" s="14"/>
      <c r="R541" s="14"/>
      <c r="S541" s="14"/>
      <c r="T541" s="14"/>
      <c r="U541" s="14"/>
      <c r="V541" s="14"/>
      <c r="W541" s="14"/>
      <c r="X541" s="14"/>
      <c r="Y541" s="14"/>
    </row>
    <row r="542" spans="1:25" ht="15.75" x14ac:dyDescent="0.25">
      <c r="A542" s="21"/>
      <c r="B542" s="21"/>
      <c r="C542" s="21"/>
      <c r="E542" s="21"/>
      <c r="F542" s="21"/>
      <c r="G542" s="14"/>
      <c r="H542" s="14"/>
      <c r="I542" s="14"/>
      <c r="J542" s="14"/>
      <c r="K542" s="14"/>
      <c r="L542" s="14"/>
      <c r="M542" s="14"/>
      <c r="N542" s="14"/>
      <c r="O542" s="14"/>
      <c r="P542" s="14"/>
      <c r="Q542" s="14"/>
      <c r="R542" s="14"/>
      <c r="S542" s="14"/>
      <c r="T542" s="14"/>
      <c r="U542" s="14"/>
      <c r="V542" s="14"/>
      <c r="W542" s="14"/>
      <c r="X542" s="14"/>
      <c r="Y542" s="14"/>
    </row>
    <row r="543" spans="1:25" ht="15.75" x14ac:dyDescent="0.25">
      <c r="A543" s="21"/>
      <c r="B543" s="21"/>
      <c r="C543" s="21"/>
      <c r="E543" s="21"/>
      <c r="F543" s="21"/>
      <c r="G543" s="14"/>
      <c r="H543" s="14"/>
      <c r="I543" s="14"/>
      <c r="J543" s="14"/>
      <c r="K543" s="14"/>
      <c r="L543" s="14"/>
      <c r="M543" s="14"/>
      <c r="N543" s="14"/>
      <c r="O543" s="14"/>
      <c r="P543" s="14"/>
      <c r="Q543" s="14"/>
      <c r="R543" s="14"/>
      <c r="S543" s="14"/>
      <c r="T543" s="14"/>
      <c r="U543" s="14"/>
      <c r="V543" s="14"/>
      <c r="W543" s="14"/>
      <c r="X543" s="14"/>
      <c r="Y543" s="14"/>
    </row>
    <row r="544" spans="1:25" ht="15.75" x14ac:dyDescent="0.25">
      <c r="A544" s="21"/>
      <c r="B544" s="21"/>
      <c r="C544" s="21"/>
      <c r="E544" s="21"/>
      <c r="F544" s="21"/>
      <c r="G544" s="14"/>
      <c r="H544" s="14"/>
      <c r="I544" s="14"/>
      <c r="J544" s="14"/>
      <c r="K544" s="14"/>
      <c r="L544" s="14"/>
      <c r="M544" s="14"/>
      <c r="N544" s="14"/>
      <c r="O544" s="14"/>
      <c r="P544" s="14"/>
      <c r="Q544" s="14"/>
      <c r="R544" s="14"/>
      <c r="S544" s="14"/>
      <c r="T544" s="14"/>
      <c r="U544" s="14"/>
      <c r="V544" s="14"/>
      <c r="W544" s="14"/>
      <c r="X544" s="14"/>
      <c r="Y544" s="14"/>
    </row>
    <row r="545" spans="1:25" ht="15.75" x14ac:dyDescent="0.25">
      <c r="A545" s="21"/>
      <c r="B545" s="21"/>
      <c r="C545" s="21"/>
      <c r="E545" s="21"/>
      <c r="F545" s="21"/>
      <c r="G545" s="14"/>
      <c r="H545" s="14"/>
      <c r="I545" s="14"/>
      <c r="J545" s="14"/>
      <c r="K545" s="14"/>
      <c r="L545" s="14"/>
      <c r="M545" s="14"/>
      <c r="N545" s="14"/>
      <c r="O545" s="14"/>
      <c r="P545" s="14"/>
      <c r="Q545" s="14"/>
      <c r="R545" s="14"/>
      <c r="S545" s="14"/>
      <c r="T545" s="14"/>
      <c r="U545" s="14"/>
      <c r="V545" s="14"/>
      <c r="W545" s="14"/>
      <c r="X545" s="14"/>
      <c r="Y545" s="14"/>
    </row>
    <row r="546" spans="1:25" ht="15.75" x14ac:dyDescent="0.25">
      <c r="A546" s="21"/>
      <c r="B546" s="21"/>
      <c r="C546" s="21"/>
      <c r="E546" s="21"/>
      <c r="F546" s="21"/>
      <c r="G546" s="14"/>
      <c r="H546" s="14"/>
      <c r="I546" s="14"/>
      <c r="J546" s="14"/>
      <c r="K546" s="14"/>
      <c r="L546" s="14"/>
      <c r="M546" s="14"/>
      <c r="N546" s="14"/>
      <c r="O546" s="14"/>
      <c r="P546" s="14"/>
      <c r="Q546" s="14"/>
      <c r="R546" s="14"/>
      <c r="S546" s="14"/>
      <c r="T546" s="14"/>
      <c r="U546" s="14"/>
      <c r="V546" s="14"/>
      <c r="W546" s="14"/>
      <c r="X546" s="14"/>
      <c r="Y546" s="14"/>
    </row>
    <row r="547" spans="1:25" ht="15.75" x14ac:dyDescent="0.25">
      <c r="A547" s="21"/>
      <c r="B547" s="21"/>
      <c r="C547" s="21"/>
      <c r="E547" s="21"/>
      <c r="F547" s="21"/>
      <c r="G547" s="14"/>
      <c r="H547" s="14"/>
      <c r="I547" s="14"/>
      <c r="J547" s="14"/>
      <c r="K547" s="14"/>
      <c r="L547" s="14"/>
      <c r="M547" s="14"/>
      <c r="N547" s="14"/>
      <c r="O547" s="14"/>
      <c r="P547" s="14"/>
      <c r="Q547" s="14"/>
      <c r="R547" s="14"/>
      <c r="S547" s="14"/>
      <c r="T547" s="14"/>
      <c r="U547" s="14"/>
      <c r="V547" s="14"/>
      <c r="W547" s="14"/>
      <c r="X547" s="14"/>
      <c r="Y547" s="14"/>
    </row>
    <row r="548" spans="1:25" ht="15.75" x14ac:dyDescent="0.25">
      <c r="A548" s="21"/>
      <c r="B548" s="21"/>
      <c r="C548" s="21"/>
      <c r="E548" s="21"/>
      <c r="F548" s="21"/>
      <c r="G548" s="14"/>
      <c r="H548" s="14"/>
      <c r="I548" s="14"/>
      <c r="J548" s="14"/>
      <c r="K548" s="14"/>
      <c r="L548" s="14"/>
      <c r="M548" s="14"/>
      <c r="N548" s="14"/>
      <c r="O548" s="14"/>
      <c r="P548" s="14"/>
      <c r="Q548" s="14"/>
      <c r="R548" s="14"/>
      <c r="S548" s="14"/>
      <c r="T548" s="14"/>
      <c r="U548" s="14"/>
      <c r="V548" s="14"/>
      <c r="W548" s="14"/>
      <c r="X548" s="14"/>
      <c r="Y548" s="14"/>
    </row>
    <row r="549" spans="1:25" ht="15.75" x14ac:dyDescent="0.25">
      <c r="A549" s="21"/>
      <c r="B549" s="21"/>
      <c r="C549" s="21"/>
      <c r="E549" s="21"/>
      <c r="F549" s="21"/>
      <c r="G549" s="14"/>
      <c r="H549" s="14"/>
      <c r="I549" s="14"/>
      <c r="J549" s="14"/>
      <c r="K549" s="14"/>
      <c r="L549" s="14"/>
      <c r="M549" s="14"/>
      <c r="N549" s="14"/>
      <c r="O549" s="14"/>
      <c r="P549" s="14"/>
      <c r="Q549" s="14"/>
      <c r="R549" s="14"/>
      <c r="S549" s="14"/>
      <c r="T549" s="14"/>
      <c r="U549" s="14"/>
      <c r="V549" s="14"/>
      <c r="W549" s="14"/>
      <c r="X549" s="14"/>
      <c r="Y549" s="14"/>
    </row>
    <row r="550" spans="1:25" ht="15.75" x14ac:dyDescent="0.25">
      <c r="A550" s="21"/>
      <c r="B550" s="21"/>
      <c r="C550" s="21"/>
      <c r="E550" s="21"/>
      <c r="F550" s="21"/>
      <c r="G550" s="14"/>
      <c r="H550" s="14"/>
      <c r="I550" s="14"/>
      <c r="J550" s="14"/>
      <c r="K550" s="14"/>
      <c r="L550" s="14"/>
      <c r="M550" s="14"/>
      <c r="N550" s="14"/>
      <c r="O550" s="14"/>
      <c r="P550" s="14"/>
      <c r="Q550" s="14"/>
      <c r="R550" s="14"/>
      <c r="S550" s="14"/>
      <c r="T550" s="14"/>
      <c r="U550" s="14"/>
      <c r="V550" s="14"/>
      <c r="W550" s="14"/>
      <c r="X550" s="14"/>
      <c r="Y550" s="14"/>
    </row>
    <row r="551" spans="1:25" ht="15.75" x14ac:dyDescent="0.25">
      <c r="A551" s="21"/>
      <c r="B551" s="21"/>
      <c r="C551" s="21"/>
      <c r="E551" s="21"/>
      <c r="F551" s="21"/>
      <c r="G551" s="14"/>
      <c r="H551" s="14"/>
      <c r="I551" s="14"/>
      <c r="J551" s="14"/>
      <c r="K551" s="14"/>
      <c r="L551" s="14"/>
      <c r="M551" s="14"/>
      <c r="N551" s="14"/>
      <c r="O551" s="14"/>
      <c r="P551" s="14"/>
      <c r="Q551" s="14"/>
      <c r="R551" s="14"/>
      <c r="S551" s="14"/>
      <c r="T551" s="14"/>
      <c r="U551" s="14"/>
      <c r="V551" s="14"/>
      <c r="W551" s="14"/>
      <c r="X551" s="14"/>
      <c r="Y551" s="14"/>
    </row>
    <row r="552" spans="1:25" ht="15.75" x14ac:dyDescent="0.25">
      <c r="A552" s="21"/>
      <c r="B552" s="21"/>
      <c r="C552" s="21"/>
      <c r="E552" s="21"/>
      <c r="F552" s="21"/>
      <c r="G552" s="14"/>
      <c r="H552" s="14"/>
      <c r="I552" s="14"/>
      <c r="J552" s="14"/>
      <c r="K552" s="14"/>
      <c r="L552" s="14"/>
      <c r="M552" s="14"/>
      <c r="N552" s="14"/>
      <c r="O552" s="14"/>
      <c r="P552" s="14"/>
      <c r="Q552" s="14"/>
      <c r="R552" s="14"/>
      <c r="S552" s="14"/>
      <c r="T552" s="14"/>
      <c r="U552" s="14"/>
      <c r="V552" s="14"/>
      <c r="W552" s="14"/>
      <c r="X552" s="14"/>
      <c r="Y552" s="14"/>
    </row>
    <row r="553" spans="1:25" ht="15.75" x14ac:dyDescent="0.25">
      <c r="A553" s="21"/>
      <c r="B553" s="21"/>
      <c r="C553" s="21"/>
      <c r="E553" s="21"/>
      <c r="F553" s="21"/>
      <c r="G553" s="14"/>
      <c r="H553" s="14"/>
      <c r="I553" s="14"/>
      <c r="J553" s="14"/>
      <c r="K553" s="14"/>
      <c r="L553" s="14"/>
      <c r="M553" s="14"/>
      <c r="N553" s="14"/>
      <c r="O553" s="14"/>
      <c r="P553" s="14"/>
      <c r="Q553" s="14"/>
      <c r="R553" s="14"/>
      <c r="S553" s="14"/>
      <c r="T553" s="14"/>
      <c r="U553" s="14"/>
      <c r="V553" s="14"/>
      <c r="W553" s="14"/>
      <c r="X553" s="14"/>
      <c r="Y553" s="14"/>
    </row>
    <row r="554" spans="1:25" ht="15.75" x14ac:dyDescent="0.25">
      <c r="A554" s="21"/>
      <c r="B554" s="21"/>
      <c r="C554" s="21"/>
      <c r="E554" s="21"/>
      <c r="F554" s="21"/>
      <c r="G554" s="14"/>
      <c r="H554" s="14"/>
      <c r="I554" s="14"/>
      <c r="J554" s="14"/>
      <c r="K554" s="14"/>
      <c r="L554" s="14"/>
      <c r="M554" s="14"/>
      <c r="N554" s="14"/>
      <c r="O554" s="14"/>
      <c r="P554" s="14"/>
      <c r="Q554" s="14"/>
      <c r="R554" s="14"/>
      <c r="S554" s="14"/>
      <c r="T554" s="14"/>
      <c r="U554" s="14"/>
      <c r="V554" s="14"/>
      <c r="W554" s="14"/>
      <c r="X554" s="14"/>
      <c r="Y554" s="14"/>
    </row>
    <row r="555" spans="1:25" ht="15.75" x14ac:dyDescent="0.25">
      <c r="A555" s="21"/>
      <c r="B555" s="21"/>
      <c r="C555" s="21"/>
      <c r="E555" s="21"/>
      <c r="F555" s="21"/>
      <c r="G555" s="14"/>
      <c r="H555" s="14"/>
      <c r="I555" s="14"/>
      <c r="J555" s="14"/>
      <c r="K555" s="14"/>
      <c r="L555" s="14"/>
      <c r="M555" s="14"/>
      <c r="N555" s="14"/>
      <c r="O555" s="14"/>
      <c r="P555" s="14"/>
      <c r="Q555" s="14"/>
      <c r="R555" s="14"/>
      <c r="S555" s="14"/>
      <c r="T555" s="14"/>
      <c r="U555" s="14"/>
      <c r="V555" s="14"/>
      <c r="W555" s="14"/>
      <c r="X555" s="14"/>
      <c r="Y555" s="14"/>
    </row>
    <row r="556" spans="1:25" ht="15.75" x14ac:dyDescent="0.25">
      <c r="A556" s="21"/>
      <c r="B556" s="21"/>
      <c r="C556" s="21"/>
      <c r="E556" s="21"/>
      <c r="F556" s="21"/>
      <c r="G556" s="14"/>
      <c r="H556" s="14"/>
      <c r="I556" s="14"/>
      <c r="J556" s="14"/>
      <c r="K556" s="14"/>
      <c r="L556" s="14"/>
      <c r="M556" s="14"/>
      <c r="N556" s="14"/>
      <c r="O556" s="14"/>
      <c r="P556" s="14"/>
      <c r="Q556" s="14"/>
      <c r="R556" s="14"/>
      <c r="S556" s="14"/>
      <c r="T556" s="14"/>
      <c r="U556" s="14"/>
      <c r="V556" s="14"/>
      <c r="W556" s="14"/>
      <c r="X556" s="14"/>
      <c r="Y556" s="14"/>
    </row>
    <row r="557" spans="1:25" ht="15.75" x14ac:dyDescent="0.25">
      <c r="A557" s="21"/>
      <c r="B557" s="21"/>
      <c r="C557" s="21"/>
      <c r="E557" s="21"/>
      <c r="F557" s="21"/>
      <c r="G557" s="14"/>
      <c r="H557" s="14"/>
      <c r="I557" s="14"/>
      <c r="J557" s="14"/>
      <c r="K557" s="14"/>
      <c r="L557" s="14"/>
      <c r="M557" s="14"/>
      <c r="N557" s="14"/>
      <c r="O557" s="14"/>
      <c r="P557" s="14"/>
      <c r="Q557" s="14"/>
      <c r="R557" s="14"/>
      <c r="S557" s="14"/>
      <c r="T557" s="14"/>
      <c r="U557" s="14"/>
      <c r="V557" s="14"/>
      <c r="W557" s="14"/>
      <c r="X557" s="14"/>
      <c r="Y557" s="14"/>
    </row>
    <row r="558" spans="1:25" ht="15.75" x14ac:dyDescent="0.25">
      <c r="A558" s="21"/>
      <c r="B558" s="21"/>
      <c r="C558" s="21"/>
      <c r="E558" s="21"/>
      <c r="F558" s="21"/>
      <c r="G558" s="14"/>
      <c r="H558" s="14"/>
      <c r="I558" s="14"/>
      <c r="J558" s="14"/>
      <c r="K558" s="14"/>
      <c r="L558" s="14"/>
      <c r="M558" s="14"/>
      <c r="N558" s="14"/>
      <c r="O558" s="14"/>
      <c r="P558" s="14"/>
      <c r="Q558" s="14"/>
      <c r="R558" s="14"/>
      <c r="S558" s="14"/>
      <c r="T558" s="14"/>
      <c r="U558" s="14"/>
      <c r="V558" s="14"/>
      <c r="W558" s="14"/>
      <c r="X558" s="14"/>
      <c r="Y558" s="14"/>
    </row>
    <row r="559" spans="1:25" ht="15.75" x14ac:dyDescent="0.25">
      <c r="A559" s="21"/>
      <c r="B559" s="21"/>
      <c r="C559" s="21"/>
      <c r="E559" s="21"/>
      <c r="F559" s="21"/>
      <c r="G559" s="14"/>
      <c r="H559" s="14"/>
      <c r="I559" s="14"/>
      <c r="J559" s="14"/>
      <c r="K559" s="14"/>
      <c r="L559" s="14"/>
      <c r="M559" s="14"/>
      <c r="N559" s="14"/>
      <c r="O559" s="14"/>
      <c r="P559" s="14"/>
      <c r="Q559" s="14"/>
      <c r="R559" s="14"/>
      <c r="S559" s="14"/>
      <c r="T559" s="14"/>
      <c r="U559" s="14"/>
      <c r="V559" s="14"/>
      <c r="W559" s="14"/>
      <c r="X559" s="14"/>
      <c r="Y559" s="14"/>
    </row>
    <row r="560" spans="1:25" ht="15.75" x14ac:dyDescent="0.25">
      <c r="A560" s="21"/>
      <c r="B560" s="21"/>
      <c r="C560" s="21"/>
      <c r="E560" s="21"/>
      <c r="F560" s="21"/>
      <c r="G560" s="14"/>
      <c r="H560" s="14"/>
      <c r="I560" s="14"/>
      <c r="J560" s="14"/>
      <c r="K560" s="14"/>
      <c r="L560" s="14"/>
      <c r="M560" s="14"/>
      <c r="N560" s="14"/>
      <c r="O560" s="14"/>
      <c r="P560" s="14"/>
      <c r="Q560" s="14"/>
      <c r="R560" s="14"/>
      <c r="S560" s="14"/>
      <c r="T560" s="14"/>
      <c r="U560" s="14"/>
      <c r="V560" s="14"/>
      <c r="W560" s="14"/>
      <c r="X560" s="14"/>
      <c r="Y560" s="14"/>
    </row>
    <row r="561" spans="1:25" ht="15.75" x14ac:dyDescent="0.25">
      <c r="A561" s="21"/>
      <c r="B561" s="21"/>
      <c r="C561" s="21"/>
      <c r="E561" s="21"/>
      <c r="F561" s="21"/>
      <c r="G561" s="14"/>
      <c r="H561" s="14"/>
      <c r="I561" s="14"/>
      <c r="J561" s="14"/>
      <c r="K561" s="14"/>
      <c r="L561" s="14"/>
      <c r="M561" s="14"/>
      <c r="N561" s="14"/>
      <c r="O561" s="14"/>
      <c r="P561" s="14"/>
      <c r="Q561" s="14"/>
      <c r="R561" s="14"/>
      <c r="S561" s="14"/>
      <c r="T561" s="14"/>
      <c r="U561" s="14"/>
      <c r="V561" s="14"/>
      <c r="W561" s="14"/>
      <c r="X561" s="14"/>
      <c r="Y561" s="14"/>
    </row>
    <row r="562" spans="1:25" ht="15.75" x14ac:dyDescent="0.25">
      <c r="A562" s="21"/>
      <c r="B562" s="21"/>
      <c r="C562" s="21"/>
      <c r="E562" s="21"/>
      <c r="F562" s="21"/>
      <c r="G562" s="14"/>
      <c r="H562" s="14"/>
      <c r="I562" s="14"/>
      <c r="J562" s="14"/>
      <c r="K562" s="14"/>
      <c r="L562" s="14"/>
      <c r="M562" s="14"/>
      <c r="N562" s="14"/>
      <c r="O562" s="14"/>
      <c r="P562" s="14"/>
      <c r="Q562" s="14"/>
      <c r="R562" s="14"/>
      <c r="S562" s="14"/>
      <c r="T562" s="14"/>
      <c r="U562" s="14"/>
      <c r="V562" s="14"/>
      <c r="W562" s="14"/>
      <c r="X562" s="14"/>
      <c r="Y562" s="14"/>
    </row>
    <row r="563" spans="1:25" ht="15.75" x14ac:dyDescent="0.25">
      <c r="A563" s="21"/>
      <c r="B563" s="21"/>
      <c r="C563" s="21"/>
      <c r="E563" s="21"/>
      <c r="F563" s="21"/>
      <c r="G563" s="14"/>
      <c r="H563" s="14"/>
      <c r="I563" s="14"/>
      <c r="J563" s="14"/>
      <c r="K563" s="14"/>
      <c r="L563" s="14"/>
      <c r="M563" s="14"/>
      <c r="N563" s="14"/>
      <c r="O563" s="14"/>
      <c r="P563" s="14"/>
      <c r="Q563" s="14"/>
      <c r="R563" s="14"/>
      <c r="S563" s="14"/>
      <c r="T563" s="14"/>
      <c r="U563" s="14"/>
      <c r="V563" s="14"/>
      <c r="W563" s="14"/>
      <c r="X563" s="14"/>
      <c r="Y563" s="14"/>
    </row>
    <row r="564" spans="1:25" ht="15.75" x14ac:dyDescent="0.25">
      <c r="A564" s="21"/>
      <c r="B564" s="21"/>
      <c r="C564" s="21"/>
      <c r="E564" s="21"/>
      <c r="F564" s="21"/>
      <c r="G564" s="14"/>
      <c r="H564" s="14"/>
      <c r="I564" s="14"/>
      <c r="J564" s="14"/>
      <c r="K564" s="14"/>
      <c r="L564" s="14"/>
      <c r="M564" s="14"/>
      <c r="N564" s="14"/>
      <c r="O564" s="14"/>
      <c r="P564" s="14"/>
      <c r="Q564" s="14"/>
      <c r="R564" s="14"/>
      <c r="S564" s="14"/>
      <c r="T564" s="14"/>
      <c r="U564" s="14"/>
      <c r="V564" s="14"/>
      <c r="W564" s="14"/>
      <c r="X564" s="14"/>
      <c r="Y564" s="14"/>
    </row>
    <row r="565" spans="1:25" ht="15.75" x14ac:dyDescent="0.25">
      <c r="A565" s="21"/>
      <c r="B565" s="21"/>
      <c r="C565" s="21"/>
      <c r="E565" s="21"/>
      <c r="F565" s="21"/>
      <c r="G565" s="14"/>
      <c r="H565" s="14"/>
      <c r="I565" s="14"/>
      <c r="J565" s="14"/>
      <c r="K565" s="14"/>
      <c r="L565" s="14"/>
      <c r="M565" s="14"/>
      <c r="N565" s="14"/>
      <c r="O565" s="14"/>
      <c r="P565" s="14"/>
      <c r="Q565" s="14"/>
      <c r="R565" s="14"/>
      <c r="S565" s="14"/>
      <c r="T565" s="14"/>
      <c r="U565" s="14"/>
      <c r="V565" s="14"/>
      <c r="W565" s="14"/>
      <c r="X565" s="14"/>
      <c r="Y565" s="14"/>
    </row>
    <row r="566" spans="1:25" ht="15.75" x14ac:dyDescent="0.25">
      <c r="A566" s="21"/>
      <c r="B566" s="21"/>
      <c r="C566" s="21"/>
      <c r="E566" s="21"/>
      <c r="F566" s="21"/>
      <c r="G566" s="14"/>
      <c r="H566" s="14"/>
      <c r="I566" s="14"/>
      <c r="J566" s="14"/>
      <c r="K566" s="14"/>
      <c r="L566" s="14"/>
      <c r="M566" s="14"/>
      <c r="N566" s="14"/>
      <c r="O566" s="14"/>
      <c r="P566" s="14"/>
      <c r="Q566" s="14"/>
      <c r="R566" s="14"/>
      <c r="S566" s="14"/>
      <c r="T566" s="14"/>
      <c r="U566" s="14"/>
      <c r="V566" s="14"/>
      <c r="W566" s="14"/>
      <c r="X566" s="14"/>
      <c r="Y566" s="14"/>
    </row>
    <row r="567" spans="1:25" ht="15.75" x14ac:dyDescent="0.25">
      <c r="A567" s="21"/>
      <c r="B567" s="21"/>
      <c r="C567" s="21"/>
      <c r="E567" s="21"/>
      <c r="F567" s="21"/>
      <c r="G567" s="14"/>
      <c r="H567" s="14"/>
      <c r="I567" s="14"/>
      <c r="J567" s="14"/>
      <c r="K567" s="14"/>
      <c r="L567" s="14"/>
      <c r="M567" s="14"/>
      <c r="N567" s="14"/>
      <c r="O567" s="14"/>
      <c r="P567" s="14"/>
      <c r="Q567" s="14"/>
      <c r="R567" s="14"/>
      <c r="S567" s="14"/>
      <c r="T567" s="14"/>
      <c r="U567" s="14"/>
      <c r="V567" s="14"/>
      <c r="W567" s="14"/>
      <c r="X567" s="14"/>
      <c r="Y567" s="14"/>
    </row>
    <row r="568" spans="1:25" ht="15.75" x14ac:dyDescent="0.25">
      <c r="A568" s="21"/>
      <c r="B568" s="21"/>
      <c r="C568" s="21"/>
      <c r="E568" s="21"/>
      <c r="F568" s="21"/>
      <c r="G568" s="14"/>
      <c r="H568" s="14"/>
      <c r="I568" s="14"/>
      <c r="J568" s="14"/>
      <c r="K568" s="14"/>
      <c r="L568" s="14"/>
      <c r="M568" s="14"/>
      <c r="N568" s="14"/>
      <c r="O568" s="14"/>
      <c r="P568" s="14"/>
      <c r="Q568" s="14"/>
      <c r="R568" s="14"/>
      <c r="S568" s="14"/>
      <c r="T568" s="14"/>
      <c r="U568" s="14"/>
      <c r="V568" s="14"/>
      <c r="W568" s="14"/>
      <c r="X568" s="14"/>
      <c r="Y568" s="14"/>
    </row>
    <row r="569" spans="1:25" ht="15.75" x14ac:dyDescent="0.25">
      <c r="A569" s="21"/>
      <c r="B569" s="21"/>
      <c r="C569" s="21"/>
      <c r="E569" s="21"/>
      <c r="F569" s="21"/>
      <c r="G569" s="14"/>
      <c r="H569" s="14"/>
      <c r="I569" s="14"/>
      <c r="J569" s="14"/>
      <c r="K569" s="14"/>
      <c r="L569" s="14"/>
      <c r="M569" s="14"/>
      <c r="N569" s="14"/>
      <c r="O569" s="14"/>
      <c r="P569" s="14"/>
      <c r="Q569" s="14"/>
      <c r="R569" s="14"/>
      <c r="S569" s="14"/>
      <c r="T569" s="14"/>
      <c r="U569" s="14"/>
      <c r="V569" s="14"/>
      <c r="W569" s="14"/>
      <c r="X569" s="14"/>
      <c r="Y569" s="14"/>
    </row>
    <row r="570" spans="1:25" ht="15.75" x14ac:dyDescent="0.25">
      <c r="A570" s="21"/>
      <c r="B570" s="21"/>
      <c r="C570" s="21"/>
      <c r="E570" s="21"/>
      <c r="F570" s="21"/>
      <c r="G570" s="14"/>
      <c r="H570" s="14"/>
      <c r="I570" s="14"/>
      <c r="J570" s="14"/>
      <c r="K570" s="14"/>
      <c r="L570" s="14"/>
      <c r="M570" s="14"/>
      <c r="N570" s="14"/>
      <c r="O570" s="14"/>
      <c r="P570" s="14"/>
      <c r="Q570" s="14"/>
      <c r="R570" s="14"/>
      <c r="S570" s="14"/>
      <c r="T570" s="14"/>
      <c r="U570" s="14"/>
      <c r="V570" s="14"/>
      <c r="W570" s="14"/>
      <c r="X570" s="14"/>
      <c r="Y570" s="14"/>
    </row>
    <row r="571" spans="1:25" ht="15.75" x14ac:dyDescent="0.25">
      <c r="A571" s="21"/>
      <c r="B571" s="21"/>
      <c r="C571" s="21"/>
      <c r="E571" s="21"/>
      <c r="F571" s="21"/>
      <c r="G571" s="14"/>
      <c r="H571" s="14"/>
      <c r="I571" s="14"/>
      <c r="J571" s="14"/>
      <c r="K571" s="14"/>
      <c r="L571" s="14"/>
      <c r="M571" s="14"/>
      <c r="N571" s="14"/>
      <c r="O571" s="14"/>
      <c r="P571" s="14"/>
      <c r="Q571" s="14"/>
      <c r="R571" s="14"/>
      <c r="S571" s="14"/>
      <c r="T571" s="14"/>
      <c r="U571" s="14"/>
      <c r="V571" s="14"/>
      <c r="W571" s="14"/>
      <c r="X571" s="14"/>
      <c r="Y571" s="14"/>
    </row>
    <row r="572" spans="1:25" ht="15.75" x14ac:dyDescent="0.25">
      <c r="A572" s="21"/>
      <c r="B572" s="21"/>
      <c r="C572" s="21"/>
      <c r="E572" s="21"/>
      <c r="F572" s="21"/>
      <c r="G572" s="14"/>
      <c r="H572" s="14"/>
      <c r="I572" s="14"/>
      <c r="J572" s="14"/>
      <c r="K572" s="14"/>
      <c r="L572" s="14"/>
      <c r="M572" s="14"/>
      <c r="N572" s="14"/>
      <c r="O572" s="14"/>
      <c r="P572" s="14"/>
      <c r="Q572" s="14"/>
      <c r="R572" s="14"/>
      <c r="S572" s="14"/>
      <c r="T572" s="14"/>
      <c r="U572" s="14"/>
      <c r="V572" s="14"/>
      <c r="W572" s="14"/>
      <c r="X572" s="14"/>
      <c r="Y572" s="14"/>
    </row>
    <row r="573" spans="1:25" ht="15.75" x14ac:dyDescent="0.25">
      <c r="A573" s="21"/>
      <c r="B573" s="21"/>
      <c r="C573" s="21"/>
      <c r="E573" s="21"/>
      <c r="F573" s="21"/>
      <c r="G573" s="14"/>
      <c r="H573" s="14"/>
      <c r="I573" s="14"/>
      <c r="J573" s="14"/>
      <c r="K573" s="14"/>
      <c r="L573" s="14"/>
      <c r="M573" s="14"/>
      <c r="N573" s="14"/>
      <c r="O573" s="14"/>
      <c r="P573" s="14"/>
      <c r="Q573" s="14"/>
      <c r="R573" s="14"/>
      <c r="S573" s="14"/>
      <c r="T573" s="14"/>
      <c r="U573" s="14"/>
      <c r="V573" s="14"/>
      <c r="W573" s="14"/>
      <c r="X573" s="14"/>
      <c r="Y573" s="14"/>
    </row>
    <row r="574" spans="1:25" ht="15.75" x14ac:dyDescent="0.25">
      <c r="A574" s="21"/>
      <c r="B574" s="21"/>
      <c r="C574" s="21"/>
      <c r="E574" s="21"/>
      <c r="F574" s="21"/>
      <c r="G574" s="14"/>
      <c r="H574" s="14"/>
      <c r="I574" s="14"/>
      <c r="J574" s="14"/>
      <c r="K574" s="14"/>
      <c r="L574" s="14"/>
      <c r="M574" s="14"/>
      <c r="N574" s="14"/>
      <c r="O574" s="14"/>
      <c r="P574" s="14"/>
      <c r="Q574" s="14"/>
      <c r="R574" s="14"/>
      <c r="S574" s="14"/>
      <c r="T574" s="14"/>
      <c r="U574" s="14"/>
      <c r="V574" s="14"/>
      <c r="W574" s="14"/>
      <c r="X574" s="14"/>
      <c r="Y574" s="14"/>
    </row>
    <row r="575" spans="1:25" ht="15.75" x14ac:dyDescent="0.25">
      <c r="A575" s="21"/>
      <c r="B575" s="21"/>
      <c r="C575" s="21"/>
      <c r="E575" s="21"/>
      <c r="F575" s="21"/>
      <c r="G575" s="14"/>
      <c r="H575" s="14"/>
      <c r="I575" s="14"/>
      <c r="J575" s="14"/>
      <c r="K575" s="14"/>
      <c r="L575" s="14"/>
      <c r="M575" s="14"/>
      <c r="N575" s="14"/>
      <c r="O575" s="14"/>
      <c r="P575" s="14"/>
      <c r="Q575" s="14"/>
      <c r="R575" s="14"/>
      <c r="S575" s="14"/>
      <c r="T575" s="14"/>
      <c r="U575" s="14"/>
      <c r="V575" s="14"/>
      <c r="W575" s="14"/>
      <c r="X575" s="14"/>
      <c r="Y575" s="14"/>
    </row>
    <row r="576" spans="1:25" ht="15.75" x14ac:dyDescent="0.25">
      <c r="A576" s="21"/>
      <c r="B576" s="21"/>
      <c r="C576" s="21"/>
      <c r="E576" s="21"/>
      <c r="F576" s="21"/>
      <c r="G576" s="14"/>
      <c r="H576" s="14"/>
      <c r="I576" s="14"/>
      <c r="J576" s="14"/>
      <c r="K576" s="14"/>
      <c r="L576" s="14"/>
      <c r="M576" s="14"/>
      <c r="N576" s="14"/>
      <c r="O576" s="14"/>
      <c r="P576" s="14"/>
      <c r="Q576" s="14"/>
      <c r="R576" s="14"/>
      <c r="S576" s="14"/>
      <c r="T576" s="14"/>
      <c r="U576" s="14"/>
      <c r="V576" s="14"/>
      <c r="W576" s="14"/>
      <c r="X576" s="14"/>
      <c r="Y576" s="14"/>
    </row>
    <row r="577" spans="1:25" ht="15.75" x14ac:dyDescent="0.25">
      <c r="A577" s="21"/>
      <c r="B577" s="21"/>
      <c r="C577" s="21"/>
      <c r="E577" s="21"/>
      <c r="F577" s="21"/>
      <c r="G577" s="14"/>
      <c r="H577" s="14"/>
      <c r="I577" s="14"/>
      <c r="J577" s="14"/>
      <c r="K577" s="14"/>
      <c r="L577" s="14"/>
      <c r="M577" s="14"/>
      <c r="N577" s="14"/>
      <c r="O577" s="14"/>
      <c r="P577" s="14"/>
      <c r="Q577" s="14"/>
      <c r="R577" s="14"/>
      <c r="S577" s="14"/>
      <c r="T577" s="14"/>
      <c r="U577" s="14"/>
      <c r="V577" s="14"/>
      <c r="W577" s="14"/>
      <c r="X577" s="14"/>
      <c r="Y577" s="14"/>
    </row>
    <row r="578" spans="1:25" ht="15.75" x14ac:dyDescent="0.25">
      <c r="A578" s="21"/>
      <c r="B578" s="21"/>
      <c r="C578" s="21"/>
      <c r="E578" s="21"/>
      <c r="F578" s="21"/>
      <c r="G578" s="14"/>
      <c r="H578" s="14"/>
      <c r="I578" s="14"/>
      <c r="J578" s="14"/>
      <c r="K578" s="14"/>
      <c r="L578" s="14"/>
      <c r="M578" s="14"/>
      <c r="N578" s="14"/>
      <c r="O578" s="14"/>
      <c r="P578" s="14"/>
      <c r="Q578" s="14"/>
      <c r="R578" s="14"/>
      <c r="S578" s="14"/>
      <c r="T578" s="14"/>
      <c r="U578" s="14"/>
      <c r="V578" s="14"/>
      <c r="W578" s="14"/>
      <c r="X578" s="14"/>
      <c r="Y578" s="14"/>
    </row>
    <row r="579" spans="1:25" ht="15.75" x14ac:dyDescent="0.25">
      <c r="A579" s="21"/>
      <c r="B579" s="21"/>
      <c r="C579" s="21"/>
      <c r="E579" s="21"/>
      <c r="F579" s="21"/>
      <c r="G579" s="14"/>
      <c r="H579" s="14"/>
      <c r="I579" s="14"/>
      <c r="J579" s="14"/>
      <c r="K579" s="14"/>
      <c r="L579" s="14"/>
      <c r="M579" s="14"/>
      <c r="N579" s="14"/>
      <c r="O579" s="14"/>
      <c r="P579" s="14"/>
      <c r="Q579" s="14"/>
      <c r="R579" s="14"/>
      <c r="S579" s="14"/>
      <c r="T579" s="14"/>
      <c r="U579" s="14"/>
      <c r="V579" s="14"/>
      <c r="W579" s="14"/>
      <c r="X579" s="14"/>
      <c r="Y579" s="14"/>
    </row>
    <row r="580" spans="1:25" ht="15.75" x14ac:dyDescent="0.25">
      <c r="A580" s="21"/>
      <c r="B580" s="21"/>
      <c r="C580" s="21"/>
      <c r="E580" s="21"/>
      <c r="F580" s="21"/>
      <c r="G580" s="14"/>
      <c r="H580" s="14"/>
      <c r="I580" s="14"/>
      <c r="J580" s="14"/>
      <c r="K580" s="14"/>
      <c r="L580" s="14"/>
      <c r="M580" s="14"/>
      <c r="N580" s="14"/>
      <c r="O580" s="14"/>
      <c r="P580" s="14"/>
      <c r="Q580" s="14"/>
      <c r="R580" s="14"/>
      <c r="S580" s="14"/>
      <c r="T580" s="14"/>
      <c r="U580" s="14"/>
      <c r="V580" s="14"/>
      <c r="W580" s="14"/>
      <c r="X580" s="14"/>
      <c r="Y580" s="14"/>
    </row>
    <row r="581" spans="1:25" ht="15.75" x14ac:dyDescent="0.25">
      <c r="A581" s="21"/>
      <c r="B581" s="21"/>
      <c r="C581" s="21"/>
      <c r="E581" s="21"/>
      <c r="F581" s="21"/>
      <c r="G581" s="14"/>
      <c r="H581" s="14"/>
      <c r="I581" s="14"/>
      <c r="J581" s="14"/>
      <c r="K581" s="14"/>
      <c r="L581" s="14"/>
      <c r="M581" s="14"/>
      <c r="N581" s="14"/>
      <c r="O581" s="14"/>
      <c r="P581" s="14"/>
      <c r="Q581" s="14"/>
      <c r="R581" s="14"/>
      <c r="S581" s="14"/>
      <c r="T581" s="14"/>
      <c r="U581" s="14"/>
      <c r="V581" s="14"/>
      <c r="W581" s="14"/>
      <c r="X581" s="14"/>
      <c r="Y581" s="14"/>
    </row>
    <row r="582" spans="1:25" ht="15.75" x14ac:dyDescent="0.25">
      <c r="A582" s="21"/>
      <c r="B582" s="21"/>
      <c r="C582" s="21"/>
      <c r="E582" s="21"/>
      <c r="F582" s="21"/>
      <c r="G582" s="14"/>
      <c r="H582" s="14"/>
      <c r="I582" s="14"/>
      <c r="J582" s="14"/>
      <c r="K582" s="14"/>
      <c r="L582" s="14"/>
      <c r="M582" s="14"/>
      <c r="N582" s="14"/>
      <c r="O582" s="14"/>
      <c r="P582" s="14"/>
      <c r="Q582" s="14"/>
      <c r="R582" s="14"/>
      <c r="S582" s="14"/>
      <c r="T582" s="14"/>
      <c r="U582" s="14"/>
      <c r="V582" s="14"/>
      <c r="W582" s="14"/>
      <c r="X582" s="14"/>
      <c r="Y582" s="14"/>
    </row>
    <row r="583" spans="1:25" ht="15.75" x14ac:dyDescent="0.25">
      <c r="A583" s="21"/>
      <c r="B583" s="21"/>
      <c r="C583" s="21"/>
      <c r="E583" s="21"/>
      <c r="F583" s="21"/>
      <c r="G583" s="14"/>
      <c r="H583" s="14"/>
      <c r="I583" s="14"/>
      <c r="J583" s="14"/>
      <c r="K583" s="14"/>
      <c r="L583" s="14"/>
      <c r="M583" s="14"/>
      <c r="N583" s="14"/>
      <c r="O583" s="14"/>
      <c r="P583" s="14"/>
      <c r="Q583" s="14"/>
      <c r="R583" s="14"/>
      <c r="S583" s="14"/>
      <c r="T583" s="14"/>
      <c r="U583" s="14"/>
      <c r="V583" s="14"/>
      <c r="W583" s="14"/>
      <c r="X583" s="14"/>
      <c r="Y583" s="14"/>
    </row>
    <row r="584" spans="1:25" ht="15.75" x14ac:dyDescent="0.25">
      <c r="A584" s="21"/>
      <c r="B584" s="21"/>
      <c r="C584" s="21"/>
      <c r="E584" s="21"/>
      <c r="F584" s="21"/>
      <c r="G584" s="14"/>
      <c r="H584" s="14"/>
      <c r="I584" s="14"/>
      <c r="J584" s="14"/>
      <c r="K584" s="14"/>
      <c r="L584" s="14"/>
      <c r="M584" s="14"/>
      <c r="N584" s="14"/>
      <c r="O584" s="14"/>
      <c r="P584" s="14"/>
      <c r="Q584" s="14"/>
      <c r="R584" s="14"/>
      <c r="S584" s="14"/>
      <c r="T584" s="14"/>
      <c r="U584" s="14"/>
      <c r="V584" s="14"/>
      <c r="W584" s="14"/>
      <c r="X584" s="14"/>
      <c r="Y584" s="14"/>
    </row>
    <row r="585" spans="1:25" ht="15.75" x14ac:dyDescent="0.25">
      <c r="A585" s="21"/>
      <c r="B585" s="21"/>
      <c r="C585" s="21"/>
      <c r="E585" s="21"/>
      <c r="F585" s="21"/>
      <c r="G585" s="14"/>
      <c r="H585" s="14"/>
      <c r="I585" s="14"/>
      <c r="J585" s="14"/>
      <c r="K585" s="14"/>
      <c r="L585" s="14"/>
      <c r="M585" s="14"/>
      <c r="N585" s="14"/>
      <c r="O585" s="14"/>
      <c r="P585" s="14"/>
      <c r="Q585" s="14"/>
      <c r="R585" s="14"/>
      <c r="S585" s="14"/>
      <c r="T585" s="14"/>
      <c r="U585" s="14"/>
      <c r="V585" s="14"/>
      <c r="W585" s="14"/>
      <c r="X585" s="14"/>
      <c r="Y585" s="14"/>
    </row>
    <row r="586" spans="1:25" ht="15.75" x14ac:dyDescent="0.25">
      <c r="A586" s="21"/>
      <c r="B586" s="21"/>
      <c r="C586" s="21"/>
      <c r="E586" s="21"/>
      <c r="F586" s="21"/>
      <c r="G586" s="14"/>
      <c r="H586" s="14"/>
      <c r="I586" s="14"/>
      <c r="J586" s="14"/>
      <c r="K586" s="14"/>
      <c r="L586" s="14"/>
      <c r="M586" s="14"/>
      <c r="N586" s="14"/>
      <c r="O586" s="14"/>
      <c r="P586" s="14"/>
      <c r="Q586" s="14"/>
      <c r="R586" s="14"/>
      <c r="S586" s="14"/>
      <c r="T586" s="14"/>
      <c r="U586" s="14"/>
      <c r="V586" s="14"/>
      <c r="W586" s="14"/>
      <c r="X586" s="14"/>
      <c r="Y586" s="14"/>
    </row>
    <row r="587" spans="1:25" ht="15.75" x14ac:dyDescent="0.25">
      <c r="A587" s="21"/>
      <c r="B587" s="21"/>
      <c r="C587" s="21"/>
      <c r="E587" s="21"/>
      <c r="F587" s="21"/>
      <c r="G587" s="14"/>
      <c r="H587" s="14"/>
      <c r="I587" s="14"/>
      <c r="J587" s="14"/>
      <c r="K587" s="14"/>
      <c r="L587" s="14"/>
      <c r="M587" s="14"/>
      <c r="N587" s="14"/>
      <c r="O587" s="14"/>
      <c r="P587" s="14"/>
      <c r="Q587" s="14"/>
      <c r="R587" s="14"/>
      <c r="S587" s="14"/>
      <c r="T587" s="14"/>
      <c r="U587" s="14"/>
      <c r="V587" s="14"/>
      <c r="W587" s="14"/>
      <c r="X587" s="14"/>
      <c r="Y587" s="14"/>
    </row>
    <row r="588" spans="1:25" ht="15.75" x14ac:dyDescent="0.25">
      <c r="A588" s="21"/>
      <c r="B588" s="21"/>
      <c r="C588" s="21"/>
      <c r="E588" s="21"/>
      <c r="F588" s="21"/>
      <c r="G588" s="14"/>
      <c r="H588" s="14"/>
      <c r="I588" s="14"/>
      <c r="J588" s="14"/>
      <c r="K588" s="14"/>
      <c r="L588" s="14"/>
      <c r="M588" s="14"/>
      <c r="N588" s="14"/>
      <c r="O588" s="14"/>
      <c r="P588" s="14"/>
      <c r="Q588" s="14"/>
      <c r="R588" s="14"/>
      <c r="S588" s="14"/>
      <c r="T588" s="14"/>
      <c r="U588" s="14"/>
      <c r="V588" s="14"/>
      <c r="W588" s="14"/>
      <c r="X588" s="14"/>
      <c r="Y588" s="14"/>
    </row>
    <row r="589" spans="1:25" ht="15.75" x14ac:dyDescent="0.25">
      <c r="A589" s="21"/>
      <c r="B589" s="21"/>
      <c r="C589" s="21"/>
      <c r="E589" s="21"/>
      <c r="F589" s="21"/>
      <c r="G589" s="14"/>
      <c r="H589" s="14"/>
      <c r="I589" s="14"/>
      <c r="J589" s="14"/>
      <c r="K589" s="14"/>
      <c r="L589" s="14"/>
      <c r="M589" s="14"/>
      <c r="N589" s="14"/>
      <c r="O589" s="14"/>
      <c r="P589" s="14"/>
      <c r="Q589" s="14"/>
      <c r="R589" s="14"/>
      <c r="S589" s="14"/>
      <c r="T589" s="14"/>
      <c r="U589" s="14"/>
      <c r="V589" s="14"/>
      <c r="W589" s="14"/>
      <c r="X589" s="14"/>
      <c r="Y589" s="14"/>
    </row>
    <row r="590" spans="1:25" ht="15.75" x14ac:dyDescent="0.25">
      <c r="A590" s="21"/>
      <c r="B590" s="21"/>
      <c r="C590" s="21"/>
      <c r="E590" s="21"/>
      <c r="F590" s="21"/>
      <c r="G590" s="14"/>
      <c r="H590" s="14"/>
      <c r="I590" s="14"/>
      <c r="J590" s="14"/>
      <c r="K590" s="14"/>
      <c r="L590" s="14"/>
      <c r="M590" s="14"/>
      <c r="N590" s="14"/>
      <c r="O590" s="14"/>
      <c r="P590" s="14"/>
      <c r="Q590" s="14"/>
      <c r="R590" s="14"/>
      <c r="S590" s="14"/>
      <c r="T590" s="14"/>
      <c r="U590" s="14"/>
      <c r="V590" s="14"/>
      <c r="W590" s="14"/>
      <c r="X590" s="14"/>
      <c r="Y590" s="14"/>
    </row>
    <row r="591" spans="1:25" ht="15.75" x14ac:dyDescent="0.25">
      <c r="A591" s="21"/>
      <c r="B591" s="21"/>
      <c r="C591" s="21"/>
      <c r="E591" s="21"/>
      <c r="F591" s="21"/>
      <c r="G591" s="14"/>
      <c r="H591" s="14"/>
      <c r="I591" s="14"/>
      <c r="J591" s="14"/>
      <c r="K591" s="14"/>
      <c r="L591" s="14"/>
      <c r="M591" s="14"/>
      <c r="N591" s="14"/>
      <c r="O591" s="14"/>
      <c r="P591" s="14"/>
      <c r="Q591" s="14"/>
      <c r="R591" s="14"/>
      <c r="S591" s="14"/>
      <c r="T591" s="14"/>
      <c r="U591" s="14"/>
      <c r="V591" s="14"/>
      <c r="W591" s="14"/>
      <c r="X591" s="14"/>
      <c r="Y591" s="14"/>
    </row>
    <row r="592" spans="1:25" ht="15.75" x14ac:dyDescent="0.25">
      <c r="A592" s="21"/>
      <c r="B592" s="21"/>
      <c r="C592" s="21"/>
      <c r="E592" s="21"/>
      <c r="F592" s="21"/>
      <c r="G592" s="14"/>
      <c r="H592" s="14"/>
      <c r="I592" s="14"/>
      <c r="J592" s="14"/>
      <c r="K592" s="14"/>
      <c r="L592" s="14"/>
      <c r="M592" s="14"/>
      <c r="N592" s="14"/>
      <c r="O592" s="14"/>
      <c r="P592" s="14"/>
      <c r="Q592" s="14"/>
      <c r="R592" s="14"/>
      <c r="S592" s="14"/>
      <c r="T592" s="14"/>
      <c r="U592" s="14"/>
      <c r="V592" s="14"/>
      <c r="W592" s="14"/>
      <c r="X592" s="14"/>
      <c r="Y592" s="14"/>
    </row>
    <row r="593" spans="1:25" ht="15.75" x14ac:dyDescent="0.25">
      <c r="A593" s="21"/>
      <c r="B593" s="21"/>
      <c r="C593" s="21"/>
      <c r="E593" s="21"/>
      <c r="F593" s="21"/>
      <c r="G593" s="14"/>
      <c r="H593" s="14"/>
      <c r="I593" s="14"/>
      <c r="J593" s="14"/>
      <c r="K593" s="14"/>
      <c r="L593" s="14"/>
      <c r="M593" s="14"/>
      <c r="N593" s="14"/>
      <c r="O593" s="14"/>
      <c r="P593" s="14"/>
      <c r="Q593" s="14"/>
      <c r="R593" s="14"/>
      <c r="S593" s="14"/>
      <c r="T593" s="14"/>
      <c r="U593" s="14"/>
      <c r="V593" s="14"/>
      <c r="W593" s="14"/>
      <c r="X593" s="14"/>
      <c r="Y593" s="14"/>
    </row>
    <row r="594" spans="1:25" ht="15.75" x14ac:dyDescent="0.25">
      <c r="A594" s="21"/>
      <c r="B594" s="21"/>
      <c r="C594" s="21"/>
      <c r="E594" s="21"/>
      <c r="F594" s="21"/>
      <c r="G594" s="14"/>
      <c r="H594" s="14"/>
      <c r="I594" s="14"/>
      <c r="J594" s="14"/>
      <c r="K594" s="14"/>
      <c r="L594" s="14"/>
      <c r="M594" s="14"/>
      <c r="N594" s="14"/>
      <c r="O594" s="14"/>
      <c r="P594" s="14"/>
      <c r="Q594" s="14"/>
      <c r="R594" s="14"/>
      <c r="S594" s="14"/>
      <c r="T594" s="14"/>
      <c r="U594" s="14"/>
      <c r="V594" s="14"/>
      <c r="W594" s="14"/>
      <c r="X594" s="14"/>
      <c r="Y594" s="14"/>
    </row>
    <row r="595" spans="1:25" ht="15.75" x14ac:dyDescent="0.25">
      <c r="A595" s="21"/>
      <c r="B595" s="21"/>
      <c r="C595" s="21"/>
      <c r="E595" s="21"/>
      <c r="F595" s="21"/>
      <c r="G595" s="14"/>
      <c r="H595" s="14"/>
      <c r="I595" s="14"/>
      <c r="J595" s="14"/>
      <c r="K595" s="14"/>
      <c r="L595" s="14"/>
      <c r="M595" s="14"/>
      <c r="N595" s="14"/>
      <c r="O595" s="14"/>
      <c r="P595" s="14"/>
      <c r="Q595" s="14"/>
      <c r="R595" s="14"/>
      <c r="S595" s="14"/>
      <c r="T595" s="14"/>
      <c r="U595" s="14"/>
      <c r="V595" s="14"/>
      <c r="W595" s="14"/>
      <c r="X595" s="14"/>
      <c r="Y595" s="14"/>
    </row>
    <row r="596" spans="1:25" ht="15.75" x14ac:dyDescent="0.25">
      <c r="A596" s="21"/>
      <c r="B596" s="21"/>
      <c r="C596" s="21"/>
      <c r="E596" s="21"/>
      <c r="F596" s="21"/>
      <c r="G596" s="14"/>
      <c r="H596" s="14"/>
      <c r="I596" s="14"/>
      <c r="J596" s="14"/>
      <c r="K596" s="14"/>
      <c r="L596" s="14"/>
      <c r="M596" s="14"/>
      <c r="N596" s="14"/>
      <c r="O596" s="14"/>
      <c r="P596" s="14"/>
      <c r="Q596" s="14"/>
      <c r="R596" s="14"/>
      <c r="S596" s="14"/>
      <c r="T596" s="14"/>
      <c r="U596" s="14"/>
      <c r="V596" s="14"/>
      <c r="W596" s="14"/>
      <c r="X596" s="14"/>
      <c r="Y596" s="14"/>
    </row>
    <row r="597" spans="1:25" ht="15.75" x14ac:dyDescent="0.25">
      <c r="A597" s="21"/>
      <c r="B597" s="21"/>
      <c r="C597" s="21"/>
      <c r="E597" s="21"/>
      <c r="F597" s="21"/>
      <c r="G597" s="14"/>
      <c r="H597" s="14"/>
      <c r="I597" s="14"/>
      <c r="J597" s="14"/>
      <c r="K597" s="14"/>
      <c r="L597" s="14"/>
      <c r="M597" s="14"/>
      <c r="N597" s="14"/>
      <c r="O597" s="14"/>
      <c r="P597" s="14"/>
      <c r="Q597" s="14"/>
      <c r="R597" s="14"/>
      <c r="S597" s="14"/>
      <c r="T597" s="14"/>
      <c r="U597" s="14"/>
      <c r="V597" s="14"/>
      <c r="W597" s="14"/>
      <c r="X597" s="14"/>
      <c r="Y597" s="14"/>
    </row>
    <row r="598" spans="1:25" ht="15.75" x14ac:dyDescent="0.25">
      <c r="A598" s="21"/>
      <c r="B598" s="21"/>
      <c r="C598" s="21"/>
      <c r="E598" s="21"/>
      <c r="F598" s="21"/>
      <c r="G598" s="14"/>
      <c r="H598" s="14"/>
      <c r="I598" s="14"/>
      <c r="J598" s="14"/>
      <c r="K598" s="14"/>
      <c r="L598" s="14"/>
      <c r="M598" s="14"/>
      <c r="N598" s="14"/>
      <c r="O598" s="14"/>
      <c r="P598" s="14"/>
      <c r="Q598" s="14"/>
      <c r="R598" s="14"/>
      <c r="S598" s="14"/>
      <c r="T598" s="14"/>
      <c r="U598" s="14"/>
      <c r="V598" s="14"/>
      <c r="W598" s="14"/>
      <c r="X598" s="14"/>
      <c r="Y598" s="14"/>
    </row>
    <row r="599" spans="1:25" ht="15.75" x14ac:dyDescent="0.25">
      <c r="A599" s="21"/>
      <c r="B599" s="21"/>
      <c r="C599" s="21"/>
      <c r="E599" s="21"/>
      <c r="F599" s="21"/>
      <c r="G599" s="14"/>
      <c r="H599" s="14"/>
      <c r="I599" s="14"/>
      <c r="J599" s="14"/>
      <c r="K599" s="14"/>
      <c r="L599" s="14"/>
      <c r="M599" s="14"/>
      <c r="N599" s="14"/>
      <c r="O599" s="14"/>
      <c r="P599" s="14"/>
      <c r="Q599" s="14"/>
      <c r="R599" s="14"/>
      <c r="S599" s="14"/>
      <c r="T599" s="14"/>
      <c r="U599" s="14"/>
      <c r="V599" s="14"/>
      <c r="W599" s="14"/>
      <c r="X599" s="14"/>
      <c r="Y599" s="14"/>
    </row>
    <row r="600" spans="1:25" ht="15.75" x14ac:dyDescent="0.25">
      <c r="A600" s="21"/>
      <c r="B600" s="21"/>
      <c r="C600" s="21"/>
      <c r="E600" s="21"/>
      <c r="F600" s="21"/>
      <c r="G600" s="14"/>
      <c r="H600" s="14"/>
      <c r="I600" s="14"/>
      <c r="J600" s="14"/>
      <c r="K600" s="14"/>
      <c r="L600" s="14"/>
      <c r="M600" s="14"/>
      <c r="N600" s="14"/>
      <c r="O600" s="14"/>
      <c r="P600" s="14"/>
      <c r="Q600" s="14"/>
      <c r="R600" s="14"/>
      <c r="S600" s="14"/>
      <c r="T600" s="14"/>
      <c r="U600" s="14"/>
      <c r="V600" s="14"/>
      <c r="W600" s="14"/>
      <c r="X600" s="14"/>
      <c r="Y600" s="14"/>
    </row>
    <row r="601" spans="1:25" ht="15.75" x14ac:dyDescent="0.25">
      <c r="A601" s="21"/>
      <c r="B601" s="21"/>
      <c r="C601" s="21"/>
      <c r="E601" s="21"/>
      <c r="F601" s="21"/>
      <c r="G601" s="14"/>
      <c r="H601" s="14"/>
      <c r="I601" s="14"/>
      <c r="J601" s="14"/>
      <c r="K601" s="14"/>
      <c r="L601" s="14"/>
      <c r="M601" s="14"/>
      <c r="N601" s="14"/>
      <c r="O601" s="14"/>
      <c r="P601" s="14"/>
      <c r="Q601" s="14"/>
      <c r="R601" s="14"/>
      <c r="S601" s="14"/>
      <c r="T601" s="14"/>
      <c r="U601" s="14"/>
      <c r="V601" s="14"/>
      <c r="W601" s="14"/>
      <c r="X601" s="14"/>
      <c r="Y601" s="14"/>
    </row>
    <row r="602" spans="1:25" ht="15.75" x14ac:dyDescent="0.25">
      <c r="A602" s="21"/>
      <c r="B602" s="21"/>
      <c r="C602" s="21"/>
      <c r="E602" s="21"/>
      <c r="F602" s="21"/>
      <c r="G602" s="14"/>
      <c r="H602" s="14"/>
      <c r="I602" s="14"/>
      <c r="J602" s="14"/>
      <c r="K602" s="14"/>
      <c r="L602" s="14"/>
      <c r="M602" s="14"/>
      <c r="N602" s="14"/>
      <c r="O602" s="14"/>
      <c r="P602" s="14"/>
      <c r="Q602" s="14"/>
      <c r="R602" s="14"/>
      <c r="S602" s="14"/>
      <c r="T602" s="14"/>
      <c r="U602" s="14"/>
      <c r="V602" s="14"/>
      <c r="W602" s="14"/>
      <c r="X602" s="14"/>
      <c r="Y602" s="14"/>
    </row>
    <row r="603" spans="1:25" ht="15.75" x14ac:dyDescent="0.25">
      <c r="A603" s="21"/>
      <c r="B603" s="21"/>
      <c r="C603" s="21"/>
      <c r="E603" s="21"/>
      <c r="F603" s="21"/>
      <c r="G603" s="14"/>
      <c r="H603" s="14"/>
      <c r="I603" s="14"/>
      <c r="J603" s="14"/>
      <c r="K603" s="14"/>
      <c r="L603" s="14"/>
      <c r="M603" s="14"/>
      <c r="N603" s="14"/>
      <c r="O603" s="14"/>
      <c r="P603" s="14"/>
      <c r="Q603" s="14"/>
      <c r="R603" s="14"/>
      <c r="S603" s="14"/>
      <c r="T603" s="14"/>
      <c r="U603" s="14"/>
      <c r="V603" s="14"/>
      <c r="W603" s="14"/>
      <c r="X603" s="14"/>
      <c r="Y603" s="14"/>
    </row>
    <row r="604" spans="1:25" ht="15.75" x14ac:dyDescent="0.25">
      <c r="A604" s="21"/>
      <c r="B604" s="21"/>
      <c r="C604" s="21"/>
      <c r="E604" s="21"/>
      <c r="F604" s="21"/>
      <c r="G604" s="14"/>
      <c r="H604" s="14"/>
      <c r="I604" s="14"/>
      <c r="J604" s="14"/>
      <c r="K604" s="14"/>
      <c r="L604" s="14"/>
      <c r="M604" s="14"/>
      <c r="N604" s="14"/>
      <c r="O604" s="14"/>
      <c r="P604" s="14"/>
      <c r="Q604" s="14"/>
      <c r="R604" s="14"/>
      <c r="S604" s="14"/>
      <c r="T604" s="14"/>
      <c r="U604" s="14"/>
      <c r="V604" s="14"/>
      <c r="W604" s="14"/>
      <c r="X604" s="14"/>
      <c r="Y604" s="14"/>
    </row>
    <row r="605" spans="1:25" ht="15.75" x14ac:dyDescent="0.25">
      <c r="A605" s="21"/>
      <c r="B605" s="21"/>
      <c r="C605" s="21"/>
      <c r="E605" s="21"/>
      <c r="F605" s="21"/>
      <c r="G605" s="14"/>
      <c r="H605" s="14"/>
      <c r="I605" s="14"/>
      <c r="J605" s="14"/>
      <c r="K605" s="14"/>
      <c r="L605" s="14"/>
      <c r="M605" s="14"/>
      <c r="N605" s="14"/>
      <c r="O605" s="14"/>
      <c r="P605" s="14"/>
      <c r="Q605" s="14"/>
      <c r="R605" s="14"/>
      <c r="S605" s="14"/>
      <c r="T605" s="14"/>
      <c r="U605" s="14"/>
      <c r="V605" s="14"/>
      <c r="W605" s="14"/>
      <c r="X605" s="14"/>
      <c r="Y605" s="14"/>
    </row>
    <row r="606" spans="1:25" ht="15.75" x14ac:dyDescent="0.25">
      <c r="A606" s="21"/>
      <c r="B606" s="21"/>
      <c r="C606" s="21"/>
      <c r="E606" s="21"/>
      <c r="F606" s="21"/>
      <c r="G606" s="14"/>
      <c r="H606" s="14"/>
      <c r="I606" s="14"/>
      <c r="J606" s="14"/>
      <c r="K606" s="14"/>
      <c r="L606" s="14"/>
      <c r="M606" s="14"/>
      <c r="N606" s="14"/>
      <c r="O606" s="14"/>
      <c r="P606" s="14"/>
      <c r="Q606" s="14"/>
      <c r="R606" s="14"/>
      <c r="S606" s="14"/>
      <c r="T606" s="14"/>
      <c r="U606" s="14"/>
      <c r="V606" s="14"/>
      <c r="W606" s="14"/>
      <c r="X606" s="14"/>
      <c r="Y606" s="14"/>
    </row>
    <row r="607" spans="1:25" ht="15.75" x14ac:dyDescent="0.25">
      <c r="A607" s="21"/>
      <c r="B607" s="21"/>
      <c r="C607" s="21"/>
      <c r="E607" s="21"/>
      <c r="F607" s="21"/>
      <c r="G607" s="14"/>
      <c r="H607" s="14"/>
      <c r="I607" s="14"/>
      <c r="J607" s="14"/>
      <c r="K607" s="14"/>
      <c r="L607" s="14"/>
      <c r="M607" s="14"/>
      <c r="N607" s="14"/>
      <c r="O607" s="14"/>
      <c r="P607" s="14"/>
      <c r="Q607" s="14"/>
      <c r="R607" s="14"/>
      <c r="S607" s="14"/>
      <c r="T607" s="14"/>
      <c r="U607" s="14"/>
      <c r="V607" s="14"/>
      <c r="W607" s="14"/>
      <c r="X607" s="14"/>
      <c r="Y607" s="14"/>
    </row>
    <row r="608" spans="1:25" ht="15.75" x14ac:dyDescent="0.25">
      <c r="A608" s="21"/>
      <c r="B608" s="21"/>
      <c r="C608" s="21"/>
      <c r="E608" s="21"/>
      <c r="F608" s="21"/>
      <c r="G608" s="14"/>
      <c r="H608" s="14"/>
      <c r="I608" s="14"/>
      <c r="J608" s="14"/>
      <c r="K608" s="14"/>
      <c r="L608" s="14"/>
      <c r="M608" s="14"/>
      <c r="N608" s="14"/>
      <c r="O608" s="14"/>
      <c r="P608" s="14"/>
      <c r="Q608" s="14"/>
      <c r="R608" s="14"/>
      <c r="S608" s="14"/>
      <c r="T608" s="14"/>
      <c r="U608" s="14"/>
      <c r="V608" s="14"/>
      <c r="W608" s="14"/>
      <c r="X608" s="14"/>
      <c r="Y608" s="14"/>
    </row>
    <row r="609" spans="1:25" ht="15.75" x14ac:dyDescent="0.25">
      <c r="A609" s="21"/>
      <c r="B609" s="21"/>
      <c r="C609" s="21"/>
      <c r="E609" s="21"/>
      <c r="F609" s="21"/>
      <c r="G609" s="14"/>
      <c r="H609" s="14"/>
      <c r="I609" s="14"/>
      <c r="J609" s="14"/>
      <c r="K609" s="14"/>
      <c r="L609" s="14"/>
      <c r="M609" s="14"/>
      <c r="N609" s="14"/>
      <c r="O609" s="14"/>
      <c r="P609" s="14"/>
      <c r="Q609" s="14"/>
      <c r="R609" s="14"/>
      <c r="S609" s="14"/>
      <c r="T609" s="14"/>
      <c r="U609" s="14"/>
      <c r="V609" s="14"/>
      <c r="W609" s="14"/>
      <c r="X609" s="14"/>
      <c r="Y609" s="14"/>
    </row>
    <row r="610" spans="1:25" ht="15.75" x14ac:dyDescent="0.25">
      <c r="A610" s="21"/>
      <c r="B610" s="21"/>
      <c r="C610" s="21"/>
      <c r="E610" s="21"/>
      <c r="F610" s="21"/>
      <c r="G610" s="14"/>
      <c r="H610" s="14"/>
      <c r="I610" s="14"/>
      <c r="J610" s="14"/>
      <c r="K610" s="14"/>
      <c r="L610" s="14"/>
      <c r="M610" s="14"/>
      <c r="N610" s="14"/>
      <c r="O610" s="14"/>
      <c r="P610" s="14"/>
      <c r="Q610" s="14"/>
      <c r="R610" s="14"/>
      <c r="S610" s="14"/>
      <c r="T610" s="14"/>
      <c r="U610" s="14"/>
      <c r="V610" s="14"/>
      <c r="W610" s="14"/>
      <c r="X610" s="14"/>
      <c r="Y610" s="14"/>
    </row>
    <row r="611" spans="1:25" ht="15.75" x14ac:dyDescent="0.25">
      <c r="A611" s="21"/>
      <c r="B611" s="21"/>
      <c r="C611" s="21"/>
      <c r="E611" s="21"/>
      <c r="F611" s="21"/>
      <c r="G611" s="14"/>
      <c r="H611" s="14"/>
      <c r="I611" s="14"/>
      <c r="J611" s="14"/>
      <c r="K611" s="14"/>
      <c r="L611" s="14"/>
      <c r="M611" s="14"/>
      <c r="N611" s="14"/>
      <c r="O611" s="14"/>
      <c r="P611" s="14"/>
      <c r="Q611" s="14"/>
      <c r="R611" s="14"/>
      <c r="S611" s="14"/>
      <c r="T611" s="14"/>
      <c r="U611" s="14"/>
      <c r="V611" s="14"/>
      <c r="W611" s="14"/>
      <c r="X611" s="14"/>
      <c r="Y611" s="14"/>
    </row>
    <row r="612" spans="1:25" ht="15.75" x14ac:dyDescent="0.25">
      <c r="A612" s="21"/>
      <c r="B612" s="21"/>
      <c r="C612" s="21"/>
      <c r="E612" s="21"/>
      <c r="F612" s="21"/>
      <c r="G612" s="14"/>
      <c r="H612" s="14"/>
      <c r="I612" s="14"/>
      <c r="J612" s="14"/>
      <c r="K612" s="14"/>
      <c r="L612" s="14"/>
      <c r="M612" s="14"/>
      <c r="N612" s="14"/>
      <c r="O612" s="14"/>
      <c r="P612" s="14"/>
      <c r="Q612" s="14"/>
      <c r="R612" s="14"/>
      <c r="S612" s="14"/>
      <c r="T612" s="14"/>
      <c r="U612" s="14"/>
      <c r="V612" s="14"/>
      <c r="W612" s="14"/>
      <c r="X612" s="14"/>
      <c r="Y612" s="14"/>
    </row>
    <row r="613" spans="1:25" ht="15.75" x14ac:dyDescent="0.25">
      <c r="A613" s="21"/>
      <c r="B613" s="21"/>
      <c r="C613" s="21"/>
      <c r="E613" s="21"/>
      <c r="F613" s="21"/>
      <c r="G613" s="14"/>
      <c r="H613" s="14"/>
      <c r="I613" s="14"/>
      <c r="J613" s="14"/>
      <c r="K613" s="14"/>
      <c r="L613" s="14"/>
      <c r="M613" s="14"/>
      <c r="N613" s="14"/>
      <c r="O613" s="14"/>
      <c r="P613" s="14"/>
      <c r="Q613" s="14"/>
      <c r="R613" s="14"/>
      <c r="S613" s="14"/>
      <c r="T613" s="14"/>
      <c r="U613" s="14"/>
      <c r="V613" s="14"/>
      <c r="W613" s="14"/>
      <c r="X613" s="14"/>
      <c r="Y613" s="14"/>
    </row>
    <row r="614" spans="1:25" ht="15.75" x14ac:dyDescent="0.25">
      <c r="A614" s="21"/>
      <c r="B614" s="21"/>
      <c r="C614" s="21"/>
      <c r="E614" s="21"/>
      <c r="F614" s="21"/>
      <c r="G614" s="14"/>
      <c r="H614" s="14"/>
      <c r="I614" s="14"/>
      <c r="J614" s="14"/>
      <c r="K614" s="14"/>
      <c r="L614" s="14"/>
      <c r="M614" s="14"/>
      <c r="N614" s="14"/>
      <c r="O614" s="14"/>
      <c r="P614" s="14"/>
      <c r="Q614" s="14"/>
      <c r="R614" s="14"/>
      <c r="S614" s="14"/>
      <c r="T614" s="14"/>
      <c r="U614" s="14"/>
      <c r="V614" s="14"/>
      <c r="W614" s="14"/>
      <c r="X614" s="14"/>
      <c r="Y614" s="14"/>
    </row>
    <row r="615" spans="1:25" ht="15.75" x14ac:dyDescent="0.25">
      <c r="A615" s="21"/>
      <c r="B615" s="21"/>
      <c r="C615" s="21"/>
      <c r="E615" s="21"/>
      <c r="F615" s="21"/>
      <c r="G615" s="14"/>
      <c r="H615" s="14"/>
      <c r="I615" s="14"/>
      <c r="J615" s="14"/>
      <c r="K615" s="14"/>
      <c r="L615" s="14"/>
      <c r="M615" s="14"/>
      <c r="N615" s="14"/>
      <c r="O615" s="14"/>
      <c r="P615" s="14"/>
      <c r="Q615" s="14"/>
      <c r="R615" s="14"/>
      <c r="S615" s="14"/>
      <c r="T615" s="14"/>
      <c r="U615" s="14"/>
      <c r="V615" s="14"/>
      <c r="W615" s="14"/>
      <c r="X615" s="14"/>
      <c r="Y615" s="14"/>
    </row>
    <row r="616" spans="1:25" ht="15.75" x14ac:dyDescent="0.25">
      <c r="A616" s="21"/>
      <c r="B616" s="21"/>
      <c r="C616" s="21"/>
      <c r="E616" s="21"/>
      <c r="F616" s="21"/>
      <c r="G616" s="14"/>
      <c r="H616" s="14"/>
      <c r="I616" s="14"/>
      <c r="J616" s="14"/>
      <c r="K616" s="14"/>
      <c r="L616" s="14"/>
      <c r="M616" s="14"/>
      <c r="N616" s="14"/>
      <c r="O616" s="14"/>
      <c r="P616" s="14"/>
      <c r="Q616" s="14"/>
      <c r="R616" s="14"/>
      <c r="S616" s="14"/>
      <c r="T616" s="14"/>
      <c r="U616" s="14"/>
      <c r="V616" s="14"/>
      <c r="W616" s="14"/>
      <c r="X616" s="14"/>
      <c r="Y616" s="14"/>
    </row>
    <row r="617" spans="1:25" ht="15.75" x14ac:dyDescent="0.25">
      <c r="A617" s="21"/>
      <c r="B617" s="21"/>
      <c r="C617" s="21"/>
      <c r="E617" s="21"/>
      <c r="F617" s="21"/>
      <c r="G617" s="14"/>
      <c r="H617" s="14"/>
      <c r="I617" s="14"/>
      <c r="J617" s="14"/>
      <c r="K617" s="14"/>
      <c r="L617" s="14"/>
      <c r="M617" s="14"/>
      <c r="N617" s="14"/>
      <c r="O617" s="14"/>
      <c r="P617" s="14"/>
      <c r="Q617" s="14"/>
      <c r="R617" s="14"/>
      <c r="S617" s="14"/>
      <c r="T617" s="14"/>
      <c r="U617" s="14"/>
      <c r="V617" s="14"/>
      <c r="W617" s="14"/>
      <c r="X617" s="14"/>
      <c r="Y617" s="14"/>
    </row>
    <row r="618" spans="1:25" ht="15.75" x14ac:dyDescent="0.25">
      <c r="A618" s="21"/>
      <c r="B618" s="21"/>
      <c r="C618" s="21"/>
      <c r="E618" s="21"/>
      <c r="F618" s="21"/>
      <c r="G618" s="14"/>
      <c r="H618" s="14"/>
      <c r="I618" s="14"/>
      <c r="J618" s="14"/>
      <c r="K618" s="14"/>
      <c r="L618" s="14"/>
      <c r="M618" s="14"/>
      <c r="N618" s="14"/>
      <c r="O618" s="14"/>
      <c r="P618" s="14"/>
      <c r="Q618" s="14"/>
      <c r="R618" s="14"/>
      <c r="S618" s="14"/>
      <c r="T618" s="14"/>
      <c r="U618" s="14"/>
      <c r="V618" s="14"/>
      <c r="W618" s="14"/>
      <c r="X618" s="14"/>
      <c r="Y618" s="14"/>
    </row>
    <row r="619" spans="1:25" ht="15.75" x14ac:dyDescent="0.25">
      <c r="A619" s="21"/>
      <c r="B619" s="21"/>
      <c r="C619" s="21"/>
      <c r="E619" s="21"/>
      <c r="F619" s="21"/>
      <c r="G619" s="14"/>
      <c r="H619" s="14"/>
      <c r="I619" s="14"/>
      <c r="J619" s="14"/>
      <c r="K619" s="14"/>
      <c r="L619" s="14"/>
      <c r="M619" s="14"/>
      <c r="N619" s="14"/>
      <c r="O619" s="14"/>
      <c r="P619" s="14"/>
      <c r="Q619" s="14"/>
      <c r="R619" s="14"/>
      <c r="S619" s="14"/>
      <c r="T619" s="14"/>
      <c r="U619" s="14"/>
      <c r="V619" s="14"/>
      <c r="W619" s="14"/>
      <c r="X619" s="14"/>
      <c r="Y619" s="14"/>
    </row>
    <row r="620" spans="1:25" ht="15.75" x14ac:dyDescent="0.25">
      <c r="A620" s="21"/>
      <c r="B620" s="21"/>
      <c r="C620" s="21"/>
      <c r="E620" s="21"/>
      <c r="F620" s="21"/>
      <c r="G620" s="14"/>
      <c r="H620" s="14"/>
      <c r="I620" s="14"/>
      <c r="J620" s="14"/>
      <c r="K620" s="14"/>
      <c r="L620" s="14"/>
      <c r="M620" s="14"/>
      <c r="N620" s="14"/>
      <c r="O620" s="14"/>
      <c r="P620" s="14"/>
      <c r="Q620" s="14"/>
      <c r="R620" s="14"/>
      <c r="S620" s="14"/>
      <c r="T620" s="14"/>
      <c r="U620" s="14"/>
      <c r="V620" s="14"/>
      <c r="W620" s="14"/>
      <c r="X620" s="14"/>
      <c r="Y620" s="14"/>
    </row>
    <row r="621" spans="1:25" ht="15.75" x14ac:dyDescent="0.25">
      <c r="A621" s="21"/>
      <c r="B621" s="21"/>
      <c r="C621" s="21"/>
      <c r="E621" s="21"/>
      <c r="F621" s="21"/>
      <c r="G621" s="14"/>
      <c r="H621" s="14"/>
      <c r="I621" s="14"/>
      <c r="J621" s="14"/>
      <c r="K621" s="14"/>
      <c r="L621" s="14"/>
      <c r="M621" s="14"/>
      <c r="N621" s="14"/>
      <c r="O621" s="14"/>
      <c r="P621" s="14"/>
      <c r="Q621" s="14"/>
      <c r="R621" s="14"/>
      <c r="S621" s="14"/>
      <c r="T621" s="14"/>
      <c r="U621" s="14"/>
      <c r="V621" s="14"/>
      <c r="W621" s="14"/>
      <c r="X621" s="14"/>
      <c r="Y621" s="14"/>
    </row>
    <row r="622" spans="1:25" ht="15.75" x14ac:dyDescent="0.25">
      <c r="A622" s="21"/>
      <c r="B622" s="21"/>
      <c r="C622" s="21"/>
      <c r="E622" s="21"/>
      <c r="F622" s="21"/>
      <c r="G622" s="14"/>
      <c r="H622" s="14"/>
      <c r="I622" s="14"/>
      <c r="J622" s="14"/>
      <c r="K622" s="14"/>
      <c r="L622" s="14"/>
      <c r="M622" s="14"/>
      <c r="N622" s="14"/>
      <c r="O622" s="14"/>
      <c r="P622" s="14"/>
      <c r="Q622" s="14"/>
      <c r="R622" s="14"/>
      <c r="S622" s="14"/>
      <c r="T622" s="14"/>
      <c r="U622" s="14"/>
      <c r="V622" s="14"/>
      <c r="W622" s="14"/>
      <c r="X622" s="14"/>
      <c r="Y622" s="14"/>
    </row>
    <row r="623" spans="1:25" ht="15.75" x14ac:dyDescent="0.25">
      <c r="A623" s="21"/>
      <c r="B623" s="21"/>
      <c r="C623" s="21"/>
      <c r="E623" s="21"/>
      <c r="F623" s="21"/>
      <c r="G623" s="14"/>
      <c r="H623" s="14"/>
      <c r="I623" s="14"/>
      <c r="J623" s="14"/>
      <c r="K623" s="14"/>
      <c r="L623" s="14"/>
      <c r="M623" s="14"/>
      <c r="N623" s="14"/>
      <c r="O623" s="14"/>
      <c r="P623" s="14"/>
      <c r="Q623" s="14"/>
      <c r="R623" s="14"/>
      <c r="S623" s="14"/>
      <c r="T623" s="14"/>
      <c r="U623" s="14"/>
      <c r="V623" s="14"/>
      <c r="W623" s="14"/>
      <c r="X623" s="14"/>
      <c r="Y623" s="14"/>
    </row>
    <row r="624" spans="1:25" ht="15.75" x14ac:dyDescent="0.25">
      <c r="A624" s="21"/>
      <c r="B624" s="21"/>
      <c r="C624" s="21"/>
      <c r="E624" s="21"/>
      <c r="F624" s="21"/>
      <c r="G624" s="14"/>
      <c r="H624" s="14"/>
      <c r="I624" s="14"/>
      <c r="J624" s="14"/>
      <c r="K624" s="14"/>
      <c r="L624" s="14"/>
      <c r="M624" s="14"/>
      <c r="N624" s="14"/>
      <c r="O624" s="14"/>
      <c r="P624" s="14"/>
      <c r="Q624" s="14"/>
      <c r="R624" s="14"/>
      <c r="S624" s="14"/>
      <c r="T624" s="14"/>
      <c r="U624" s="14"/>
      <c r="V624" s="14"/>
      <c r="W624" s="14"/>
      <c r="X624" s="14"/>
      <c r="Y624" s="14"/>
    </row>
    <row r="625" spans="1:25" ht="15.75" x14ac:dyDescent="0.25">
      <c r="A625" s="21"/>
      <c r="B625" s="21"/>
      <c r="C625" s="21"/>
      <c r="E625" s="21"/>
      <c r="F625" s="21"/>
      <c r="G625" s="14"/>
      <c r="H625" s="14"/>
      <c r="I625" s="14"/>
      <c r="J625" s="14"/>
      <c r="K625" s="14"/>
      <c r="L625" s="14"/>
      <c r="M625" s="14"/>
      <c r="N625" s="14"/>
      <c r="O625" s="14"/>
      <c r="P625" s="14"/>
      <c r="Q625" s="14"/>
      <c r="R625" s="14"/>
      <c r="S625" s="14"/>
      <c r="T625" s="14"/>
      <c r="U625" s="14"/>
      <c r="V625" s="14"/>
      <c r="W625" s="14"/>
      <c r="X625" s="14"/>
      <c r="Y625" s="14"/>
    </row>
    <row r="626" spans="1:25" ht="15.75" x14ac:dyDescent="0.25">
      <c r="A626" s="21"/>
      <c r="B626" s="21"/>
      <c r="C626" s="21"/>
      <c r="E626" s="21"/>
      <c r="F626" s="21"/>
      <c r="G626" s="14"/>
      <c r="H626" s="14"/>
      <c r="I626" s="14"/>
      <c r="J626" s="14"/>
      <c r="K626" s="14"/>
      <c r="L626" s="14"/>
      <c r="M626" s="14"/>
      <c r="N626" s="14"/>
      <c r="O626" s="14"/>
      <c r="P626" s="14"/>
      <c r="Q626" s="14"/>
      <c r="R626" s="14"/>
      <c r="S626" s="14"/>
      <c r="T626" s="14"/>
      <c r="U626" s="14"/>
      <c r="V626" s="14"/>
      <c r="W626" s="14"/>
      <c r="X626" s="14"/>
      <c r="Y626" s="14"/>
    </row>
    <row r="627" spans="1:25" ht="15.75" x14ac:dyDescent="0.25">
      <c r="A627" s="21"/>
      <c r="B627" s="21"/>
      <c r="C627" s="21"/>
      <c r="E627" s="21"/>
      <c r="F627" s="21"/>
      <c r="G627" s="14"/>
      <c r="H627" s="14"/>
      <c r="I627" s="14"/>
      <c r="J627" s="14"/>
      <c r="K627" s="14"/>
      <c r="L627" s="14"/>
      <c r="M627" s="14"/>
      <c r="N627" s="14"/>
      <c r="O627" s="14"/>
      <c r="P627" s="14"/>
      <c r="Q627" s="14"/>
      <c r="R627" s="14"/>
      <c r="S627" s="14"/>
      <c r="T627" s="14"/>
      <c r="U627" s="14"/>
      <c r="V627" s="14"/>
      <c r="W627" s="14"/>
      <c r="X627" s="14"/>
      <c r="Y627" s="14"/>
    </row>
    <row r="628" spans="1:25" ht="15.75" x14ac:dyDescent="0.25">
      <c r="A628" s="21"/>
      <c r="B628" s="21"/>
      <c r="C628" s="21"/>
      <c r="E628" s="21"/>
      <c r="F628" s="21"/>
      <c r="G628" s="14"/>
      <c r="H628" s="14"/>
      <c r="I628" s="14"/>
      <c r="J628" s="14"/>
      <c r="K628" s="14"/>
      <c r="L628" s="14"/>
      <c r="M628" s="14"/>
      <c r="N628" s="14"/>
      <c r="O628" s="14"/>
      <c r="P628" s="14"/>
      <c r="Q628" s="14"/>
      <c r="R628" s="14"/>
      <c r="S628" s="14"/>
      <c r="T628" s="14"/>
      <c r="U628" s="14"/>
      <c r="V628" s="14"/>
      <c r="W628" s="14"/>
      <c r="X628" s="14"/>
      <c r="Y628" s="14"/>
    </row>
    <row r="629" spans="1:25" ht="15.75" x14ac:dyDescent="0.25">
      <c r="A629" s="21"/>
      <c r="B629" s="21"/>
      <c r="C629" s="21"/>
      <c r="E629" s="21"/>
      <c r="F629" s="21"/>
      <c r="G629" s="14"/>
      <c r="H629" s="14"/>
      <c r="I629" s="14"/>
      <c r="J629" s="14"/>
      <c r="K629" s="14"/>
      <c r="L629" s="14"/>
      <c r="M629" s="14"/>
      <c r="N629" s="14"/>
      <c r="O629" s="14"/>
      <c r="P629" s="14"/>
      <c r="Q629" s="14"/>
      <c r="R629" s="14"/>
      <c r="S629" s="14"/>
      <c r="T629" s="14"/>
      <c r="U629" s="14"/>
      <c r="V629" s="14"/>
      <c r="W629" s="14"/>
      <c r="X629" s="14"/>
      <c r="Y629" s="14"/>
    </row>
    <row r="630" spans="1:25" ht="15.75" x14ac:dyDescent="0.25">
      <c r="A630" s="21"/>
      <c r="B630" s="21"/>
      <c r="C630" s="21"/>
      <c r="E630" s="21"/>
      <c r="F630" s="21"/>
      <c r="G630" s="14"/>
      <c r="H630" s="14"/>
      <c r="I630" s="14"/>
      <c r="J630" s="14"/>
      <c r="K630" s="14"/>
      <c r="L630" s="14"/>
      <c r="M630" s="14"/>
      <c r="N630" s="14"/>
      <c r="O630" s="14"/>
      <c r="P630" s="14"/>
      <c r="Q630" s="14"/>
      <c r="R630" s="14"/>
      <c r="S630" s="14"/>
      <c r="T630" s="14"/>
      <c r="U630" s="14"/>
      <c r="V630" s="14"/>
      <c r="W630" s="14"/>
      <c r="X630" s="14"/>
      <c r="Y630" s="14"/>
    </row>
    <row r="631" spans="1:25" ht="15.75" x14ac:dyDescent="0.25">
      <c r="A631" s="21"/>
      <c r="B631" s="21"/>
      <c r="C631" s="21"/>
      <c r="E631" s="21"/>
      <c r="F631" s="21"/>
      <c r="G631" s="14"/>
      <c r="H631" s="14"/>
      <c r="I631" s="14"/>
      <c r="J631" s="14"/>
      <c r="K631" s="14"/>
      <c r="L631" s="14"/>
      <c r="M631" s="14"/>
      <c r="N631" s="14"/>
      <c r="O631" s="14"/>
      <c r="P631" s="14"/>
      <c r="Q631" s="14"/>
      <c r="R631" s="14"/>
      <c r="S631" s="14"/>
      <c r="T631" s="14"/>
      <c r="U631" s="14"/>
      <c r="V631" s="14"/>
      <c r="W631" s="14"/>
      <c r="X631" s="14"/>
      <c r="Y631" s="14"/>
    </row>
    <row r="632" spans="1:25" ht="15.75" x14ac:dyDescent="0.25">
      <c r="A632" s="21"/>
      <c r="B632" s="21"/>
      <c r="C632" s="21"/>
      <c r="E632" s="21"/>
      <c r="F632" s="21"/>
      <c r="G632" s="14"/>
      <c r="H632" s="14"/>
      <c r="I632" s="14"/>
      <c r="J632" s="14"/>
      <c r="K632" s="14"/>
      <c r="L632" s="14"/>
      <c r="M632" s="14"/>
      <c r="N632" s="14"/>
      <c r="O632" s="14"/>
      <c r="P632" s="14"/>
      <c r="Q632" s="14"/>
      <c r="R632" s="14"/>
      <c r="S632" s="14"/>
      <c r="T632" s="14"/>
      <c r="U632" s="14"/>
      <c r="V632" s="14"/>
      <c r="W632" s="14"/>
      <c r="X632" s="14"/>
      <c r="Y632" s="14"/>
    </row>
    <row r="633" spans="1:25" ht="15.75" x14ac:dyDescent="0.25">
      <c r="A633" s="21"/>
      <c r="B633" s="21"/>
      <c r="C633" s="21"/>
      <c r="E633" s="21"/>
      <c r="F633" s="21"/>
      <c r="G633" s="14"/>
      <c r="H633" s="14"/>
      <c r="I633" s="14"/>
      <c r="J633" s="14"/>
      <c r="K633" s="14"/>
      <c r="L633" s="14"/>
      <c r="M633" s="14"/>
      <c r="N633" s="14"/>
      <c r="O633" s="14"/>
      <c r="P633" s="14"/>
      <c r="Q633" s="14"/>
      <c r="R633" s="14"/>
      <c r="S633" s="14"/>
      <c r="T633" s="14"/>
      <c r="U633" s="14"/>
      <c r="V633" s="14"/>
      <c r="W633" s="14"/>
      <c r="X633" s="14"/>
      <c r="Y633" s="14"/>
    </row>
    <row r="634" spans="1:25" ht="15.75" x14ac:dyDescent="0.25">
      <c r="A634" s="21"/>
      <c r="B634" s="21"/>
      <c r="C634" s="21"/>
      <c r="E634" s="21"/>
      <c r="F634" s="21"/>
      <c r="G634" s="14"/>
      <c r="H634" s="14"/>
      <c r="I634" s="14"/>
      <c r="J634" s="14"/>
      <c r="K634" s="14"/>
      <c r="L634" s="14"/>
      <c r="M634" s="14"/>
      <c r="N634" s="14"/>
      <c r="O634" s="14"/>
      <c r="P634" s="14"/>
      <c r="Q634" s="14"/>
      <c r="R634" s="14"/>
      <c r="S634" s="14"/>
      <c r="T634" s="14"/>
      <c r="U634" s="14"/>
      <c r="V634" s="14"/>
      <c r="W634" s="14"/>
      <c r="X634" s="14"/>
      <c r="Y634" s="14"/>
    </row>
    <row r="635" spans="1:25" ht="15.75" x14ac:dyDescent="0.25">
      <c r="A635" s="21"/>
      <c r="B635" s="21"/>
      <c r="C635" s="21"/>
      <c r="E635" s="21"/>
      <c r="F635" s="21"/>
      <c r="G635" s="14"/>
      <c r="H635" s="14"/>
      <c r="I635" s="14"/>
      <c r="J635" s="14"/>
      <c r="K635" s="14"/>
      <c r="L635" s="14"/>
      <c r="M635" s="14"/>
      <c r="N635" s="14"/>
      <c r="O635" s="14"/>
      <c r="P635" s="14"/>
      <c r="Q635" s="14"/>
      <c r="R635" s="14"/>
      <c r="S635" s="14"/>
      <c r="T635" s="14"/>
      <c r="U635" s="14"/>
      <c r="V635" s="14"/>
      <c r="W635" s="14"/>
      <c r="X635" s="14"/>
      <c r="Y635" s="14"/>
    </row>
    <row r="636" spans="1:25" ht="15.75" x14ac:dyDescent="0.25">
      <c r="A636" s="21"/>
      <c r="B636" s="21"/>
      <c r="C636" s="21"/>
      <c r="E636" s="21"/>
      <c r="F636" s="21"/>
      <c r="G636" s="14"/>
      <c r="H636" s="14"/>
      <c r="I636" s="14"/>
      <c r="J636" s="14"/>
      <c r="K636" s="14"/>
      <c r="L636" s="14"/>
      <c r="M636" s="14"/>
      <c r="N636" s="14"/>
      <c r="O636" s="14"/>
      <c r="P636" s="14"/>
      <c r="Q636" s="14"/>
      <c r="R636" s="14"/>
      <c r="S636" s="14"/>
      <c r="T636" s="14"/>
      <c r="U636" s="14"/>
      <c r="V636" s="14"/>
      <c r="W636" s="14"/>
      <c r="X636" s="14"/>
      <c r="Y636" s="14"/>
    </row>
    <row r="637" spans="1:25" ht="15.75" x14ac:dyDescent="0.25">
      <c r="A637" s="21"/>
      <c r="B637" s="21"/>
      <c r="C637" s="21"/>
      <c r="E637" s="21"/>
      <c r="F637" s="21"/>
      <c r="G637" s="14"/>
      <c r="H637" s="14"/>
      <c r="I637" s="14"/>
      <c r="J637" s="14"/>
      <c r="K637" s="14"/>
      <c r="L637" s="14"/>
      <c r="M637" s="14"/>
      <c r="N637" s="14"/>
      <c r="O637" s="14"/>
      <c r="P637" s="14"/>
      <c r="Q637" s="14"/>
      <c r="R637" s="14"/>
      <c r="S637" s="14"/>
      <c r="T637" s="14"/>
      <c r="U637" s="14"/>
      <c r="V637" s="14"/>
      <c r="W637" s="14"/>
      <c r="X637" s="14"/>
      <c r="Y637" s="14"/>
    </row>
    <row r="638" spans="1:25" ht="15.75" x14ac:dyDescent="0.25">
      <c r="A638" s="21"/>
      <c r="B638" s="21"/>
      <c r="C638" s="21"/>
      <c r="E638" s="21"/>
      <c r="F638" s="21"/>
      <c r="G638" s="14"/>
      <c r="H638" s="14"/>
      <c r="I638" s="14"/>
      <c r="J638" s="14"/>
      <c r="K638" s="14"/>
      <c r="L638" s="14"/>
      <c r="M638" s="14"/>
      <c r="N638" s="14"/>
      <c r="O638" s="14"/>
      <c r="P638" s="14"/>
      <c r="Q638" s="14"/>
      <c r="R638" s="14"/>
      <c r="S638" s="14"/>
      <c r="T638" s="14"/>
      <c r="U638" s="14"/>
      <c r="V638" s="14"/>
      <c r="W638" s="14"/>
      <c r="X638" s="14"/>
      <c r="Y638" s="14"/>
    </row>
    <row r="639" spans="1:25" ht="15.75" x14ac:dyDescent="0.25">
      <c r="A639" s="21"/>
      <c r="B639" s="21"/>
      <c r="C639" s="21"/>
      <c r="E639" s="21"/>
      <c r="F639" s="21"/>
      <c r="G639" s="14"/>
      <c r="H639" s="14"/>
      <c r="I639" s="14"/>
      <c r="J639" s="14"/>
      <c r="K639" s="14"/>
      <c r="L639" s="14"/>
      <c r="M639" s="14"/>
      <c r="N639" s="14"/>
      <c r="O639" s="14"/>
      <c r="P639" s="14"/>
      <c r="Q639" s="14"/>
      <c r="R639" s="14"/>
      <c r="S639" s="14"/>
      <c r="T639" s="14"/>
      <c r="U639" s="14"/>
      <c r="V639" s="14"/>
      <c r="W639" s="14"/>
      <c r="X639" s="14"/>
      <c r="Y639" s="14"/>
    </row>
    <row r="640" spans="1:25" ht="15.75" x14ac:dyDescent="0.25">
      <c r="A640" s="21"/>
      <c r="B640" s="21"/>
      <c r="C640" s="21"/>
      <c r="E640" s="21"/>
      <c r="F640" s="21"/>
      <c r="G640" s="14"/>
      <c r="H640" s="14"/>
      <c r="I640" s="14"/>
      <c r="J640" s="14"/>
      <c r="K640" s="14"/>
      <c r="L640" s="14"/>
      <c r="M640" s="14"/>
      <c r="N640" s="14"/>
      <c r="O640" s="14"/>
      <c r="P640" s="14"/>
      <c r="Q640" s="14"/>
      <c r="R640" s="14"/>
      <c r="S640" s="14"/>
      <c r="T640" s="14"/>
      <c r="U640" s="14"/>
      <c r="V640" s="14"/>
      <c r="W640" s="14"/>
      <c r="X640" s="14"/>
      <c r="Y640" s="14"/>
    </row>
    <row r="641" spans="1:25" ht="15.75" x14ac:dyDescent="0.25">
      <c r="A641" s="21"/>
      <c r="B641" s="21"/>
      <c r="C641" s="21"/>
      <c r="E641" s="21"/>
      <c r="F641" s="21"/>
      <c r="G641" s="14"/>
      <c r="H641" s="14"/>
      <c r="I641" s="14"/>
      <c r="J641" s="14"/>
      <c r="K641" s="14"/>
      <c r="L641" s="14"/>
      <c r="M641" s="14"/>
      <c r="N641" s="14"/>
      <c r="O641" s="14"/>
      <c r="P641" s="14"/>
      <c r="Q641" s="14"/>
      <c r="R641" s="14"/>
      <c r="S641" s="14"/>
      <c r="T641" s="14"/>
      <c r="U641" s="14"/>
      <c r="V641" s="14"/>
      <c r="W641" s="14"/>
      <c r="X641" s="14"/>
      <c r="Y641" s="14"/>
    </row>
    <row r="642" spans="1:25" ht="15.75" x14ac:dyDescent="0.25">
      <c r="A642" s="21"/>
      <c r="B642" s="21"/>
      <c r="C642" s="21"/>
      <c r="E642" s="21"/>
      <c r="F642" s="21"/>
      <c r="G642" s="14"/>
      <c r="H642" s="14"/>
      <c r="I642" s="14"/>
      <c r="J642" s="14"/>
      <c r="K642" s="14"/>
      <c r="L642" s="14"/>
      <c r="M642" s="14"/>
      <c r="N642" s="14"/>
      <c r="O642" s="14"/>
      <c r="P642" s="14"/>
      <c r="Q642" s="14"/>
      <c r="R642" s="14"/>
      <c r="S642" s="14"/>
      <c r="T642" s="14"/>
      <c r="U642" s="14"/>
      <c r="V642" s="14"/>
      <c r="W642" s="14"/>
      <c r="X642" s="14"/>
      <c r="Y642" s="14"/>
    </row>
    <row r="643" spans="1:25" ht="15.75" x14ac:dyDescent="0.25">
      <c r="A643" s="21"/>
      <c r="B643" s="21"/>
      <c r="C643" s="21"/>
      <c r="E643" s="21"/>
      <c r="F643" s="21"/>
      <c r="G643" s="14"/>
      <c r="H643" s="14"/>
      <c r="I643" s="14"/>
      <c r="J643" s="14"/>
      <c r="K643" s="14"/>
      <c r="L643" s="14"/>
      <c r="M643" s="14"/>
      <c r="N643" s="14"/>
      <c r="O643" s="14"/>
      <c r="P643" s="14"/>
      <c r="Q643" s="14"/>
      <c r="R643" s="14"/>
      <c r="S643" s="14"/>
      <c r="T643" s="14"/>
      <c r="U643" s="14"/>
      <c r="V643" s="14"/>
      <c r="W643" s="14"/>
      <c r="X643" s="14"/>
      <c r="Y643" s="14"/>
    </row>
    <row r="644" spans="1:25" ht="15.75" x14ac:dyDescent="0.25">
      <c r="A644" s="21"/>
      <c r="B644" s="21"/>
      <c r="C644" s="21"/>
      <c r="E644" s="21"/>
      <c r="F644" s="21"/>
      <c r="G644" s="14"/>
      <c r="H644" s="14"/>
      <c r="I644" s="14"/>
      <c r="J644" s="14"/>
      <c r="K644" s="14"/>
      <c r="L644" s="14"/>
      <c r="M644" s="14"/>
      <c r="N644" s="14"/>
      <c r="O644" s="14"/>
      <c r="P644" s="14"/>
      <c r="Q644" s="14"/>
      <c r="R644" s="14"/>
      <c r="S644" s="14"/>
      <c r="T644" s="14"/>
      <c r="U644" s="14"/>
      <c r="V644" s="14"/>
      <c r="W644" s="14"/>
      <c r="X644" s="14"/>
      <c r="Y644" s="14"/>
    </row>
    <row r="645" spans="1:25" ht="15.75" x14ac:dyDescent="0.25">
      <c r="A645" s="21"/>
      <c r="B645" s="21"/>
      <c r="C645" s="21"/>
      <c r="E645" s="21"/>
      <c r="F645" s="21"/>
      <c r="G645" s="14"/>
      <c r="H645" s="14"/>
      <c r="I645" s="14"/>
      <c r="J645" s="14"/>
      <c r="K645" s="14"/>
      <c r="L645" s="14"/>
      <c r="M645" s="14"/>
      <c r="N645" s="14"/>
      <c r="O645" s="14"/>
      <c r="P645" s="14"/>
      <c r="Q645" s="14"/>
      <c r="R645" s="14"/>
      <c r="S645" s="14"/>
      <c r="T645" s="14"/>
      <c r="U645" s="14"/>
      <c r="V645" s="14"/>
      <c r="W645" s="14"/>
      <c r="X645" s="14"/>
      <c r="Y645" s="14"/>
    </row>
    <row r="646" spans="1:25" ht="15.75" x14ac:dyDescent="0.25">
      <c r="A646" s="21"/>
      <c r="B646" s="21"/>
      <c r="C646" s="21"/>
      <c r="E646" s="21"/>
      <c r="F646" s="21"/>
      <c r="G646" s="14"/>
      <c r="H646" s="14"/>
      <c r="I646" s="14"/>
      <c r="J646" s="14"/>
      <c r="K646" s="14"/>
      <c r="L646" s="14"/>
      <c r="M646" s="14"/>
      <c r="N646" s="14"/>
      <c r="O646" s="14"/>
      <c r="P646" s="14"/>
      <c r="Q646" s="14"/>
      <c r="R646" s="14"/>
      <c r="S646" s="14"/>
      <c r="T646" s="14"/>
      <c r="U646" s="14"/>
      <c r="V646" s="14"/>
      <c r="W646" s="14"/>
      <c r="X646" s="14"/>
      <c r="Y646" s="14"/>
    </row>
    <row r="647" spans="1:25" ht="15.75" x14ac:dyDescent="0.25">
      <c r="A647" s="21"/>
      <c r="B647" s="21"/>
      <c r="C647" s="21"/>
      <c r="E647" s="21"/>
      <c r="F647" s="21"/>
      <c r="G647" s="14"/>
      <c r="H647" s="14"/>
      <c r="I647" s="14"/>
      <c r="J647" s="14"/>
      <c r="K647" s="14"/>
      <c r="L647" s="14"/>
      <c r="M647" s="14"/>
      <c r="N647" s="14"/>
      <c r="O647" s="14"/>
      <c r="P647" s="14"/>
      <c r="Q647" s="14"/>
      <c r="R647" s="14"/>
      <c r="S647" s="14"/>
      <c r="T647" s="14"/>
      <c r="U647" s="14"/>
      <c r="V647" s="14"/>
      <c r="W647" s="14"/>
      <c r="X647" s="14"/>
      <c r="Y647" s="14"/>
    </row>
    <row r="648" spans="1:25" ht="15.75" x14ac:dyDescent="0.25">
      <c r="A648" s="21"/>
      <c r="B648" s="21"/>
      <c r="C648" s="21"/>
      <c r="E648" s="21"/>
      <c r="F648" s="21"/>
      <c r="G648" s="14"/>
      <c r="H648" s="14"/>
      <c r="I648" s="14"/>
      <c r="J648" s="14"/>
      <c r="K648" s="14"/>
      <c r="L648" s="14"/>
      <c r="M648" s="14"/>
      <c r="N648" s="14"/>
      <c r="O648" s="14"/>
      <c r="P648" s="14"/>
      <c r="Q648" s="14"/>
      <c r="R648" s="14"/>
      <c r="S648" s="14"/>
      <c r="T648" s="14"/>
      <c r="U648" s="14"/>
      <c r="V648" s="14"/>
      <c r="W648" s="14"/>
      <c r="X648" s="14"/>
      <c r="Y648" s="14"/>
    </row>
    <row r="649" spans="1:25" ht="15.75" x14ac:dyDescent="0.25">
      <c r="A649" s="21"/>
      <c r="B649" s="21"/>
      <c r="C649" s="21"/>
      <c r="E649" s="21"/>
      <c r="F649" s="21"/>
      <c r="G649" s="14"/>
      <c r="H649" s="14"/>
      <c r="I649" s="14"/>
      <c r="J649" s="14"/>
      <c r="K649" s="14"/>
      <c r="L649" s="14"/>
      <c r="M649" s="14"/>
      <c r="N649" s="14"/>
      <c r="O649" s="14"/>
      <c r="P649" s="14"/>
      <c r="Q649" s="14"/>
      <c r="R649" s="14"/>
      <c r="S649" s="14"/>
      <c r="T649" s="14"/>
      <c r="U649" s="14"/>
      <c r="V649" s="14"/>
      <c r="W649" s="14"/>
      <c r="X649" s="14"/>
      <c r="Y649" s="14"/>
    </row>
    <row r="650" spans="1:25" ht="15.75" x14ac:dyDescent="0.25">
      <c r="A650" s="21"/>
      <c r="B650" s="21"/>
      <c r="C650" s="21"/>
      <c r="E650" s="21"/>
      <c r="F650" s="21"/>
      <c r="G650" s="14"/>
      <c r="H650" s="14"/>
      <c r="I650" s="14"/>
      <c r="J650" s="14"/>
      <c r="K650" s="14"/>
      <c r="L650" s="14"/>
      <c r="M650" s="14"/>
      <c r="N650" s="14"/>
      <c r="O650" s="14"/>
      <c r="P650" s="14"/>
      <c r="Q650" s="14"/>
      <c r="R650" s="14"/>
      <c r="S650" s="14"/>
      <c r="T650" s="14"/>
      <c r="U650" s="14"/>
      <c r="V650" s="14"/>
      <c r="W650" s="14"/>
      <c r="X650" s="14"/>
      <c r="Y650" s="14"/>
    </row>
    <row r="651" spans="1:25" ht="15.75" x14ac:dyDescent="0.25">
      <c r="A651" s="21"/>
      <c r="B651" s="21"/>
      <c r="C651" s="21"/>
      <c r="E651" s="21"/>
      <c r="F651" s="21"/>
      <c r="G651" s="14"/>
      <c r="H651" s="14"/>
      <c r="I651" s="14"/>
      <c r="J651" s="14"/>
      <c r="K651" s="14"/>
      <c r="L651" s="14"/>
      <c r="M651" s="14"/>
      <c r="N651" s="14"/>
      <c r="O651" s="14"/>
      <c r="P651" s="14"/>
      <c r="Q651" s="14"/>
      <c r="R651" s="14"/>
      <c r="S651" s="14"/>
      <c r="T651" s="14"/>
      <c r="U651" s="14"/>
      <c r="V651" s="14"/>
      <c r="W651" s="14"/>
      <c r="X651" s="14"/>
      <c r="Y651" s="14"/>
    </row>
    <row r="652" spans="1:25" ht="15.75" x14ac:dyDescent="0.25">
      <c r="A652" s="21"/>
      <c r="B652" s="21"/>
      <c r="C652" s="21"/>
      <c r="E652" s="21"/>
      <c r="F652" s="21"/>
      <c r="G652" s="14"/>
      <c r="H652" s="14"/>
      <c r="I652" s="14"/>
      <c r="J652" s="14"/>
      <c r="K652" s="14"/>
      <c r="L652" s="14"/>
      <c r="M652" s="14"/>
      <c r="N652" s="14"/>
      <c r="O652" s="14"/>
      <c r="P652" s="14"/>
      <c r="Q652" s="14"/>
      <c r="R652" s="14"/>
      <c r="S652" s="14"/>
      <c r="T652" s="14"/>
      <c r="U652" s="14"/>
      <c r="V652" s="14"/>
      <c r="W652" s="14"/>
      <c r="X652" s="14"/>
      <c r="Y652" s="14"/>
    </row>
    <row r="653" spans="1:25" ht="15.75" x14ac:dyDescent="0.25">
      <c r="A653" s="21"/>
      <c r="B653" s="21"/>
      <c r="C653" s="21"/>
      <c r="E653" s="21"/>
      <c r="F653" s="21"/>
      <c r="G653" s="14"/>
      <c r="H653" s="14"/>
      <c r="I653" s="14"/>
      <c r="J653" s="14"/>
      <c r="K653" s="14"/>
      <c r="L653" s="14"/>
      <c r="M653" s="14"/>
      <c r="N653" s="14"/>
      <c r="O653" s="14"/>
      <c r="P653" s="14"/>
      <c r="Q653" s="14"/>
      <c r="R653" s="14"/>
      <c r="S653" s="14"/>
      <c r="T653" s="14"/>
      <c r="U653" s="14"/>
      <c r="V653" s="14"/>
      <c r="W653" s="14"/>
      <c r="X653" s="14"/>
      <c r="Y653" s="14"/>
    </row>
    <row r="654" spans="1:25" ht="15.75" x14ac:dyDescent="0.25">
      <c r="A654" s="21"/>
      <c r="B654" s="21"/>
      <c r="C654" s="21"/>
      <c r="E654" s="21"/>
      <c r="F654" s="21"/>
      <c r="G654" s="14"/>
      <c r="H654" s="14"/>
      <c r="I654" s="14"/>
      <c r="J654" s="14"/>
      <c r="K654" s="14"/>
      <c r="L654" s="14"/>
      <c r="M654" s="14"/>
      <c r="N654" s="14"/>
      <c r="O654" s="14"/>
      <c r="P654" s="14"/>
      <c r="Q654" s="14"/>
      <c r="R654" s="14"/>
      <c r="S654" s="14"/>
      <c r="T654" s="14"/>
      <c r="U654" s="14"/>
      <c r="V654" s="14"/>
      <c r="W654" s="14"/>
      <c r="X654" s="14"/>
      <c r="Y654" s="14"/>
    </row>
    <row r="655" spans="1:25" ht="15.75" x14ac:dyDescent="0.25">
      <c r="A655" s="21"/>
      <c r="B655" s="21"/>
      <c r="C655" s="21"/>
      <c r="E655" s="21"/>
      <c r="F655" s="21"/>
      <c r="G655" s="14"/>
      <c r="H655" s="14"/>
      <c r="I655" s="14"/>
      <c r="J655" s="14"/>
      <c r="K655" s="14"/>
      <c r="L655" s="14"/>
      <c r="M655" s="14"/>
      <c r="N655" s="14"/>
      <c r="O655" s="14"/>
      <c r="P655" s="14"/>
      <c r="Q655" s="14"/>
      <c r="R655" s="14"/>
      <c r="S655" s="14"/>
      <c r="T655" s="14"/>
      <c r="U655" s="14"/>
      <c r="V655" s="14"/>
      <c r="W655" s="14"/>
      <c r="X655" s="14"/>
      <c r="Y655" s="14"/>
    </row>
    <row r="656" spans="1:25" ht="15.75" x14ac:dyDescent="0.25">
      <c r="A656" s="21"/>
      <c r="B656" s="21"/>
      <c r="C656" s="21"/>
      <c r="E656" s="21"/>
      <c r="F656" s="21"/>
      <c r="G656" s="14"/>
      <c r="H656" s="14"/>
      <c r="I656" s="14"/>
      <c r="J656" s="14"/>
      <c r="K656" s="14"/>
      <c r="L656" s="14"/>
      <c r="M656" s="14"/>
      <c r="N656" s="14"/>
      <c r="O656" s="14"/>
      <c r="P656" s="14"/>
      <c r="Q656" s="14"/>
      <c r="R656" s="14"/>
      <c r="S656" s="14"/>
      <c r="T656" s="14"/>
      <c r="U656" s="14"/>
      <c r="V656" s="14"/>
      <c r="W656" s="14"/>
      <c r="X656" s="14"/>
      <c r="Y656" s="14"/>
    </row>
    <row r="657" spans="1:25" ht="15.75" x14ac:dyDescent="0.25">
      <c r="A657" s="21"/>
      <c r="B657" s="21"/>
      <c r="C657" s="21"/>
      <c r="E657" s="21"/>
      <c r="F657" s="21"/>
      <c r="G657" s="14"/>
      <c r="H657" s="14"/>
      <c r="I657" s="14"/>
      <c r="J657" s="14"/>
      <c r="K657" s="14"/>
      <c r="L657" s="14"/>
      <c r="M657" s="14"/>
      <c r="N657" s="14"/>
      <c r="O657" s="14"/>
      <c r="P657" s="14"/>
      <c r="Q657" s="14"/>
      <c r="R657" s="14"/>
      <c r="S657" s="14"/>
      <c r="T657" s="14"/>
      <c r="U657" s="14"/>
      <c r="V657" s="14"/>
      <c r="W657" s="14"/>
      <c r="X657" s="14"/>
      <c r="Y657" s="14"/>
    </row>
    <row r="658" spans="1:25" ht="15.75" x14ac:dyDescent="0.25">
      <c r="A658" s="21"/>
      <c r="B658" s="21"/>
      <c r="C658" s="21"/>
      <c r="E658" s="21"/>
      <c r="F658" s="21"/>
      <c r="G658" s="14"/>
      <c r="H658" s="14"/>
      <c r="I658" s="14"/>
      <c r="J658" s="14"/>
      <c r="K658" s="14"/>
      <c r="L658" s="14"/>
      <c r="M658" s="14"/>
      <c r="N658" s="14"/>
      <c r="O658" s="14"/>
      <c r="P658" s="14"/>
      <c r="Q658" s="14"/>
      <c r="R658" s="14"/>
      <c r="S658" s="14"/>
      <c r="T658" s="14"/>
      <c r="U658" s="14"/>
      <c r="V658" s="14"/>
      <c r="W658" s="14"/>
      <c r="X658" s="14"/>
      <c r="Y658" s="14"/>
    </row>
    <row r="659" spans="1:25" ht="15.75" x14ac:dyDescent="0.25">
      <c r="A659" s="21"/>
      <c r="B659" s="21"/>
      <c r="C659" s="21"/>
      <c r="E659" s="21"/>
      <c r="F659" s="21"/>
      <c r="G659" s="14"/>
      <c r="H659" s="14"/>
      <c r="I659" s="14"/>
      <c r="J659" s="14"/>
      <c r="K659" s="14"/>
      <c r="L659" s="14"/>
      <c r="M659" s="14"/>
      <c r="N659" s="14"/>
      <c r="O659" s="14"/>
      <c r="P659" s="14"/>
      <c r="Q659" s="14"/>
      <c r="R659" s="14"/>
      <c r="S659" s="14"/>
      <c r="T659" s="14"/>
      <c r="U659" s="14"/>
      <c r="V659" s="14"/>
      <c r="W659" s="14"/>
      <c r="X659" s="14"/>
      <c r="Y659" s="14"/>
    </row>
    <row r="660" spans="1:25" ht="15.75" x14ac:dyDescent="0.25">
      <c r="A660" s="21"/>
      <c r="B660" s="21"/>
      <c r="C660" s="21"/>
      <c r="E660" s="21"/>
      <c r="F660" s="21"/>
      <c r="G660" s="14"/>
      <c r="H660" s="14"/>
      <c r="I660" s="14"/>
      <c r="J660" s="14"/>
      <c r="K660" s="14"/>
      <c r="L660" s="14"/>
      <c r="M660" s="14"/>
      <c r="N660" s="14"/>
      <c r="O660" s="14"/>
      <c r="P660" s="14"/>
      <c r="Q660" s="14"/>
      <c r="R660" s="14"/>
      <c r="S660" s="14"/>
      <c r="T660" s="14"/>
      <c r="U660" s="14"/>
      <c r="V660" s="14"/>
      <c r="W660" s="14"/>
      <c r="X660" s="14"/>
      <c r="Y660" s="14"/>
    </row>
    <row r="661" spans="1:25" ht="15.75" x14ac:dyDescent="0.25">
      <c r="A661" s="21"/>
      <c r="B661" s="21"/>
      <c r="C661" s="21"/>
      <c r="E661" s="21"/>
      <c r="F661" s="21"/>
      <c r="G661" s="14"/>
      <c r="H661" s="14"/>
      <c r="I661" s="14"/>
      <c r="J661" s="14"/>
      <c r="K661" s="14"/>
      <c r="L661" s="14"/>
      <c r="M661" s="14"/>
      <c r="N661" s="14"/>
      <c r="O661" s="14"/>
      <c r="P661" s="14"/>
      <c r="Q661" s="14"/>
      <c r="R661" s="14"/>
      <c r="S661" s="14"/>
      <c r="T661" s="14"/>
      <c r="U661" s="14"/>
      <c r="V661" s="14"/>
      <c r="W661" s="14"/>
      <c r="X661" s="14"/>
      <c r="Y661" s="14"/>
    </row>
    <row r="662" spans="1:25" ht="15.75" x14ac:dyDescent="0.25">
      <c r="A662" s="21"/>
      <c r="B662" s="21"/>
      <c r="C662" s="21"/>
      <c r="E662" s="21"/>
      <c r="F662" s="21"/>
      <c r="G662" s="14"/>
      <c r="H662" s="14"/>
      <c r="I662" s="14"/>
      <c r="J662" s="14"/>
      <c r="K662" s="14"/>
      <c r="L662" s="14"/>
      <c r="M662" s="14"/>
      <c r="N662" s="14"/>
      <c r="O662" s="14"/>
      <c r="P662" s="14"/>
      <c r="Q662" s="14"/>
      <c r="R662" s="14"/>
      <c r="S662" s="14"/>
      <c r="T662" s="14"/>
      <c r="U662" s="14"/>
      <c r="V662" s="14"/>
      <c r="W662" s="14"/>
      <c r="X662" s="14"/>
      <c r="Y662" s="14"/>
    </row>
    <row r="663" spans="1:25" ht="15.75" x14ac:dyDescent="0.25">
      <c r="A663" s="21"/>
      <c r="B663" s="21"/>
      <c r="C663" s="21"/>
      <c r="E663" s="21"/>
      <c r="F663" s="21"/>
      <c r="G663" s="14"/>
      <c r="H663" s="14"/>
      <c r="I663" s="14"/>
      <c r="J663" s="14"/>
      <c r="K663" s="14"/>
      <c r="L663" s="14"/>
      <c r="M663" s="14"/>
      <c r="N663" s="14"/>
      <c r="O663" s="14"/>
      <c r="P663" s="14"/>
      <c r="Q663" s="14"/>
      <c r="R663" s="14"/>
      <c r="S663" s="14"/>
      <c r="T663" s="14"/>
      <c r="U663" s="14"/>
      <c r="V663" s="14"/>
      <c r="W663" s="14"/>
      <c r="X663" s="14"/>
      <c r="Y663" s="14"/>
    </row>
    <row r="664" spans="1:25" ht="15.75" x14ac:dyDescent="0.25">
      <c r="A664" s="21"/>
      <c r="B664" s="21"/>
      <c r="C664" s="21"/>
      <c r="E664" s="21"/>
      <c r="F664" s="21"/>
      <c r="G664" s="14"/>
      <c r="H664" s="14"/>
      <c r="I664" s="14"/>
      <c r="J664" s="14"/>
      <c r="K664" s="14"/>
      <c r="L664" s="14"/>
      <c r="M664" s="14"/>
      <c r="N664" s="14"/>
      <c r="O664" s="14"/>
      <c r="P664" s="14"/>
      <c r="Q664" s="14"/>
      <c r="R664" s="14"/>
      <c r="S664" s="14"/>
      <c r="T664" s="14"/>
      <c r="U664" s="14"/>
      <c r="V664" s="14"/>
      <c r="W664" s="14"/>
      <c r="X664" s="14"/>
      <c r="Y664" s="14"/>
    </row>
    <row r="665" spans="1:25" ht="15.75" x14ac:dyDescent="0.25">
      <c r="A665" s="21"/>
      <c r="B665" s="21"/>
      <c r="C665" s="21"/>
      <c r="E665" s="21"/>
      <c r="F665" s="21"/>
      <c r="G665" s="14"/>
      <c r="H665" s="14"/>
      <c r="I665" s="14"/>
      <c r="J665" s="14"/>
      <c r="K665" s="14"/>
      <c r="L665" s="14"/>
      <c r="M665" s="14"/>
      <c r="N665" s="14"/>
      <c r="O665" s="14"/>
      <c r="P665" s="14"/>
      <c r="Q665" s="14"/>
      <c r="R665" s="14"/>
      <c r="S665" s="14"/>
      <c r="T665" s="14"/>
      <c r="U665" s="14"/>
      <c r="V665" s="14"/>
      <c r="W665" s="14"/>
      <c r="X665" s="14"/>
      <c r="Y665" s="14"/>
    </row>
    <row r="666" spans="1:25" ht="15.75" x14ac:dyDescent="0.25">
      <c r="A666" s="21"/>
      <c r="B666" s="21"/>
      <c r="C666" s="21"/>
      <c r="E666" s="21"/>
      <c r="F666" s="21"/>
      <c r="G666" s="14"/>
      <c r="H666" s="14"/>
      <c r="I666" s="14"/>
      <c r="J666" s="14"/>
      <c r="K666" s="14"/>
      <c r="L666" s="14"/>
      <c r="M666" s="14"/>
      <c r="N666" s="14"/>
      <c r="O666" s="14"/>
      <c r="P666" s="14"/>
      <c r="Q666" s="14"/>
      <c r="R666" s="14"/>
      <c r="S666" s="14"/>
      <c r="T666" s="14"/>
      <c r="U666" s="14"/>
      <c r="V666" s="14"/>
      <c r="W666" s="14"/>
      <c r="X666" s="14"/>
      <c r="Y666" s="14"/>
    </row>
    <row r="667" spans="1:25" ht="15.75" x14ac:dyDescent="0.25">
      <c r="A667" s="21"/>
      <c r="B667" s="21"/>
      <c r="C667" s="21"/>
      <c r="E667" s="21"/>
      <c r="F667" s="21"/>
      <c r="G667" s="14"/>
      <c r="H667" s="14"/>
      <c r="I667" s="14"/>
      <c r="J667" s="14"/>
      <c r="K667" s="14"/>
      <c r="L667" s="14"/>
      <c r="M667" s="14"/>
      <c r="N667" s="14"/>
      <c r="O667" s="14"/>
      <c r="P667" s="14"/>
      <c r="Q667" s="14"/>
      <c r="R667" s="14"/>
      <c r="S667" s="14"/>
      <c r="T667" s="14"/>
      <c r="U667" s="14"/>
      <c r="V667" s="14"/>
      <c r="W667" s="14"/>
      <c r="X667" s="14"/>
      <c r="Y667" s="14"/>
    </row>
    <row r="668" spans="1:25" ht="15.75" x14ac:dyDescent="0.25">
      <c r="A668" s="21"/>
      <c r="B668" s="21"/>
      <c r="C668" s="21"/>
      <c r="E668" s="21"/>
      <c r="F668" s="21"/>
      <c r="G668" s="14"/>
      <c r="H668" s="14"/>
      <c r="I668" s="14"/>
      <c r="J668" s="14"/>
      <c r="K668" s="14"/>
      <c r="L668" s="14"/>
      <c r="M668" s="14"/>
      <c r="N668" s="14"/>
      <c r="O668" s="14"/>
      <c r="P668" s="14"/>
      <c r="Q668" s="14"/>
      <c r="R668" s="14"/>
      <c r="S668" s="14"/>
      <c r="T668" s="14"/>
      <c r="U668" s="14"/>
      <c r="V668" s="14"/>
      <c r="W668" s="14"/>
      <c r="X668" s="14"/>
      <c r="Y668" s="14"/>
    </row>
    <row r="669" spans="1:25" ht="15.75" x14ac:dyDescent="0.25">
      <c r="A669" s="21"/>
      <c r="B669" s="21"/>
      <c r="C669" s="21"/>
      <c r="E669" s="21"/>
      <c r="F669" s="21"/>
      <c r="G669" s="14"/>
      <c r="H669" s="14"/>
      <c r="I669" s="14"/>
      <c r="J669" s="14"/>
      <c r="K669" s="14"/>
      <c r="L669" s="14"/>
      <c r="M669" s="14"/>
      <c r="N669" s="14"/>
      <c r="O669" s="14"/>
      <c r="P669" s="14"/>
      <c r="Q669" s="14"/>
      <c r="R669" s="14"/>
      <c r="S669" s="14"/>
      <c r="T669" s="14"/>
      <c r="U669" s="14"/>
      <c r="V669" s="14"/>
      <c r="W669" s="14"/>
      <c r="X669" s="14"/>
      <c r="Y669" s="14"/>
    </row>
    <row r="670" spans="1:25" ht="15.75" x14ac:dyDescent="0.25">
      <c r="A670" s="21"/>
      <c r="B670" s="21"/>
      <c r="C670" s="21"/>
      <c r="E670" s="21"/>
      <c r="F670" s="21"/>
      <c r="G670" s="14"/>
      <c r="H670" s="14"/>
      <c r="I670" s="14"/>
      <c r="J670" s="14"/>
      <c r="K670" s="14"/>
      <c r="L670" s="14"/>
      <c r="M670" s="14"/>
      <c r="N670" s="14"/>
      <c r="O670" s="14"/>
      <c r="P670" s="14"/>
      <c r="Q670" s="14"/>
      <c r="R670" s="14"/>
      <c r="S670" s="14"/>
      <c r="T670" s="14"/>
      <c r="U670" s="14"/>
      <c r="V670" s="14"/>
      <c r="W670" s="14"/>
      <c r="X670" s="14"/>
      <c r="Y670" s="14"/>
    </row>
    <row r="671" spans="1:25" ht="15.75" x14ac:dyDescent="0.25">
      <c r="A671" s="21"/>
      <c r="B671" s="21"/>
      <c r="C671" s="21"/>
      <c r="E671" s="21"/>
      <c r="F671" s="21"/>
      <c r="G671" s="14"/>
      <c r="H671" s="14"/>
      <c r="I671" s="14"/>
      <c r="J671" s="14"/>
      <c r="K671" s="14"/>
      <c r="L671" s="14"/>
      <c r="M671" s="14"/>
      <c r="N671" s="14"/>
      <c r="O671" s="14"/>
      <c r="P671" s="14"/>
      <c r="Q671" s="14"/>
      <c r="R671" s="14"/>
      <c r="S671" s="14"/>
      <c r="T671" s="14"/>
      <c r="U671" s="14"/>
      <c r="V671" s="14"/>
      <c r="W671" s="14"/>
      <c r="X671" s="14"/>
      <c r="Y671" s="14"/>
    </row>
    <row r="672" spans="1:25" ht="15.75" x14ac:dyDescent="0.25">
      <c r="A672" s="21"/>
      <c r="B672" s="21"/>
      <c r="C672" s="21"/>
      <c r="E672" s="21"/>
      <c r="F672" s="21"/>
      <c r="G672" s="14"/>
      <c r="H672" s="14"/>
      <c r="I672" s="14"/>
      <c r="J672" s="14"/>
      <c r="K672" s="14"/>
      <c r="L672" s="14"/>
      <c r="M672" s="14"/>
      <c r="N672" s="14"/>
      <c r="O672" s="14"/>
      <c r="P672" s="14"/>
      <c r="Q672" s="14"/>
      <c r="R672" s="14"/>
      <c r="S672" s="14"/>
      <c r="T672" s="14"/>
      <c r="U672" s="14"/>
      <c r="V672" s="14"/>
      <c r="W672" s="14"/>
      <c r="X672" s="14"/>
      <c r="Y672" s="14"/>
    </row>
    <row r="673" spans="1:25" ht="15.75" x14ac:dyDescent="0.25">
      <c r="A673" s="21"/>
      <c r="B673" s="21"/>
      <c r="C673" s="21"/>
      <c r="E673" s="21"/>
      <c r="F673" s="21"/>
      <c r="G673" s="14"/>
      <c r="H673" s="14"/>
      <c r="I673" s="14"/>
      <c r="J673" s="14"/>
      <c r="K673" s="14"/>
      <c r="L673" s="14"/>
      <c r="M673" s="14"/>
      <c r="N673" s="14"/>
      <c r="O673" s="14"/>
      <c r="P673" s="14"/>
      <c r="Q673" s="14"/>
      <c r="R673" s="14"/>
      <c r="S673" s="14"/>
      <c r="T673" s="14"/>
      <c r="U673" s="14"/>
      <c r="V673" s="14"/>
      <c r="W673" s="14"/>
      <c r="X673" s="14"/>
      <c r="Y673" s="14"/>
    </row>
    <row r="674" spans="1:25" ht="15.75" x14ac:dyDescent="0.25">
      <c r="A674" s="21"/>
      <c r="B674" s="21"/>
      <c r="C674" s="21"/>
      <c r="E674" s="21"/>
      <c r="F674" s="21"/>
      <c r="G674" s="14"/>
      <c r="H674" s="14"/>
      <c r="I674" s="14"/>
      <c r="J674" s="14"/>
      <c r="K674" s="14"/>
      <c r="L674" s="14"/>
      <c r="M674" s="14"/>
      <c r="N674" s="14"/>
      <c r="O674" s="14"/>
      <c r="P674" s="14"/>
      <c r="Q674" s="14"/>
      <c r="R674" s="14"/>
      <c r="S674" s="14"/>
      <c r="T674" s="14"/>
      <c r="U674" s="14"/>
      <c r="V674" s="14"/>
      <c r="W674" s="14"/>
      <c r="X674" s="14"/>
      <c r="Y674" s="14"/>
    </row>
    <row r="675" spans="1:25" ht="15.75" x14ac:dyDescent="0.25">
      <c r="A675" s="21"/>
      <c r="B675" s="21"/>
      <c r="C675" s="21"/>
      <c r="E675" s="21"/>
      <c r="F675" s="21"/>
      <c r="G675" s="14"/>
      <c r="H675" s="14"/>
      <c r="I675" s="14"/>
      <c r="J675" s="14"/>
      <c r="K675" s="14"/>
      <c r="L675" s="14"/>
      <c r="M675" s="14"/>
      <c r="N675" s="14"/>
      <c r="O675" s="14"/>
      <c r="P675" s="14"/>
      <c r="Q675" s="14"/>
      <c r="R675" s="14"/>
      <c r="S675" s="14"/>
      <c r="T675" s="14"/>
      <c r="U675" s="14"/>
      <c r="V675" s="14"/>
      <c r="W675" s="14"/>
      <c r="X675" s="14"/>
      <c r="Y675" s="14"/>
    </row>
    <row r="676" spans="1:25" ht="15.75" x14ac:dyDescent="0.25">
      <c r="A676" s="21"/>
      <c r="B676" s="21"/>
      <c r="C676" s="21"/>
      <c r="E676" s="21"/>
      <c r="F676" s="21"/>
      <c r="G676" s="14"/>
      <c r="H676" s="14"/>
      <c r="I676" s="14"/>
      <c r="J676" s="14"/>
      <c r="K676" s="14"/>
      <c r="L676" s="14"/>
      <c r="M676" s="14"/>
      <c r="N676" s="14"/>
      <c r="O676" s="14"/>
      <c r="P676" s="14"/>
      <c r="Q676" s="14"/>
      <c r="R676" s="14"/>
      <c r="S676" s="14"/>
      <c r="T676" s="14"/>
      <c r="U676" s="14"/>
      <c r="V676" s="14"/>
      <c r="W676" s="14"/>
      <c r="X676" s="14"/>
      <c r="Y676" s="14"/>
    </row>
    <row r="677" spans="1:25" ht="15.75" x14ac:dyDescent="0.25">
      <c r="A677" s="21"/>
      <c r="B677" s="21"/>
      <c r="C677" s="21"/>
      <c r="E677" s="21"/>
      <c r="F677" s="21"/>
      <c r="G677" s="14"/>
      <c r="H677" s="14"/>
      <c r="I677" s="14"/>
      <c r="J677" s="14"/>
      <c r="K677" s="14"/>
      <c r="L677" s="14"/>
      <c r="M677" s="14"/>
      <c r="N677" s="14"/>
      <c r="O677" s="14"/>
      <c r="P677" s="14"/>
      <c r="Q677" s="14"/>
      <c r="R677" s="14"/>
      <c r="S677" s="14"/>
      <c r="T677" s="14"/>
      <c r="U677" s="14"/>
      <c r="V677" s="14"/>
      <c r="W677" s="14"/>
      <c r="X677" s="14"/>
      <c r="Y677" s="14"/>
    </row>
    <row r="678" spans="1:25" ht="15.75" x14ac:dyDescent="0.25">
      <c r="A678" s="21"/>
      <c r="B678" s="21"/>
      <c r="C678" s="21"/>
      <c r="E678" s="21"/>
      <c r="F678" s="21"/>
      <c r="G678" s="14"/>
      <c r="H678" s="14"/>
      <c r="I678" s="14"/>
      <c r="J678" s="14"/>
      <c r="K678" s="14"/>
      <c r="L678" s="14"/>
      <c r="M678" s="14"/>
      <c r="N678" s="14"/>
      <c r="O678" s="14"/>
      <c r="P678" s="14"/>
      <c r="Q678" s="14"/>
      <c r="R678" s="14"/>
      <c r="S678" s="14"/>
      <c r="T678" s="14"/>
      <c r="U678" s="14"/>
      <c r="V678" s="14"/>
      <c r="W678" s="14"/>
      <c r="X678" s="14"/>
      <c r="Y678" s="14"/>
    </row>
    <row r="679" spans="1:25" ht="15.75" x14ac:dyDescent="0.25">
      <c r="A679" s="21"/>
      <c r="B679" s="21"/>
      <c r="C679" s="21"/>
      <c r="E679" s="21"/>
      <c r="F679" s="21"/>
      <c r="G679" s="14"/>
      <c r="H679" s="14"/>
      <c r="I679" s="14"/>
      <c r="J679" s="14"/>
      <c r="K679" s="14"/>
      <c r="L679" s="14"/>
      <c r="M679" s="14"/>
      <c r="N679" s="14"/>
      <c r="O679" s="14"/>
      <c r="P679" s="14"/>
      <c r="Q679" s="14"/>
      <c r="R679" s="14"/>
      <c r="S679" s="14"/>
      <c r="T679" s="14"/>
      <c r="U679" s="14"/>
      <c r="V679" s="14"/>
      <c r="W679" s="14"/>
      <c r="X679" s="14"/>
      <c r="Y679" s="14"/>
    </row>
    <row r="680" spans="1:25" ht="15.75" x14ac:dyDescent="0.25">
      <c r="A680" s="21"/>
      <c r="B680" s="21"/>
      <c r="C680" s="21"/>
      <c r="E680" s="21"/>
      <c r="F680" s="21"/>
      <c r="G680" s="14"/>
      <c r="H680" s="14"/>
      <c r="I680" s="14"/>
      <c r="J680" s="14"/>
      <c r="K680" s="14"/>
      <c r="L680" s="14"/>
      <c r="M680" s="14"/>
      <c r="N680" s="14"/>
      <c r="O680" s="14"/>
      <c r="P680" s="14"/>
      <c r="Q680" s="14"/>
      <c r="R680" s="14"/>
      <c r="S680" s="14"/>
      <c r="T680" s="14"/>
      <c r="U680" s="14"/>
      <c r="V680" s="14"/>
      <c r="W680" s="14"/>
      <c r="X680" s="14"/>
      <c r="Y680" s="14"/>
    </row>
    <row r="681" spans="1:25" ht="15.75" x14ac:dyDescent="0.25">
      <c r="A681" s="21"/>
      <c r="B681" s="21"/>
      <c r="C681" s="21"/>
      <c r="E681" s="21"/>
      <c r="F681" s="21"/>
      <c r="G681" s="14"/>
      <c r="H681" s="14"/>
      <c r="I681" s="14"/>
      <c r="J681" s="14"/>
      <c r="K681" s="14"/>
      <c r="L681" s="14"/>
      <c r="M681" s="14"/>
      <c r="N681" s="14"/>
      <c r="O681" s="14"/>
      <c r="P681" s="14"/>
      <c r="Q681" s="14"/>
      <c r="R681" s="14"/>
      <c r="S681" s="14"/>
      <c r="T681" s="14"/>
      <c r="U681" s="14"/>
      <c r="V681" s="14"/>
      <c r="W681" s="14"/>
      <c r="X681" s="14"/>
      <c r="Y681" s="14"/>
    </row>
    <row r="682" spans="1:25" ht="15.75" x14ac:dyDescent="0.25">
      <c r="A682" s="21"/>
      <c r="B682" s="21"/>
      <c r="C682" s="21"/>
      <c r="E682" s="21"/>
      <c r="F682" s="21"/>
      <c r="G682" s="14"/>
      <c r="H682" s="14"/>
      <c r="I682" s="14"/>
      <c r="J682" s="14"/>
      <c r="K682" s="14"/>
      <c r="L682" s="14"/>
      <c r="M682" s="14"/>
      <c r="N682" s="14"/>
      <c r="O682" s="14"/>
      <c r="P682" s="14"/>
      <c r="Q682" s="14"/>
      <c r="R682" s="14"/>
      <c r="S682" s="14"/>
      <c r="T682" s="14"/>
      <c r="U682" s="14"/>
      <c r="V682" s="14"/>
      <c r="W682" s="14"/>
      <c r="X682" s="14"/>
      <c r="Y682" s="14"/>
    </row>
    <row r="683" spans="1:25" ht="15.75" x14ac:dyDescent="0.25">
      <c r="A683" s="21"/>
      <c r="B683" s="21"/>
      <c r="C683" s="21"/>
      <c r="E683" s="21"/>
      <c r="F683" s="21"/>
      <c r="G683" s="14"/>
      <c r="H683" s="14"/>
      <c r="I683" s="14"/>
      <c r="J683" s="14"/>
      <c r="K683" s="14"/>
      <c r="L683" s="14"/>
      <c r="M683" s="14"/>
      <c r="N683" s="14"/>
      <c r="O683" s="14"/>
      <c r="P683" s="14"/>
      <c r="Q683" s="14"/>
      <c r="R683" s="14"/>
      <c r="S683" s="14"/>
      <c r="T683" s="14"/>
      <c r="U683" s="14"/>
      <c r="V683" s="14"/>
      <c r="W683" s="14"/>
      <c r="X683" s="14"/>
      <c r="Y683" s="14"/>
    </row>
    <row r="684" spans="1:25" ht="15.75" x14ac:dyDescent="0.25">
      <c r="A684" s="21"/>
      <c r="B684" s="21"/>
      <c r="C684" s="21"/>
      <c r="E684" s="21"/>
      <c r="F684" s="21"/>
      <c r="G684" s="14"/>
      <c r="H684" s="14"/>
      <c r="I684" s="14"/>
      <c r="J684" s="14"/>
      <c r="K684" s="14"/>
      <c r="L684" s="14"/>
      <c r="M684" s="14"/>
      <c r="N684" s="14"/>
      <c r="O684" s="14"/>
      <c r="P684" s="14"/>
      <c r="Q684" s="14"/>
      <c r="R684" s="14"/>
      <c r="S684" s="14"/>
      <c r="T684" s="14"/>
      <c r="U684" s="14"/>
      <c r="V684" s="14"/>
      <c r="W684" s="14"/>
      <c r="X684" s="14"/>
      <c r="Y684" s="14"/>
    </row>
    <row r="685" spans="1:25" ht="15.75" x14ac:dyDescent="0.25">
      <c r="A685" s="21"/>
      <c r="B685" s="21"/>
      <c r="C685" s="21"/>
      <c r="E685" s="21"/>
      <c r="F685" s="21"/>
      <c r="G685" s="14"/>
      <c r="H685" s="14"/>
      <c r="I685" s="14"/>
      <c r="J685" s="14"/>
      <c r="K685" s="14"/>
      <c r="L685" s="14"/>
      <c r="M685" s="14"/>
      <c r="N685" s="14"/>
      <c r="O685" s="14"/>
      <c r="P685" s="14"/>
      <c r="Q685" s="14"/>
      <c r="R685" s="14"/>
      <c r="S685" s="14"/>
      <c r="T685" s="14"/>
      <c r="U685" s="14"/>
      <c r="V685" s="14"/>
      <c r="W685" s="14"/>
      <c r="X685" s="14"/>
      <c r="Y685" s="14"/>
    </row>
    <row r="686" spans="1:25" ht="15.75" x14ac:dyDescent="0.25">
      <c r="A686" s="21"/>
      <c r="B686" s="21"/>
      <c r="C686" s="21"/>
      <c r="E686" s="21"/>
      <c r="F686" s="21"/>
      <c r="G686" s="14"/>
      <c r="H686" s="14"/>
      <c r="I686" s="14"/>
      <c r="J686" s="14"/>
      <c r="K686" s="14"/>
      <c r="L686" s="14"/>
      <c r="M686" s="14"/>
      <c r="N686" s="14"/>
      <c r="O686" s="14"/>
      <c r="P686" s="14"/>
      <c r="Q686" s="14"/>
      <c r="R686" s="14"/>
      <c r="S686" s="14"/>
      <c r="T686" s="14"/>
      <c r="U686" s="14"/>
      <c r="V686" s="14"/>
      <c r="W686" s="14"/>
      <c r="X686" s="14"/>
      <c r="Y686" s="14"/>
    </row>
    <row r="687" spans="1:25" ht="15.75" x14ac:dyDescent="0.25">
      <c r="A687" s="21"/>
      <c r="B687" s="21"/>
      <c r="C687" s="21"/>
      <c r="E687" s="21"/>
      <c r="F687" s="21"/>
      <c r="G687" s="14"/>
      <c r="H687" s="14"/>
      <c r="I687" s="14"/>
      <c r="J687" s="14"/>
      <c r="K687" s="14"/>
      <c r="L687" s="14"/>
      <c r="M687" s="14"/>
      <c r="N687" s="14"/>
      <c r="O687" s="14"/>
      <c r="P687" s="14"/>
      <c r="Q687" s="14"/>
      <c r="R687" s="14"/>
      <c r="S687" s="14"/>
      <c r="T687" s="14"/>
      <c r="U687" s="14"/>
      <c r="V687" s="14"/>
      <c r="W687" s="14"/>
      <c r="X687" s="14"/>
      <c r="Y687" s="14"/>
    </row>
    <row r="688" spans="1:25" ht="15.75" x14ac:dyDescent="0.25">
      <c r="A688" s="21"/>
      <c r="B688" s="21"/>
      <c r="C688" s="21"/>
      <c r="E688" s="21"/>
      <c r="F688" s="21"/>
      <c r="G688" s="14"/>
      <c r="H688" s="14"/>
      <c r="I688" s="14"/>
      <c r="J688" s="14"/>
      <c r="K688" s="14"/>
      <c r="L688" s="14"/>
      <c r="M688" s="14"/>
      <c r="N688" s="14"/>
      <c r="O688" s="14"/>
      <c r="P688" s="14"/>
      <c r="Q688" s="14"/>
      <c r="R688" s="14"/>
      <c r="S688" s="14"/>
      <c r="T688" s="14"/>
      <c r="U688" s="14"/>
      <c r="V688" s="14"/>
      <c r="W688" s="14"/>
      <c r="X688" s="14"/>
      <c r="Y688" s="14"/>
    </row>
    <row r="689" spans="1:25" ht="15.75" x14ac:dyDescent="0.25">
      <c r="A689" s="21"/>
      <c r="B689" s="21"/>
      <c r="C689" s="21"/>
      <c r="E689" s="21"/>
      <c r="F689" s="21"/>
      <c r="G689" s="14"/>
      <c r="H689" s="14"/>
      <c r="I689" s="14"/>
      <c r="J689" s="14"/>
      <c r="K689" s="14"/>
      <c r="L689" s="14"/>
      <c r="M689" s="14"/>
      <c r="N689" s="14"/>
      <c r="O689" s="14"/>
      <c r="P689" s="14"/>
      <c r="Q689" s="14"/>
      <c r="R689" s="14"/>
      <c r="S689" s="14"/>
      <c r="T689" s="14"/>
      <c r="U689" s="14"/>
      <c r="V689" s="14"/>
      <c r="W689" s="14"/>
      <c r="X689" s="14"/>
      <c r="Y689" s="14"/>
    </row>
    <row r="690" spans="1:25" ht="15.75" x14ac:dyDescent="0.25">
      <c r="A690" s="21"/>
      <c r="B690" s="21"/>
      <c r="C690" s="21"/>
      <c r="E690" s="21"/>
      <c r="F690" s="21"/>
      <c r="G690" s="14"/>
      <c r="H690" s="14"/>
      <c r="I690" s="14"/>
      <c r="J690" s="14"/>
      <c r="K690" s="14"/>
      <c r="L690" s="14"/>
      <c r="M690" s="14"/>
      <c r="N690" s="14"/>
      <c r="O690" s="14"/>
      <c r="P690" s="14"/>
      <c r="Q690" s="14"/>
      <c r="R690" s="14"/>
      <c r="S690" s="14"/>
      <c r="T690" s="14"/>
      <c r="U690" s="14"/>
      <c r="V690" s="14"/>
      <c r="W690" s="14"/>
      <c r="X690" s="14"/>
      <c r="Y690" s="14"/>
    </row>
    <row r="691" spans="1:25" ht="15.75" x14ac:dyDescent="0.25">
      <c r="A691" s="21"/>
      <c r="B691" s="21"/>
      <c r="C691" s="21"/>
      <c r="E691" s="21"/>
      <c r="F691" s="21"/>
      <c r="G691" s="14"/>
      <c r="H691" s="14"/>
      <c r="I691" s="14"/>
      <c r="J691" s="14"/>
      <c r="K691" s="14"/>
      <c r="L691" s="14"/>
      <c r="M691" s="14"/>
      <c r="N691" s="14"/>
      <c r="O691" s="14"/>
      <c r="P691" s="14"/>
      <c r="Q691" s="14"/>
      <c r="R691" s="14"/>
      <c r="S691" s="14"/>
      <c r="T691" s="14"/>
      <c r="U691" s="14"/>
      <c r="V691" s="14"/>
      <c r="W691" s="14"/>
      <c r="X691" s="14"/>
      <c r="Y691" s="14"/>
    </row>
    <row r="692" spans="1:25" ht="15.75" x14ac:dyDescent="0.25">
      <c r="A692" s="21"/>
      <c r="B692" s="21"/>
      <c r="C692" s="21"/>
      <c r="E692" s="21"/>
      <c r="F692" s="21"/>
      <c r="G692" s="14"/>
      <c r="H692" s="14"/>
      <c r="I692" s="14"/>
      <c r="J692" s="14"/>
      <c r="K692" s="14"/>
      <c r="L692" s="14"/>
      <c r="M692" s="14"/>
      <c r="N692" s="14"/>
      <c r="O692" s="14"/>
      <c r="P692" s="14"/>
      <c r="Q692" s="14"/>
      <c r="R692" s="14"/>
      <c r="S692" s="14"/>
      <c r="T692" s="14"/>
      <c r="U692" s="14"/>
      <c r="V692" s="14"/>
      <c r="W692" s="14"/>
      <c r="X692" s="14"/>
      <c r="Y692" s="14"/>
    </row>
    <row r="693" spans="1:25" ht="15.75" x14ac:dyDescent="0.25">
      <c r="A693" s="21"/>
      <c r="B693" s="21"/>
      <c r="C693" s="21"/>
      <c r="E693" s="21"/>
      <c r="F693" s="21"/>
      <c r="G693" s="14"/>
      <c r="H693" s="14"/>
      <c r="I693" s="14"/>
      <c r="J693" s="14"/>
      <c r="K693" s="14"/>
      <c r="L693" s="14"/>
      <c r="M693" s="14"/>
      <c r="N693" s="14"/>
      <c r="O693" s="14"/>
      <c r="P693" s="14"/>
      <c r="Q693" s="14"/>
      <c r="R693" s="14"/>
      <c r="S693" s="14"/>
      <c r="T693" s="14"/>
      <c r="U693" s="14"/>
      <c r="V693" s="14"/>
      <c r="W693" s="14"/>
      <c r="X693" s="14"/>
      <c r="Y693" s="14"/>
    </row>
    <row r="694" spans="1:25" ht="15.75" x14ac:dyDescent="0.25">
      <c r="A694" s="21"/>
      <c r="B694" s="21"/>
      <c r="C694" s="21"/>
      <c r="E694" s="21"/>
      <c r="F694" s="21"/>
      <c r="G694" s="14"/>
      <c r="H694" s="14"/>
      <c r="I694" s="14"/>
      <c r="J694" s="14"/>
      <c r="K694" s="14"/>
      <c r="L694" s="14"/>
      <c r="M694" s="14"/>
      <c r="N694" s="14"/>
      <c r="O694" s="14"/>
      <c r="P694" s="14"/>
      <c r="Q694" s="14"/>
      <c r="R694" s="14"/>
      <c r="S694" s="14"/>
      <c r="T694" s="14"/>
      <c r="U694" s="14"/>
      <c r="V694" s="14"/>
      <c r="W694" s="14"/>
      <c r="X694" s="14"/>
      <c r="Y694" s="14"/>
    </row>
    <row r="695" spans="1:25" ht="15.75" x14ac:dyDescent="0.25">
      <c r="A695" s="21"/>
      <c r="B695" s="21"/>
      <c r="C695" s="21"/>
      <c r="E695" s="21"/>
      <c r="F695" s="21"/>
      <c r="G695" s="14"/>
      <c r="H695" s="14"/>
      <c r="I695" s="14"/>
      <c r="J695" s="14"/>
      <c r="K695" s="14"/>
      <c r="L695" s="14"/>
      <c r="M695" s="14"/>
      <c r="N695" s="14"/>
      <c r="O695" s="14"/>
      <c r="P695" s="14"/>
      <c r="Q695" s="14"/>
      <c r="R695" s="14"/>
      <c r="S695" s="14"/>
      <c r="T695" s="14"/>
      <c r="U695" s="14"/>
      <c r="V695" s="14"/>
      <c r="W695" s="14"/>
      <c r="X695" s="14"/>
      <c r="Y695" s="14"/>
    </row>
    <row r="696" spans="1:25" ht="15.75" x14ac:dyDescent="0.25">
      <c r="A696" s="21"/>
      <c r="B696" s="21"/>
      <c r="C696" s="21"/>
      <c r="E696" s="21"/>
      <c r="F696" s="21"/>
      <c r="G696" s="14"/>
      <c r="H696" s="14"/>
      <c r="I696" s="14"/>
      <c r="J696" s="14"/>
      <c r="K696" s="14"/>
      <c r="L696" s="14"/>
      <c r="M696" s="14"/>
      <c r="N696" s="14"/>
      <c r="O696" s="14"/>
      <c r="P696" s="14"/>
      <c r="Q696" s="14"/>
      <c r="R696" s="14"/>
      <c r="S696" s="14"/>
      <c r="T696" s="14"/>
      <c r="U696" s="14"/>
      <c r="V696" s="14"/>
      <c r="W696" s="14"/>
      <c r="X696" s="14"/>
      <c r="Y696" s="14"/>
    </row>
    <row r="697" spans="1:25" ht="15.75" x14ac:dyDescent="0.25">
      <c r="A697" s="21"/>
      <c r="B697" s="21"/>
      <c r="C697" s="21"/>
      <c r="E697" s="21"/>
      <c r="F697" s="21"/>
      <c r="G697" s="14"/>
      <c r="H697" s="14"/>
      <c r="I697" s="14"/>
      <c r="J697" s="14"/>
      <c r="K697" s="14"/>
      <c r="L697" s="14"/>
      <c r="M697" s="14"/>
      <c r="N697" s="14"/>
      <c r="O697" s="14"/>
      <c r="P697" s="14"/>
      <c r="Q697" s="14"/>
      <c r="R697" s="14"/>
      <c r="S697" s="14"/>
      <c r="T697" s="14"/>
      <c r="U697" s="14"/>
      <c r="V697" s="14"/>
      <c r="W697" s="14"/>
      <c r="X697" s="14"/>
      <c r="Y697" s="14"/>
    </row>
    <row r="698" spans="1:25" ht="15.75" x14ac:dyDescent="0.25">
      <c r="A698" s="21"/>
      <c r="B698" s="21"/>
      <c r="C698" s="21"/>
      <c r="E698" s="21"/>
      <c r="F698" s="21"/>
      <c r="G698" s="14"/>
      <c r="H698" s="14"/>
      <c r="I698" s="14"/>
      <c r="J698" s="14"/>
      <c r="K698" s="14"/>
      <c r="L698" s="14"/>
      <c r="M698" s="14"/>
      <c r="N698" s="14"/>
      <c r="O698" s="14"/>
      <c r="P698" s="14"/>
      <c r="Q698" s="14"/>
      <c r="R698" s="14"/>
      <c r="S698" s="14"/>
      <c r="T698" s="14"/>
      <c r="U698" s="14"/>
      <c r="V698" s="14"/>
      <c r="W698" s="14"/>
      <c r="X698" s="14"/>
      <c r="Y698" s="14"/>
    </row>
    <row r="699" spans="1:25" ht="15.75" x14ac:dyDescent="0.25">
      <c r="A699" s="21"/>
      <c r="B699" s="21"/>
      <c r="C699" s="21"/>
      <c r="E699" s="21"/>
      <c r="F699" s="21"/>
      <c r="G699" s="14"/>
      <c r="H699" s="14"/>
      <c r="I699" s="14"/>
      <c r="J699" s="14"/>
      <c r="K699" s="14"/>
      <c r="L699" s="14"/>
      <c r="M699" s="14"/>
      <c r="N699" s="14"/>
      <c r="O699" s="14"/>
      <c r="P699" s="14"/>
      <c r="Q699" s="14"/>
      <c r="R699" s="14"/>
      <c r="S699" s="14"/>
      <c r="T699" s="14"/>
      <c r="U699" s="14"/>
      <c r="V699" s="14"/>
      <c r="W699" s="14"/>
      <c r="X699" s="14"/>
      <c r="Y699" s="14"/>
    </row>
    <row r="700" spans="1:25" ht="15.75" x14ac:dyDescent="0.25">
      <c r="A700" s="21"/>
      <c r="B700" s="21"/>
      <c r="C700" s="21"/>
      <c r="E700" s="21"/>
      <c r="F700" s="21"/>
      <c r="G700" s="14"/>
      <c r="H700" s="14"/>
      <c r="I700" s="14"/>
      <c r="J700" s="14"/>
      <c r="K700" s="14"/>
      <c r="L700" s="14"/>
      <c r="M700" s="14"/>
      <c r="N700" s="14"/>
      <c r="O700" s="14"/>
      <c r="P700" s="14"/>
      <c r="Q700" s="14"/>
      <c r="R700" s="14"/>
      <c r="S700" s="14"/>
      <c r="T700" s="14"/>
      <c r="U700" s="14"/>
      <c r="V700" s="14"/>
      <c r="W700" s="14"/>
      <c r="X700" s="14"/>
      <c r="Y700" s="14"/>
    </row>
    <row r="701" spans="1:25" ht="15.75" x14ac:dyDescent="0.25">
      <c r="A701" s="21"/>
      <c r="B701" s="21"/>
      <c r="C701" s="21"/>
      <c r="E701" s="21"/>
      <c r="F701" s="21"/>
      <c r="G701" s="14"/>
      <c r="H701" s="14"/>
      <c r="I701" s="14"/>
      <c r="J701" s="14"/>
      <c r="K701" s="14"/>
      <c r="L701" s="14"/>
      <c r="M701" s="14"/>
      <c r="N701" s="14"/>
      <c r="O701" s="14"/>
      <c r="P701" s="14"/>
      <c r="Q701" s="14"/>
      <c r="R701" s="14"/>
      <c r="S701" s="14"/>
      <c r="T701" s="14"/>
      <c r="U701" s="14"/>
      <c r="V701" s="14"/>
      <c r="W701" s="14"/>
      <c r="X701" s="14"/>
      <c r="Y701" s="14"/>
    </row>
    <row r="702" spans="1:25" ht="15.75" x14ac:dyDescent="0.25">
      <c r="A702" s="21"/>
      <c r="B702" s="21"/>
      <c r="C702" s="21"/>
      <c r="E702" s="21"/>
      <c r="F702" s="21"/>
      <c r="G702" s="14"/>
      <c r="H702" s="14"/>
      <c r="I702" s="14"/>
      <c r="J702" s="14"/>
      <c r="K702" s="14"/>
      <c r="L702" s="14"/>
      <c r="M702" s="14"/>
      <c r="N702" s="14"/>
      <c r="O702" s="14"/>
      <c r="P702" s="14"/>
      <c r="Q702" s="14"/>
      <c r="R702" s="14"/>
      <c r="S702" s="14"/>
      <c r="T702" s="14"/>
      <c r="U702" s="14"/>
      <c r="V702" s="14"/>
      <c r="W702" s="14"/>
      <c r="X702" s="14"/>
      <c r="Y702" s="14"/>
    </row>
    <row r="703" spans="1:25" ht="15.75" x14ac:dyDescent="0.25">
      <c r="A703" s="21"/>
      <c r="B703" s="21"/>
      <c r="C703" s="21"/>
      <c r="E703" s="21"/>
      <c r="F703" s="21"/>
      <c r="G703" s="14"/>
      <c r="H703" s="14"/>
      <c r="I703" s="14"/>
      <c r="J703" s="14"/>
      <c r="K703" s="14"/>
      <c r="L703" s="14"/>
      <c r="M703" s="14"/>
      <c r="N703" s="14"/>
      <c r="O703" s="14"/>
      <c r="P703" s="14"/>
      <c r="Q703" s="14"/>
      <c r="R703" s="14"/>
      <c r="S703" s="14"/>
      <c r="T703" s="14"/>
      <c r="U703" s="14"/>
      <c r="V703" s="14"/>
      <c r="W703" s="14"/>
      <c r="X703" s="14"/>
      <c r="Y703" s="14"/>
    </row>
    <row r="704" spans="1:25" ht="15.75" x14ac:dyDescent="0.25">
      <c r="A704" s="21"/>
      <c r="B704" s="21"/>
      <c r="C704" s="21"/>
      <c r="E704" s="21"/>
      <c r="F704" s="21"/>
      <c r="G704" s="14"/>
      <c r="H704" s="14"/>
      <c r="I704" s="14"/>
      <c r="J704" s="14"/>
      <c r="K704" s="14"/>
      <c r="L704" s="14"/>
      <c r="M704" s="14"/>
      <c r="N704" s="14"/>
      <c r="O704" s="14"/>
      <c r="P704" s="14"/>
      <c r="Q704" s="14"/>
      <c r="R704" s="14"/>
      <c r="S704" s="14"/>
      <c r="T704" s="14"/>
      <c r="U704" s="14"/>
      <c r="V704" s="14"/>
      <c r="W704" s="14"/>
      <c r="X704" s="14"/>
      <c r="Y704" s="14"/>
    </row>
    <row r="705" spans="1:25" ht="15.75" x14ac:dyDescent="0.25">
      <c r="A705" s="21"/>
      <c r="B705" s="21"/>
      <c r="C705" s="21"/>
      <c r="E705" s="21"/>
      <c r="F705" s="21"/>
      <c r="G705" s="14"/>
      <c r="H705" s="14"/>
      <c r="I705" s="14"/>
      <c r="J705" s="14"/>
      <c r="K705" s="14"/>
      <c r="L705" s="14"/>
      <c r="M705" s="14"/>
      <c r="N705" s="14"/>
      <c r="O705" s="14"/>
      <c r="P705" s="14"/>
      <c r="Q705" s="14"/>
      <c r="R705" s="14"/>
      <c r="S705" s="14"/>
      <c r="T705" s="14"/>
      <c r="U705" s="14"/>
      <c r="V705" s="14"/>
      <c r="W705" s="14"/>
      <c r="X705" s="14"/>
      <c r="Y705" s="14"/>
    </row>
    <row r="706" spans="1:25" ht="15.75" x14ac:dyDescent="0.25">
      <c r="A706" s="21"/>
      <c r="B706" s="21"/>
      <c r="C706" s="21"/>
      <c r="E706" s="21"/>
      <c r="F706" s="21"/>
      <c r="G706" s="14"/>
      <c r="H706" s="14"/>
      <c r="I706" s="14"/>
      <c r="J706" s="14"/>
      <c r="K706" s="14"/>
      <c r="L706" s="14"/>
      <c r="M706" s="14"/>
      <c r="N706" s="14"/>
      <c r="O706" s="14"/>
      <c r="P706" s="14"/>
      <c r="Q706" s="14"/>
      <c r="R706" s="14"/>
      <c r="S706" s="14"/>
      <c r="T706" s="14"/>
      <c r="U706" s="14"/>
      <c r="V706" s="14"/>
      <c r="W706" s="14"/>
      <c r="X706" s="14"/>
      <c r="Y706" s="14"/>
    </row>
    <row r="707" spans="1:25" ht="15.75" x14ac:dyDescent="0.25">
      <c r="A707" s="21"/>
      <c r="B707" s="21"/>
      <c r="C707" s="21"/>
      <c r="E707" s="21"/>
      <c r="F707" s="21"/>
      <c r="G707" s="14"/>
      <c r="H707" s="14"/>
      <c r="I707" s="14"/>
      <c r="J707" s="14"/>
      <c r="K707" s="14"/>
      <c r="L707" s="14"/>
      <c r="M707" s="14"/>
      <c r="N707" s="14"/>
      <c r="O707" s="14"/>
      <c r="P707" s="14"/>
      <c r="Q707" s="14"/>
      <c r="R707" s="14"/>
      <c r="S707" s="14"/>
      <c r="T707" s="14"/>
      <c r="U707" s="14"/>
      <c r="V707" s="14"/>
      <c r="W707" s="14"/>
      <c r="X707" s="14"/>
      <c r="Y707" s="14"/>
    </row>
    <row r="708" spans="1:25" ht="15.75" x14ac:dyDescent="0.25">
      <c r="A708" s="21"/>
      <c r="B708" s="21"/>
      <c r="C708" s="21"/>
      <c r="E708" s="21"/>
      <c r="F708" s="21"/>
      <c r="G708" s="14"/>
      <c r="H708" s="14"/>
      <c r="I708" s="14"/>
      <c r="J708" s="14"/>
      <c r="K708" s="14"/>
      <c r="L708" s="14"/>
      <c r="M708" s="14"/>
      <c r="N708" s="14"/>
      <c r="O708" s="14"/>
      <c r="P708" s="14"/>
      <c r="Q708" s="14"/>
      <c r="R708" s="14"/>
      <c r="S708" s="14"/>
      <c r="T708" s="14"/>
      <c r="U708" s="14"/>
      <c r="V708" s="14"/>
      <c r="W708" s="14"/>
      <c r="X708" s="14"/>
      <c r="Y708" s="14"/>
    </row>
    <row r="709" spans="1:25" ht="15.75" x14ac:dyDescent="0.25">
      <c r="A709" s="21"/>
      <c r="B709" s="21"/>
      <c r="C709" s="21"/>
      <c r="E709" s="21"/>
      <c r="F709" s="21"/>
      <c r="G709" s="14"/>
      <c r="H709" s="14"/>
      <c r="I709" s="14"/>
      <c r="J709" s="14"/>
      <c r="K709" s="14"/>
      <c r="L709" s="14"/>
      <c r="M709" s="14"/>
      <c r="N709" s="14"/>
      <c r="O709" s="14"/>
      <c r="P709" s="14"/>
      <c r="Q709" s="14"/>
      <c r="R709" s="14"/>
      <c r="S709" s="14"/>
      <c r="T709" s="14"/>
      <c r="U709" s="14"/>
      <c r="V709" s="14"/>
      <c r="W709" s="14"/>
      <c r="X709" s="14"/>
      <c r="Y709" s="14"/>
    </row>
    <row r="710" spans="1:25" ht="15.75" x14ac:dyDescent="0.25">
      <c r="A710" s="21"/>
      <c r="B710" s="21"/>
      <c r="C710" s="21"/>
      <c r="E710" s="21"/>
      <c r="F710" s="21"/>
      <c r="G710" s="14"/>
      <c r="H710" s="14"/>
      <c r="I710" s="14"/>
      <c r="J710" s="14"/>
      <c r="K710" s="14"/>
      <c r="L710" s="14"/>
      <c r="M710" s="14"/>
      <c r="N710" s="14"/>
      <c r="O710" s="14"/>
      <c r="P710" s="14"/>
      <c r="Q710" s="14"/>
      <c r="R710" s="14"/>
      <c r="S710" s="14"/>
      <c r="T710" s="14"/>
      <c r="U710" s="14"/>
      <c r="V710" s="14"/>
      <c r="W710" s="14"/>
      <c r="X710" s="14"/>
      <c r="Y710" s="14"/>
    </row>
    <row r="711" spans="1:25" ht="15.75" x14ac:dyDescent="0.25">
      <c r="A711" s="21"/>
      <c r="B711" s="21"/>
      <c r="C711" s="21"/>
      <c r="E711" s="21"/>
      <c r="F711" s="21"/>
      <c r="G711" s="14"/>
      <c r="H711" s="14"/>
      <c r="I711" s="14"/>
      <c r="J711" s="14"/>
      <c r="K711" s="14"/>
      <c r="L711" s="14"/>
      <c r="M711" s="14"/>
      <c r="N711" s="14"/>
      <c r="O711" s="14"/>
      <c r="P711" s="14"/>
      <c r="Q711" s="14"/>
      <c r="R711" s="14"/>
      <c r="S711" s="14"/>
      <c r="T711" s="14"/>
      <c r="U711" s="14"/>
      <c r="V711" s="14"/>
      <c r="W711" s="14"/>
      <c r="X711" s="14"/>
      <c r="Y711" s="14"/>
    </row>
    <row r="712" spans="1:25" ht="15.75" x14ac:dyDescent="0.25">
      <c r="A712" s="21"/>
      <c r="B712" s="21"/>
      <c r="C712" s="21"/>
      <c r="E712" s="21"/>
      <c r="F712" s="21"/>
      <c r="G712" s="14"/>
      <c r="H712" s="14"/>
      <c r="I712" s="14"/>
      <c r="J712" s="14"/>
      <c r="K712" s="14"/>
      <c r="L712" s="14"/>
      <c r="M712" s="14"/>
      <c r="N712" s="14"/>
      <c r="O712" s="14"/>
      <c r="P712" s="14"/>
      <c r="Q712" s="14"/>
      <c r="R712" s="14"/>
      <c r="S712" s="14"/>
      <c r="T712" s="14"/>
      <c r="U712" s="14"/>
      <c r="V712" s="14"/>
      <c r="W712" s="14"/>
      <c r="X712" s="14"/>
      <c r="Y712" s="14"/>
    </row>
    <row r="713" spans="1:25" ht="15.75" x14ac:dyDescent="0.25">
      <c r="A713" s="21"/>
      <c r="B713" s="21"/>
      <c r="C713" s="21"/>
      <c r="E713" s="21"/>
      <c r="F713" s="21"/>
      <c r="G713" s="14"/>
      <c r="H713" s="14"/>
      <c r="I713" s="14"/>
      <c r="J713" s="14"/>
      <c r="K713" s="14"/>
      <c r="L713" s="14"/>
      <c r="M713" s="14"/>
      <c r="N713" s="14"/>
      <c r="O713" s="14"/>
      <c r="P713" s="14"/>
      <c r="Q713" s="14"/>
      <c r="R713" s="14"/>
      <c r="S713" s="14"/>
      <c r="T713" s="14"/>
      <c r="U713" s="14"/>
      <c r="V713" s="14"/>
      <c r="W713" s="14"/>
      <c r="X713" s="14"/>
      <c r="Y713" s="14"/>
    </row>
    <row r="714" spans="1:25" ht="15.75" x14ac:dyDescent="0.25">
      <c r="A714" s="21"/>
      <c r="B714" s="21"/>
      <c r="C714" s="21"/>
      <c r="E714" s="21"/>
      <c r="F714" s="21"/>
      <c r="G714" s="14"/>
      <c r="H714" s="14"/>
      <c r="I714" s="14"/>
      <c r="J714" s="14"/>
      <c r="K714" s="14"/>
      <c r="L714" s="14"/>
      <c r="M714" s="14"/>
      <c r="N714" s="14"/>
      <c r="O714" s="14"/>
      <c r="P714" s="14"/>
      <c r="Q714" s="14"/>
      <c r="R714" s="14"/>
      <c r="S714" s="14"/>
      <c r="T714" s="14"/>
      <c r="U714" s="14"/>
      <c r="V714" s="14"/>
      <c r="W714" s="14"/>
      <c r="X714" s="14"/>
      <c r="Y714" s="14"/>
    </row>
    <row r="715" spans="1:25" ht="15.75" x14ac:dyDescent="0.25">
      <c r="A715" s="21"/>
      <c r="B715" s="21"/>
      <c r="C715" s="21"/>
      <c r="E715" s="21"/>
      <c r="F715" s="21"/>
      <c r="G715" s="14"/>
      <c r="H715" s="14"/>
      <c r="I715" s="14"/>
      <c r="J715" s="14"/>
      <c r="K715" s="14"/>
      <c r="L715" s="14"/>
      <c r="M715" s="14"/>
      <c r="N715" s="14"/>
      <c r="O715" s="14"/>
      <c r="P715" s="14"/>
      <c r="Q715" s="14"/>
      <c r="R715" s="14"/>
      <c r="S715" s="14"/>
      <c r="T715" s="14"/>
      <c r="U715" s="14"/>
      <c r="V715" s="14"/>
      <c r="W715" s="14"/>
      <c r="X715" s="14"/>
      <c r="Y715" s="14"/>
    </row>
    <row r="716" spans="1:25" ht="15.75" x14ac:dyDescent="0.25">
      <c r="A716" s="21"/>
      <c r="B716" s="21"/>
      <c r="C716" s="21"/>
      <c r="E716" s="21"/>
      <c r="F716" s="21"/>
      <c r="G716" s="14"/>
      <c r="H716" s="14"/>
      <c r="I716" s="14"/>
      <c r="J716" s="14"/>
      <c r="K716" s="14"/>
      <c r="L716" s="14"/>
      <c r="M716" s="14"/>
      <c r="N716" s="14"/>
      <c r="O716" s="14"/>
      <c r="P716" s="14"/>
      <c r="Q716" s="14"/>
      <c r="R716" s="14"/>
      <c r="S716" s="14"/>
      <c r="T716" s="14"/>
      <c r="U716" s="14"/>
      <c r="V716" s="14"/>
      <c r="W716" s="14"/>
      <c r="X716" s="14"/>
      <c r="Y716" s="14"/>
    </row>
    <row r="717" spans="1:25" ht="15.75" x14ac:dyDescent="0.25">
      <c r="A717" s="21"/>
      <c r="B717" s="21"/>
      <c r="C717" s="21"/>
      <c r="E717" s="21"/>
      <c r="F717" s="21"/>
      <c r="G717" s="14"/>
      <c r="H717" s="14"/>
      <c r="I717" s="14"/>
      <c r="J717" s="14"/>
      <c r="K717" s="14"/>
      <c r="L717" s="14"/>
      <c r="M717" s="14"/>
      <c r="N717" s="14"/>
      <c r="O717" s="14"/>
      <c r="P717" s="14"/>
      <c r="Q717" s="14"/>
      <c r="R717" s="14"/>
      <c r="S717" s="14"/>
      <c r="T717" s="14"/>
      <c r="U717" s="14"/>
      <c r="V717" s="14"/>
      <c r="W717" s="14"/>
      <c r="X717" s="14"/>
      <c r="Y717" s="14"/>
    </row>
    <row r="718" spans="1:25" ht="15.75" x14ac:dyDescent="0.25">
      <c r="A718" s="21"/>
      <c r="B718" s="21"/>
      <c r="C718" s="21"/>
      <c r="E718" s="21"/>
      <c r="F718" s="21"/>
      <c r="G718" s="14"/>
      <c r="H718" s="14"/>
      <c r="I718" s="14"/>
      <c r="J718" s="14"/>
      <c r="K718" s="14"/>
      <c r="L718" s="14"/>
      <c r="M718" s="14"/>
      <c r="N718" s="14"/>
      <c r="O718" s="14"/>
      <c r="P718" s="14"/>
      <c r="Q718" s="14"/>
      <c r="R718" s="14"/>
      <c r="S718" s="14"/>
      <c r="T718" s="14"/>
      <c r="U718" s="14"/>
      <c r="V718" s="14"/>
      <c r="W718" s="14"/>
      <c r="X718" s="14"/>
      <c r="Y718" s="14"/>
    </row>
    <row r="719" spans="1:25" ht="15.75" x14ac:dyDescent="0.25">
      <c r="A719" s="21"/>
      <c r="B719" s="21"/>
      <c r="C719" s="21"/>
      <c r="E719" s="21"/>
      <c r="F719" s="21"/>
      <c r="G719" s="14"/>
      <c r="H719" s="14"/>
      <c r="I719" s="14"/>
      <c r="J719" s="14"/>
      <c r="K719" s="14"/>
      <c r="L719" s="14"/>
      <c r="M719" s="14"/>
      <c r="N719" s="14"/>
      <c r="O719" s="14"/>
      <c r="P719" s="14"/>
      <c r="Q719" s="14"/>
      <c r="R719" s="14"/>
      <c r="S719" s="14"/>
      <c r="T719" s="14"/>
      <c r="U719" s="14"/>
      <c r="V719" s="14"/>
      <c r="W719" s="14"/>
      <c r="X719" s="14"/>
      <c r="Y719" s="14"/>
    </row>
    <row r="720" spans="1:25" ht="15.75" x14ac:dyDescent="0.25">
      <c r="A720" s="21"/>
      <c r="B720" s="21"/>
      <c r="C720" s="21"/>
      <c r="E720" s="21"/>
      <c r="F720" s="21"/>
      <c r="G720" s="14"/>
      <c r="H720" s="14"/>
      <c r="I720" s="14"/>
      <c r="J720" s="14"/>
      <c r="K720" s="14"/>
      <c r="L720" s="14"/>
      <c r="M720" s="14"/>
      <c r="N720" s="14"/>
      <c r="O720" s="14"/>
      <c r="P720" s="14"/>
      <c r="Q720" s="14"/>
      <c r="R720" s="14"/>
      <c r="S720" s="14"/>
      <c r="T720" s="14"/>
      <c r="U720" s="14"/>
      <c r="V720" s="14"/>
      <c r="W720" s="14"/>
      <c r="X720" s="14"/>
      <c r="Y720" s="14"/>
    </row>
    <row r="721" spans="1:25" ht="15.75" x14ac:dyDescent="0.25">
      <c r="A721" s="21"/>
      <c r="B721" s="21"/>
      <c r="C721" s="21"/>
      <c r="E721" s="21"/>
      <c r="F721" s="21"/>
      <c r="G721" s="14"/>
      <c r="H721" s="14"/>
      <c r="I721" s="14"/>
      <c r="J721" s="14"/>
      <c r="K721" s="14"/>
      <c r="L721" s="14"/>
      <c r="M721" s="14"/>
      <c r="N721" s="14"/>
      <c r="O721" s="14"/>
      <c r="P721" s="14"/>
      <c r="Q721" s="14"/>
      <c r="R721" s="14"/>
      <c r="S721" s="14"/>
      <c r="T721" s="14"/>
      <c r="U721" s="14"/>
      <c r="V721" s="14"/>
      <c r="W721" s="14"/>
      <c r="X721" s="14"/>
      <c r="Y721" s="14"/>
    </row>
    <row r="722" spans="1:25" ht="15.75" x14ac:dyDescent="0.25">
      <c r="A722" s="21"/>
      <c r="B722" s="21"/>
      <c r="C722" s="21"/>
      <c r="E722" s="21"/>
      <c r="F722" s="21"/>
      <c r="G722" s="14"/>
      <c r="H722" s="14"/>
      <c r="I722" s="14"/>
      <c r="J722" s="14"/>
      <c r="K722" s="14"/>
      <c r="L722" s="14"/>
      <c r="M722" s="14"/>
      <c r="N722" s="14"/>
      <c r="O722" s="14"/>
      <c r="P722" s="14"/>
      <c r="Q722" s="14"/>
      <c r="R722" s="14"/>
      <c r="S722" s="14"/>
      <c r="T722" s="14"/>
      <c r="U722" s="14"/>
      <c r="V722" s="14"/>
      <c r="W722" s="14"/>
      <c r="X722" s="14"/>
      <c r="Y722" s="14"/>
    </row>
    <row r="723" spans="1:25" ht="15.75" x14ac:dyDescent="0.25">
      <c r="A723" s="21"/>
      <c r="B723" s="21"/>
      <c r="C723" s="21"/>
      <c r="E723" s="21"/>
      <c r="F723" s="21"/>
      <c r="G723" s="14"/>
      <c r="H723" s="14"/>
      <c r="I723" s="14"/>
      <c r="J723" s="14"/>
      <c r="K723" s="14"/>
      <c r="L723" s="14"/>
      <c r="M723" s="14"/>
      <c r="N723" s="14"/>
      <c r="O723" s="14"/>
      <c r="P723" s="14"/>
      <c r="Q723" s="14"/>
      <c r="R723" s="14"/>
      <c r="S723" s="14"/>
      <c r="T723" s="14"/>
      <c r="U723" s="14"/>
      <c r="V723" s="14"/>
      <c r="W723" s="14"/>
      <c r="X723" s="14"/>
      <c r="Y723" s="14"/>
    </row>
    <row r="724" spans="1:25" ht="15.75" x14ac:dyDescent="0.25">
      <c r="A724" s="21"/>
      <c r="B724" s="21"/>
      <c r="C724" s="21"/>
      <c r="E724" s="21"/>
      <c r="F724" s="21"/>
      <c r="G724" s="14"/>
      <c r="H724" s="14"/>
      <c r="I724" s="14"/>
      <c r="J724" s="14"/>
      <c r="K724" s="14"/>
      <c r="L724" s="14"/>
      <c r="M724" s="14"/>
      <c r="N724" s="14"/>
      <c r="O724" s="14"/>
      <c r="P724" s="14"/>
      <c r="Q724" s="14"/>
      <c r="R724" s="14"/>
      <c r="S724" s="14"/>
      <c r="T724" s="14"/>
      <c r="U724" s="14"/>
      <c r="V724" s="14"/>
      <c r="W724" s="14"/>
      <c r="X724" s="14"/>
      <c r="Y724" s="14"/>
    </row>
    <row r="725" spans="1:25" ht="15.75" x14ac:dyDescent="0.25">
      <c r="A725" s="21"/>
      <c r="B725" s="21"/>
      <c r="C725" s="21"/>
      <c r="E725" s="21"/>
      <c r="F725" s="21"/>
      <c r="G725" s="14"/>
      <c r="H725" s="14"/>
      <c r="I725" s="14"/>
      <c r="J725" s="14"/>
      <c r="K725" s="14"/>
      <c r="L725" s="14"/>
      <c r="M725" s="14"/>
      <c r="N725" s="14"/>
      <c r="O725" s="14"/>
      <c r="P725" s="14"/>
      <c r="Q725" s="14"/>
      <c r="R725" s="14"/>
      <c r="S725" s="14"/>
      <c r="T725" s="14"/>
      <c r="U725" s="14"/>
      <c r="V725" s="14"/>
      <c r="W725" s="14"/>
      <c r="X725" s="14"/>
      <c r="Y725" s="14"/>
    </row>
    <row r="726" spans="1:25" ht="15.75" x14ac:dyDescent="0.25">
      <c r="A726" s="21"/>
      <c r="B726" s="21"/>
      <c r="C726" s="21"/>
      <c r="E726" s="21"/>
      <c r="F726" s="21"/>
      <c r="G726" s="14"/>
      <c r="H726" s="14"/>
      <c r="I726" s="14"/>
      <c r="J726" s="14"/>
      <c r="K726" s="14"/>
      <c r="L726" s="14"/>
      <c r="M726" s="14"/>
      <c r="N726" s="14"/>
      <c r="O726" s="14"/>
      <c r="P726" s="14"/>
      <c r="Q726" s="14"/>
      <c r="R726" s="14"/>
      <c r="S726" s="14"/>
      <c r="T726" s="14"/>
      <c r="U726" s="14"/>
      <c r="V726" s="14"/>
      <c r="W726" s="14"/>
      <c r="X726" s="14"/>
      <c r="Y726" s="14"/>
    </row>
    <row r="727" spans="1:25" ht="15.75" x14ac:dyDescent="0.25">
      <c r="A727" s="21"/>
      <c r="B727" s="21"/>
      <c r="C727" s="21"/>
      <c r="E727" s="21"/>
      <c r="F727" s="21"/>
      <c r="G727" s="14"/>
      <c r="H727" s="14"/>
      <c r="I727" s="14"/>
      <c r="J727" s="14"/>
      <c r="K727" s="14"/>
      <c r="L727" s="14"/>
      <c r="M727" s="14"/>
      <c r="N727" s="14"/>
      <c r="O727" s="14"/>
      <c r="P727" s="14"/>
      <c r="Q727" s="14"/>
      <c r="R727" s="14"/>
      <c r="S727" s="14"/>
      <c r="T727" s="14"/>
      <c r="U727" s="14"/>
      <c r="V727" s="14"/>
      <c r="W727" s="14"/>
      <c r="X727" s="14"/>
      <c r="Y727" s="14"/>
    </row>
    <row r="728" spans="1:25" ht="15.75" x14ac:dyDescent="0.25">
      <c r="A728" s="21"/>
      <c r="B728" s="21"/>
      <c r="C728" s="21"/>
      <c r="E728" s="21"/>
      <c r="F728" s="21"/>
      <c r="G728" s="14"/>
      <c r="H728" s="14"/>
      <c r="I728" s="14"/>
      <c r="J728" s="14"/>
      <c r="K728" s="14"/>
      <c r="L728" s="14"/>
      <c r="M728" s="14"/>
      <c r="N728" s="14"/>
      <c r="O728" s="14"/>
      <c r="P728" s="14"/>
      <c r="Q728" s="14"/>
      <c r="R728" s="14"/>
      <c r="S728" s="14"/>
      <c r="T728" s="14"/>
      <c r="U728" s="14"/>
      <c r="V728" s="14"/>
      <c r="W728" s="14"/>
      <c r="X728" s="14"/>
      <c r="Y728" s="14"/>
    </row>
    <row r="729" spans="1:25" ht="15.75" x14ac:dyDescent="0.25">
      <c r="A729" s="21"/>
      <c r="B729" s="21"/>
      <c r="C729" s="21"/>
      <c r="E729" s="21"/>
      <c r="F729" s="21"/>
      <c r="G729" s="14"/>
      <c r="H729" s="14"/>
      <c r="I729" s="14"/>
      <c r="J729" s="14"/>
      <c r="K729" s="14"/>
      <c r="L729" s="14"/>
      <c r="M729" s="14"/>
      <c r="N729" s="14"/>
      <c r="O729" s="14"/>
      <c r="P729" s="14"/>
      <c r="Q729" s="14"/>
      <c r="R729" s="14"/>
      <c r="S729" s="14"/>
      <c r="T729" s="14"/>
      <c r="U729" s="14"/>
      <c r="V729" s="14"/>
      <c r="W729" s="14"/>
      <c r="X729" s="14"/>
      <c r="Y729" s="14"/>
    </row>
    <row r="730" spans="1:25" ht="15.75" x14ac:dyDescent="0.25">
      <c r="A730" s="21"/>
      <c r="B730" s="21"/>
      <c r="C730" s="21"/>
      <c r="E730" s="21"/>
      <c r="F730" s="21"/>
      <c r="G730" s="14"/>
      <c r="H730" s="14"/>
      <c r="I730" s="14"/>
      <c r="J730" s="14"/>
      <c r="K730" s="14"/>
      <c r="L730" s="14"/>
      <c r="M730" s="14"/>
      <c r="N730" s="14"/>
      <c r="O730" s="14"/>
      <c r="P730" s="14"/>
      <c r="Q730" s="14"/>
      <c r="R730" s="14"/>
      <c r="S730" s="14"/>
      <c r="T730" s="14"/>
      <c r="U730" s="14"/>
      <c r="V730" s="14"/>
      <c r="W730" s="14"/>
      <c r="X730" s="14"/>
      <c r="Y730" s="14"/>
    </row>
    <row r="731" spans="1:25" ht="15.75" x14ac:dyDescent="0.25">
      <c r="A731" s="21"/>
      <c r="B731" s="21"/>
      <c r="C731" s="21"/>
      <c r="E731" s="21"/>
      <c r="F731" s="21"/>
      <c r="G731" s="14"/>
      <c r="H731" s="14"/>
      <c r="I731" s="14"/>
      <c r="J731" s="14"/>
      <c r="K731" s="14"/>
      <c r="L731" s="14"/>
      <c r="M731" s="14"/>
      <c r="N731" s="14"/>
      <c r="O731" s="14"/>
      <c r="P731" s="14"/>
      <c r="Q731" s="14"/>
      <c r="R731" s="14"/>
      <c r="S731" s="14"/>
      <c r="T731" s="14"/>
      <c r="U731" s="14"/>
      <c r="V731" s="14"/>
      <c r="W731" s="14"/>
      <c r="X731" s="14"/>
      <c r="Y731" s="14"/>
    </row>
    <row r="732" spans="1:25" ht="15.75" x14ac:dyDescent="0.25">
      <c r="A732" s="21"/>
      <c r="B732" s="21"/>
      <c r="C732" s="21"/>
      <c r="E732" s="21"/>
      <c r="F732" s="21"/>
      <c r="G732" s="14"/>
      <c r="H732" s="14"/>
      <c r="I732" s="14"/>
      <c r="J732" s="14"/>
      <c r="K732" s="14"/>
      <c r="L732" s="14"/>
      <c r="M732" s="14"/>
      <c r="N732" s="14"/>
      <c r="O732" s="14"/>
      <c r="P732" s="14"/>
      <c r="Q732" s="14"/>
      <c r="R732" s="14"/>
      <c r="S732" s="14"/>
      <c r="T732" s="14"/>
      <c r="U732" s="14"/>
      <c r="V732" s="14"/>
      <c r="W732" s="14"/>
      <c r="X732" s="14"/>
      <c r="Y732" s="14"/>
    </row>
    <row r="733" spans="1:25" ht="15.75" x14ac:dyDescent="0.25">
      <c r="A733" s="21"/>
      <c r="B733" s="21"/>
      <c r="C733" s="21"/>
      <c r="E733" s="21"/>
      <c r="F733" s="21"/>
      <c r="G733" s="14"/>
      <c r="H733" s="14"/>
      <c r="I733" s="14"/>
      <c r="J733" s="14"/>
      <c r="K733" s="14"/>
      <c r="L733" s="14"/>
      <c r="M733" s="14"/>
      <c r="N733" s="14"/>
      <c r="O733" s="14"/>
      <c r="P733" s="14"/>
      <c r="Q733" s="14"/>
      <c r="R733" s="14"/>
      <c r="S733" s="14"/>
      <c r="T733" s="14"/>
      <c r="U733" s="14"/>
      <c r="V733" s="14"/>
      <c r="W733" s="14"/>
      <c r="X733" s="14"/>
      <c r="Y733" s="14"/>
    </row>
    <row r="734" spans="1:25" ht="15.75" x14ac:dyDescent="0.25">
      <c r="A734" s="21"/>
      <c r="B734" s="21"/>
      <c r="C734" s="21"/>
      <c r="E734" s="21"/>
      <c r="F734" s="21"/>
      <c r="G734" s="14"/>
      <c r="H734" s="14"/>
      <c r="I734" s="14"/>
      <c r="J734" s="14"/>
      <c r="K734" s="14"/>
      <c r="L734" s="14"/>
      <c r="M734" s="14"/>
      <c r="N734" s="14"/>
      <c r="O734" s="14"/>
      <c r="P734" s="14"/>
      <c r="Q734" s="14"/>
      <c r="R734" s="14"/>
      <c r="S734" s="14"/>
      <c r="T734" s="14"/>
      <c r="U734" s="14"/>
      <c r="V734" s="14"/>
      <c r="W734" s="14"/>
      <c r="X734" s="14"/>
      <c r="Y734" s="14"/>
    </row>
    <row r="735" spans="1:25" ht="15.75" x14ac:dyDescent="0.25">
      <c r="A735" s="21"/>
      <c r="B735" s="21"/>
      <c r="C735" s="21"/>
      <c r="E735" s="21"/>
      <c r="F735" s="21"/>
      <c r="G735" s="14"/>
      <c r="H735" s="14"/>
      <c r="I735" s="14"/>
      <c r="J735" s="14"/>
      <c r="K735" s="14"/>
      <c r="L735" s="14"/>
      <c r="M735" s="14"/>
      <c r="N735" s="14"/>
      <c r="O735" s="14"/>
      <c r="P735" s="14"/>
      <c r="Q735" s="14"/>
      <c r="R735" s="14"/>
      <c r="S735" s="14"/>
      <c r="T735" s="14"/>
      <c r="U735" s="14"/>
      <c r="V735" s="14"/>
      <c r="W735" s="14"/>
      <c r="X735" s="14"/>
      <c r="Y735" s="14"/>
    </row>
    <row r="736" spans="1:25" ht="15.75" x14ac:dyDescent="0.25">
      <c r="A736" s="21"/>
      <c r="B736" s="21"/>
      <c r="C736" s="21"/>
      <c r="E736" s="21"/>
      <c r="F736" s="21"/>
      <c r="G736" s="14"/>
      <c r="H736" s="14"/>
      <c r="I736" s="14"/>
      <c r="J736" s="14"/>
      <c r="K736" s="14"/>
      <c r="L736" s="14"/>
      <c r="M736" s="14"/>
      <c r="N736" s="14"/>
      <c r="O736" s="14"/>
      <c r="P736" s="14"/>
      <c r="Q736" s="14"/>
      <c r="R736" s="14"/>
      <c r="S736" s="14"/>
      <c r="T736" s="14"/>
      <c r="U736" s="14"/>
      <c r="V736" s="14"/>
      <c r="W736" s="14"/>
      <c r="X736" s="14"/>
      <c r="Y736" s="14"/>
    </row>
    <row r="737" spans="1:25" ht="15.75" x14ac:dyDescent="0.25">
      <c r="A737" s="21"/>
      <c r="B737" s="21"/>
      <c r="C737" s="21"/>
      <c r="E737" s="21"/>
      <c r="F737" s="21"/>
      <c r="G737" s="14"/>
      <c r="H737" s="14"/>
      <c r="I737" s="14"/>
      <c r="J737" s="14"/>
      <c r="K737" s="14"/>
      <c r="L737" s="14"/>
      <c r="M737" s="14"/>
      <c r="N737" s="14"/>
      <c r="O737" s="14"/>
      <c r="P737" s="14"/>
      <c r="Q737" s="14"/>
      <c r="R737" s="14"/>
      <c r="S737" s="14"/>
      <c r="T737" s="14"/>
      <c r="U737" s="14"/>
      <c r="V737" s="14"/>
      <c r="W737" s="14"/>
      <c r="X737" s="14"/>
      <c r="Y737" s="14"/>
    </row>
    <row r="738" spans="1:25" ht="15.75" x14ac:dyDescent="0.25">
      <c r="A738" s="21"/>
      <c r="B738" s="21"/>
      <c r="C738" s="21"/>
      <c r="E738" s="21"/>
      <c r="F738" s="21"/>
      <c r="G738" s="14"/>
      <c r="H738" s="14"/>
      <c r="I738" s="14"/>
      <c r="J738" s="14"/>
      <c r="K738" s="14"/>
      <c r="L738" s="14"/>
      <c r="M738" s="14"/>
      <c r="N738" s="14"/>
      <c r="O738" s="14"/>
      <c r="P738" s="14"/>
      <c r="Q738" s="14"/>
      <c r="R738" s="14"/>
      <c r="S738" s="14"/>
      <c r="T738" s="14"/>
      <c r="U738" s="14"/>
      <c r="V738" s="14"/>
      <c r="W738" s="14"/>
      <c r="X738" s="14"/>
      <c r="Y738" s="14"/>
    </row>
    <row r="739" spans="1:25" ht="15.75" x14ac:dyDescent="0.25">
      <c r="A739" s="21"/>
      <c r="B739" s="21"/>
      <c r="C739" s="21"/>
      <c r="E739" s="21"/>
      <c r="F739" s="21"/>
      <c r="G739" s="14"/>
      <c r="H739" s="14"/>
      <c r="I739" s="14"/>
      <c r="J739" s="14"/>
      <c r="K739" s="14"/>
      <c r="L739" s="14"/>
      <c r="M739" s="14"/>
      <c r="N739" s="14"/>
      <c r="O739" s="14"/>
      <c r="P739" s="14"/>
      <c r="Q739" s="14"/>
      <c r="R739" s="14"/>
      <c r="S739" s="14"/>
      <c r="T739" s="14"/>
      <c r="U739" s="14"/>
      <c r="V739" s="14"/>
      <c r="W739" s="14"/>
      <c r="X739" s="14"/>
      <c r="Y739" s="14"/>
    </row>
    <row r="740" spans="1:25" ht="15.75" x14ac:dyDescent="0.25">
      <c r="A740" s="21"/>
      <c r="B740" s="21"/>
      <c r="C740" s="21"/>
      <c r="E740" s="21"/>
      <c r="F740" s="21"/>
      <c r="G740" s="14"/>
      <c r="H740" s="14"/>
      <c r="I740" s="14"/>
      <c r="J740" s="14"/>
      <c r="K740" s="14"/>
      <c r="L740" s="14"/>
      <c r="M740" s="14"/>
      <c r="N740" s="14"/>
      <c r="O740" s="14"/>
      <c r="P740" s="14"/>
      <c r="Q740" s="14"/>
      <c r="R740" s="14"/>
      <c r="S740" s="14"/>
      <c r="T740" s="14"/>
      <c r="U740" s="14"/>
      <c r="V740" s="14"/>
      <c r="W740" s="14"/>
      <c r="X740" s="14"/>
      <c r="Y740" s="14"/>
    </row>
    <row r="741" spans="1:25" ht="15.75" x14ac:dyDescent="0.25">
      <c r="A741" s="21"/>
      <c r="B741" s="21"/>
      <c r="C741" s="21"/>
      <c r="E741" s="21"/>
      <c r="F741" s="21"/>
      <c r="G741" s="14"/>
      <c r="H741" s="14"/>
      <c r="I741" s="14"/>
      <c r="J741" s="14"/>
      <c r="K741" s="14"/>
      <c r="L741" s="14"/>
      <c r="M741" s="14"/>
      <c r="N741" s="14"/>
      <c r="O741" s="14"/>
      <c r="P741" s="14"/>
      <c r="Q741" s="14"/>
      <c r="R741" s="14"/>
      <c r="S741" s="14"/>
      <c r="T741" s="14"/>
      <c r="U741" s="14"/>
      <c r="V741" s="14"/>
      <c r="W741" s="14"/>
      <c r="X741" s="14"/>
      <c r="Y741" s="14"/>
    </row>
    <row r="742" spans="1:25" ht="15.75" x14ac:dyDescent="0.25">
      <c r="A742" s="21"/>
      <c r="B742" s="21"/>
      <c r="C742" s="21"/>
      <c r="E742" s="21"/>
      <c r="F742" s="21"/>
      <c r="G742" s="14"/>
      <c r="H742" s="14"/>
      <c r="I742" s="14"/>
      <c r="J742" s="14"/>
      <c r="K742" s="14"/>
      <c r="L742" s="14"/>
      <c r="M742" s="14"/>
      <c r="N742" s="14"/>
      <c r="O742" s="14"/>
      <c r="P742" s="14"/>
      <c r="Q742" s="14"/>
      <c r="R742" s="14"/>
      <c r="S742" s="14"/>
      <c r="T742" s="14"/>
      <c r="U742" s="14"/>
      <c r="V742" s="14"/>
      <c r="W742" s="14"/>
      <c r="X742" s="14"/>
      <c r="Y742" s="14"/>
    </row>
    <row r="743" spans="1:25" ht="15.75" x14ac:dyDescent="0.25">
      <c r="A743" s="21"/>
      <c r="B743" s="21"/>
      <c r="C743" s="21"/>
      <c r="E743" s="21"/>
      <c r="F743" s="21"/>
      <c r="G743" s="14"/>
      <c r="H743" s="14"/>
      <c r="I743" s="14"/>
      <c r="J743" s="14"/>
      <c r="K743" s="14"/>
      <c r="L743" s="14"/>
      <c r="M743" s="14"/>
      <c r="N743" s="14"/>
      <c r="O743" s="14"/>
      <c r="P743" s="14"/>
      <c r="Q743" s="14"/>
      <c r="R743" s="14"/>
      <c r="S743" s="14"/>
      <c r="T743" s="14"/>
      <c r="U743" s="14"/>
      <c r="V743" s="14"/>
      <c r="W743" s="14"/>
      <c r="X743" s="14"/>
      <c r="Y743" s="14"/>
    </row>
    <row r="744" spans="1:25" ht="15.75" x14ac:dyDescent="0.25">
      <c r="A744" s="21"/>
      <c r="B744" s="21"/>
      <c r="C744" s="21"/>
      <c r="E744" s="21"/>
      <c r="F744" s="21"/>
      <c r="G744" s="14"/>
      <c r="H744" s="14"/>
      <c r="I744" s="14"/>
      <c r="J744" s="14"/>
      <c r="K744" s="14"/>
      <c r="L744" s="14"/>
      <c r="M744" s="14"/>
      <c r="N744" s="14"/>
      <c r="O744" s="14"/>
      <c r="P744" s="14"/>
      <c r="Q744" s="14"/>
      <c r="R744" s="14"/>
      <c r="S744" s="14"/>
      <c r="T744" s="14"/>
      <c r="U744" s="14"/>
      <c r="V744" s="14"/>
      <c r="W744" s="14"/>
      <c r="X744" s="14"/>
      <c r="Y744" s="14"/>
    </row>
    <row r="745" spans="1:25" ht="15.75" x14ac:dyDescent="0.25">
      <c r="A745" s="21"/>
      <c r="B745" s="21"/>
      <c r="C745" s="21"/>
      <c r="E745" s="21"/>
      <c r="F745" s="21"/>
      <c r="G745" s="14"/>
      <c r="H745" s="14"/>
      <c r="I745" s="14"/>
      <c r="J745" s="14"/>
      <c r="K745" s="14"/>
      <c r="L745" s="14"/>
      <c r="M745" s="14"/>
      <c r="N745" s="14"/>
      <c r="O745" s="14"/>
      <c r="P745" s="14"/>
      <c r="Q745" s="14"/>
      <c r="R745" s="14"/>
      <c r="S745" s="14"/>
      <c r="T745" s="14"/>
      <c r="U745" s="14"/>
      <c r="V745" s="14"/>
      <c r="W745" s="14"/>
      <c r="X745" s="14"/>
      <c r="Y745" s="14"/>
    </row>
    <row r="746" spans="1:25" ht="15.75" x14ac:dyDescent="0.25">
      <c r="A746" s="21"/>
      <c r="B746" s="21"/>
      <c r="C746" s="21"/>
      <c r="E746" s="21"/>
      <c r="F746" s="21"/>
      <c r="G746" s="14"/>
      <c r="H746" s="14"/>
      <c r="I746" s="14"/>
      <c r="J746" s="14"/>
      <c r="K746" s="14"/>
      <c r="L746" s="14"/>
      <c r="M746" s="14"/>
      <c r="N746" s="14"/>
      <c r="O746" s="14"/>
      <c r="P746" s="14"/>
      <c r="Q746" s="14"/>
      <c r="R746" s="14"/>
      <c r="S746" s="14"/>
      <c r="T746" s="14"/>
      <c r="U746" s="14"/>
      <c r="V746" s="14"/>
      <c r="W746" s="14"/>
      <c r="X746" s="14"/>
      <c r="Y746" s="14"/>
    </row>
    <row r="747" spans="1:25" ht="15.75" x14ac:dyDescent="0.25">
      <c r="A747" s="21"/>
      <c r="B747" s="21"/>
      <c r="C747" s="21"/>
      <c r="E747" s="21"/>
      <c r="F747" s="21"/>
      <c r="G747" s="14"/>
      <c r="H747" s="14"/>
      <c r="I747" s="14"/>
      <c r="J747" s="14"/>
      <c r="K747" s="14"/>
      <c r="L747" s="14"/>
      <c r="M747" s="14"/>
      <c r="N747" s="14"/>
      <c r="O747" s="14"/>
      <c r="P747" s="14"/>
      <c r="Q747" s="14"/>
      <c r="R747" s="14"/>
      <c r="S747" s="14"/>
      <c r="T747" s="14"/>
      <c r="U747" s="14"/>
      <c r="V747" s="14"/>
      <c r="W747" s="14"/>
      <c r="X747" s="14"/>
      <c r="Y747" s="14"/>
    </row>
    <row r="748" spans="1:25" ht="15.75" x14ac:dyDescent="0.25">
      <c r="A748" s="21"/>
      <c r="B748" s="21"/>
      <c r="C748" s="21"/>
      <c r="E748" s="21"/>
      <c r="F748" s="21"/>
      <c r="G748" s="14"/>
      <c r="H748" s="14"/>
      <c r="I748" s="14"/>
      <c r="J748" s="14"/>
      <c r="K748" s="14"/>
      <c r="L748" s="14"/>
      <c r="M748" s="14"/>
      <c r="N748" s="14"/>
      <c r="O748" s="14"/>
      <c r="P748" s="14"/>
      <c r="Q748" s="14"/>
      <c r="R748" s="14"/>
      <c r="S748" s="14"/>
      <c r="T748" s="14"/>
      <c r="U748" s="14"/>
      <c r="V748" s="14"/>
      <c r="W748" s="14"/>
      <c r="X748" s="14"/>
      <c r="Y748" s="14"/>
    </row>
    <row r="749" spans="1:25" ht="15.75" x14ac:dyDescent="0.25">
      <c r="A749" s="21"/>
      <c r="B749" s="21"/>
      <c r="C749" s="21"/>
      <c r="E749" s="21"/>
      <c r="F749" s="21"/>
      <c r="G749" s="14"/>
      <c r="H749" s="14"/>
      <c r="I749" s="14"/>
      <c r="J749" s="14"/>
      <c r="K749" s="14"/>
      <c r="L749" s="14"/>
      <c r="M749" s="14"/>
      <c r="N749" s="14"/>
      <c r="O749" s="14"/>
      <c r="P749" s="14"/>
      <c r="Q749" s="14"/>
      <c r="R749" s="14"/>
      <c r="S749" s="14"/>
      <c r="T749" s="14"/>
      <c r="U749" s="14"/>
      <c r="V749" s="14"/>
      <c r="W749" s="14"/>
      <c r="X749" s="14"/>
      <c r="Y749" s="14"/>
    </row>
    <row r="750" spans="1:25" ht="15.75" x14ac:dyDescent="0.25">
      <c r="A750" s="21"/>
      <c r="B750" s="21"/>
      <c r="C750" s="21"/>
      <c r="E750" s="21"/>
      <c r="F750" s="21"/>
      <c r="G750" s="14"/>
      <c r="H750" s="14"/>
      <c r="I750" s="14"/>
      <c r="J750" s="14"/>
      <c r="K750" s="14"/>
      <c r="L750" s="14"/>
      <c r="M750" s="14"/>
      <c r="N750" s="14"/>
      <c r="O750" s="14"/>
      <c r="P750" s="14"/>
      <c r="Q750" s="14"/>
      <c r="R750" s="14"/>
      <c r="S750" s="14"/>
      <c r="T750" s="14"/>
      <c r="U750" s="14"/>
      <c r="V750" s="14"/>
      <c r="W750" s="14"/>
      <c r="X750" s="14"/>
      <c r="Y750" s="14"/>
    </row>
    <row r="751" spans="1:25" ht="15.75" x14ac:dyDescent="0.25">
      <c r="A751" s="21"/>
      <c r="B751" s="21"/>
      <c r="C751" s="21"/>
      <c r="E751" s="21"/>
      <c r="F751" s="21"/>
      <c r="G751" s="14"/>
      <c r="H751" s="14"/>
      <c r="I751" s="14"/>
      <c r="J751" s="14"/>
      <c r="K751" s="14"/>
      <c r="L751" s="14"/>
      <c r="M751" s="14"/>
      <c r="N751" s="14"/>
      <c r="O751" s="14"/>
      <c r="P751" s="14"/>
      <c r="Q751" s="14"/>
      <c r="R751" s="14"/>
      <c r="S751" s="14"/>
      <c r="T751" s="14"/>
      <c r="U751" s="14"/>
      <c r="V751" s="14"/>
      <c r="W751" s="14"/>
      <c r="X751" s="14"/>
      <c r="Y751" s="14"/>
    </row>
    <row r="752" spans="1:25" ht="15.75" x14ac:dyDescent="0.25">
      <c r="A752" s="21"/>
      <c r="B752" s="21"/>
      <c r="C752" s="21"/>
      <c r="E752" s="21"/>
      <c r="F752" s="21"/>
      <c r="G752" s="14"/>
      <c r="H752" s="14"/>
      <c r="I752" s="14"/>
      <c r="J752" s="14"/>
      <c r="K752" s="14"/>
      <c r="L752" s="14"/>
      <c r="M752" s="14"/>
      <c r="N752" s="14"/>
      <c r="O752" s="14"/>
      <c r="P752" s="14"/>
      <c r="Q752" s="14"/>
      <c r="R752" s="14"/>
      <c r="S752" s="14"/>
      <c r="T752" s="14"/>
      <c r="U752" s="14"/>
      <c r="V752" s="14"/>
      <c r="W752" s="14"/>
      <c r="X752" s="14"/>
      <c r="Y752" s="14"/>
    </row>
    <row r="753" spans="1:25" ht="15.75" x14ac:dyDescent="0.25">
      <c r="A753" s="21"/>
      <c r="B753" s="21"/>
      <c r="C753" s="21"/>
      <c r="E753" s="21"/>
      <c r="F753" s="21"/>
      <c r="G753" s="14"/>
      <c r="H753" s="14"/>
      <c r="I753" s="14"/>
      <c r="J753" s="14"/>
      <c r="K753" s="14"/>
      <c r="L753" s="14"/>
      <c r="M753" s="14"/>
      <c r="N753" s="14"/>
      <c r="O753" s="14"/>
      <c r="P753" s="14"/>
      <c r="Q753" s="14"/>
      <c r="R753" s="14"/>
      <c r="S753" s="14"/>
      <c r="T753" s="14"/>
      <c r="U753" s="14"/>
      <c r="V753" s="14"/>
      <c r="W753" s="14"/>
      <c r="X753" s="14"/>
      <c r="Y753" s="14"/>
    </row>
    <row r="754" spans="1:25" ht="15.75" x14ac:dyDescent="0.25">
      <c r="A754" s="21"/>
      <c r="B754" s="21"/>
      <c r="C754" s="21"/>
      <c r="E754" s="21"/>
      <c r="F754" s="21"/>
      <c r="G754" s="14"/>
      <c r="H754" s="14"/>
      <c r="I754" s="14"/>
      <c r="J754" s="14"/>
      <c r="K754" s="14"/>
      <c r="L754" s="14"/>
      <c r="M754" s="14"/>
      <c r="N754" s="14"/>
      <c r="O754" s="14"/>
      <c r="P754" s="14"/>
      <c r="Q754" s="14"/>
      <c r="R754" s="14"/>
      <c r="S754" s="14"/>
      <c r="T754" s="14"/>
      <c r="U754" s="14"/>
      <c r="V754" s="14"/>
      <c r="W754" s="14"/>
      <c r="X754" s="14"/>
      <c r="Y754" s="14"/>
    </row>
    <row r="755" spans="1:25" ht="15.75" x14ac:dyDescent="0.25">
      <c r="A755" s="21"/>
      <c r="B755" s="21"/>
      <c r="C755" s="21"/>
      <c r="E755" s="21"/>
      <c r="F755" s="21"/>
      <c r="G755" s="14"/>
      <c r="H755" s="14"/>
      <c r="I755" s="14"/>
      <c r="J755" s="14"/>
      <c r="K755" s="14"/>
      <c r="L755" s="14"/>
      <c r="M755" s="14"/>
      <c r="N755" s="14"/>
      <c r="O755" s="14"/>
      <c r="P755" s="14"/>
      <c r="Q755" s="14"/>
      <c r="R755" s="14"/>
      <c r="S755" s="14"/>
      <c r="T755" s="14"/>
      <c r="U755" s="14"/>
      <c r="V755" s="14"/>
      <c r="W755" s="14"/>
      <c r="X755" s="14"/>
      <c r="Y755" s="14"/>
    </row>
    <row r="756" spans="1:25" ht="15.75" x14ac:dyDescent="0.25">
      <c r="A756" s="21"/>
      <c r="B756" s="21"/>
      <c r="C756" s="21"/>
      <c r="E756" s="21"/>
      <c r="F756" s="21"/>
      <c r="G756" s="14"/>
      <c r="H756" s="14"/>
      <c r="I756" s="14"/>
      <c r="J756" s="14"/>
      <c r="K756" s="14"/>
      <c r="L756" s="14"/>
      <c r="M756" s="14"/>
      <c r="N756" s="14"/>
      <c r="O756" s="14"/>
      <c r="P756" s="14"/>
      <c r="Q756" s="14"/>
      <c r="R756" s="14"/>
      <c r="S756" s="14"/>
      <c r="T756" s="14"/>
      <c r="U756" s="14"/>
      <c r="V756" s="14"/>
      <c r="W756" s="14"/>
      <c r="X756" s="14"/>
      <c r="Y756" s="14"/>
    </row>
    <row r="757" spans="1:25" ht="15.75" x14ac:dyDescent="0.25">
      <c r="A757" s="21"/>
      <c r="B757" s="21"/>
      <c r="C757" s="21"/>
      <c r="E757" s="21"/>
      <c r="F757" s="21"/>
      <c r="G757" s="14"/>
      <c r="H757" s="14"/>
      <c r="I757" s="14"/>
      <c r="J757" s="14"/>
      <c r="K757" s="14"/>
      <c r="L757" s="14"/>
      <c r="M757" s="14"/>
      <c r="N757" s="14"/>
      <c r="O757" s="14"/>
      <c r="P757" s="14"/>
      <c r="Q757" s="14"/>
      <c r="R757" s="14"/>
      <c r="S757" s="14"/>
      <c r="T757" s="14"/>
      <c r="U757" s="14"/>
      <c r="V757" s="14"/>
      <c r="W757" s="14"/>
      <c r="X757" s="14"/>
      <c r="Y757" s="14"/>
    </row>
    <row r="758" spans="1:25" ht="15.75" x14ac:dyDescent="0.25">
      <c r="A758" s="21"/>
      <c r="B758" s="21"/>
      <c r="C758" s="21"/>
      <c r="E758" s="21"/>
      <c r="F758" s="21"/>
      <c r="G758" s="14"/>
      <c r="H758" s="14"/>
      <c r="I758" s="14"/>
      <c r="J758" s="14"/>
      <c r="K758" s="14"/>
      <c r="L758" s="14"/>
      <c r="M758" s="14"/>
      <c r="N758" s="14"/>
      <c r="O758" s="14"/>
      <c r="P758" s="14"/>
      <c r="Q758" s="14"/>
      <c r="R758" s="14"/>
      <c r="S758" s="14"/>
      <c r="T758" s="14"/>
      <c r="U758" s="14"/>
      <c r="V758" s="14"/>
      <c r="W758" s="14"/>
      <c r="X758" s="14"/>
      <c r="Y758" s="14"/>
    </row>
    <row r="759" spans="1:25" ht="15.75" x14ac:dyDescent="0.25">
      <c r="A759" s="21"/>
      <c r="B759" s="21"/>
      <c r="C759" s="21"/>
      <c r="E759" s="21"/>
      <c r="F759" s="21"/>
      <c r="G759" s="14"/>
      <c r="H759" s="14"/>
      <c r="I759" s="14"/>
      <c r="J759" s="14"/>
      <c r="K759" s="14"/>
      <c r="L759" s="14"/>
      <c r="M759" s="14"/>
      <c r="N759" s="14"/>
      <c r="O759" s="14"/>
      <c r="P759" s="14"/>
      <c r="Q759" s="14"/>
      <c r="R759" s="14"/>
      <c r="S759" s="14"/>
      <c r="T759" s="14"/>
      <c r="U759" s="14"/>
      <c r="V759" s="14"/>
      <c r="W759" s="14"/>
      <c r="X759" s="14"/>
      <c r="Y759" s="14"/>
    </row>
    <row r="760" spans="1:25" ht="15.75" x14ac:dyDescent="0.25">
      <c r="A760" s="21"/>
      <c r="B760" s="21"/>
      <c r="C760" s="21"/>
      <c r="E760" s="21"/>
      <c r="F760" s="21"/>
      <c r="G760" s="14"/>
      <c r="H760" s="14"/>
      <c r="I760" s="14"/>
      <c r="J760" s="14"/>
      <c r="K760" s="14"/>
      <c r="L760" s="14"/>
      <c r="M760" s="14"/>
      <c r="N760" s="14"/>
      <c r="O760" s="14"/>
      <c r="P760" s="14"/>
      <c r="Q760" s="14"/>
      <c r="R760" s="14"/>
      <c r="S760" s="14"/>
      <c r="T760" s="14"/>
      <c r="U760" s="14"/>
      <c r="V760" s="14"/>
      <c r="W760" s="14"/>
      <c r="X760" s="14"/>
      <c r="Y760" s="14"/>
    </row>
    <row r="761" spans="1:25" ht="15.75" x14ac:dyDescent="0.25">
      <c r="A761" s="21"/>
      <c r="B761" s="21"/>
      <c r="C761" s="21"/>
      <c r="E761" s="21"/>
      <c r="F761" s="21"/>
      <c r="G761" s="14"/>
      <c r="H761" s="14"/>
      <c r="I761" s="14"/>
      <c r="J761" s="14"/>
      <c r="K761" s="14"/>
      <c r="L761" s="14"/>
      <c r="M761" s="14"/>
      <c r="N761" s="14"/>
      <c r="O761" s="14"/>
      <c r="P761" s="14"/>
      <c r="Q761" s="14"/>
      <c r="R761" s="14"/>
      <c r="S761" s="14"/>
      <c r="T761" s="14"/>
      <c r="U761" s="14"/>
      <c r="V761" s="14"/>
      <c r="W761" s="14"/>
      <c r="X761" s="14"/>
      <c r="Y761" s="14"/>
    </row>
    <row r="762" spans="1:25" ht="15.75" x14ac:dyDescent="0.25">
      <c r="A762" s="21"/>
      <c r="B762" s="21"/>
      <c r="C762" s="21"/>
      <c r="E762" s="21"/>
      <c r="F762" s="21"/>
      <c r="G762" s="14"/>
      <c r="H762" s="14"/>
      <c r="I762" s="14"/>
      <c r="J762" s="14"/>
      <c r="K762" s="14"/>
      <c r="L762" s="14"/>
      <c r="M762" s="14"/>
      <c r="N762" s="14"/>
      <c r="O762" s="14"/>
      <c r="P762" s="14"/>
      <c r="Q762" s="14"/>
      <c r="R762" s="14"/>
      <c r="S762" s="14"/>
      <c r="T762" s="14"/>
      <c r="U762" s="14"/>
      <c r="V762" s="14"/>
      <c r="W762" s="14"/>
      <c r="X762" s="14"/>
      <c r="Y762" s="14"/>
    </row>
    <row r="763" spans="1:25" ht="15.75" x14ac:dyDescent="0.25">
      <c r="A763" s="21"/>
      <c r="B763" s="21"/>
      <c r="C763" s="21"/>
      <c r="E763" s="21"/>
      <c r="F763" s="21"/>
      <c r="G763" s="14"/>
      <c r="H763" s="14"/>
      <c r="I763" s="14"/>
      <c r="J763" s="14"/>
      <c r="K763" s="14"/>
      <c r="L763" s="14"/>
      <c r="M763" s="14"/>
      <c r="N763" s="14"/>
      <c r="O763" s="14"/>
      <c r="P763" s="14"/>
      <c r="Q763" s="14"/>
      <c r="R763" s="14"/>
      <c r="S763" s="14"/>
      <c r="T763" s="14"/>
      <c r="U763" s="14"/>
      <c r="V763" s="14"/>
      <c r="W763" s="14"/>
      <c r="X763" s="14"/>
      <c r="Y763" s="14"/>
    </row>
    <row r="764" spans="1:25" ht="15.75" x14ac:dyDescent="0.25">
      <c r="A764" s="21"/>
      <c r="B764" s="21"/>
      <c r="C764" s="21"/>
      <c r="E764" s="21"/>
      <c r="F764" s="21"/>
      <c r="G764" s="14"/>
      <c r="H764" s="14"/>
      <c r="I764" s="14"/>
      <c r="J764" s="14"/>
      <c r="K764" s="14"/>
      <c r="L764" s="14"/>
      <c r="M764" s="14"/>
      <c r="N764" s="14"/>
      <c r="O764" s="14"/>
      <c r="P764" s="14"/>
      <c r="Q764" s="14"/>
      <c r="R764" s="14"/>
      <c r="S764" s="14"/>
      <c r="T764" s="14"/>
      <c r="U764" s="14"/>
      <c r="V764" s="14"/>
      <c r="W764" s="14"/>
      <c r="X764" s="14"/>
      <c r="Y764" s="14"/>
    </row>
    <row r="765" spans="1:25" ht="15.75" x14ac:dyDescent="0.25">
      <c r="A765" s="21"/>
      <c r="B765" s="21"/>
      <c r="C765" s="21"/>
      <c r="E765" s="21"/>
      <c r="F765" s="21"/>
      <c r="G765" s="14"/>
      <c r="H765" s="14"/>
      <c r="I765" s="14"/>
      <c r="J765" s="14"/>
      <c r="K765" s="14"/>
      <c r="L765" s="14"/>
      <c r="M765" s="14"/>
      <c r="N765" s="14"/>
      <c r="O765" s="14"/>
      <c r="P765" s="14"/>
      <c r="Q765" s="14"/>
      <c r="R765" s="14"/>
      <c r="S765" s="14"/>
      <c r="T765" s="14"/>
      <c r="U765" s="14"/>
      <c r="V765" s="14"/>
      <c r="W765" s="14"/>
      <c r="X765" s="14"/>
      <c r="Y765" s="14"/>
    </row>
    <row r="766" spans="1:25" ht="15.75" x14ac:dyDescent="0.25">
      <c r="A766" s="21"/>
      <c r="B766" s="21"/>
      <c r="C766" s="21"/>
      <c r="E766" s="21"/>
      <c r="F766" s="21"/>
      <c r="G766" s="14"/>
      <c r="H766" s="14"/>
      <c r="I766" s="14"/>
      <c r="J766" s="14"/>
      <c r="K766" s="14"/>
      <c r="L766" s="14"/>
      <c r="M766" s="14"/>
      <c r="N766" s="14"/>
      <c r="O766" s="14"/>
      <c r="P766" s="14"/>
      <c r="Q766" s="14"/>
      <c r="R766" s="14"/>
      <c r="S766" s="14"/>
      <c r="T766" s="14"/>
      <c r="U766" s="14"/>
      <c r="V766" s="14"/>
      <c r="W766" s="14"/>
      <c r="X766" s="14"/>
      <c r="Y766" s="14"/>
    </row>
    <row r="767" spans="1:25" ht="15.75" x14ac:dyDescent="0.25">
      <c r="A767" s="21"/>
      <c r="B767" s="21"/>
      <c r="C767" s="21"/>
      <c r="E767" s="21"/>
      <c r="F767" s="21"/>
      <c r="G767" s="14"/>
      <c r="H767" s="14"/>
      <c r="I767" s="14"/>
      <c r="J767" s="14"/>
      <c r="K767" s="14"/>
      <c r="L767" s="14"/>
      <c r="M767" s="14"/>
      <c r="N767" s="14"/>
      <c r="O767" s="14"/>
      <c r="P767" s="14"/>
      <c r="Q767" s="14"/>
      <c r="R767" s="14"/>
      <c r="S767" s="14"/>
      <c r="T767" s="14"/>
      <c r="U767" s="14"/>
      <c r="V767" s="14"/>
      <c r="W767" s="14"/>
      <c r="X767" s="14"/>
      <c r="Y767" s="14"/>
    </row>
    <row r="768" spans="1:25" ht="15.75" x14ac:dyDescent="0.25">
      <c r="A768" s="21"/>
      <c r="B768" s="21"/>
      <c r="C768" s="21"/>
      <c r="E768" s="21"/>
      <c r="F768" s="21"/>
      <c r="G768" s="14"/>
      <c r="H768" s="14"/>
      <c r="I768" s="14"/>
      <c r="J768" s="14"/>
      <c r="K768" s="14"/>
      <c r="L768" s="14"/>
      <c r="M768" s="14"/>
      <c r="N768" s="14"/>
      <c r="O768" s="14"/>
      <c r="P768" s="14"/>
      <c r="Q768" s="14"/>
      <c r="R768" s="14"/>
      <c r="S768" s="14"/>
      <c r="T768" s="14"/>
      <c r="U768" s="14"/>
      <c r="V768" s="14"/>
      <c r="W768" s="14"/>
      <c r="X768" s="14"/>
      <c r="Y768" s="14"/>
    </row>
    <row r="769" spans="1:25" ht="15.75" x14ac:dyDescent="0.25">
      <c r="A769" s="21"/>
      <c r="B769" s="21"/>
      <c r="C769" s="21"/>
      <c r="E769" s="21"/>
      <c r="F769" s="21"/>
      <c r="G769" s="14"/>
      <c r="H769" s="14"/>
      <c r="I769" s="14"/>
      <c r="J769" s="14"/>
      <c r="K769" s="14"/>
      <c r="L769" s="14"/>
      <c r="M769" s="14"/>
      <c r="N769" s="14"/>
      <c r="O769" s="14"/>
      <c r="P769" s="14"/>
      <c r="Q769" s="14"/>
      <c r="R769" s="14"/>
      <c r="S769" s="14"/>
      <c r="T769" s="14"/>
      <c r="U769" s="14"/>
      <c r="V769" s="14"/>
      <c r="W769" s="14"/>
      <c r="X769" s="14"/>
      <c r="Y769" s="14"/>
    </row>
    <row r="770" spans="1:25" ht="15.75" x14ac:dyDescent="0.25">
      <c r="A770" s="21"/>
      <c r="B770" s="21"/>
      <c r="C770" s="21"/>
      <c r="E770" s="21"/>
      <c r="F770" s="21"/>
      <c r="G770" s="14"/>
      <c r="H770" s="14"/>
      <c r="I770" s="14"/>
      <c r="J770" s="14"/>
      <c r="K770" s="14"/>
      <c r="L770" s="14"/>
      <c r="M770" s="14"/>
      <c r="N770" s="14"/>
      <c r="O770" s="14"/>
      <c r="P770" s="14"/>
      <c r="Q770" s="14"/>
      <c r="R770" s="14"/>
      <c r="S770" s="14"/>
      <c r="T770" s="14"/>
      <c r="U770" s="14"/>
      <c r="V770" s="14"/>
      <c r="W770" s="14"/>
      <c r="X770" s="14"/>
      <c r="Y770" s="14"/>
    </row>
    <row r="771" spans="1:25" ht="15.75" x14ac:dyDescent="0.25">
      <c r="A771" s="21"/>
      <c r="B771" s="21"/>
      <c r="C771" s="21"/>
      <c r="E771" s="21"/>
      <c r="F771" s="21"/>
      <c r="G771" s="14"/>
      <c r="H771" s="14"/>
      <c r="I771" s="14"/>
      <c r="J771" s="14"/>
      <c r="K771" s="14"/>
      <c r="L771" s="14"/>
      <c r="M771" s="14"/>
      <c r="N771" s="14"/>
      <c r="O771" s="14"/>
      <c r="P771" s="14"/>
      <c r="Q771" s="14"/>
      <c r="R771" s="14"/>
      <c r="S771" s="14"/>
      <c r="T771" s="14"/>
      <c r="U771" s="14"/>
      <c r="V771" s="14"/>
      <c r="W771" s="14"/>
      <c r="X771" s="14"/>
      <c r="Y771" s="14"/>
    </row>
    <row r="772" spans="1:25" ht="15.75" x14ac:dyDescent="0.25">
      <c r="A772" s="21"/>
      <c r="B772" s="21"/>
      <c r="C772" s="21"/>
      <c r="E772" s="21"/>
      <c r="F772" s="21"/>
      <c r="G772" s="14"/>
      <c r="H772" s="14"/>
      <c r="I772" s="14"/>
      <c r="J772" s="14"/>
      <c r="K772" s="14"/>
      <c r="L772" s="14"/>
      <c r="M772" s="14"/>
      <c r="N772" s="14"/>
      <c r="O772" s="14"/>
      <c r="P772" s="14"/>
      <c r="Q772" s="14"/>
      <c r="R772" s="14"/>
      <c r="S772" s="14"/>
      <c r="T772" s="14"/>
      <c r="U772" s="14"/>
      <c r="V772" s="14"/>
      <c r="W772" s="14"/>
      <c r="X772" s="14"/>
      <c r="Y772" s="14"/>
    </row>
    <row r="773" spans="1:25" ht="15.75" x14ac:dyDescent="0.25">
      <c r="A773" s="21"/>
      <c r="B773" s="21"/>
      <c r="C773" s="21"/>
      <c r="E773" s="21"/>
      <c r="F773" s="21"/>
      <c r="G773" s="14"/>
      <c r="H773" s="14"/>
      <c r="I773" s="14"/>
      <c r="J773" s="14"/>
      <c r="K773" s="14"/>
      <c r="L773" s="14"/>
      <c r="M773" s="14"/>
      <c r="N773" s="14"/>
      <c r="O773" s="14"/>
      <c r="P773" s="14"/>
      <c r="Q773" s="14"/>
      <c r="R773" s="14"/>
      <c r="S773" s="14"/>
      <c r="T773" s="14"/>
      <c r="U773" s="14"/>
      <c r="V773" s="14"/>
      <c r="W773" s="14"/>
      <c r="X773" s="14"/>
      <c r="Y773" s="14"/>
    </row>
    <row r="774" spans="1:25" ht="15.75" x14ac:dyDescent="0.25">
      <c r="A774" s="21"/>
      <c r="B774" s="21"/>
      <c r="C774" s="21"/>
      <c r="E774" s="21"/>
      <c r="F774" s="21"/>
      <c r="G774" s="14"/>
      <c r="H774" s="14"/>
      <c r="I774" s="14"/>
      <c r="J774" s="14"/>
      <c r="K774" s="14"/>
      <c r="L774" s="14"/>
      <c r="M774" s="14"/>
      <c r="N774" s="14"/>
      <c r="O774" s="14"/>
      <c r="P774" s="14"/>
      <c r="Q774" s="14"/>
      <c r="R774" s="14"/>
      <c r="S774" s="14"/>
      <c r="T774" s="14"/>
      <c r="U774" s="14"/>
      <c r="V774" s="14"/>
      <c r="W774" s="14"/>
      <c r="X774" s="14"/>
      <c r="Y774" s="14"/>
    </row>
    <row r="775" spans="1:25" ht="15.75" x14ac:dyDescent="0.25">
      <c r="A775" s="21"/>
      <c r="B775" s="21"/>
      <c r="C775" s="21"/>
      <c r="E775" s="21"/>
      <c r="F775" s="21"/>
      <c r="G775" s="14"/>
      <c r="H775" s="14"/>
      <c r="I775" s="14"/>
      <c r="J775" s="14"/>
      <c r="K775" s="14"/>
      <c r="L775" s="14"/>
      <c r="M775" s="14"/>
      <c r="N775" s="14"/>
      <c r="O775" s="14"/>
      <c r="P775" s="14"/>
      <c r="Q775" s="14"/>
      <c r="R775" s="14"/>
      <c r="S775" s="14"/>
      <c r="T775" s="14"/>
      <c r="U775" s="14"/>
      <c r="V775" s="14"/>
      <c r="W775" s="14"/>
      <c r="X775" s="14"/>
      <c r="Y775" s="14"/>
    </row>
    <row r="776" spans="1:25" ht="15.75" x14ac:dyDescent="0.25">
      <c r="A776" s="21"/>
      <c r="B776" s="21"/>
      <c r="C776" s="21"/>
      <c r="E776" s="21"/>
      <c r="F776" s="21"/>
      <c r="G776" s="14"/>
      <c r="H776" s="14"/>
      <c r="I776" s="14"/>
      <c r="J776" s="14"/>
      <c r="K776" s="14"/>
      <c r="L776" s="14"/>
      <c r="M776" s="14"/>
      <c r="N776" s="14"/>
      <c r="O776" s="14"/>
      <c r="P776" s="14"/>
      <c r="Q776" s="14"/>
      <c r="R776" s="14"/>
      <c r="S776" s="14"/>
      <c r="T776" s="14"/>
      <c r="U776" s="14"/>
      <c r="V776" s="14"/>
      <c r="W776" s="14"/>
      <c r="X776" s="14"/>
      <c r="Y776" s="14"/>
    </row>
    <row r="777" spans="1:25" ht="15.75" x14ac:dyDescent="0.25">
      <c r="A777" s="21"/>
      <c r="B777" s="21"/>
      <c r="C777" s="21"/>
      <c r="E777" s="21"/>
      <c r="F777" s="21"/>
      <c r="G777" s="14"/>
      <c r="H777" s="14"/>
      <c r="I777" s="14"/>
      <c r="J777" s="14"/>
      <c r="K777" s="14"/>
      <c r="L777" s="14"/>
      <c r="M777" s="14"/>
      <c r="N777" s="14"/>
      <c r="O777" s="14"/>
      <c r="P777" s="14"/>
      <c r="Q777" s="14"/>
      <c r="R777" s="14"/>
      <c r="S777" s="14"/>
      <c r="T777" s="14"/>
      <c r="U777" s="14"/>
      <c r="V777" s="14"/>
      <c r="W777" s="14"/>
      <c r="X777" s="14"/>
      <c r="Y777" s="14"/>
    </row>
    <row r="778" spans="1:25" ht="15.75" x14ac:dyDescent="0.25">
      <c r="A778" s="21"/>
      <c r="B778" s="21"/>
      <c r="C778" s="21"/>
      <c r="E778" s="21"/>
      <c r="F778" s="21"/>
      <c r="G778" s="14"/>
      <c r="H778" s="14"/>
      <c r="I778" s="14"/>
      <c r="J778" s="14"/>
      <c r="K778" s="14"/>
      <c r="L778" s="14"/>
      <c r="M778" s="14"/>
      <c r="N778" s="14"/>
      <c r="O778" s="14"/>
      <c r="P778" s="14"/>
      <c r="Q778" s="14"/>
      <c r="R778" s="14"/>
      <c r="S778" s="14"/>
      <c r="T778" s="14"/>
      <c r="U778" s="14"/>
      <c r="V778" s="14"/>
      <c r="W778" s="14"/>
      <c r="X778" s="14"/>
      <c r="Y778" s="14"/>
    </row>
    <row r="779" spans="1:25" ht="15.75" x14ac:dyDescent="0.25">
      <c r="A779" s="21"/>
      <c r="B779" s="21"/>
      <c r="C779" s="21"/>
      <c r="E779" s="21"/>
      <c r="F779" s="21"/>
      <c r="G779" s="14"/>
      <c r="H779" s="14"/>
      <c r="I779" s="14"/>
      <c r="J779" s="14"/>
      <c r="K779" s="14"/>
      <c r="L779" s="14"/>
      <c r="M779" s="14"/>
      <c r="N779" s="14"/>
      <c r="O779" s="14"/>
      <c r="P779" s="14"/>
      <c r="Q779" s="14"/>
      <c r="R779" s="14"/>
      <c r="S779" s="14"/>
      <c r="T779" s="14"/>
      <c r="U779" s="14"/>
      <c r="V779" s="14"/>
      <c r="W779" s="14"/>
      <c r="X779" s="14"/>
      <c r="Y779" s="14"/>
    </row>
    <row r="780" spans="1:25" ht="15.75" x14ac:dyDescent="0.25">
      <c r="A780" s="21"/>
      <c r="B780" s="21"/>
      <c r="C780" s="21"/>
      <c r="E780" s="21"/>
      <c r="F780" s="21"/>
      <c r="G780" s="14"/>
      <c r="H780" s="14"/>
      <c r="I780" s="14"/>
      <c r="J780" s="14"/>
      <c r="K780" s="14"/>
      <c r="L780" s="14"/>
      <c r="M780" s="14"/>
      <c r="N780" s="14"/>
      <c r="O780" s="14"/>
      <c r="P780" s="14"/>
      <c r="Q780" s="14"/>
      <c r="R780" s="14"/>
      <c r="S780" s="14"/>
      <c r="T780" s="14"/>
      <c r="U780" s="14"/>
      <c r="V780" s="14"/>
      <c r="W780" s="14"/>
      <c r="X780" s="14"/>
      <c r="Y780" s="14"/>
    </row>
    <row r="781" spans="1:25" ht="15.75" x14ac:dyDescent="0.25">
      <c r="A781" s="21"/>
      <c r="B781" s="21"/>
      <c r="C781" s="21"/>
      <c r="E781" s="21"/>
      <c r="F781" s="21"/>
      <c r="G781" s="14"/>
      <c r="H781" s="14"/>
      <c r="I781" s="14"/>
      <c r="J781" s="14"/>
      <c r="K781" s="14"/>
      <c r="L781" s="14"/>
      <c r="M781" s="14"/>
      <c r="N781" s="14"/>
      <c r="O781" s="14"/>
      <c r="P781" s="14"/>
      <c r="Q781" s="14"/>
      <c r="R781" s="14"/>
      <c r="S781" s="14"/>
      <c r="T781" s="14"/>
      <c r="U781" s="14"/>
      <c r="V781" s="14"/>
      <c r="W781" s="14"/>
      <c r="X781" s="14"/>
      <c r="Y781" s="14"/>
    </row>
    <row r="782" spans="1:25" ht="15.75" x14ac:dyDescent="0.25">
      <c r="A782" s="21"/>
      <c r="B782" s="21"/>
      <c r="C782" s="21"/>
      <c r="E782" s="21"/>
      <c r="F782" s="21"/>
      <c r="G782" s="14"/>
      <c r="H782" s="14"/>
      <c r="I782" s="14"/>
      <c r="J782" s="14"/>
      <c r="K782" s="14"/>
      <c r="L782" s="14"/>
      <c r="M782" s="14"/>
      <c r="N782" s="14"/>
      <c r="O782" s="14"/>
      <c r="P782" s="14"/>
      <c r="Q782" s="14"/>
      <c r="R782" s="14"/>
      <c r="S782" s="14"/>
      <c r="T782" s="14"/>
      <c r="U782" s="14"/>
      <c r="V782" s="14"/>
      <c r="W782" s="14"/>
      <c r="X782" s="14"/>
      <c r="Y782" s="14"/>
    </row>
    <row r="783" spans="1:25" ht="15.75" x14ac:dyDescent="0.25">
      <c r="A783" s="21"/>
      <c r="B783" s="21"/>
      <c r="C783" s="21"/>
      <c r="E783" s="21"/>
      <c r="F783" s="21"/>
      <c r="G783" s="14"/>
      <c r="H783" s="14"/>
      <c r="I783" s="14"/>
      <c r="J783" s="14"/>
      <c r="K783" s="14"/>
      <c r="L783" s="14"/>
      <c r="M783" s="14"/>
      <c r="N783" s="14"/>
      <c r="O783" s="14"/>
      <c r="P783" s="14"/>
      <c r="Q783" s="14"/>
      <c r="R783" s="14"/>
      <c r="S783" s="14"/>
      <c r="T783" s="14"/>
      <c r="U783" s="14"/>
      <c r="V783" s="14"/>
      <c r="W783" s="14"/>
      <c r="X783" s="14"/>
      <c r="Y783" s="14"/>
    </row>
    <row r="784" spans="1:25" ht="15.75" x14ac:dyDescent="0.25">
      <c r="A784" s="21"/>
      <c r="B784" s="21"/>
      <c r="C784" s="21"/>
      <c r="E784" s="21"/>
      <c r="F784" s="21"/>
      <c r="G784" s="14"/>
      <c r="H784" s="14"/>
      <c r="I784" s="14"/>
      <c r="J784" s="14"/>
      <c r="K784" s="14"/>
      <c r="L784" s="14"/>
      <c r="M784" s="14"/>
      <c r="N784" s="14"/>
      <c r="O784" s="14"/>
      <c r="P784" s="14"/>
      <c r="Q784" s="14"/>
      <c r="R784" s="14"/>
      <c r="S784" s="14"/>
      <c r="T784" s="14"/>
      <c r="U784" s="14"/>
      <c r="V784" s="14"/>
      <c r="W784" s="14"/>
      <c r="X784" s="14"/>
      <c r="Y784" s="14"/>
    </row>
    <row r="785" spans="1:25" ht="15.75" x14ac:dyDescent="0.25">
      <c r="A785" s="21"/>
      <c r="B785" s="21"/>
      <c r="C785" s="21"/>
      <c r="E785" s="21"/>
      <c r="F785" s="21"/>
      <c r="G785" s="14"/>
      <c r="H785" s="14"/>
      <c r="I785" s="14"/>
      <c r="J785" s="14"/>
      <c r="K785" s="14"/>
      <c r="L785" s="14"/>
      <c r="M785" s="14"/>
      <c r="N785" s="14"/>
      <c r="O785" s="14"/>
      <c r="P785" s="14"/>
      <c r="Q785" s="14"/>
      <c r="R785" s="14"/>
      <c r="S785" s="14"/>
      <c r="T785" s="14"/>
      <c r="U785" s="14"/>
      <c r="V785" s="14"/>
      <c r="W785" s="14"/>
      <c r="X785" s="14"/>
      <c r="Y785" s="14"/>
    </row>
    <row r="786" spans="1:25" ht="15.75" x14ac:dyDescent="0.25">
      <c r="A786" s="21"/>
      <c r="B786" s="21"/>
      <c r="C786" s="21"/>
      <c r="E786" s="21"/>
      <c r="F786" s="21"/>
      <c r="G786" s="14"/>
      <c r="H786" s="14"/>
      <c r="I786" s="14"/>
      <c r="J786" s="14"/>
      <c r="K786" s="14"/>
      <c r="L786" s="14"/>
      <c r="M786" s="14"/>
      <c r="N786" s="14"/>
      <c r="O786" s="14"/>
      <c r="P786" s="14"/>
      <c r="Q786" s="14"/>
      <c r="R786" s="14"/>
      <c r="S786" s="14"/>
      <c r="T786" s="14"/>
      <c r="U786" s="14"/>
      <c r="V786" s="14"/>
      <c r="W786" s="14"/>
      <c r="X786" s="14"/>
      <c r="Y786" s="14"/>
    </row>
    <row r="787" spans="1:25" ht="15.75" x14ac:dyDescent="0.25">
      <c r="A787" s="21"/>
      <c r="B787" s="21"/>
      <c r="C787" s="21"/>
      <c r="E787" s="21"/>
      <c r="F787" s="21"/>
      <c r="G787" s="14"/>
      <c r="H787" s="14"/>
      <c r="I787" s="14"/>
      <c r="J787" s="14"/>
      <c r="K787" s="14"/>
      <c r="L787" s="14"/>
      <c r="M787" s="14"/>
      <c r="N787" s="14"/>
      <c r="O787" s="14"/>
      <c r="P787" s="14"/>
      <c r="Q787" s="14"/>
      <c r="R787" s="14"/>
      <c r="S787" s="14"/>
      <c r="T787" s="14"/>
      <c r="U787" s="14"/>
      <c r="V787" s="14"/>
      <c r="W787" s="14"/>
      <c r="X787" s="14"/>
      <c r="Y787" s="14"/>
    </row>
    <row r="788" spans="1:25" ht="15.75" x14ac:dyDescent="0.25">
      <c r="A788" s="21"/>
      <c r="B788" s="21"/>
      <c r="C788" s="21"/>
      <c r="E788" s="21"/>
      <c r="F788" s="21"/>
      <c r="G788" s="14"/>
      <c r="H788" s="14"/>
      <c r="I788" s="14"/>
      <c r="J788" s="14"/>
      <c r="K788" s="14"/>
      <c r="L788" s="14"/>
      <c r="M788" s="14"/>
      <c r="N788" s="14"/>
      <c r="O788" s="14"/>
      <c r="P788" s="14"/>
      <c r="Q788" s="14"/>
      <c r="R788" s="14"/>
      <c r="S788" s="14"/>
      <c r="T788" s="14"/>
      <c r="U788" s="14"/>
      <c r="V788" s="14"/>
      <c r="W788" s="14"/>
      <c r="X788" s="14"/>
      <c r="Y788" s="14"/>
    </row>
    <row r="789" spans="1:25" ht="15.75" x14ac:dyDescent="0.25">
      <c r="A789" s="21"/>
      <c r="B789" s="21"/>
      <c r="C789" s="21"/>
      <c r="E789" s="21"/>
      <c r="F789" s="21"/>
      <c r="G789" s="14"/>
      <c r="H789" s="14"/>
      <c r="I789" s="14"/>
      <c r="J789" s="14"/>
      <c r="K789" s="14"/>
      <c r="L789" s="14"/>
      <c r="M789" s="14"/>
      <c r="N789" s="14"/>
      <c r="O789" s="14"/>
      <c r="P789" s="14"/>
      <c r="Q789" s="14"/>
      <c r="R789" s="14"/>
      <c r="S789" s="14"/>
      <c r="T789" s="14"/>
      <c r="U789" s="14"/>
      <c r="V789" s="14"/>
      <c r="W789" s="14"/>
      <c r="X789" s="14"/>
      <c r="Y789" s="14"/>
    </row>
    <row r="790" spans="1:25" ht="15.75" x14ac:dyDescent="0.25">
      <c r="A790" s="21"/>
      <c r="B790" s="21"/>
      <c r="C790" s="21"/>
      <c r="E790" s="21"/>
      <c r="F790" s="21"/>
      <c r="G790" s="14"/>
      <c r="H790" s="14"/>
      <c r="I790" s="14"/>
      <c r="J790" s="14"/>
      <c r="K790" s="14"/>
      <c r="L790" s="14"/>
      <c r="M790" s="14"/>
      <c r="N790" s="14"/>
      <c r="O790" s="14"/>
      <c r="P790" s="14"/>
      <c r="Q790" s="14"/>
      <c r="R790" s="14"/>
      <c r="S790" s="14"/>
      <c r="T790" s="14"/>
      <c r="U790" s="14"/>
      <c r="V790" s="14"/>
      <c r="W790" s="14"/>
      <c r="X790" s="14"/>
      <c r="Y790" s="14"/>
    </row>
    <row r="791" spans="1:25" ht="15.75" x14ac:dyDescent="0.25">
      <c r="A791" s="21"/>
      <c r="B791" s="21"/>
      <c r="C791" s="21"/>
      <c r="E791" s="21"/>
      <c r="F791" s="21"/>
      <c r="G791" s="14"/>
      <c r="H791" s="14"/>
      <c r="I791" s="14"/>
      <c r="J791" s="14"/>
      <c r="K791" s="14"/>
      <c r="L791" s="14"/>
      <c r="M791" s="14"/>
      <c r="N791" s="14"/>
      <c r="O791" s="14"/>
      <c r="P791" s="14"/>
      <c r="Q791" s="14"/>
      <c r="R791" s="14"/>
      <c r="S791" s="14"/>
      <c r="T791" s="14"/>
      <c r="U791" s="14"/>
      <c r="V791" s="14"/>
      <c r="W791" s="14"/>
      <c r="X791" s="14"/>
      <c r="Y791" s="14"/>
    </row>
    <row r="792" spans="1:25" ht="15.75" x14ac:dyDescent="0.25">
      <c r="A792" s="21"/>
      <c r="B792" s="21"/>
      <c r="C792" s="21"/>
      <c r="E792" s="21"/>
      <c r="F792" s="21"/>
      <c r="G792" s="14"/>
      <c r="H792" s="14"/>
      <c r="I792" s="14"/>
      <c r="J792" s="14"/>
      <c r="K792" s="14"/>
      <c r="L792" s="14"/>
      <c r="M792" s="14"/>
      <c r="N792" s="14"/>
      <c r="O792" s="14"/>
      <c r="P792" s="14"/>
      <c r="Q792" s="14"/>
      <c r="R792" s="14"/>
      <c r="S792" s="14"/>
      <c r="T792" s="14"/>
      <c r="U792" s="14"/>
      <c r="V792" s="14"/>
      <c r="W792" s="14"/>
      <c r="X792" s="14"/>
      <c r="Y792" s="14"/>
    </row>
    <row r="793" spans="1:25" ht="15.75" x14ac:dyDescent="0.25">
      <c r="A793" s="21"/>
      <c r="B793" s="21"/>
      <c r="C793" s="21"/>
      <c r="E793" s="21"/>
      <c r="F793" s="21"/>
      <c r="G793" s="14"/>
      <c r="H793" s="14"/>
      <c r="I793" s="14"/>
      <c r="J793" s="14"/>
      <c r="K793" s="14"/>
      <c r="L793" s="14"/>
      <c r="M793" s="14"/>
      <c r="N793" s="14"/>
      <c r="O793" s="14"/>
      <c r="P793" s="14"/>
      <c r="Q793" s="14"/>
      <c r="R793" s="14"/>
      <c r="S793" s="14"/>
      <c r="T793" s="14"/>
      <c r="U793" s="14"/>
      <c r="V793" s="14"/>
      <c r="W793" s="14"/>
      <c r="X793" s="14"/>
      <c r="Y793" s="14"/>
    </row>
    <row r="794" spans="1:25" ht="15.75" x14ac:dyDescent="0.25">
      <c r="A794" s="21"/>
      <c r="B794" s="21"/>
      <c r="C794" s="21"/>
      <c r="E794" s="21"/>
      <c r="F794" s="21"/>
      <c r="G794" s="14"/>
      <c r="H794" s="14"/>
      <c r="I794" s="14"/>
      <c r="J794" s="14"/>
      <c r="K794" s="14"/>
      <c r="L794" s="14"/>
      <c r="M794" s="14"/>
      <c r="N794" s="14"/>
      <c r="O794" s="14"/>
      <c r="P794" s="14"/>
      <c r="Q794" s="14"/>
      <c r="R794" s="14"/>
      <c r="S794" s="14"/>
      <c r="T794" s="14"/>
      <c r="U794" s="14"/>
      <c r="V794" s="14"/>
      <c r="W794" s="14"/>
      <c r="X794" s="14"/>
      <c r="Y794" s="14"/>
    </row>
    <row r="795" spans="1:25" ht="15.75" x14ac:dyDescent="0.25">
      <c r="A795" s="21"/>
      <c r="B795" s="21"/>
      <c r="C795" s="21"/>
      <c r="E795" s="21"/>
      <c r="F795" s="21"/>
      <c r="G795" s="14"/>
      <c r="H795" s="14"/>
      <c r="I795" s="14"/>
      <c r="J795" s="14"/>
      <c r="K795" s="14"/>
      <c r="L795" s="14"/>
      <c r="M795" s="14"/>
      <c r="N795" s="14"/>
      <c r="O795" s="14"/>
      <c r="P795" s="14"/>
      <c r="Q795" s="14"/>
      <c r="R795" s="14"/>
      <c r="S795" s="14"/>
      <c r="T795" s="14"/>
      <c r="U795" s="14"/>
      <c r="V795" s="14"/>
      <c r="W795" s="14"/>
      <c r="X795" s="14"/>
      <c r="Y795" s="14"/>
    </row>
    <row r="796" spans="1:25" ht="15.75" x14ac:dyDescent="0.25">
      <c r="A796" s="21"/>
      <c r="B796" s="21"/>
      <c r="C796" s="21"/>
      <c r="E796" s="21"/>
      <c r="F796" s="21"/>
      <c r="G796" s="14"/>
      <c r="H796" s="14"/>
      <c r="I796" s="14"/>
      <c r="J796" s="14"/>
      <c r="K796" s="14"/>
      <c r="L796" s="14"/>
      <c r="M796" s="14"/>
      <c r="N796" s="14"/>
      <c r="O796" s="14"/>
      <c r="P796" s="14"/>
      <c r="Q796" s="14"/>
      <c r="R796" s="14"/>
      <c r="S796" s="14"/>
      <c r="T796" s="14"/>
      <c r="U796" s="14"/>
      <c r="V796" s="14"/>
      <c r="W796" s="14"/>
      <c r="X796" s="14"/>
      <c r="Y796" s="14"/>
    </row>
    <row r="797" spans="1:25" ht="15.75" x14ac:dyDescent="0.25">
      <c r="A797" s="21"/>
      <c r="B797" s="21"/>
      <c r="C797" s="21"/>
      <c r="E797" s="21"/>
      <c r="F797" s="21"/>
      <c r="G797" s="14"/>
      <c r="H797" s="14"/>
      <c r="I797" s="14"/>
      <c r="J797" s="14"/>
      <c r="K797" s="14"/>
      <c r="L797" s="14"/>
      <c r="M797" s="14"/>
      <c r="N797" s="14"/>
      <c r="O797" s="14"/>
      <c r="P797" s="14"/>
      <c r="Q797" s="14"/>
      <c r="R797" s="14"/>
      <c r="S797" s="14"/>
      <c r="T797" s="14"/>
      <c r="U797" s="14"/>
      <c r="V797" s="14"/>
      <c r="W797" s="14"/>
      <c r="X797" s="14"/>
      <c r="Y797" s="14"/>
    </row>
    <row r="798" spans="1:25" ht="15.75" x14ac:dyDescent="0.25">
      <c r="A798" s="21"/>
      <c r="B798" s="21"/>
      <c r="C798" s="21"/>
      <c r="E798" s="21"/>
      <c r="F798" s="21"/>
      <c r="G798" s="14"/>
      <c r="H798" s="14"/>
      <c r="I798" s="14"/>
      <c r="J798" s="14"/>
      <c r="K798" s="14"/>
      <c r="L798" s="14"/>
      <c r="M798" s="14"/>
      <c r="N798" s="14"/>
      <c r="O798" s="14"/>
      <c r="P798" s="14"/>
      <c r="Q798" s="14"/>
      <c r="R798" s="14"/>
      <c r="S798" s="14"/>
      <c r="T798" s="14"/>
      <c r="U798" s="14"/>
      <c r="V798" s="14"/>
      <c r="W798" s="14"/>
      <c r="X798" s="14"/>
      <c r="Y798" s="14"/>
    </row>
    <row r="799" spans="1:25" ht="15.75" x14ac:dyDescent="0.25">
      <c r="A799" s="21"/>
      <c r="B799" s="21"/>
      <c r="C799" s="21"/>
      <c r="E799" s="21"/>
      <c r="F799" s="21"/>
      <c r="G799" s="14"/>
      <c r="H799" s="14"/>
      <c r="I799" s="14"/>
      <c r="J799" s="14"/>
      <c r="K799" s="14"/>
      <c r="L799" s="14"/>
      <c r="M799" s="14"/>
      <c r="N799" s="14"/>
      <c r="O799" s="14"/>
      <c r="P799" s="14"/>
      <c r="Q799" s="14"/>
      <c r="R799" s="14"/>
      <c r="S799" s="14"/>
      <c r="T799" s="14"/>
      <c r="U799" s="14"/>
      <c r="V799" s="14"/>
      <c r="W799" s="14"/>
      <c r="X799" s="14"/>
      <c r="Y799" s="14"/>
    </row>
    <row r="800" spans="1:25" ht="15.75" x14ac:dyDescent="0.25">
      <c r="A800" s="21"/>
      <c r="B800" s="21"/>
      <c r="C800" s="21"/>
      <c r="E800" s="21"/>
      <c r="F800" s="21"/>
      <c r="G800" s="14"/>
      <c r="H800" s="14"/>
      <c r="I800" s="14"/>
      <c r="J800" s="14"/>
      <c r="K800" s="14"/>
      <c r="L800" s="14"/>
      <c r="M800" s="14"/>
      <c r="N800" s="14"/>
      <c r="O800" s="14"/>
      <c r="P800" s="14"/>
      <c r="Q800" s="14"/>
      <c r="R800" s="14"/>
      <c r="S800" s="14"/>
      <c r="T800" s="14"/>
      <c r="U800" s="14"/>
      <c r="V800" s="14"/>
      <c r="W800" s="14"/>
      <c r="X800" s="14"/>
      <c r="Y800" s="14"/>
    </row>
    <row r="801" spans="1:25" ht="15.75" x14ac:dyDescent="0.25">
      <c r="A801" s="21"/>
      <c r="B801" s="21"/>
      <c r="C801" s="21"/>
      <c r="E801" s="21"/>
      <c r="F801" s="21"/>
      <c r="G801" s="14"/>
      <c r="H801" s="14"/>
      <c r="I801" s="14"/>
      <c r="J801" s="14"/>
      <c r="K801" s="14"/>
      <c r="L801" s="14"/>
      <c r="M801" s="14"/>
      <c r="N801" s="14"/>
      <c r="O801" s="14"/>
      <c r="P801" s="14"/>
      <c r="Q801" s="14"/>
      <c r="R801" s="14"/>
      <c r="S801" s="14"/>
      <c r="T801" s="14"/>
      <c r="U801" s="14"/>
      <c r="V801" s="14"/>
      <c r="W801" s="14"/>
      <c r="X801" s="14"/>
      <c r="Y801" s="14"/>
    </row>
    <row r="802" spans="1:25" ht="15.75" x14ac:dyDescent="0.25">
      <c r="A802" s="21"/>
      <c r="B802" s="21"/>
      <c r="C802" s="21"/>
      <c r="E802" s="21"/>
      <c r="F802" s="21"/>
      <c r="G802" s="14"/>
      <c r="H802" s="14"/>
      <c r="I802" s="14"/>
      <c r="J802" s="14"/>
      <c r="K802" s="14"/>
      <c r="L802" s="14"/>
      <c r="M802" s="14"/>
      <c r="N802" s="14"/>
      <c r="O802" s="14"/>
      <c r="P802" s="14"/>
      <c r="Q802" s="14"/>
      <c r="R802" s="14"/>
      <c r="S802" s="14"/>
      <c r="T802" s="14"/>
      <c r="U802" s="14"/>
      <c r="V802" s="14"/>
      <c r="W802" s="14"/>
      <c r="X802" s="14"/>
      <c r="Y802" s="14"/>
    </row>
    <row r="803" spans="1:25" ht="15.75" x14ac:dyDescent="0.25">
      <c r="A803" s="21"/>
      <c r="B803" s="21"/>
      <c r="C803" s="21"/>
      <c r="E803" s="21"/>
      <c r="F803" s="21"/>
      <c r="G803" s="14"/>
      <c r="H803" s="14"/>
      <c r="I803" s="14"/>
      <c r="J803" s="14"/>
      <c r="K803" s="14"/>
      <c r="L803" s="14"/>
      <c r="M803" s="14"/>
      <c r="N803" s="14"/>
      <c r="O803" s="14"/>
      <c r="P803" s="14"/>
      <c r="Q803" s="14"/>
      <c r="R803" s="14"/>
      <c r="S803" s="14"/>
      <c r="T803" s="14"/>
      <c r="U803" s="14"/>
      <c r="V803" s="14"/>
      <c r="W803" s="14"/>
      <c r="X803" s="14"/>
      <c r="Y803" s="14"/>
    </row>
    <row r="804" spans="1:25" ht="15.75" x14ac:dyDescent="0.25">
      <c r="A804" s="21"/>
      <c r="B804" s="21"/>
      <c r="C804" s="21"/>
      <c r="E804" s="21"/>
      <c r="F804" s="21"/>
      <c r="G804" s="14"/>
      <c r="H804" s="14"/>
      <c r="I804" s="14"/>
      <c r="J804" s="14"/>
      <c r="K804" s="14"/>
      <c r="L804" s="14"/>
      <c r="M804" s="14"/>
      <c r="N804" s="14"/>
      <c r="O804" s="14"/>
      <c r="P804" s="14"/>
      <c r="Q804" s="14"/>
      <c r="R804" s="14"/>
      <c r="S804" s="14"/>
      <c r="T804" s="14"/>
      <c r="U804" s="14"/>
      <c r="V804" s="14"/>
      <c r="W804" s="14"/>
      <c r="X804" s="14"/>
      <c r="Y804" s="14"/>
    </row>
    <row r="805" spans="1:25" ht="15.75" x14ac:dyDescent="0.25">
      <c r="A805" s="21"/>
      <c r="B805" s="21"/>
      <c r="C805" s="21"/>
      <c r="E805" s="21"/>
      <c r="F805" s="21"/>
      <c r="G805" s="14"/>
      <c r="H805" s="14"/>
      <c r="I805" s="14"/>
      <c r="J805" s="14"/>
      <c r="K805" s="14"/>
      <c r="L805" s="14"/>
      <c r="M805" s="14"/>
      <c r="N805" s="14"/>
      <c r="O805" s="14"/>
      <c r="P805" s="14"/>
      <c r="Q805" s="14"/>
      <c r="R805" s="14"/>
      <c r="S805" s="14"/>
      <c r="T805" s="14"/>
      <c r="U805" s="14"/>
      <c r="V805" s="14"/>
      <c r="W805" s="14"/>
      <c r="X805" s="14"/>
      <c r="Y805" s="14"/>
    </row>
    <row r="806" spans="1:25" ht="15.75" x14ac:dyDescent="0.25">
      <c r="A806" s="21"/>
      <c r="B806" s="21"/>
      <c r="C806" s="21"/>
      <c r="E806" s="21"/>
      <c r="F806" s="21"/>
      <c r="G806" s="14"/>
      <c r="H806" s="14"/>
      <c r="I806" s="14"/>
      <c r="J806" s="14"/>
      <c r="K806" s="14"/>
      <c r="L806" s="14"/>
      <c r="M806" s="14"/>
      <c r="N806" s="14"/>
      <c r="O806" s="14"/>
      <c r="P806" s="14"/>
      <c r="Q806" s="14"/>
      <c r="R806" s="14"/>
      <c r="S806" s="14"/>
      <c r="T806" s="14"/>
      <c r="U806" s="14"/>
      <c r="V806" s="14"/>
      <c r="W806" s="14"/>
      <c r="X806" s="14"/>
      <c r="Y806" s="14"/>
    </row>
    <row r="807" spans="1:25" ht="15.75" x14ac:dyDescent="0.25">
      <c r="A807" s="21"/>
      <c r="B807" s="21"/>
      <c r="C807" s="21"/>
      <c r="E807" s="21"/>
      <c r="F807" s="21"/>
      <c r="G807" s="14"/>
      <c r="H807" s="14"/>
      <c r="I807" s="14"/>
      <c r="J807" s="14"/>
      <c r="K807" s="14"/>
      <c r="L807" s="14"/>
      <c r="M807" s="14"/>
      <c r="N807" s="14"/>
      <c r="O807" s="14"/>
      <c r="P807" s="14"/>
      <c r="Q807" s="14"/>
      <c r="R807" s="14"/>
      <c r="S807" s="14"/>
      <c r="T807" s="14"/>
      <c r="U807" s="14"/>
      <c r="V807" s="14"/>
      <c r="W807" s="14"/>
      <c r="X807" s="14"/>
      <c r="Y807" s="14"/>
    </row>
    <row r="808" spans="1:25" ht="15.75" x14ac:dyDescent="0.25">
      <c r="A808" s="21"/>
      <c r="B808" s="21"/>
      <c r="C808" s="21"/>
      <c r="E808" s="21"/>
      <c r="F808" s="21"/>
      <c r="G808" s="14"/>
      <c r="H808" s="14"/>
      <c r="I808" s="14"/>
      <c r="J808" s="14"/>
      <c r="K808" s="14"/>
      <c r="L808" s="14"/>
      <c r="M808" s="14"/>
      <c r="N808" s="14"/>
      <c r="O808" s="14"/>
      <c r="P808" s="14"/>
      <c r="Q808" s="14"/>
      <c r="R808" s="14"/>
      <c r="S808" s="14"/>
      <c r="T808" s="14"/>
      <c r="U808" s="14"/>
      <c r="V808" s="14"/>
      <c r="W808" s="14"/>
      <c r="X808" s="14"/>
      <c r="Y808" s="14"/>
    </row>
    <row r="809" spans="1:25" ht="15.75" x14ac:dyDescent="0.25">
      <c r="A809" s="21"/>
      <c r="B809" s="21"/>
      <c r="C809" s="21"/>
      <c r="E809" s="21"/>
      <c r="F809" s="21"/>
      <c r="G809" s="14"/>
      <c r="H809" s="14"/>
      <c r="I809" s="14"/>
      <c r="J809" s="14"/>
      <c r="K809" s="14"/>
      <c r="L809" s="14"/>
      <c r="M809" s="14"/>
      <c r="N809" s="14"/>
      <c r="O809" s="14"/>
      <c r="P809" s="14"/>
      <c r="Q809" s="14"/>
      <c r="R809" s="14"/>
      <c r="S809" s="14"/>
      <c r="T809" s="14"/>
      <c r="U809" s="14"/>
      <c r="V809" s="14"/>
      <c r="W809" s="14"/>
      <c r="X809" s="14"/>
      <c r="Y809" s="14"/>
    </row>
    <row r="810" spans="1:25" ht="15.75" x14ac:dyDescent="0.25">
      <c r="A810" s="21"/>
      <c r="B810" s="21"/>
      <c r="C810" s="21"/>
      <c r="E810" s="21"/>
      <c r="F810" s="21"/>
      <c r="G810" s="14"/>
      <c r="H810" s="14"/>
      <c r="I810" s="14"/>
      <c r="J810" s="14"/>
      <c r="K810" s="14"/>
      <c r="L810" s="14"/>
      <c r="M810" s="14"/>
      <c r="N810" s="14"/>
      <c r="O810" s="14"/>
      <c r="P810" s="14"/>
      <c r="Q810" s="14"/>
      <c r="R810" s="14"/>
      <c r="S810" s="14"/>
      <c r="T810" s="14"/>
      <c r="U810" s="14"/>
      <c r="V810" s="14"/>
      <c r="W810" s="14"/>
      <c r="X810" s="14"/>
      <c r="Y810" s="14"/>
    </row>
    <row r="811" spans="1:25" ht="15.75" x14ac:dyDescent="0.25">
      <c r="A811" s="21"/>
      <c r="B811" s="21"/>
      <c r="C811" s="21"/>
      <c r="E811" s="21"/>
      <c r="F811" s="21"/>
      <c r="G811" s="14"/>
      <c r="H811" s="14"/>
      <c r="I811" s="14"/>
      <c r="J811" s="14"/>
      <c r="K811" s="14"/>
      <c r="L811" s="14"/>
      <c r="M811" s="14"/>
      <c r="N811" s="14"/>
      <c r="O811" s="14"/>
      <c r="P811" s="14"/>
      <c r="Q811" s="14"/>
      <c r="R811" s="14"/>
      <c r="S811" s="14"/>
      <c r="T811" s="14"/>
      <c r="U811" s="14"/>
      <c r="V811" s="14"/>
      <c r="W811" s="14"/>
      <c r="X811" s="14"/>
      <c r="Y811" s="14"/>
    </row>
    <row r="812" spans="1:25" ht="15.75" x14ac:dyDescent="0.25">
      <c r="A812" s="21"/>
      <c r="B812" s="21"/>
      <c r="C812" s="21"/>
      <c r="E812" s="21"/>
      <c r="F812" s="21"/>
      <c r="G812" s="14"/>
      <c r="H812" s="14"/>
      <c r="I812" s="14"/>
      <c r="J812" s="14"/>
      <c r="K812" s="14"/>
      <c r="L812" s="14"/>
      <c r="M812" s="14"/>
      <c r="N812" s="14"/>
      <c r="O812" s="14"/>
      <c r="P812" s="14"/>
      <c r="Q812" s="14"/>
      <c r="R812" s="14"/>
      <c r="S812" s="14"/>
      <c r="T812" s="14"/>
      <c r="U812" s="14"/>
      <c r="V812" s="14"/>
      <c r="W812" s="14"/>
      <c r="X812" s="14"/>
      <c r="Y812" s="14"/>
    </row>
    <row r="813" spans="1:25" ht="15.75" x14ac:dyDescent="0.25">
      <c r="A813" s="21"/>
      <c r="B813" s="21"/>
      <c r="C813" s="21"/>
      <c r="E813" s="21"/>
      <c r="F813" s="21"/>
      <c r="G813" s="14"/>
      <c r="H813" s="14"/>
      <c r="I813" s="14"/>
      <c r="J813" s="14"/>
      <c r="K813" s="14"/>
      <c r="L813" s="14"/>
      <c r="M813" s="14"/>
      <c r="N813" s="14"/>
      <c r="O813" s="14"/>
      <c r="P813" s="14"/>
      <c r="Q813" s="14"/>
      <c r="R813" s="14"/>
      <c r="S813" s="14"/>
      <c r="T813" s="14"/>
      <c r="U813" s="14"/>
      <c r="V813" s="14"/>
      <c r="W813" s="14"/>
      <c r="X813" s="14"/>
      <c r="Y813" s="14"/>
    </row>
    <row r="814" spans="1:25" ht="15.75" x14ac:dyDescent="0.25">
      <c r="A814" s="21"/>
      <c r="B814" s="21"/>
      <c r="C814" s="21"/>
      <c r="E814" s="21"/>
      <c r="F814" s="21"/>
      <c r="G814" s="14"/>
      <c r="H814" s="14"/>
      <c r="I814" s="14"/>
      <c r="J814" s="14"/>
      <c r="K814" s="14"/>
      <c r="L814" s="14"/>
      <c r="M814" s="14"/>
      <c r="N814" s="14"/>
      <c r="O814" s="14"/>
      <c r="P814" s="14"/>
      <c r="Q814" s="14"/>
      <c r="R814" s="14"/>
      <c r="S814" s="14"/>
      <c r="T814" s="14"/>
      <c r="U814" s="14"/>
      <c r="V814" s="14"/>
      <c r="W814" s="14"/>
      <c r="X814" s="14"/>
      <c r="Y814" s="14"/>
    </row>
    <row r="815" spans="1:25" ht="15.75" x14ac:dyDescent="0.25">
      <c r="A815" s="21"/>
      <c r="B815" s="21"/>
      <c r="C815" s="21"/>
      <c r="E815" s="21"/>
      <c r="F815" s="21"/>
      <c r="G815" s="14"/>
      <c r="H815" s="14"/>
      <c r="I815" s="14"/>
      <c r="J815" s="14"/>
      <c r="K815" s="14"/>
      <c r="L815" s="14"/>
      <c r="M815" s="14"/>
      <c r="N815" s="14"/>
      <c r="O815" s="14"/>
      <c r="P815" s="14"/>
      <c r="Q815" s="14"/>
      <c r="R815" s="14"/>
      <c r="S815" s="14"/>
      <c r="T815" s="14"/>
      <c r="U815" s="14"/>
      <c r="V815" s="14"/>
      <c r="W815" s="14"/>
      <c r="X815" s="14"/>
      <c r="Y815" s="14"/>
    </row>
    <row r="816" spans="1:25" ht="15.75" x14ac:dyDescent="0.25">
      <c r="A816" s="21"/>
      <c r="B816" s="21"/>
      <c r="C816" s="21"/>
      <c r="E816" s="21"/>
      <c r="F816" s="21"/>
      <c r="G816" s="14"/>
      <c r="H816" s="14"/>
      <c r="I816" s="14"/>
      <c r="J816" s="14"/>
      <c r="K816" s="14"/>
      <c r="L816" s="14"/>
      <c r="M816" s="14"/>
      <c r="N816" s="14"/>
      <c r="O816" s="14"/>
      <c r="P816" s="14"/>
      <c r="Q816" s="14"/>
      <c r="R816" s="14"/>
      <c r="S816" s="14"/>
      <c r="T816" s="14"/>
      <c r="U816" s="14"/>
      <c r="V816" s="14"/>
      <c r="W816" s="14"/>
      <c r="X816" s="14"/>
      <c r="Y816" s="14"/>
    </row>
    <row r="817" spans="1:25" ht="15.75" x14ac:dyDescent="0.25">
      <c r="A817" s="21"/>
      <c r="B817" s="21"/>
      <c r="C817" s="21"/>
      <c r="E817" s="21"/>
      <c r="F817" s="21"/>
      <c r="G817" s="14"/>
      <c r="H817" s="14"/>
      <c r="I817" s="14"/>
      <c r="J817" s="14"/>
      <c r="K817" s="14"/>
      <c r="L817" s="14"/>
      <c r="M817" s="14"/>
      <c r="N817" s="14"/>
      <c r="O817" s="14"/>
      <c r="P817" s="14"/>
      <c r="Q817" s="14"/>
      <c r="R817" s="14"/>
      <c r="S817" s="14"/>
      <c r="T817" s="14"/>
      <c r="U817" s="14"/>
      <c r="V817" s="14"/>
      <c r="W817" s="14"/>
      <c r="X817" s="14"/>
      <c r="Y817" s="14"/>
    </row>
    <row r="818" spans="1:25" ht="15.75" x14ac:dyDescent="0.25">
      <c r="A818" s="21"/>
      <c r="B818" s="21"/>
      <c r="C818" s="21"/>
      <c r="E818" s="21"/>
      <c r="F818" s="21"/>
      <c r="G818" s="14"/>
      <c r="H818" s="14"/>
      <c r="I818" s="14"/>
      <c r="J818" s="14"/>
      <c r="K818" s="14"/>
      <c r="L818" s="14"/>
      <c r="M818" s="14"/>
      <c r="N818" s="14"/>
      <c r="O818" s="14"/>
      <c r="P818" s="14"/>
      <c r="Q818" s="14"/>
      <c r="R818" s="14"/>
      <c r="S818" s="14"/>
      <c r="T818" s="14"/>
      <c r="U818" s="14"/>
      <c r="V818" s="14"/>
      <c r="W818" s="14"/>
      <c r="X818" s="14"/>
      <c r="Y818" s="14"/>
    </row>
    <row r="819" spans="1:25" ht="15.75" x14ac:dyDescent="0.25">
      <c r="A819" s="21"/>
      <c r="B819" s="21"/>
      <c r="C819" s="21"/>
      <c r="E819" s="21"/>
      <c r="F819" s="21"/>
      <c r="G819" s="14"/>
      <c r="H819" s="14"/>
      <c r="I819" s="14"/>
      <c r="J819" s="14"/>
      <c r="K819" s="14"/>
      <c r="L819" s="14"/>
      <c r="M819" s="14"/>
      <c r="N819" s="14"/>
      <c r="O819" s="14"/>
      <c r="P819" s="14"/>
      <c r="Q819" s="14"/>
      <c r="R819" s="14"/>
      <c r="S819" s="14"/>
      <c r="T819" s="14"/>
      <c r="U819" s="14"/>
      <c r="V819" s="14"/>
      <c r="W819" s="14"/>
      <c r="X819" s="14"/>
      <c r="Y819" s="14"/>
    </row>
    <row r="820" spans="1:25" ht="15.75" x14ac:dyDescent="0.25">
      <c r="A820" s="21"/>
      <c r="B820" s="21"/>
      <c r="C820" s="21"/>
      <c r="E820" s="21"/>
      <c r="F820" s="21"/>
      <c r="G820" s="14"/>
      <c r="H820" s="14"/>
      <c r="I820" s="14"/>
      <c r="J820" s="14"/>
      <c r="K820" s="14"/>
      <c r="L820" s="14"/>
      <c r="M820" s="14"/>
      <c r="N820" s="14"/>
      <c r="O820" s="14"/>
      <c r="P820" s="14"/>
      <c r="Q820" s="14"/>
      <c r="R820" s="14"/>
      <c r="S820" s="14"/>
      <c r="T820" s="14"/>
      <c r="U820" s="14"/>
      <c r="V820" s="14"/>
      <c r="W820" s="14"/>
      <c r="X820" s="14"/>
      <c r="Y820" s="14"/>
    </row>
    <row r="821" spans="1:25" ht="15.75" x14ac:dyDescent="0.25">
      <c r="A821" s="21"/>
      <c r="B821" s="21"/>
      <c r="C821" s="21"/>
      <c r="E821" s="21"/>
      <c r="F821" s="21"/>
      <c r="G821" s="14"/>
      <c r="H821" s="14"/>
      <c r="I821" s="14"/>
      <c r="J821" s="14"/>
      <c r="K821" s="14"/>
      <c r="L821" s="14"/>
      <c r="M821" s="14"/>
      <c r="N821" s="14"/>
      <c r="O821" s="14"/>
      <c r="P821" s="14"/>
      <c r="Q821" s="14"/>
      <c r="R821" s="14"/>
      <c r="S821" s="14"/>
      <c r="T821" s="14"/>
      <c r="U821" s="14"/>
      <c r="V821" s="14"/>
      <c r="W821" s="14"/>
      <c r="X821" s="14"/>
      <c r="Y821" s="14"/>
    </row>
    <row r="822" spans="1:25" ht="15.75" x14ac:dyDescent="0.25">
      <c r="A822" s="21"/>
      <c r="B822" s="21"/>
      <c r="C822" s="21"/>
      <c r="E822" s="21"/>
      <c r="F822" s="21"/>
      <c r="G822" s="14"/>
      <c r="H822" s="14"/>
      <c r="I822" s="14"/>
      <c r="J822" s="14"/>
      <c r="K822" s="14"/>
      <c r="L822" s="14"/>
      <c r="M822" s="14"/>
      <c r="N822" s="14"/>
      <c r="O822" s="14"/>
      <c r="P822" s="14"/>
      <c r="Q822" s="14"/>
      <c r="R822" s="14"/>
      <c r="S822" s="14"/>
      <c r="T822" s="14"/>
      <c r="U822" s="14"/>
      <c r="V822" s="14"/>
      <c r="W822" s="14"/>
      <c r="X822" s="14"/>
      <c r="Y822" s="14"/>
    </row>
    <row r="823" spans="1:25" ht="15.75" x14ac:dyDescent="0.25">
      <c r="A823" s="21"/>
      <c r="B823" s="21"/>
      <c r="C823" s="21"/>
      <c r="E823" s="21"/>
      <c r="F823" s="21"/>
      <c r="G823" s="14"/>
      <c r="H823" s="14"/>
      <c r="I823" s="14"/>
      <c r="J823" s="14"/>
      <c r="K823" s="14"/>
      <c r="L823" s="14"/>
      <c r="M823" s="14"/>
      <c r="N823" s="14"/>
      <c r="O823" s="14"/>
      <c r="P823" s="14"/>
      <c r="Q823" s="14"/>
      <c r="R823" s="14"/>
      <c r="S823" s="14"/>
      <c r="T823" s="14"/>
      <c r="U823" s="14"/>
      <c r="V823" s="14"/>
      <c r="W823" s="14"/>
      <c r="X823" s="14"/>
      <c r="Y823" s="14"/>
    </row>
    <row r="824" spans="1:25" ht="15.75" x14ac:dyDescent="0.25">
      <c r="A824" s="21"/>
      <c r="B824" s="21"/>
      <c r="C824" s="21"/>
      <c r="E824" s="21"/>
      <c r="F824" s="21"/>
      <c r="G824" s="14"/>
      <c r="H824" s="14"/>
      <c r="I824" s="14"/>
      <c r="J824" s="14"/>
      <c r="K824" s="14"/>
      <c r="L824" s="14"/>
      <c r="M824" s="14"/>
      <c r="N824" s="14"/>
      <c r="O824" s="14"/>
      <c r="P824" s="14"/>
      <c r="Q824" s="14"/>
      <c r="R824" s="14"/>
      <c r="S824" s="14"/>
      <c r="T824" s="14"/>
      <c r="U824" s="14"/>
      <c r="V824" s="14"/>
      <c r="W824" s="14"/>
      <c r="X824" s="14"/>
      <c r="Y824" s="14"/>
    </row>
    <row r="825" spans="1:25" ht="15.75" x14ac:dyDescent="0.25">
      <c r="A825" s="21"/>
      <c r="B825" s="21"/>
      <c r="C825" s="21"/>
      <c r="E825" s="21"/>
      <c r="F825" s="21"/>
      <c r="G825" s="14"/>
      <c r="H825" s="14"/>
      <c r="I825" s="14"/>
      <c r="J825" s="14"/>
      <c r="K825" s="14"/>
      <c r="L825" s="14"/>
      <c r="M825" s="14"/>
      <c r="N825" s="14"/>
      <c r="O825" s="14"/>
      <c r="P825" s="14"/>
      <c r="Q825" s="14"/>
      <c r="R825" s="14"/>
      <c r="S825" s="14"/>
      <c r="T825" s="14"/>
      <c r="U825" s="14"/>
      <c r="V825" s="14"/>
      <c r="W825" s="14"/>
      <c r="X825" s="14"/>
      <c r="Y825" s="14"/>
    </row>
    <row r="826" spans="1:25" ht="15.75" x14ac:dyDescent="0.25">
      <c r="A826" s="21"/>
      <c r="B826" s="21"/>
      <c r="C826" s="21"/>
      <c r="E826" s="21"/>
      <c r="F826" s="21"/>
      <c r="G826" s="14"/>
      <c r="H826" s="14"/>
      <c r="I826" s="14"/>
      <c r="J826" s="14"/>
      <c r="K826" s="14"/>
      <c r="L826" s="14"/>
      <c r="M826" s="14"/>
      <c r="N826" s="14"/>
      <c r="O826" s="14"/>
      <c r="P826" s="14"/>
      <c r="Q826" s="14"/>
      <c r="R826" s="14"/>
      <c r="S826" s="14"/>
      <c r="T826" s="14"/>
      <c r="U826" s="14"/>
      <c r="V826" s="14"/>
      <c r="W826" s="14"/>
      <c r="X826" s="14"/>
      <c r="Y826" s="14"/>
    </row>
    <row r="827" spans="1:25" ht="15.75" x14ac:dyDescent="0.25">
      <c r="A827" s="21"/>
      <c r="B827" s="21"/>
      <c r="C827" s="21"/>
      <c r="E827" s="21"/>
      <c r="F827" s="21"/>
      <c r="G827" s="14"/>
      <c r="H827" s="14"/>
      <c r="I827" s="14"/>
      <c r="J827" s="14"/>
      <c r="K827" s="14"/>
      <c r="L827" s="14"/>
      <c r="M827" s="14"/>
      <c r="N827" s="14"/>
      <c r="O827" s="14"/>
      <c r="P827" s="14"/>
      <c r="Q827" s="14"/>
      <c r="R827" s="14"/>
      <c r="S827" s="14"/>
      <c r="T827" s="14"/>
      <c r="U827" s="14"/>
      <c r="V827" s="14"/>
      <c r="W827" s="14"/>
      <c r="X827" s="14"/>
      <c r="Y827" s="14"/>
    </row>
    <row r="828" spans="1:25" ht="15.75" x14ac:dyDescent="0.25">
      <c r="A828" s="21"/>
      <c r="B828" s="21"/>
      <c r="C828" s="21"/>
      <c r="E828" s="21"/>
      <c r="F828" s="21"/>
      <c r="G828" s="14"/>
      <c r="H828" s="14"/>
      <c r="I828" s="14"/>
      <c r="J828" s="14"/>
      <c r="K828" s="14"/>
      <c r="L828" s="14"/>
      <c r="M828" s="14"/>
      <c r="N828" s="14"/>
      <c r="O828" s="14"/>
      <c r="P828" s="14"/>
      <c r="Q828" s="14"/>
      <c r="R828" s="14"/>
      <c r="S828" s="14"/>
      <c r="T828" s="14"/>
      <c r="U828" s="14"/>
      <c r="V828" s="14"/>
      <c r="W828" s="14"/>
      <c r="X828" s="14"/>
      <c r="Y828" s="14"/>
    </row>
    <row r="829" spans="1:25" ht="15.75" x14ac:dyDescent="0.25">
      <c r="A829" s="21"/>
      <c r="B829" s="21"/>
      <c r="C829" s="21"/>
      <c r="E829" s="21"/>
      <c r="F829" s="21"/>
      <c r="G829" s="14"/>
      <c r="H829" s="14"/>
      <c r="I829" s="14"/>
      <c r="J829" s="14"/>
      <c r="K829" s="14"/>
      <c r="L829" s="14"/>
      <c r="M829" s="14"/>
      <c r="N829" s="14"/>
      <c r="O829" s="14"/>
      <c r="P829" s="14"/>
      <c r="Q829" s="14"/>
      <c r="R829" s="14"/>
      <c r="S829" s="14"/>
      <c r="T829" s="14"/>
      <c r="U829" s="14"/>
      <c r="V829" s="14"/>
      <c r="W829" s="14"/>
      <c r="X829" s="14"/>
      <c r="Y829" s="14"/>
    </row>
    <row r="830" spans="1:25" ht="15.75" x14ac:dyDescent="0.25">
      <c r="A830" s="21"/>
      <c r="B830" s="21"/>
      <c r="C830" s="21"/>
      <c r="E830" s="21"/>
      <c r="F830" s="21"/>
      <c r="G830" s="14"/>
      <c r="H830" s="14"/>
      <c r="I830" s="14"/>
      <c r="J830" s="14"/>
      <c r="K830" s="14"/>
      <c r="L830" s="14"/>
      <c r="M830" s="14"/>
      <c r="N830" s="14"/>
      <c r="O830" s="14"/>
      <c r="P830" s="14"/>
      <c r="Q830" s="14"/>
      <c r="R830" s="14"/>
      <c r="S830" s="14"/>
      <c r="T830" s="14"/>
      <c r="U830" s="14"/>
      <c r="V830" s="14"/>
      <c r="W830" s="14"/>
      <c r="X830" s="14"/>
      <c r="Y830" s="14"/>
    </row>
    <row r="831" spans="1:25" ht="15.75" x14ac:dyDescent="0.25">
      <c r="A831" s="21"/>
      <c r="B831" s="21"/>
      <c r="C831" s="21"/>
      <c r="E831" s="21"/>
      <c r="F831" s="21"/>
      <c r="G831" s="14"/>
      <c r="H831" s="14"/>
      <c r="I831" s="14"/>
      <c r="J831" s="14"/>
      <c r="K831" s="14"/>
      <c r="L831" s="14"/>
      <c r="M831" s="14"/>
      <c r="N831" s="14"/>
      <c r="O831" s="14"/>
      <c r="P831" s="14"/>
      <c r="Q831" s="14"/>
      <c r="R831" s="14"/>
      <c r="S831" s="14"/>
      <c r="T831" s="14"/>
      <c r="U831" s="14"/>
      <c r="V831" s="14"/>
      <c r="W831" s="14"/>
      <c r="X831" s="14"/>
      <c r="Y831" s="14"/>
    </row>
    <row r="832" spans="1:25" ht="15.75" x14ac:dyDescent="0.25">
      <c r="A832" s="21"/>
      <c r="B832" s="21"/>
      <c r="C832" s="21"/>
      <c r="E832" s="21"/>
      <c r="F832" s="21"/>
      <c r="G832" s="14"/>
      <c r="H832" s="14"/>
      <c r="I832" s="14"/>
      <c r="J832" s="14"/>
      <c r="K832" s="14"/>
      <c r="L832" s="14"/>
      <c r="M832" s="14"/>
      <c r="N832" s="14"/>
      <c r="O832" s="14"/>
      <c r="P832" s="14"/>
      <c r="Q832" s="14"/>
      <c r="R832" s="14"/>
      <c r="S832" s="14"/>
      <c r="T832" s="14"/>
      <c r="U832" s="14"/>
      <c r="V832" s="14"/>
      <c r="W832" s="14"/>
      <c r="X832" s="14"/>
      <c r="Y832" s="14"/>
    </row>
    <row r="833" spans="1:25" ht="15.75" x14ac:dyDescent="0.25">
      <c r="A833" s="21"/>
      <c r="B833" s="21"/>
      <c r="C833" s="21"/>
      <c r="E833" s="21"/>
      <c r="F833" s="21"/>
      <c r="G833" s="14"/>
      <c r="H833" s="14"/>
      <c r="I833" s="14"/>
      <c r="J833" s="14"/>
      <c r="K833" s="14"/>
      <c r="L833" s="14"/>
      <c r="M833" s="14"/>
      <c r="N833" s="14"/>
      <c r="O833" s="14"/>
      <c r="P833" s="14"/>
      <c r="Q833" s="14"/>
      <c r="R833" s="14"/>
      <c r="S833" s="14"/>
      <c r="T833" s="14"/>
      <c r="U833" s="14"/>
      <c r="V833" s="14"/>
      <c r="W833" s="14"/>
      <c r="X833" s="14"/>
      <c r="Y833" s="14"/>
    </row>
    <row r="834" spans="1:25" ht="15.75" x14ac:dyDescent="0.25">
      <c r="A834" s="21"/>
      <c r="B834" s="21"/>
      <c r="C834" s="21"/>
      <c r="E834" s="21"/>
      <c r="F834" s="21"/>
      <c r="G834" s="14"/>
      <c r="H834" s="14"/>
      <c r="I834" s="14"/>
      <c r="J834" s="14"/>
      <c r="K834" s="14"/>
      <c r="L834" s="14"/>
      <c r="M834" s="14"/>
      <c r="N834" s="14"/>
      <c r="O834" s="14"/>
      <c r="P834" s="14"/>
      <c r="Q834" s="14"/>
      <c r="R834" s="14"/>
      <c r="S834" s="14"/>
      <c r="T834" s="14"/>
      <c r="U834" s="14"/>
      <c r="V834" s="14"/>
      <c r="W834" s="14"/>
      <c r="X834" s="14"/>
      <c r="Y834" s="14"/>
    </row>
    <row r="835" spans="1:25" ht="15.75" x14ac:dyDescent="0.25">
      <c r="A835" s="21"/>
      <c r="B835" s="21"/>
      <c r="C835" s="21"/>
      <c r="E835" s="21"/>
      <c r="F835" s="21"/>
      <c r="G835" s="14"/>
      <c r="H835" s="14"/>
      <c r="I835" s="14"/>
      <c r="J835" s="14"/>
      <c r="K835" s="14"/>
      <c r="L835" s="14"/>
      <c r="M835" s="14"/>
      <c r="N835" s="14"/>
      <c r="O835" s="14"/>
      <c r="P835" s="14"/>
      <c r="Q835" s="14"/>
      <c r="R835" s="14"/>
      <c r="S835" s="14"/>
      <c r="T835" s="14"/>
      <c r="U835" s="14"/>
      <c r="V835" s="14"/>
      <c r="W835" s="14"/>
      <c r="X835" s="14"/>
      <c r="Y835" s="14"/>
    </row>
    <row r="836" spans="1:25" ht="15.75" x14ac:dyDescent="0.25">
      <c r="A836" s="21"/>
      <c r="B836" s="21"/>
      <c r="C836" s="21"/>
      <c r="E836" s="21"/>
      <c r="F836" s="21"/>
      <c r="G836" s="14"/>
      <c r="H836" s="14"/>
      <c r="I836" s="14"/>
      <c r="J836" s="14"/>
      <c r="K836" s="14"/>
      <c r="L836" s="14"/>
      <c r="M836" s="14"/>
      <c r="N836" s="14"/>
      <c r="O836" s="14"/>
      <c r="P836" s="14"/>
      <c r="Q836" s="14"/>
      <c r="R836" s="14"/>
      <c r="S836" s="14"/>
      <c r="T836" s="14"/>
      <c r="U836" s="14"/>
      <c r="V836" s="14"/>
      <c r="W836" s="14"/>
      <c r="X836" s="14"/>
      <c r="Y836" s="14"/>
    </row>
    <row r="837" spans="1:25" ht="15.75" x14ac:dyDescent="0.25">
      <c r="A837" s="21"/>
      <c r="B837" s="21"/>
      <c r="C837" s="21"/>
      <c r="E837" s="21"/>
      <c r="F837" s="21"/>
      <c r="G837" s="14"/>
      <c r="H837" s="14"/>
      <c r="I837" s="14"/>
      <c r="J837" s="14"/>
      <c r="K837" s="14"/>
      <c r="L837" s="14"/>
      <c r="M837" s="14"/>
      <c r="N837" s="14"/>
      <c r="O837" s="14"/>
      <c r="P837" s="14"/>
      <c r="Q837" s="14"/>
      <c r="R837" s="14"/>
      <c r="S837" s="14"/>
      <c r="T837" s="14"/>
      <c r="U837" s="14"/>
      <c r="V837" s="14"/>
      <c r="W837" s="14"/>
      <c r="X837" s="14"/>
      <c r="Y837" s="14"/>
    </row>
    <row r="838" spans="1:25" ht="15.75" x14ac:dyDescent="0.25">
      <c r="A838" s="21"/>
      <c r="B838" s="21"/>
      <c r="C838" s="21"/>
      <c r="E838" s="21"/>
      <c r="F838" s="21"/>
      <c r="G838" s="14"/>
      <c r="H838" s="14"/>
      <c r="I838" s="14"/>
      <c r="J838" s="14"/>
      <c r="K838" s="14"/>
      <c r="L838" s="14"/>
      <c r="M838" s="14"/>
      <c r="N838" s="14"/>
      <c r="O838" s="14"/>
      <c r="P838" s="14"/>
      <c r="Q838" s="14"/>
      <c r="R838" s="14"/>
      <c r="S838" s="14"/>
      <c r="T838" s="14"/>
      <c r="U838" s="14"/>
      <c r="V838" s="14"/>
      <c r="W838" s="14"/>
      <c r="X838" s="14"/>
      <c r="Y838" s="14"/>
    </row>
    <row r="839" spans="1:25" ht="15.75" x14ac:dyDescent="0.25">
      <c r="A839" s="21"/>
      <c r="B839" s="21"/>
      <c r="C839" s="21"/>
      <c r="E839" s="21"/>
      <c r="F839" s="21"/>
      <c r="G839" s="14"/>
      <c r="H839" s="14"/>
      <c r="I839" s="14"/>
      <c r="J839" s="14"/>
      <c r="K839" s="14"/>
      <c r="L839" s="14"/>
      <c r="M839" s="14"/>
      <c r="N839" s="14"/>
      <c r="O839" s="14"/>
      <c r="P839" s="14"/>
      <c r="Q839" s="14"/>
      <c r="R839" s="14"/>
      <c r="S839" s="14"/>
      <c r="T839" s="14"/>
      <c r="U839" s="14"/>
      <c r="V839" s="14"/>
      <c r="W839" s="14"/>
      <c r="X839" s="14"/>
      <c r="Y839" s="14"/>
    </row>
    <row r="840" spans="1:25" ht="15.75" x14ac:dyDescent="0.25">
      <c r="A840" s="21"/>
      <c r="B840" s="21"/>
      <c r="C840" s="21"/>
      <c r="E840" s="21"/>
      <c r="F840" s="21"/>
      <c r="G840" s="14"/>
      <c r="H840" s="14"/>
      <c r="I840" s="14"/>
      <c r="J840" s="14"/>
      <c r="K840" s="14"/>
      <c r="L840" s="14"/>
      <c r="M840" s="14"/>
      <c r="N840" s="14"/>
      <c r="O840" s="14"/>
      <c r="P840" s="14"/>
      <c r="Q840" s="14"/>
      <c r="R840" s="14"/>
      <c r="S840" s="14"/>
      <c r="T840" s="14"/>
      <c r="U840" s="14"/>
      <c r="V840" s="14"/>
      <c r="W840" s="14"/>
      <c r="X840" s="14"/>
      <c r="Y840" s="14"/>
    </row>
    <row r="841" spans="1:25" ht="15.75" x14ac:dyDescent="0.25">
      <c r="A841" s="21"/>
      <c r="B841" s="21"/>
      <c r="C841" s="21"/>
      <c r="E841" s="21"/>
      <c r="F841" s="21"/>
      <c r="G841" s="14"/>
      <c r="H841" s="14"/>
      <c r="I841" s="14"/>
      <c r="J841" s="14"/>
      <c r="K841" s="14"/>
      <c r="L841" s="14"/>
      <c r="M841" s="14"/>
      <c r="N841" s="14"/>
      <c r="O841" s="14"/>
      <c r="P841" s="14"/>
      <c r="Q841" s="14"/>
      <c r="R841" s="14"/>
      <c r="S841" s="14"/>
      <c r="T841" s="14"/>
      <c r="U841" s="14"/>
      <c r="V841" s="14"/>
      <c r="W841" s="14"/>
      <c r="X841" s="14"/>
      <c r="Y841" s="14"/>
    </row>
    <row r="842" spans="1:25" ht="15.75" x14ac:dyDescent="0.25">
      <c r="A842" s="21"/>
      <c r="B842" s="21"/>
      <c r="C842" s="21"/>
      <c r="E842" s="21"/>
      <c r="F842" s="21"/>
      <c r="G842" s="14"/>
      <c r="H842" s="14"/>
      <c r="I842" s="14"/>
      <c r="J842" s="14"/>
      <c r="K842" s="14"/>
      <c r="L842" s="14"/>
      <c r="M842" s="14"/>
      <c r="N842" s="14"/>
      <c r="O842" s="14"/>
      <c r="P842" s="14"/>
      <c r="Q842" s="14"/>
      <c r="R842" s="14"/>
      <c r="S842" s="14"/>
      <c r="T842" s="14"/>
      <c r="U842" s="14"/>
      <c r="V842" s="14"/>
      <c r="W842" s="14"/>
      <c r="X842" s="14"/>
      <c r="Y842" s="14"/>
    </row>
    <row r="843" spans="1:25" ht="15.75" x14ac:dyDescent="0.25">
      <c r="A843" s="21"/>
      <c r="B843" s="21"/>
      <c r="C843" s="21"/>
      <c r="E843" s="21"/>
      <c r="F843" s="21"/>
      <c r="G843" s="14"/>
      <c r="H843" s="14"/>
      <c r="I843" s="14"/>
      <c r="J843" s="14"/>
      <c r="K843" s="14"/>
      <c r="L843" s="14"/>
      <c r="M843" s="14"/>
      <c r="N843" s="14"/>
      <c r="O843" s="14"/>
      <c r="P843" s="14"/>
      <c r="Q843" s="14"/>
      <c r="R843" s="14"/>
      <c r="S843" s="14"/>
      <c r="T843" s="14"/>
      <c r="U843" s="14"/>
      <c r="V843" s="14"/>
      <c r="W843" s="14"/>
      <c r="X843" s="14"/>
      <c r="Y843" s="14"/>
    </row>
    <row r="844" spans="1:25" ht="15.75" x14ac:dyDescent="0.25">
      <c r="A844" s="21"/>
      <c r="B844" s="21"/>
      <c r="C844" s="21"/>
      <c r="E844" s="21"/>
      <c r="F844" s="21"/>
      <c r="G844" s="14"/>
      <c r="H844" s="14"/>
      <c r="I844" s="14"/>
      <c r="J844" s="14"/>
      <c r="K844" s="14"/>
      <c r="L844" s="14"/>
      <c r="M844" s="14"/>
      <c r="N844" s="14"/>
      <c r="O844" s="14"/>
      <c r="P844" s="14"/>
      <c r="Q844" s="14"/>
      <c r="R844" s="14"/>
      <c r="S844" s="14"/>
      <c r="T844" s="14"/>
      <c r="U844" s="14"/>
      <c r="V844" s="14"/>
      <c r="W844" s="14"/>
      <c r="X844" s="14"/>
      <c r="Y844" s="14"/>
    </row>
    <row r="845" spans="1:25" ht="15.75" x14ac:dyDescent="0.25">
      <c r="A845" s="21"/>
      <c r="B845" s="21"/>
      <c r="C845" s="21"/>
      <c r="E845" s="21"/>
      <c r="F845" s="21"/>
      <c r="G845" s="14"/>
      <c r="H845" s="14"/>
      <c r="I845" s="14"/>
      <c r="J845" s="14"/>
      <c r="K845" s="14"/>
      <c r="L845" s="14"/>
      <c r="M845" s="14"/>
      <c r="N845" s="14"/>
      <c r="O845" s="14"/>
      <c r="P845" s="14"/>
      <c r="Q845" s="14"/>
      <c r="R845" s="14"/>
      <c r="S845" s="14"/>
      <c r="T845" s="14"/>
      <c r="U845" s="14"/>
      <c r="V845" s="14"/>
      <c r="W845" s="14"/>
      <c r="X845" s="14"/>
      <c r="Y845" s="14"/>
    </row>
    <row r="846" spans="1:25" ht="15.75" x14ac:dyDescent="0.25">
      <c r="A846" s="21"/>
      <c r="B846" s="21"/>
      <c r="C846" s="21"/>
      <c r="E846" s="21"/>
      <c r="F846" s="21"/>
      <c r="G846" s="14"/>
      <c r="H846" s="14"/>
      <c r="I846" s="14"/>
      <c r="J846" s="14"/>
      <c r="K846" s="14"/>
      <c r="L846" s="14"/>
      <c r="M846" s="14"/>
      <c r="N846" s="14"/>
      <c r="O846" s="14"/>
      <c r="P846" s="14"/>
      <c r="Q846" s="14"/>
      <c r="R846" s="14"/>
      <c r="S846" s="14"/>
      <c r="T846" s="14"/>
      <c r="U846" s="14"/>
      <c r="V846" s="14"/>
      <c r="W846" s="14"/>
      <c r="X846" s="14"/>
      <c r="Y846" s="14"/>
    </row>
    <row r="847" spans="1:25" ht="15.75" x14ac:dyDescent="0.25">
      <c r="A847" s="21"/>
      <c r="B847" s="21"/>
      <c r="C847" s="21"/>
      <c r="E847" s="21"/>
      <c r="F847" s="21"/>
      <c r="G847" s="14"/>
      <c r="H847" s="14"/>
      <c r="I847" s="14"/>
      <c r="J847" s="14"/>
      <c r="K847" s="14"/>
      <c r="L847" s="14"/>
      <c r="M847" s="14"/>
      <c r="N847" s="14"/>
      <c r="O847" s="14"/>
      <c r="P847" s="14"/>
      <c r="Q847" s="14"/>
      <c r="R847" s="14"/>
      <c r="S847" s="14"/>
      <c r="T847" s="14"/>
      <c r="U847" s="14"/>
      <c r="V847" s="14"/>
      <c r="W847" s="14"/>
      <c r="X847" s="14"/>
      <c r="Y847" s="14"/>
    </row>
    <row r="848" spans="1:25" ht="15.75" x14ac:dyDescent="0.25">
      <c r="A848" s="21"/>
      <c r="B848" s="21"/>
      <c r="C848" s="21"/>
      <c r="E848" s="21"/>
      <c r="F848" s="21"/>
      <c r="G848" s="14"/>
      <c r="H848" s="14"/>
      <c r="I848" s="14"/>
      <c r="J848" s="14"/>
      <c r="K848" s="14"/>
      <c r="L848" s="14"/>
      <c r="M848" s="14"/>
      <c r="N848" s="14"/>
      <c r="O848" s="14"/>
      <c r="P848" s="14"/>
      <c r="Q848" s="14"/>
      <c r="R848" s="14"/>
      <c r="S848" s="14"/>
      <c r="T848" s="14"/>
      <c r="U848" s="14"/>
      <c r="V848" s="14"/>
      <c r="W848" s="14"/>
      <c r="X848" s="14"/>
      <c r="Y848" s="14"/>
    </row>
    <row r="849" spans="1:25" ht="15.75" x14ac:dyDescent="0.25">
      <c r="A849" s="21"/>
      <c r="B849" s="21"/>
      <c r="C849" s="21"/>
      <c r="E849" s="21"/>
      <c r="F849" s="21"/>
      <c r="G849" s="14"/>
      <c r="H849" s="14"/>
      <c r="I849" s="14"/>
      <c r="J849" s="14"/>
      <c r="K849" s="14"/>
      <c r="L849" s="14"/>
      <c r="M849" s="14"/>
      <c r="N849" s="14"/>
      <c r="O849" s="14"/>
      <c r="P849" s="14"/>
      <c r="Q849" s="14"/>
      <c r="R849" s="14"/>
      <c r="S849" s="14"/>
      <c r="T849" s="14"/>
      <c r="U849" s="14"/>
      <c r="V849" s="14"/>
      <c r="W849" s="14"/>
      <c r="X849" s="14"/>
      <c r="Y849" s="14"/>
    </row>
    <row r="850" spans="1:25" ht="15.75" x14ac:dyDescent="0.25">
      <c r="A850" s="21"/>
      <c r="B850" s="21"/>
      <c r="C850" s="21"/>
      <c r="E850" s="21"/>
      <c r="F850" s="21"/>
      <c r="G850" s="14"/>
      <c r="H850" s="14"/>
      <c r="I850" s="14"/>
      <c r="J850" s="14"/>
      <c r="K850" s="14"/>
      <c r="L850" s="14"/>
      <c r="M850" s="14"/>
      <c r="N850" s="14"/>
      <c r="O850" s="14"/>
      <c r="P850" s="14"/>
      <c r="Q850" s="14"/>
      <c r="R850" s="14"/>
      <c r="S850" s="14"/>
      <c r="T850" s="14"/>
      <c r="U850" s="14"/>
      <c r="V850" s="14"/>
      <c r="W850" s="14"/>
      <c r="X850" s="14"/>
      <c r="Y850" s="14"/>
    </row>
    <row r="851" spans="1:25" ht="15.75" x14ac:dyDescent="0.25">
      <c r="A851" s="21"/>
      <c r="B851" s="21"/>
      <c r="C851" s="21"/>
      <c r="E851" s="21"/>
      <c r="F851" s="21"/>
      <c r="G851" s="14"/>
      <c r="H851" s="14"/>
      <c r="I851" s="14"/>
      <c r="J851" s="14"/>
      <c r="K851" s="14"/>
      <c r="L851" s="14"/>
      <c r="M851" s="14"/>
      <c r="N851" s="14"/>
      <c r="O851" s="14"/>
      <c r="P851" s="14"/>
      <c r="Q851" s="14"/>
      <c r="R851" s="14"/>
      <c r="S851" s="14"/>
      <c r="T851" s="14"/>
      <c r="U851" s="14"/>
      <c r="V851" s="14"/>
      <c r="W851" s="14"/>
      <c r="X851" s="14"/>
      <c r="Y851" s="14"/>
    </row>
    <row r="852" spans="1:25" ht="15.75" x14ac:dyDescent="0.25">
      <c r="A852" s="21"/>
      <c r="B852" s="21"/>
      <c r="C852" s="21"/>
      <c r="E852" s="21"/>
      <c r="F852" s="21"/>
      <c r="G852" s="14"/>
      <c r="H852" s="14"/>
      <c r="I852" s="14"/>
      <c r="J852" s="14"/>
      <c r="K852" s="14"/>
      <c r="L852" s="14"/>
      <c r="M852" s="14"/>
      <c r="N852" s="14"/>
      <c r="O852" s="14"/>
      <c r="P852" s="14"/>
      <c r="Q852" s="14"/>
      <c r="R852" s="14"/>
      <c r="S852" s="14"/>
      <c r="T852" s="14"/>
      <c r="U852" s="14"/>
      <c r="V852" s="14"/>
      <c r="W852" s="14"/>
      <c r="X852" s="14"/>
      <c r="Y852" s="14"/>
    </row>
    <row r="853" spans="1:25" ht="15.75" x14ac:dyDescent="0.25">
      <c r="A853" s="21"/>
      <c r="B853" s="21"/>
      <c r="C853" s="21"/>
      <c r="E853" s="21"/>
      <c r="F853" s="21"/>
      <c r="G853" s="14"/>
      <c r="H853" s="14"/>
      <c r="I853" s="14"/>
      <c r="J853" s="14"/>
      <c r="K853" s="14"/>
      <c r="L853" s="14"/>
      <c r="M853" s="14"/>
      <c r="N853" s="14"/>
      <c r="O853" s="14"/>
      <c r="P853" s="14"/>
      <c r="Q853" s="14"/>
      <c r="R853" s="14"/>
      <c r="S853" s="14"/>
      <c r="T853" s="14"/>
      <c r="U853" s="14"/>
      <c r="V853" s="14"/>
      <c r="W853" s="14"/>
      <c r="X853" s="14"/>
      <c r="Y853" s="14"/>
    </row>
    <row r="854" spans="1:25" ht="15.75" x14ac:dyDescent="0.25">
      <c r="A854" s="21"/>
      <c r="B854" s="21"/>
      <c r="C854" s="21"/>
      <c r="E854" s="21"/>
      <c r="F854" s="21"/>
      <c r="G854" s="14"/>
      <c r="H854" s="14"/>
      <c r="I854" s="14"/>
      <c r="J854" s="14"/>
      <c r="K854" s="14"/>
      <c r="L854" s="14"/>
      <c r="M854" s="14"/>
      <c r="N854" s="14"/>
      <c r="O854" s="14"/>
      <c r="P854" s="14"/>
      <c r="Q854" s="14"/>
      <c r="R854" s="14"/>
      <c r="S854" s="14"/>
      <c r="T854" s="14"/>
      <c r="U854" s="14"/>
      <c r="V854" s="14"/>
      <c r="W854" s="14"/>
      <c r="X854" s="14"/>
      <c r="Y854" s="14"/>
    </row>
    <row r="855" spans="1:25" ht="15.75" x14ac:dyDescent="0.25">
      <c r="A855" s="21"/>
      <c r="B855" s="21"/>
      <c r="C855" s="21"/>
      <c r="E855" s="21"/>
      <c r="F855" s="21"/>
      <c r="G855" s="14"/>
      <c r="H855" s="14"/>
      <c r="I855" s="14"/>
      <c r="J855" s="14"/>
      <c r="K855" s="14"/>
      <c r="L855" s="14"/>
      <c r="M855" s="14"/>
      <c r="N855" s="14"/>
      <c r="O855" s="14"/>
      <c r="P855" s="14"/>
      <c r="Q855" s="14"/>
      <c r="R855" s="14"/>
      <c r="S855" s="14"/>
      <c r="T855" s="14"/>
      <c r="U855" s="14"/>
      <c r="V855" s="14"/>
      <c r="W855" s="14"/>
      <c r="X855" s="14"/>
      <c r="Y855" s="14"/>
    </row>
    <row r="856" spans="1:25" ht="15.75" x14ac:dyDescent="0.25">
      <c r="A856" s="21"/>
      <c r="B856" s="21"/>
      <c r="C856" s="21"/>
      <c r="E856" s="21"/>
      <c r="F856" s="21"/>
      <c r="G856" s="14"/>
      <c r="H856" s="14"/>
      <c r="I856" s="14"/>
      <c r="J856" s="14"/>
      <c r="K856" s="14"/>
      <c r="L856" s="14"/>
      <c r="M856" s="14"/>
      <c r="N856" s="14"/>
      <c r="O856" s="14"/>
      <c r="P856" s="14"/>
      <c r="Q856" s="14"/>
      <c r="R856" s="14"/>
      <c r="S856" s="14"/>
      <c r="T856" s="14"/>
      <c r="U856" s="14"/>
      <c r="V856" s="14"/>
      <c r="W856" s="14"/>
      <c r="X856" s="14"/>
      <c r="Y856" s="14"/>
    </row>
    <row r="857" spans="1:25" ht="15.75" x14ac:dyDescent="0.25">
      <c r="A857" s="21"/>
      <c r="B857" s="21"/>
      <c r="C857" s="21"/>
      <c r="E857" s="21"/>
      <c r="F857" s="21"/>
      <c r="G857" s="14"/>
      <c r="H857" s="14"/>
      <c r="I857" s="14"/>
      <c r="J857" s="14"/>
      <c r="K857" s="14"/>
      <c r="L857" s="14"/>
      <c r="M857" s="14"/>
      <c r="N857" s="14"/>
      <c r="O857" s="14"/>
      <c r="P857" s="14"/>
      <c r="Q857" s="14"/>
      <c r="R857" s="14"/>
      <c r="S857" s="14"/>
      <c r="T857" s="14"/>
      <c r="U857" s="14"/>
      <c r="V857" s="14"/>
      <c r="W857" s="14"/>
      <c r="X857" s="14"/>
      <c r="Y857" s="14"/>
    </row>
    <row r="858" spans="1:25" ht="15.75" x14ac:dyDescent="0.25">
      <c r="A858" s="21"/>
      <c r="B858" s="21"/>
      <c r="C858" s="21"/>
      <c r="E858" s="21"/>
      <c r="F858" s="21"/>
      <c r="G858" s="14"/>
      <c r="H858" s="14"/>
      <c r="I858" s="14"/>
      <c r="J858" s="14"/>
      <c r="K858" s="14"/>
      <c r="L858" s="14"/>
      <c r="M858" s="14"/>
      <c r="N858" s="14"/>
      <c r="O858" s="14"/>
      <c r="P858" s="14"/>
      <c r="Q858" s="14"/>
      <c r="R858" s="14"/>
      <c r="S858" s="14"/>
      <c r="T858" s="14"/>
      <c r="U858" s="14"/>
      <c r="V858" s="14"/>
      <c r="W858" s="14"/>
      <c r="X858" s="14"/>
      <c r="Y858" s="14"/>
    </row>
    <row r="859" spans="1:25" ht="15.75" x14ac:dyDescent="0.25">
      <c r="A859" s="21"/>
      <c r="B859" s="21"/>
      <c r="C859" s="21"/>
      <c r="E859" s="21"/>
      <c r="F859" s="21"/>
      <c r="G859" s="14"/>
      <c r="H859" s="14"/>
      <c r="I859" s="14"/>
      <c r="J859" s="14"/>
      <c r="K859" s="14"/>
      <c r="L859" s="14"/>
      <c r="M859" s="14"/>
      <c r="N859" s="14"/>
      <c r="O859" s="14"/>
      <c r="P859" s="14"/>
      <c r="Q859" s="14"/>
      <c r="R859" s="14"/>
      <c r="S859" s="14"/>
      <c r="T859" s="14"/>
      <c r="U859" s="14"/>
      <c r="V859" s="14"/>
      <c r="W859" s="14"/>
      <c r="X859" s="14"/>
      <c r="Y859" s="14"/>
    </row>
    <row r="860" spans="1:25" ht="15.75" x14ac:dyDescent="0.25">
      <c r="A860" s="21"/>
      <c r="B860" s="21"/>
      <c r="C860" s="21"/>
      <c r="E860" s="21"/>
      <c r="F860" s="21"/>
      <c r="G860" s="14"/>
      <c r="H860" s="14"/>
      <c r="I860" s="14"/>
      <c r="J860" s="14"/>
      <c r="K860" s="14"/>
      <c r="L860" s="14"/>
      <c r="M860" s="14"/>
      <c r="N860" s="14"/>
      <c r="O860" s="14"/>
      <c r="P860" s="14"/>
      <c r="Q860" s="14"/>
      <c r="R860" s="14"/>
      <c r="S860" s="14"/>
      <c r="T860" s="14"/>
      <c r="U860" s="14"/>
      <c r="V860" s="14"/>
      <c r="W860" s="14"/>
      <c r="X860" s="14"/>
      <c r="Y860" s="14"/>
    </row>
    <row r="861" spans="1:25" ht="15.75" x14ac:dyDescent="0.25">
      <c r="A861" s="21"/>
      <c r="B861" s="21"/>
      <c r="C861" s="21"/>
      <c r="E861" s="21"/>
      <c r="F861" s="21"/>
      <c r="G861" s="14"/>
      <c r="H861" s="14"/>
      <c r="I861" s="14"/>
      <c r="J861" s="14"/>
      <c r="K861" s="14"/>
      <c r="L861" s="14"/>
      <c r="M861" s="14"/>
      <c r="N861" s="14"/>
      <c r="O861" s="14"/>
      <c r="P861" s="14"/>
      <c r="Q861" s="14"/>
      <c r="R861" s="14"/>
      <c r="S861" s="14"/>
      <c r="T861" s="14"/>
      <c r="U861" s="14"/>
      <c r="V861" s="14"/>
      <c r="W861" s="14"/>
      <c r="X861" s="14"/>
      <c r="Y861" s="14"/>
    </row>
    <row r="862" spans="1:25" ht="15.75" x14ac:dyDescent="0.25">
      <c r="A862" s="21"/>
      <c r="B862" s="21"/>
      <c r="C862" s="21"/>
      <c r="E862" s="21"/>
      <c r="F862" s="21"/>
      <c r="G862" s="14"/>
      <c r="H862" s="14"/>
      <c r="I862" s="14"/>
      <c r="J862" s="14"/>
      <c r="K862" s="14"/>
      <c r="L862" s="14"/>
      <c r="M862" s="14"/>
      <c r="N862" s="14"/>
      <c r="O862" s="14"/>
      <c r="P862" s="14"/>
      <c r="Q862" s="14"/>
      <c r="R862" s="14"/>
      <c r="S862" s="14"/>
      <c r="T862" s="14"/>
      <c r="U862" s="14"/>
      <c r="V862" s="14"/>
      <c r="W862" s="14"/>
      <c r="X862" s="14"/>
      <c r="Y862" s="14"/>
    </row>
    <row r="863" spans="1:25" ht="15.75" x14ac:dyDescent="0.25">
      <c r="A863" s="21"/>
      <c r="B863" s="21"/>
      <c r="C863" s="21"/>
      <c r="E863" s="21"/>
      <c r="F863" s="21"/>
      <c r="G863" s="14"/>
      <c r="H863" s="14"/>
      <c r="I863" s="14"/>
      <c r="J863" s="14"/>
      <c r="K863" s="14"/>
      <c r="L863" s="14"/>
      <c r="M863" s="14"/>
      <c r="N863" s="14"/>
      <c r="O863" s="14"/>
      <c r="P863" s="14"/>
      <c r="Q863" s="14"/>
      <c r="R863" s="14"/>
      <c r="S863" s="14"/>
      <c r="T863" s="14"/>
      <c r="U863" s="14"/>
      <c r="V863" s="14"/>
      <c r="W863" s="14"/>
      <c r="X863" s="14"/>
      <c r="Y863" s="14"/>
    </row>
    <row r="864" spans="1:25" ht="15.75" x14ac:dyDescent="0.25">
      <c r="A864" s="21"/>
      <c r="B864" s="21"/>
      <c r="C864" s="21"/>
      <c r="E864" s="21"/>
      <c r="F864" s="21"/>
      <c r="G864" s="14"/>
      <c r="H864" s="14"/>
      <c r="I864" s="14"/>
      <c r="J864" s="14"/>
      <c r="K864" s="14"/>
      <c r="L864" s="14"/>
      <c r="M864" s="14"/>
      <c r="N864" s="14"/>
      <c r="O864" s="14"/>
      <c r="P864" s="14"/>
      <c r="Q864" s="14"/>
      <c r="R864" s="14"/>
      <c r="S864" s="14"/>
      <c r="T864" s="14"/>
      <c r="U864" s="14"/>
      <c r="V864" s="14"/>
      <c r="W864" s="14"/>
      <c r="X864" s="14"/>
      <c r="Y864" s="14"/>
    </row>
    <row r="865" spans="1:25" ht="15.75" x14ac:dyDescent="0.25">
      <c r="A865" s="21"/>
      <c r="B865" s="21"/>
      <c r="C865" s="21"/>
      <c r="E865" s="21"/>
      <c r="F865" s="21"/>
      <c r="G865" s="14"/>
      <c r="H865" s="14"/>
      <c r="I865" s="14"/>
      <c r="J865" s="14"/>
      <c r="K865" s="14"/>
      <c r="L865" s="14"/>
      <c r="M865" s="14"/>
      <c r="N865" s="14"/>
      <c r="O865" s="14"/>
      <c r="P865" s="14"/>
      <c r="Q865" s="14"/>
      <c r="R865" s="14"/>
      <c r="S865" s="14"/>
      <c r="T865" s="14"/>
      <c r="U865" s="14"/>
      <c r="V865" s="14"/>
      <c r="W865" s="14"/>
      <c r="X865" s="14"/>
      <c r="Y865" s="14"/>
    </row>
    <row r="866" spans="1:25" ht="15.75" x14ac:dyDescent="0.25">
      <c r="A866" s="21"/>
      <c r="B866" s="21"/>
      <c r="C866" s="21"/>
      <c r="E866" s="21"/>
      <c r="F866" s="21"/>
      <c r="G866" s="14"/>
      <c r="H866" s="14"/>
      <c r="I866" s="14"/>
      <c r="J866" s="14"/>
      <c r="K866" s="14"/>
      <c r="L866" s="14"/>
      <c r="M866" s="14"/>
      <c r="N866" s="14"/>
      <c r="O866" s="14"/>
      <c r="P866" s="14"/>
      <c r="Q866" s="14"/>
      <c r="R866" s="14"/>
      <c r="S866" s="14"/>
      <c r="T866" s="14"/>
      <c r="U866" s="14"/>
      <c r="V866" s="14"/>
      <c r="W866" s="14"/>
      <c r="X866" s="14"/>
      <c r="Y866" s="14"/>
    </row>
    <row r="867" spans="1:25" ht="15.75" x14ac:dyDescent="0.25">
      <c r="A867" s="21"/>
      <c r="B867" s="21"/>
      <c r="C867" s="21"/>
      <c r="E867" s="21"/>
      <c r="F867" s="21"/>
      <c r="G867" s="14"/>
      <c r="H867" s="14"/>
      <c r="I867" s="14"/>
      <c r="J867" s="14"/>
      <c r="K867" s="14"/>
      <c r="L867" s="14"/>
      <c r="M867" s="14"/>
      <c r="N867" s="14"/>
      <c r="O867" s="14"/>
      <c r="P867" s="14"/>
      <c r="Q867" s="14"/>
      <c r="R867" s="14"/>
      <c r="S867" s="14"/>
      <c r="T867" s="14"/>
      <c r="U867" s="14"/>
      <c r="V867" s="14"/>
      <c r="W867" s="14"/>
      <c r="X867" s="14"/>
      <c r="Y867" s="14"/>
    </row>
    <row r="868" spans="1:25" ht="15.75" x14ac:dyDescent="0.25">
      <c r="A868" s="21"/>
      <c r="B868" s="21"/>
      <c r="C868" s="21"/>
      <c r="E868" s="21"/>
      <c r="F868" s="21"/>
      <c r="G868" s="14"/>
      <c r="H868" s="14"/>
      <c r="I868" s="14"/>
      <c r="J868" s="14"/>
      <c r="K868" s="14"/>
      <c r="L868" s="14"/>
      <c r="M868" s="14"/>
      <c r="N868" s="14"/>
      <c r="O868" s="14"/>
      <c r="P868" s="14"/>
      <c r="Q868" s="14"/>
      <c r="R868" s="14"/>
      <c r="S868" s="14"/>
      <c r="T868" s="14"/>
      <c r="U868" s="14"/>
      <c r="V868" s="14"/>
      <c r="W868" s="14"/>
      <c r="X868" s="14"/>
      <c r="Y868" s="14"/>
    </row>
    <row r="869" spans="1:25" ht="15.75" x14ac:dyDescent="0.25">
      <c r="A869" s="21"/>
      <c r="B869" s="21"/>
      <c r="C869" s="21"/>
      <c r="E869" s="21"/>
      <c r="F869" s="21"/>
      <c r="G869" s="14"/>
      <c r="H869" s="14"/>
      <c r="I869" s="14"/>
      <c r="J869" s="14"/>
      <c r="K869" s="14"/>
      <c r="L869" s="14"/>
      <c r="M869" s="14"/>
      <c r="N869" s="14"/>
      <c r="O869" s="14"/>
      <c r="P869" s="14"/>
      <c r="Q869" s="14"/>
      <c r="R869" s="14"/>
      <c r="S869" s="14"/>
      <c r="T869" s="14"/>
      <c r="U869" s="14"/>
      <c r="V869" s="14"/>
      <c r="W869" s="14"/>
      <c r="X869" s="14"/>
      <c r="Y869" s="14"/>
    </row>
    <row r="870" spans="1:25" ht="15.75" x14ac:dyDescent="0.25">
      <c r="A870" s="21"/>
      <c r="B870" s="21"/>
      <c r="C870" s="21"/>
      <c r="E870" s="21"/>
      <c r="F870" s="21"/>
      <c r="G870" s="14"/>
      <c r="H870" s="14"/>
      <c r="I870" s="14"/>
      <c r="J870" s="14"/>
      <c r="K870" s="14"/>
      <c r="L870" s="14"/>
      <c r="M870" s="14"/>
      <c r="N870" s="14"/>
      <c r="O870" s="14"/>
      <c r="P870" s="14"/>
      <c r="Q870" s="14"/>
      <c r="R870" s="14"/>
      <c r="S870" s="14"/>
      <c r="T870" s="14"/>
      <c r="U870" s="14"/>
      <c r="V870" s="14"/>
      <c r="W870" s="14"/>
      <c r="X870" s="14"/>
      <c r="Y870" s="14"/>
    </row>
    <row r="871" spans="1:25" ht="15.75" x14ac:dyDescent="0.25">
      <c r="A871" s="21"/>
      <c r="B871" s="21"/>
      <c r="C871" s="21"/>
      <c r="E871" s="21"/>
      <c r="F871" s="21"/>
      <c r="G871" s="14"/>
      <c r="H871" s="14"/>
      <c r="I871" s="14"/>
      <c r="J871" s="14"/>
      <c r="K871" s="14"/>
      <c r="L871" s="14"/>
      <c r="M871" s="14"/>
      <c r="N871" s="14"/>
      <c r="O871" s="14"/>
      <c r="P871" s="14"/>
      <c r="Q871" s="14"/>
      <c r="R871" s="14"/>
      <c r="S871" s="14"/>
      <c r="T871" s="14"/>
      <c r="U871" s="14"/>
      <c r="V871" s="14"/>
      <c r="W871" s="14"/>
      <c r="X871" s="14"/>
      <c r="Y871" s="14"/>
    </row>
    <row r="872" spans="1:25" ht="15.75" x14ac:dyDescent="0.25">
      <c r="A872" s="21"/>
      <c r="B872" s="21"/>
      <c r="C872" s="21"/>
      <c r="E872" s="21"/>
      <c r="F872" s="21"/>
      <c r="G872" s="14"/>
      <c r="H872" s="14"/>
      <c r="I872" s="14"/>
      <c r="J872" s="14"/>
      <c r="K872" s="14"/>
      <c r="L872" s="14"/>
      <c r="M872" s="14"/>
      <c r="N872" s="14"/>
      <c r="O872" s="14"/>
      <c r="P872" s="14"/>
      <c r="Q872" s="14"/>
      <c r="R872" s="14"/>
      <c r="S872" s="14"/>
      <c r="T872" s="14"/>
      <c r="U872" s="14"/>
      <c r="V872" s="14"/>
      <c r="W872" s="14"/>
      <c r="X872" s="14"/>
      <c r="Y872" s="14"/>
    </row>
    <row r="873" spans="1:25" ht="15.75" x14ac:dyDescent="0.25">
      <c r="A873" s="21"/>
      <c r="B873" s="21"/>
      <c r="C873" s="21"/>
      <c r="E873" s="21"/>
      <c r="F873" s="21"/>
      <c r="G873" s="14"/>
      <c r="H873" s="14"/>
      <c r="I873" s="14"/>
      <c r="J873" s="14"/>
      <c r="K873" s="14"/>
      <c r="L873" s="14"/>
      <c r="M873" s="14"/>
      <c r="N873" s="14"/>
      <c r="O873" s="14"/>
      <c r="P873" s="14"/>
      <c r="Q873" s="14"/>
      <c r="R873" s="14"/>
      <c r="S873" s="14"/>
      <c r="T873" s="14"/>
      <c r="U873" s="14"/>
      <c r="V873" s="14"/>
      <c r="W873" s="14"/>
      <c r="X873" s="14"/>
      <c r="Y873" s="14"/>
    </row>
    <row r="874" spans="1:25" ht="15.75" x14ac:dyDescent="0.25">
      <c r="A874" s="21"/>
      <c r="B874" s="21"/>
      <c r="C874" s="21"/>
      <c r="E874" s="21"/>
      <c r="F874" s="21"/>
      <c r="G874" s="14"/>
      <c r="H874" s="14"/>
      <c r="I874" s="14"/>
      <c r="J874" s="14"/>
      <c r="K874" s="14"/>
      <c r="L874" s="14"/>
      <c r="M874" s="14"/>
      <c r="N874" s="14"/>
      <c r="O874" s="14"/>
      <c r="P874" s="14"/>
      <c r="Q874" s="14"/>
      <c r="R874" s="14"/>
      <c r="S874" s="14"/>
      <c r="T874" s="14"/>
      <c r="U874" s="14"/>
      <c r="V874" s="14"/>
      <c r="W874" s="14"/>
      <c r="X874" s="14"/>
      <c r="Y874" s="14"/>
    </row>
    <row r="875" spans="1:25" ht="15.75" x14ac:dyDescent="0.25">
      <c r="A875" s="21"/>
      <c r="B875" s="21"/>
      <c r="C875" s="21"/>
      <c r="E875" s="21"/>
      <c r="F875" s="21"/>
      <c r="G875" s="14"/>
      <c r="H875" s="14"/>
      <c r="I875" s="14"/>
      <c r="J875" s="14"/>
      <c r="K875" s="14"/>
      <c r="L875" s="14"/>
      <c r="M875" s="14"/>
      <c r="N875" s="14"/>
      <c r="O875" s="14"/>
      <c r="P875" s="14"/>
      <c r="Q875" s="14"/>
      <c r="R875" s="14"/>
      <c r="S875" s="14"/>
      <c r="T875" s="14"/>
      <c r="U875" s="14"/>
      <c r="V875" s="14"/>
      <c r="W875" s="14"/>
      <c r="X875" s="14"/>
      <c r="Y875" s="14"/>
    </row>
    <row r="876" spans="1:25" ht="15.75" x14ac:dyDescent="0.25">
      <c r="A876" s="21"/>
      <c r="B876" s="21"/>
      <c r="C876" s="21"/>
      <c r="E876" s="21"/>
      <c r="F876" s="21"/>
      <c r="G876" s="14"/>
      <c r="H876" s="14"/>
      <c r="I876" s="14"/>
      <c r="J876" s="14"/>
      <c r="K876" s="14"/>
      <c r="L876" s="14"/>
      <c r="M876" s="14"/>
      <c r="N876" s="14"/>
      <c r="O876" s="14"/>
      <c r="P876" s="14"/>
      <c r="Q876" s="14"/>
      <c r="R876" s="14"/>
      <c r="S876" s="14"/>
      <c r="T876" s="14"/>
      <c r="U876" s="14"/>
      <c r="V876" s="14"/>
      <c r="W876" s="14"/>
      <c r="X876" s="14"/>
      <c r="Y876" s="14"/>
    </row>
    <row r="877" spans="1:25" ht="15.75" x14ac:dyDescent="0.25">
      <c r="A877" s="21"/>
      <c r="B877" s="21"/>
      <c r="C877" s="21"/>
      <c r="E877" s="21"/>
      <c r="F877" s="21"/>
      <c r="G877" s="14"/>
      <c r="H877" s="14"/>
      <c r="I877" s="14"/>
      <c r="J877" s="14"/>
      <c r="K877" s="14"/>
      <c r="L877" s="14"/>
      <c r="M877" s="14"/>
      <c r="N877" s="14"/>
      <c r="O877" s="14"/>
      <c r="P877" s="14"/>
      <c r="Q877" s="14"/>
      <c r="R877" s="14"/>
      <c r="S877" s="14"/>
      <c r="T877" s="14"/>
      <c r="U877" s="14"/>
      <c r="V877" s="14"/>
      <c r="W877" s="14"/>
      <c r="X877" s="14"/>
      <c r="Y877" s="14"/>
    </row>
    <row r="878" spans="1:25" ht="15.75" x14ac:dyDescent="0.25">
      <c r="A878" s="21"/>
      <c r="B878" s="21"/>
      <c r="C878" s="21"/>
      <c r="E878" s="21"/>
      <c r="F878" s="21"/>
      <c r="G878" s="14"/>
      <c r="H878" s="14"/>
      <c r="I878" s="14"/>
      <c r="J878" s="14"/>
      <c r="K878" s="14"/>
      <c r="L878" s="14"/>
      <c r="M878" s="14"/>
      <c r="N878" s="14"/>
      <c r="O878" s="14"/>
      <c r="P878" s="14"/>
      <c r="Q878" s="14"/>
      <c r="R878" s="14"/>
      <c r="S878" s="14"/>
      <c r="T878" s="14"/>
      <c r="U878" s="14"/>
      <c r="V878" s="14"/>
      <c r="W878" s="14"/>
      <c r="X878" s="14"/>
      <c r="Y878" s="14"/>
    </row>
    <row r="879" spans="1:25" ht="15.75" x14ac:dyDescent="0.25">
      <c r="A879" s="21"/>
      <c r="B879" s="21"/>
      <c r="C879" s="21"/>
      <c r="E879" s="21"/>
      <c r="F879" s="21"/>
      <c r="G879" s="14"/>
      <c r="H879" s="14"/>
      <c r="I879" s="14"/>
      <c r="J879" s="14"/>
      <c r="K879" s="14"/>
      <c r="L879" s="14"/>
      <c r="M879" s="14"/>
      <c r="N879" s="14"/>
      <c r="O879" s="14"/>
      <c r="P879" s="14"/>
      <c r="Q879" s="14"/>
      <c r="R879" s="14"/>
      <c r="S879" s="14"/>
      <c r="T879" s="14"/>
      <c r="U879" s="14"/>
      <c r="V879" s="14"/>
      <c r="W879" s="14"/>
      <c r="X879" s="14"/>
      <c r="Y879" s="14"/>
    </row>
    <row r="880" spans="1:25" ht="15.75" x14ac:dyDescent="0.25">
      <c r="A880" s="21"/>
      <c r="B880" s="21"/>
      <c r="C880" s="21"/>
      <c r="E880" s="21"/>
      <c r="F880" s="21"/>
      <c r="G880" s="14"/>
      <c r="H880" s="14"/>
      <c r="I880" s="14"/>
      <c r="J880" s="14"/>
      <c r="K880" s="14"/>
      <c r="L880" s="14"/>
      <c r="M880" s="14"/>
      <c r="N880" s="14"/>
      <c r="O880" s="14"/>
      <c r="P880" s="14"/>
      <c r="Q880" s="14"/>
      <c r="R880" s="14"/>
      <c r="S880" s="14"/>
      <c r="T880" s="14"/>
      <c r="U880" s="14"/>
      <c r="V880" s="14"/>
      <c r="W880" s="14"/>
      <c r="X880" s="14"/>
      <c r="Y880" s="14"/>
    </row>
    <row r="881" spans="1:25" ht="15.75" x14ac:dyDescent="0.25">
      <c r="A881" s="21"/>
      <c r="B881" s="21"/>
      <c r="C881" s="21"/>
      <c r="E881" s="21"/>
      <c r="F881" s="21"/>
      <c r="G881" s="14"/>
      <c r="H881" s="14"/>
      <c r="I881" s="14"/>
      <c r="J881" s="14"/>
      <c r="K881" s="14"/>
      <c r="L881" s="14"/>
      <c r="M881" s="14"/>
      <c r="N881" s="14"/>
      <c r="O881" s="14"/>
      <c r="P881" s="14"/>
      <c r="Q881" s="14"/>
      <c r="R881" s="14"/>
      <c r="S881" s="14"/>
      <c r="T881" s="14"/>
      <c r="U881" s="14"/>
      <c r="V881" s="14"/>
      <c r="W881" s="14"/>
      <c r="X881" s="14"/>
      <c r="Y881" s="14"/>
    </row>
    <row r="882" spans="1:25" ht="15.75" x14ac:dyDescent="0.25">
      <c r="A882" s="21"/>
      <c r="B882" s="21"/>
      <c r="C882" s="21"/>
      <c r="E882" s="21"/>
      <c r="F882" s="21"/>
      <c r="G882" s="14"/>
      <c r="H882" s="14"/>
      <c r="I882" s="14"/>
      <c r="J882" s="14"/>
      <c r="K882" s="14"/>
      <c r="L882" s="14"/>
      <c r="M882" s="14"/>
      <c r="N882" s="14"/>
      <c r="O882" s="14"/>
      <c r="P882" s="14"/>
      <c r="Q882" s="14"/>
      <c r="R882" s="14"/>
      <c r="S882" s="14"/>
      <c r="T882" s="14"/>
      <c r="U882" s="14"/>
      <c r="V882" s="14"/>
      <c r="W882" s="14"/>
      <c r="X882" s="14"/>
      <c r="Y882" s="14"/>
    </row>
    <row r="883" spans="1:25" ht="15.75" x14ac:dyDescent="0.25">
      <c r="A883" s="21"/>
      <c r="B883" s="21"/>
      <c r="C883" s="21"/>
      <c r="E883" s="21"/>
      <c r="F883" s="21"/>
      <c r="G883" s="14"/>
      <c r="H883" s="14"/>
      <c r="I883" s="14"/>
      <c r="J883" s="14"/>
      <c r="K883" s="14"/>
      <c r="L883" s="14"/>
      <c r="M883" s="14"/>
      <c r="N883" s="14"/>
      <c r="O883" s="14"/>
      <c r="P883" s="14"/>
      <c r="Q883" s="14"/>
      <c r="R883" s="14"/>
      <c r="S883" s="14"/>
      <c r="T883" s="14"/>
      <c r="U883" s="14"/>
      <c r="V883" s="14"/>
      <c r="W883" s="14"/>
      <c r="X883" s="14"/>
      <c r="Y883" s="14"/>
    </row>
    <row r="884" spans="1:25" ht="15.75" x14ac:dyDescent="0.25">
      <c r="A884" s="21"/>
      <c r="B884" s="21"/>
      <c r="C884" s="21"/>
      <c r="E884" s="21"/>
      <c r="F884" s="21"/>
      <c r="G884" s="14"/>
      <c r="H884" s="14"/>
      <c r="I884" s="14"/>
      <c r="J884" s="14"/>
      <c r="K884" s="14"/>
      <c r="L884" s="14"/>
      <c r="M884" s="14"/>
      <c r="N884" s="14"/>
      <c r="O884" s="14"/>
      <c r="P884" s="14"/>
      <c r="Q884" s="14"/>
      <c r="R884" s="14"/>
      <c r="S884" s="14"/>
      <c r="T884" s="14"/>
      <c r="U884" s="14"/>
      <c r="V884" s="14"/>
      <c r="W884" s="14"/>
      <c r="X884" s="14"/>
      <c r="Y884" s="14"/>
    </row>
    <row r="885" spans="1:25" ht="15.75" x14ac:dyDescent="0.25">
      <c r="A885" s="21"/>
      <c r="B885" s="21"/>
      <c r="C885" s="21"/>
      <c r="E885" s="21"/>
      <c r="F885" s="21"/>
      <c r="G885" s="14"/>
      <c r="H885" s="14"/>
      <c r="I885" s="14"/>
      <c r="J885" s="14"/>
      <c r="K885" s="14"/>
      <c r="L885" s="14"/>
      <c r="M885" s="14"/>
      <c r="N885" s="14"/>
      <c r="O885" s="14"/>
      <c r="P885" s="14"/>
      <c r="Q885" s="14"/>
      <c r="R885" s="14"/>
      <c r="S885" s="14"/>
      <c r="T885" s="14"/>
      <c r="U885" s="14"/>
      <c r="V885" s="14"/>
      <c r="W885" s="14"/>
      <c r="X885" s="14"/>
      <c r="Y885" s="14"/>
    </row>
    <row r="886" spans="1:25" ht="15.75" x14ac:dyDescent="0.25">
      <c r="A886" s="21"/>
      <c r="B886" s="21"/>
      <c r="C886" s="21"/>
      <c r="E886" s="21"/>
      <c r="F886" s="21"/>
      <c r="G886" s="14"/>
      <c r="H886" s="14"/>
      <c r="I886" s="14"/>
      <c r="J886" s="14"/>
      <c r="K886" s="14"/>
      <c r="L886" s="14"/>
      <c r="M886" s="14"/>
      <c r="N886" s="14"/>
      <c r="O886" s="14"/>
      <c r="P886" s="14"/>
      <c r="Q886" s="14"/>
      <c r="R886" s="14"/>
      <c r="S886" s="14"/>
      <c r="T886" s="14"/>
      <c r="U886" s="14"/>
      <c r="V886" s="14"/>
      <c r="W886" s="14"/>
      <c r="X886" s="14"/>
      <c r="Y886" s="14"/>
    </row>
    <row r="887" spans="1:25" ht="15.75" x14ac:dyDescent="0.25">
      <c r="A887" s="21"/>
      <c r="B887" s="21"/>
      <c r="C887" s="21"/>
      <c r="E887" s="21"/>
      <c r="F887" s="21"/>
      <c r="G887" s="14"/>
      <c r="H887" s="14"/>
      <c r="I887" s="14"/>
      <c r="J887" s="14"/>
      <c r="K887" s="14"/>
      <c r="L887" s="14"/>
      <c r="M887" s="14"/>
      <c r="N887" s="14"/>
      <c r="O887" s="14"/>
      <c r="P887" s="14"/>
      <c r="Q887" s="14"/>
      <c r="R887" s="14"/>
      <c r="S887" s="14"/>
      <c r="T887" s="14"/>
      <c r="U887" s="14"/>
      <c r="V887" s="14"/>
      <c r="W887" s="14"/>
      <c r="X887" s="14"/>
      <c r="Y887" s="14"/>
    </row>
    <row r="888" spans="1:25" ht="15.75" x14ac:dyDescent="0.25">
      <c r="A888" s="21"/>
      <c r="B888" s="21"/>
      <c r="C888" s="21"/>
      <c r="E888" s="21"/>
      <c r="F888" s="21"/>
      <c r="G888" s="14"/>
      <c r="H888" s="14"/>
      <c r="I888" s="14"/>
      <c r="J888" s="14"/>
      <c r="K888" s="14"/>
      <c r="L888" s="14"/>
      <c r="M888" s="14"/>
      <c r="N888" s="14"/>
      <c r="O888" s="14"/>
      <c r="P888" s="14"/>
      <c r="Q888" s="14"/>
      <c r="R888" s="14"/>
      <c r="S888" s="14"/>
      <c r="T888" s="14"/>
      <c r="U888" s="14"/>
      <c r="V888" s="14"/>
      <c r="W888" s="14"/>
      <c r="X888" s="14"/>
      <c r="Y888" s="14"/>
    </row>
    <row r="889" spans="1:25" ht="15.75" x14ac:dyDescent="0.25">
      <c r="A889" s="21"/>
      <c r="B889" s="21"/>
      <c r="C889" s="21"/>
      <c r="E889" s="21"/>
      <c r="F889" s="21"/>
      <c r="G889" s="14"/>
      <c r="H889" s="14"/>
      <c r="I889" s="14"/>
      <c r="J889" s="14"/>
      <c r="K889" s="14"/>
      <c r="L889" s="14"/>
      <c r="M889" s="14"/>
      <c r="N889" s="14"/>
      <c r="O889" s="14"/>
      <c r="P889" s="14"/>
      <c r="Q889" s="14"/>
      <c r="R889" s="14"/>
      <c r="S889" s="14"/>
      <c r="T889" s="14"/>
      <c r="U889" s="14"/>
      <c r="V889" s="14"/>
      <c r="W889" s="14"/>
      <c r="X889" s="14"/>
      <c r="Y889" s="14"/>
    </row>
    <row r="890" spans="1:25" ht="15.75" x14ac:dyDescent="0.25">
      <c r="A890" s="21"/>
      <c r="B890" s="21"/>
      <c r="C890" s="21"/>
      <c r="E890" s="21"/>
      <c r="F890" s="21"/>
      <c r="G890" s="14"/>
      <c r="H890" s="14"/>
      <c r="I890" s="14"/>
      <c r="J890" s="14"/>
      <c r="K890" s="14"/>
      <c r="L890" s="14"/>
      <c r="M890" s="14"/>
      <c r="N890" s="14"/>
      <c r="O890" s="14"/>
      <c r="P890" s="14"/>
      <c r="Q890" s="14"/>
      <c r="R890" s="14"/>
      <c r="S890" s="14"/>
      <c r="T890" s="14"/>
      <c r="U890" s="14"/>
      <c r="V890" s="14"/>
      <c r="W890" s="14"/>
      <c r="X890" s="14"/>
      <c r="Y890" s="14"/>
    </row>
    <row r="891" spans="1:25" ht="15.75" x14ac:dyDescent="0.25">
      <c r="A891" s="21"/>
      <c r="B891" s="21"/>
      <c r="C891" s="21"/>
      <c r="E891" s="21"/>
      <c r="F891" s="21"/>
      <c r="G891" s="14"/>
      <c r="H891" s="14"/>
      <c r="I891" s="14"/>
      <c r="J891" s="14"/>
      <c r="K891" s="14"/>
      <c r="L891" s="14"/>
      <c r="M891" s="14"/>
      <c r="N891" s="14"/>
      <c r="O891" s="14"/>
      <c r="P891" s="14"/>
      <c r="Q891" s="14"/>
      <c r="R891" s="14"/>
      <c r="S891" s="14"/>
      <c r="T891" s="14"/>
      <c r="U891" s="14"/>
      <c r="V891" s="14"/>
      <c r="W891" s="14"/>
      <c r="X891" s="14"/>
      <c r="Y891" s="14"/>
    </row>
    <row r="892" spans="1:25" ht="15.75" x14ac:dyDescent="0.25">
      <c r="A892" s="21"/>
      <c r="B892" s="21"/>
      <c r="C892" s="21"/>
      <c r="E892" s="21"/>
      <c r="F892" s="21"/>
      <c r="G892" s="14"/>
      <c r="H892" s="14"/>
      <c r="I892" s="14"/>
      <c r="J892" s="14"/>
      <c r="K892" s="14"/>
      <c r="L892" s="14"/>
      <c r="M892" s="14"/>
      <c r="N892" s="14"/>
      <c r="O892" s="14"/>
      <c r="P892" s="14"/>
      <c r="Q892" s="14"/>
      <c r="R892" s="14"/>
      <c r="S892" s="14"/>
      <c r="T892" s="14"/>
      <c r="U892" s="14"/>
      <c r="V892" s="14"/>
      <c r="W892" s="14"/>
      <c r="X892" s="14"/>
      <c r="Y892" s="14"/>
    </row>
    <row r="893" spans="1:25" ht="15.75" x14ac:dyDescent="0.25">
      <c r="A893" s="21"/>
      <c r="B893" s="21"/>
      <c r="C893" s="21"/>
      <c r="E893" s="21"/>
      <c r="F893" s="21"/>
      <c r="G893" s="14"/>
      <c r="H893" s="14"/>
      <c r="I893" s="14"/>
      <c r="J893" s="14"/>
      <c r="K893" s="14"/>
      <c r="L893" s="14"/>
      <c r="M893" s="14"/>
      <c r="N893" s="14"/>
      <c r="O893" s="14"/>
      <c r="P893" s="14"/>
      <c r="Q893" s="14"/>
      <c r="R893" s="14"/>
      <c r="S893" s="14"/>
      <c r="T893" s="14"/>
      <c r="U893" s="14"/>
      <c r="V893" s="14"/>
      <c r="W893" s="14"/>
      <c r="X893" s="14"/>
      <c r="Y893" s="14"/>
    </row>
    <row r="894" spans="1:25" ht="15.75" x14ac:dyDescent="0.25">
      <c r="A894" s="21"/>
      <c r="B894" s="21"/>
      <c r="C894" s="21"/>
      <c r="E894" s="21"/>
      <c r="F894" s="21"/>
      <c r="G894" s="14"/>
      <c r="H894" s="14"/>
      <c r="I894" s="14"/>
      <c r="J894" s="14"/>
      <c r="K894" s="14"/>
      <c r="L894" s="14"/>
      <c r="M894" s="14"/>
      <c r="N894" s="14"/>
      <c r="O894" s="14"/>
      <c r="P894" s="14"/>
      <c r="Q894" s="14"/>
      <c r="R894" s="14"/>
      <c r="S894" s="14"/>
      <c r="T894" s="14"/>
      <c r="U894" s="14"/>
      <c r="V894" s="14"/>
      <c r="W894" s="14"/>
      <c r="X894" s="14"/>
      <c r="Y894" s="14"/>
    </row>
    <row r="895" spans="1:25" ht="15.75" x14ac:dyDescent="0.25">
      <c r="A895" s="21"/>
      <c r="B895" s="21"/>
      <c r="C895" s="21"/>
      <c r="E895" s="21"/>
      <c r="F895" s="21"/>
      <c r="G895" s="14"/>
      <c r="H895" s="14"/>
      <c r="I895" s="14"/>
      <c r="J895" s="14"/>
      <c r="K895" s="14"/>
      <c r="L895" s="14"/>
      <c r="M895" s="14"/>
      <c r="N895" s="14"/>
      <c r="O895" s="14"/>
      <c r="P895" s="14"/>
      <c r="Q895" s="14"/>
      <c r="R895" s="14"/>
      <c r="S895" s="14"/>
      <c r="T895" s="14"/>
      <c r="U895" s="14"/>
      <c r="V895" s="14"/>
      <c r="W895" s="14"/>
      <c r="X895" s="14"/>
      <c r="Y895" s="14"/>
    </row>
    <row r="896" spans="1:25" ht="15.75" x14ac:dyDescent="0.25">
      <c r="A896" s="21"/>
      <c r="B896" s="21"/>
      <c r="C896" s="21"/>
      <c r="E896" s="21"/>
      <c r="F896" s="21"/>
      <c r="G896" s="14"/>
      <c r="H896" s="14"/>
      <c r="I896" s="14"/>
      <c r="J896" s="14"/>
      <c r="K896" s="14"/>
      <c r="L896" s="14"/>
      <c r="M896" s="14"/>
      <c r="N896" s="14"/>
      <c r="O896" s="14"/>
      <c r="P896" s="14"/>
      <c r="Q896" s="14"/>
      <c r="R896" s="14"/>
      <c r="S896" s="14"/>
      <c r="T896" s="14"/>
      <c r="U896" s="14"/>
      <c r="V896" s="14"/>
      <c r="W896" s="14"/>
      <c r="X896" s="14"/>
      <c r="Y896" s="14"/>
    </row>
    <row r="897" spans="1:25" ht="15.75" x14ac:dyDescent="0.25">
      <c r="A897" s="21"/>
      <c r="B897" s="21"/>
      <c r="C897" s="21"/>
      <c r="E897" s="21"/>
      <c r="F897" s="21"/>
      <c r="G897" s="14"/>
      <c r="H897" s="14"/>
      <c r="I897" s="14"/>
      <c r="J897" s="14"/>
      <c r="K897" s="14"/>
      <c r="L897" s="14"/>
      <c r="M897" s="14"/>
      <c r="N897" s="14"/>
      <c r="O897" s="14"/>
      <c r="P897" s="14"/>
      <c r="Q897" s="14"/>
      <c r="R897" s="14"/>
      <c r="S897" s="14"/>
      <c r="T897" s="14"/>
      <c r="U897" s="14"/>
      <c r="V897" s="14"/>
      <c r="W897" s="14"/>
      <c r="X897" s="14"/>
      <c r="Y897" s="14"/>
    </row>
    <row r="898" spans="1:25" ht="15.75" x14ac:dyDescent="0.25">
      <c r="A898" s="21"/>
      <c r="B898" s="21"/>
      <c r="C898" s="21"/>
      <c r="E898" s="21"/>
      <c r="F898" s="21"/>
      <c r="G898" s="14"/>
      <c r="H898" s="14"/>
      <c r="I898" s="14"/>
      <c r="J898" s="14"/>
      <c r="K898" s="14"/>
      <c r="L898" s="14"/>
      <c r="M898" s="14"/>
      <c r="N898" s="14"/>
      <c r="O898" s="14"/>
      <c r="P898" s="14"/>
      <c r="Q898" s="14"/>
      <c r="R898" s="14"/>
      <c r="S898" s="14"/>
      <c r="T898" s="14"/>
      <c r="U898" s="14"/>
      <c r="V898" s="14"/>
      <c r="W898" s="14"/>
      <c r="X898" s="14"/>
      <c r="Y898" s="14"/>
    </row>
    <row r="899" spans="1:25" ht="15.75" x14ac:dyDescent="0.25">
      <c r="A899" s="21"/>
      <c r="B899" s="21"/>
      <c r="C899" s="21"/>
      <c r="E899" s="21"/>
      <c r="F899" s="21"/>
      <c r="G899" s="14"/>
      <c r="H899" s="14"/>
      <c r="I899" s="14"/>
      <c r="J899" s="14"/>
      <c r="K899" s="14"/>
      <c r="L899" s="14"/>
      <c r="M899" s="14"/>
      <c r="N899" s="14"/>
      <c r="O899" s="14"/>
      <c r="P899" s="14"/>
      <c r="Q899" s="14"/>
      <c r="R899" s="14"/>
      <c r="S899" s="14"/>
      <c r="T899" s="14"/>
      <c r="U899" s="14"/>
      <c r="V899" s="14"/>
      <c r="W899" s="14"/>
      <c r="X899" s="14"/>
      <c r="Y899" s="14"/>
    </row>
    <row r="900" spans="1:25" ht="15.75" x14ac:dyDescent="0.25">
      <c r="A900" s="21"/>
      <c r="B900" s="21"/>
      <c r="C900" s="21"/>
      <c r="E900" s="21"/>
      <c r="F900" s="21"/>
      <c r="G900" s="14"/>
      <c r="H900" s="14"/>
      <c r="I900" s="14"/>
      <c r="J900" s="14"/>
      <c r="K900" s="14"/>
      <c r="L900" s="14"/>
      <c r="M900" s="14"/>
      <c r="N900" s="14"/>
      <c r="O900" s="14"/>
      <c r="P900" s="14"/>
      <c r="Q900" s="14"/>
      <c r="R900" s="14"/>
      <c r="S900" s="14"/>
      <c r="T900" s="14"/>
      <c r="U900" s="14"/>
      <c r="V900" s="14"/>
      <c r="W900" s="14"/>
      <c r="X900" s="14"/>
      <c r="Y900" s="14"/>
    </row>
    <row r="901" spans="1:25" ht="15.75" x14ac:dyDescent="0.25">
      <c r="A901" s="21"/>
      <c r="B901" s="21"/>
      <c r="C901" s="21"/>
      <c r="E901" s="21"/>
      <c r="F901" s="21"/>
      <c r="G901" s="14"/>
      <c r="H901" s="14"/>
      <c r="I901" s="14"/>
      <c r="J901" s="14"/>
      <c r="K901" s="14"/>
      <c r="L901" s="14"/>
      <c r="M901" s="14"/>
      <c r="N901" s="14"/>
      <c r="O901" s="14"/>
      <c r="P901" s="14"/>
      <c r="Q901" s="14"/>
      <c r="R901" s="14"/>
      <c r="S901" s="14"/>
      <c r="T901" s="14"/>
      <c r="U901" s="14"/>
      <c r="V901" s="14"/>
      <c r="W901" s="14"/>
      <c r="X901" s="14"/>
      <c r="Y901" s="14"/>
    </row>
    <row r="902" spans="1:25" ht="15.75" x14ac:dyDescent="0.25">
      <c r="A902" s="21"/>
      <c r="B902" s="21"/>
      <c r="C902" s="21"/>
      <c r="E902" s="21"/>
      <c r="F902" s="21"/>
      <c r="G902" s="14"/>
      <c r="H902" s="14"/>
      <c r="I902" s="14"/>
      <c r="J902" s="14"/>
      <c r="K902" s="14"/>
      <c r="L902" s="14"/>
      <c r="M902" s="14"/>
      <c r="N902" s="14"/>
      <c r="O902" s="14"/>
      <c r="P902" s="14"/>
      <c r="Q902" s="14"/>
      <c r="R902" s="14"/>
      <c r="S902" s="14"/>
      <c r="T902" s="14"/>
      <c r="U902" s="14"/>
      <c r="V902" s="14"/>
      <c r="W902" s="14"/>
      <c r="X902" s="14"/>
      <c r="Y902" s="14"/>
    </row>
    <row r="903" spans="1:25" ht="15.75" x14ac:dyDescent="0.25">
      <c r="A903" s="21"/>
      <c r="B903" s="21"/>
      <c r="C903" s="21"/>
      <c r="E903" s="21"/>
      <c r="F903" s="21"/>
      <c r="G903" s="14"/>
      <c r="H903" s="14"/>
      <c r="I903" s="14"/>
      <c r="J903" s="14"/>
      <c r="K903" s="14"/>
      <c r="L903" s="14"/>
      <c r="M903" s="14"/>
      <c r="N903" s="14"/>
      <c r="O903" s="14"/>
      <c r="P903" s="14"/>
      <c r="Q903" s="14"/>
      <c r="R903" s="14"/>
      <c r="S903" s="14"/>
      <c r="T903" s="14"/>
      <c r="U903" s="14"/>
      <c r="V903" s="14"/>
      <c r="W903" s="14"/>
      <c r="X903" s="14"/>
      <c r="Y903" s="14"/>
    </row>
    <row r="904" spans="1:25" ht="15.75" x14ac:dyDescent="0.25">
      <c r="A904" s="21"/>
      <c r="B904" s="21"/>
      <c r="C904" s="21"/>
      <c r="E904" s="21"/>
      <c r="F904" s="21"/>
      <c r="G904" s="14"/>
      <c r="H904" s="14"/>
      <c r="I904" s="14"/>
      <c r="J904" s="14"/>
      <c r="K904" s="14"/>
      <c r="L904" s="14"/>
      <c r="M904" s="14"/>
      <c r="N904" s="14"/>
      <c r="O904" s="14"/>
      <c r="P904" s="14"/>
      <c r="Q904" s="14"/>
      <c r="R904" s="14"/>
      <c r="S904" s="14"/>
      <c r="T904" s="14"/>
      <c r="U904" s="14"/>
      <c r="V904" s="14"/>
      <c r="W904" s="14"/>
      <c r="X904" s="14"/>
      <c r="Y904" s="14"/>
    </row>
    <row r="905" spans="1:25" ht="15.75" x14ac:dyDescent="0.25">
      <c r="A905" s="21"/>
      <c r="B905" s="21"/>
      <c r="C905" s="21"/>
      <c r="E905" s="21"/>
      <c r="F905" s="21"/>
      <c r="G905" s="14"/>
      <c r="H905" s="14"/>
      <c r="I905" s="14"/>
      <c r="J905" s="14"/>
      <c r="K905" s="14"/>
      <c r="L905" s="14"/>
      <c r="M905" s="14"/>
      <c r="N905" s="14"/>
      <c r="O905" s="14"/>
      <c r="P905" s="14"/>
      <c r="Q905" s="14"/>
      <c r="R905" s="14"/>
      <c r="S905" s="14"/>
      <c r="T905" s="14"/>
      <c r="U905" s="14"/>
      <c r="V905" s="14"/>
      <c r="W905" s="14"/>
      <c r="X905" s="14"/>
      <c r="Y905" s="14"/>
    </row>
    <row r="906" spans="1:25" ht="15.75" x14ac:dyDescent="0.25">
      <c r="A906" s="21"/>
      <c r="B906" s="21"/>
      <c r="C906" s="21"/>
      <c r="E906" s="21"/>
      <c r="F906" s="21"/>
      <c r="G906" s="14"/>
      <c r="H906" s="14"/>
      <c r="I906" s="14"/>
      <c r="J906" s="14"/>
      <c r="K906" s="14"/>
      <c r="L906" s="14"/>
      <c r="M906" s="14"/>
      <c r="N906" s="14"/>
      <c r="O906" s="14"/>
      <c r="P906" s="14"/>
      <c r="Q906" s="14"/>
      <c r="R906" s="14"/>
      <c r="S906" s="14"/>
      <c r="T906" s="14"/>
      <c r="U906" s="14"/>
      <c r="V906" s="14"/>
      <c r="W906" s="14"/>
      <c r="X906" s="14"/>
      <c r="Y906" s="14"/>
    </row>
    <row r="907" spans="1:25" ht="15.75" x14ac:dyDescent="0.25">
      <c r="A907" s="21"/>
      <c r="B907" s="21"/>
      <c r="C907" s="21"/>
      <c r="E907" s="21"/>
      <c r="F907" s="21"/>
      <c r="G907" s="14"/>
      <c r="H907" s="14"/>
      <c r="I907" s="14"/>
      <c r="J907" s="14"/>
      <c r="K907" s="14"/>
      <c r="L907" s="14"/>
      <c r="M907" s="14"/>
      <c r="N907" s="14"/>
      <c r="O907" s="14"/>
      <c r="P907" s="14"/>
      <c r="Q907" s="14"/>
      <c r="R907" s="14"/>
      <c r="S907" s="14"/>
      <c r="T907" s="14"/>
      <c r="U907" s="14"/>
      <c r="V907" s="14"/>
      <c r="W907" s="14"/>
      <c r="X907" s="14"/>
      <c r="Y907" s="14"/>
    </row>
    <row r="908" spans="1:25" ht="15.75" x14ac:dyDescent="0.25">
      <c r="A908" s="21"/>
      <c r="B908" s="21"/>
      <c r="C908" s="21"/>
      <c r="E908" s="21"/>
      <c r="F908" s="21"/>
      <c r="G908" s="14"/>
      <c r="H908" s="14"/>
      <c r="I908" s="14"/>
      <c r="J908" s="14"/>
      <c r="K908" s="14"/>
      <c r="L908" s="14"/>
      <c r="M908" s="14"/>
      <c r="N908" s="14"/>
      <c r="O908" s="14"/>
      <c r="P908" s="14"/>
      <c r="Q908" s="14"/>
      <c r="R908" s="14"/>
      <c r="S908" s="14"/>
      <c r="T908" s="14"/>
      <c r="U908" s="14"/>
      <c r="V908" s="14"/>
      <c r="W908" s="14"/>
      <c r="X908" s="14"/>
      <c r="Y908" s="14"/>
    </row>
    <row r="909" spans="1:25" ht="15.75" x14ac:dyDescent="0.25">
      <c r="A909" s="21"/>
      <c r="B909" s="21"/>
      <c r="C909" s="21"/>
      <c r="E909" s="21"/>
      <c r="F909" s="21"/>
      <c r="G909" s="14"/>
      <c r="H909" s="14"/>
      <c r="I909" s="14"/>
      <c r="J909" s="14"/>
      <c r="K909" s="14"/>
      <c r="L909" s="14"/>
      <c r="M909" s="14"/>
      <c r="N909" s="14"/>
      <c r="O909" s="14"/>
      <c r="P909" s="14"/>
      <c r="Q909" s="14"/>
      <c r="R909" s="14"/>
      <c r="S909" s="14"/>
      <c r="T909" s="14"/>
      <c r="U909" s="14"/>
      <c r="V909" s="14"/>
      <c r="W909" s="14"/>
      <c r="X909" s="14"/>
      <c r="Y909" s="14"/>
    </row>
    <row r="910" spans="1:25" ht="15.75" x14ac:dyDescent="0.25">
      <c r="A910" s="21"/>
      <c r="B910" s="21"/>
      <c r="C910" s="21"/>
      <c r="E910" s="21"/>
      <c r="F910" s="21"/>
      <c r="G910" s="14"/>
      <c r="H910" s="14"/>
      <c r="I910" s="14"/>
      <c r="J910" s="14"/>
      <c r="K910" s="14"/>
      <c r="L910" s="14"/>
      <c r="M910" s="14"/>
      <c r="N910" s="14"/>
      <c r="O910" s="14"/>
      <c r="P910" s="14"/>
      <c r="Q910" s="14"/>
      <c r="R910" s="14"/>
      <c r="S910" s="14"/>
      <c r="T910" s="14"/>
      <c r="U910" s="14"/>
      <c r="V910" s="14"/>
      <c r="W910" s="14"/>
      <c r="X910" s="14"/>
      <c r="Y910" s="14"/>
    </row>
    <row r="911" spans="1:25" ht="15.75" x14ac:dyDescent="0.25">
      <c r="A911" s="21"/>
      <c r="B911" s="21"/>
      <c r="C911" s="21"/>
      <c r="E911" s="21"/>
      <c r="F911" s="21"/>
      <c r="G911" s="14"/>
      <c r="H911" s="14"/>
      <c r="I911" s="14"/>
      <c r="J911" s="14"/>
      <c r="K911" s="14"/>
      <c r="L911" s="14"/>
      <c r="M911" s="14"/>
      <c r="N911" s="14"/>
      <c r="O911" s="14"/>
      <c r="P911" s="14"/>
      <c r="Q911" s="14"/>
      <c r="R911" s="14"/>
      <c r="S911" s="14"/>
      <c r="T911" s="14"/>
      <c r="U911" s="14"/>
      <c r="V911" s="14"/>
      <c r="W911" s="14"/>
      <c r="X911" s="14"/>
      <c r="Y911" s="14"/>
    </row>
    <row r="912" spans="1:25" ht="15.75" x14ac:dyDescent="0.25">
      <c r="A912" s="21"/>
      <c r="B912" s="21"/>
      <c r="C912" s="21"/>
      <c r="E912" s="21"/>
      <c r="F912" s="21"/>
      <c r="G912" s="14"/>
      <c r="H912" s="14"/>
      <c r="I912" s="14"/>
      <c r="J912" s="14"/>
      <c r="K912" s="14"/>
      <c r="L912" s="14"/>
      <c r="M912" s="14"/>
      <c r="N912" s="14"/>
      <c r="O912" s="14"/>
      <c r="P912" s="14"/>
      <c r="Q912" s="14"/>
      <c r="R912" s="14"/>
      <c r="S912" s="14"/>
      <c r="T912" s="14"/>
      <c r="U912" s="14"/>
      <c r="V912" s="14"/>
      <c r="W912" s="14"/>
      <c r="X912" s="14"/>
      <c r="Y912" s="14"/>
    </row>
    <row r="913" spans="1:25" ht="15.75" x14ac:dyDescent="0.25">
      <c r="A913" s="21"/>
      <c r="B913" s="21"/>
      <c r="C913" s="21"/>
      <c r="E913" s="21"/>
      <c r="F913" s="21"/>
      <c r="G913" s="14"/>
      <c r="H913" s="14"/>
      <c r="I913" s="14"/>
      <c r="J913" s="14"/>
      <c r="K913" s="14"/>
      <c r="L913" s="14"/>
      <c r="M913" s="14"/>
      <c r="N913" s="14"/>
      <c r="O913" s="14"/>
      <c r="P913" s="14"/>
      <c r="Q913" s="14"/>
      <c r="R913" s="14"/>
      <c r="S913" s="14"/>
      <c r="T913" s="14"/>
      <c r="U913" s="14"/>
      <c r="V913" s="14"/>
      <c r="W913" s="14"/>
      <c r="X913" s="14"/>
      <c r="Y913" s="14"/>
    </row>
    <row r="914" spans="1:25" ht="15.75" x14ac:dyDescent="0.25">
      <c r="A914" s="21"/>
      <c r="B914" s="21"/>
      <c r="C914" s="21"/>
      <c r="E914" s="21"/>
      <c r="F914" s="21"/>
      <c r="G914" s="14"/>
      <c r="H914" s="14"/>
      <c r="I914" s="14"/>
      <c r="J914" s="14"/>
      <c r="K914" s="14"/>
      <c r="L914" s="14"/>
      <c r="M914" s="14"/>
      <c r="N914" s="14"/>
      <c r="O914" s="14"/>
      <c r="P914" s="14"/>
      <c r="Q914" s="14"/>
      <c r="R914" s="14"/>
      <c r="S914" s="14"/>
      <c r="T914" s="14"/>
      <c r="U914" s="14"/>
      <c r="V914" s="14"/>
      <c r="W914" s="14"/>
      <c r="X914" s="14"/>
      <c r="Y914" s="14"/>
    </row>
    <row r="915" spans="1:25" ht="15.75" x14ac:dyDescent="0.25">
      <c r="A915" s="21"/>
      <c r="B915" s="21"/>
      <c r="C915" s="21"/>
      <c r="E915" s="21"/>
      <c r="F915" s="21"/>
      <c r="G915" s="14"/>
      <c r="H915" s="14"/>
      <c r="I915" s="14"/>
      <c r="J915" s="14"/>
      <c r="K915" s="14"/>
      <c r="L915" s="14"/>
      <c r="M915" s="14"/>
      <c r="N915" s="14"/>
      <c r="O915" s="14"/>
      <c r="P915" s="14"/>
      <c r="Q915" s="14"/>
      <c r="R915" s="14"/>
      <c r="S915" s="14"/>
      <c r="T915" s="14"/>
      <c r="U915" s="14"/>
      <c r="V915" s="14"/>
      <c r="W915" s="14"/>
      <c r="X915" s="14"/>
      <c r="Y915" s="14"/>
    </row>
    <row r="916" spans="1:25" ht="15.75" x14ac:dyDescent="0.25">
      <c r="A916" s="21"/>
      <c r="B916" s="21"/>
      <c r="C916" s="21"/>
      <c r="E916" s="21"/>
      <c r="F916" s="21"/>
      <c r="G916" s="14"/>
      <c r="H916" s="14"/>
      <c r="I916" s="14"/>
      <c r="J916" s="14"/>
      <c r="K916" s="14"/>
      <c r="L916" s="14"/>
      <c r="M916" s="14"/>
      <c r="N916" s="14"/>
      <c r="O916" s="14"/>
      <c r="P916" s="14"/>
      <c r="Q916" s="14"/>
      <c r="R916" s="14"/>
      <c r="S916" s="14"/>
      <c r="T916" s="14"/>
      <c r="U916" s="14"/>
      <c r="V916" s="14"/>
      <c r="W916" s="14"/>
      <c r="X916" s="14"/>
      <c r="Y916" s="14"/>
    </row>
    <row r="917" spans="1:25" ht="15.75" x14ac:dyDescent="0.25">
      <c r="A917" s="21"/>
      <c r="B917" s="21"/>
      <c r="C917" s="21"/>
      <c r="E917" s="21"/>
      <c r="F917" s="21"/>
      <c r="G917" s="14"/>
      <c r="H917" s="14"/>
      <c r="I917" s="14"/>
      <c r="J917" s="14"/>
      <c r="K917" s="14"/>
      <c r="L917" s="14"/>
      <c r="M917" s="14"/>
      <c r="N917" s="14"/>
      <c r="O917" s="14"/>
      <c r="P917" s="14"/>
      <c r="Q917" s="14"/>
      <c r="R917" s="14"/>
      <c r="S917" s="14"/>
      <c r="T917" s="14"/>
      <c r="U917" s="14"/>
      <c r="V917" s="14"/>
      <c r="W917" s="14"/>
      <c r="X917" s="14"/>
      <c r="Y917" s="14"/>
    </row>
    <row r="918" spans="1:25" ht="15.75" x14ac:dyDescent="0.25">
      <c r="A918" s="21"/>
      <c r="B918" s="21"/>
      <c r="C918" s="21"/>
      <c r="E918" s="21"/>
      <c r="F918" s="21"/>
      <c r="G918" s="14"/>
      <c r="H918" s="14"/>
      <c r="I918" s="14"/>
      <c r="J918" s="14"/>
      <c r="K918" s="14"/>
      <c r="L918" s="14"/>
      <c r="M918" s="14"/>
      <c r="N918" s="14"/>
      <c r="O918" s="14"/>
      <c r="P918" s="14"/>
      <c r="Q918" s="14"/>
      <c r="R918" s="14"/>
      <c r="S918" s="14"/>
      <c r="T918" s="14"/>
      <c r="U918" s="14"/>
      <c r="V918" s="14"/>
      <c r="W918" s="14"/>
      <c r="X918" s="14"/>
      <c r="Y918" s="14"/>
    </row>
    <row r="919" spans="1:25" ht="15.75" x14ac:dyDescent="0.25">
      <c r="A919" s="21"/>
      <c r="B919" s="21"/>
      <c r="C919" s="21"/>
      <c r="E919" s="21"/>
      <c r="F919" s="21"/>
      <c r="G919" s="14"/>
      <c r="H919" s="14"/>
      <c r="I919" s="14"/>
      <c r="J919" s="14"/>
      <c r="K919" s="14"/>
      <c r="L919" s="14"/>
      <c r="M919" s="14"/>
      <c r="N919" s="14"/>
      <c r="O919" s="14"/>
      <c r="P919" s="14"/>
      <c r="Q919" s="14"/>
      <c r="R919" s="14"/>
      <c r="S919" s="14"/>
      <c r="T919" s="14"/>
      <c r="U919" s="14"/>
      <c r="V919" s="14"/>
      <c r="W919" s="14"/>
      <c r="X919" s="14"/>
      <c r="Y919" s="14"/>
    </row>
    <row r="920" spans="1:25" ht="15.75" x14ac:dyDescent="0.25">
      <c r="A920" s="21"/>
      <c r="B920" s="21"/>
      <c r="C920" s="21"/>
      <c r="E920" s="21"/>
      <c r="F920" s="21"/>
      <c r="G920" s="14"/>
      <c r="H920" s="14"/>
      <c r="I920" s="14"/>
      <c r="J920" s="14"/>
      <c r="K920" s="14"/>
      <c r="L920" s="14"/>
      <c r="M920" s="14"/>
      <c r="N920" s="14"/>
      <c r="O920" s="14"/>
      <c r="P920" s="14"/>
      <c r="Q920" s="14"/>
      <c r="R920" s="14"/>
      <c r="S920" s="14"/>
      <c r="T920" s="14"/>
      <c r="U920" s="14"/>
      <c r="V920" s="14"/>
      <c r="W920" s="14"/>
      <c r="X920" s="14"/>
      <c r="Y920" s="14"/>
    </row>
    <row r="921" spans="1:25" ht="15.75" x14ac:dyDescent="0.25">
      <c r="A921" s="21"/>
      <c r="B921" s="21"/>
      <c r="C921" s="21"/>
      <c r="E921" s="21"/>
      <c r="F921" s="21"/>
      <c r="G921" s="14"/>
      <c r="H921" s="14"/>
      <c r="I921" s="14"/>
      <c r="J921" s="14"/>
      <c r="K921" s="14"/>
      <c r="L921" s="14"/>
      <c r="M921" s="14"/>
      <c r="N921" s="14"/>
      <c r="O921" s="14"/>
      <c r="P921" s="14"/>
      <c r="Q921" s="14"/>
      <c r="R921" s="14"/>
      <c r="S921" s="14"/>
      <c r="T921" s="14"/>
      <c r="U921" s="14"/>
      <c r="V921" s="14"/>
      <c r="W921" s="14"/>
      <c r="X921" s="14"/>
      <c r="Y921" s="14"/>
    </row>
    <row r="922" spans="1:25" ht="15.75" x14ac:dyDescent="0.25">
      <c r="A922" s="21"/>
      <c r="B922" s="21"/>
      <c r="C922" s="21"/>
      <c r="E922" s="21"/>
      <c r="F922" s="21"/>
      <c r="G922" s="14"/>
      <c r="H922" s="14"/>
      <c r="I922" s="14"/>
      <c r="J922" s="14"/>
      <c r="K922" s="14"/>
      <c r="L922" s="14"/>
      <c r="M922" s="14"/>
      <c r="N922" s="14"/>
      <c r="O922" s="14"/>
      <c r="P922" s="14"/>
      <c r="Q922" s="14"/>
      <c r="R922" s="14"/>
      <c r="S922" s="14"/>
      <c r="T922" s="14"/>
      <c r="U922" s="14"/>
      <c r="V922" s="14"/>
      <c r="W922" s="14"/>
      <c r="X922" s="14"/>
      <c r="Y922" s="14"/>
    </row>
    <row r="923" spans="1:25" ht="15.75" x14ac:dyDescent="0.25">
      <c r="A923" s="21"/>
      <c r="B923" s="21"/>
      <c r="C923" s="21"/>
      <c r="E923" s="21"/>
      <c r="F923" s="21"/>
      <c r="G923" s="14"/>
      <c r="H923" s="14"/>
      <c r="I923" s="14"/>
      <c r="J923" s="14"/>
      <c r="K923" s="14"/>
      <c r="L923" s="14"/>
      <c r="M923" s="14"/>
      <c r="N923" s="14"/>
      <c r="O923" s="14"/>
      <c r="P923" s="14"/>
      <c r="Q923" s="14"/>
      <c r="R923" s="14"/>
      <c r="S923" s="14"/>
      <c r="T923" s="14"/>
      <c r="U923" s="14"/>
      <c r="V923" s="14"/>
      <c r="W923" s="14"/>
      <c r="X923" s="14"/>
      <c r="Y923" s="14"/>
    </row>
    <row r="924" spans="1:25" ht="15.75" x14ac:dyDescent="0.25">
      <c r="A924" s="21"/>
      <c r="B924" s="21"/>
      <c r="C924" s="21"/>
      <c r="E924" s="21"/>
      <c r="F924" s="21"/>
      <c r="G924" s="14"/>
      <c r="H924" s="14"/>
      <c r="I924" s="14"/>
      <c r="J924" s="14"/>
      <c r="K924" s="14"/>
      <c r="L924" s="14"/>
      <c r="M924" s="14"/>
      <c r="N924" s="14"/>
      <c r="O924" s="14"/>
      <c r="P924" s="14"/>
      <c r="Q924" s="14"/>
      <c r="R924" s="14"/>
      <c r="S924" s="14"/>
      <c r="T924" s="14"/>
      <c r="U924" s="14"/>
      <c r="V924" s="14"/>
      <c r="W924" s="14"/>
      <c r="X924" s="14"/>
      <c r="Y924" s="14"/>
    </row>
    <row r="925" spans="1:25" ht="15.75" x14ac:dyDescent="0.25">
      <c r="A925" s="21"/>
      <c r="B925" s="21"/>
      <c r="C925" s="21"/>
      <c r="E925" s="21"/>
      <c r="F925" s="21"/>
      <c r="G925" s="14"/>
      <c r="H925" s="14"/>
      <c r="I925" s="14"/>
      <c r="J925" s="14"/>
      <c r="K925" s="14"/>
      <c r="L925" s="14"/>
      <c r="M925" s="14"/>
      <c r="N925" s="14"/>
      <c r="O925" s="14"/>
      <c r="P925" s="14"/>
      <c r="Q925" s="14"/>
      <c r="R925" s="14"/>
      <c r="S925" s="14"/>
      <c r="T925" s="14"/>
      <c r="U925" s="14"/>
      <c r="V925" s="14"/>
      <c r="W925" s="14"/>
      <c r="X925" s="14"/>
      <c r="Y925" s="14"/>
    </row>
    <row r="926" spans="1:25" ht="15.75" x14ac:dyDescent="0.25">
      <c r="A926" s="21"/>
      <c r="B926" s="21"/>
      <c r="C926" s="21"/>
      <c r="E926" s="21"/>
      <c r="F926" s="21"/>
      <c r="G926" s="14"/>
      <c r="H926" s="14"/>
      <c r="I926" s="14"/>
      <c r="J926" s="14"/>
      <c r="K926" s="14"/>
      <c r="L926" s="14"/>
      <c r="M926" s="14"/>
      <c r="N926" s="14"/>
      <c r="O926" s="14"/>
      <c r="P926" s="14"/>
      <c r="Q926" s="14"/>
      <c r="R926" s="14"/>
      <c r="S926" s="14"/>
      <c r="T926" s="14"/>
      <c r="U926" s="14"/>
      <c r="V926" s="14"/>
      <c r="W926" s="14"/>
      <c r="X926" s="14"/>
      <c r="Y926" s="14"/>
    </row>
    <row r="927" spans="1:25" ht="15.75" x14ac:dyDescent="0.25">
      <c r="A927" s="21"/>
      <c r="B927" s="21"/>
      <c r="C927" s="21"/>
      <c r="E927" s="21"/>
      <c r="F927" s="21"/>
      <c r="G927" s="14"/>
      <c r="H927" s="14"/>
      <c r="I927" s="14"/>
      <c r="J927" s="14"/>
      <c r="K927" s="14"/>
      <c r="L927" s="14"/>
      <c r="M927" s="14"/>
      <c r="N927" s="14"/>
      <c r="O927" s="14"/>
      <c r="P927" s="14"/>
      <c r="Q927" s="14"/>
      <c r="R927" s="14"/>
      <c r="S927" s="14"/>
      <c r="T927" s="14"/>
      <c r="U927" s="14"/>
      <c r="V927" s="14"/>
      <c r="W927" s="14"/>
      <c r="X927" s="14"/>
      <c r="Y927" s="14"/>
    </row>
    <row r="928" spans="1:25" ht="15.75" x14ac:dyDescent="0.25">
      <c r="A928" s="21"/>
      <c r="B928" s="21"/>
      <c r="C928" s="21"/>
      <c r="E928" s="21"/>
      <c r="F928" s="21"/>
      <c r="G928" s="14"/>
      <c r="H928" s="14"/>
      <c r="I928" s="14"/>
      <c r="J928" s="14"/>
      <c r="K928" s="14"/>
      <c r="L928" s="14"/>
      <c r="M928" s="14"/>
      <c r="N928" s="14"/>
      <c r="O928" s="14"/>
      <c r="P928" s="14"/>
      <c r="Q928" s="14"/>
      <c r="R928" s="14"/>
      <c r="S928" s="14"/>
      <c r="T928" s="14"/>
      <c r="U928" s="14"/>
      <c r="V928" s="14"/>
      <c r="W928" s="14"/>
      <c r="X928" s="14"/>
      <c r="Y928" s="14"/>
    </row>
    <row r="929" spans="1:25" ht="15.75" x14ac:dyDescent="0.25">
      <c r="A929" s="21"/>
      <c r="B929" s="21"/>
      <c r="C929" s="21"/>
      <c r="E929" s="21"/>
      <c r="F929" s="21"/>
      <c r="G929" s="14"/>
      <c r="H929" s="14"/>
      <c r="I929" s="14"/>
      <c r="J929" s="14"/>
      <c r="K929" s="14"/>
      <c r="L929" s="14"/>
      <c r="M929" s="14"/>
      <c r="N929" s="14"/>
      <c r="O929" s="14"/>
      <c r="P929" s="14"/>
      <c r="Q929" s="14"/>
      <c r="R929" s="14"/>
      <c r="S929" s="14"/>
      <c r="T929" s="14"/>
      <c r="U929" s="14"/>
      <c r="V929" s="14"/>
      <c r="W929" s="14"/>
      <c r="X929" s="14"/>
      <c r="Y929" s="14"/>
    </row>
    <row r="930" spans="1:25" ht="15.75" x14ac:dyDescent="0.25">
      <c r="A930" s="21"/>
      <c r="B930" s="21"/>
      <c r="C930" s="21"/>
      <c r="E930" s="21"/>
      <c r="F930" s="21"/>
      <c r="G930" s="14"/>
      <c r="H930" s="14"/>
      <c r="I930" s="14"/>
      <c r="J930" s="14"/>
      <c r="K930" s="14"/>
      <c r="L930" s="14"/>
      <c r="M930" s="14"/>
      <c r="N930" s="14"/>
      <c r="O930" s="14"/>
      <c r="P930" s="14"/>
      <c r="Q930" s="14"/>
      <c r="R930" s="14"/>
      <c r="S930" s="14"/>
      <c r="T930" s="14"/>
      <c r="U930" s="14"/>
      <c r="V930" s="14"/>
      <c r="W930" s="14"/>
      <c r="X930" s="14"/>
      <c r="Y930" s="14"/>
    </row>
    <row r="931" spans="1:25" ht="15.75" x14ac:dyDescent="0.25">
      <c r="A931" s="21"/>
      <c r="B931" s="21"/>
      <c r="C931" s="21"/>
      <c r="E931" s="21"/>
      <c r="F931" s="21"/>
      <c r="G931" s="14"/>
      <c r="H931" s="14"/>
      <c r="I931" s="14"/>
      <c r="J931" s="14"/>
      <c r="K931" s="14"/>
      <c r="L931" s="14"/>
      <c r="M931" s="14"/>
      <c r="N931" s="14"/>
      <c r="O931" s="14"/>
      <c r="P931" s="14"/>
      <c r="Q931" s="14"/>
      <c r="R931" s="14"/>
      <c r="S931" s="14"/>
      <c r="T931" s="14"/>
      <c r="U931" s="14"/>
      <c r="V931" s="14"/>
      <c r="W931" s="14"/>
      <c r="X931" s="14"/>
      <c r="Y931" s="14"/>
    </row>
    <row r="932" spans="1:25" ht="15.75" x14ac:dyDescent="0.25">
      <c r="A932" s="21"/>
      <c r="B932" s="21"/>
      <c r="C932" s="21"/>
      <c r="E932" s="21"/>
      <c r="F932" s="21"/>
      <c r="G932" s="14"/>
      <c r="H932" s="14"/>
      <c r="I932" s="14"/>
      <c r="J932" s="14"/>
      <c r="K932" s="14"/>
      <c r="L932" s="14"/>
      <c r="M932" s="14"/>
      <c r="N932" s="14"/>
      <c r="O932" s="14"/>
      <c r="P932" s="14"/>
      <c r="Q932" s="14"/>
      <c r="R932" s="14"/>
      <c r="S932" s="14"/>
      <c r="T932" s="14"/>
      <c r="U932" s="14"/>
      <c r="V932" s="14"/>
      <c r="W932" s="14"/>
      <c r="X932" s="14"/>
      <c r="Y932" s="14"/>
    </row>
    <row r="933" spans="1:25" ht="15.75" x14ac:dyDescent="0.25">
      <c r="A933" s="21"/>
      <c r="B933" s="21"/>
      <c r="C933" s="21"/>
      <c r="E933" s="21"/>
      <c r="F933" s="21"/>
      <c r="G933" s="14"/>
      <c r="H933" s="14"/>
      <c r="I933" s="14"/>
      <c r="J933" s="14"/>
      <c r="K933" s="14"/>
      <c r="L933" s="14"/>
      <c r="M933" s="14"/>
      <c r="N933" s="14"/>
      <c r="O933" s="14"/>
      <c r="P933" s="14"/>
      <c r="Q933" s="14"/>
      <c r="R933" s="14"/>
      <c r="S933" s="14"/>
      <c r="T933" s="14"/>
      <c r="U933" s="14"/>
      <c r="V933" s="14"/>
      <c r="W933" s="14"/>
      <c r="X933" s="14"/>
      <c r="Y933" s="14"/>
    </row>
    <row r="934" spans="1:25" ht="15.75" x14ac:dyDescent="0.25">
      <c r="A934" s="21"/>
      <c r="B934" s="21"/>
      <c r="C934" s="21"/>
      <c r="E934" s="21"/>
      <c r="F934" s="21"/>
      <c r="G934" s="14"/>
      <c r="H934" s="14"/>
      <c r="I934" s="14"/>
      <c r="J934" s="14"/>
      <c r="K934" s="14"/>
      <c r="L934" s="14"/>
      <c r="M934" s="14"/>
      <c r="N934" s="14"/>
      <c r="O934" s="14"/>
      <c r="P934" s="14"/>
      <c r="Q934" s="14"/>
      <c r="R934" s="14"/>
      <c r="S934" s="14"/>
      <c r="T934" s="14"/>
      <c r="U934" s="14"/>
      <c r="V934" s="14"/>
      <c r="W934" s="14"/>
      <c r="X934" s="14"/>
      <c r="Y934" s="14"/>
    </row>
    <row r="935" spans="1:25" ht="15.75" x14ac:dyDescent="0.25">
      <c r="A935" s="21"/>
      <c r="B935" s="21"/>
      <c r="C935" s="21"/>
      <c r="E935" s="21"/>
      <c r="F935" s="21"/>
      <c r="G935" s="14"/>
      <c r="H935" s="14"/>
      <c r="I935" s="14"/>
      <c r="J935" s="14"/>
      <c r="K935" s="14"/>
      <c r="L935" s="14"/>
      <c r="M935" s="14"/>
      <c r="N935" s="14"/>
      <c r="O935" s="14"/>
      <c r="P935" s="14"/>
      <c r="Q935" s="14"/>
      <c r="R935" s="14"/>
      <c r="S935" s="14"/>
      <c r="T935" s="14"/>
      <c r="U935" s="14"/>
      <c r="V935" s="14"/>
      <c r="W935" s="14"/>
      <c r="X935" s="14"/>
      <c r="Y935" s="14"/>
    </row>
    <row r="936" spans="1:25" ht="15.75" x14ac:dyDescent="0.25">
      <c r="A936" s="21"/>
      <c r="B936" s="21"/>
      <c r="C936" s="21"/>
      <c r="E936" s="21"/>
      <c r="F936" s="21"/>
      <c r="G936" s="14"/>
      <c r="H936" s="14"/>
      <c r="I936" s="14"/>
      <c r="J936" s="14"/>
      <c r="K936" s="14"/>
      <c r="L936" s="14"/>
      <c r="M936" s="14"/>
      <c r="N936" s="14"/>
      <c r="O936" s="14"/>
      <c r="P936" s="14"/>
      <c r="Q936" s="14"/>
      <c r="R936" s="14"/>
      <c r="S936" s="14"/>
      <c r="T936" s="14"/>
      <c r="U936" s="14"/>
      <c r="V936" s="14"/>
      <c r="W936" s="14"/>
      <c r="X936" s="14"/>
      <c r="Y936" s="14"/>
    </row>
    <row r="937" spans="1:25" ht="15.75" x14ac:dyDescent="0.25">
      <c r="A937" s="21"/>
      <c r="B937" s="21"/>
      <c r="C937" s="21"/>
      <c r="E937" s="21"/>
      <c r="F937" s="21"/>
      <c r="G937" s="14"/>
      <c r="H937" s="14"/>
      <c r="I937" s="14"/>
      <c r="J937" s="14"/>
      <c r="K937" s="14"/>
      <c r="L937" s="14"/>
      <c r="M937" s="14"/>
      <c r="N937" s="14"/>
      <c r="O937" s="14"/>
      <c r="P937" s="14"/>
      <c r="Q937" s="14"/>
      <c r="R937" s="14"/>
      <c r="S937" s="14"/>
      <c r="T937" s="14"/>
      <c r="U937" s="14"/>
      <c r="V937" s="14"/>
      <c r="W937" s="14"/>
      <c r="X937" s="14"/>
      <c r="Y937" s="14"/>
    </row>
    <row r="938" spans="1:25" ht="15.75" x14ac:dyDescent="0.25">
      <c r="A938" s="21"/>
      <c r="B938" s="21"/>
      <c r="C938" s="21"/>
      <c r="E938" s="21"/>
      <c r="F938" s="21"/>
      <c r="G938" s="14"/>
      <c r="H938" s="14"/>
      <c r="I938" s="14"/>
      <c r="J938" s="14"/>
      <c r="K938" s="14"/>
      <c r="L938" s="14"/>
      <c r="M938" s="14"/>
      <c r="N938" s="14"/>
      <c r="O938" s="14"/>
      <c r="P938" s="14"/>
      <c r="Q938" s="14"/>
      <c r="R938" s="14"/>
      <c r="S938" s="14"/>
      <c r="T938" s="14"/>
      <c r="U938" s="14"/>
      <c r="V938" s="14"/>
      <c r="W938" s="14"/>
      <c r="X938" s="14"/>
      <c r="Y938" s="14"/>
    </row>
    <row r="939" spans="1:25" ht="15.75" x14ac:dyDescent="0.25">
      <c r="A939" s="21"/>
      <c r="B939" s="21"/>
      <c r="C939" s="21"/>
      <c r="E939" s="21"/>
      <c r="F939" s="21"/>
      <c r="G939" s="14"/>
      <c r="H939" s="14"/>
      <c r="I939" s="14"/>
      <c r="J939" s="14"/>
      <c r="K939" s="14"/>
      <c r="L939" s="14"/>
      <c r="M939" s="14"/>
      <c r="N939" s="14"/>
      <c r="O939" s="14"/>
      <c r="P939" s="14"/>
      <c r="Q939" s="14"/>
      <c r="R939" s="14"/>
      <c r="S939" s="14"/>
      <c r="T939" s="14"/>
      <c r="U939" s="14"/>
      <c r="V939" s="14"/>
      <c r="W939" s="14"/>
      <c r="X939" s="14"/>
      <c r="Y939" s="14"/>
    </row>
    <row r="940" spans="1:25" ht="15.75" x14ac:dyDescent="0.25">
      <c r="A940" s="21"/>
      <c r="B940" s="21"/>
      <c r="C940" s="21"/>
      <c r="E940" s="21"/>
      <c r="F940" s="21"/>
      <c r="G940" s="14"/>
      <c r="H940" s="14"/>
      <c r="I940" s="14"/>
      <c r="J940" s="14"/>
      <c r="K940" s="14"/>
      <c r="L940" s="14"/>
      <c r="M940" s="14"/>
      <c r="N940" s="14"/>
      <c r="O940" s="14"/>
      <c r="P940" s="14"/>
      <c r="Q940" s="14"/>
      <c r="R940" s="14"/>
      <c r="S940" s="14"/>
      <c r="T940" s="14"/>
      <c r="U940" s="14"/>
      <c r="V940" s="14"/>
      <c r="W940" s="14"/>
      <c r="X940" s="14"/>
      <c r="Y940" s="14"/>
    </row>
    <row r="941" spans="1:25" ht="15.75" x14ac:dyDescent="0.25">
      <c r="A941" s="21"/>
      <c r="B941" s="21"/>
      <c r="C941" s="21"/>
      <c r="E941" s="21"/>
      <c r="F941" s="21"/>
      <c r="G941" s="14"/>
      <c r="H941" s="14"/>
      <c r="I941" s="14"/>
      <c r="J941" s="14"/>
      <c r="K941" s="14"/>
      <c r="L941" s="14"/>
      <c r="M941" s="14"/>
      <c r="N941" s="14"/>
      <c r="O941" s="14"/>
      <c r="P941" s="14"/>
      <c r="Q941" s="14"/>
      <c r="R941" s="14"/>
      <c r="S941" s="14"/>
      <c r="T941" s="14"/>
      <c r="U941" s="14"/>
      <c r="V941" s="14"/>
      <c r="W941" s="14"/>
      <c r="X941" s="14"/>
      <c r="Y941" s="14"/>
    </row>
    <row r="942" spans="1:25" ht="15.75" x14ac:dyDescent="0.25">
      <c r="A942" s="21"/>
      <c r="B942" s="21"/>
      <c r="C942" s="21"/>
      <c r="E942" s="21"/>
      <c r="F942" s="21"/>
      <c r="G942" s="14"/>
      <c r="H942" s="14"/>
      <c r="I942" s="14"/>
      <c r="J942" s="14"/>
      <c r="K942" s="14"/>
      <c r="L942" s="14"/>
      <c r="M942" s="14"/>
      <c r="N942" s="14"/>
      <c r="O942" s="14"/>
      <c r="P942" s="14"/>
      <c r="Q942" s="14"/>
      <c r="R942" s="14"/>
      <c r="S942" s="14"/>
      <c r="T942" s="14"/>
      <c r="U942" s="14"/>
      <c r="V942" s="14"/>
      <c r="W942" s="14"/>
      <c r="X942" s="14"/>
      <c r="Y942" s="14"/>
    </row>
    <row r="943" spans="1:25" ht="15.75" x14ac:dyDescent="0.25">
      <c r="A943" s="21"/>
      <c r="B943" s="21"/>
      <c r="C943" s="21"/>
      <c r="E943" s="21"/>
      <c r="F943" s="21"/>
      <c r="G943" s="14"/>
      <c r="H943" s="14"/>
      <c r="I943" s="14"/>
      <c r="J943" s="14"/>
      <c r="K943" s="14"/>
      <c r="L943" s="14"/>
      <c r="M943" s="14"/>
      <c r="N943" s="14"/>
      <c r="O943" s="14"/>
      <c r="P943" s="14"/>
      <c r="Q943" s="14"/>
      <c r="R943" s="14"/>
      <c r="S943" s="14"/>
      <c r="T943" s="14"/>
      <c r="U943" s="14"/>
      <c r="V943" s="14"/>
      <c r="W943" s="14"/>
      <c r="X943" s="14"/>
      <c r="Y943" s="14"/>
    </row>
    <row r="944" spans="1:25" ht="15.75" x14ac:dyDescent="0.25">
      <c r="A944" s="21"/>
      <c r="B944" s="21"/>
      <c r="C944" s="21"/>
      <c r="E944" s="21"/>
      <c r="F944" s="21"/>
      <c r="G944" s="14"/>
      <c r="H944" s="14"/>
      <c r="I944" s="14"/>
      <c r="J944" s="14"/>
      <c r="K944" s="14"/>
      <c r="L944" s="14"/>
      <c r="M944" s="14"/>
      <c r="N944" s="14"/>
      <c r="O944" s="14"/>
      <c r="P944" s="14"/>
      <c r="Q944" s="14"/>
      <c r="R944" s="14"/>
      <c r="S944" s="14"/>
      <c r="T944" s="14"/>
      <c r="U944" s="14"/>
      <c r="V944" s="14"/>
      <c r="W944" s="14"/>
      <c r="X944" s="14"/>
      <c r="Y944" s="14"/>
    </row>
    <row r="945" spans="1:25" ht="15.75" x14ac:dyDescent="0.25">
      <c r="A945" s="21"/>
      <c r="B945" s="21"/>
      <c r="C945" s="21"/>
      <c r="E945" s="21"/>
      <c r="F945" s="21"/>
      <c r="G945" s="14"/>
      <c r="H945" s="14"/>
      <c r="I945" s="14"/>
      <c r="J945" s="14"/>
      <c r="K945" s="14"/>
      <c r="L945" s="14"/>
      <c r="M945" s="14"/>
      <c r="N945" s="14"/>
      <c r="O945" s="14"/>
      <c r="P945" s="14"/>
      <c r="Q945" s="14"/>
      <c r="R945" s="14"/>
      <c r="S945" s="14"/>
      <c r="T945" s="14"/>
      <c r="U945" s="14"/>
      <c r="V945" s="14"/>
      <c r="W945" s="14"/>
      <c r="X945" s="14"/>
      <c r="Y945" s="14"/>
    </row>
    <row r="946" spans="1:25" ht="15.75" x14ac:dyDescent="0.25">
      <c r="A946" s="21"/>
      <c r="B946" s="21"/>
      <c r="C946" s="21"/>
      <c r="E946" s="21"/>
      <c r="F946" s="21"/>
      <c r="G946" s="14"/>
      <c r="H946" s="14"/>
      <c r="I946" s="14"/>
      <c r="J946" s="14"/>
      <c r="K946" s="14"/>
      <c r="L946" s="14"/>
      <c r="M946" s="14"/>
      <c r="N946" s="14"/>
      <c r="O946" s="14"/>
      <c r="P946" s="14"/>
      <c r="Q946" s="14"/>
      <c r="R946" s="14"/>
      <c r="S946" s="14"/>
      <c r="T946" s="14"/>
      <c r="U946" s="14"/>
      <c r="V946" s="14"/>
      <c r="W946" s="14"/>
      <c r="X946" s="14"/>
      <c r="Y946" s="14"/>
    </row>
    <row r="947" spans="1:25" ht="15.75" x14ac:dyDescent="0.25">
      <c r="A947" s="21"/>
      <c r="B947" s="21"/>
      <c r="C947" s="21"/>
      <c r="E947" s="21"/>
      <c r="F947" s="21"/>
      <c r="G947" s="14"/>
      <c r="H947" s="14"/>
      <c r="I947" s="14"/>
      <c r="J947" s="14"/>
      <c r="K947" s="14"/>
      <c r="L947" s="14"/>
      <c r="M947" s="14"/>
      <c r="N947" s="14"/>
      <c r="O947" s="14"/>
      <c r="P947" s="14"/>
      <c r="Q947" s="14"/>
      <c r="R947" s="14"/>
      <c r="S947" s="14"/>
      <c r="T947" s="14"/>
      <c r="U947" s="14"/>
      <c r="V947" s="14"/>
      <c r="W947" s="14"/>
      <c r="X947" s="14"/>
      <c r="Y947" s="14"/>
    </row>
    <row r="948" spans="1:25" ht="15.75" x14ac:dyDescent="0.25">
      <c r="A948" s="21"/>
      <c r="B948" s="21"/>
      <c r="C948" s="21"/>
      <c r="E948" s="21"/>
      <c r="F948" s="21"/>
      <c r="G948" s="14"/>
      <c r="H948" s="14"/>
      <c r="I948" s="14"/>
      <c r="J948" s="14"/>
      <c r="K948" s="14"/>
      <c r="L948" s="14"/>
      <c r="M948" s="14"/>
      <c r="N948" s="14"/>
      <c r="O948" s="14"/>
      <c r="P948" s="14"/>
      <c r="Q948" s="14"/>
      <c r="R948" s="14"/>
      <c r="S948" s="14"/>
      <c r="T948" s="14"/>
      <c r="U948" s="14"/>
      <c r="V948" s="14"/>
      <c r="W948" s="14"/>
      <c r="X948" s="14"/>
      <c r="Y948" s="14"/>
    </row>
    <row r="949" spans="1:25" ht="15.75" x14ac:dyDescent="0.25">
      <c r="A949" s="21"/>
      <c r="B949" s="21"/>
      <c r="C949" s="21"/>
      <c r="E949" s="21"/>
      <c r="F949" s="21"/>
      <c r="G949" s="14"/>
      <c r="H949" s="14"/>
      <c r="I949" s="14"/>
      <c r="J949" s="14"/>
      <c r="K949" s="14"/>
      <c r="L949" s="14"/>
      <c r="M949" s="14"/>
      <c r="N949" s="14"/>
      <c r="O949" s="14"/>
      <c r="P949" s="14"/>
      <c r="Q949" s="14"/>
      <c r="R949" s="14"/>
      <c r="S949" s="14"/>
      <c r="T949" s="14"/>
      <c r="U949" s="14"/>
      <c r="V949" s="14"/>
      <c r="W949" s="14"/>
      <c r="X949" s="14"/>
      <c r="Y949" s="14"/>
    </row>
    <row r="950" spans="1:25" ht="15.75" x14ac:dyDescent="0.25">
      <c r="A950" s="21"/>
      <c r="B950" s="21"/>
      <c r="C950" s="21"/>
      <c r="E950" s="21"/>
      <c r="F950" s="21"/>
      <c r="G950" s="14"/>
      <c r="H950" s="14"/>
      <c r="I950" s="14"/>
      <c r="J950" s="14"/>
      <c r="K950" s="14"/>
      <c r="L950" s="14"/>
      <c r="M950" s="14"/>
      <c r="N950" s="14"/>
      <c r="O950" s="14"/>
      <c r="P950" s="14"/>
      <c r="Q950" s="14"/>
      <c r="R950" s="14"/>
      <c r="S950" s="14"/>
      <c r="T950" s="14"/>
      <c r="U950" s="14"/>
      <c r="V950" s="14"/>
      <c r="W950" s="14"/>
      <c r="X950" s="14"/>
      <c r="Y950" s="14"/>
    </row>
    <row r="951" spans="1:25" ht="15.75" x14ac:dyDescent="0.25">
      <c r="A951" s="21"/>
      <c r="B951" s="21"/>
      <c r="C951" s="21"/>
      <c r="E951" s="21"/>
      <c r="F951" s="21"/>
      <c r="G951" s="14"/>
      <c r="H951" s="14"/>
      <c r="I951" s="14"/>
      <c r="J951" s="14"/>
      <c r="K951" s="14"/>
      <c r="L951" s="14"/>
      <c r="M951" s="14"/>
      <c r="N951" s="14"/>
      <c r="O951" s="14"/>
      <c r="P951" s="14"/>
      <c r="Q951" s="14"/>
      <c r="R951" s="14"/>
      <c r="S951" s="14"/>
      <c r="T951" s="14"/>
      <c r="U951" s="14"/>
      <c r="V951" s="14"/>
      <c r="W951" s="14"/>
      <c r="X951" s="14"/>
      <c r="Y951" s="14"/>
    </row>
    <row r="952" spans="1:25" ht="15.75" x14ac:dyDescent="0.25">
      <c r="A952" s="21"/>
      <c r="B952" s="21"/>
      <c r="C952" s="21"/>
      <c r="E952" s="21"/>
      <c r="F952" s="21"/>
      <c r="G952" s="14"/>
      <c r="H952" s="14"/>
      <c r="I952" s="14"/>
      <c r="J952" s="14"/>
      <c r="K952" s="14"/>
      <c r="L952" s="14"/>
      <c r="M952" s="14"/>
      <c r="N952" s="14"/>
      <c r="O952" s="14"/>
      <c r="P952" s="14"/>
      <c r="Q952" s="14"/>
      <c r="R952" s="14"/>
      <c r="S952" s="14"/>
      <c r="T952" s="14"/>
      <c r="U952" s="14"/>
      <c r="V952" s="14"/>
      <c r="W952" s="14"/>
      <c r="X952" s="14"/>
      <c r="Y952" s="14"/>
    </row>
    <row r="953" spans="1:25" ht="15.75" x14ac:dyDescent="0.25">
      <c r="A953" s="21"/>
      <c r="B953" s="21"/>
      <c r="C953" s="21"/>
      <c r="E953" s="21"/>
      <c r="F953" s="21"/>
      <c r="G953" s="14"/>
      <c r="H953" s="14"/>
      <c r="I953" s="14"/>
      <c r="J953" s="14"/>
      <c r="K953" s="14"/>
      <c r="L953" s="14"/>
      <c r="M953" s="14"/>
      <c r="N953" s="14"/>
      <c r="O953" s="14"/>
      <c r="P953" s="14"/>
      <c r="Q953" s="14"/>
      <c r="R953" s="14"/>
      <c r="S953" s="14"/>
      <c r="T953" s="14"/>
      <c r="U953" s="14"/>
      <c r="V953" s="14"/>
      <c r="W953" s="14"/>
      <c r="X953" s="14"/>
      <c r="Y953" s="14"/>
    </row>
    <row r="954" spans="1:25" ht="15.75" x14ac:dyDescent="0.25">
      <c r="A954" s="21"/>
      <c r="B954" s="21"/>
      <c r="C954" s="21"/>
      <c r="E954" s="21"/>
      <c r="F954" s="21"/>
      <c r="G954" s="14"/>
      <c r="H954" s="14"/>
      <c r="I954" s="14"/>
      <c r="J954" s="14"/>
      <c r="K954" s="14"/>
      <c r="L954" s="14"/>
      <c r="M954" s="14"/>
      <c r="N954" s="14"/>
      <c r="O954" s="14"/>
      <c r="P954" s="14"/>
      <c r="Q954" s="14"/>
      <c r="R954" s="14"/>
      <c r="S954" s="14"/>
      <c r="T954" s="14"/>
      <c r="U954" s="14"/>
      <c r="V954" s="14"/>
      <c r="W954" s="14"/>
      <c r="X954" s="14"/>
      <c r="Y954" s="14"/>
    </row>
    <row r="955" spans="1:25" ht="15.75" x14ac:dyDescent="0.25">
      <c r="A955" s="21"/>
      <c r="B955" s="21"/>
      <c r="C955" s="21"/>
      <c r="E955" s="21"/>
      <c r="F955" s="21"/>
      <c r="G955" s="14"/>
      <c r="H955" s="14"/>
      <c r="I955" s="14"/>
      <c r="J955" s="14"/>
      <c r="K955" s="14"/>
      <c r="L955" s="14"/>
      <c r="M955" s="14"/>
      <c r="N955" s="14"/>
      <c r="O955" s="14"/>
      <c r="P955" s="14"/>
      <c r="Q955" s="14"/>
      <c r="R955" s="14"/>
      <c r="S955" s="14"/>
      <c r="T955" s="14"/>
      <c r="U955" s="14"/>
      <c r="V955" s="14"/>
      <c r="W955" s="14"/>
      <c r="X955" s="14"/>
      <c r="Y955" s="14"/>
    </row>
    <row r="956" spans="1:25" ht="15.75" x14ac:dyDescent="0.25">
      <c r="A956" s="21"/>
      <c r="B956" s="21"/>
      <c r="C956" s="21"/>
      <c r="E956" s="21"/>
      <c r="F956" s="21"/>
      <c r="G956" s="14"/>
      <c r="H956" s="14"/>
      <c r="I956" s="14"/>
      <c r="J956" s="14"/>
      <c r="K956" s="14"/>
      <c r="L956" s="14"/>
      <c r="M956" s="14"/>
      <c r="N956" s="14"/>
      <c r="O956" s="14"/>
      <c r="P956" s="14"/>
      <c r="Q956" s="14"/>
      <c r="R956" s="14"/>
      <c r="S956" s="14"/>
      <c r="T956" s="14"/>
      <c r="U956" s="14"/>
      <c r="V956" s="14"/>
      <c r="W956" s="14"/>
      <c r="X956" s="14"/>
      <c r="Y956" s="14"/>
    </row>
    <row r="957" spans="1:25" ht="15.75" x14ac:dyDescent="0.25">
      <c r="A957" s="21"/>
      <c r="B957" s="21"/>
      <c r="C957" s="21"/>
      <c r="E957" s="21"/>
      <c r="F957" s="21"/>
      <c r="G957" s="14"/>
      <c r="H957" s="14"/>
      <c r="I957" s="14"/>
      <c r="J957" s="14"/>
      <c r="K957" s="14"/>
      <c r="L957" s="14"/>
      <c r="M957" s="14"/>
      <c r="N957" s="14"/>
      <c r="O957" s="14"/>
      <c r="P957" s="14"/>
      <c r="Q957" s="14"/>
      <c r="R957" s="14"/>
      <c r="S957" s="14"/>
      <c r="T957" s="14"/>
      <c r="U957" s="14"/>
      <c r="V957" s="14"/>
      <c r="W957" s="14"/>
      <c r="X957" s="14"/>
      <c r="Y957" s="14"/>
    </row>
    <row r="958" spans="1:25" ht="15.75" x14ac:dyDescent="0.25">
      <c r="A958" s="21"/>
      <c r="B958" s="21"/>
      <c r="C958" s="21"/>
      <c r="E958" s="21"/>
      <c r="F958" s="21"/>
      <c r="G958" s="14"/>
      <c r="H958" s="14"/>
      <c r="I958" s="14"/>
      <c r="J958" s="14"/>
      <c r="K958" s="14"/>
      <c r="L958" s="14"/>
      <c r="M958" s="14"/>
      <c r="N958" s="14"/>
      <c r="O958" s="14"/>
      <c r="P958" s="14"/>
      <c r="Q958" s="14"/>
      <c r="R958" s="14"/>
      <c r="S958" s="14"/>
      <c r="T958" s="14"/>
      <c r="U958" s="14"/>
      <c r="V958" s="14"/>
      <c r="W958" s="14"/>
      <c r="X958" s="14"/>
      <c r="Y958" s="14"/>
    </row>
    <row r="959" spans="1:25" ht="15.75" x14ac:dyDescent="0.25">
      <c r="A959" s="21"/>
      <c r="B959" s="21"/>
      <c r="C959" s="21"/>
      <c r="E959" s="21"/>
      <c r="F959" s="21"/>
      <c r="G959" s="14"/>
      <c r="H959" s="14"/>
      <c r="I959" s="14"/>
      <c r="J959" s="14"/>
      <c r="K959" s="14"/>
      <c r="L959" s="14"/>
      <c r="M959" s="14"/>
      <c r="N959" s="14"/>
      <c r="O959" s="14"/>
      <c r="P959" s="14"/>
      <c r="Q959" s="14"/>
      <c r="R959" s="14"/>
      <c r="S959" s="14"/>
      <c r="T959" s="14"/>
      <c r="U959" s="14"/>
      <c r="V959" s="14"/>
      <c r="W959" s="14"/>
      <c r="X959" s="14"/>
      <c r="Y959" s="14"/>
    </row>
    <row r="960" spans="1:25" ht="15.75" x14ac:dyDescent="0.25">
      <c r="A960" s="21"/>
      <c r="B960" s="21"/>
      <c r="C960" s="21"/>
      <c r="E960" s="21"/>
      <c r="F960" s="21"/>
      <c r="G960" s="14"/>
      <c r="H960" s="14"/>
      <c r="I960" s="14"/>
      <c r="J960" s="14"/>
      <c r="K960" s="14"/>
      <c r="L960" s="14"/>
      <c r="M960" s="14"/>
      <c r="N960" s="14"/>
      <c r="O960" s="14"/>
      <c r="P960" s="14"/>
      <c r="Q960" s="14"/>
      <c r="R960" s="14"/>
      <c r="S960" s="14"/>
      <c r="T960" s="14"/>
      <c r="U960" s="14"/>
      <c r="V960" s="14"/>
      <c r="W960" s="14"/>
      <c r="X960" s="14"/>
      <c r="Y960" s="14"/>
    </row>
    <row r="961" spans="1:25" ht="15.75" x14ac:dyDescent="0.25">
      <c r="A961" s="21"/>
      <c r="B961" s="21"/>
      <c r="C961" s="21"/>
      <c r="E961" s="21"/>
      <c r="F961" s="21"/>
      <c r="G961" s="14"/>
      <c r="H961" s="14"/>
      <c r="I961" s="14"/>
      <c r="J961" s="14"/>
      <c r="K961" s="14"/>
      <c r="L961" s="14"/>
      <c r="M961" s="14"/>
      <c r="N961" s="14"/>
      <c r="O961" s="14"/>
      <c r="P961" s="14"/>
      <c r="Q961" s="14"/>
      <c r="R961" s="14"/>
      <c r="S961" s="14"/>
      <c r="T961" s="14"/>
      <c r="U961" s="14"/>
      <c r="V961" s="14"/>
      <c r="W961" s="14"/>
      <c r="X961" s="14"/>
      <c r="Y961" s="14"/>
    </row>
    <row r="962" spans="1:25" ht="15.75" x14ac:dyDescent="0.25">
      <c r="A962" s="21"/>
      <c r="B962" s="21"/>
      <c r="C962" s="21"/>
      <c r="E962" s="21"/>
      <c r="F962" s="21"/>
      <c r="G962" s="14"/>
      <c r="H962" s="14"/>
      <c r="I962" s="14"/>
      <c r="J962" s="14"/>
      <c r="K962" s="14"/>
      <c r="L962" s="14"/>
      <c r="M962" s="14"/>
      <c r="N962" s="14"/>
      <c r="O962" s="14"/>
      <c r="P962" s="14"/>
      <c r="Q962" s="14"/>
      <c r="R962" s="14"/>
      <c r="S962" s="14"/>
      <c r="T962" s="14"/>
      <c r="U962" s="14"/>
      <c r="V962" s="14"/>
      <c r="W962" s="14"/>
      <c r="X962" s="14"/>
      <c r="Y962" s="14"/>
    </row>
    <row r="963" spans="1:25" ht="15.75" x14ac:dyDescent="0.25">
      <c r="A963" s="21"/>
      <c r="B963" s="21"/>
      <c r="C963" s="21"/>
      <c r="E963" s="21"/>
      <c r="F963" s="21"/>
      <c r="G963" s="14"/>
      <c r="H963" s="14"/>
      <c r="I963" s="14"/>
      <c r="J963" s="14"/>
      <c r="K963" s="14"/>
      <c r="L963" s="14"/>
      <c r="M963" s="14"/>
      <c r="N963" s="14"/>
      <c r="O963" s="14"/>
      <c r="P963" s="14"/>
      <c r="Q963" s="14"/>
      <c r="R963" s="14"/>
      <c r="S963" s="14"/>
      <c r="T963" s="14"/>
      <c r="U963" s="14"/>
      <c r="V963" s="14"/>
      <c r="W963" s="14"/>
      <c r="X963" s="14"/>
      <c r="Y963" s="14"/>
    </row>
    <row r="964" spans="1:25" ht="15.75" x14ac:dyDescent="0.25">
      <c r="A964" s="21"/>
      <c r="B964" s="21"/>
      <c r="C964" s="21"/>
      <c r="E964" s="21"/>
      <c r="F964" s="21"/>
      <c r="G964" s="14"/>
      <c r="H964" s="14"/>
      <c r="I964" s="14"/>
      <c r="J964" s="14"/>
      <c r="K964" s="14"/>
      <c r="L964" s="14"/>
      <c r="M964" s="14"/>
      <c r="N964" s="14"/>
      <c r="O964" s="14"/>
      <c r="P964" s="14"/>
      <c r="Q964" s="14"/>
      <c r="R964" s="14"/>
      <c r="S964" s="14"/>
      <c r="T964" s="14"/>
      <c r="U964" s="14"/>
      <c r="V964" s="14"/>
      <c r="W964" s="14"/>
      <c r="X964" s="14"/>
      <c r="Y964" s="14"/>
    </row>
    <row r="965" spans="1:25" ht="15.75" x14ac:dyDescent="0.25">
      <c r="A965" s="21"/>
      <c r="B965" s="21"/>
      <c r="C965" s="21"/>
      <c r="E965" s="21"/>
      <c r="F965" s="21"/>
      <c r="G965" s="14"/>
      <c r="H965" s="14"/>
      <c r="I965" s="14"/>
      <c r="J965" s="14"/>
      <c r="K965" s="14"/>
      <c r="L965" s="14"/>
      <c r="M965" s="14"/>
      <c r="N965" s="14"/>
      <c r="O965" s="14"/>
      <c r="P965" s="14"/>
      <c r="Q965" s="14"/>
      <c r="R965" s="14"/>
      <c r="S965" s="14"/>
      <c r="T965" s="14"/>
      <c r="U965" s="14"/>
      <c r="V965" s="14"/>
      <c r="W965" s="14"/>
      <c r="X965" s="14"/>
      <c r="Y965" s="14"/>
    </row>
    <row r="966" spans="1:25" ht="15.75" x14ac:dyDescent="0.25">
      <c r="A966" s="21"/>
      <c r="B966" s="21"/>
      <c r="C966" s="21"/>
      <c r="E966" s="21"/>
      <c r="F966" s="21"/>
      <c r="G966" s="14"/>
      <c r="H966" s="14"/>
      <c r="I966" s="14"/>
      <c r="J966" s="14"/>
      <c r="K966" s="14"/>
      <c r="L966" s="14"/>
      <c r="M966" s="14"/>
      <c r="N966" s="14"/>
      <c r="O966" s="14"/>
      <c r="P966" s="14"/>
      <c r="Q966" s="14"/>
      <c r="R966" s="14"/>
      <c r="S966" s="14"/>
      <c r="T966" s="14"/>
      <c r="U966" s="14"/>
      <c r="V966" s="14"/>
      <c r="W966" s="14"/>
      <c r="X966" s="14"/>
      <c r="Y966" s="14"/>
    </row>
    <row r="967" spans="1:25" ht="15.75" x14ac:dyDescent="0.25">
      <c r="A967" s="21"/>
      <c r="B967" s="21"/>
      <c r="C967" s="21"/>
      <c r="E967" s="21"/>
      <c r="F967" s="21"/>
      <c r="G967" s="14"/>
      <c r="H967" s="14"/>
      <c r="I967" s="14"/>
      <c r="J967" s="14"/>
      <c r="K967" s="14"/>
      <c r="L967" s="14"/>
      <c r="M967" s="14"/>
      <c r="N967" s="14"/>
      <c r="O967" s="14"/>
      <c r="P967" s="14"/>
      <c r="Q967" s="14"/>
      <c r="R967" s="14"/>
      <c r="S967" s="14"/>
      <c r="T967" s="14"/>
      <c r="U967" s="14"/>
      <c r="V967" s="14"/>
      <c r="W967" s="14"/>
      <c r="X967" s="14"/>
      <c r="Y967" s="14"/>
    </row>
    <row r="968" spans="1:25" ht="15.75" x14ac:dyDescent="0.25">
      <c r="A968" s="21"/>
      <c r="B968" s="21"/>
      <c r="C968" s="21"/>
      <c r="E968" s="21"/>
      <c r="F968" s="21"/>
      <c r="G968" s="14"/>
      <c r="H968" s="14"/>
      <c r="I968" s="14"/>
      <c r="J968" s="14"/>
      <c r="K968" s="14"/>
      <c r="L968" s="14"/>
      <c r="M968" s="14"/>
      <c r="N968" s="14"/>
      <c r="O968" s="14"/>
      <c r="P968" s="14"/>
      <c r="Q968" s="14"/>
      <c r="R968" s="14"/>
      <c r="S968" s="14"/>
      <c r="T968" s="14"/>
      <c r="U968" s="14"/>
      <c r="V968" s="14"/>
      <c r="W968" s="14"/>
      <c r="X968" s="14"/>
      <c r="Y968" s="14"/>
    </row>
    <row r="969" spans="1:25" ht="15.75" x14ac:dyDescent="0.25">
      <c r="A969" s="21"/>
      <c r="B969" s="21"/>
      <c r="C969" s="21"/>
      <c r="E969" s="21"/>
      <c r="F969" s="21"/>
      <c r="G969" s="14"/>
      <c r="H969" s="14"/>
      <c r="I969" s="14"/>
      <c r="J969" s="14"/>
      <c r="K969" s="14"/>
      <c r="L969" s="14"/>
      <c r="M969" s="14"/>
      <c r="N969" s="14"/>
      <c r="O969" s="14"/>
      <c r="P969" s="14"/>
      <c r="Q969" s="14"/>
      <c r="R969" s="14"/>
      <c r="S969" s="14"/>
      <c r="T969" s="14"/>
      <c r="U969" s="14"/>
      <c r="V969" s="14"/>
      <c r="W969" s="14"/>
      <c r="X969" s="14"/>
      <c r="Y969" s="14"/>
    </row>
    <row r="970" spans="1:25" ht="15.75" x14ac:dyDescent="0.25">
      <c r="A970" s="21"/>
      <c r="B970" s="21"/>
      <c r="C970" s="21"/>
      <c r="E970" s="21"/>
      <c r="F970" s="21"/>
      <c r="G970" s="14"/>
      <c r="H970" s="14"/>
      <c r="I970" s="14"/>
      <c r="J970" s="14"/>
      <c r="K970" s="14"/>
      <c r="L970" s="14"/>
      <c r="M970" s="14"/>
      <c r="N970" s="14"/>
      <c r="O970" s="14"/>
      <c r="P970" s="14"/>
      <c r="Q970" s="14"/>
      <c r="R970" s="14"/>
      <c r="S970" s="14"/>
      <c r="T970" s="14"/>
      <c r="U970" s="14"/>
      <c r="V970" s="14"/>
      <c r="W970" s="14"/>
      <c r="X970" s="14"/>
      <c r="Y970" s="14"/>
    </row>
    <row r="971" spans="1:25" ht="15.75" x14ac:dyDescent="0.25">
      <c r="A971" s="21"/>
      <c r="B971" s="21"/>
      <c r="C971" s="21"/>
      <c r="E971" s="21"/>
      <c r="F971" s="21"/>
      <c r="G971" s="14"/>
      <c r="H971" s="14"/>
      <c r="I971" s="14"/>
      <c r="J971" s="14"/>
      <c r="K971" s="14"/>
      <c r="L971" s="14"/>
      <c r="M971" s="14"/>
      <c r="N971" s="14"/>
      <c r="O971" s="14"/>
      <c r="P971" s="14"/>
      <c r="Q971" s="14"/>
      <c r="R971" s="14"/>
      <c r="S971" s="14"/>
      <c r="T971" s="14"/>
      <c r="U971" s="14"/>
      <c r="V971" s="14"/>
      <c r="W971" s="14"/>
      <c r="X971" s="14"/>
      <c r="Y971" s="14"/>
    </row>
    <row r="972" spans="1:25" ht="15.75" x14ac:dyDescent="0.25">
      <c r="A972" s="21"/>
      <c r="B972" s="21"/>
      <c r="C972" s="21"/>
      <c r="E972" s="21"/>
      <c r="F972" s="21"/>
      <c r="G972" s="14"/>
      <c r="H972" s="14"/>
      <c r="I972" s="14"/>
      <c r="J972" s="14"/>
      <c r="K972" s="14"/>
      <c r="L972" s="14"/>
      <c r="M972" s="14"/>
      <c r="N972" s="14"/>
      <c r="O972" s="14"/>
      <c r="P972" s="14"/>
      <c r="Q972" s="14"/>
      <c r="R972" s="14"/>
      <c r="S972" s="14"/>
      <c r="T972" s="14"/>
      <c r="U972" s="14"/>
      <c r="V972" s="14"/>
      <c r="W972" s="14"/>
      <c r="X972" s="14"/>
      <c r="Y972" s="14"/>
    </row>
    <row r="973" spans="1:25" ht="15.75" x14ac:dyDescent="0.25">
      <c r="A973" s="21"/>
      <c r="B973" s="21"/>
      <c r="C973" s="21"/>
      <c r="E973" s="21"/>
      <c r="F973" s="21"/>
      <c r="G973" s="14"/>
      <c r="H973" s="14"/>
      <c r="I973" s="14"/>
      <c r="J973" s="14"/>
      <c r="K973" s="14"/>
      <c r="L973" s="14"/>
      <c r="M973" s="14"/>
      <c r="N973" s="14"/>
      <c r="O973" s="14"/>
      <c r="P973" s="14"/>
      <c r="Q973" s="14"/>
      <c r="R973" s="14"/>
      <c r="S973" s="14"/>
      <c r="T973" s="14"/>
      <c r="U973" s="14"/>
      <c r="V973" s="14"/>
      <c r="W973" s="14"/>
      <c r="X973" s="14"/>
      <c r="Y973" s="14"/>
    </row>
    <row r="974" spans="1:25" ht="15.75" x14ac:dyDescent="0.25">
      <c r="A974" s="21"/>
      <c r="B974" s="21"/>
      <c r="C974" s="21"/>
      <c r="E974" s="21"/>
      <c r="F974" s="21"/>
      <c r="G974" s="14"/>
      <c r="H974" s="14"/>
      <c r="I974" s="14"/>
      <c r="J974" s="14"/>
      <c r="K974" s="14"/>
      <c r="L974" s="14"/>
      <c r="M974" s="14"/>
      <c r="N974" s="14"/>
      <c r="O974" s="14"/>
      <c r="P974" s="14"/>
      <c r="Q974" s="14"/>
      <c r="R974" s="14"/>
      <c r="S974" s="14"/>
      <c r="T974" s="14"/>
      <c r="U974" s="14"/>
      <c r="V974" s="14"/>
      <c r="W974" s="14"/>
      <c r="X974" s="14"/>
      <c r="Y974" s="14"/>
    </row>
    <row r="975" spans="1:25" ht="15.75" x14ac:dyDescent="0.25">
      <c r="A975" s="21"/>
      <c r="B975" s="21"/>
      <c r="C975" s="21"/>
      <c r="E975" s="21"/>
      <c r="F975" s="21"/>
      <c r="G975" s="14"/>
      <c r="H975" s="14"/>
      <c r="I975" s="14"/>
      <c r="J975" s="14"/>
      <c r="K975" s="14"/>
      <c r="L975" s="14"/>
      <c r="M975" s="14"/>
      <c r="N975" s="14"/>
      <c r="O975" s="14"/>
      <c r="P975" s="14"/>
      <c r="Q975" s="14"/>
      <c r="R975" s="14"/>
      <c r="S975" s="14"/>
      <c r="T975" s="14"/>
      <c r="U975" s="14"/>
      <c r="V975" s="14"/>
      <c r="W975" s="14"/>
      <c r="X975" s="14"/>
      <c r="Y975" s="14"/>
    </row>
    <row r="976" spans="1:25" ht="15.75" x14ac:dyDescent="0.25">
      <c r="A976" s="21"/>
      <c r="B976" s="21"/>
      <c r="C976" s="21"/>
      <c r="E976" s="21"/>
      <c r="F976" s="21"/>
      <c r="G976" s="14"/>
      <c r="H976" s="14"/>
      <c r="I976" s="14"/>
      <c r="J976" s="14"/>
      <c r="K976" s="14"/>
      <c r="L976" s="14"/>
      <c r="M976" s="14"/>
      <c r="N976" s="14"/>
      <c r="O976" s="14"/>
      <c r="P976" s="14"/>
      <c r="Q976" s="14"/>
      <c r="R976" s="14"/>
      <c r="S976" s="14"/>
      <c r="T976" s="14"/>
      <c r="U976" s="14"/>
      <c r="V976" s="14"/>
      <c r="W976" s="14"/>
      <c r="X976" s="14"/>
      <c r="Y976" s="14"/>
    </row>
    <row r="977" spans="1:25" ht="15.75" x14ac:dyDescent="0.25">
      <c r="A977" s="21"/>
      <c r="B977" s="21"/>
      <c r="C977" s="21"/>
      <c r="E977" s="21"/>
      <c r="F977" s="21"/>
      <c r="G977" s="14"/>
      <c r="H977" s="14"/>
      <c r="I977" s="14"/>
      <c r="J977" s="14"/>
      <c r="K977" s="14"/>
      <c r="L977" s="14"/>
      <c r="M977" s="14"/>
      <c r="N977" s="14"/>
      <c r="O977" s="14"/>
      <c r="P977" s="14"/>
      <c r="Q977" s="14"/>
      <c r="R977" s="14"/>
      <c r="S977" s="14"/>
      <c r="T977" s="14"/>
      <c r="U977" s="14"/>
      <c r="V977" s="14"/>
      <c r="W977" s="14"/>
      <c r="X977" s="14"/>
      <c r="Y977" s="14"/>
    </row>
    <row r="978" spans="1:25" ht="15.75" x14ac:dyDescent="0.25">
      <c r="A978" s="21"/>
      <c r="B978" s="21"/>
      <c r="C978" s="21"/>
      <c r="E978" s="21"/>
      <c r="F978" s="21"/>
      <c r="G978" s="14"/>
      <c r="H978" s="14"/>
      <c r="I978" s="14"/>
      <c r="J978" s="14"/>
      <c r="K978" s="14"/>
      <c r="L978" s="14"/>
      <c r="M978" s="14"/>
      <c r="N978" s="14"/>
      <c r="O978" s="14"/>
      <c r="P978" s="14"/>
      <c r="Q978" s="14"/>
      <c r="R978" s="14"/>
      <c r="S978" s="14"/>
      <c r="T978" s="14"/>
      <c r="U978" s="14"/>
      <c r="V978" s="14"/>
      <c r="W978" s="14"/>
      <c r="X978" s="14"/>
      <c r="Y978" s="14"/>
    </row>
    <row r="979" spans="1:25" ht="15.75" x14ac:dyDescent="0.25">
      <c r="A979" s="21"/>
      <c r="B979" s="21"/>
      <c r="C979" s="21"/>
      <c r="E979" s="21"/>
      <c r="F979" s="21"/>
      <c r="G979" s="14"/>
      <c r="H979" s="14"/>
      <c r="I979" s="14"/>
      <c r="J979" s="14"/>
      <c r="K979" s="14"/>
      <c r="L979" s="14"/>
      <c r="M979" s="14"/>
      <c r="N979" s="14"/>
      <c r="O979" s="14"/>
      <c r="P979" s="14"/>
      <c r="Q979" s="14"/>
      <c r="R979" s="14"/>
      <c r="S979" s="14"/>
      <c r="T979" s="14"/>
      <c r="U979" s="14"/>
      <c r="V979" s="14"/>
      <c r="W979" s="14"/>
      <c r="X979" s="14"/>
      <c r="Y979" s="14"/>
    </row>
    <row r="980" spans="1:25" ht="15.75" x14ac:dyDescent="0.25">
      <c r="A980" s="21"/>
      <c r="B980" s="21"/>
      <c r="C980" s="21"/>
      <c r="E980" s="21"/>
      <c r="F980" s="21"/>
      <c r="G980" s="14"/>
      <c r="H980" s="14"/>
      <c r="I980" s="14"/>
      <c r="J980" s="14"/>
      <c r="K980" s="14"/>
      <c r="L980" s="14"/>
      <c r="M980" s="14"/>
      <c r="N980" s="14"/>
      <c r="O980" s="14"/>
      <c r="P980" s="14"/>
      <c r="Q980" s="14"/>
      <c r="R980" s="14"/>
      <c r="S980" s="14"/>
      <c r="T980" s="14"/>
      <c r="U980" s="14"/>
      <c r="V980" s="14"/>
      <c r="W980" s="14"/>
      <c r="X980" s="14"/>
      <c r="Y980" s="14"/>
    </row>
    <row r="981" spans="1:25" ht="15.75" x14ac:dyDescent="0.25">
      <c r="A981" s="21"/>
      <c r="B981" s="21"/>
      <c r="C981" s="21"/>
      <c r="E981" s="21"/>
      <c r="F981" s="21"/>
      <c r="G981" s="14"/>
      <c r="H981" s="14"/>
      <c r="I981" s="14"/>
      <c r="J981" s="14"/>
      <c r="K981" s="14"/>
      <c r="L981" s="14"/>
      <c r="M981" s="14"/>
      <c r="N981" s="14"/>
      <c r="O981" s="14"/>
      <c r="P981" s="14"/>
      <c r="Q981" s="14"/>
      <c r="R981" s="14"/>
      <c r="S981" s="14"/>
      <c r="T981" s="14"/>
      <c r="U981" s="14"/>
      <c r="V981" s="14"/>
      <c r="W981" s="14"/>
      <c r="X981" s="14"/>
      <c r="Y981" s="14"/>
    </row>
    <row r="982" spans="1:25" ht="15.75" x14ac:dyDescent="0.25">
      <c r="A982" s="21"/>
      <c r="B982" s="21"/>
      <c r="C982" s="21"/>
      <c r="E982" s="21"/>
      <c r="F982" s="21"/>
      <c r="G982" s="14"/>
      <c r="H982" s="14"/>
      <c r="I982" s="14"/>
      <c r="J982" s="14"/>
      <c r="K982" s="14"/>
      <c r="L982" s="14"/>
      <c r="M982" s="14"/>
      <c r="N982" s="14"/>
      <c r="O982" s="14"/>
      <c r="P982" s="14"/>
      <c r="Q982" s="14"/>
      <c r="R982" s="14"/>
      <c r="S982" s="14"/>
      <c r="T982" s="14"/>
      <c r="U982" s="14"/>
      <c r="V982" s="14"/>
      <c r="W982" s="14"/>
      <c r="X982" s="14"/>
      <c r="Y982" s="14"/>
    </row>
    <row r="983" spans="1:25" ht="15.75" x14ac:dyDescent="0.25">
      <c r="A983" s="21"/>
      <c r="B983" s="21"/>
      <c r="C983" s="21"/>
      <c r="E983" s="21"/>
      <c r="F983" s="21"/>
      <c r="G983" s="14"/>
      <c r="H983" s="14"/>
      <c r="I983" s="14"/>
      <c r="J983" s="14"/>
      <c r="K983" s="14"/>
      <c r="L983" s="14"/>
      <c r="M983" s="14"/>
      <c r="N983" s="14"/>
      <c r="O983" s="14"/>
      <c r="P983" s="14"/>
      <c r="Q983" s="14"/>
      <c r="R983" s="14"/>
      <c r="S983" s="14"/>
      <c r="T983" s="14"/>
      <c r="U983" s="14"/>
      <c r="V983" s="14"/>
      <c r="W983" s="14"/>
      <c r="X983" s="14"/>
      <c r="Y983" s="14"/>
    </row>
    <row r="984" spans="1:25" ht="15.75" x14ac:dyDescent="0.25">
      <c r="A984" s="21"/>
      <c r="B984" s="21"/>
      <c r="C984" s="21"/>
      <c r="E984" s="21"/>
      <c r="F984" s="21"/>
      <c r="G984" s="14"/>
      <c r="H984" s="14"/>
      <c r="I984" s="14"/>
      <c r="J984" s="14"/>
      <c r="K984" s="14"/>
      <c r="L984" s="14"/>
      <c r="M984" s="14"/>
      <c r="N984" s="14"/>
      <c r="O984" s="14"/>
      <c r="P984" s="14"/>
      <c r="Q984" s="14"/>
      <c r="R984" s="14"/>
      <c r="S984" s="14"/>
      <c r="T984" s="14"/>
      <c r="U984" s="14"/>
      <c r="V984" s="14"/>
      <c r="W984" s="14"/>
      <c r="X984" s="14"/>
      <c r="Y984" s="14"/>
    </row>
    <row r="985" spans="1:25" ht="15.75" x14ac:dyDescent="0.25">
      <c r="A985" s="21"/>
      <c r="B985" s="21"/>
      <c r="C985" s="21"/>
      <c r="E985" s="21"/>
      <c r="F985" s="21"/>
      <c r="G985" s="14"/>
      <c r="H985" s="14"/>
      <c r="I985" s="14"/>
      <c r="J985" s="14"/>
      <c r="K985" s="14"/>
      <c r="L985" s="14"/>
      <c r="M985" s="14"/>
      <c r="N985" s="14"/>
      <c r="O985" s="14"/>
      <c r="P985" s="14"/>
      <c r="Q985" s="14"/>
      <c r="R985" s="14"/>
      <c r="S985" s="14"/>
      <c r="T985" s="14"/>
      <c r="U985" s="14"/>
      <c r="V985" s="14"/>
      <c r="W985" s="14"/>
      <c r="X985" s="14"/>
      <c r="Y985" s="14"/>
    </row>
    <row r="986" spans="1:25" ht="15.75" x14ac:dyDescent="0.25">
      <c r="A986" s="21"/>
      <c r="B986" s="21"/>
      <c r="C986" s="21"/>
      <c r="E986" s="21"/>
      <c r="F986" s="21"/>
      <c r="G986" s="14"/>
      <c r="H986" s="14"/>
      <c r="I986" s="14"/>
      <c r="J986" s="14"/>
      <c r="K986" s="14"/>
      <c r="L986" s="14"/>
      <c r="M986" s="14"/>
      <c r="N986" s="14"/>
      <c r="O986" s="14"/>
      <c r="P986" s="14"/>
      <c r="Q986" s="14"/>
      <c r="R986" s="14"/>
      <c r="S986" s="14"/>
      <c r="T986" s="14"/>
      <c r="U986" s="14"/>
      <c r="V986" s="14"/>
      <c r="W986" s="14"/>
      <c r="X986" s="14"/>
      <c r="Y986" s="14"/>
    </row>
    <row r="987" spans="1:25" ht="15.75" x14ac:dyDescent="0.25">
      <c r="A987" s="21"/>
      <c r="B987" s="21"/>
      <c r="C987" s="21"/>
      <c r="E987" s="21"/>
      <c r="F987" s="21"/>
      <c r="G987" s="14"/>
      <c r="H987" s="14"/>
      <c r="I987" s="14"/>
      <c r="J987" s="14"/>
      <c r="K987" s="14"/>
      <c r="L987" s="14"/>
      <c r="M987" s="14"/>
      <c r="N987" s="14"/>
      <c r="O987" s="14"/>
      <c r="P987" s="14"/>
      <c r="Q987" s="14"/>
      <c r="R987" s="14"/>
      <c r="S987" s="14"/>
      <c r="T987" s="14"/>
      <c r="U987" s="14"/>
      <c r="V987" s="14"/>
      <c r="W987" s="14"/>
      <c r="X987" s="14"/>
      <c r="Y987" s="14"/>
    </row>
    <row r="988" spans="1:25" ht="15.75" x14ac:dyDescent="0.25">
      <c r="A988" s="21"/>
      <c r="B988" s="21"/>
      <c r="C988" s="21"/>
      <c r="E988" s="21"/>
      <c r="F988" s="21"/>
      <c r="G988" s="14"/>
      <c r="H988" s="14"/>
      <c r="I988" s="14"/>
      <c r="J988" s="14"/>
      <c r="K988" s="14"/>
      <c r="L988" s="14"/>
      <c r="M988" s="14"/>
      <c r="N988" s="14"/>
      <c r="O988" s="14"/>
      <c r="P988" s="14"/>
      <c r="Q988" s="14"/>
      <c r="R988" s="14"/>
      <c r="S988" s="14"/>
      <c r="T988" s="14"/>
      <c r="U988" s="14"/>
      <c r="V988" s="14"/>
      <c r="W988" s="14"/>
      <c r="X988" s="14"/>
      <c r="Y988" s="14"/>
    </row>
    <row r="989" spans="1:25" ht="15.75" x14ac:dyDescent="0.25">
      <c r="A989" s="21"/>
      <c r="B989" s="21"/>
      <c r="C989" s="21"/>
      <c r="E989" s="21"/>
      <c r="F989" s="21"/>
      <c r="G989" s="14"/>
      <c r="H989" s="14"/>
      <c r="I989" s="14"/>
      <c r="J989" s="14"/>
      <c r="K989" s="14"/>
      <c r="L989" s="14"/>
      <c r="M989" s="14"/>
      <c r="N989" s="14"/>
      <c r="O989" s="14"/>
      <c r="P989" s="14"/>
      <c r="Q989" s="14"/>
      <c r="R989" s="14"/>
      <c r="S989" s="14"/>
      <c r="T989" s="14"/>
      <c r="U989" s="14"/>
      <c r="V989" s="14"/>
      <c r="W989" s="14"/>
      <c r="X989" s="14"/>
      <c r="Y989" s="14"/>
    </row>
    <row r="990" spans="1:25" ht="15.75" x14ac:dyDescent="0.25">
      <c r="A990" s="21"/>
      <c r="B990" s="21"/>
      <c r="C990" s="21"/>
      <c r="E990" s="21"/>
      <c r="F990" s="21"/>
      <c r="G990" s="14"/>
      <c r="H990" s="14"/>
      <c r="I990" s="14"/>
      <c r="J990" s="14"/>
      <c r="K990" s="14"/>
      <c r="L990" s="14"/>
      <c r="M990" s="14"/>
      <c r="N990" s="14"/>
      <c r="O990" s="14"/>
      <c r="P990" s="14"/>
      <c r="Q990" s="14"/>
      <c r="R990" s="14"/>
      <c r="S990" s="14"/>
      <c r="T990" s="14"/>
      <c r="U990" s="14"/>
      <c r="V990" s="14"/>
      <c r="W990" s="14"/>
      <c r="X990" s="14"/>
      <c r="Y990" s="14"/>
    </row>
    <row r="991" spans="1:25" ht="15.75" x14ac:dyDescent="0.25">
      <c r="A991" s="21"/>
      <c r="B991" s="21"/>
      <c r="C991" s="21"/>
      <c r="E991" s="21"/>
      <c r="F991" s="21"/>
      <c r="G991" s="14"/>
      <c r="H991" s="14"/>
      <c r="I991" s="14"/>
      <c r="J991" s="14"/>
      <c r="K991" s="14"/>
      <c r="L991" s="14"/>
      <c r="M991" s="14"/>
      <c r="N991" s="14"/>
      <c r="O991" s="14"/>
      <c r="P991" s="14"/>
      <c r="Q991" s="14"/>
      <c r="R991" s="14"/>
      <c r="S991" s="14"/>
      <c r="T991" s="14"/>
      <c r="U991" s="14"/>
      <c r="V991" s="14"/>
      <c r="W991" s="14"/>
      <c r="X991" s="14"/>
      <c r="Y991" s="14"/>
    </row>
    <row r="992" spans="1:25" ht="15.75" x14ac:dyDescent="0.25">
      <c r="A992" s="21"/>
      <c r="B992" s="21"/>
      <c r="C992" s="21"/>
      <c r="E992" s="21"/>
      <c r="F992" s="21"/>
      <c r="G992" s="14"/>
      <c r="H992" s="14"/>
      <c r="I992" s="14"/>
      <c r="J992" s="14"/>
      <c r="K992" s="14"/>
      <c r="L992" s="14"/>
      <c r="M992" s="14"/>
      <c r="N992" s="14"/>
      <c r="O992" s="14"/>
      <c r="P992" s="14"/>
      <c r="Q992" s="14"/>
      <c r="R992" s="14"/>
      <c r="S992" s="14"/>
      <c r="T992" s="14"/>
      <c r="U992" s="14"/>
      <c r="V992" s="14"/>
      <c r="W992" s="14"/>
      <c r="X992" s="14"/>
      <c r="Y992" s="14"/>
    </row>
    <row r="993" spans="1:25" ht="15.75" x14ac:dyDescent="0.25">
      <c r="A993" s="21"/>
      <c r="B993" s="21"/>
      <c r="C993" s="21"/>
      <c r="E993" s="21"/>
      <c r="F993" s="21"/>
      <c r="G993" s="14"/>
      <c r="H993" s="14"/>
      <c r="I993" s="14"/>
      <c r="J993" s="14"/>
      <c r="K993" s="14"/>
      <c r="L993" s="14"/>
      <c r="M993" s="14"/>
      <c r="N993" s="14"/>
      <c r="O993" s="14"/>
      <c r="P993" s="14"/>
      <c r="Q993" s="14"/>
      <c r="R993" s="14"/>
      <c r="S993" s="14"/>
      <c r="T993" s="14"/>
      <c r="U993" s="14"/>
      <c r="V993" s="14"/>
      <c r="W993" s="14"/>
      <c r="X993" s="14"/>
      <c r="Y993" s="14"/>
    </row>
    <row r="994" spans="1:25" ht="15.75" x14ac:dyDescent="0.25">
      <c r="A994" s="21"/>
      <c r="B994" s="21"/>
      <c r="C994" s="21"/>
      <c r="E994" s="21"/>
      <c r="F994" s="21"/>
      <c r="G994" s="14"/>
      <c r="H994" s="14"/>
      <c r="I994" s="14"/>
      <c r="J994" s="14"/>
      <c r="K994" s="14"/>
      <c r="L994" s="14"/>
      <c r="M994" s="14"/>
      <c r="N994" s="14"/>
      <c r="O994" s="14"/>
      <c r="P994" s="14"/>
      <c r="Q994" s="14"/>
      <c r="R994" s="14"/>
      <c r="S994" s="14"/>
      <c r="T994" s="14"/>
      <c r="U994" s="14"/>
      <c r="V994" s="14"/>
      <c r="W994" s="14"/>
      <c r="X994" s="14"/>
      <c r="Y994" s="14"/>
    </row>
    <row r="995" spans="1:25" ht="15.75" x14ac:dyDescent="0.25">
      <c r="A995" s="21"/>
      <c r="B995" s="21"/>
      <c r="C995" s="21"/>
      <c r="E995" s="21"/>
      <c r="F995" s="21"/>
      <c r="G995" s="14"/>
      <c r="H995" s="14"/>
      <c r="I995" s="14"/>
      <c r="J995" s="14"/>
      <c r="K995" s="14"/>
      <c r="L995" s="14"/>
      <c r="M995" s="14"/>
      <c r="N995" s="14"/>
      <c r="O995" s="14"/>
      <c r="P995" s="14"/>
      <c r="Q995" s="14"/>
      <c r="R995" s="14"/>
      <c r="S995" s="14"/>
      <c r="T995" s="14"/>
      <c r="U995" s="14"/>
      <c r="V995" s="14"/>
      <c r="W995" s="14"/>
      <c r="X995" s="14"/>
      <c r="Y995" s="14"/>
    </row>
    <row r="996" spans="1:25" ht="15.75" x14ac:dyDescent="0.25">
      <c r="A996" s="21"/>
      <c r="B996" s="21"/>
      <c r="C996" s="21"/>
      <c r="E996" s="21"/>
      <c r="F996" s="21"/>
      <c r="G996" s="14"/>
      <c r="H996" s="14"/>
      <c r="I996" s="14"/>
      <c r="J996" s="14"/>
      <c r="K996" s="14"/>
      <c r="L996" s="14"/>
      <c r="M996" s="14"/>
      <c r="N996" s="14"/>
      <c r="O996" s="14"/>
      <c r="P996" s="14"/>
      <c r="Q996" s="14"/>
      <c r="R996" s="14"/>
      <c r="S996" s="14"/>
      <c r="T996" s="14"/>
      <c r="U996" s="14"/>
      <c r="V996" s="14"/>
      <c r="W996" s="14"/>
      <c r="X996" s="14"/>
      <c r="Y996" s="14"/>
    </row>
    <row r="997" spans="1:25" ht="15.75" x14ac:dyDescent="0.25">
      <c r="A997" s="21"/>
      <c r="B997" s="21"/>
      <c r="C997" s="21"/>
      <c r="E997" s="21"/>
      <c r="F997" s="21"/>
      <c r="G997" s="14"/>
      <c r="H997" s="14"/>
      <c r="I997" s="14"/>
      <c r="J997" s="14"/>
      <c r="K997" s="14"/>
      <c r="L997" s="14"/>
      <c r="M997" s="14"/>
      <c r="N997" s="14"/>
      <c r="O997" s="14"/>
      <c r="P997" s="14"/>
      <c r="Q997" s="14"/>
      <c r="R997" s="14"/>
      <c r="S997" s="14"/>
      <c r="T997" s="14"/>
      <c r="U997" s="14"/>
      <c r="V997" s="14"/>
      <c r="W997" s="14"/>
      <c r="X997" s="14"/>
      <c r="Y997" s="14"/>
    </row>
    <row r="998" spans="1:25" ht="15.75" x14ac:dyDescent="0.25">
      <c r="A998" s="21"/>
      <c r="B998" s="21"/>
      <c r="C998" s="21"/>
      <c r="E998" s="21"/>
      <c r="F998" s="21"/>
      <c r="G998" s="14"/>
      <c r="H998" s="14"/>
      <c r="I998" s="14"/>
      <c r="J998" s="14"/>
      <c r="K998" s="14"/>
      <c r="L998" s="14"/>
      <c r="M998" s="14"/>
      <c r="N998" s="14"/>
      <c r="O998" s="14"/>
      <c r="P998" s="14"/>
      <c r="Q998" s="14"/>
      <c r="R998" s="14"/>
      <c r="S998" s="14"/>
      <c r="T998" s="14"/>
      <c r="U998" s="14"/>
      <c r="V998" s="14"/>
      <c r="W998" s="14"/>
      <c r="X998" s="14"/>
      <c r="Y998" s="14"/>
    </row>
    <row r="999" spans="1:25" ht="15.75" x14ac:dyDescent="0.25">
      <c r="A999" s="21"/>
      <c r="B999" s="21"/>
      <c r="C999" s="21"/>
      <c r="E999" s="21"/>
      <c r="F999" s="21"/>
      <c r="G999" s="14"/>
      <c r="H999" s="14"/>
      <c r="I999" s="14"/>
      <c r="J999" s="14"/>
      <c r="K999" s="14"/>
      <c r="L999" s="14"/>
      <c r="M999" s="14"/>
      <c r="N999" s="14"/>
      <c r="O999" s="14"/>
      <c r="P999" s="14"/>
      <c r="Q999" s="14"/>
      <c r="R999" s="14"/>
      <c r="S999" s="14"/>
      <c r="T999" s="14"/>
      <c r="U999" s="14"/>
      <c r="V999" s="14"/>
      <c r="W999" s="14"/>
      <c r="X999" s="14"/>
      <c r="Y999" s="14"/>
    </row>
    <row r="1000" spans="1:25" ht="15.75" x14ac:dyDescent="0.25">
      <c r="A1000" s="21"/>
      <c r="B1000" s="21"/>
      <c r="C1000" s="21"/>
      <c r="E1000" s="21"/>
      <c r="F1000" s="21"/>
      <c r="G1000" s="14"/>
      <c r="H1000" s="14"/>
      <c r="I1000" s="14"/>
      <c r="J1000" s="14"/>
      <c r="K1000" s="14"/>
      <c r="L1000" s="14"/>
      <c r="M1000" s="14"/>
      <c r="N1000" s="14"/>
      <c r="O1000" s="14"/>
      <c r="P1000" s="14"/>
      <c r="Q1000" s="14"/>
      <c r="R1000" s="14"/>
      <c r="S1000" s="14"/>
      <c r="T1000" s="14"/>
      <c r="U1000" s="14"/>
      <c r="V1000" s="14"/>
      <c r="W1000" s="14"/>
      <c r="X1000" s="14"/>
      <c r="Y1000" s="14"/>
    </row>
    <row r="1001" spans="1:25" ht="15.75" x14ac:dyDescent="0.25">
      <c r="A1001" s="21"/>
      <c r="B1001" s="21"/>
      <c r="C1001" s="21"/>
      <c r="E1001" s="21"/>
      <c r="F1001" s="21"/>
      <c r="G1001" s="14"/>
      <c r="H1001" s="14"/>
      <c r="I1001" s="14"/>
      <c r="J1001" s="14"/>
      <c r="K1001" s="14"/>
      <c r="L1001" s="14"/>
      <c r="M1001" s="14"/>
      <c r="N1001" s="14"/>
      <c r="O1001" s="14"/>
      <c r="P1001" s="14"/>
      <c r="Q1001" s="14"/>
      <c r="R1001" s="14"/>
      <c r="S1001" s="14"/>
      <c r="T1001" s="14"/>
      <c r="U1001" s="14"/>
      <c r="V1001" s="14"/>
      <c r="W1001" s="14"/>
      <c r="X1001" s="14"/>
      <c r="Y1001" s="14"/>
    </row>
    <row r="1002" spans="1:25" ht="15.75" x14ac:dyDescent="0.25">
      <c r="A1002" s="21"/>
      <c r="B1002" s="21"/>
      <c r="C1002" s="21"/>
      <c r="E1002" s="21"/>
      <c r="F1002" s="21"/>
      <c r="G1002" s="14"/>
      <c r="H1002" s="14"/>
      <c r="I1002" s="14"/>
      <c r="J1002" s="14"/>
      <c r="K1002" s="14"/>
      <c r="L1002" s="14"/>
      <c r="M1002" s="14"/>
      <c r="N1002" s="14"/>
      <c r="O1002" s="14"/>
      <c r="P1002" s="14"/>
      <c r="Q1002" s="14"/>
      <c r="R1002" s="14"/>
      <c r="S1002" s="14"/>
      <c r="T1002" s="14"/>
      <c r="U1002" s="14"/>
      <c r="V1002" s="14"/>
      <c r="W1002" s="14"/>
      <c r="X1002" s="14"/>
      <c r="Y1002" s="14"/>
    </row>
    <row r="1003" spans="1:25" ht="15.75" x14ac:dyDescent="0.25">
      <c r="A1003" s="21"/>
      <c r="B1003" s="21"/>
      <c r="C1003" s="21"/>
      <c r="E1003" s="21"/>
      <c r="F1003" s="21"/>
      <c r="G1003" s="14"/>
      <c r="H1003" s="14"/>
      <c r="I1003" s="14"/>
      <c r="J1003" s="14"/>
      <c r="K1003" s="14"/>
      <c r="L1003" s="14"/>
      <c r="M1003" s="14"/>
      <c r="N1003" s="14"/>
      <c r="O1003" s="14"/>
      <c r="P1003" s="14"/>
      <c r="Q1003" s="14"/>
      <c r="R1003" s="14"/>
      <c r="S1003" s="14"/>
      <c r="T1003" s="14"/>
      <c r="U1003" s="14"/>
      <c r="V1003" s="14"/>
      <c r="W1003" s="14"/>
      <c r="X1003" s="14"/>
      <c r="Y1003" s="14"/>
    </row>
    <row r="1004" spans="1:25" ht="15.75" x14ac:dyDescent="0.25">
      <c r="A1004" s="21"/>
      <c r="B1004" s="21"/>
      <c r="C1004" s="21"/>
      <c r="E1004" s="21"/>
      <c r="F1004" s="21"/>
      <c r="G1004" s="14"/>
      <c r="H1004" s="14"/>
      <c r="I1004" s="14"/>
      <c r="J1004" s="14"/>
      <c r="K1004" s="14"/>
      <c r="L1004" s="14"/>
      <c r="M1004" s="14"/>
      <c r="N1004" s="14"/>
      <c r="O1004" s="14"/>
      <c r="P1004" s="14"/>
      <c r="Q1004" s="14"/>
      <c r="R1004" s="14"/>
      <c r="S1004" s="14"/>
      <c r="T1004" s="14"/>
      <c r="U1004" s="14"/>
      <c r="V1004" s="14"/>
      <c r="W1004" s="14"/>
      <c r="X1004" s="14"/>
      <c r="Y1004" s="14"/>
    </row>
    <row r="1005" spans="1:25" ht="15.75" x14ac:dyDescent="0.25">
      <c r="A1005" s="21"/>
      <c r="B1005" s="21"/>
      <c r="C1005" s="21"/>
      <c r="E1005" s="21"/>
      <c r="F1005" s="21"/>
      <c r="G1005" s="14"/>
      <c r="H1005" s="14"/>
      <c r="I1005" s="14"/>
      <c r="J1005" s="14"/>
      <c r="K1005" s="14"/>
      <c r="L1005" s="14"/>
      <c r="M1005" s="14"/>
      <c r="N1005" s="14"/>
      <c r="O1005" s="14"/>
      <c r="P1005" s="14"/>
      <c r="Q1005" s="14"/>
      <c r="R1005" s="14"/>
      <c r="S1005" s="14"/>
      <c r="T1005" s="14"/>
      <c r="U1005" s="14"/>
      <c r="V1005" s="14"/>
      <c r="W1005" s="14"/>
      <c r="X1005" s="14"/>
      <c r="Y1005" s="14"/>
    </row>
    <row r="1006" spans="1:25" ht="15.75" x14ac:dyDescent="0.25">
      <c r="A1006" s="21"/>
      <c r="B1006" s="21"/>
      <c r="C1006" s="21"/>
      <c r="E1006" s="21"/>
      <c r="F1006" s="21"/>
      <c r="G1006" s="14"/>
      <c r="H1006" s="14"/>
      <c r="I1006" s="14"/>
      <c r="J1006" s="14"/>
      <c r="K1006" s="14"/>
      <c r="L1006" s="14"/>
      <c r="M1006" s="14"/>
      <c r="N1006" s="14"/>
      <c r="O1006" s="14"/>
      <c r="P1006" s="14"/>
      <c r="Q1006" s="14"/>
      <c r="R1006" s="14"/>
      <c r="S1006" s="14"/>
      <c r="T1006" s="14"/>
      <c r="U1006" s="14"/>
      <c r="V1006" s="14"/>
      <c r="W1006" s="14"/>
      <c r="X1006" s="14"/>
      <c r="Y1006" s="14"/>
    </row>
    <row r="1007" spans="1:25" ht="15.75" x14ac:dyDescent="0.25">
      <c r="A1007" s="21"/>
      <c r="B1007" s="21"/>
      <c r="C1007" s="21"/>
      <c r="E1007" s="21"/>
      <c r="F1007" s="21"/>
      <c r="G1007" s="14"/>
      <c r="H1007" s="14"/>
      <c r="I1007" s="14"/>
      <c r="J1007" s="14"/>
      <c r="K1007" s="14"/>
      <c r="L1007" s="14"/>
      <c r="M1007" s="14"/>
      <c r="N1007" s="14"/>
      <c r="O1007" s="14"/>
      <c r="P1007" s="14"/>
      <c r="Q1007" s="14"/>
      <c r="R1007" s="14"/>
      <c r="S1007" s="14"/>
      <c r="T1007" s="14"/>
      <c r="U1007" s="14"/>
      <c r="V1007" s="14"/>
      <c r="W1007" s="14"/>
      <c r="X1007" s="14"/>
      <c r="Y1007" s="14"/>
    </row>
    <row r="1008" spans="1:25" ht="15.75" x14ac:dyDescent="0.25">
      <c r="A1008" s="21"/>
      <c r="B1008" s="21"/>
      <c r="C1008" s="21"/>
      <c r="E1008" s="21"/>
      <c r="F1008" s="21"/>
      <c r="G1008" s="14"/>
      <c r="H1008" s="14"/>
      <c r="I1008" s="14"/>
      <c r="J1008" s="14"/>
      <c r="K1008" s="14"/>
      <c r="L1008" s="14"/>
      <c r="M1008" s="14"/>
      <c r="N1008" s="14"/>
      <c r="O1008" s="14"/>
      <c r="P1008" s="14"/>
      <c r="Q1008" s="14"/>
      <c r="R1008" s="14"/>
      <c r="S1008" s="14"/>
      <c r="T1008" s="14"/>
      <c r="U1008" s="14"/>
      <c r="V1008" s="14"/>
      <c r="W1008" s="14"/>
      <c r="X1008" s="14"/>
      <c r="Y1008" s="14"/>
    </row>
    <row r="1009" spans="1:25" ht="15.75" x14ac:dyDescent="0.25">
      <c r="A1009" s="21"/>
      <c r="B1009" s="21"/>
      <c r="C1009" s="21"/>
      <c r="E1009" s="21"/>
      <c r="F1009" s="21"/>
      <c r="G1009" s="14"/>
      <c r="H1009" s="14"/>
      <c r="I1009" s="14"/>
      <c r="J1009" s="14"/>
      <c r="K1009" s="14"/>
      <c r="L1009" s="14"/>
      <c r="M1009" s="14"/>
      <c r="N1009" s="14"/>
      <c r="O1009" s="14"/>
      <c r="P1009" s="14"/>
      <c r="Q1009" s="14"/>
      <c r="R1009" s="14"/>
      <c r="S1009" s="14"/>
      <c r="T1009" s="14"/>
      <c r="U1009" s="14"/>
      <c r="V1009" s="14"/>
      <c r="W1009" s="14"/>
      <c r="X1009" s="14"/>
      <c r="Y1009" s="14"/>
    </row>
    <row r="1010" spans="1:25" ht="15.75" x14ac:dyDescent="0.25">
      <c r="A1010" s="21"/>
      <c r="B1010" s="21"/>
      <c r="C1010" s="21"/>
      <c r="E1010" s="21"/>
      <c r="F1010" s="21"/>
      <c r="G1010" s="14"/>
      <c r="H1010" s="14"/>
      <c r="I1010" s="14"/>
      <c r="J1010" s="14"/>
      <c r="K1010" s="14"/>
      <c r="L1010" s="14"/>
      <c r="M1010" s="14"/>
      <c r="N1010" s="14"/>
      <c r="O1010" s="14"/>
      <c r="P1010" s="14"/>
      <c r="Q1010" s="14"/>
      <c r="R1010" s="14"/>
      <c r="S1010" s="14"/>
      <c r="T1010" s="14"/>
      <c r="U1010" s="14"/>
      <c r="V1010" s="14"/>
      <c r="W1010" s="14"/>
      <c r="X1010" s="14"/>
      <c r="Y1010" s="14"/>
    </row>
    <row r="1011" spans="1:25" ht="15.75" x14ac:dyDescent="0.25">
      <c r="A1011" s="21"/>
      <c r="B1011" s="21"/>
      <c r="C1011" s="21"/>
      <c r="E1011" s="21"/>
      <c r="F1011" s="21"/>
      <c r="G1011" s="14"/>
      <c r="H1011" s="14"/>
      <c r="I1011" s="14"/>
      <c r="J1011" s="14"/>
      <c r="K1011" s="14"/>
      <c r="L1011" s="14"/>
      <c r="M1011" s="14"/>
      <c r="N1011" s="14"/>
      <c r="O1011" s="14"/>
      <c r="P1011" s="14"/>
      <c r="Q1011" s="14"/>
      <c r="R1011" s="14"/>
      <c r="S1011" s="14"/>
      <c r="T1011" s="14"/>
      <c r="U1011" s="14"/>
      <c r="V1011" s="14"/>
      <c r="W1011" s="14"/>
      <c r="X1011" s="14"/>
      <c r="Y1011" s="14"/>
    </row>
    <row r="1012" spans="1:25" ht="15.75" x14ac:dyDescent="0.25">
      <c r="A1012" s="21"/>
      <c r="B1012" s="21"/>
      <c r="C1012" s="21"/>
      <c r="E1012" s="21"/>
      <c r="F1012" s="21"/>
      <c r="G1012" s="14"/>
      <c r="H1012" s="14"/>
      <c r="I1012" s="14"/>
      <c r="J1012" s="14"/>
      <c r="K1012" s="14"/>
      <c r="L1012" s="14"/>
      <c r="M1012" s="14"/>
      <c r="N1012" s="14"/>
      <c r="O1012" s="14"/>
      <c r="P1012" s="14"/>
      <c r="Q1012" s="14"/>
      <c r="R1012" s="14"/>
      <c r="S1012" s="14"/>
      <c r="T1012" s="14"/>
      <c r="U1012" s="14"/>
      <c r="V1012" s="14"/>
      <c r="W1012" s="14"/>
      <c r="X1012" s="14"/>
      <c r="Y1012" s="14"/>
    </row>
    <row r="1013" spans="1:25" ht="15.75" x14ac:dyDescent="0.25">
      <c r="A1013" s="21"/>
      <c r="B1013" s="21"/>
      <c r="C1013" s="21"/>
      <c r="E1013" s="21"/>
      <c r="F1013" s="21"/>
      <c r="G1013" s="14"/>
      <c r="H1013" s="14"/>
      <c r="I1013" s="14"/>
      <c r="J1013" s="14"/>
      <c r="K1013" s="14"/>
      <c r="L1013" s="14"/>
      <c r="M1013" s="14"/>
      <c r="N1013" s="14"/>
      <c r="O1013" s="14"/>
      <c r="P1013" s="14"/>
      <c r="Q1013" s="14"/>
      <c r="R1013" s="14"/>
      <c r="S1013" s="14"/>
      <c r="T1013" s="14"/>
      <c r="U1013" s="14"/>
      <c r="V1013" s="14"/>
      <c r="W1013" s="14"/>
      <c r="X1013" s="14"/>
      <c r="Y1013" s="14"/>
    </row>
    <row r="1014" spans="1:25" ht="15.75" x14ac:dyDescent="0.25">
      <c r="A1014" s="21"/>
      <c r="B1014" s="21"/>
      <c r="C1014" s="21"/>
      <c r="E1014" s="21"/>
      <c r="F1014" s="21"/>
      <c r="G1014" s="14"/>
      <c r="H1014" s="14"/>
      <c r="I1014" s="14"/>
      <c r="J1014" s="14"/>
      <c r="K1014" s="14"/>
      <c r="L1014" s="14"/>
      <c r="M1014" s="14"/>
      <c r="N1014" s="14"/>
      <c r="O1014" s="14"/>
      <c r="P1014" s="14"/>
      <c r="Q1014" s="14"/>
      <c r="R1014" s="14"/>
      <c r="S1014" s="14"/>
      <c r="T1014" s="14"/>
      <c r="U1014" s="14"/>
      <c r="V1014" s="14"/>
      <c r="W1014" s="14"/>
      <c r="X1014" s="14"/>
      <c r="Y1014" s="14"/>
    </row>
    <row r="1015" spans="1:25" ht="15.75" x14ac:dyDescent="0.25">
      <c r="A1015" s="21"/>
      <c r="B1015" s="21"/>
      <c r="C1015" s="21"/>
      <c r="E1015" s="21"/>
      <c r="F1015" s="21"/>
      <c r="G1015" s="14"/>
      <c r="H1015" s="14"/>
      <c r="I1015" s="14"/>
      <c r="J1015" s="14"/>
      <c r="K1015" s="14"/>
      <c r="L1015" s="14"/>
      <c r="M1015" s="14"/>
      <c r="N1015" s="14"/>
      <c r="O1015" s="14"/>
      <c r="P1015" s="14"/>
      <c r="Q1015" s="14"/>
      <c r="R1015" s="14"/>
      <c r="S1015" s="14"/>
      <c r="T1015" s="14"/>
      <c r="U1015" s="14"/>
      <c r="V1015" s="14"/>
      <c r="W1015" s="14"/>
      <c r="X1015" s="14"/>
      <c r="Y1015" s="14"/>
    </row>
    <row r="1016" spans="1:25" ht="15.75" x14ac:dyDescent="0.25">
      <c r="A1016" s="21"/>
      <c r="B1016" s="21"/>
      <c r="C1016" s="21"/>
      <c r="E1016" s="21"/>
      <c r="F1016" s="21"/>
      <c r="G1016" s="14"/>
      <c r="H1016" s="14"/>
      <c r="I1016" s="14"/>
      <c r="J1016" s="14"/>
      <c r="K1016" s="14"/>
      <c r="L1016" s="14"/>
      <c r="M1016" s="14"/>
      <c r="N1016" s="14"/>
      <c r="O1016" s="14"/>
      <c r="P1016" s="14"/>
      <c r="Q1016" s="14"/>
      <c r="R1016" s="14"/>
      <c r="S1016" s="14"/>
      <c r="T1016" s="14"/>
      <c r="U1016" s="14"/>
      <c r="V1016" s="14"/>
      <c r="W1016" s="14"/>
      <c r="X1016" s="14"/>
      <c r="Y1016" s="14"/>
    </row>
    <row r="1017" spans="1:25" ht="15.75" x14ac:dyDescent="0.25">
      <c r="A1017" s="21"/>
      <c r="B1017" s="21"/>
      <c r="C1017" s="21"/>
      <c r="E1017" s="21"/>
      <c r="F1017" s="21"/>
      <c r="G1017" s="14"/>
      <c r="H1017" s="14"/>
      <c r="I1017" s="14"/>
      <c r="J1017" s="14"/>
      <c r="K1017" s="14"/>
      <c r="L1017" s="14"/>
      <c r="M1017" s="14"/>
      <c r="N1017" s="14"/>
      <c r="O1017" s="14"/>
      <c r="P1017" s="14"/>
      <c r="Q1017" s="14"/>
      <c r="R1017" s="14"/>
      <c r="S1017" s="14"/>
      <c r="T1017" s="14"/>
      <c r="U1017" s="14"/>
      <c r="V1017" s="14"/>
      <c r="W1017" s="14"/>
      <c r="X1017" s="14"/>
      <c r="Y1017" s="14"/>
    </row>
    <row r="1018" spans="1:25" ht="15.75" x14ac:dyDescent="0.25">
      <c r="A1018" s="21"/>
      <c r="B1018" s="21"/>
      <c r="C1018" s="21"/>
      <c r="E1018" s="21"/>
      <c r="F1018" s="21"/>
      <c r="G1018" s="14"/>
      <c r="H1018" s="14"/>
      <c r="I1018" s="14"/>
      <c r="J1018" s="14"/>
      <c r="K1018" s="14"/>
      <c r="L1018" s="14"/>
      <c r="M1018" s="14"/>
      <c r="N1018" s="14"/>
      <c r="O1018" s="14"/>
      <c r="P1018" s="14"/>
      <c r="Q1018" s="14"/>
      <c r="R1018" s="14"/>
      <c r="S1018" s="14"/>
      <c r="T1018" s="14"/>
      <c r="U1018" s="14"/>
      <c r="V1018" s="14"/>
      <c r="W1018" s="14"/>
      <c r="X1018" s="14"/>
      <c r="Y1018" s="14"/>
    </row>
    <row r="1019" spans="1:25" ht="15.75" x14ac:dyDescent="0.25">
      <c r="A1019" s="21"/>
      <c r="B1019" s="21"/>
      <c r="C1019" s="21"/>
      <c r="E1019" s="21"/>
      <c r="F1019" s="21"/>
      <c r="G1019" s="14"/>
      <c r="H1019" s="14"/>
      <c r="I1019" s="14"/>
      <c r="J1019" s="14"/>
      <c r="K1019" s="14"/>
      <c r="L1019" s="14"/>
      <c r="M1019" s="14"/>
      <c r="N1019" s="14"/>
      <c r="O1019" s="14"/>
      <c r="P1019" s="14"/>
      <c r="Q1019" s="14"/>
      <c r="R1019" s="14"/>
      <c r="S1019" s="14"/>
      <c r="T1019" s="14"/>
      <c r="U1019" s="14"/>
      <c r="V1019" s="14"/>
      <c r="W1019" s="14"/>
      <c r="X1019" s="14"/>
      <c r="Y1019" s="14"/>
    </row>
    <row r="1020" spans="1:25" ht="15.75" x14ac:dyDescent="0.25">
      <c r="A1020" s="21"/>
      <c r="B1020" s="21"/>
      <c r="C1020" s="21"/>
      <c r="E1020" s="21"/>
      <c r="F1020" s="21"/>
      <c r="G1020" s="14"/>
      <c r="H1020" s="14"/>
      <c r="I1020" s="14"/>
      <c r="J1020" s="14"/>
      <c r="K1020" s="14"/>
      <c r="L1020" s="14"/>
      <c r="M1020" s="14"/>
      <c r="N1020" s="14"/>
      <c r="O1020" s="14"/>
      <c r="P1020" s="14"/>
      <c r="Q1020" s="14"/>
      <c r="R1020" s="14"/>
      <c r="S1020" s="14"/>
      <c r="T1020" s="14"/>
      <c r="U1020" s="14"/>
      <c r="V1020" s="14"/>
      <c r="W1020" s="14"/>
      <c r="X1020" s="14"/>
      <c r="Y1020" s="14"/>
    </row>
    <row r="1021" spans="1:25" ht="15.75" x14ac:dyDescent="0.25">
      <c r="A1021" s="21"/>
      <c r="B1021" s="21"/>
      <c r="C1021" s="21"/>
      <c r="E1021" s="21"/>
      <c r="F1021" s="21"/>
      <c r="G1021" s="14"/>
      <c r="H1021" s="14"/>
      <c r="I1021" s="14"/>
      <c r="J1021" s="14"/>
      <c r="K1021" s="14"/>
      <c r="L1021" s="14"/>
      <c r="M1021" s="14"/>
      <c r="N1021" s="14"/>
      <c r="O1021" s="14"/>
      <c r="P1021" s="14"/>
      <c r="Q1021" s="14"/>
      <c r="R1021" s="14"/>
      <c r="S1021" s="14"/>
      <c r="T1021" s="14"/>
      <c r="U1021" s="14"/>
      <c r="V1021" s="14"/>
      <c r="W1021" s="14"/>
      <c r="X1021" s="14"/>
      <c r="Y1021" s="14"/>
    </row>
    <row r="1022" spans="1:25" ht="15.75" x14ac:dyDescent="0.25">
      <c r="A1022" s="21"/>
      <c r="B1022" s="21"/>
      <c r="C1022" s="21"/>
      <c r="E1022" s="21"/>
      <c r="F1022" s="21"/>
      <c r="G1022" s="14"/>
      <c r="H1022" s="14"/>
      <c r="I1022" s="14"/>
      <c r="J1022" s="14"/>
      <c r="K1022" s="14"/>
      <c r="L1022" s="14"/>
      <c r="M1022" s="14"/>
      <c r="N1022" s="14"/>
      <c r="O1022" s="14"/>
      <c r="P1022" s="14"/>
      <c r="Q1022" s="14"/>
      <c r="R1022" s="14"/>
      <c r="S1022" s="14"/>
      <c r="T1022" s="14"/>
      <c r="U1022" s="14"/>
      <c r="V1022" s="14"/>
      <c r="W1022" s="14"/>
      <c r="X1022" s="14"/>
      <c r="Y1022" s="14"/>
    </row>
    <row r="1023" spans="1:25" ht="15.75" x14ac:dyDescent="0.25">
      <c r="A1023" s="21"/>
      <c r="B1023" s="21"/>
      <c r="C1023" s="21"/>
      <c r="E1023" s="21"/>
      <c r="F1023" s="21"/>
      <c r="G1023" s="14"/>
      <c r="H1023" s="14"/>
      <c r="I1023" s="14"/>
      <c r="J1023" s="14"/>
      <c r="K1023" s="14"/>
      <c r="L1023" s="14"/>
      <c r="M1023" s="14"/>
      <c r="N1023" s="14"/>
      <c r="O1023" s="14"/>
      <c r="P1023" s="14"/>
      <c r="Q1023" s="14"/>
      <c r="R1023" s="14"/>
      <c r="S1023" s="14"/>
      <c r="T1023" s="14"/>
      <c r="U1023" s="14"/>
      <c r="V1023" s="14"/>
      <c r="W1023" s="14"/>
      <c r="X1023" s="14"/>
      <c r="Y1023" s="14"/>
    </row>
    <row r="1024" spans="1:25" ht="15.75" x14ac:dyDescent="0.25">
      <c r="A1024" s="21"/>
      <c r="B1024" s="21"/>
      <c r="C1024" s="21"/>
      <c r="E1024" s="21"/>
      <c r="F1024" s="21"/>
      <c r="G1024" s="14"/>
      <c r="H1024" s="14"/>
      <c r="I1024" s="14"/>
      <c r="J1024" s="14"/>
      <c r="K1024" s="14"/>
      <c r="L1024" s="14"/>
      <c r="M1024" s="14"/>
      <c r="N1024" s="14"/>
      <c r="O1024" s="14"/>
      <c r="P1024" s="14"/>
      <c r="Q1024" s="14"/>
      <c r="R1024" s="14"/>
      <c r="S1024" s="14"/>
      <c r="T1024" s="14"/>
      <c r="U1024" s="14"/>
      <c r="V1024" s="14"/>
      <c r="W1024" s="14"/>
      <c r="X1024" s="14"/>
      <c r="Y1024" s="14"/>
    </row>
    <row r="1025" spans="1:25" ht="15.75" x14ac:dyDescent="0.25">
      <c r="A1025" s="21"/>
      <c r="B1025" s="21"/>
      <c r="C1025" s="21"/>
      <c r="E1025" s="21"/>
      <c r="F1025" s="21"/>
      <c r="G1025" s="14"/>
      <c r="H1025" s="14"/>
      <c r="I1025" s="14"/>
      <c r="J1025" s="14"/>
      <c r="K1025" s="14"/>
      <c r="L1025" s="14"/>
      <c r="M1025" s="14"/>
      <c r="N1025" s="14"/>
      <c r="O1025" s="14"/>
      <c r="P1025" s="14"/>
      <c r="Q1025" s="14"/>
      <c r="R1025" s="14"/>
      <c r="S1025" s="14"/>
      <c r="T1025" s="14"/>
      <c r="U1025" s="14"/>
      <c r="V1025" s="14"/>
      <c r="W1025" s="14"/>
      <c r="X1025" s="14"/>
      <c r="Y1025" s="14"/>
    </row>
    <row r="1026" spans="1:25" ht="15.75" x14ac:dyDescent="0.25">
      <c r="A1026" s="21"/>
      <c r="B1026" s="21"/>
      <c r="C1026" s="21"/>
      <c r="E1026" s="21"/>
      <c r="F1026" s="21"/>
      <c r="G1026" s="14"/>
      <c r="H1026" s="14"/>
      <c r="I1026" s="14"/>
      <c r="J1026" s="14"/>
      <c r="K1026" s="14"/>
      <c r="L1026" s="14"/>
      <c r="M1026" s="14"/>
      <c r="N1026" s="14"/>
      <c r="O1026" s="14"/>
      <c r="P1026" s="14"/>
      <c r="Q1026" s="14"/>
      <c r="R1026" s="14"/>
      <c r="S1026" s="14"/>
      <c r="T1026" s="14"/>
      <c r="U1026" s="14"/>
      <c r="V1026" s="14"/>
      <c r="W1026" s="14"/>
      <c r="X1026" s="14"/>
      <c r="Y1026" s="14"/>
    </row>
    <row r="1027" spans="1:25" ht="15.75" x14ac:dyDescent="0.25">
      <c r="A1027" s="21"/>
      <c r="B1027" s="21"/>
      <c r="C1027" s="21"/>
      <c r="E1027" s="21"/>
      <c r="F1027" s="21"/>
      <c r="G1027" s="14"/>
      <c r="H1027" s="14"/>
      <c r="I1027" s="14"/>
      <c r="J1027" s="14"/>
      <c r="K1027" s="14"/>
      <c r="L1027" s="14"/>
      <c r="M1027" s="14"/>
      <c r="N1027" s="14"/>
      <c r="O1027" s="14"/>
      <c r="P1027" s="14"/>
      <c r="Q1027" s="14"/>
      <c r="R1027" s="14"/>
      <c r="S1027" s="14"/>
      <c r="T1027" s="14"/>
      <c r="U1027" s="14"/>
      <c r="V1027" s="14"/>
      <c r="W1027" s="14"/>
      <c r="X1027" s="14"/>
      <c r="Y1027" s="14"/>
    </row>
    <row r="1028" spans="1:25" ht="15.75" x14ac:dyDescent="0.25">
      <c r="A1028" s="21"/>
      <c r="B1028" s="21"/>
      <c r="C1028" s="21"/>
      <c r="E1028" s="21"/>
      <c r="F1028" s="21"/>
      <c r="G1028" s="14"/>
      <c r="H1028" s="14"/>
      <c r="I1028" s="14"/>
      <c r="J1028" s="14"/>
      <c r="K1028" s="14"/>
      <c r="L1028" s="14"/>
      <c r="M1028" s="14"/>
      <c r="N1028" s="14"/>
      <c r="O1028" s="14"/>
      <c r="P1028" s="14"/>
      <c r="Q1028" s="14"/>
      <c r="R1028" s="14"/>
      <c r="S1028" s="14"/>
      <c r="T1028" s="14"/>
      <c r="U1028" s="14"/>
      <c r="V1028" s="14"/>
      <c r="W1028" s="14"/>
      <c r="X1028" s="14"/>
      <c r="Y1028" s="14"/>
    </row>
    <row r="1029" spans="1:25" ht="15.75" x14ac:dyDescent="0.25">
      <c r="A1029" s="21"/>
      <c r="B1029" s="21"/>
      <c r="C1029" s="21"/>
      <c r="E1029" s="21"/>
      <c r="F1029" s="21"/>
      <c r="G1029" s="14"/>
      <c r="H1029" s="14"/>
      <c r="I1029" s="14"/>
      <c r="J1029" s="14"/>
      <c r="K1029" s="14"/>
      <c r="L1029" s="14"/>
      <c r="M1029" s="14"/>
      <c r="N1029" s="14"/>
      <c r="O1029" s="14"/>
      <c r="P1029" s="14"/>
      <c r="Q1029" s="14"/>
      <c r="R1029" s="14"/>
      <c r="S1029" s="14"/>
      <c r="T1029" s="14"/>
      <c r="U1029" s="14"/>
      <c r="V1029" s="14"/>
      <c r="W1029" s="14"/>
      <c r="X1029" s="14"/>
      <c r="Y1029" s="14"/>
    </row>
    <row r="1030" spans="1:25" ht="15.75" x14ac:dyDescent="0.25">
      <c r="A1030" s="21"/>
      <c r="B1030" s="21"/>
      <c r="C1030" s="21"/>
      <c r="E1030" s="21"/>
      <c r="F1030" s="21"/>
      <c r="G1030" s="14"/>
      <c r="H1030" s="14"/>
      <c r="I1030" s="14"/>
      <c r="J1030" s="14"/>
      <c r="K1030" s="14"/>
      <c r="L1030" s="14"/>
      <c r="M1030" s="14"/>
      <c r="N1030" s="14"/>
      <c r="O1030" s="14"/>
      <c r="P1030" s="14"/>
      <c r="Q1030" s="14"/>
      <c r="R1030" s="14"/>
      <c r="S1030" s="14"/>
      <c r="T1030" s="14"/>
      <c r="U1030" s="14"/>
      <c r="V1030" s="14"/>
      <c r="W1030" s="14"/>
      <c r="X1030" s="14"/>
      <c r="Y1030" s="14"/>
    </row>
    <row r="1031" spans="1:25" ht="15.75" x14ac:dyDescent="0.25">
      <c r="A1031" s="21"/>
      <c r="B1031" s="21"/>
      <c r="C1031" s="21"/>
      <c r="E1031" s="21"/>
      <c r="F1031" s="21"/>
      <c r="G1031" s="14"/>
      <c r="H1031" s="14"/>
      <c r="I1031" s="14"/>
      <c r="J1031" s="14"/>
      <c r="K1031" s="14"/>
      <c r="L1031" s="14"/>
      <c r="M1031" s="14"/>
      <c r="N1031" s="14"/>
      <c r="O1031" s="14"/>
      <c r="P1031" s="14"/>
      <c r="Q1031" s="14"/>
      <c r="R1031" s="14"/>
      <c r="S1031" s="14"/>
      <c r="T1031" s="14"/>
      <c r="U1031" s="14"/>
      <c r="V1031" s="14"/>
      <c r="W1031" s="14"/>
      <c r="X1031" s="14"/>
      <c r="Y1031" s="14"/>
    </row>
    <row r="1032" spans="1:25" ht="15.75" x14ac:dyDescent="0.25">
      <c r="A1032" s="21"/>
      <c r="B1032" s="21"/>
      <c r="C1032" s="21"/>
      <c r="E1032" s="21"/>
      <c r="F1032" s="21"/>
      <c r="G1032" s="14"/>
      <c r="H1032" s="14"/>
      <c r="I1032" s="14"/>
      <c r="J1032" s="14"/>
      <c r="K1032" s="14"/>
      <c r="L1032" s="14"/>
      <c r="M1032" s="14"/>
      <c r="N1032" s="14"/>
      <c r="O1032" s="14"/>
      <c r="P1032" s="14"/>
      <c r="Q1032" s="14"/>
      <c r="R1032" s="14"/>
      <c r="S1032" s="14"/>
      <c r="T1032" s="14"/>
      <c r="U1032" s="14"/>
      <c r="V1032" s="14"/>
      <c r="W1032" s="14"/>
      <c r="X1032" s="14"/>
      <c r="Y1032" s="14"/>
    </row>
    <row r="1033" spans="1:25" ht="15.75" x14ac:dyDescent="0.25">
      <c r="A1033" s="21"/>
      <c r="B1033" s="21"/>
      <c r="C1033" s="21"/>
      <c r="E1033" s="21"/>
      <c r="F1033" s="21"/>
      <c r="G1033" s="14"/>
      <c r="H1033" s="14"/>
      <c r="I1033" s="14"/>
      <c r="J1033" s="14"/>
      <c r="K1033" s="14"/>
      <c r="L1033" s="14"/>
      <c r="M1033" s="14"/>
      <c r="N1033" s="14"/>
      <c r="O1033" s="14"/>
      <c r="P1033" s="14"/>
      <c r="Q1033" s="14"/>
      <c r="R1033" s="14"/>
      <c r="S1033" s="14"/>
      <c r="T1033" s="14"/>
      <c r="U1033" s="14"/>
      <c r="V1033" s="14"/>
      <c r="W1033" s="14"/>
      <c r="X1033" s="14"/>
      <c r="Y1033" s="14"/>
    </row>
    <row r="1034" spans="1:25" ht="15.75" x14ac:dyDescent="0.25">
      <c r="A1034" s="21"/>
      <c r="B1034" s="21"/>
      <c r="C1034" s="21"/>
      <c r="E1034" s="21"/>
      <c r="F1034" s="21"/>
      <c r="G1034" s="14"/>
      <c r="H1034" s="14"/>
      <c r="I1034" s="14"/>
      <c r="J1034" s="14"/>
      <c r="K1034" s="14"/>
      <c r="L1034" s="14"/>
      <c r="M1034" s="14"/>
      <c r="N1034" s="14"/>
      <c r="O1034" s="14"/>
      <c r="P1034" s="14"/>
      <c r="Q1034" s="14"/>
      <c r="R1034" s="14"/>
      <c r="S1034" s="14"/>
      <c r="T1034" s="14"/>
      <c r="U1034" s="14"/>
      <c r="V1034" s="14"/>
      <c r="W1034" s="14"/>
      <c r="X1034" s="14"/>
      <c r="Y1034" s="14"/>
    </row>
    <row r="1035" spans="1:25" ht="15.75" x14ac:dyDescent="0.25">
      <c r="A1035" s="21"/>
      <c r="B1035" s="21"/>
      <c r="C1035" s="21"/>
      <c r="E1035" s="21"/>
      <c r="F1035" s="21"/>
      <c r="G1035" s="14"/>
      <c r="H1035" s="14"/>
      <c r="I1035" s="14"/>
      <c r="J1035" s="14"/>
      <c r="K1035" s="14"/>
      <c r="L1035" s="14"/>
      <c r="M1035" s="14"/>
      <c r="N1035" s="14"/>
      <c r="O1035" s="14"/>
      <c r="P1035" s="14"/>
      <c r="Q1035" s="14"/>
      <c r="R1035" s="14"/>
      <c r="S1035" s="14"/>
      <c r="T1035" s="14"/>
      <c r="U1035" s="14"/>
      <c r="V1035" s="14"/>
      <c r="W1035" s="14"/>
      <c r="X1035" s="14"/>
      <c r="Y1035" s="14"/>
    </row>
    <row r="1036" spans="1:25" ht="15.75" x14ac:dyDescent="0.25">
      <c r="A1036" s="21"/>
      <c r="B1036" s="21"/>
      <c r="C1036" s="21"/>
      <c r="E1036" s="21"/>
      <c r="F1036" s="21"/>
      <c r="G1036" s="14"/>
      <c r="H1036" s="14"/>
      <c r="I1036" s="14"/>
      <c r="J1036" s="14"/>
      <c r="K1036" s="14"/>
      <c r="L1036" s="14"/>
      <c r="M1036" s="14"/>
      <c r="N1036" s="14"/>
      <c r="O1036" s="14"/>
      <c r="P1036" s="14"/>
      <c r="Q1036" s="14"/>
      <c r="R1036" s="14"/>
      <c r="S1036" s="14"/>
      <c r="T1036" s="14"/>
      <c r="U1036" s="14"/>
      <c r="V1036" s="14"/>
      <c r="W1036" s="14"/>
      <c r="X1036" s="14"/>
      <c r="Y1036" s="14"/>
    </row>
    <row r="1037" spans="1:25" ht="15.75" x14ac:dyDescent="0.25">
      <c r="A1037" s="21"/>
      <c r="B1037" s="21"/>
      <c r="C1037" s="21"/>
      <c r="E1037" s="21"/>
      <c r="F1037" s="21"/>
      <c r="G1037" s="14"/>
      <c r="H1037" s="14"/>
      <c r="I1037" s="14"/>
      <c r="J1037" s="14"/>
      <c r="K1037" s="14"/>
      <c r="L1037" s="14"/>
      <c r="M1037" s="14"/>
      <c r="N1037" s="14"/>
      <c r="O1037" s="14"/>
      <c r="P1037" s="14"/>
      <c r="Q1037" s="14"/>
      <c r="R1037" s="14"/>
      <c r="S1037" s="14"/>
      <c r="T1037" s="14"/>
      <c r="U1037" s="14"/>
      <c r="V1037" s="14"/>
      <c r="W1037" s="14"/>
      <c r="X1037" s="14"/>
      <c r="Y1037" s="14"/>
    </row>
    <row r="1038" spans="1:25" ht="15.75" x14ac:dyDescent="0.25">
      <c r="A1038" s="21"/>
      <c r="B1038" s="21"/>
      <c r="C1038" s="21"/>
      <c r="E1038" s="21"/>
      <c r="F1038" s="21"/>
      <c r="G1038" s="14"/>
      <c r="H1038" s="14"/>
      <c r="I1038" s="14"/>
      <c r="J1038" s="14"/>
      <c r="K1038" s="14"/>
      <c r="L1038" s="14"/>
      <c r="M1038" s="14"/>
      <c r="N1038" s="14"/>
      <c r="O1038" s="14"/>
      <c r="P1038" s="14"/>
      <c r="Q1038" s="14"/>
      <c r="R1038" s="14"/>
      <c r="S1038" s="14"/>
      <c r="T1038" s="14"/>
      <c r="U1038" s="14"/>
      <c r="V1038" s="14"/>
      <c r="W1038" s="14"/>
      <c r="X1038" s="14"/>
      <c r="Y1038" s="14"/>
    </row>
    <row r="1039" spans="1:25" ht="15.75" x14ac:dyDescent="0.25">
      <c r="A1039" s="21"/>
      <c r="B1039" s="21"/>
      <c r="C1039" s="21"/>
      <c r="E1039" s="21"/>
      <c r="F1039" s="21"/>
      <c r="G1039" s="14"/>
      <c r="H1039" s="14"/>
      <c r="I1039" s="14"/>
      <c r="J1039" s="14"/>
      <c r="K1039" s="14"/>
      <c r="L1039" s="14"/>
      <c r="M1039" s="14"/>
      <c r="N1039" s="14"/>
      <c r="O1039" s="14"/>
      <c r="P1039" s="14"/>
      <c r="Q1039" s="14"/>
      <c r="R1039" s="14"/>
      <c r="S1039" s="14"/>
      <c r="T1039" s="14"/>
      <c r="U1039" s="14"/>
      <c r="V1039" s="14"/>
      <c r="W1039" s="14"/>
      <c r="X1039" s="14"/>
      <c r="Y1039" s="14"/>
    </row>
    <row r="1040" spans="1:25" ht="15.75" x14ac:dyDescent="0.25">
      <c r="A1040" s="21"/>
      <c r="B1040" s="21"/>
      <c r="C1040" s="21"/>
      <c r="E1040" s="21"/>
      <c r="F1040" s="21"/>
      <c r="G1040" s="14"/>
      <c r="H1040" s="14"/>
      <c r="I1040" s="14"/>
      <c r="J1040" s="14"/>
      <c r="K1040" s="14"/>
      <c r="L1040" s="14"/>
      <c r="M1040" s="14"/>
      <c r="N1040" s="14"/>
      <c r="O1040" s="14"/>
      <c r="P1040" s="14"/>
      <c r="Q1040" s="14"/>
      <c r="R1040" s="14"/>
      <c r="S1040" s="14"/>
      <c r="T1040" s="14"/>
      <c r="U1040" s="14"/>
      <c r="V1040" s="14"/>
      <c r="W1040" s="14"/>
      <c r="X1040" s="14"/>
      <c r="Y1040" s="14"/>
    </row>
    <row r="1041" spans="1:25" ht="15.75" x14ac:dyDescent="0.25">
      <c r="A1041" s="21"/>
      <c r="B1041" s="21"/>
      <c r="C1041" s="21"/>
      <c r="E1041" s="21"/>
      <c r="F1041" s="21"/>
      <c r="G1041" s="14"/>
      <c r="H1041" s="14"/>
      <c r="I1041" s="14"/>
      <c r="J1041" s="14"/>
      <c r="K1041" s="14"/>
      <c r="L1041" s="14"/>
      <c r="M1041" s="14"/>
      <c r="N1041" s="14"/>
      <c r="O1041" s="14"/>
      <c r="P1041" s="14"/>
      <c r="Q1041" s="14"/>
      <c r="R1041" s="14"/>
      <c r="S1041" s="14"/>
      <c r="T1041" s="14"/>
      <c r="U1041" s="14"/>
      <c r="V1041" s="14"/>
      <c r="W1041" s="14"/>
      <c r="X1041" s="14"/>
      <c r="Y1041" s="14"/>
    </row>
    <row r="1042" spans="1:25" ht="15.75" x14ac:dyDescent="0.25">
      <c r="A1042" s="21"/>
      <c r="B1042" s="21"/>
      <c r="C1042" s="21"/>
      <c r="E1042" s="21"/>
      <c r="F1042" s="21"/>
      <c r="G1042" s="14"/>
      <c r="H1042" s="14"/>
      <c r="I1042" s="14"/>
      <c r="J1042" s="14"/>
      <c r="K1042" s="14"/>
      <c r="L1042" s="14"/>
      <c r="M1042" s="14"/>
      <c r="N1042" s="14"/>
      <c r="O1042" s="14"/>
      <c r="P1042" s="14"/>
      <c r="Q1042" s="14"/>
      <c r="R1042" s="14"/>
      <c r="S1042" s="14"/>
      <c r="T1042" s="14"/>
      <c r="U1042" s="14"/>
      <c r="V1042" s="14"/>
      <c r="W1042" s="14"/>
      <c r="X1042" s="14"/>
      <c r="Y1042" s="14"/>
    </row>
    <row r="1043" spans="1:25" ht="15.75" x14ac:dyDescent="0.25">
      <c r="A1043" s="21"/>
      <c r="B1043" s="21"/>
      <c r="C1043" s="21"/>
      <c r="E1043" s="21"/>
      <c r="F1043" s="21"/>
      <c r="G1043" s="14"/>
      <c r="H1043" s="14"/>
      <c r="I1043" s="14"/>
      <c r="J1043" s="14"/>
      <c r="K1043" s="14"/>
      <c r="L1043" s="14"/>
      <c r="M1043" s="14"/>
      <c r="N1043" s="14"/>
      <c r="O1043" s="14"/>
      <c r="P1043" s="14"/>
      <c r="Q1043" s="14"/>
      <c r="R1043" s="14"/>
      <c r="S1043" s="14"/>
      <c r="T1043" s="14"/>
      <c r="U1043" s="14"/>
      <c r="V1043" s="14"/>
      <c r="W1043" s="14"/>
      <c r="X1043" s="14"/>
      <c r="Y1043" s="14"/>
    </row>
    <row r="1044" spans="1:25" ht="15.75" x14ac:dyDescent="0.25">
      <c r="A1044" s="21"/>
      <c r="B1044" s="21"/>
      <c r="C1044" s="21"/>
      <c r="E1044" s="21"/>
      <c r="F1044" s="21"/>
      <c r="G1044" s="14"/>
      <c r="H1044" s="14"/>
      <c r="I1044" s="14"/>
      <c r="J1044" s="14"/>
      <c r="K1044" s="14"/>
      <c r="L1044" s="14"/>
      <c r="M1044" s="14"/>
      <c r="N1044" s="14"/>
      <c r="O1044" s="14"/>
      <c r="P1044" s="14"/>
      <c r="Q1044" s="14"/>
      <c r="R1044" s="14"/>
      <c r="S1044" s="14"/>
      <c r="T1044" s="14"/>
      <c r="U1044" s="14"/>
      <c r="V1044" s="14"/>
      <c r="W1044" s="14"/>
      <c r="X1044" s="14"/>
      <c r="Y1044" s="14"/>
    </row>
    <row r="1045" spans="1:25" ht="15.75" x14ac:dyDescent="0.25">
      <c r="A1045" s="21"/>
      <c r="B1045" s="21"/>
      <c r="C1045" s="21"/>
      <c r="E1045" s="21"/>
      <c r="F1045" s="21"/>
      <c r="G1045" s="14"/>
      <c r="H1045" s="14"/>
      <c r="I1045" s="14"/>
      <c r="J1045" s="14"/>
      <c r="K1045" s="14"/>
      <c r="L1045" s="14"/>
      <c r="M1045" s="14"/>
      <c r="N1045" s="14"/>
      <c r="O1045" s="14"/>
      <c r="P1045" s="14"/>
      <c r="Q1045" s="14"/>
      <c r="R1045" s="14"/>
      <c r="S1045" s="14"/>
      <c r="T1045" s="14"/>
      <c r="U1045" s="14"/>
      <c r="V1045" s="14"/>
      <c r="W1045" s="14"/>
      <c r="X1045" s="14"/>
      <c r="Y1045" s="14"/>
    </row>
    <row r="1046" spans="1:25" ht="15.75" x14ac:dyDescent="0.25">
      <c r="A1046" s="21"/>
      <c r="B1046" s="21"/>
      <c r="C1046" s="21"/>
      <c r="E1046" s="21"/>
      <c r="F1046" s="21"/>
      <c r="G1046" s="14"/>
      <c r="H1046" s="14"/>
      <c r="I1046" s="14"/>
      <c r="J1046" s="14"/>
      <c r="K1046" s="14"/>
      <c r="L1046" s="14"/>
      <c r="M1046" s="14"/>
      <c r="N1046" s="14"/>
      <c r="O1046" s="14"/>
      <c r="P1046" s="14"/>
      <c r="Q1046" s="14"/>
      <c r="R1046" s="14"/>
      <c r="S1046" s="14"/>
      <c r="T1046" s="14"/>
      <c r="U1046" s="14"/>
      <c r="V1046" s="14"/>
      <c r="W1046" s="14"/>
      <c r="X1046" s="14"/>
      <c r="Y1046" s="14"/>
    </row>
    <row r="1047" spans="1:25" ht="15.75" x14ac:dyDescent="0.25">
      <c r="A1047" s="21"/>
      <c r="B1047" s="21"/>
      <c r="C1047" s="21"/>
      <c r="E1047" s="21"/>
      <c r="F1047" s="21"/>
      <c r="G1047" s="14"/>
      <c r="H1047" s="14"/>
      <c r="I1047" s="14"/>
      <c r="J1047" s="14"/>
      <c r="K1047" s="14"/>
      <c r="L1047" s="14"/>
      <c r="M1047" s="14"/>
      <c r="N1047" s="14"/>
      <c r="O1047" s="14"/>
      <c r="P1047" s="14"/>
      <c r="Q1047" s="14"/>
      <c r="R1047" s="14"/>
      <c r="S1047" s="14"/>
      <c r="T1047" s="14"/>
      <c r="U1047" s="14"/>
      <c r="V1047" s="14"/>
      <c r="W1047" s="14"/>
      <c r="X1047" s="14"/>
      <c r="Y1047" s="14"/>
    </row>
    <row r="1048" spans="1:25" ht="15.75" x14ac:dyDescent="0.25">
      <c r="A1048" s="21"/>
      <c r="B1048" s="21"/>
      <c r="C1048" s="21"/>
      <c r="E1048" s="21"/>
      <c r="F1048" s="21"/>
      <c r="G1048" s="14"/>
      <c r="H1048" s="14"/>
      <c r="I1048" s="14"/>
      <c r="J1048" s="14"/>
      <c r="K1048" s="14"/>
      <c r="L1048" s="14"/>
      <c r="M1048" s="14"/>
      <c r="N1048" s="14"/>
      <c r="O1048" s="14"/>
      <c r="P1048" s="14"/>
      <c r="Q1048" s="14"/>
      <c r="R1048" s="14"/>
      <c r="S1048" s="14"/>
      <c r="T1048" s="14"/>
      <c r="U1048" s="14"/>
      <c r="V1048" s="14"/>
      <c r="W1048" s="14"/>
      <c r="X1048" s="14"/>
      <c r="Y1048" s="14"/>
    </row>
    <row r="1049" spans="1:25" ht="15.75" x14ac:dyDescent="0.25">
      <c r="A1049" s="21"/>
      <c r="B1049" s="21"/>
      <c r="C1049" s="21"/>
      <c r="E1049" s="21"/>
      <c r="F1049" s="21"/>
      <c r="G1049" s="14"/>
      <c r="H1049" s="14"/>
      <c r="I1049" s="14"/>
      <c r="J1049" s="14"/>
      <c r="K1049" s="14"/>
      <c r="L1049" s="14"/>
      <c r="M1049" s="14"/>
      <c r="N1049" s="14"/>
      <c r="O1049" s="14"/>
      <c r="P1049" s="14"/>
      <c r="Q1049" s="14"/>
      <c r="R1049" s="14"/>
      <c r="S1049" s="14"/>
      <c r="T1049" s="14"/>
      <c r="U1049" s="14"/>
      <c r="V1049" s="14"/>
      <c r="W1049" s="14"/>
      <c r="X1049" s="14"/>
      <c r="Y1049" s="14"/>
    </row>
    <row r="1050" spans="1:25" ht="15.75" x14ac:dyDescent="0.25">
      <c r="A1050" s="21"/>
      <c r="B1050" s="21"/>
      <c r="C1050" s="21"/>
      <c r="E1050" s="21"/>
      <c r="F1050" s="21"/>
      <c r="G1050" s="14"/>
      <c r="H1050" s="14"/>
      <c r="I1050" s="14"/>
      <c r="J1050" s="14"/>
      <c r="K1050" s="14"/>
      <c r="L1050" s="14"/>
      <c r="M1050" s="14"/>
      <c r="N1050" s="14"/>
      <c r="O1050" s="14"/>
      <c r="P1050" s="14"/>
      <c r="Q1050" s="14"/>
      <c r="R1050" s="14"/>
      <c r="S1050" s="14"/>
      <c r="T1050" s="14"/>
      <c r="U1050" s="14"/>
      <c r="V1050" s="14"/>
      <c r="W1050" s="14"/>
      <c r="X1050" s="14"/>
      <c r="Y1050" s="14"/>
    </row>
    <row r="1051" spans="1:25" ht="15.75" x14ac:dyDescent="0.25">
      <c r="A1051" s="21"/>
      <c r="B1051" s="21"/>
      <c r="C1051" s="21"/>
      <c r="E1051" s="21"/>
      <c r="F1051" s="21"/>
      <c r="G1051" s="14"/>
      <c r="H1051" s="14"/>
      <c r="I1051" s="14"/>
      <c r="J1051" s="14"/>
      <c r="K1051" s="14"/>
      <c r="L1051" s="14"/>
      <c r="M1051" s="14"/>
      <c r="N1051" s="14"/>
      <c r="O1051" s="14"/>
      <c r="P1051" s="14"/>
      <c r="Q1051" s="14"/>
      <c r="R1051" s="14"/>
      <c r="S1051" s="14"/>
      <c r="T1051" s="14"/>
      <c r="U1051" s="14"/>
      <c r="V1051" s="14"/>
      <c r="W1051" s="14"/>
      <c r="X1051" s="14"/>
      <c r="Y1051" s="14"/>
    </row>
    <row r="1052" spans="1:25" ht="15.75" x14ac:dyDescent="0.25">
      <c r="A1052" s="21"/>
      <c r="B1052" s="21"/>
      <c r="C1052" s="21"/>
      <c r="E1052" s="21"/>
      <c r="F1052" s="21"/>
      <c r="G1052" s="14"/>
      <c r="H1052" s="14"/>
      <c r="I1052" s="14"/>
      <c r="J1052" s="14"/>
      <c r="K1052" s="14"/>
      <c r="L1052" s="14"/>
      <c r="M1052" s="14"/>
      <c r="N1052" s="14"/>
      <c r="O1052" s="14"/>
      <c r="P1052" s="14"/>
      <c r="Q1052" s="14"/>
      <c r="R1052" s="14"/>
      <c r="S1052" s="14"/>
      <c r="T1052" s="14"/>
      <c r="U1052" s="14"/>
      <c r="V1052" s="14"/>
      <c r="W1052" s="14"/>
      <c r="X1052" s="14"/>
      <c r="Y1052" s="14"/>
    </row>
    <row r="1053" spans="1:25" ht="15.75" x14ac:dyDescent="0.25">
      <c r="A1053" s="21"/>
      <c r="B1053" s="21"/>
      <c r="C1053" s="21"/>
      <c r="E1053" s="21"/>
      <c r="F1053" s="21"/>
      <c r="G1053" s="14"/>
      <c r="H1053" s="14"/>
      <c r="I1053" s="14"/>
      <c r="J1053" s="14"/>
      <c r="K1053" s="14"/>
      <c r="L1053" s="14"/>
      <c r="M1053" s="14"/>
      <c r="N1053" s="14"/>
      <c r="O1053" s="14"/>
      <c r="P1053" s="14"/>
      <c r="Q1053" s="14"/>
      <c r="R1053" s="14"/>
      <c r="S1053" s="14"/>
      <c r="T1053" s="14"/>
      <c r="U1053" s="14"/>
      <c r="V1053" s="14"/>
      <c r="W1053" s="14"/>
      <c r="X1053" s="14"/>
      <c r="Y1053" s="14"/>
    </row>
    <row r="1054" spans="1:25" ht="15.75" x14ac:dyDescent="0.25">
      <c r="A1054" s="21"/>
      <c r="B1054" s="21"/>
      <c r="C1054" s="21"/>
      <c r="E1054" s="21"/>
      <c r="F1054" s="21"/>
      <c r="G1054" s="14"/>
      <c r="H1054" s="14"/>
      <c r="I1054" s="14"/>
      <c r="J1054" s="14"/>
      <c r="K1054" s="14"/>
      <c r="L1054" s="14"/>
      <c r="M1054" s="14"/>
      <c r="N1054" s="14"/>
      <c r="O1054" s="14"/>
      <c r="P1054" s="14"/>
      <c r="Q1054" s="14"/>
      <c r="R1054" s="14"/>
      <c r="S1054" s="14"/>
      <c r="T1054" s="14"/>
      <c r="U1054" s="14"/>
      <c r="V1054" s="14"/>
      <c r="W1054" s="14"/>
      <c r="X1054" s="14"/>
      <c r="Y1054" s="14"/>
    </row>
    <row r="1055" spans="1:25" ht="15.75" x14ac:dyDescent="0.25">
      <c r="A1055" s="21"/>
      <c r="B1055" s="21"/>
      <c r="C1055" s="21"/>
      <c r="E1055" s="21"/>
      <c r="F1055" s="21"/>
      <c r="G1055" s="14"/>
      <c r="H1055" s="14"/>
      <c r="I1055" s="14"/>
      <c r="J1055" s="14"/>
      <c r="K1055" s="14"/>
      <c r="L1055" s="14"/>
      <c r="M1055" s="14"/>
      <c r="N1055" s="14"/>
      <c r="O1055" s="14"/>
      <c r="P1055" s="14"/>
      <c r="Q1055" s="14"/>
      <c r="R1055" s="14"/>
      <c r="S1055" s="14"/>
      <c r="T1055" s="14"/>
      <c r="U1055" s="14"/>
      <c r="V1055" s="14"/>
      <c r="W1055" s="14"/>
      <c r="X1055" s="14"/>
      <c r="Y1055" s="14"/>
    </row>
    <row r="1056" spans="1:25" ht="15.75" x14ac:dyDescent="0.25">
      <c r="A1056" s="21"/>
      <c r="B1056" s="21"/>
      <c r="C1056" s="21"/>
      <c r="E1056" s="21"/>
      <c r="F1056" s="21"/>
      <c r="G1056" s="14"/>
      <c r="H1056" s="14"/>
      <c r="I1056" s="14"/>
      <c r="J1056" s="14"/>
      <c r="K1056" s="14"/>
      <c r="L1056" s="14"/>
      <c r="M1056" s="14"/>
      <c r="N1056" s="14"/>
      <c r="O1056" s="14"/>
      <c r="P1056" s="14"/>
      <c r="Q1056" s="14"/>
      <c r="R1056" s="14"/>
      <c r="S1056" s="14"/>
      <c r="T1056" s="14"/>
      <c r="U1056" s="14"/>
      <c r="V1056" s="14"/>
      <c r="W1056" s="14"/>
      <c r="X1056" s="14"/>
      <c r="Y1056" s="14"/>
    </row>
    <row r="1057" spans="1:25" ht="15.75" x14ac:dyDescent="0.25">
      <c r="A1057" s="21"/>
      <c r="B1057" s="21"/>
      <c r="C1057" s="21"/>
      <c r="E1057" s="21"/>
      <c r="F1057" s="21"/>
      <c r="G1057" s="14"/>
      <c r="H1057" s="14"/>
      <c r="I1057" s="14"/>
      <c r="J1057" s="14"/>
      <c r="K1057" s="14"/>
      <c r="L1057" s="14"/>
      <c r="M1057" s="14"/>
      <c r="N1057" s="14"/>
      <c r="O1057" s="14"/>
      <c r="P1057" s="14"/>
      <c r="Q1057" s="14"/>
      <c r="R1057" s="14"/>
      <c r="S1057" s="14"/>
      <c r="T1057" s="14"/>
      <c r="U1057" s="14"/>
      <c r="V1057" s="14"/>
      <c r="W1057" s="14"/>
      <c r="X1057" s="14"/>
      <c r="Y1057" s="14"/>
    </row>
    <row r="1058" spans="1:25" ht="15.75" x14ac:dyDescent="0.25">
      <c r="A1058" s="21"/>
      <c r="B1058" s="21"/>
      <c r="C1058" s="21"/>
      <c r="E1058" s="21"/>
      <c r="F1058" s="21"/>
      <c r="G1058" s="14"/>
      <c r="H1058" s="14"/>
      <c r="I1058" s="14"/>
      <c r="J1058" s="14"/>
      <c r="K1058" s="14"/>
      <c r="L1058" s="14"/>
      <c r="M1058" s="14"/>
      <c r="N1058" s="14"/>
      <c r="O1058" s="14"/>
      <c r="P1058" s="14"/>
      <c r="Q1058" s="14"/>
      <c r="R1058" s="14"/>
      <c r="S1058" s="14"/>
      <c r="T1058" s="14"/>
      <c r="U1058" s="14"/>
      <c r="V1058" s="14"/>
      <c r="W1058" s="14"/>
      <c r="X1058" s="14"/>
      <c r="Y1058" s="14"/>
    </row>
    <row r="1059" spans="1:25" ht="15.75" x14ac:dyDescent="0.25">
      <c r="A1059" s="21"/>
      <c r="B1059" s="21"/>
      <c r="C1059" s="21"/>
      <c r="E1059" s="21"/>
      <c r="F1059" s="21"/>
      <c r="G1059" s="14"/>
      <c r="H1059" s="14"/>
      <c r="I1059" s="14"/>
      <c r="J1059" s="14"/>
      <c r="K1059" s="14"/>
      <c r="L1059" s="14"/>
      <c r="M1059" s="14"/>
      <c r="N1059" s="14"/>
      <c r="O1059" s="14"/>
      <c r="P1059" s="14"/>
      <c r="Q1059" s="14"/>
      <c r="R1059" s="14"/>
      <c r="S1059" s="14"/>
      <c r="T1059" s="14"/>
      <c r="U1059" s="14"/>
      <c r="V1059" s="14"/>
      <c r="W1059" s="14"/>
      <c r="X1059" s="14"/>
      <c r="Y1059" s="14"/>
    </row>
    <row r="1060" spans="1:25" ht="15.75" x14ac:dyDescent="0.25">
      <c r="A1060" s="21"/>
      <c r="B1060" s="21"/>
      <c r="C1060" s="21"/>
      <c r="E1060" s="21"/>
      <c r="F1060" s="21"/>
      <c r="G1060" s="14"/>
      <c r="H1060" s="14"/>
      <c r="I1060" s="14"/>
      <c r="J1060" s="14"/>
      <c r="K1060" s="14"/>
      <c r="L1060" s="14"/>
      <c r="M1060" s="14"/>
      <c r="N1060" s="14"/>
      <c r="O1060" s="14"/>
      <c r="P1060" s="14"/>
      <c r="Q1060" s="14"/>
      <c r="R1060" s="14"/>
      <c r="S1060" s="14"/>
      <c r="T1060" s="14"/>
      <c r="U1060" s="14"/>
      <c r="V1060" s="14"/>
      <c r="W1060" s="14"/>
      <c r="X1060" s="14"/>
      <c r="Y1060" s="14"/>
    </row>
    <row r="1061" spans="1:25" ht="15.75" x14ac:dyDescent="0.25">
      <c r="A1061" s="21"/>
      <c r="B1061" s="21"/>
      <c r="C1061" s="21"/>
      <c r="E1061" s="21"/>
      <c r="F1061" s="21"/>
      <c r="G1061" s="14"/>
      <c r="H1061" s="14"/>
      <c r="I1061" s="14"/>
      <c r="J1061" s="14"/>
      <c r="K1061" s="14"/>
      <c r="L1061" s="14"/>
      <c r="M1061" s="14"/>
      <c r="N1061" s="14"/>
      <c r="O1061" s="14"/>
      <c r="P1061" s="14"/>
      <c r="Q1061" s="14"/>
      <c r="R1061" s="14"/>
      <c r="S1061" s="14"/>
      <c r="T1061" s="14"/>
      <c r="U1061" s="14"/>
      <c r="V1061" s="14"/>
      <c r="W1061" s="14"/>
      <c r="X1061" s="14"/>
      <c r="Y1061" s="14"/>
    </row>
    <row r="1062" spans="1:25" ht="15.75" x14ac:dyDescent="0.25">
      <c r="A1062" s="21"/>
      <c r="B1062" s="21"/>
      <c r="C1062" s="21"/>
      <c r="E1062" s="21"/>
      <c r="F1062" s="21"/>
      <c r="G1062" s="14"/>
      <c r="H1062" s="14"/>
      <c r="I1062" s="14"/>
      <c r="J1062" s="14"/>
      <c r="K1062" s="14"/>
      <c r="L1062" s="14"/>
      <c r="M1062" s="14"/>
      <c r="N1062" s="14"/>
      <c r="O1062" s="14"/>
      <c r="P1062" s="14"/>
      <c r="Q1062" s="14"/>
      <c r="R1062" s="14"/>
      <c r="S1062" s="14"/>
      <c r="T1062" s="14"/>
      <c r="U1062" s="14"/>
      <c r="V1062" s="14"/>
      <c r="W1062" s="14"/>
      <c r="X1062" s="14"/>
      <c r="Y1062" s="14"/>
    </row>
    <row r="1063" spans="1:25" ht="15.75" x14ac:dyDescent="0.25">
      <c r="A1063" s="21"/>
      <c r="B1063" s="21"/>
      <c r="C1063" s="21"/>
      <c r="E1063" s="21"/>
      <c r="F1063" s="21"/>
      <c r="G1063" s="14"/>
      <c r="H1063" s="14"/>
      <c r="I1063" s="14"/>
      <c r="J1063" s="14"/>
      <c r="K1063" s="14"/>
      <c r="L1063" s="14"/>
      <c r="M1063" s="14"/>
      <c r="N1063" s="14"/>
      <c r="O1063" s="14"/>
      <c r="P1063" s="14"/>
      <c r="Q1063" s="14"/>
      <c r="R1063" s="14"/>
      <c r="S1063" s="14"/>
      <c r="T1063" s="14"/>
      <c r="U1063" s="14"/>
      <c r="V1063" s="14"/>
      <c r="W1063" s="14"/>
      <c r="X1063" s="14"/>
      <c r="Y1063" s="14"/>
    </row>
    <row r="1064" spans="1:25" ht="15.75" x14ac:dyDescent="0.25">
      <c r="A1064" s="21"/>
      <c r="B1064" s="21"/>
      <c r="C1064" s="21"/>
      <c r="E1064" s="21"/>
      <c r="F1064" s="21"/>
      <c r="G1064" s="14"/>
      <c r="H1064" s="14"/>
      <c r="I1064" s="14"/>
      <c r="J1064" s="14"/>
      <c r="K1064" s="14"/>
      <c r="L1064" s="14"/>
      <c r="M1064" s="14"/>
      <c r="N1064" s="14"/>
      <c r="O1064" s="14"/>
      <c r="P1064" s="14"/>
      <c r="Q1064" s="14"/>
      <c r="R1064" s="14"/>
      <c r="S1064" s="14"/>
      <c r="T1064" s="14"/>
      <c r="U1064" s="14"/>
      <c r="V1064" s="14"/>
      <c r="W1064" s="14"/>
      <c r="X1064" s="14"/>
      <c r="Y1064" s="14"/>
    </row>
    <row r="1065" spans="1:25" ht="15.75" x14ac:dyDescent="0.25">
      <c r="A1065" s="21"/>
      <c r="B1065" s="21"/>
      <c r="C1065" s="21"/>
      <c r="E1065" s="21"/>
      <c r="F1065" s="21"/>
      <c r="G1065" s="14"/>
      <c r="H1065" s="14"/>
      <c r="I1065" s="14"/>
      <c r="J1065" s="14"/>
      <c r="K1065" s="14"/>
      <c r="L1065" s="14"/>
      <c r="M1065" s="14"/>
      <c r="N1065" s="14"/>
      <c r="O1065" s="14"/>
      <c r="P1065" s="14"/>
      <c r="Q1065" s="14"/>
      <c r="R1065" s="14"/>
      <c r="S1065" s="14"/>
      <c r="T1065" s="14"/>
      <c r="U1065" s="14"/>
      <c r="V1065" s="14"/>
      <c r="W1065" s="14"/>
      <c r="X1065" s="14"/>
      <c r="Y1065" s="14"/>
    </row>
    <row r="1066" spans="1:25" ht="15.75" x14ac:dyDescent="0.25">
      <c r="A1066" s="21"/>
      <c r="B1066" s="21"/>
      <c r="C1066" s="21"/>
      <c r="E1066" s="21"/>
      <c r="F1066" s="21"/>
      <c r="G1066" s="14"/>
      <c r="H1066" s="14"/>
      <c r="I1066" s="14"/>
      <c r="J1066" s="14"/>
      <c r="K1066" s="14"/>
      <c r="L1066" s="14"/>
      <c r="M1066" s="14"/>
      <c r="N1066" s="14"/>
      <c r="O1066" s="14"/>
      <c r="P1066" s="14"/>
      <c r="Q1066" s="14"/>
      <c r="R1066" s="14"/>
      <c r="S1066" s="14"/>
      <c r="T1066" s="14"/>
      <c r="U1066" s="14"/>
      <c r="V1066" s="14"/>
      <c r="W1066" s="14"/>
      <c r="X1066" s="14"/>
      <c r="Y1066" s="14"/>
    </row>
    <row r="1067" spans="1:25" ht="15.75" x14ac:dyDescent="0.25">
      <c r="A1067" s="21"/>
      <c r="B1067" s="21"/>
      <c r="C1067" s="21"/>
      <c r="E1067" s="21"/>
      <c r="F1067" s="21"/>
      <c r="G1067" s="14"/>
      <c r="H1067" s="14"/>
      <c r="I1067" s="14"/>
      <c r="J1067" s="14"/>
      <c r="K1067" s="14"/>
      <c r="L1067" s="14"/>
      <c r="M1067" s="14"/>
      <c r="N1067" s="14"/>
      <c r="O1067" s="14"/>
      <c r="P1067" s="14"/>
      <c r="Q1067" s="14"/>
      <c r="R1067" s="14"/>
      <c r="S1067" s="14"/>
      <c r="T1067" s="14"/>
      <c r="U1067" s="14"/>
      <c r="V1067" s="14"/>
      <c r="W1067" s="14"/>
      <c r="X1067" s="14"/>
      <c r="Y1067" s="14"/>
    </row>
    <row r="1068" spans="1:25" ht="15.75" x14ac:dyDescent="0.25">
      <c r="A1068" s="21"/>
      <c r="B1068" s="21"/>
      <c r="C1068" s="21"/>
      <c r="E1068" s="21"/>
      <c r="F1068" s="21"/>
      <c r="G1068" s="14"/>
      <c r="H1068" s="14"/>
      <c r="I1068" s="14"/>
      <c r="J1068" s="14"/>
      <c r="K1068" s="14"/>
      <c r="L1068" s="14"/>
      <c r="M1068" s="14"/>
      <c r="N1068" s="14"/>
      <c r="O1068" s="14"/>
      <c r="P1068" s="14"/>
      <c r="Q1068" s="14"/>
      <c r="R1068" s="14"/>
      <c r="S1068" s="14"/>
      <c r="T1068" s="14"/>
      <c r="U1068" s="14"/>
      <c r="V1068" s="14"/>
      <c r="W1068" s="14"/>
      <c r="X1068" s="14"/>
      <c r="Y1068" s="14"/>
    </row>
    <row r="1069" spans="1:25" ht="15.75" x14ac:dyDescent="0.25">
      <c r="A1069" s="21"/>
      <c r="B1069" s="21"/>
      <c r="C1069" s="21"/>
      <c r="E1069" s="21"/>
      <c r="F1069" s="21"/>
      <c r="G1069" s="14"/>
      <c r="H1069" s="14"/>
      <c r="I1069" s="14"/>
      <c r="J1069" s="14"/>
      <c r="K1069" s="14"/>
      <c r="L1069" s="14"/>
      <c r="M1069" s="14"/>
      <c r="N1069" s="14"/>
      <c r="O1069" s="14"/>
      <c r="P1069" s="14"/>
      <c r="Q1069" s="14"/>
      <c r="R1069" s="14"/>
      <c r="S1069" s="14"/>
      <c r="T1069" s="14"/>
      <c r="U1069" s="14"/>
      <c r="V1069" s="14"/>
      <c r="W1069" s="14"/>
      <c r="X1069" s="14"/>
      <c r="Y1069" s="14"/>
    </row>
    <row r="1070" spans="1:25" ht="15.75" x14ac:dyDescent="0.25">
      <c r="A1070" s="21"/>
      <c r="B1070" s="21"/>
      <c r="C1070" s="21"/>
      <c r="E1070" s="21"/>
      <c r="F1070" s="21"/>
      <c r="G1070" s="14"/>
      <c r="H1070" s="14"/>
      <c r="I1070" s="14"/>
      <c r="J1070" s="14"/>
      <c r="K1070" s="14"/>
      <c r="L1070" s="14"/>
      <c r="M1070" s="14"/>
      <c r="N1070" s="14"/>
      <c r="O1070" s="14"/>
      <c r="P1070" s="14"/>
      <c r="Q1070" s="14"/>
      <c r="R1070" s="14"/>
      <c r="S1070" s="14"/>
      <c r="T1070" s="14"/>
      <c r="U1070" s="14"/>
      <c r="V1070" s="14"/>
      <c r="W1070" s="14"/>
      <c r="X1070" s="14"/>
      <c r="Y1070" s="14"/>
    </row>
    <row r="1071" spans="1:25" ht="15.75" x14ac:dyDescent="0.25">
      <c r="A1071" s="21"/>
      <c r="B1071" s="21"/>
      <c r="C1071" s="21"/>
      <c r="E1071" s="21"/>
      <c r="F1071" s="21"/>
      <c r="G1071" s="14"/>
      <c r="H1071" s="14"/>
      <c r="I1071" s="14"/>
      <c r="J1071" s="14"/>
      <c r="K1071" s="14"/>
      <c r="L1071" s="14"/>
      <c r="M1071" s="14"/>
      <c r="N1071" s="14"/>
      <c r="O1071" s="14"/>
      <c r="P1071" s="14"/>
      <c r="Q1071" s="14"/>
      <c r="R1071" s="14"/>
      <c r="S1071" s="14"/>
      <c r="T1071" s="14"/>
      <c r="U1071" s="14"/>
      <c r="V1071" s="14"/>
      <c r="W1071" s="14"/>
      <c r="X1071" s="14"/>
      <c r="Y1071" s="14"/>
    </row>
    <row r="1072" spans="1:25" ht="15.75" x14ac:dyDescent="0.25">
      <c r="A1072" s="21"/>
      <c r="B1072" s="21"/>
      <c r="C1072" s="21"/>
      <c r="E1072" s="21"/>
      <c r="F1072" s="21"/>
      <c r="G1072" s="14"/>
      <c r="H1072" s="14"/>
      <c r="I1072" s="14"/>
      <c r="J1072" s="14"/>
      <c r="K1072" s="14"/>
      <c r="L1072" s="14"/>
      <c r="M1072" s="14"/>
      <c r="N1072" s="14"/>
      <c r="O1072" s="14"/>
      <c r="P1072" s="14"/>
      <c r="Q1072" s="14"/>
      <c r="R1072" s="14"/>
      <c r="S1072" s="14"/>
      <c r="T1072" s="14"/>
      <c r="U1072" s="14"/>
      <c r="V1072" s="14"/>
      <c r="W1072" s="14"/>
      <c r="X1072" s="14"/>
      <c r="Y1072" s="14"/>
    </row>
    <row r="1073" spans="1:25" ht="15.75" x14ac:dyDescent="0.25">
      <c r="A1073" s="21"/>
      <c r="B1073" s="21"/>
      <c r="C1073" s="21"/>
      <c r="E1073" s="21"/>
      <c r="F1073" s="21"/>
      <c r="G1073" s="14"/>
      <c r="H1073" s="14"/>
      <c r="I1073" s="14"/>
      <c r="J1073" s="14"/>
      <c r="K1073" s="14"/>
      <c r="L1073" s="14"/>
      <c r="M1073" s="14"/>
      <c r="N1073" s="14"/>
      <c r="O1073" s="14"/>
      <c r="P1073" s="14"/>
      <c r="Q1073" s="14"/>
      <c r="R1073" s="14"/>
      <c r="S1073" s="14"/>
      <c r="T1073" s="14"/>
      <c r="U1073" s="14"/>
      <c r="V1073" s="14"/>
      <c r="W1073" s="14"/>
      <c r="X1073" s="14"/>
      <c r="Y1073" s="14"/>
    </row>
    <row r="1074" spans="1:25" ht="15.75" x14ac:dyDescent="0.25">
      <c r="A1074" s="21"/>
      <c r="B1074" s="21"/>
      <c r="C1074" s="21"/>
      <c r="E1074" s="21"/>
      <c r="F1074" s="21"/>
      <c r="G1074" s="14"/>
      <c r="H1074" s="14"/>
      <c r="I1074" s="14"/>
      <c r="J1074" s="14"/>
      <c r="K1074" s="14"/>
      <c r="L1074" s="14"/>
      <c r="M1074" s="14"/>
      <c r="N1074" s="14"/>
      <c r="O1074" s="14"/>
      <c r="P1074" s="14"/>
      <c r="Q1074" s="14"/>
      <c r="R1074" s="14"/>
      <c r="S1074" s="14"/>
      <c r="T1074" s="14"/>
      <c r="U1074" s="14"/>
      <c r="V1074" s="14"/>
      <c r="W1074" s="14"/>
      <c r="X1074" s="14"/>
      <c r="Y1074" s="14"/>
    </row>
    <row r="1075" spans="1:25" ht="15.75" x14ac:dyDescent="0.25">
      <c r="A1075" s="21"/>
      <c r="B1075" s="21"/>
      <c r="C1075" s="21"/>
      <c r="E1075" s="21"/>
      <c r="F1075" s="21"/>
      <c r="G1075" s="14"/>
      <c r="H1075" s="14"/>
      <c r="I1075" s="14"/>
      <c r="J1075" s="14"/>
      <c r="K1075" s="14"/>
      <c r="L1075" s="14"/>
      <c r="M1075" s="14"/>
      <c r="N1075" s="14"/>
      <c r="O1075" s="14"/>
      <c r="P1075" s="14"/>
      <c r="Q1075" s="14"/>
      <c r="R1075" s="14"/>
      <c r="S1075" s="14"/>
      <c r="T1075" s="14"/>
      <c r="U1075" s="14"/>
      <c r="V1075" s="14"/>
      <c r="W1075" s="14"/>
      <c r="X1075" s="14"/>
      <c r="Y1075" s="14"/>
    </row>
    <row r="1076" spans="1:25" ht="15.75" x14ac:dyDescent="0.25">
      <c r="A1076" s="21"/>
      <c r="B1076" s="21"/>
      <c r="C1076" s="21"/>
      <c r="E1076" s="21"/>
      <c r="F1076" s="21"/>
      <c r="G1076" s="14"/>
      <c r="H1076" s="14"/>
      <c r="I1076" s="14"/>
      <c r="J1076" s="14"/>
      <c r="K1076" s="14"/>
      <c r="L1076" s="14"/>
      <c r="M1076" s="14"/>
      <c r="N1076" s="14"/>
      <c r="O1076" s="14"/>
      <c r="P1076" s="14"/>
      <c r="Q1076" s="14"/>
      <c r="R1076" s="14"/>
      <c r="S1076" s="14"/>
      <c r="T1076" s="14"/>
      <c r="U1076" s="14"/>
      <c r="V1076" s="14"/>
      <c r="W1076" s="14"/>
      <c r="X1076" s="14"/>
      <c r="Y1076" s="14"/>
    </row>
    <row r="1077" spans="1:25" ht="15.75" x14ac:dyDescent="0.25">
      <c r="A1077" s="21"/>
      <c r="B1077" s="21"/>
      <c r="C1077" s="21"/>
      <c r="E1077" s="21"/>
      <c r="F1077" s="21"/>
      <c r="G1077" s="14"/>
      <c r="H1077" s="14"/>
      <c r="I1077" s="14"/>
      <c r="J1077" s="14"/>
      <c r="K1077" s="14"/>
      <c r="L1077" s="14"/>
      <c r="M1077" s="14"/>
      <c r="N1077" s="14"/>
      <c r="O1077" s="14"/>
      <c r="P1077" s="14"/>
      <c r="Q1077" s="14"/>
      <c r="R1077" s="14"/>
      <c r="S1077" s="14"/>
      <c r="T1077" s="14"/>
      <c r="U1077" s="14"/>
      <c r="V1077" s="14"/>
      <c r="W1077" s="14"/>
      <c r="X1077" s="14"/>
      <c r="Y1077" s="14"/>
    </row>
    <row r="1078" spans="1:25" ht="15.75" x14ac:dyDescent="0.25">
      <c r="A1078" s="21"/>
      <c r="B1078" s="21"/>
      <c r="C1078" s="21"/>
      <c r="E1078" s="21"/>
      <c r="F1078" s="21"/>
      <c r="G1078" s="14"/>
      <c r="H1078" s="14"/>
      <c r="I1078" s="14"/>
      <c r="J1078" s="14"/>
      <c r="K1078" s="14"/>
      <c r="L1078" s="14"/>
      <c r="M1078" s="14"/>
      <c r="N1078" s="14"/>
      <c r="O1078" s="14"/>
      <c r="P1078" s="14"/>
      <c r="Q1078" s="14"/>
      <c r="R1078" s="14"/>
      <c r="S1078" s="14"/>
      <c r="T1078" s="14"/>
      <c r="U1078" s="14"/>
      <c r="V1078" s="14"/>
      <c r="W1078" s="14"/>
      <c r="X1078" s="14"/>
      <c r="Y1078" s="14"/>
    </row>
    <row r="1079" spans="1:25" ht="15.75" x14ac:dyDescent="0.25">
      <c r="A1079" s="21"/>
      <c r="B1079" s="21"/>
      <c r="C1079" s="21"/>
      <c r="E1079" s="21"/>
      <c r="F1079" s="21"/>
      <c r="G1079" s="14"/>
      <c r="H1079" s="14"/>
      <c r="I1079" s="14"/>
      <c r="J1079" s="14"/>
      <c r="K1079" s="14"/>
      <c r="L1079" s="14"/>
      <c r="M1079" s="14"/>
      <c r="N1079" s="14"/>
      <c r="O1079" s="14"/>
      <c r="P1079" s="14"/>
      <c r="Q1079" s="14"/>
      <c r="R1079" s="14"/>
      <c r="S1079" s="14"/>
      <c r="T1079" s="14"/>
      <c r="U1079" s="14"/>
      <c r="V1079" s="14"/>
      <c r="W1079" s="14"/>
      <c r="X1079" s="14"/>
      <c r="Y1079" s="14"/>
    </row>
    <row r="1080" spans="1:25" ht="15.75" x14ac:dyDescent="0.25">
      <c r="A1080" s="21"/>
      <c r="B1080" s="21"/>
      <c r="C1080" s="21"/>
      <c r="E1080" s="21"/>
      <c r="F1080" s="21"/>
      <c r="G1080" s="14"/>
      <c r="H1080" s="14"/>
      <c r="I1080" s="14"/>
      <c r="J1080" s="14"/>
      <c r="K1080" s="14"/>
      <c r="L1080" s="14"/>
      <c r="M1080" s="14"/>
      <c r="N1080" s="14"/>
      <c r="O1080" s="14"/>
      <c r="P1080" s="14"/>
      <c r="Q1080" s="14"/>
      <c r="R1080" s="14"/>
      <c r="S1080" s="14"/>
      <c r="T1080" s="14"/>
      <c r="U1080" s="14"/>
      <c r="V1080" s="14"/>
      <c r="W1080" s="14"/>
      <c r="X1080" s="14"/>
      <c r="Y1080" s="14"/>
    </row>
    <row r="1081" spans="1:25" ht="15.75" x14ac:dyDescent="0.25">
      <c r="A1081" s="21"/>
      <c r="B1081" s="21"/>
      <c r="C1081" s="21"/>
      <c r="E1081" s="21"/>
      <c r="F1081" s="21"/>
      <c r="G1081" s="14"/>
      <c r="H1081" s="14"/>
      <c r="I1081" s="14"/>
      <c r="J1081" s="14"/>
      <c r="K1081" s="14"/>
      <c r="L1081" s="14"/>
      <c r="M1081" s="14"/>
      <c r="N1081" s="14"/>
      <c r="O1081" s="14"/>
      <c r="P1081" s="14"/>
      <c r="Q1081" s="14"/>
      <c r="R1081" s="14"/>
      <c r="S1081" s="14"/>
      <c r="T1081" s="14"/>
      <c r="U1081" s="14"/>
      <c r="V1081" s="14"/>
      <c r="W1081" s="14"/>
      <c r="X1081" s="14"/>
      <c r="Y1081" s="14"/>
    </row>
    <row r="1082" spans="1:25" ht="15.75" x14ac:dyDescent="0.25">
      <c r="A1082" s="21"/>
      <c r="B1082" s="21"/>
      <c r="C1082" s="21"/>
      <c r="E1082" s="21"/>
      <c r="F1082" s="21"/>
      <c r="G1082" s="14"/>
      <c r="H1082" s="14"/>
      <c r="I1082" s="14"/>
      <c r="J1082" s="14"/>
      <c r="K1082" s="14"/>
      <c r="L1082" s="14"/>
      <c r="M1082" s="14"/>
      <c r="N1082" s="14"/>
      <c r="O1082" s="14"/>
      <c r="P1082" s="14"/>
      <c r="Q1082" s="14"/>
      <c r="R1082" s="14"/>
      <c r="S1082" s="14"/>
      <c r="T1082" s="14"/>
      <c r="U1082" s="14"/>
      <c r="V1082" s="14"/>
      <c r="W1082" s="14"/>
      <c r="X1082" s="14"/>
      <c r="Y1082" s="14"/>
    </row>
    <row r="1083" spans="1:25" ht="15.75" x14ac:dyDescent="0.25">
      <c r="A1083" s="21"/>
      <c r="B1083" s="21"/>
      <c r="C1083" s="21"/>
      <c r="E1083" s="21"/>
      <c r="F1083" s="21"/>
      <c r="G1083" s="14"/>
      <c r="H1083" s="14"/>
      <c r="I1083" s="14"/>
      <c r="J1083" s="14"/>
      <c r="K1083" s="14"/>
      <c r="L1083" s="14"/>
      <c r="M1083" s="14"/>
      <c r="N1083" s="14"/>
      <c r="O1083" s="14"/>
      <c r="P1083" s="14"/>
      <c r="Q1083" s="14"/>
      <c r="R1083" s="14"/>
      <c r="S1083" s="14"/>
      <c r="T1083" s="14"/>
      <c r="U1083" s="14"/>
      <c r="V1083" s="14"/>
      <c r="W1083" s="14"/>
      <c r="X1083" s="14"/>
      <c r="Y1083" s="14"/>
    </row>
    <row r="1084" spans="1:25" ht="15.75" x14ac:dyDescent="0.25">
      <c r="A1084" s="21"/>
      <c r="B1084" s="21"/>
      <c r="C1084" s="21"/>
      <c r="E1084" s="21"/>
      <c r="F1084" s="21"/>
      <c r="G1084" s="14"/>
      <c r="H1084" s="14"/>
      <c r="I1084" s="14"/>
      <c r="J1084" s="14"/>
      <c r="K1084" s="14"/>
      <c r="L1084" s="14"/>
      <c r="M1084" s="14"/>
      <c r="N1084" s="14"/>
      <c r="O1084" s="14"/>
      <c r="P1084" s="14"/>
      <c r="Q1084" s="14"/>
      <c r="R1084" s="14"/>
      <c r="S1084" s="14"/>
      <c r="T1084" s="14"/>
      <c r="U1084" s="14"/>
      <c r="V1084" s="14"/>
      <c r="W1084" s="14"/>
      <c r="X1084" s="14"/>
      <c r="Y1084" s="14"/>
    </row>
    <row r="1085" spans="1:25" ht="15.75" x14ac:dyDescent="0.25">
      <c r="A1085" s="21"/>
      <c r="B1085" s="21"/>
      <c r="C1085" s="21"/>
      <c r="E1085" s="21"/>
      <c r="F1085" s="21"/>
      <c r="G1085" s="14"/>
      <c r="H1085" s="14"/>
      <c r="I1085" s="14"/>
      <c r="J1085" s="14"/>
      <c r="K1085" s="14"/>
      <c r="L1085" s="14"/>
      <c r="M1085" s="14"/>
      <c r="N1085" s="14"/>
      <c r="O1085" s="14"/>
      <c r="P1085" s="14"/>
      <c r="Q1085" s="14"/>
      <c r="R1085" s="14"/>
      <c r="S1085" s="14"/>
      <c r="T1085" s="14"/>
      <c r="U1085" s="14"/>
      <c r="V1085" s="14"/>
      <c r="W1085" s="14"/>
      <c r="X1085" s="14"/>
      <c r="Y1085" s="14"/>
    </row>
    <row r="1086" spans="1:25" ht="15.75" x14ac:dyDescent="0.25">
      <c r="A1086" s="21"/>
      <c r="B1086" s="21"/>
      <c r="C1086" s="21"/>
      <c r="E1086" s="21"/>
      <c r="F1086" s="21"/>
      <c r="G1086" s="14"/>
      <c r="H1086" s="14"/>
      <c r="I1086" s="14"/>
      <c r="J1086" s="14"/>
      <c r="K1086" s="14"/>
      <c r="L1086" s="14"/>
      <c r="M1086" s="14"/>
      <c r="N1086" s="14"/>
      <c r="O1086" s="14"/>
      <c r="P1086" s="14"/>
      <c r="Q1086" s="14"/>
      <c r="R1086" s="14"/>
      <c r="S1086" s="14"/>
      <c r="T1086" s="14"/>
      <c r="U1086" s="14"/>
      <c r="V1086" s="14"/>
      <c r="W1086" s="14"/>
      <c r="X1086" s="14"/>
      <c r="Y1086" s="14"/>
    </row>
    <row r="1087" spans="1:25" ht="15.75" x14ac:dyDescent="0.25">
      <c r="A1087" s="21"/>
      <c r="B1087" s="21"/>
      <c r="C1087" s="21"/>
      <c r="E1087" s="21"/>
      <c r="F1087" s="21"/>
      <c r="G1087" s="14"/>
      <c r="H1087" s="14"/>
      <c r="I1087" s="14"/>
      <c r="J1087" s="14"/>
      <c r="K1087" s="14"/>
      <c r="L1087" s="14"/>
      <c r="M1087" s="14"/>
      <c r="N1087" s="14"/>
      <c r="O1087" s="14"/>
      <c r="P1087" s="14"/>
      <c r="Q1087" s="14"/>
      <c r="R1087" s="14"/>
      <c r="S1087" s="14"/>
      <c r="T1087" s="14"/>
      <c r="U1087" s="14"/>
      <c r="V1087" s="14"/>
      <c r="W1087" s="14"/>
      <c r="X1087" s="14"/>
      <c r="Y1087" s="14"/>
    </row>
    <row r="1088" spans="1:25" ht="15.75" x14ac:dyDescent="0.25">
      <c r="A1088" s="21"/>
      <c r="B1088" s="21"/>
      <c r="C1088" s="21"/>
      <c r="E1088" s="21"/>
      <c r="F1088" s="21"/>
      <c r="G1088" s="14"/>
      <c r="H1088" s="14"/>
      <c r="I1088" s="14"/>
      <c r="J1088" s="14"/>
      <c r="K1088" s="14"/>
      <c r="L1088" s="14"/>
      <c r="M1088" s="14"/>
      <c r="N1088" s="14"/>
      <c r="O1088" s="14"/>
      <c r="P1088" s="14"/>
      <c r="Q1088" s="14"/>
      <c r="R1088" s="14"/>
      <c r="S1088" s="14"/>
      <c r="T1088" s="14"/>
      <c r="U1088" s="14"/>
      <c r="V1088" s="14"/>
      <c r="W1088" s="14"/>
      <c r="X1088" s="14"/>
      <c r="Y1088" s="14"/>
    </row>
    <row r="1089" spans="1:25" ht="15.75" x14ac:dyDescent="0.25">
      <c r="A1089" s="21"/>
      <c r="B1089" s="21"/>
      <c r="C1089" s="21"/>
      <c r="E1089" s="21"/>
      <c r="F1089" s="21"/>
      <c r="G1089" s="14"/>
      <c r="H1089" s="14"/>
      <c r="I1089" s="14"/>
      <c r="J1089" s="14"/>
      <c r="K1089" s="14"/>
      <c r="L1089" s="14"/>
      <c r="M1089" s="14"/>
      <c r="N1089" s="14"/>
      <c r="O1089" s="14"/>
      <c r="P1089" s="14"/>
      <c r="Q1089" s="14"/>
      <c r="R1089" s="14"/>
      <c r="S1089" s="14"/>
      <c r="T1089" s="14"/>
      <c r="U1089" s="14"/>
      <c r="V1089" s="14"/>
      <c r="W1089" s="14"/>
      <c r="X1089" s="14"/>
      <c r="Y1089" s="14"/>
    </row>
    <row r="1090" spans="1:25" ht="15.75" x14ac:dyDescent="0.25">
      <c r="A1090" s="21"/>
      <c r="B1090" s="21"/>
      <c r="C1090" s="21"/>
      <c r="E1090" s="21"/>
      <c r="F1090" s="21"/>
      <c r="G1090" s="14"/>
      <c r="H1090" s="14"/>
      <c r="I1090" s="14"/>
      <c r="J1090" s="14"/>
      <c r="K1090" s="14"/>
      <c r="L1090" s="14"/>
      <c r="M1090" s="14"/>
      <c r="N1090" s="14"/>
      <c r="O1090" s="14"/>
      <c r="P1090" s="14"/>
      <c r="Q1090" s="14"/>
      <c r="R1090" s="14"/>
      <c r="S1090" s="14"/>
      <c r="T1090" s="14"/>
      <c r="U1090" s="14"/>
      <c r="V1090" s="14"/>
      <c r="W1090" s="14"/>
      <c r="X1090" s="14"/>
      <c r="Y1090" s="14"/>
    </row>
    <row r="1091" spans="1:25" ht="15.75" x14ac:dyDescent="0.25">
      <c r="A1091" s="21"/>
      <c r="B1091" s="21"/>
      <c r="C1091" s="21"/>
      <c r="E1091" s="21"/>
      <c r="F1091" s="21"/>
      <c r="G1091" s="14"/>
      <c r="H1091" s="14"/>
      <c r="I1091" s="14"/>
      <c r="J1091" s="14"/>
      <c r="K1091" s="14"/>
      <c r="L1091" s="14"/>
      <c r="M1091" s="14"/>
      <c r="N1091" s="14"/>
      <c r="O1091" s="14"/>
      <c r="P1091" s="14"/>
      <c r="Q1091" s="14"/>
      <c r="R1091" s="14"/>
      <c r="S1091" s="14"/>
      <c r="T1091" s="14"/>
      <c r="U1091" s="14"/>
      <c r="V1091" s="14"/>
      <c r="W1091" s="14"/>
      <c r="X1091" s="14"/>
      <c r="Y1091" s="14"/>
    </row>
    <row r="1092" spans="1:25" ht="15.75" x14ac:dyDescent="0.25">
      <c r="A1092" s="21"/>
      <c r="B1092" s="21"/>
      <c r="C1092" s="21"/>
      <c r="E1092" s="21"/>
      <c r="F1092" s="21"/>
      <c r="G1092" s="14"/>
      <c r="H1092" s="14"/>
      <c r="I1092" s="14"/>
      <c r="J1092" s="14"/>
      <c r="K1092" s="14"/>
      <c r="L1092" s="14"/>
      <c r="M1092" s="14"/>
      <c r="N1092" s="14"/>
      <c r="O1092" s="14"/>
      <c r="P1092" s="14"/>
      <c r="Q1092" s="14"/>
      <c r="R1092" s="14"/>
      <c r="S1092" s="14"/>
      <c r="T1092" s="14"/>
      <c r="U1092" s="14"/>
      <c r="V1092" s="14"/>
      <c r="W1092" s="14"/>
      <c r="X1092" s="14"/>
      <c r="Y1092" s="14"/>
    </row>
    <row r="1093" spans="1:25" ht="15.75" x14ac:dyDescent="0.25">
      <c r="A1093" s="21"/>
      <c r="B1093" s="21"/>
      <c r="C1093" s="21"/>
      <c r="E1093" s="21"/>
      <c r="F1093" s="21"/>
      <c r="G1093" s="14"/>
      <c r="H1093" s="14"/>
      <c r="I1093" s="14"/>
      <c r="J1093" s="14"/>
      <c r="K1093" s="14"/>
      <c r="L1093" s="14"/>
      <c r="M1093" s="14"/>
      <c r="N1093" s="14"/>
      <c r="O1093" s="14"/>
      <c r="P1093" s="14"/>
      <c r="Q1093" s="14"/>
      <c r="R1093" s="14"/>
      <c r="S1093" s="14"/>
      <c r="T1093" s="14"/>
      <c r="U1093" s="14"/>
      <c r="V1093" s="14"/>
      <c r="W1093" s="14"/>
      <c r="X1093" s="14"/>
      <c r="Y1093" s="14"/>
    </row>
    <row r="1094" spans="1:25" ht="15.75" x14ac:dyDescent="0.25">
      <c r="A1094" s="21"/>
      <c r="B1094" s="21"/>
      <c r="C1094" s="21"/>
      <c r="E1094" s="21"/>
      <c r="F1094" s="21"/>
      <c r="G1094" s="14"/>
      <c r="H1094" s="14"/>
      <c r="I1094" s="14"/>
      <c r="J1094" s="14"/>
      <c r="K1094" s="14"/>
      <c r="L1094" s="14"/>
      <c r="M1094" s="14"/>
      <c r="N1094" s="14"/>
      <c r="O1094" s="14"/>
      <c r="P1094" s="14"/>
      <c r="Q1094" s="14"/>
      <c r="R1094" s="14"/>
      <c r="S1094" s="14"/>
      <c r="T1094" s="14"/>
      <c r="U1094" s="14"/>
      <c r="V1094" s="14"/>
      <c r="W1094" s="14"/>
      <c r="X1094" s="14"/>
      <c r="Y1094" s="14"/>
    </row>
    <row r="1095" spans="1:25" ht="15.75" x14ac:dyDescent="0.25">
      <c r="A1095" s="21"/>
      <c r="B1095" s="21"/>
      <c r="C1095" s="21"/>
      <c r="E1095" s="21"/>
      <c r="F1095" s="21"/>
      <c r="G1095" s="14"/>
      <c r="H1095" s="14"/>
      <c r="I1095" s="14"/>
      <c r="J1095" s="14"/>
      <c r="K1095" s="14"/>
      <c r="L1095" s="14"/>
      <c r="M1095" s="14"/>
      <c r="N1095" s="14"/>
      <c r="O1095" s="14"/>
      <c r="P1095" s="14"/>
      <c r="Q1095" s="14"/>
      <c r="R1095" s="14"/>
      <c r="S1095" s="14"/>
      <c r="T1095" s="14"/>
      <c r="U1095" s="14"/>
      <c r="V1095" s="14"/>
      <c r="W1095" s="14"/>
      <c r="X1095" s="14"/>
      <c r="Y1095" s="14"/>
    </row>
    <row r="1096" spans="1:25" ht="15.75" x14ac:dyDescent="0.25">
      <c r="A1096" s="21"/>
      <c r="B1096" s="21"/>
      <c r="C1096" s="21"/>
      <c r="E1096" s="21"/>
      <c r="F1096" s="21"/>
      <c r="G1096" s="14"/>
      <c r="H1096" s="14"/>
      <c r="I1096" s="14"/>
      <c r="J1096" s="14"/>
      <c r="K1096" s="14"/>
      <c r="L1096" s="14"/>
      <c r="M1096" s="14"/>
      <c r="N1096" s="14"/>
      <c r="O1096" s="14"/>
      <c r="P1096" s="14"/>
      <c r="Q1096" s="14"/>
      <c r="R1096" s="14"/>
      <c r="S1096" s="14"/>
      <c r="T1096" s="14"/>
      <c r="U1096" s="14"/>
      <c r="V1096" s="14"/>
      <c r="W1096" s="14"/>
      <c r="X1096" s="14"/>
      <c r="Y1096" s="14"/>
    </row>
    <row r="1097" spans="1:25" ht="15.75" x14ac:dyDescent="0.25">
      <c r="A1097" s="21"/>
      <c r="B1097" s="21"/>
      <c r="C1097" s="21"/>
      <c r="E1097" s="21"/>
      <c r="F1097" s="21"/>
      <c r="G1097" s="14"/>
      <c r="H1097" s="14"/>
      <c r="I1097" s="14"/>
      <c r="J1097" s="14"/>
      <c r="K1097" s="14"/>
      <c r="L1097" s="14"/>
      <c r="M1097" s="14"/>
      <c r="N1097" s="14"/>
      <c r="O1097" s="14"/>
      <c r="P1097" s="14"/>
      <c r="Q1097" s="14"/>
      <c r="R1097" s="14"/>
      <c r="S1097" s="14"/>
      <c r="T1097" s="14"/>
      <c r="U1097" s="14"/>
      <c r="V1097" s="14"/>
      <c r="W1097" s="14"/>
      <c r="X1097" s="14"/>
      <c r="Y1097" s="14"/>
    </row>
    <row r="1098" spans="1:25" ht="15.75" x14ac:dyDescent="0.25">
      <c r="A1098" s="21"/>
      <c r="B1098" s="21"/>
      <c r="C1098" s="21"/>
      <c r="E1098" s="21"/>
      <c r="F1098" s="21"/>
      <c r="G1098" s="14"/>
      <c r="H1098" s="14"/>
      <c r="I1098" s="14"/>
      <c r="J1098" s="14"/>
      <c r="K1098" s="14"/>
      <c r="L1098" s="14"/>
      <c r="M1098" s="14"/>
      <c r="N1098" s="14"/>
      <c r="O1098" s="14"/>
      <c r="P1098" s="14"/>
      <c r="Q1098" s="14"/>
      <c r="R1098" s="14"/>
      <c r="S1098" s="14"/>
      <c r="T1098" s="14"/>
      <c r="U1098" s="14"/>
      <c r="V1098" s="14"/>
      <c r="W1098" s="14"/>
      <c r="X1098" s="14"/>
      <c r="Y1098" s="14"/>
    </row>
    <row r="1099" spans="1:25" ht="15.75" x14ac:dyDescent="0.25">
      <c r="A1099" s="21"/>
      <c r="B1099" s="21"/>
      <c r="C1099" s="21"/>
      <c r="E1099" s="21"/>
      <c r="F1099" s="21"/>
      <c r="G1099" s="14"/>
      <c r="H1099" s="14"/>
      <c r="I1099" s="14"/>
      <c r="J1099" s="14"/>
      <c r="K1099" s="14"/>
      <c r="L1099" s="14"/>
      <c r="M1099" s="14"/>
      <c r="N1099" s="14"/>
      <c r="O1099" s="14"/>
      <c r="P1099" s="14"/>
      <c r="Q1099" s="14"/>
      <c r="R1099" s="14"/>
      <c r="S1099" s="14"/>
      <c r="T1099" s="14"/>
      <c r="U1099" s="14"/>
      <c r="V1099" s="14"/>
      <c r="W1099" s="14"/>
      <c r="X1099" s="14"/>
      <c r="Y1099" s="14"/>
    </row>
    <row r="1100" spans="1:25" ht="15.75" x14ac:dyDescent="0.25">
      <c r="A1100" s="21"/>
      <c r="B1100" s="21"/>
      <c r="C1100" s="21"/>
      <c r="E1100" s="21"/>
      <c r="F1100" s="21"/>
      <c r="G1100" s="14"/>
      <c r="H1100" s="14"/>
      <c r="I1100" s="14"/>
      <c r="J1100" s="14"/>
      <c r="K1100" s="14"/>
      <c r="L1100" s="14"/>
      <c r="M1100" s="14"/>
      <c r="N1100" s="14"/>
      <c r="O1100" s="14"/>
      <c r="P1100" s="14"/>
      <c r="Q1100" s="14"/>
      <c r="R1100" s="14"/>
      <c r="S1100" s="14"/>
      <c r="T1100" s="14"/>
      <c r="U1100" s="14"/>
      <c r="V1100" s="14"/>
      <c r="W1100" s="14"/>
      <c r="X1100" s="14"/>
      <c r="Y1100" s="14"/>
    </row>
    <row r="1101" spans="1:25" ht="15.75" x14ac:dyDescent="0.25">
      <c r="A1101" s="21"/>
      <c r="B1101" s="21"/>
      <c r="C1101" s="21"/>
      <c r="E1101" s="21"/>
      <c r="F1101" s="21"/>
      <c r="G1101" s="14"/>
      <c r="H1101" s="14"/>
      <c r="I1101" s="14"/>
      <c r="J1101" s="14"/>
      <c r="K1101" s="14"/>
      <c r="L1101" s="14"/>
      <c r="M1101" s="14"/>
      <c r="N1101" s="14"/>
      <c r="O1101" s="14"/>
      <c r="P1101" s="14"/>
      <c r="Q1101" s="14"/>
      <c r="R1101" s="14"/>
      <c r="S1101" s="14"/>
      <c r="T1101" s="14"/>
      <c r="U1101" s="14"/>
      <c r="V1101" s="14"/>
      <c r="W1101" s="14"/>
      <c r="X1101" s="14"/>
      <c r="Y1101" s="14"/>
    </row>
    <row r="1102" spans="1:25" ht="15.75" x14ac:dyDescent="0.25">
      <c r="A1102" s="21"/>
      <c r="B1102" s="21"/>
      <c r="C1102" s="21"/>
      <c r="E1102" s="21"/>
      <c r="F1102" s="21"/>
      <c r="G1102" s="14"/>
      <c r="H1102" s="14"/>
      <c r="I1102" s="14"/>
      <c r="J1102" s="14"/>
      <c r="K1102" s="14"/>
      <c r="L1102" s="14"/>
      <c r="M1102" s="14"/>
      <c r="N1102" s="14"/>
      <c r="O1102" s="14"/>
      <c r="P1102" s="14"/>
      <c r="Q1102" s="14"/>
      <c r="R1102" s="14"/>
      <c r="S1102" s="14"/>
      <c r="T1102" s="14"/>
      <c r="U1102" s="14"/>
      <c r="V1102" s="14"/>
      <c r="W1102" s="14"/>
      <c r="X1102" s="14"/>
      <c r="Y1102" s="14"/>
    </row>
    <row r="1103" spans="1:25" ht="15.75" x14ac:dyDescent="0.25">
      <c r="A1103" s="21"/>
      <c r="B1103" s="21"/>
      <c r="C1103" s="21"/>
      <c r="E1103" s="21"/>
      <c r="F1103" s="21"/>
      <c r="G1103" s="14"/>
      <c r="H1103" s="14"/>
      <c r="I1103" s="14"/>
      <c r="J1103" s="14"/>
      <c r="K1103" s="14"/>
      <c r="L1103" s="14"/>
      <c r="M1103" s="14"/>
      <c r="N1103" s="14"/>
      <c r="O1103" s="14"/>
      <c r="P1103" s="14"/>
      <c r="Q1103" s="14"/>
      <c r="R1103" s="14"/>
      <c r="S1103" s="14"/>
      <c r="T1103" s="14"/>
      <c r="U1103" s="14"/>
      <c r="V1103" s="14"/>
      <c r="W1103" s="14"/>
      <c r="X1103" s="14"/>
      <c r="Y1103" s="14"/>
    </row>
    <row r="1104" spans="1:25" ht="15.75" x14ac:dyDescent="0.25">
      <c r="A1104" s="21"/>
      <c r="B1104" s="21"/>
      <c r="C1104" s="21"/>
      <c r="E1104" s="21"/>
      <c r="F1104" s="21"/>
      <c r="G1104" s="14"/>
      <c r="H1104" s="14"/>
      <c r="I1104" s="14"/>
      <c r="J1104" s="14"/>
      <c r="K1104" s="14"/>
      <c r="L1104" s="14"/>
      <c r="M1104" s="14"/>
      <c r="N1104" s="14"/>
      <c r="O1104" s="14"/>
      <c r="P1104" s="14"/>
      <c r="Q1104" s="14"/>
      <c r="R1104" s="14"/>
      <c r="S1104" s="14"/>
      <c r="T1104" s="14"/>
      <c r="U1104" s="14"/>
      <c r="V1104" s="14"/>
      <c r="W1104" s="14"/>
      <c r="X1104" s="14"/>
      <c r="Y1104" s="14"/>
    </row>
    <row r="1105" spans="1:25" ht="15.75" x14ac:dyDescent="0.25">
      <c r="A1105" s="21"/>
      <c r="B1105" s="21"/>
      <c r="C1105" s="21"/>
      <c r="E1105" s="21"/>
      <c r="F1105" s="21"/>
      <c r="G1105" s="14"/>
      <c r="H1105" s="14"/>
      <c r="I1105" s="14"/>
      <c r="J1105" s="14"/>
      <c r="K1105" s="14"/>
      <c r="L1105" s="14"/>
      <c r="M1105" s="14"/>
      <c r="N1105" s="14"/>
      <c r="O1105" s="14"/>
      <c r="P1105" s="14"/>
      <c r="Q1105" s="14"/>
      <c r="R1105" s="14"/>
      <c r="S1105" s="14"/>
      <c r="T1105" s="14"/>
      <c r="U1105" s="14"/>
      <c r="V1105" s="14"/>
      <c r="W1105" s="14"/>
      <c r="X1105" s="14"/>
      <c r="Y1105" s="14"/>
    </row>
    <row r="1106" spans="1:25" ht="15.75" x14ac:dyDescent="0.25">
      <c r="A1106" s="21"/>
      <c r="B1106" s="21"/>
      <c r="C1106" s="21"/>
      <c r="E1106" s="21"/>
      <c r="F1106" s="21"/>
      <c r="G1106" s="14"/>
      <c r="H1106" s="14"/>
      <c r="I1106" s="14"/>
      <c r="J1106" s="14"/>
      <c r="K1106" s="14"/>
      <c r="L1106" s="14"/>
      <c r="M1106" s="14"/>
      <c r="N1106" s="14"/>
      <c r="O1106" s="14"/>
      <c r="P1106" s="14"/>
      <c r="Q1106" s="14"/>
      <c r="R1106" s="14"/>
      <c r="S1106" s="14"/>
      <c r="T1106" s="14"/>
      <c r="U1106" s="14"/>
      <c r="V1106" s="14"/>
      <c r="W1106" s="14"/>
      <c r="X1106" s="14"/>
      <c r="Y1106" s="14"/>
    </row>
    <row r="1107" spans="1:25" ht="15.75" x14ac:dyDescent="0.25">
      <c r="A1107" s="21"/>
      <c r="B1107" s="21"/>
      <c r="C1107" s="21"/>
      <c r="E1107" s="21"/>
      <c r="F1107" s="21"/>
      <c r="G1107" s="14"/>
      <c r="H1107" s="14"/>
      <c r="I1107" s="14"/>
      <c r="J1107" s="14"/>
      <c r="K1107" s="14"/>
      <c r="L1107" s="14"/>
      <c r="M1107" s="14"/>
      <c r="N1107" s="14"/>
      <c r="O1107" s="14"/>
      <c r="P1107" s="14"/>
      <c r="Q1107" s="14"/>
      <c r="R1107" s="14"/>
      <c r="S1107" s="14"/>
      <c r="T1107" s="14"/>
      <c r="U1107" s="14"/>
      <c r="V1107" s="14"/>
      <c r="W1107" s="14"/>
      <c r="X1107" s="14"/>
      <c r="Y1107" s="14"/>
    </row>
    <row r="1108" spans="1:25" ht="15.75" x14ac:dyDescent="0.25">
      <c r="A1108" s="21"/>
      <c r="B1108" s="21"/>
      <c r="C1108" s="21"/>
      <c r="E1108" s="21"/>
      <c r="F1108" s="21"/>
      <c r="G1108" s="14"/>
      <c r="H1108" s="14"/>
      <c r="I1108" s="14"/>
      <c r="J1108" s="14"/>
      <c r="K1108" s="14"/>
      <c r="L1108" s="14"/>
      <c r="M1108" s="14"/>
      <c r="N1108" s="14"/>
      <c r="O1108" s="14"/>
      <c r="P1108" s="14"/>
      <c r="Q1108" s="14"/>
      <c r="R1108" s="14"/>
      <c r="S1108" s="14"/>
      <c r="T1108" s="14"/>
      <c r="U1108" s="14"/>
      <c r="V1108" s="14"/>
      <c r="W1108" s="14"/>
      <c r="X1108" s="14"/>
      <c r="Y1108" s="14"/>
    </row>
    <row r="1109" spans="1:25" ht="15.75" x14ac:dyDescent="0.25">
      <c r="A1109" s="21"/>
      <c r="B1109" s="21"/>
      <c r="C1109" s="21"/>
      <c r="E1109" s="21"/>
      <c r="F1109" s="21"/>
      <c r="G1109" s="14"/>
      <c r="H1109" s="14"/>
      <c r="I1109" s="14"/>
      <c r="J1109" s="14"/>
      <c r="K1109" s="14"/>
      <c r="L1109" s="14"/>
      <c r="M1109" s="14"/>
      <c r="N1109" s="14"/>
      <c r="O1109" s="14"/>
      <c r="P1109" s="14"/>
      <c r="Q1109" s="14"/>
      <c r="R1109" s="14"/>
      <c r="S1109" s="14"/>
      <c r="T1109" s="14"/>
      <c r="U1109" s="14"/>
      <c r="V1109" s="14"/>
      <c r="W1109" s="14"/>
      <c r="X1109" s="14"/>
      <c r="Y1109" s="14"/>
    </row>
    <row r="1110" spans="1:25" ht="15.75" x14ac:dyDescent="0.25">
      <c r="A1110" s="21"/>
      <c r="B1110" s="21"/>
      <c r="C1110" s="21"/>
      <c r="E1110" s="21"/>
      <c r="F1110" s="21"/>
      <c r="G1110" s="14"/>
      <c r="H1110" s="14"/>
      <c r="I1110" s="14"/>
      <c r="J1110" s="14"/>
      <c r="K1110" s="14"/>
      <c r="L1110" s="14"/>
      <c r="M1110" s="14"/>
      <c r="N1110" s="14"/>
      <c r="O1110" s="14"/>
      <c r="P1110" s="14"/>
      <c r="Q1110" s="14"/>
      <c r="R1110" s="14"/>
      <c r="S1110" s="14"/>
      <c r="T1110" s="14"/>
      <c r="U1110" s="14"/>
      <c r="V1110" s="14"/>
      <c r="W1110" s="14"/>
      <c r="X1110" s="14"/>
      <c r="Y1110" s="14"/>
    </row>
    <row r="1111" spans="1:25" ht="15.75" x14ac:dyDescent="0.25">
      <c r="A1111" s="21"/>
      <c r="B1111" s="21"/>
      <c r="C1111" s="21"/>
      <c r="E1111" s="21"/>
      <c r="F1111" s="21"/>
      <c r="G1111" s="14"/>
      <c r="H1111" s="14"/>
      <c r="I1111" s="14"/>
      <c r="J1111" s="14"/>
      <c r="K1111" s="14"/>
      <c r="L1111" s="14"/>
      <c r="M1111" s="14"/>
      <c r="N1111" s="14"/>
      <c r="O1111" s="14"/>
      <c r="P1111" s="14"/>
      <c r="Q1111" s="14"/>
      <c r="R1111" s="14"/>
      <c r="S1111" s="14"/>
      <c r="T1111" s="14"/>
      <c r="U1111" s="14"/>
      <c r="V1111" s="14"/>
      <c r="W1111" s="14"/>
      <c r="X1111" s="14"/>
      <c r="Y1111" s="14"/>
    </row>
    <row r="1112" spans="1:25" ht="15.75" x14ac:dyDescent="0.25">
      <c r="A1112" s="21"/>
      <c r="B1112" s="21"/>
      <c r="C1112" s="21"/>
      <c r="E1112" s="21"/>
      <c r="F1112" s="21"/>
      <c r="G1112" s="14"/>
      <c r="H1112" s="14"/>
      <c r="I1112" s="14"/>
      <c r="J1112" s="14"/>
      <c r="K1112" s="14"/>
      <c r="L1112" s="14"/>
      <c r="M1112" s="14"/>
      <c r="N1112" s="14"/>
      <c r="O1112" s="14"/>
      <c r="P1112" s="14"/>
      <c r="Q1112" s="14"/>
      <c r="R1112" s="14"/>
      <c r="S1112" s="14"/>
      <c r="T1112" s="14"/>
      <c r="U1112" s="14"/>
      <c r="V1112" s="14"/>
      <c r="W1112" s="14"/>
      <c r="X1112" s="14"/>
      <c r="Y1112" s="14"/>
    </row>
    <row r="1113" spans="1:25" ht="15.75" x14ac:dyDescent="0.25">
      <c r="A1113" s="21"/>
      <c r="B1113" s="21"/>
      <c r="C1113" s="21"/>
      <c r="E1113" s="21"/>
      <c r="F1113" s="21"/>
      <c r="G1113" s="14"/>
      <c r="H1113" s="14"/>
      <c r="I1113" s="14"/>
      <c r="J1113" s="14"/>
      <c r="K1113" s="14"/>
      <c r="L1113" s="14"/>
      <c r="M1113" s="14"/>
      <c r="N1113" s="14"/>
      <c r="O1113" s="14"/>
      <c r="P1113" s="14"/>
      <c r="Q1113" s="14"/>
      <c r="R1113" s="14"/>
      <c r="S1113" s="14"/>
      <c r="T1113" s="14"/>
      <c r="U1113" s="14"/>
      <c r="V1113" s="14"/>
      <c r="W1113" s="14"/>
      <c r="X1113" s="14"/>
      <c r="Y1113" s="14"/>
    </row>
    <row r="1114" spans="1:25" ht="15.75" x14ac:dyDescent="0.25">
      <c r="A1114" s="21"/>
      <c r="B1114" s="21"/>
      <c r="C1114" s="21"/>
      <c r="E1114" s="21"/>
      <c r="F1114" s="21"/>
      <c r="G1114" s="14"/>
      <c r="H1114" s="14"/>
      <c r="I1114" s="14"/>
      <c r="J1114" s="14"/>
      <c r="K1114" s="14"/>
      <c r="L1114" s="14"/>
      <c r="M1114" s="14"/>
      <c r="N1114" s="14"/>
      <c r="O1114" s="14"/>
      <c r="P1114" s="14"/>
      <c r="Q1114" s="14"/>
      <c r="R1114" s="14"/>
      <c r="S1114" s="14"/>
      <c r="T1114" s="14"/>
      <c r="U1114" s="14"/>
      <c r="V1114" s="14"/>
      <c r="W1114" s="14"/>
      <c r="X1114" s="14"/>
      <c r="Y1114" s="14"/>
    </row>
    <row r="1115" spans="1:25" ht="15.75" x14ac:dyDescent="0.25">
      <c r="A1115" s="21"/>
      <c r="B1115" s="21"/>
      <c r="C1115" s="21"/>
      <c r="E1115" s="21"/>
      <c r="F1115" s="21"/>
      <c r="G1115" s="14"/>
      <c r="H1115" s="14"/>
      <c r="I1115" s="14"/>
      <c r="J1115" s="14"/>
      <c r="K1115" s="14"/>
      <c r="L1115" s="14"/>
      <c r="M1115" s="14"/>
      <c r="N1115" s="14"/>
      <c r="O1115" s="14"/>
      <c r="P1115" s="14"/>
      <c r="Q1115" s="14"/>
      <c r="R1115" s="14"/>
      <c r="S1115" s="14"/>
      <c r="T1115" s="14"/>
      <c r="U1115" s="14"/>
      <c r="V1115" s="14"/>
      <c r="W1115" s="14"/>
      <c r="X1115" s="14"/>
      <c r="Y1115" s="14"/>
    </row>
    <row r="1116" spans="1:25" ht="15.75" x14ac:dyDescent="0.25">
      <c r="A1116" s="21"/>
      <c r="B1116" s="21"/>
      <c r="C1116" s="21"/>
      <c r="E1116" s="21"/>
      <c r="F1116" s="21"/>
      <c r="G1116" s="14"/>
      <c r="H1116" s="14"/>
      <c r="I1116" s="14"/>
      <c r="J1116" s="14"/>
      <c r="K1116" s="14"/>
      <c r="L1116" s="14"/>
      <c r="M1116" s="14"/>
      <c r="N1116" s="14"/>
      <c r="O1116" s="14"/>
      <c r="P1116" s="14"/>
      <c r="Q1116" s="14"/>
      <c r="R1116" s="14"/>
      <c r="S1116" s="14"/>
      <c r="T1116" s="14"/>
      <c r="U1116" s="14"/>
      <c r="V1116" s="14"/>
      <c r="W1116" s="14"/>
      <c r="X1116" s="14"/>
      <c r="Y1116" s="14"/>
    </row>
    <row r="1117" spans="1:25" ht="15.75" x14ac:dyDescent="0.25">
      <c r="A1117" s="21"/>
      <c r="B1117" s="21"/>
      <c r="C1117" s="21"/>
      <c r="E1117" s="21"/>
      <c r="F1117" s="21"/>
      <c r="G1117" s="14"/>
      <c r="H1117" s="14"/>
      <c r="I1117" s="14"/>
      <c r="J1117" s="14"/>
      <c r="K1117" s="14"/>
      <c r="L1117" s="14"/>
      <c r="M1117" s="14"/>
      <c r="N1117" s="14"/>
      <c r="O1117" s="14"/>
      <c r="P1117" s="14"/>
      <c r="Q1117" s="14"/>
      <c r="R1117" s="14"/>
      <c r="S1117" s="14"/>
      <c r="T1117" s="14"/>
      <c r="U1117" s="14"/>
      <c r="V1117" s="14"/>
      <c r="W1117" s="14"/>
      <c r="X1117" s="14"/>
      <c r="Y1117" s="14"/>
    </row>
    <row r="1118" spans="1:25" ht="15.75" x14ac:dyDescent="0.25">
      <c r="A1118" s="21"/>
      <c r="B1118" s="21"/>
      <c r="C1118" s="21"/>
      <c r="E1118" s="21"/>
      <c r="F1118" s="21"/>
      <c r="G1118" s="14"/>
      <c r="H1118" s="14"/>
      <c r="I1118" s="14"/>
      <c r="J1118" s="14"/>
      <c r="K1118" s="14"/>
      <c r="L1118" s="14"/>
      <c r="M1118" s="14"/>
      <c r="N1118" s="14"/>
      <c r="O1118" s="14"/>
      <c r="P1118" s="14"/>
      <c r="Q1118" s="14"/>
      <c r="R1118" s="14"/>
      <c r="S1118" s="14"/>
      <c r="T1118" s="14"/>
      <c r="U1118" s="14"/>
      <c r="V1118" s="14"/>
      <c r="W1118" s="14"/>
      <c r="X1118" s="14"/>
      <c r="Y1118" s="14"/>
    </row>
    <row r="1119" spans="1:25" ht="15.75" x14ac:dyDescent="0.25">
      <c r="A1119" s="21"/>
      <c r="B1119" s="21"/>
      <c r="C1119" s="21"/>
      <c r="E1119" s="21"/>
      <c r="F1119" s="21"/>
      <c r="G1119" s="14"/>
      <c r="H1119" s="14"/>
      <c r="I1119" s="14"/>
      <c r="J1119" s="14"/>
      <c r="K1119" s="14"/>
      <c r="L1119" s="14"/>
      <c r="M1119" s="14"/>
      <c r="N1119" s="14"/>
      <c r="O1119" s="14"/>
      <c r="P1119" s="14"/>
      <c r="Q1119" s="14"/>
      <c r="R1119" s="14"/>
      <c r="S1119" s="14"/>
      <c r="T1119" s="14"/>
      <c r="U1119" s="14"/>
      <c r="V1119" s="14"/>
      <c r="W1119" s="14"/>
      <c r="X1119" s="14"/>
      <c r="Y1119" s="14"/>
    </row>
    <row r="1120" spans="1:25" ht="15.75" x14ac:dyDescent="0.25">
      <c r="A1120" s="21"/>
      <c r="B1120" s="21"/>
      <c r="C1120" s="21"/>
      <c r="E1120" s="21"/>
      <c r="F1120" s="21"/>
      <c r="G1120" s="14"/>
      <c r="H1120" s="14"/>
      <c r="I1120" s="14"/>
      <c r="J1120" s="14"/>
      <c r="K1120" s="14"/>
      <c r="L1120" s="14"/>
      <c r="M1120" s="14"/>
      <c r="N1120" s="14"/>
      <c r="O1120" s="14"/>
      <c r="P1120" s="14"/>
      <c r="Q1120" s="14"/>
      <c r="R1120" s="14"/>
      <c r="S1120" s="14"/>
      <c r="T1120" s="14"/>
      <c r="U1120" s="14"/>
      <c r="V1120" s="14"/>
      <c r="W1120" s="14"/>
      <c r="X1120" s="14"/>
      <c r="Y1120" s="14"/>
    </row>
    <row r="1121" spans="1:25" ht="15.75" x14ac:dyDescent="0.25">
      <c r="A1121" s="21"/>
      <c r="B1121" s="21"/>
      <c r="C1121" s="21"/>
      <c r="E1121" s="21"/>
      <c r="F1121" s="21"/>
      <c r="G1121" s="14"/>
      <c r="H1121" s="14"/>
      <c r="I1121" s="14"/>
      <c r="J1121" s="14"/>
      <c r="K1121" s="14"/>
      <c r="L1121" s="14"/>
      <c r="M1121" s="14"/>
      <c r="N1121" s="14"/>
      <c r="O1121" s="14"/>
      <c r="P1121" s="14"/>
      <c r="Q1121" s="14"/>
      <c r="R1121" s="14"/>
      <c r="S1121" s="14"/>
      <c r="T1121" s="14"/>
      <c r="U1121" s="14"/>
      <c r="V1121" s="14"/>
      <c r="W1121" s="14"/>
      <c r="X1121" s="14"/>
      <c r="Y1121" s="14"/>
    </row>
    <row r="1122" spans="1:25" ht="15.75" x14ac:dyDescent="0.25">
      <c r="A1122" s="21"/>
      <c r="B1122" s="21"/>
      <c r="C1122" s="21"/>
      <c r="E1122" s="21"/>
      <c r="F1122" s="21"/>
      <c r="G1122" s="14"/>
      <c r="H1122" s="14"/>
      <c r="I1122" s="14"/>
      <c r="J1122" s="14"/>
      <c r="K1122" s="14"/>
      <c r="L1122" s="14"/>
      <c r="M1122" s="14"/>
      <c r="N1122" s="14"/>
      <c r="O1122" s="14"/>
      <c r="P1122" s="14"/>
      <c r="Q1122" s="14"/>
      <c r="R1122" s="14"/>
      <c r="S1122" s="14"/>
      <c r="T1122" s="14"/>
      <c r="U1122" s="14"/>
      <c r="V1122" s="14"/>
      <c r="W1122" s="14"/>
      <c r="X1122" s="14"/>
      <c r="Y1122" s="14"/>
    </row>
    <row r="1123" spans="1:25" ht="15.75" x14ac:dyDescent="0.25">
      <c r="A1123" s="21"/>
      <c r="B1123" s="21"/>
      <c r="C1123" s="21"/>
      <c r="E1123" s="21"/>
      <c r="F1123" s="21"/>
      <c r="G1123" s="14"/>
      <c r="H1123" s="14"/>
      <c r="I1123" s="14"/>
      <c r="J1123" s="14"/>
      <c r="K1123" s="14"/>
      <c r="L1123" s="14"/>
      <c r="M1123" s="14"/>
      <c r="N1123" s="14"/>
      <c r="O1123" s="14"/>
      <c r="P1123" s="14"/>
      <c r="Q1123" s="14"/>
      <c r="R1123" s="14"/>
      <c r="S1123" s="14"/>
      <c r="T1123" s="14"/>
      <c r="U1123" s="14"/>
      <c r="V1123" s="14"/>
      <c r="W1123" s="14"/>
      <c r="X1123" s="14"/>
      <c r="Y1123" s="14"/>
    </row>
    <row r="1124" spans="1:25" ht="15.75" x14ac:dyDescent="0.25">
      <c r="A1124" s="21"/>
      <c r="B1124" s="21"/>
      <c r="C1124" s="21"/>
      <c r="E1124" s="21"/>
      <c r="F1124" s="21"/>
      <c r="G1124" s="14"/>
      <c r="H1124" s="14"/>
      <c r="I1124" s="14"/>
      <c r="J1124" s="14"/>
      <c r="K1124" s="14"/>
      <c r="L1124" s="14"/>
      <c r="M1124" s="14"/>
      <c r="N1124" s="14"/>
      <c r="O1124" s="14"/>
      <c r="P1124" s="14"/>
      <c r="Q1124" s="14"/>
      <c r="R1124" s="14"/>
      <c r="S1124" s="14"/>
      <c r="T1124" s="14"/>
      <c r="U1124" s="14"/>
      <c r="V1124" s="14"/>
      <c r="W1124" s="14"/>
      <c r="X1124" s="14"/>
      <c r="Y1124" s="14"/>
    </row>
    <row r="1125" spans="1:25" ht="15.75" x14ac:dyDescent="0.25">
      <c r="A1125" s="21"/>
      <c r="B1125" s="21"/>
      <c r="C1125" s="21"/>
      <c r="E1125" s="21"/>
      <c r="F1125" s="21"/>
      <c r="G1125" s="14"/>
      <c r="H1125" s="14"/>
      <c r="I1125" s="14"/>
      <c r="J1125" s="14"/>
      <c r="K1125" s="14"/>
      <c r="L1125" s="14"/>
      <c r="M1125" s="14"/>
      <c r="N1125" s="14"/>
      <c r="O1125" s="14"/>
      <c r="P1125" s="14"/>
      <c r="Q1125" s="14"/>
      <c r="R1125" s="14"/>
      <c r="S1125" s="14"/>
      <c r="T1125" s="14"/>
      <c r="U1125" s="14"/>
      <c r="V1125" s="14"/>
      <c r="W1125" s="14"/>
      <c r="X1125" s="14"/>
      <c r="Y1125" s="14"/>
    </row>
    <row r="1126" spans="1:25" ht="15.75" x14ac:dyDescent="0.25">
      <c r="A1126" s="21"/>
      <c r="B1126" s="21"/>
      <c r="C1126" s="21"/>
      <c r="E1126" s="21"/>
      <c r="F1126" s="21"/>
      <c r="G1126" s="14"/>
      <c r="H1126" s="14"/>
      <c r="I1126" s="14"/>
      <c r="J1126" s="14"/>
      <c r="K1126" s="14"/>
      <c r="L1126" s="14"/>
      <c r="M1126" s="14"/>
      <c r="N1126" s="14"/>
      <c r="O1126" s="14"/>
      <c r="P1126" s="14"/>
      <c r="Q1126" s="14"/>
      <c r="R1126" s="14"/>
      <c r="S1126" s="14"/>
      <c r="T1126" s="14"/>
      <c r="U1126" s="14"/>
      <c r="V1126" s="14"/>
      <c r="W1126" s="14"/>
      <c r="X1126" s="14"/>
      <c r="Y1126" s="14"/>
    </row>
    <row r="1127" spans="1:25" ht="15.75" x14ac:dyDescent="0.25">
      <c r="A1127" s="21"/>
      <c r="B1127" s="21"/>
      <c r="C1127" s="21"/>
      <c r="E1127" s="21"/>
      <c r="F1127" s="21"/>
      <c r="G1127" s="14"/>
      <c r="H1127" s="14"/>
      <c r="I1127" s="14"/>
      <c r="J1127" s="14"/>
      <c r="K1127" s="14"/>
      <c r="L1127" s="14"/>
      <c r="M1127" s="14"/>
      <c r="N1127" s="14"/>
      <c r="O1127" s="14"/>
      <c r="P1127" s="14"/>
      <c r="Q1127" s="14"/>
      <c r="R1127" s="14"/>
      <c r="S1127" s="14"/>
      <c r="T1127" s="14"/>
      <c r="U1127" s="14"/>
      <c r="V1127" s="14"/>
      <c r="W1127" s="14"/>
      <c r="X1127" s="14"/>
      <c r="Y1127" s="14"/>
    </row>
    <row r="1128" spans="1:25" ht="15.75" x14ac:dyDescent="0.25">
      <c r="A1128" s="21"/>
      <c r="B1128" s="21"/>
      <c r="C1128" s="21"/>
      <c r="E1128" s="21"/>
      <c r="F1128" s="21"/>
      <c r="G1128" s="14"/>
      <c r="H1128" s="14"/>
      <c r="I1128" s="14"/>
      <c r="J1128" s="14"/>
      <c r="K1128" s="14"/>
      <c r="L1128" s="14"/>
      <c r="M1128" s="14"/>
      <c r="N1128" s="14"/>
      <c r="O1128" s="14"/>
      <c r="P1128" s="14"/>
      <c r="Q1128" s="14"/>
      <c r="R1128" s="14"/>
      <c r="S1128" s="14"/>
      <c r="T1128" s="14"/>
      <c r="U1128" s="14"/>
      <c r="V1128" s="14"/>
      <c r="W1128" s="14"/>
      <c r="X1128" s="14"/>
      <c r="Y1128" s="14"/>
    </row>
    <row r="1129" spans="1:25" ht="15.75" x14ac:dyDescent="0.25">
      <c r="A1129" s="21"/>
      <c r="B1129" s="21"/>
      <c r="C1129" s="21"/>
      <c r="E1129" s="21"/>
      <c r="F1129" s="21"/>
      <c r="G1129" s="14"/>
      <c r="H1129" s="14"/>
      <c r="I1129" s="14"/>
      <c r="J1129" s="14"/>
      <c r="K1129" s="14"/>
      <c r="L1129" s="14"/>
      <c r="M1129" s="14"/>
      <c r="N1129" s="14"/>
      <c r="O1129" s="14"/>
      <c r="P1129" s="14"/>
      <c r="Q1129" s="14"/>
      <c r="R1129" s="14"/>
      <c r="S1129" s="14"/>
      <c r="T1129" s="14"/>
      <c r="U1129" s="14"/>
      <c r="V1129" s="14"/>
      <c r="W1129" s="14"/>
      <c r="X1129" s="14"/>
      <c r="Y1129" s="14"/>
    </row>
    <row r="1130" spans="1:25" ht="15.75" x14ac:dyDescent="0.25">
      <c r="A1130" s="21"/>
      <c r="B1130" s="21"/>
      <c r="C1130" s="21"/>
      <c r="E1130" s="21"/>
      <c r="F1130" s="21"/>
      <c r="G1130" s="14"/>
      <c r="H1130" s="14"/>
      <c r="I1130" s="14"/>
      <c r="J1130" s="14"/>
      <c r="K1130" s="14"/>
      <c r="L1130" s="14"/>
      <c r="M1130" s="14"/>
      <c r="N1130" s="14"/>
      <c r="O1130" s="14"/>
      <c r="P1130" s="14"/>
      <c r="Q1130" s="14"/>
      <c r="R1130" s="14"/>
      <c r="S1130" s="14"/>
      <c r="T1130" s="14"/>
      <c r="U1130" s="14"/>
      <c r="V1130" s="14"/>
      <c r="W1130" s="14"/>
      <c r="X1130" s="14"/>
      <c r="Y1130" s="14"/>
    </row>
    <row r="1131" spans="1:25" ht="15.75" x14ac:dyDescent="0.25">
      <c r="A1131" s="21"/>
      <c r="B1131" s="21"/>
      <c r="C1131" s="21"/>
      <c r="E1131" s="21"/>
      <c r="F1131" s="21"/>
      <c r="G1131" s="14"/>
      <c r="H1131" s="14"/>
      <c r="I1131" s="14"/>
      <c r="J1131" s="14"/>
      <c r="K1131" s="14"/>
      <c r="L1131" s="14"/>
      <c r="M1131" s="14"/>
      <c r="N1131" s="14"/>
      <c r="O1131" s="14"/>
      <c r="P1131" s="14"/>
      <c r="Q1131" s="14"/>
      <c r="R1131" s="14"/>
      <c r="S1131" s="14"/>
      <c r="T1131" s="14"/>
      <c r="U1131" s="14"/>
      <c r="V1131" s="14"/>
      <c r="W1131" s="14"/>
      <c r="X1131" s="14"/>
      <c r="Y1131" s="14"/>
    </row>
    <row r="1132" spans="1:25" ht="15.75" x14ac:dyDescent="0.25">
      <c r="A1132" s="21"/>
      <c r="B1132" s="21"/>
      <c r="C1132" s="21"/>
      <c r="E1132" s="21"/>
      <c r="F1132" s="21"/>
      <c r="G1132" s="14"/>
      <c r="H1132" s="14"/>
      <c r="I1132" s="14"/>
      <c r="J1132" s="14"/>
      <c r="K1132" s="14"/>
      <c r="L1132" s="14"/>
      <c r="M1132" s="14"/>
      <c r="N1132" s="14"/>
      <c r="O1132" s="14"/>
      <c r="P1132" s="14"/>
      <c r="Q1132" s="14"/>
      <c r="R1132" s="14"/>
      <c r="S1132" s="14"/>
      <c r="T1132" s="14"/>
      <c r="U1132" s="14"/>
      <c r="V1132" s="14"/>
      <c r="W1132" s="14"/>
      <c r="X1132" s="14"/>
      <c r="Y1132" s="14"/>
    </row>
    <row r="1133" spans="1:25" ht="15.75" x14ac:dyDescent="0.25">
      <c r="A1133" s="21"/>
      <c r="B1133" s="21"/>
      <c r="C1133" s="21"/>
      <c r="E1133" s="21"/>
      <c r="F1133" s="21"/>
      <c r="G1133" s="14"/>
      <c r="H1133" s="14"/>
      <c r="I1133" s="14"/>
      <c r="J1133" s="14"/>
      <c r="K1133" s="14"/>
      <c r="L1133" s="14"/>
      <c r="M1133" s="14"/>
      <c r="N1133" s="14"/>
      <c r="O1133" s="14"/>
      <c r="P1133" s="14"/>
      <c r="Q1133" s="14"/>
      <c r="R1133" s="14"/>
      <c r="S1133" s="14"/>
      <c r="T1133" s="14"/>
      <c r="U1133" s="14"/>
      <c r="V1133" s="14"/>
      <c r="W1133" s="14"/>
      <c r="X1133" s="14"/>
      <c r="Y1133" s="14"/>
    </row>
    <row r="1134" spans="1:25" ht="15.75" x14ac:dyDescent="0.25">
      <c r="A1134" s="21"/>
      <c r="B1134" s="21"/>
      <c r="C1134" s="21"/>
      <c r="E1134" s="21"/>
      <c r="F1134" s="21"/>
      <c r="G1134" s="14"/>
      <c r="H1134" s="14"/>
      <c r="I1134" s="14"/>
      <c r="J1134" s="14"/>
      <c r="K1134" s="14"/>
      <c r="L1134" s="14"/>
      <c r="M1134" s="14"/>
      <c r="N1134" s="14"/>
      <c r="O1134" s="14"/>
      <c r="P1134" s="14"/>
      <c r="Q1134" s="14"/>
      <c r="R1134" s="14"/>
      <c r="S1134" s="14"/>
      <c r="T1134" s="14"/>
      <c r="U1134" s="14"/>
      <c r="V1134" s="14"/>
      <c r="W1134" s="14"/>
      <c r="X1134" s="14"/>
      <c r="Y1134" s="14"/>
    </row>
    <row r="1135" spans="1:25" ht="15.75" x14ac:dyDescent="0.25">
      <c r="A1135" s="21"/>
      <c r="B1135" s="21"/>
      <c r="C1135" s="21"/>
      <c r="E1135" s="21"/>
      <c r="F1135" s="21"/>
      <c r="G1135" s="14"/>
      <c r="H1135" s="14"/>
      <c r="I1135" s="14"/>
      <c r="J1135" s="14"/>
      <c r="K1135" s="14"/>
      <c r="L1135" s="14"/>
      <c r="M1135" s="14"/>
      <c r="N1135" s="14"/>
      <c r="O1135" s="14"/>
      <c r="P1135" s="14"/>
      <c r="Q1135" s="14"/>
      <c r="R1135" s="14"/>
      <c r="S1135" s="14"/>
      <c r="T1135" s="14"/>
      <c r="U1135" s="14"/>
      <c r="V1135" s="14"/>
      <c r="W1135" s="14"/>
      <c r="X1135" s="14"/>
      <c r="Y1135" s="14"/>
    </row>
    <row r="1136" spans="1:25" ht="15.75" x14ac:dyDescent="0.25">
      <c r="A1136" s="21"/>
      <c r="B1136" s="21"/>
      <c r="C1136" s="21"/>
      <c r="E1136" s="21"/>
      <c r="F1136" s="21"/>
      <c r="G1136" s="14"/>
      <c r="H1136" s="14"/>
      <c r="I1136" s="14"/>
      <c r="J1136" s="14"/>
      <c r="K1136" s="14"/>
      <c r="L1136" s="14"/>
      <c r="M1136" s="14"/>
      <c r="N1136" s="14"/>
      <c r="O1136" s="14"/>
      <c r="P1136" s="14"/>
      <c r="Q1136" s="14"/>
      <c r="R1136" s="14"/>
      <c r="S1136" s="14"/>
      <c r="T1136" s="14"/>
      <c r="U1136" s="14"/>
      <c r="V1136" s="14"/>
      <c r="W1136" s="14"/>
      <c r="X1136" s="14"/>
      <c r="Y1136" s="14"/>
    </row>
    <row r="1137" spans="1:25" ht="15.75" x14ac:dyDescent="0.25">
      <c r="A1137" s="21"/>
      <c r="B1137" s="21"/>
      <c r="C1137" s="21"/>
      <c r="E1137" s="21"/>
      <c r="F1137" s="21"/>
      <c r="G1137" s="14"/>
      <c r="H1137" s="14"/>
      <c r="I1137" s="14"/>
      <c r="J1137" s="14"/>
      <c r="K1137" s="14"/>
      <c r="L1137" s="14"/>
      <c r="M1137" s="14"/>
      <c r="N1137" s="14"/>
      <c r="O1137" s="14"/>
      <c r="P1137" s="14"/>
      <c r="Q1137" s="14"/>
      <c r="R1137" s="14"/>
      <c r="S1137" s="14"/>
      <c r="T1137" s="14"/>
      <c r="U1137" s="14"/>
      <c r="V1137" s="14"/>
      <c r="W1137" s="14"/>
      <c r="X1137" s="14"/>
      <c r="Y1137" s="14"/>
    </row>
    <row r="1138" spans="1:25" ht="15.75" x14ac:dyDescent="0.25">
      <c r="A1138" s="21"/>
      <c r="B1138" s="21"/>
      <c r="C1138" s="21"/>
      <c r="E1138" s="21"/>
      <c r="F1138" s="21"/>
      <c r="G1138" s="14"/>
      <c r="H1138" s="14"/>
      <c r="I1138" s="14"/>
      <c r="J1138" s="14"/>
      <c r="K1138" s="14"/>
      <c r="L1138" s="14"/>
      <c r="M1138" s="14"/>
      <c r="N1138" s="14"/>
      <c r="O1138" s="14"/>
      <c r="P1138" s="14"/>
      <c r="Q1138" s="14"/>
      <c r="R1138" s="14"/>
      <c r="S1138" s="14"/>
      <c r="T1138" s="14"/>
      <c r="U1138" s="14"/>
      <c r="V1138" s="14"/>
      <c r="W1138" s="14"/>
      <c r="X1138" s="14"/>
      <c r="Y1138" s="14"/>
    </row>
    <row r="1139" spans="1:25" ht="15.75" x14ac:dyDescent="0.25">
      <c r="A1139" s="21"/>
      <c r="B1139" s="21"/>
      <c r="C1139" s="21"/>
      <c r="E1139" s="21"/>
      <c r="F1139" s="21"/>
      <c r="G1139" s="14"/>
      <c r="H1139" s="14"/>
      <c r="I1139" s="14"/>
      <c r="J1139" s="14"/>
      <c r="K1139" s="14"/>
      <c r="L1139" s="14"/>
      <c r="M1139" s="14"/>
      <c r="N1139" s="14"/>
      <c r="O1139" s="14"/>
      <c r="P1139" s="14"/>
      <c r="Q1139" s="14"/>
      <c r="R1139" s="14"/>
      <c r="S1139" s="14"/>
      <c r="T1139" s="14"/>
      <c r="U1139" s="14"/>
      <c r="V1139" s="14"/>
      <c r="W1139" s="14"/>
      <c r="X1139" s="14"/>
      <c r="Y1139" s="14"/>
    </row>
    <row r="1140" spans="1:25" ht="15.75" x14ac:dyDescent="0.25">
      <c r="A1140" s="21"/>
      <c r="B1140" s="21"/>
      <c r="C1140" s="21"/>
      <c r="E1140" s="21"/>
      <c r="F1140" s="21"/>
      <c r="G1140" s="14"/>
      <c r="H1140" s="14"/>
      <c r="I1140" s="14"/>
      <c r="J1140" s="14"/>
      <c r="K1140" s="14"/>
      <c r="L1140" s="14"/>
      <c r="M1140" s="14"/>
      <c r="N1140" s="14"/>
      <c r="O1140" s="14"/>
      <c r="P1140" s="14"/>
      <c r="Q1140" s="14"/>
      <c r="R1140" s="14"/>
      <c r="S1140" s="14"/>
      <c r="T1140" s="14"/>
      <c r="U1140" s="14"/>
      <c r="V1140" s="14"/>
      <c r="W1140" s="14"/>
      <c r="X1140" s="14"/>
      <c r="Y1140" s="14"/>
    </row>
    <row r="1141" spans="1:25" ht="15.75" x14ac:dyDescent="0.25">
      <c r="A1141" s="21"/>
      <c r="B1141" s="21"/>
      <c r="C1141" s="21"/>
      <c r="E1141" s="21"/>
      <c r="F1141" s="21"/>
      <c r="G1141" s="14"/>
      <c r="H1141" s="14"/>
      <c r="I1141" s="14"/>
      <c r="J1141" s="14"/>
      <c r="K1141" s="14"/>
      <c r="L1141" s="14"/>
      <c r="M1141" s="14"/>
      <c r="N1141" s="14"/>
      <c r="O1141" s="14"/>
      <c r="P1141" s="14"/>
      <c r="Q1141" s="14"/>
      <c r="R1141" s="14"/>
      <c r="S1141" s="14"/>
      <c r="T1141" s="14"/>
      <c r="U1141" s="14"/>
      <c r="V1141" s="14"/>
      <c r="W1141" s="14"/>
      <c r="X1141" s="14"/>
      <c r="Y1141" s="14"/>
    </row>
    <row r="1142" spans="1:25" ht="15.75" x14ac:dyDescent="0.25">
      <c r="A1142" s="21"/>
      <c r="B1142" s="21"/>
      <c r="C1142" s="21"/>
      <c r="E1142" s="21"/>
      <c r="F1142" s="21"/>
      <c r="G1142" s="14"/>
      <c r="H1142" s="14"/>
      <c r="I1142" s="14"/>
      <c r="J1142" s="14"/>
      <c r="K1142" s="14"/>
      <c r="L1142" s="14"/>
      <c r="M1142" s="14"/>
      <c r="N1142" s="14"/>
      <c r="O1142" s="14"/>
      <c r="P1142" s="14"/>
      <c r="Q1142" s="14"/>
      <c r="R1142" s="14"/>
      <c r="S1142" s="14"/>
      <c r="T1142" s="14"/>
      <c r="U1142" s="14"/>
      <c r="V1142" s="14"/>
      <c r="W1142" s="14"/>
      <c r="X1142" s="14"/>
      <c r="Y1142" s="14"/>
    </row>
    <row r="1143" spans="1:25" ht="15.75" x14ac:dyDescent="0.25">
      <c r="A1143" s="21"/>
      <c r="B1143" s="21"/>
      <c r="C1143" s="21"/>
      <c r="E1143" s="21"/>
      <c r="F1143" s="21"/>
      <c r="G1143" s="14"/>
      <c r="H1143" s="14"/>
      <c r="I1143" s="14"/>
      <c r="J1143" s="14"/>
      <c r="K1143" s="14"/>
      <c r="L1143" s="14"/>
      <c r="M1143" s="14"/>
      <c r="N1143" s="14"/>
      <c r="O1143" s="14"/>
      <c r="P1143" s="14"/>
      <c r="Q1143" s="14"/>
      <c r="R1143" s="14"/>
      <c r="S1143" s="14"/>
      <c r="T1143" s="14"/>
      <c r="U1143" s="14"/>
      <c r="V1143" s="14"/>
      <c r="W1143" s="14"/>
      <c r="X1143" s="14"/>
      <c r="Y1143" s="14"/>
    </row>
    <row r="1144" spans="1:25" ht="15.75" x14ac:dyDescent="0.25">
      <c r="A1144" s="21"/>
      <c r="B1144" s="21"/>
      <c r="C1144" s="21"/>
      <c r="E1144" s="21"/>
      <c r="F1144" s="21"/>
      <c r="G1144" s="14"/>
      <c r="H1144" s="14"/>
      <c r="I1144" s="14"/>
      <c r="J1144" s="14"/>
      <c r="K1144" s="14"/>
      <c r="L1144" s="14"/>
      <c r="M1144" s="14"/>
      <c r="N1144" s="14"/>
      <c r="O1144" s="14"/>
      <c r="P1144" s="14"/>
      <c r="Q1144" s="14"/>
      <c r="R1144" s="14"/>
      <c r="S1144" s="14"/>
      <c r="T1144" s="14"/>
      <c r="U1144" s="14"/>
      <c r="V1144" s="14"/>
      <c r="W1144" s="14"/>
      <c r="X1144" s="14"/>
      <c r="Y1144" s="14"/>
    </row>
    <row r="1145" spans="1:25" ht="15.75" x14ac:dyDescent="0.25">
      <c r="A1145" s="21"/>
      <c r="B1145" s="21"/>
      <c r="C1145" s="21"/>
      <c r="E1145" s="21"/>
      <c r="F1145" s="21"/>
      <c r="G1145" s="14"/>
      <c r="H1145" s="14"/>
      <c r="I1145" s="14"/>
      <c r="J1145" s="14"/>
      <c r="K1145" s="14"/>
      <c r="L1145" s="14"/>
      <c r="M1145" s="14"/>
      <c r="N1145" s="14"/>
      <c r="O1145" s="14"/>
      <c r="P1145" s="14"/>
      <c r="Q1145" s="14"/>
      <c r="R1145" s="14"/>
      <c r="S1145" s="14"/>
      <c r="T1145" s="14"/>
      <c r="U1145" s="14"/>
      <c r="V1145" s="14"/>
      <c r="W1145" s="14"/>
      <c r="X1145" s="14"/>
      <c r="Y1145" s="14"/>
    </row>
    <row r="1146" spans="1:25" ht="15.75" x14ac:dyDescent="0.25">
      <c r="A1146" s="21"/>
      <c r="B1146" s="21"/>
      <c r="C1146" s="21"/>
      <c r="E1146" s="21"/>
      <c r="F1146" s="21"/>
      <c r="G1146" s="14"/>
      <c r="H1146" s="14"/>
      <c r="I1146" s="14"/>
      <c r="J1146" s="14"/>
      <c r="K1146" s="14"/>
      <c r="L1146" s="14"/>
      <c r="M1146" s="14"/>
      <c r="N1146" s="14"/>
      <c r="O1146" s="14"/>
      <c r="P1146" s="14"/>
      <c r="Q1146" s="14"/>
      <c r="R1146" s="14"/>
      <c r="S1146" s="14"/>
      <c r="T1146" s="14"/>
      <c r="U1146" s="14"/>
      <c r="V1146" s="14"/>
      <c r="W1146" s="14"/>
      <c r="X1146" s="14"/>
      <c r="Y1146" s="14"/>
    </row>
    <row r="1147" spans="1:25" ht="15.75" x14ac:dyDescent="0.25">
      <c r="A1147" s="21"/>
      <c r="B1147" s="21"/>
      <c r="C1147" s="21"/>
      <c r="E1147" s="21"/>
      <c r="F1147" s="21"/>
      <c r="G1147" s="14"/>
      <c r="H1147" s="14"/>
      <c r="I1147" s="14"/>
      <c r="J1147" s="14"/>
      <c r="K1147" s="14"/>
      <c r="L1147" s="14"/>
      <c r="M1147" s="14"/>
      <c r="N1147" s="14"/>
      <c r="O1147" s="14"/>
      <c r="P1147" s="14"/>
      <c r="Q1147" s="14"/>
      <c r="R1147" s="14"/>
      <c r="S1147" s="14"/>
      <c r="T1147" s="14"/>
      <c r="U1147" s="14"/>
      <c r="V1147" s="14"/>
      <c r="W1147" s="14"/>
      <c r="X1147" s="14"/>
      <c r="Y1147" s="14"/>
    </row>
    <row r="1148" spans="1:25" ht="15.75" x14ac:dyDescent="0.25">
      <c r="A1148" s="21"/>
      <c r="B1148" s="21"/>
      <c r="C1148" s="21"/>
      <c r="E1148" s="21"/>
      <c r="F1148" s="21"/>
      <c r="G1148" s="14"/>
      <c r="H1148" s="14"/>
      <c r="I1148" s="14"/>
      <c r="J1148" s="14"/>
      <c r="K1148" s="14"/>
      <c r="L1148" s="14"/>
      <c r="M1148" s="14"/>
      <c r="N1148" s="14"/>
      <c r="O1148" s="14"/>
      <c r="P1148" s="14"/>
      <c r="Q1148" s="14"/>
      <c r="R1148" s="14"/>
      <c r="S1148" s="14"/>
      <c r="T1148" s="14"/>
      <c r="U1148" s="14"/>
      <c r="V1148" s="14"/>
      <c r="W1148" s="14"/>
      <c r="X1148" s="14"/>
      <c r="Y1148" s="14"/>
    </row>
    <row r="1149" spans="1:25" ht="15.75" x14ac:dyDescent="0.25">
      <c r="A1149" s="21"/>
      <c r="B1149" s="21"/>
      <c r="C1149" s="21"/>
      <c r="E1149" s="21"/>
      <c r="F1149" s="21"/>
      <c r="G1149" s="14"/>
      <c r="H1149" s="14"/>
      <c r="I1149" s="14"/>
      <c r="J1149" s="14"/>
      <c r="K1149" s="14"/>
      <c r="L1149" s="14"/>
      <c r="M1149" s="14"/>
      <c r="N1149" s="14"/>
      <c r="O1149" s="14"/>
      <c r="P1149" s="14"/>
      <c r="Q1149" s="14"/>
      <c r="R1149" s="14"/>
      <c r="S1149" s="14"/>
      <c r="T1149" s="14"/>
      <c r="U1149" s="14"/>
      <c r="V1149" s="14"/>
      <c r="W1149" s="14"/>
      <c r="X1149" s="14"/>
      <c r="Y1149" s="14"/>
    </row>
    <row r="1150" spans="1:25" ht="15.75" x14ac:dyDescent="0.25">
      <c r="A1150" s="21"/>
      <c r="B1150" s="21"/>
      <c r="C1150" s="21"/>
      <c r="E1150" s="21"/>
      <c r="F1150" s="21"/>
      <c r="G1150" s="14"/>
      <c r="H1150" s="14"/>
      <c r="I1150" s="14"/>
      <c r="J1150" s="14"/>
      <c r="K1150" s="14"/>
      <c r="L1150" s="14"/>
      <c r="M1150" s="14"/>
      <c r="N1150" s="14"/>
      <c r="O1150" s="14"/>
      <c r="P1150" s="14"/>
      <c r="Q1150" s="14"/>
      <c r="R1150" s="14"/>
      <c r="S1150" s="14"/>
      <c r="T1150" s="14"/>
      <c r="U1150" s="14"/>
      <c r="V1150" s="14"/>
      <c r="W1150" s="14"/>
      <c r="X1150" s="14"/>
      <c r="Y1150" s="14"/>
    </row>
    <row r="1151" spans="1:25" ht="15.75" x14ac:dyDescent="0.25">
      <c r="A1151" s="21"/>
      <c r="B1151" s="21"/>
      <c r="C1151" s="21"/>
      <c r="E1151" s="21"/>
      <c r="F1151" s="21"/>
      <c r="G1151" s="14"/>
      <c r="H1151" s="14"/>
      <c r="I1151" s="14"/>
      <c r="J1151" s="14"/>
      <c r="K1151" s="14"/>
      <c r="L1151" s="14"/>
      <c r="M1151" s="14"/>
      <c r="N1151" s="14"/>
      <c r="O1151" s="14"/>
      <c r="P1151" s="14"/>
      <c r="Q1151" s="14"/>
      <c r="R1151" s="14"/>
      <c r="S1151" s="14"/>
      <c r="T1151" s="14"/>
      <c r="U1151" s="14"/>
      <c r="V1151" s="14"/>
      <c r="W1151" s="14"/>
      <c r="X1151" s="14"/>
      <c r="Y1151" s="14"/>
    </row>
    <row r="1152" spans="1:25" ht="15.75" x14ac:dyDescent="0.25">
      <c r="A1152" s="21"/>
      <c r="B1152" s="21"/>
      <c r="C1152" s="21"/>
      <c r="E1152" s="21"/>
      <c r="F1152" s="21"/>
      <c r="G1152" s="14"/>
      <c r="H1152" s="14"/>
      <c r="I1152" s="14"/>
      <c r="J1152" s="14"/>
      <c r="K1152" s="14"/>
      <c r="L1152" s="14"/>
      <c r="M1152" s="14"/>
      <c r="N1152" s="14"/>
      <c r="O1152" s="14"/>
      <c r="P1152" s="14"/>
      <c r="Q1152" s="14"/>
      <c r="R1152" s="14"/>
      <c r="S1152" s="14"/>
      <c r="T1152" s="14"/>
      <c r="U1152" s="14"/>
      <c r="V1152" s="14"/>
      <c r="W1152" s="14"/>
      <c r="X1152" s="14"/>
      <c r="Y1152" s="14"/>
    </row>
    <row r="1153" spans="1:25" ht="15.75" x14ac:dyDescent="0.25">
      <c r="A1153" s="21"/>
      <c r="B1153" s="21"/>
      <c r="C1153" s="21"/>
      <c r="E1153" s="21"/>
      <c r="F1153" s="21"/>
      <c r="G1153" s="14"/>
      <c r="H1153" s="14"/>
      <c r="I1153" s="14"/>
      <c r="J1153" s="14"/>
      <c r="K1153" s="14"/>
      <c r="L1153" s="14"/>
      <c r="M1153" s="14"/>
      <c r="N1153" s="14"/>
      <c r="O1153" s="14"/>
      <c r="P1153" s="14"/>
      <c r="Q1153" s="14"/>
      <c r="R1153" s="14"/>
      <c r="S1153" s="14"/>
      <c r="T1153" s="14"/>
      <c r="U1153" s="14"/>
      <c r="V1153" s="14"/>
      <c r="W1153" s="14"/>
      <c r="X1153" s="14"/>
      <c r="Y1153" s="14"/>
    </row>
    <row r="1154" spans="1:25" ht="15.75" x14ac:dyDescent="0.25">
      <c r="A1154" s="21"/>
      <c r="B1154" s="21"/>
      <c r="C1154" s="21"/>
      <c r="E1154" s="21"/>
      <c r="F1154" s="21"/>
      <c r="G1154" s="14"/>
      <c r="H1154" s="14"/>
      <c r="I1154" s="14"/>
      <c r="J1154" s="14"/>
      <c r="K1154" s="14"/>
      <c r="L1154" s="14"/>
      <c r="M1154" s="14"/>
      <c r="N1154" s="14"/>
      <c r="O1154" s="14"/>
      <c r="P1154" s="14"/>
      <c r="Q1154" s="14"/>
      <c r="R1154" s="14"/>
      <c r="S1154" s="14"/>
      <c r="T1154" s="14"/>
      <c r="U1154" s="14"/>
      <c r="V1154" s="14"/>
      <c r="W1154" s="14"/>
      <c r="X1154" s="14"/>
      <c r="Y1154" s="14"/>
    </row>
    <row r="1155" spans="1:25" ht="15.75" x14ac:dyDescent="0.25">
      <c r="A1155" s="21"/>
      <c r="B1155" s="21"/>
      <c r="C1155" s="21"/>
      <c r="E1155" s="21"/>
      <c r="F1155" s="21"/>
      <c r="G1155" s="14"/>
      <c r="H1155" s="14"/>
      <c r="I1155" s="14"/>
      <c r="J1155" s="14"/>
      <c r="K1155" s="14"/>
      <c r="L1155" s="14"/>
      <c r="M1155" s="14"/>
      <c r="N1155" s="14"/>
      <c r="O1155" s="14"/>
      <c r="P1155" s="14"/>
      <c r="Q1155" s="14"/>
      <c r="R1155" s="14"/>
      <c r="S1155" s="14"/>
      <c r="T1155" s="14"/>
      <c r="U1155" s="14"/>
      <c r="V1155" s="14"/>
      <c r="W1155" s="14"/>
      <c r="X1155" s="14"/>
      <c r="Y1155" s="14"/>
    </row>
    <row r="1156" spans="1:25" ht="15.75" x14ac:dyDescent="0.25">
      <c r="A1156" s="21"/>
      <c r="B1156" s="21"/>
      <c r="C1156" s="21"/>
      <c r="E1156" s="21"/>
      <c r="F1156" s="21"/>
      <c r="G1156" s="14"/>
      <c r="H1156" s="14"/>
      <c r="I1156" s="14"/>
      <c r="J1156" s="14"/>
      <c r="K1156" s="14"/>
      <c r="L1156" s="14"/>
      <c r="M1156" s="14"/>
      <c r="N1156" s="14"/>
      <c r="O1156" s="14"/>
      <c r="P1156" s="14"/>
      <c r="Q1156" s="14"/>
      <c r="R1156" s="14"/>
      <c r="S1156" s="14"/>
      <c r="T1156" s="14"/>
      <c r="U1156" s="14"/>
      <c r="V1156" s="14"/>
      <c r="W1156" s="14"/>
      <c r="X1156" s="14"/>
      <c r="Y1156" s="14"/>
    </row>
    <row r="1157" spans="1:25" ht="15.75" x14ac:dyDescent="0.25">
      <c r="A1157" s="21"/>
      <c r="B1157" s="21"/>
      <c r="C1157" s="21"/>
      <c r="E1157" s="21"/>
      <c r="F1157" s="21"/>
      <c r="G1157" s="14"/>
      <c r="H1157" s="14"/>
      <c r="I1157" s="14"/>
      <c r="J1157" s="14"/>
      <c r="K1157" s="14"/>
      <c r="L1157" s="14"/>
      <c r="M1157" s="14"/>
      <c r="N1157" s="14"/>
      <c r="O1157" s="14"/>
      <c r="P1157" s="14"/>
      <c r="Q1157" s="14"/>
      <c r="R1157" s="14"/>
      <c r="S1157" s="14"/>
      <c r="T1157" s="14"/>
      <c r="U1157" s="14"/>
      <c r="V1157" s="14"/>
      <c r="W1157" s="14"/>
      <c r="X1157" s="14"/>
      <c r="Y1157" s="14"/>
    </row>
    <row r="1158" spans="1:25" ht="15.75" x14ac:dyDescent="0.25">
      <c r="A1158" s="21"/>
      <c r="B1158" s="21"/>
      <c r="C1158" s="21"/>
      <c r="E1158" s="21"/>
      <c r="F1158" s="21"/>
      <c r="G1158" s="14"/>
      <c r="H1158" s="14"/>
      <c r="I1158" s="14"/>
      <c r="J1158" s="14"/>
      <c r="K1158" s="14"/>
      <c r="L1158" s="14"/>
      <c r="M1158" s="14"/>
      <c r="N1158" s="14"/>
      <c r="O1158" s="14"/>
      <c r="P1158" s="14"/>
      <c r="Q1158" s="14"/>
      <c r="R1158" s="14"/>
      <c r="S1158" s="14"/>
      <c r="T1158" s="14"/>
      <c r="U1158" s="14"/>
      <c r="V1158" s="14"/>
      <c r="W1158" s="14"/>
      <c r="X1158" s="14"/>
      <c r="Y1158" s="14"/>
    </row>
    <row r="1159" spans="1:25" ht="15.75" x14ac:dyDescent="0.25">
      <c r="A1159" s="21"/>
      <c r="B1159" s="21"/>
      <c r="C1159" s="21"/>
      <c r="E1159" s="21"/>
      <c r="F1159" s="21"/>
      <c r="G1159" s="14"/>
      <c r="H1159" s="14"/>
      <c r="I1159" s="14"/>
      <c r="J1159" s="14"/>
      <c r="K1159" s="14"/>
      <c r="L1159" s="14"/>
      <c r="M1159" s="14"/>
      <c r="N1159" s="14"/>
      <c r="O1159" s="14"/>
      <c r="P1159" s="14"/>
      <c r="Q1159" s="14"/>
      <c r="R1159" s="14"/>
      <c r="S1159" s="14"/>
      <c r="T1159" s="14"/>
      <c r="U1159" s="14"/>
      <c r="V1159" s="14"/>
      <c r="W1159" s="14"/>
      <c r="X1159" s="14"/>
      <c r="Y1159" s="14"/>
    </row>
    <row r="1160" spans="1:25" ht="15.75" x14ac:dyDescent="0.25">
      <c r="A1160" s="21"/>
      <c r="B1160" s="21"/>
      <c r="C1160" s="21"/>
      <c r="E1160" s="21"/>
      <c r="F1160" s="21"/>
      <c r="G1160" s="14"/>
      <c r="H1160" s="14"/>
      <c r="I1160" s="14"/>
      <c r="J1160" s="14"/>
      <c r="K1160" s="14"/>
      <c r="L1160" s="14"/>
      <c r="M1160" s="14"/>
      <c r="N1160" s="14"/>
      <c r="O1160" s="14"/>
      <c r="P1160" s="14"/>
      <c r="Q1160" s="14"/>
      <c r="R1160" s="14"/>
      <c r="S1160" s="14"/>
      <c r="T1160" s="14"/>
      <c r="U1160" s="14"/>
      <c r="V1160" s="14"/>
      <c r="W1160" s="14"/>
      <c r="X1160" s="14"/>
      <c r="Y1160" s="14"/>
    </row>
    <row r="1161" spans="1:25" ht="15.75" x14ac:dyDescent="0.25">
      <c r="A1161" s="21"/>
      <c r="B1161" s="21"/>
      <c r="C1161" s="21"/>
      <c r="E1161" s="21"/>
      <c r="F1161" s="21"/>
      <c r="G1161" s="14"/>
      <c r="H1161" s="14"/>
      <c r="I1161" s="14"/>
      <c r="J1161" s="14"/>
      <c r="K1161" s="14"/>
      <c r="L1161" s="14"/>
      <c r="M1161" s="14"/>
      <c r="N1161" s="14"/>
      <c r="O1161" s="14"/>
      <c r="P1161" s="14"/>
      <c r="Q1161" s="14"/>
      <c r="R1161" s="14"/>
      <c r="S1161" s="14"/>
      <c r="T1161" s="14"/>
      <c r="U1161" s="14"/>
      <c r="V1161" s="14"/>
      <c r="W1161" s="14"/>
      <c r="X1161" s="14"/>
      <c r="Y1161" s="14"/>
    </row>
    <row r="1162" spans="1:25" ht="15.75" x14ac:dyDescent="0.25">
      <c r="A1162" s="21"/>
      <c r="B1162" s="21"/>
      <c r="C1162" s="21"/>
      <c r="E1162" s="21"/>
      <c r="F1162" s="21"/>
      <c r="G1162" s="14"/>
      <c r="H1162" s="14"/>
      <c r="I1162" s="14"/>
      <c r="J1162" s="14"/>
      <c r="K1162" s="14"/>
      <c r="L1162" s="14"/>
      <c r="M1162" s="14"/>
      <c r="N1162" s="14"/>
      <c r="O1162" s="14"/>
      <c r="P1162" s="14"/>
      <c r="Q1162" s="14"/>
      <c r="R1162" s="14"/>
      <c r="S1162" s="14"/>
      <c r="T1162" s="14"/>
      <c r="U1162" s="14"/>
      <c r="V1162" s="14"/>
      <c r="W1162" s="14"/>
      <c r="X1162" s="14"/>
      <c r="Y1162" s="14"/>
    </row>
    <row r="1163" spans="1:25" ht="15.75" x14ac:dyDescent="0.25">
      <c r="A1163" s="21"/>
      <c r="B1163" s="21"/>
      <c r="C1163" s="21"/>
      <c r="E1163" s="21"/>
      <c r="F1163" s="21"/>
      <c r="G1163" s="14"/>
      <c r="H1163" s="14"/>
      <c r="I1163" s="14"/>
      <c r="J1163" s="14"/>
      <c r="K1163" s="14"/>
      <c r="L1163" s="14"/>
      <c r="M1163" s="14"/>
      <c r="N1163" s="14"/>
      <c r="O1163" s="14"/>
      <c r="P1163" s="14"/>
      <c r="Q1163" s="14"/>
      <c r="R1163" s="14"/>
      <c r="S1163" s="14"/>
      <c r="T1163" s="14"/>
      <c r="U1163" s="14"/>
      <c r="V1163" s="14"/>
      <c r="W1163" s="14"/>
      <c r="X1163" s="14"/>
      <c r="Y1163" s="14"/>
    </row>
    <row r="1164" spans="1:25" ht="15.75" x14ac:dyDescent="0.25">
      <c r="A1164" s="21"/>
      <c r="B1164" s="21"/>
      <c r="C1164" s="21"/>
      <c r="E1164" s="21"/>
      <c r="F1164" s="21"/>
      <c r="G1164" s="14"/>
      <c r="H1164" s="14"/>
      <c r="I1164" s="14"/>
      <c r="J1164" s="14"/>
      <c r="K1164" s="14"/>
      <c r="L1164" s="14"/>
      <c r="M1164" s="14"/>
      <c r="N1164" s="14"/>
      <c r="O1164" s="14"/>
      <c r="P1164" s="14"/>
      <c r="Q1164" s="14"/>
      <c r="R1164" s="14"/>
      <c r="S1164" s="14"/>
      <c r="T1164" s="14"/>
      <c r="U1164" s="14"/>
      <c r="V1164" s="14"/>
      <c r="W1164" s="14"/>
      <c r="X1164" s="14"/>
      <c r="Y1164" s="14"/>
    </row>
    <row r="1165" spans="1:25" ht="15.75" x14ac:dyDescent="0.25">
      <c r="A1165" s="21"/>
      <c r="B1165" s="21"/>
      <c r="C1165" s="21"/>
      <c r="E1165" s="21"/>
      <c r="F1165" s="21"/>
      <c r="G1165" s="14"/>
      <c r="H1165" s="14"/>
      <c r="I1165" s="14"/>
      <c r="J1165" s="14"/>
      <c r="K1165" s="14"/>
      <c r="L1165" s="14"/>
      <c r="M1165" s="14"/>
      <c r="N1165" s="14"/>
      <c r="O1165" s="14"/>
      <c r="P1165" s="14"/>
      <c r="Q1165" s="14"/>
      <c r="R1165" s="14"/>
      <c r="S1165" s="14"/>
      <c r="T1165" s="14"/>
      <c r="U1165" s="14"/>
      <c r="V1165" s="14"/>
      <c r="W1165" s="14"/>
      <c r="X1165" s="14"/>
      <c r="Y1165" s="14"/>
    </row>
    <row r="1166" spans="1:25" ht="15.75" x14ac:dyDescent="0.25">
      <c r="A1166" s="21"/>
      <c r="B1166" s="21"/>
      <c r="C1166" s="21"/>
      <c r="E1166" s="21"/>
      <c r="F1166" s="21"/>
      <c r="G1166" s="14"/>
      <c r="H1166" s="14"/>
      <c r="I1166" s="14"/>
      <c r="J1166" s="14"/>
      <c r="K1166" s="14"/>
      <c r="L1166" s="14"/>
      <c r="M1166" s="14"/>
      <c r="N1166" s="14"/>
      <c r="O1166" s="14"/>
      <c r="P1166" s="14"/>
      <c r="Q1166" s="14"/>
      <c r="R1166" s="14"/>
      <c r="S1166" s="14"/>
      <c r="T1166" s="14"/>
      <c r="U1166" s="14"/>
      <c r="V1166" s="14"/>
      <c r="W1166" s="14"/>
      <c r="X1166" s="14"/>
      <c r="Y1166" s="14"/>
    </row>
    <row r="1167" spans="1:25" ht="15.75" x14ac:dyDescent="0.25">
      <c r="A1167" s="21"/>
      <c r="B1167" s="21"/>
      <c r="C1167" s="21"/>
      <c r="E1167" s="21"/>
      <c r="F1167" s="21"/>
      <c r="G1167" s="14"/>
      <c r="H1167" s="14"/>
      <c r="I1167" s="14"/>
      <c r="J1167" s="14"/>
      <c r="K1167" s="14"/>
      <c r="L1167" s="14"/>
      <c r="M1167" s="14"/>
      <c r="N1167" s="14"/>
      <c r="O1167" s="14"/>
      <c r="P1167" s="14"/>
      <c r="Q1167" s="14"/>
      <c r="R1167" s="14"/>
      <c r="S1167" s="14"/>
      <c r="T1167" s="14"/>
      <c r="U1167" s="14"/>
      <c r="V1167" s="14"/>
      <c r="W1167" s="14"/>
      <c r="X1167" s="14"/>
      <c r="Y1167" s="14"/>
    </row>
    <row r="1168" spans="1:25" ht="15.75" x14ac:dyDescent="0.25">
      <c r="A1168" s="21"/>
      <c r="B1168" s="21"/>
      <c r="C1168" s="21"/>
      <c r="E1168" s="21"/>
      <c r="F1168" s="21"/>
      <c r="G1168" s="14"/>
      <c r="H1168" s="14"/>
      <c r="I1168" s="14"/>
      <c r="J1168" s="14"/>
      <c r="K1168" s="14"/>
      <c r="L1168" s="14"/>
      <c r="M1168" s="14"/>
      <c r="N1168" s="14"/>
      <c r="O1168" s="14"/>
      <c r="P1168" s="14"/>
      <c r="Q1168" s="14"/>
      <c r="R1168" s="14"/>
      <c r="S1168" s="14"/>
      <c r="T1168" s="14"/>
      <c r="U1168" s="14"/>
      <c r="V1168" s="14"/>
      <c r="W1168" s="14"/>
      <c r="X1168" s="14"/>
      <c r="Y1168" s="14"/>
    </row>
    <row r="1169" spans="1:25" ht="15.75" x14ac:dyDescent="0.25">
      <c r="A1169" s="21"/>
      <c r="B1169" s="21"/>
      <c r="C1169" s="21"/>
      <c r="E1169" s="21"/>
      <c r="F1169" s="21"/>
      <c r="G1169" s="14"/>
      <c r="H1169" s="14"/>
      <c r="I1169" s="14"/>
      <c r="J1169" s="14"/>
      <c r="K1169" s="14"/>
      <c r="L1169" s="14"/>
      <c r="M1169" s="14"/>
      <c r="N1169" s="14"/>
      <c r="O1169" s="14"/>
      <c r="P1169" s="14"/>
      <c r="Q1169" s="14"/>
      <c r="R1169" s="14"/>
      <c r="S1169" s="14"/>
      <c r="T1169" s="14"/>
      <c r="U1169" s="14"/>
      <c r="V1169" s="14"/>
      <c r="W1169" s="14"/>
      <c r="X1169" s="14"/>
      <c r="Y1169" s="14"/>
    </row>
    <row r="1170" spans="1:25" ht="15.75" x14ac:dyDescent="0.25">
      <c r="A1170" s="21"/>
      <c r="B1170" s="21"/>
      <c r="C1170" s="21"/>
      <c r="E1170" s="21"/>
      <c r="F1170" s="21"/>
      <c r="G1170" s="14"/>
      <c r="H1170" s="14"/>
      <c r="I1170" s="14"/>
      <c r="J1170" s="14"/>
      <c r="K1170" s="14"/>
      <c r="L1170" s="14"/>
      <c r="M1170" s="14"/>
      <c r="N1170" s="14"/>
      <c r="O1170" s="14"/>
      <c r="P1170" s="14"/>
      <c r="Q1170" s="14"/>
      <c r="R1170" s="14"/>
      <c r="S1170" s="14"/>
      <c r="T1170" s="14"/>
      <c r="U1170" s="14"/>
      <c r="V1170" s="14"/>
      <c r="W1170" s="14"/>
      <c r="X1170" s="14"/>
      <c r="Y1170" s="14"/>
    </row>
    <row r="1171" spans="1:25" ht="15.75" x14ac:dyDescent="0.25">
      <c r="A1171" s="21"/>
      <c r="B1171" s="21"/>
      <c r="C1171" s="21"/>
      <c r="E1171" s="21"/>
      <c r="F1171" s="21"/>
      <c r="G1171" s="14"/>
      <c r="H1171" s="14"/>
      <c r="I1171" s="14"/>
      <c r="J1171" s="14"/>
      <c r="K1171" s="14"/>
      <c r="L1171" s="14"/>
      <c r="M1171" s="14"/>
      <c r="N1171" s="14"/>
      <c r="O1171" s="14"/>
      <c r="P1171" s="14"/>
      <c r="Q1171" s="14"/>
      <c r="R1171" s="14"/>
      <c r="S1171" s="14"/>
      <c r="T1171" s="14"/>
      <c r="U1171" s="14"/>
      <c r="V1171" s="14"/>
      <c r="W1171" s="14"/>
      <c r="X1171" s="14"/>
      <c r="Y1171" s="14"/>
    </row>
    <row r="1172" spans="1:25" ht="15.75" x14ac:dyDescent="0.25">
      <c r="A1172" s="21"/>
      <c r="B1172" s="21"/>
      <c r="C1172" s="21"/>
      <c r="E1172" s="21"/>
      <c r="F1172" s="21"/>
      <c r="G1172" s="14"/>
      <c r="H1172" s="14"/>
      <c r="I1172" s="14"/>
      <c r="J1172" s="14"/>
      <c r="K1172" s="14"/>
      <c r="L1172" s="14"/>
      <c r="M1172" s="14"/>
      <c r="N1172" s="14"/>
      <c r="O1172" s="14"/>
      <c r="P1172" s="14"/>
      <c r="Q1172" s="14"/>
      <c r="R1172" s="14"/>
      <c r="S1172" s="14"/>
      <c r="T1172" s="14"/>
      <c r="U1172" s="14"/>
      <c r="V1172" s="14"/>
      <c r="W1172" s="14"/>
      <c r="X1172" s="14"/>
      <c r="Y1172" s="14"/>
    </row>
    <row r="1173" spans="1:25" ht="15.75" x14ac:dyDescent="0.25">
      <c r="A1173" s="21"/>
      <c r="B1173" s="21"/>
      <c r="C1173" s="21"/>
      <c r="E1173" s="21"/>
      <c r="F1173" s="21"/>
      <c r="G1173" s="14"/>
      <c r="H1173" s="14"/>
      <c r="I1173" s="14"/>
      <c r="J1173" s="14"/>
      <c r="K1173" s="14"/>
      <c r="L1173" s="14"/>
      <c r="M1173" s="14"/>
      <c r="N1173" s="14"/>
      <c r="O1173" s="14"/>
      <c r="P1173" s="14"/>
      <c r="Q1173" s="14"/>
      <c r="R1173" s="14"/>
      <c r="S1173" s="14"/>
      <c r="T1173" s="14"/>
      <c r="U1173" s="14"/>
      <c r="V1173" s="14"/>
      <c r="W1173" s="14"/>
      <c r="X1173" s="14"/>
      <c r="Y1173" s="14"/>
    </row>
    <row r="1174" spans="1:25" ht="15.75" x14ac:dyDescent="0.25">
      <c r="A1174" s="21"/>
      <c r="B1174" s="21"/>
      <c r="C1174" s="21"/>
      <c r="E1174" s="21"/>
      <c r="F1174" s="21"/>
      <c r="G1174" s="14"/>
      <c r="H1174" s="14"/>
      <c r="I1174" s="14"/>
      <c r="J1174" s="14"/>
      <c r="K1174" s="14"/>
      <c r="L1174" s="14"/>
      <c r="M1174" s="14"/>
      <c r="N1174" s="14"/>
      <c r="O1174" s="14"/>
      <c r="P1174" s="14"/>
      <c r="Q1174" s="14"/>
      <c r="R1174" s="14"/>
      <c r="S1174" s="14"/>
      <c r="T1174" s="14"/>
      <c r="U1174" s="14"/>
      <c r="V1174" s="14"/>
      <c r="W1174" s="14"/>
      <c r="X1174" s="14"/>
      <c r="Y1174" s="14"/>
    </row>
    <row r="1175" spans="1:25" ht="15.75" x14ac:dyDescent="0.25">
      <c r="A1175" s="21"/>
      <c r="B1175" s="21"/>
      <c r="C1175" s="21"/>
      <c r="E1175" s="21"/>
      <c r="F1175" s="21"/>
      <c r="G1175" s="14"/>
      <c r="H1175" s="14"/>
      <c r="I1175" s="14"/>
      <c r="J1175" s="14"/>
      <c r="K1175" s="14"/>
      <c r="L1175" s="14"/>
      <c r="M1175" s="14"/>
      <c r="N1175" s="14"/>
      <c r="O1175" s="14"/>
      <c r="P1175" s="14"/>
      <c r="Q1175" s="14"/>
      <c r="R1175" s="14"/>
      <c r="S1175" s="14"/>
      <c r="T1175" s="14"/>
      <c r="U1175" s="14"/>
      <c r="V1175" s="14"/>
      <c r="W1175" s="14"/>
      <c r="X1175" s="14"/>
      <c r="Y1175" s="14"/>
    </row>
    <row r="1176" spans="1:25" ht="15.75" x14ac:dyDescent="0.25">
      <c r="A1176" s="21"/>
      <c r="B1176" s="21"/>
      <c r="C1176" s="21"/>
      <c r="E1176" s="21"/>
      <c r="F1176" s="21"/>
      <c r="G1176" s="14"/>
      <c r="H1176" s="14"/>
      <c r="I1176" s="14"/>
      <c r="J1176" s="14"/>
      <c r="K1176" s="14"/>
      <c r="L1176" s="14"/>
      <c r="M1176" s="14"/>
      <c r="N1176" s="14"/>
      <c r="O1176" s="14"/>
      <c r="P1176" s="14"/>
      <c r="Q1176" s="14"/>
      <c r="R1176" s="14"/>
      <c r="S1176" s="14"/>
      <c r="T1176" s="14"/>
      <c r="U1176" s="14"/>
      <c r="V1176" s="14"/>
      <c r="W1176" s="14"/>
      <c r="X1176" s="14"/>
      <c r="Y1176" s="14"/>
    </row>
    <row r="1177" spans="1:25" ht="15.75" x14ac:dyDescent="0.25">
      <c r="A1177" s="21"/>
      <c r="B1177" s="21"/>
      <c r="C1177" s="21"/>
      <c r="E1177" s="21"/>
      <c r="F1177" s="21"/>
      <c r="G1177" s="14"/>
      <c r="H1177" s="14"/>
      <c r="I1177" s="14"/>
      <c r="J1177" s="14"/>
      <c r="K1177" s="14"/>
      <c r="L1177" s="14"/>
      <c r="M1177" s="14"/>
      <c r="N1177" s="14"/>
      <c r="O1177" s="14"/>
      <c r="P1177" s="14"/>
      <c r="Q1177" s="14"/>
      <c r="R1177" s="14"/>
      <c r="S1177" s="14"/>
      <c r="T1177" s="14"/>
      <c r="U1177" s="14"/>
      <c r="V1177" s="14"/>
      <c r="W1177" s="14"/>
      <c r="X1177" s="14"/>
      <c r="Y1177" s="14"/>
    </row>
    <row r="1178" spans="1:25" ht="15.75" x14ac:dyDescent="0.25">
      <c r="A1178" s="21"/>
      <c r="B1178" s="21"/>
      <c r="C1178" s="21"/>
      <c r="E1178" s="21"/>
      <c r="F1178" s="21"/>
      <c r="G1178" s="14"/>
      <c r="H1178" s="14"/>
      <c r="I1178" s="14"/>
      <c r="J1178" s="14"/>
      <c r="K1178" s="14"/>
      <c r="L1178" s="14"/>
      <c r="M1178" s="14"/>
      <c r="N1178" s="14"/>
      <c r="O1178" s="14"/>
      <c r="P1178" s="14"/>
      <c r="Q1178" s="14"/>
      <c r="R1178" s="14"/>
      <c r="S1178" s="14"/>
      <c r="T1178" s="14"/>
      <c r="U1178" s="14"/>
      <c r="V1178" s="14"/>
      <c r="W1178" s="14"/>
      <c r="X1178" s="14"/>
      <c r="Y1178" s="14"/>
    </row>
    <row r="1179" spans="1:25" ht="15.75" x14ac:dyDescent="0.25">
      <c r="A1179" s="21"/>
      <c r="B1179" s="21"/>
      <c r="C1179" s="21"/>
      <c r="E1179" s="21"/>
      <c r="F1179" s="21"/>
      <c r="G1179" s="14"/>
      <c r="H1179" s="14"/>
      <c r="I1179" s="14"/>
      <c r="J1179" s="14"/>
      <c r="K1179" s="14"/>
      <c r="L1179" s="14"/>
      <c r="M1179" s="14"/>
      <c r="N1179" s="14"/>
      <c r="O1179" s="14"/>
      <c r="P1179" s="14"/>
      <c r="Q1179" s="14"/>
      <c r="R1179" s="14"/>
      <c r="S1179" s="14"/>
      <c r="T1179" s="14"/>
      <c r="U1179" s="14"/>
      <c r="V1179" s="14"/>
      <c r="W1179" s="14"/>
      <c r="X1179" s="14"/>
      <c r="Y1179" s="14"/>
    </row>
    <row r="1180" spans="1:25" ht="15.75" x14ac:dyDescent="0.25">
      <c r="A1180" s="21"/>
      <c r="B1180" s="21"/>
      <c r="C1180" s="21"/>
      <c r="E1180" s="21"/>
      <c r="F1180" s="21"/>
      <c r="G1180" s="14"/>
      <c r="H1180" s="14"/>
      <c r="I1180" s="14"/>
      <c r="J1180" s="14"/>
      <c r="K1180" s="14"/>
      <c r="L1180" s="14"/>
      <c r="M1180" s="14"/>
      <c r="N1180" s="14"/>
      <c r="O1180" s="14"/>
      <c r="P1180" s="14"/>
      <c r="Q1180" s="14"/>
      <c r="R1180" s="14"/>
      <c r="S1180" s="14"/>
      <c r="T1180" s="14"/>
      <c r="U1180" s="14"/>
      <c r="V1180" s="14"/>
      <c r="W1180" s="14"/>
      <c r="X1180" s="14"/>
      <c r="Y1180" s="14"/>
    </row>
    <row r="1181" spans="1:25" ht="15.75" x14ac:dyDescent="0.25">
      <c r="A1181" s="21"/>
      <c r="B1181" s="21"/>
      <c r="C1181" s="21"/>
      <c r="E1181" s="21"/>
      <c r="F1181" s="21"/>
      <c r="G1181" s="14"/>
      <c r="H1181" s="14"/>
      <c r="I1181" s="14"/>
      <c r="J1181" s="14"/>
      <c r="K1181" s="14"/>
      <c r="L1181" s="14"/>
      <c r="M1181" s="14"/>
      <c r="N1181" s="14"/>
      <c r="O1181" s="14"/>
      <c r="P1181" s="14"/>
      <c r="Q1181" s="14"/>
      <c r="R1181" s="14"/>
      <c r="S1181" s="14"/>
      <c r="T1181" s="14"/>
      <c r="U1181" s="14"/>
      <c r="V1181" s="14"/>
      <c r="W1181" s="14"/>
      <c r="X1181" s="14"/>
      <c r="Y1181" s="14"/>
    </row>
    <row r="1182" spans="1:25" ht="15.75" x14ac:dyDescent="0.25">
      <c r="A1182" s="21"/>
      <c r="B1182" s="21"/>
      <c r="C1182" s="21"/>
      <c r="E1182" s="21"/>
      <c r="F1182" s="21"/>
      <c r="G1182" s="14"/>
      <c r="H1182" s="14"/>
      <c r="I1182" s="14"/>
      <c r="J1182" s="14"/>
      <c r="K1182" s="14"/>
      <c r="L1182" s="14"/>
      <c r="M1182" s="14"/>
      <c r="N1182" s="14"/>
      <c r="O1182" s="14"/>
      <c r="P1182" s="14"/>
      <c r="Q1182" s="14"/>
      <c r="R1182" s="14"/>
      <c r="S1182" s="14"/>
      <c r="T1182" s="14"/>
      <c r="U1182" s="14"/>
      <c r="V1182" s="14"/>
      <c r="W1182" s="14"/>
      <c r="X1182" s="14"/>
      <c r="Y1182" s="14"/>
    </row>
    <row r="1183" spans="1:25" ht="15.75" x14ac:dyDescent="0.25">
      <c r="A1183" s="21"/>
      <c r="B1183" s="21"/>
      <c r="C1183" s="21"/>
      <c r="E1183" s="21"/>
      <c r="F1183" s="21"/>
      <c r="G1183" s="14"/>
      <c r="H1183" s="14"/>
      <c r="I1183" s="14"/>
      <c r="J1183" s="14"/>
      <c r="K1183" s="14"/>
      <c r="L1183" s="14"/>
      <c r="M1183" s="14"/>
      <c r="N1183" s="14"/>
      <c r="O1183" s="14"/>
      <c r="P1183" s="14"/>
      <c r="Q1183" s="14"/>
      <c r="R1183" s="14"/>
      <c r="S1183" s="14"/>
      <c r="T1183" s="14"/>
      <c r="U1183" s="14"/>
      <c r="V1183" s="14"/>
      <c r="W1183" s="14"/>
      <c r="X1183" s="14"/>
      <c r="Y1183" s="14"/>
    </row>
    <row r="1184" spans="1:25" ht="15.75" x14ac:dyDescent="0.25">
      <c r="A1184" s="21"/>
      <c r="B1184" s="21"/>
      <c r="C1184" s="21"/>
      <c r="E1184" s="21"/>
      <c r="F1184" s="21"/>
      <c r="G1184" s="14"/>
      <c r="H1184" s="14"/>
      <c r="I1184" s="14"/>
      <c r="J1184" s="14"/>
      <c r="K1184" s="14"/>
      <c r="L1184" s="14"/>
      <c r="M1184" s="14"/>
      <c r="N1184" s="14"/>
      <c r="O1184" s="14"/>
      <c r="P1184" s="14"/>
      <c r="Q1184" s="14"/>
      <c r="R1184" s="14"/>
      <c r="S1184" s="14"/>
      <c r="T1184" s="14"/>
      <c r="U1184" s="14"/>
      <c r="V1184" s="14"/>
      <c r="W1184" s="14"/>
      <c r="X1184" s="14"/>
      <c r="Y1184" s="14"/>
    </row>
    <row r="1185" spans="1:25" ht="15.75" x14ac:dyDescent="0.25">
      <c r="A1185" s="21"/>
      <c r="B1185" s="21"/>
      <c r="C1185" s="21"/>
      <c r="E1185" s="21"/>
      <c r="F1185" s="21"/>
      <c r="G1185" s="14"/>
      <c r="H1185" s="14"/>
      <c r="I1185" s="14"/>
      <c r="J1185" s="14"/>
      <c r="K1185" s="14"/>
      <c r="L1185" s="14"/>
      <c r="M1185" s="14"/>
      <c r="N1185" s="14"/>
      <c r="O1185" s="14"/>
      <c r="P1185" s="14"/>
      <c r="Q1185" s="14"/>
      <c r="R1185" s="14"/>
      <c r="S1185" s="14"/>
      <c r="T1185" s="14"/>
      <c r="U1185" s="14"/>
      <c r="V1185" s="14"/>
      <c r="W1185" s="14"/>
      <c r="X1185" s="14"/>
      <c r="Y1185" s="14"/>
    </row>
    <row r="1186" spans="1:25" ht="15.75" x14ac:dyDescent="0.25">
      <c r="A1186" s="21"/>
      <c r="B1186" s="21"/>
      <c r="C1186" s="21"/>
      <c r="E1186" s="21"/>
      <c r="F1186" s="21"/>
      <c r="G1186" s="14"/>
      <c r="H1186" s="14"/>
      <c r="I1186" s="14"/>
      <c r="J1186" s="14"/>
      <c r="K1186" s="14"/>
      <c r="L1186" s="14"/>
      <c r="M1186" s="14"/>
      <c r="N1186" s="14"/>
      <c r="O1186" s="14"/>
      <c r="P1186" s="14"/>
      <c r="Q1186" s="14"/>
      <c r="R1186" s="14"/>
      <c r="S1186" s="14"/>
      <c r="T1186" s="14"/>
      <c r="U1186" s="14"/>
      <c r="V1186" s="14"/>
      <c r="W1186" s="14"/>
      <c r="X1186" s="14"/>
      <c r="Y1186" s="14"/>
    </row>
    <row r="1187" spans="1:25" ht="15.75" x14ac:dyDescent="0.25">
      <c r="A1187" s="21"/>
      <c r="B1187" s="21"/>
      <c r="C1187" s="21"/>
      <c r="E1187" s="21"/>
      <c r="F1187" s="21"/>
      <c r="G1187" s="14"/>
      <c r="H1187" s="14"/>
      <c r="I1187" s="14"/>
      <c r="J1187" s="14"/>
      <c r="K1187" s="14"/>
      <c r="L1187" s="14"/>
      <c r="M1187" s="14"/>
      <c r="N1187" s="14"/>
      <c r="O1187" s="14"/>
      <c r="P1187" s="14"/>
      <c r="Q1187" s="14"/>
      <c r="R1187" s="14"/>
      <c r="S1187" s="14"/>
      <c r="T1187" s="14"/>
      <c r="U1187" s="14"/>
      <c r="V1187" s="14"/>
      <c r="W1187" s="14"/>
      <c r="X1187" s="14"/>
      <c r="Y1187" s="14"/>
    </row>
    <row r="1188" spans="1:25" ht="15.75" x14ac:dyDescent="0.25">
      <c r="A1188" s="21"/>
      <c r="B1188" s="21"/>
      <c r="C1188" s="21"/>
      <c r="E1188" s="21"/>
      <c r="F1188" s="21"/>
      <c r="G1188" s="14"/>
      <c r="H1188" s="14"/>
      <c r="I1188" s="14"/>
      <c r="J1188" s="14"/>
      <c r="K1188" s="14"/>
      <c r="L1188" s="14"/>
      <c r="M1188" s="14"/>
      <c r="N1188" s="14"/>
      <c r="O1188" s="14"/>
      <c r="P1188" s="14"/>
      <c r="Q1188" s="14"/>
      <c r="R1188" s="14"/>
      <c r="S1188" s="14"/>
      <c r="T1188" s="14"/>
      <c r="U1188" s="14"/>
      <c r="V1188" s="14"/>
      <c r="W1188" s="14"/>
      <c r="X1188" s="14"/>
      <c r="Y1188" s="14"/>
    </row>
    <row r="1189" spans="1:25" ht="15.75" x14ac:dyDescent="0.25">
      <c r="A1189" s="21"/>
      <c r="B1189" s="21"/>
      <c r="C1189" s="21"/>
      <c r="E1189" s="21"/>
      <c r="F1189" s="21"/>
      <c r="G1189" s="14"/>
      <c r="H1189" s="14"/>
      <c r="I1189" s="14"/>
      <c r="J1189" s="14"/>
      <c r="K1189" s="14"/>
      <c r="L1189" s="14"/>
      <c r="M1189" s="14"/>
      <c r="N1189" s="14"/>
      <c r="O1189" s="14"/>
      <c r="P1189" s="14"/>
      <c r="Q1189" s="14"/>
      <c r="R1189" s="14"/>
      <c r="S1189" s="14"/>
      <c r="T1189" s="14"/>
      <c r="U1189" s="14"/>
      <c r="V1189" s="14"/>
      <c r="W1189" s="14"/>
      <c r="X1189" s="14"/>
      <c r="Y1189" s="14"/>
    </row>
    <row r="1190" spans="1:25" ht="15.75" x14ac:dyDescent="0.25">
      <c r="A1190" s="21"/>
      <c r="B1190" s="21"/>
      <c r="C1190" s="21"/>
      <c r="E1190" s="21"/>
      <c r="F1190" s="21"/>
      <c r="G1190" s="14"/>
      <c r="H1190" s="14"/>
      <c r="I1190" s="14"/>
      <c r="J1190" s="14"/>
      <c r="K1190" s="14"/>
      <c r="L1190" s="14"/>
      <c r="M1190" s="14"/>
      <c r="N1190" s="14"/>
      <c r="O1190" s="14"/>
      <c r="P1190" s="14"/>
      <c r="Q1190" s="14"/>
      <c r="R1190" s="14"/>
      <c r="S1190" s="14"/>
      <c r="T1190" s="14"/>
      <c r="U1190" s="14"/>
      <c r="V1190" s="14"/>
      <c r="W1190" s="14"/>
      <c r="X1190" s="14"/>
      <c r="Y1190" s="14"/>
    </row>
    <row r="1191" spans="1:25" ht="15.75" x14ac:dyDescent="0.25">
      <c r="A1191" s="21"/>
      <c r="B1191" s="21"/>
      <c r="C1191" s="21"/>
      <c r="E1191" s="21"/>
      <c r="F1191" s="21"/>
      <c r="G1191" s="14"/>
      <c r="H1191" s="14"/>
      <c r="I1191" s="14"/>
      <c r="J1191" s="14"/>
      <c r="K1191" s="14"/>
      <c r="L1191" s="14"/>
      <c r="M1191" s="14"/>
      <c r="N1191" s="14"/>
      <c r="O1191" s="14"/>
      <c r="P1191" s="14"/>
      <c r="Q1191" s="14"/>
      <c r="R1191" s="14"/>
      <c r="S1191" s="14"/>
      <c r="T1191" s="14"/>
      <c r="U1191" s="14"/>
      <c r="V1191" s="14"/>
      <c r="W1191" s="14"/>
      <c r="X1191" s="14"/>
      <c r="Y1191" s="14"/>
    </row>
    <row r="1192" spans="1:25" ht="15.75" x14ac:dyDescent="0.25">
      <c r="A1192" s="21"/>
      <c r="B1192" s="21"/>
      <c r="C1192" s="21"/>
      <c r="E1192" s="21"/>
      <c r="F1192" s="21"/>
      <c r="G1192" s="14"/>
      <c r="H1192" s="14"/>
      <c r="I1192" s="14"/>
      <c r="J1192" s="14"/>
      <c r="K1192" s="14"/>
      <c r="L1192" s="14"/>
      <c r="M1192" s="14"/>
      <c r="N1192" s="14"/>
      <c r="O1192" s="14"/>
      <c r="P1192" s="14"/>
      <c r="Q1192" s="14"/>
      <c r="R1192" s="14"/>
      <c r="S1192" s="14"/>
      <c r="T1192" s="14"/>
      <c r="U1192" s="14"/>
      <c r="V1192" s="14"/>
      <c r="W1192" s="14"/>
      <c r="X1192" s="14"/>
      <c r="Y1192" s="14"/>
    </row>
    <row r="1193" spans="1:25" ht="15.75" x14ac:dyDescent="0.25">
      <c r="A1193" s="21"/>
      <c r="B1193" s="21"/>
      <c r="C1193" s="21"/>
      <c r="E1193" s="21"/>
      <c r="F1193" s="21"/>
      <c r="G1193" s="14"/>
      <c r="H1193" s="14"/>
      <c r="I1193" s="14"/>
      <c r="J1193" s="14"/>
      <c r="K1193" s="14"/>
      <c r="L1193" s="14"/>
      <c r="M1193" s="14"/>
      <c r="N1193" s="14"/>
      <c r="O1193" s="14"/>
      <c r="P1193" s="14"/>
      <c r="Q1193" s="14"/>
      <c r="R1193" s="14"/>
      <c r="S1193" s="14"/>
      <c r="T1193" s="14"/>
      <c r="U1193" s="14"/>
      <c r="V1193" s="14"/>
      <c r="W1193" s="14"/>
      <c r="X1193" s="14"/>
      <c r="Y1193" s="14"/>
    </row>
    <row r="1194" spans="1:25" ht="15.75" x14ac:dyDescent="0.25">
      <c r="A1194" s="21"/>
      <c r="B1194" s="21"/>
      <c r="C1194" s="21"/>
      <c r="E1194" s="21"/>
      <c r="F1194" s="21"/>
      <c r="G1194" s="14"/>
      <c r="H1194" s="14"/>
      <c r="I1194" s="14"/>
      <c r="J1194" s="14"/>
      <c r="K1194" s="14"/>
      <c r="L1194" s="14"/>
      <c r="M1194" s="14"/>
      <c r="N1194" s="14"/>
      <c r="O1194" s="14"/>
      <c r="P1194" s="14"/>
      <c r="Q1194" s="14"/>
      <c r="R1194" s="14"/>
      <c r="S1194" s="14"/>
      <c r="T1194" s="14"/>
      <c r="U1194" s="14"/>
      <c r="V1194" s="14"/>
      <c r="W1194" s="14"/>
      <c r="X1194" s="14"/>
      <c r="Y1194" s="14"/>
    </row>
    <row r="1195" spans="1:25" ht="15.75" x14ac:dyDescent="0.25">
      <c r="A1195" s="21"/>
      <c r="B1195" s="21"/>
      <c r="C1195" s="21"/>
      <c r="E1195" s="21"/>
      <c r="F1195" s="21"/>
      <c r="G1195" s="14"/>
      <c r="H1195" s="14"/>
      <c r="I1195" s="14"/>
      <c r="J1195" s="14"/>
      <c r="K1195" s="14"/>
      <c r="L1195" s="14"/>
      <c r="M1195" s="14"/>
      <c r="N1195" s="14"/>
      <c r="O1195" s="14"/>
      <c r="P1195" s="14"/>
      <c r="Q1195" s="14"/>
      <c r="R1195" s="14"/>
      <c r="S1195" s="14"/>
      <c r="T1195" s="14"/>
      <c r="U1195" s="14"/>
      <c r="V1195" s="14"/>
      <c r="W1195" s="14"/>
      <c r="X1195" s="14"/>
      <c r="Y1195" s="14"/>
    </row>
    <row r="1196" spans="1:25" ht="15.75" x14ac:dyDescent="0.25">
      <c r="A1196" s="21"/>
      <c r="B1196" s="21"/>
      <c r="C1196" s="21"/>
      <c r="E1196" s="21"/>
      <c r="F1196" s="21"/>
      <c r="G1196" s="14"/>
      <c r="H1196" s="14"/>
      <c r="I1196" s="14"/>
      <c r="J1196" s="14"/>
      <c r="K1196" s="14"/>
      <c r="L1196" s="14"/>
      <c r="M1196" s="14"/>
      <c r="N1196" s="14"/>
      <c r="O1196" s="14"/>
      <c r="P1196" s="14"/>
      <c r="Q1196" s="14"/>
      <c r="R1196" s="14"/>
      <c r="S1196" s="14"/>
      <c r="T1196" s="14"/>
      <c r="U1196" s="14"/>
      <c r="V1196" s="14"/>
      <c r="W1196" s="14"/>
      <c r="X1196" s="14"/>
      <c r="Y1196" s="14"/>
    </row>
    <row r="1197" spans="1:25" ht="15.75" x14ac:dyDescent="0.25">
      <c r="A1197" s="21"/>
      <c r="B1197" s="21"/>
      <c r="C1197" s="21"/>
      <c r="E1197" s="21"/>
      <c r="F1197" s="21"/>
      <c r="G1197" s="14"/>
      <c r="H1197" s="14"/>
      <c r="I1197" s="14"/>
      <c r="J1197" s="14"/>
      <c r="K1197" s="14"/>
      <c r="L1197" s="14"/>
      <c r="M1197" s="14"/>
      <c r="N1197" s="14"/>
      <c r="O1197" s="14"/>
      <c r="P1197" s="14"/>
      <c r="Q1197" s="14"/>
      <c r="R1197" s="14"/>
      <c r="S1197" s="14"/>
      <c r="T1197" s="14"/>
      <c r="U1197" s="14"/>
      <c r="V1197" s="14"/>
      <c r="W1197" s="14"/>
      <c r="X1197" s="14"/>
      <c r="Y1197" s="14"/>
    </row>
    <row r="1198" spans="1:25" ht="15.75" x14ac:dyDescent="0.25">
      <c r="A1198" s="21"/>
      <c r="B1198" s="21"/>
      <c r="C1198" s="21"/>
      <c r="E1198" s="21"/>
      <c r="F1198" s="21"/>
      <c r="G1198" s="14"/>
      <c r="H1198" s="14"/>
      <c r="I1198" s="14"/>
      <c r="J1198" s="14"/>
      <c r="K1198" s="14"/>
      <c r="L1198" s="14"/>
      <c r="M1198" s="14"/>
      <c r="N1198" s="14"/>
      <c r="O1198" s="14"/>
      <c r="P1198" s="14"/>
      <c r="Q1198" s="14"/>
      <c r="R1198" s="14"/>
      <c r="S1198" s="14"/>
      <c r="T1198" s="14"/>
      <c r="U1198" s="14"/>
      <c r="V1198" s="14"/>
      <c r="W1198" s="14"/>
      <c r="X1198" s="14"/>
      <c r="Y1198" s="14"/>
    </row>
    <row r="1199" spans="1:25" ht="15.75" x14ac:dyDescent="0.25">
      <c r="A1199" s="21"/>
      <c r="B1199" s="21"/>
      <c r="C1199" s="21"/>
      <c r="E1199" s="21"/>
      <c r="F1199" s="21"/>
      <c r="G1199" s="14"/>
      <c r="H1199" s="14"/>
      <c r="I1199" s="14"/>
      <c r="J1199" s="14"/>
      <c r="K1199" s="14"/>
      <c r="L1199" s="14"/>
      <c r="M1199" s="14"/>
      <c r="N1199" s="14"/>
      <c r="O1199" s="14"/>
      <c r="P1199" s="14"/>
      <c r="Q1199" s="14"/>
      <c r="R1199" s="14"/>
      <c r="S1199" s="14"/>
      <c r="T1199" s="14"/>
      <c r="U1199" s="14"/>
      <c r="V1199" s="14"/>
      <c r="W1199" s="14"/>
      <c r="X1199" s="14"/>
      <c r="Y1199" s="14"/>
    </row>
    <row r="1200" spans="1:25" ht="15.75" x14ac:dyDescent="0.25">
      <c r="A1200" s="21"/>
      <c r="B1200" s="21"/>
      <c r="C1200" s="21"/>
      <c r="E1200" s="21"/>
      <c r="F1200" s="21"/>
      <c r="G1200" s="14"/>
      <c r="H1200" s="14"/>
      <c r="I1200" s="14"/>
      <c r="J1200" s="14"/>
      <c r="K1200" s="14"/>
      <c r="L1200" s="14"/>
      <c r="M1200" s="14"/>
      <c r="N1200" s="14"/>
      <c r="O1200" s="14"/>
      <c r="P1200" s="14"/>
      <c r="Q1200" s="14"/>
      <c r="R1200" s="14"/>
      <c r="S1200" s="14"/>
      <c r="T1200" s="14"/>
      <c r="U1200" s="14"/>
      <c r="V1200" s="14"/>
      <c r="W1200" s="14"/>
      <c r="X1200" s="14"/>
      <c r="Y1200" s="14"/>
    </row>
    <row r="1201" spans="1:25" ht="15.75" x14ac:dyDescent="0.25">
      <c r="A1201" s="21"/>
      <c r="B1201" s="21"/>
      <c r="C1201" s="21"/>
      <c r="E1201" s="21"/>
      <c r="F1201" s="21"/>
      <c r="G1201" s="14"/>
      <c r="H1201" s="14"/>
      <c r="I1201" s="14"/>
      <c r="J1201" s="14"/>
      <c r="K1201" s="14"/>
      <c r="L1201" s="14"/>
      <c r="M1201" s="14"/>
      <c r="N1201" s="14"/>
      <c r="O1201" s="14"/>
      <c r="P1201" s="14"/>
      <c r="Q1201" s="14"/>
      <c r="R1201" s="14"/>
      <c r="S1201" s="14"/>
      <c r="T1201" s="14"/>
      <c r="U1201" s="14"/>
      <c r="V1201" s="14"/>
      <c r="W1201" s="14"/>
      <c r="X1201" s="14"/>
      <c r="Y1201" s="14"/>
    </row>
    <row r="1202" spans="1:25" ht="15.75" x14ac:dyDescent="0.25">
      <c r="A1202" s="21"/>
      <c r="B1202" s="21"/>
      <c r="C1202" s="21"/>
      <c r="E1202" s="21"/>
      <c r="F1202" s="21"/>
      <c r="G1202" s="14"/>
      <c r="H1202" s="14"/>
      <c r="I1202" s="14"/>
      <c r="J1202" s="14"/>
      <c r="K1202" s="14"/>
      <c r="L1202" s="14"/>
      <c r="M1202" s="14"/>
      <c r="N1202" s="14"/>
      <c r="O1202" s="14"/>
      <c r="P1202" s="14"/>
      <c r="Q1202" s="14"/>
      <c r="R1202" s="14"/>
      <c r="S1202" s="14"/>
      <c r="T1202" s="14"/>
      <c r="U1202" s="14"/>
      <c r="V1202" s="14"/>
      <c r="W1202" s="14"/>
      <c r="X1202" s="14"/>
      <c r="Y1202" s="14"/>
    </row>
    <row r="1203" spans="1:25" ht="15.75" x14ac:dyDescent="0.25">
      <c r="A1203" s="21"/>
      <c r="B1203" s="21"/>
      <c r="C1203" s="21"/>
      <c r="E1203" s="21"/>
      <c r="F1203" s="21"/>
      <c r="G1203" s="14"/>
      <c r="H1203" s="14"/>
      <c r="I1203" s="14"/>
      <c r="J1203" s="14"/>
      <c r="K1203" s="14"/>
      <c r="L1203" s="14"/>
      <c r="M1203" s="14"/>
      <c r="N1203" s="14"/>
      <c r="O1203" s="14"/>
      <c r="P1203" s="14"/>
      <c r="Q1203" s="14"/>
      <c r="R1203" s="14"/>
      <c r="S1203" s="14"/>
      <c r="T1203" s="14"/>
      <c r="U1203" s="14"/>
      <c r="V1203" s="14"/>
      <c r="W1203" s="14"/>
      <c r="X1203" s="14"/>
      <c r="Y1203" s="14"/>
    </row>
    <row r="1204" spans="1:25" ht="15.75" x14ac:dyDescent="0.25">
      <c r="A1204" s="21"/>
      <c r="B1204" s="21"/>
      <c r="C1204" s="21"/>
      <c r="E1204" s="21"/>
      <c r="F1204" s="21"/>
      <c r="G1204" s="14"/>
      <c r="H1204" s="14"/>
      <c r="I1204" s="14"/>
      <c r="J1204" s="14"/>
      <c r="K1204" s="14"/>
      <c r="L1204" s="14"/>
      <c r="M1204" s="14"/>
      <c r="N1204" s="14"/>
      <c r="O1204" s="14"/>
      <c r="P1204" s="14"/>
      <c r="Q1204" s="14"/>
      <c r="R1204" s="14"/>
      <c r="S1204" s="14"/>
      <c r="T1204" s="14"/>
      <c r="U1204" s="14"/>
      <c r="V1204" s="14"/>
      <c r="W1204" s="14"/>
      <c r="X1204" s="14"/>
      <c r="Y1204" s="14"/>
    </row>
    <row r="1205" spans="1:25" ht="15.75" x14ac:dyDescent="0.25">
      <c r="A1205" s="21"/>
      <c r="B1205" s="21"/>
      <c r="C1205" s="21"/>
      <c r="E1205" s="21"/>
      <c r="F1205" s="21"/>
      <c r="G1205" s="14"/>
      <c r="H1205" s="14"/>
      <c r="I1205" s="14"/>
      <c r="J1205" s="14"/>
      <c r="K1205" s="14"/>
      <c r="L1205" s="14"/>
      <c r="M1205" s="14"/>
      <c r="N1205" s="14"/>
      <c r="O1205" s="14"/>
      <c r="P1205" s="14"/>
      <c r="Q1205" s="14"/>
      <c r="R1205" s="14"/>
      <c r="S1205" s="14"/>
      <c r="T1205" s="14"/>
      <c r="U1205" s="14"/>
      <c r="V1205" s="14"/>
      <c r="W1205" s="14"/>
      <c r="X1205" s="14"/>
      <c r="Y1205" s="14"/>
    </row>
    <row r="1206" spans="1:25" ht="15.75" x14ac:dyDescent="0.25">
      <c r="A1206" s="21"/>
      <c r="B1206" s="21"/>
      <c r="C1206" s="21"/>
      <c r="E1206" s="21"/>
      <c r="F1206" s="21"/>
      <c r="G1206" s="14"/>
      <c r="H1206" s="14"/>
      <c r="I1206" s="14"/>
      <c r="J1206" s="14"/>
      <c r="K1206" s="14"/>
      <c r="L1206" s="14"/>
      <c r="M1206" s="14"/>
      <c r="N1206" s="14"/>
      <c r="O1206" s="14"/>
      <c r="P1206" s="14"/>
      <c r="Q1206" s="14"/>
      <c r="R1206" s="14"/>
      <c r="S1206" s="14"/>
      <c r="T1206" s="14"/>
      <c r="U1206" s="14"/>
      <c r="V1206" s="14"/>
      <c r="W1206" s="14"/>
      <c r="X1206" s="14"/>
      <c r="Y1206" s="14"/>
    </row>
    <row r="1207" spans="1:25" ht="15.75" x14ac:dyDescent="0.25">
      <c r="A1207" s="21"/>
      <c r="B1207" s="21"/>
      <c r="C1207" s="21"/>
      <c r="E1207" s="21"/>
      <c r="F1207" s="21"/>
      <c r="G1207" s="14"/>
      <c r="H1207" s="14"/>
      <c r="I1207" s="14"/>
      <c r="J1207" s="14"/>
      <c r="K1207" s="14"/>
      <c r="L1207" s="14"/>
      <c r="M1207" s="14"/>
      <c r="N1207" s="14"/>
      <c r="O1207" s="14"/>
      <c r="P1207" s="14"/>
      <c r="Q1207" s="14"/>
      <c r="R1207" s="14"/>
      <c r="S1207" s="14"/>
      <c r="T1207" s="14"/>
      <c r="U1207" s="14"/>
      <c r="V1207" s="14"/>
      <c r="W1207" s="14"/>
      <c r="X1207" s="14"/>
      <c r="Y1207" s="14"/>
    </row>
    <row r="1208" spans="1:25" ht="15.75" x14ac:dyDescent="0.25">
      <c r="A1208" s="21"/>
      <c r="B1208" s="21"/>
      <c r="C1208" s="21"/>
      <c r="E1208" s="21"/>
      <c r="F1208" s="21"/>
      <c r="G1208" s="14"/>
      <c r="H1208" s="14"/>
      <c r="I1208" s="14"/>
      <c r="J1208" s="14"/>
      <c r="K1208" s="14"/>
      <c r="L1208" s="14"/>
      <c r="M1208" s="14"/>
      <c r="N1208" s="14"/>
      <c r="O1208" s="14"/>
      <c r="P1208" s="14"/>
      <c r="Q1208" s="14"/>
      <c r="R1208" s="14"/>
      <c r="S1208" s="14"/>
      <c r="T1208" s="14"/>
      <c r="U1208" s="14"/>
      <c r="V1208" s="14"/>
      <c r="W1208" s="14"/>
      <c r="X1208" s="14"/>
      <c r="Y1208" s="14"/>
    </row>
    <row r="1209" spans="1:25" ht="15.75" x14ac:dyDescent="0.25">
      <c r="A1209" s="21"/>
      <c r="B1209" s="21"/>
      <c r="C1209" s="21"/>
      <c r="E1209" s="21"/>
      <c r="F1209" s="21"/>
      <c r="G1209" s="14"/>
      <c r="H1209" s="14"/>
      <c r="I1209" s="14"/>
      <c r="J1209" s="14"/>
      <c r="K1209" s="14"/>
      <c r="L1209" s="14"/>
      <c r="M1209" s="14"/>
      <c r="N1209" s="14"/>
      <c r="O1209" s="14"/>
      <c r="P1209" s="14"/>
      <c r="Q1209" s="14"/>
      <c r="R1209" s="14"/>
      <c r="S1209" s="14"/>
      <c r="T1209" s="14"/>
      <c r="U1209" s="14"/>
      <c r="V1209" s="14"/>
      <c r="W1209" s="14"/>
      <c r="X1209" s="14"/>
      <c r="Y1209" s="14"/>
    </row>
    <row r="1210" spans="1:25" ht="15.75" x14ac:dyDescent="0.25">
      <c r="A1210" s="21"/>
      <c r="B1210" s="21"/>
      <c r="C1210" s="21"/>
      <c r="E1210" s="21"/>
      <c r="F1210" s="21"/>
      <c r="G1210" s="14"/>
      <c r="H1210" s="14"/>
      <c r="I1210" s="14"/>
      <c r="J1210" s="14"/>
      <c r="K1210" s="14"/>
      <c r="L1210" s="14"/>
      <c r="M1210" s="14"/>
      <c r="N1210" s="14"/>
      <c r="O1210" s="14"/>
      <c r="P1210" s="14"/>
      <c r="Q1210" s="14"/>
      <c r="R1210" s="14"/>
      <c r="S1210" s="14"/>
      <c r="T1210" s="14"/>
      <c r="U1210" s="14"/>
      <c r="V1210" s="14"/>
      <c r="W1210" s="14"/>
      <c r="X1210" s="14"/>
      <c r="Y1210" s="14"/>
    </row>
    <row r="1211" spans="1:25" ht="15.75" x14ac:dyDescent="0.25">
      <c r="A1211" s="21"/>
      <c r="B1211" s="21"/>
      <c r="C1211" s="21"/>
      <c r="E1211" s="21"/>
      <c r="F1211" s="21"/>
      <c r="G1211" s="14"/>
      <c r="H1211" s="14"/>
      <c r="I1211" s="14"/>
      <c r="J1211" s="14"/>
      <c r="K1211" s="14"/>
      <c r="L1211" s="14"/>
      <c r="M1211" s="14"/>
      <c r="N1211" s="14"/>
      <c r="O1211" s="14"/>
      <c r="P1211" s="14"/>
      <c r="Q1211" s="14"/>
      <c r="R1211" s="14"/>
      <c r="S1211" s="14"/>
      <c r="T1211" s="14"/>
      <c r="U1211" s="14"/>
      <c r="V1211" s="14"/>
      <c r="W1211" s="14"/>
      <c r="X1211" s="14"/>
      <c r="Y1211" s="14"/>
    </row>
    <row r="1212" spans="1:25" ht="15.75" x14ac:dyDescent="0.25">
      <c r="A1212" s="21"/>
      <c r="B1212" s="21"/>
      <c r="C1212" s="21"/>
      <c r="E1212" s="21"/>
      <c r="F1212" s="21"/>
      <c r="G1212" s="14"/>
      <c r="H1212" s="14"/>
      <c r="I1212" s="14"/>
      <c r="J1212" s="14"/>
      <c r="K1212" s="14"/>
      <c r="L1212" s="14"/>
      <c r="M1212" s="14"/>
      <c r="N1212" s="14"/>
      <c r="O1212" s="14"/>
      <c r="P1212" s="14"/>
      <c r="Q1212" s="14"/>
      <c r="R1212" s="14"/>
      <c r="S1212" s="14"/>
      <c r="T1212" s="14"/>
      <c r="U1212" s="14"/>
      <c r="V1212" s="14"/>
      <c r="W1212" s="14"/>
      <c r="X1212" s="14"/>
      <c r="Y1212" s="14"/>
    </row>
    <row r="1213" spans="1:25" ht="15.75" x14ac:dyDescent="0.25">
      <c r="A1213" s="21"/>
      <c r="B1213" s="21"/>
      <c r="C1213" s="21"/>
      <c r="E1213" s="21"/>
      <c r="F1213" s="21"/>
      <c r="G1213" s="14"/>
      <c r="H1213" s="14"/>
      <c r="I1213" s="14"/>
      <c r="J1213" s="14"/>
      <c r="K1213" s="14"/>
      <c r="L1213" s="14"/>
      <c r="M1213" s="14"/>
      <c r="N1213" s="14"/>
      <c r="O1213" s="14"/>
      <c r="P1213" s="14"/>
      <c r="Q1213" s="14"/>
      <c r="R1213" s="14"/>
      <c r="S1213" s="14"/>
      <c r="T1213" s="14"/>
      <c r="U1213" s="14"/>
      <c r="V1213" s="14"/>
      <c r="W1213" s="14"/>
      <c r="X1213" s="14"/>
      <c r="Y1213" s="14"/>
    </row>
    <row r="1214" spans="1:25" ht="15.75" x14ac:dyDescent="0.25">
      <c r="A1214" s="21"/>
      <c r="B1214" s="21"/>
      <c r="C1214" s="21"/>
      <c r="E1214" s="21"/>
      <c r="F1214" s="21"/>
      <c r="G1214" s="14"/>
      <c r="H1214" s="14"/>
      <c r="I1214" s="14"/>
      <c r="J1214" s="14"/>
      <c r="K1214" s="14"/>
      <c r="L1214" s="14"/>
      <c r="M1214" s="14"/>
      <c r="N1214" s="14"/>
      <c r="O1214" s="14"/>
      <c r="P1214" s="14"/>
      <c r="Q1214" s="14"/>
      <c r="R1214" s="14"/>
      <c r="S1214" s="14"/>
      <c r="T1214" s="14"/>
      <c r="U1214" s="14"/>
      <c r="V1214" s="14"/>
      <c r="W1214" s="14"/>
      <c r="X1214" s="14"/>
      <c r="Y1214" s="14"/>
    </row>
    <row r="1215" spans="1:25" ht="15.75" x14ac:dyDescent="0.25">
      <c r="A1215" s="21"/>
      <c r="B1215" s="21"/>
      <c r="C1215" s="21"/>
      <c r="E1215" s="21"/>
      <c r="F1215" s="21"/>
      <c r="G1215" s="14"/>
      <c r="H1215" s="14"/>
      <c r="I1215" s="14"/>
      <c r="J1215" s="14"/>
      <c r="K1215" s="14"/>
      <c r="L1215" s="14"/>
      <c r="M1215" s="14"/>
      <c r="N1215" s="14"/>
      <c r="O1215" s="14"/>
      <c r="P1215" s="14"/>
      <c r="Q1215" s="14"/>
      <c r="R1215" s="14"/>
      <c r="S1215" s="14"/>
      <c r="T1215" s="14"/>
      <c r="U1215" s="14"/>
      <c r="V1215" s="14"/>
      <c r="W1215" s="14"/>
      <c r="X1215" s="14"/>
      <c r="Y1215" s="14"/>
    </row>
    <row r="1216" spans="1:25" ht="15.75" x14ac:dyDescent="0.25">
      <c r="A1216" s="21"/>
      <c r="B1216" s="21"/>
      <c r="C1216" s="21"/>
      <c r="E1216" s="21"/>
      <c r="F1216" s="21"/>
      <c r="G1216" s="14"/>
      <c r="H1216" s="14"/>
      <c r="I1216" s="14"/>
      <c r="J1216" s="14"/>
      <c r="K1216" s="14"/>
      <c r="L1216" s="14"/>
      <c r="M1216" s="14"/>
      <c r="N1216" s="14"/>
      <c r="O1216" s="14"/>
      <c r="P1216" s="14"/>
      <c r="Q1216" s="14"/>
      <c r="R1216" s="14"/>
      <c r="S1216" s="14"/>
      <c r="T1216" s="14"/>
      <c r="U1216" s="14"/>
      <c r="V1216" s="14"/>
      <c r="W1216" s="14"/>
      <c r="X1216" s="14"/>
      <c r="Y1216" s="14"/>
    </row>
    <row r="1217" spans="1:25" ht="15.75" x14ac:dyDescent="0.25">
      <c r="A1217" s="21"/>
      <c r="B1217" s="21"/>
      <c r="C1217" s="21"/>
      <c r="E1217" s="21"/>
      <c r="F1217" s="21"/>
      <c r="G1217" s="14"/>
      <c r="H1217" s="14"/>
      <c r="I1217" s="14"/>
      <c r="J1217" s="14"/>
      <c r="K1217" s="14"/>
      <c r="L1217" s="14"/>
      <c r="M1217" s="14"/>
      <c r="N1217" s="14"/>
      <c r="O1217" s="14"/>
      <c r="P1217" s="14"/>
      <c r="Q1217" s="14"/>
      <c r="R1217" s="14"/>
      <c r="S1217" s="14"/>
      <c r="T1217" s="14"/>
      <c r="U1217" s="14"/>
      <c r="V1217" s="14"/>
      <c r="W1217" s="14"/>
      <c r="X1217" s="14"/>
      <c r="Y1217" s="14"/>
    </row>
    <row r="1218" spans="1:25" ht="15.75" x14ac:dyDescent="0.25">
      <c r="A1218" s="21"/>
      <c r="B1218" s="21"/>
      <c r="C1218" s="21"/>
      <c r="E1218" s="21"/>
      <c r="F1218" s="21"/>
      <c r="G1218" s="14"/>
      <c r="H1218" s="14"/>
      <c r="I1218" s="14"/>
      <c r="J1218" s="14"/>
      <c r="K1218" s="14"/>
      <c r="L1218" s="14"/>
      <c r="M1218" s="14"/>
      <c r="N1218" s="14"/>
      <c r="O1218" s="14"/>
      <c r="P1218" s="14"/>
      <c r="Q1218" s="14"/>
      <c r="R1218" s="14"/>
      <c r="S1218" s="14"/>
      <c r="T1218" s="14"/>
      <c r="U1218" s="14"/>
      <c r="V1218" s="14"/>
      <c r="W1218" s="14"/>
      <c r="X1218" s="14"/>
      <c r="Y1218" s="14"/>
    </row>
    <row r="1219" spans="1:25" ht="15.75" x14ac:dyDescent="0.25">
      <c r="A1219" s="21"/>
      <c r="B1219" s="21"/>
      <c r="C1219" s="21"/>
      <c r="E1219" s="21"/>
      <c r="F1219" s="21"/>
      <c r="G1219" s="14"/>
      <c r="H1219" s="14"/>
      <c r="I1219" s="14"/>
      <c r="J1219" s="14"/>
      <c r="K1219" s="14"/>
      <c r="L1219" s="14"/>
      <c r="M1219" s="14"/>
      <c r="N1219" s="14"/>
      <c r="O1219" s="14"/>
      <c r="P1219" s="14"/>
      <c r="Q1219" s="14"/>
      <c r="R1219" s="14"/>
      <c r="S1219" s="14"/>
      <c r="T1219" s="14"/>
      <c r="U1219" s="14"/>
      <c r="V1219" s="14"/>
      <c r="W1219" s="14"/>
      <c r="X1219" s="14"/>
      <c r="Y1219" s="14"/>
    </row>
    <row r="1220" spans="1:25" ht="15.75" x14ac:dyDescent="0.25">
      <c r="A1220" s="21"/>
      <c r="B1220" s="21"/>
      <c r="C1220" s="21"/>
      <c r="E1220" s="21"/>
      <c r="F1220" s="21"/>
      <c r="G1220" s="14"/>
      <c r="H1220" s="14"/>
      <c r="I1220" s="14"/>
      <c r="J1220" s="14"/>
      <c r="K1220" s="14"/>
      <c r="L1220" s="14"/>
      <c r="M1220" s="14"/>
      <c r="N1220" s="14"/>
      <c r="O1220" s="14"/>
      <c r="P1220" s="14"/>
      <c r="Q1220" s="14"/>
      <c r="R1220" s="14"/>
      <c r="S1220" s="14"/>
      <c r="T1220" s="14"/>
      <c r="U1220" s="14"/>
      <c r="V1220" s="14"/>
      <c r="W1220" s="14"/>
      <c r="X1220" s="14"/>
      <c r="Y1220" s="14"/>
    </row>
    <row r="1221" spans="1:25" ht="15.75" x14ac:dyDescent="0.25">
      <c r="A1221" s="21"/>
      <c r="B1221" s="21"/>
      <c r="C1221" s="21"/>
      <c r="E1221" s="21"/>
      <c r="F1221" s="21"/>
      <c r="G1221" s="14"/>
      <c r="H1221" s="14"/>
      <c r="I1221" s="14"/>
      <c r="J1221" s="14"/>
      <c r="K1221" s="14"/>
      <c r="L1221" s="14"/>
      <c r="M1221" s="14"/>
      <c r="N1221" s="14"/>
      <c r="O1221" s="14"/>
      <c r="P1221" s="14"/>
      <c r="Q1221" s="14"/>
      <c r="R1221" s="14"/>
      <c r="S1221" s="14"/>
      <c r="T1221" s="14"/>
      <c r="U1221" s="14"/>
      <c r="V1221" s="14"/>
      <c r="W1221" s="14"/>
      <c r="X1221" s="14"/>
      <c r="Y1221" s="14"/>
    </row>
    <row r="1222" spans="1:25" ht="15.75" x14ac:dyDescent="0.25">
      <c r="A1222" s="21"/>
      <c r="B1222" s="21"/>
      <c r="C1222" s="21"/>
      <c r="E1222" s="21"/>
      <c r="F1222" s="21"/>
      <c r="G1222" s="14"/>
      <c r="H1222" s="14"/>
      <c r="I1222" s="14"/>
      <c r="J1222" s="14"/>
      <c r="K1222" s="14"/>
      <c r="L1222" s="14"/>
      <c r="M1222" s="14"/>
      <c r="N1222" s="14"/>
      <c r="O1222" s="14"/>
      <c r="P1222" s="14"/>
      <c r="Q1222" s="14"/>
      <c r="R1222" s="14"/>
      <c r="S1222" s="14"/>
      <c r="T1222" s="14"/>
      <c r="U1222" s="14"/>
      <c r="V1222" s="14"/>
      <c r="W1222" s="14"/>
      <c r="X1222" s="14"/>
      <c r="Y1222" s="14"/>
    </row>
    <row r="1223" spans="1:25" ht="15.75" x14ac:dyDescent="0.25">
      <c r="A1223" s="21"/>
      <c r="B1223" s="21"/>
      <c r="C1223" s="21"/>
      <c r="E1223" s="21"/>
      <c r="F1223" s="21"/>
      <c r="G1223" s="14"/>
      <c r="H1223" s="14"/>
      <c r="I1223" s="14"/>
      <c r="J1223" s="14"/>
      <c r="K1223" s="14"/>
      <c r="L1223" s="14"/>
      <c r="M1223" s="14"/>
      <c r="N1223" s="14"/>
      <c r="O1223" s="14"/>
      <c r="P1223" s="14"/>
      <c r="Q1223" s="14"/>
      <c r="R1223" s="14"/>
      <c r="S1223" s="14"/>
      <c r="T1223" s="14"/>
      <c r="U1223" s="14"/>
      <c r="V1223" s="14"/>
      <c r="W1223" s="14"/>
      <c r="X1223" s="14"/>
      <c r="Y1223" s="14"/>
    </row>
    <row r="1224" spans="1:25" ht="15.75" x14ac:dyDescent="0.25">
      <c r="A1224" s="21"/>
      <c r="B1224" s="21"/>
      <c r="C1224" s="21"/>
      <c r="E1224" s="21"/>
      <c r="F1224" s="21"/>
      <c r="G1224" s="14"/>
      <c r="H1224" s="14"/>
      <c r="I1224" s="14"/>
      <c r="J1224" s="14"/>
      <c r="K1224" s="14"/>
      <c r="L1224" s="14"/>
      <c r="M1224" s="14"/>
      <c r="N1224" s="14"/>
      <c r="O1224" s="14"/>
      <c r="P1224" s="14"/>
      <c r="Q1224" s="14"/>
      <c r="R1224" s="14"/>
      <c r="S1224" s="14"/>
      <c r="T1224" s="14"/>
      <c r="U1224" s="14"/>
      <c r="V1224" s="14"/>
      <c r="W1224" s="14"/>
      <c r="X1224" s="14"/>
      <c r="Y1224" s="14"/>
    </row>
    <row r="1225" spans="1:25" ht="15.75" x14ac:dyDescent="0.25">
      <c r="A1225" s="21"/>
      <c r="B1225" s="21"/>
      <c r="C1225" s="21"/>
      <c r="E1225" s="21"/>
      <c r="F1225" s="21"/>
      <c r="G1225" s="14"/>
      <c r="H1225" s="14"/>
      <c r="I1225" s="14"/>
      <c r="J1225" s="14"/>
      <c r="K1225" s="14"/>
      <c r="L1225" s="14"/>
      <c r="M1225" s="14"/>
      <c r="N1225" s="14"/>
      <c r="O1225" s="14"/>
      <c r="P1225" s="14"/>
      <c r="Q1225" s="14"/>
      <c r="R1225" s="14"/>
      <c r="S1225" s="14"/>
      <c r="T1225" s="14"/>
      <c r="U1225" s="14"/>
      <c r="V1225" s="14"/>
      <c r="W1225" s="14"/>
      <c r="X1225" s="14"/>
      <c r="Y1225" s="14"/>
    </row>
    <row r="1226" spans="1:25" ht="15.75" x14ac:dyDescent="0.25">
      <c r="A1226" s="21"/>
      <c r="B1226" s="21"/>
      <c r="C1226" s="21"/>
      <c r="E1226" s="21"/>
      <c r="F1226" s="21"/>
      <c r="G1226" s="14"/>
      <c r="H1226" s="14"/>
      <c r="I1226" s="14"/>
      <c r="J1226" s="14"/>
      <c r="K1226" s="14"/>
      <c r="L1226" s="14"/>
      <c r="M1226" s="14"/>
      <c r="N1226" s="14"/>
      <c r="O1226" s="14"/>
      <c r="P1226" s="14"/>
      <c r="Q1226" s="14"/>
      <c r="R1226" s="14"/>
      <c r="S1226" s="14"/>
      <c r="T1226" s="14"/>
      <c r="U1226" s="14"/>
      <c r="V1226" s="14"/>
      <c r="W1226" s="14"/>
      <c r="X1226" s="14"/>
      <c r="Y1226" s="14"/>
    </row>
    <row r="1227" spans="1:25" ht="15.75" x14ac:dyDescent="0.25">
      <c r="A1227" s="21"/>
      <c r="B1227" s="21"/>
      <c r="C1227" s="21"/>
      <c r="E1227" s="21"/>
      <c r="F1227" s="21"/>
      <c r="G1227" s="14"/>
      <c r="H1227" s="14"/>
      <c r="I1227" s="14"/>
      <c r="J1227" s="14"/>
      <c r="K1227" s="14"/>
      <c r="L1227" s="14"/>
      <c r="M1227" s="14"/>
      <c r="N1227" s="14"/>
      <c r="O1227" s="14"/>
      <c r="P1227" s="14"/>
      <c r="Q1227" s="14"/>
      <c r="R1227" s="14"/>
      <c r="S1227" s="14"/>
      <c r="T1227" s="14"/>
      <c r="U1227" s="14"/>
      <c r="V1227" s="14"/>
      <c r="W1227" s="14"/>
      <c r="X1227" s="14"/>
      <c r="Y1227" s="14"/>
    </row>
    <row r="1228" spans="1:25" ht="15.75" x14ac:dyDescent="0.25">
      <c r="A1228" s="21"/>
      <c r="B1228" s="21"/>
      <c r="C1228" s="21"/>
      <c r="E1228" s="21"/>
      <c r="F1228" s="21"/>
      <c r="G1228" s="14"/>
      <c r="H1228" s="14"/>
      <c r="I1228" s="14"/>
      <c r="J1228" s="14"/>
      <c r="K1228" s="14"/>
      <c r="L1228" s="14"/>
      <c r="M1228" s="14"/>
      <c r="N1228" s="14"/>
      <c r="O1228" s="14"/>
      <c r="P1228" s="14"/>
      <c r="Q1228" s="14"/>
      <c r="R1228" s="14"/>
      <c r="S1228" s="14"/>
      <c r="T1228" s="14"/>
      <c r="U1228" s="14"/>
      <c r="V1228" s="14"/>
      <c r="W1228" s="14"/>
      <c r="X1228" s="14"/>
      <c r="Y1228" s="14"/>
    </row>
    <row r="1229" spans="1:25" ht="15.75" x14ac:dyDescent="0.25">
      <c r="A1229" s="21"/>
      <c r="B1229" s="21"/>
      <c r="C1229" s="21"/>
      <c r="E1229" s="21"/>
      <c r="F1229" s="21"/>
      <c r="G1229" s="14"/>
      <c r="H1229" s="14"/>
      <c r="I1229" s="14"/>
      <c r="J1229" s="14"/>
      <c r="K1229" s="14"/>
      <c r="L1229" s="14"/>
      <c r="M1229" s="14"/>
      <c r="N1229" s="14"/>
      <c r="O1229" s="14"/>
      <c r="P1229" s="14"/>
      <c r="Q1229" s="14"/>
      <c r="R1229" s="14"/>
      <c r="S1229" s="14"/>
      <c r="T1229" s="14"/>
      <c r="U1229" s="14"/>
      <c r="V1229" s="14"/>
      <c r="W1229" s="14"/>
      <c r="X1229" s="14"/>
      <c r="Y1229" s="14"/>
    </row>
    <row r="1230" spans="1:25" ht="15.75" x14ac:dyDescent="0.25">
      <c r="A1230" s="21"/>
      <c r="B1230" s="21"/>
      <c r="C1230" s="21"/>
      <c r="E1230" s="21"/>
      <c r="F1230" s="21"/>
      <c r="G1230" s="14"/>
      <c r="H1230" s="14"/>
      <c r="I1230" s="14"/>
      <c r="J1230" s="14"/>
      <c r="K1230" s="14"/>
      <c r="L1230" s="14"/>
      <c r="M1230" s="14"/>
      <c r="N1230" s="14"/>
      <c r="O1230" s="14"/>
      <c r="P1230" s="14"/>
      <c r="Q1230" s="14"/>
      <c r="R1230" s="14"/>
      <c r="S1230" s="14"/>
      <c r="T1230" s="14"/>
      <c r="U1230" s="14"/>
      <c r="V1230" s="14"/>
      <c r="W1230" s="14"/>
      <c r="X1230" s="14"/>
      <c r="Y1230" s="14"/>
    </row>
    <row r="1231" spans="1:25" ht="15.75" x14ac:dyDescent="0.25">
      <c r="A1231" s="21"/>
      <c r="B1231" s="21"/>
      <c r="C1231" s="21"/>
      <c r="E1231" s="21"/>
      <c r="F1231" s="21"/>
      <c r="G1231" s="14"/>
      <c r="H1231" s="14"/>
      <c r="I1231" s="14"/>
      <c r="J1231" s="14"/>
      <c r="K1231" s="14"/>
      <c r="L1231" s="14"/>
      <c r="M1231" s="14"/>
      <c r="N1231" s="14"/>
      <c r="O1231" s="14"/>
      <c r="P1231" s="14"/>
      <c r="Q1231" s="14"/>
      <c r="R1231" s="14"/>
      <c r="S1231" s="14"/>
      <c r="T1231" s="14"/>
      <c r="U1231" s="14"/>
      <c r="V1231" s="14"/>
      <c r="W1231" s="14"/>
      <c r="X1231" s="14"/>
      <c r="Y1231" s="14"/>
    </row>
    <row r="1232" spans="1:25" ht="15.75" x14ac:dyDescent="0.25">
      <c r="A1232" s="21"/>
      <c r="B1232" s="21"/>
      <c r="C1232" s="21"/>
      <c r="E1232" s="21"/>
      <c r="F1232" s="21"/>
      <c r="G1232" s="14"/>
      <c r="H1232" s="14"/>
      <c r="I1232" s="14"/>
      <c r="J1232" s="14"/>
      <c r="K1232" s="14"/>
      <c r="L1232" s="14"/>
      <c r="M1232" s="14"/>
      <c r="N1232" s="14"/>
      <c r="O1232" s="14"/>
      <c r="P1232" s="14"/>
      <c r="Q1232" s="14"/>
      <c r="R1232" s="14"/>
      <c r="S1232" s="14"/>
      <c r="T1232" s="14"/>
      <c r="U1232" s="14"/>
      <c r="V1232" s="14"/>
      <c r="W1232" s="14"/>
      <c r="X1232" s="14"/>
      <c r="Y1232" s="14"/>
    </row>
    <row r="1233" spans="1:25" ht="15.75" x14ac:dyDescent="0.25">
      <c r="A1233" s="21"/>
      <c r="B1233" s="21"/>
      <c r="C1233" s="21"/>
      <c r="E1233" s="21"/>
      <c r="F1233" s="21"/>
      <c r="G1233" s="14"/>
      <c r="H1233" s="14"/>
      <c r="I1233" s="14"/>
      <c r="J1233" s="14"/>
      <c r="K1233" s="14"/>
      <c r="L1233" s="14"/>
      <c r="M1233" s="14"/>
      <c r="N1233" s="14"/>
      <c r="O1233" s="14"/>
      <c r="P1233" s="14"/>
      <c r="Q1233" s="14"/>
      <c r="R1233" s="14"/>
      <c r="S1233" s="14"/>
      <c r="T1233" s="14"/>
      <c r="U1233" s="14"/>
      <c r="V1233" s="14"/>
      <c r="W1233" s="14"/>
      <c r="X1233" s="14"/>
      <c r="Y1233" s="14"/>
    </row>
    <row r="1234" spans="1:25" ht="15.75" x14ac:dyDescent="0.25">
      <c r="A1234" s="21"/>
      <c r="B1234" s="21"/>
      <c r="C1234" s="21"/>
      <c r="E1234" s="21"/>
      <c r="F1234" s="21"/>
      <c r="G1234" s="14"/>
      <c r="H1234" s="14"/>
      <c r="I1234" s="14"/>
      <c r="J1234" s="14"/>
      <c r="K1234" s="14"/>
      <c r="L1234" s="14"/>
      <c r="M1234" s="14"/>
      <c r="N1234" s="14"/>
      <c r="O1234" s="14"/>
      <c r="P1234" s="14"/>
      <c r="Q1234" s="14"/>
      <c r="R1234" s="14"/>
      <c r="S1234" s="14"/>
      <c r="T1234" s="14"/>
      <c r="U1234" s="14"/>
      <c r="V1234" s="14"/>
      <c r="W1234" s="14"/>
      <c r="X1234" s="14"/>
      <c r="Y1234" s="14"/>
    </row>
    <row r="1235" spans="1:25" ht="15.75" x14ac:dyDescent="0.25">
      <c r="A1235" s="21"/>
      <c r="B1235" s="21"/>
      <c r="C1235" s="21"/>
      <c r="E1235" s="21"/>
      <c r="F1235" s="21"/>
      <c r="G1235" s="14"/>
      <c r="H1235" s="14"/>
      <c r="I1235" s="14"/>
      <c r="J1235" s="14"/>
      <c r="K1235" s="14"/>
      <c r="L1235" s="14"/>
      <c r="M1235" s="14"/>
      <c r="N1235" s="14"/>
      <c r="O1235" s="14"/>
      <c r="P1235" s="14"/>
      <c r="Q1235" s="14"/>
      <c r="R1235" s="14"/>
      <c r="S1235" s="14"/>
      <c r="T1235" s="14"/>
      <c r="U1235" s="14"/>
      <c r="V1235" s="14"/>
      <c r="W1235" s="14"/>
      <c r="X1235" s="14"/>
      <c r="Y1235" s="14"/>
    </row>
    <row r="1236" spans="1:25" ht="15.75" x14ac:dyDescent="0.25">
      <c r="A1236" s="21"/>
      <c r="B1236" s="21"/>
      <c r="C1236" s="21"/>
      <c r="E1236" s="21"/>
      <c r="F1236" s="21"/>
      <c r="G1236" s="14"/>
      <c r="H1236" s="14"/>
      <c r="I1236" s="14"/>
      <c r="J1236" s="14"/>
      <c r="K1236" s="14"/>
      <c r="L1236" s="14"/>
      <c r="M1236" s="14"/>
      <c r="N1236" s="14"/>
      <c r="O1236" s="14"/>
      <c r="P1236" s="14"/>
      <c r="Q1236" s="14"/>
      <c r="R1236" s="14"/>
      <c r="S1236" s="14"/>
      <c r="T1236" s="14"/>
      <c r="U1236" s="14"/>
      <c r="V1236" s="14"/>
      <c r="W1236" s="14"/>
      <c r="X1236" s="14"/>
      <c r="Y1236" s="14"/>
    </row>
    <row r="1237" spans="1:25" ht="15.75" x14ac:dyDescent="0.25">
      <c r="A1237" s="21"/>
      <c r="B1237" s="21"/>
      <c r="C1237" s="21"/>
      <c r="E1237" s="21"/>
      <c r="F1237" s="21"/>
      <c r="G1237" s="14"/>
      <c r="H1237" s="14"/>
      <c r="I1237" s="14"/>
      <c r="J1237" s="14"/>
      <c r="K1237" s="14"/>
      <c r="L1237" s="14"/>
      <c r="M1237" s="14"/>
      <c r="N1237" s="14"/>
      <c r="O1237" s="14"/>
      <c r="P1237" s="14"/>
      <c r="Q1237" s="14"/>
      <c r="R1237" s="14"/>
      <c r="S1237" s="14"/>
      <c r="T1237" s="14"/>
      <c r="U1237" s="14"/>
      <c r="V1237" s="14"/>
      <c r="W1237" s="14"/>
      <c r="X1237" s="14"/>
      <c r="Y1237" s="14"/>
    </row>
    <row r="1238" spans="1:25" ht="15.75" x14ac:dyDescent="0.25">
      <c r="A1238" s="21"/>
      <c r="B1238" s="21"/>
      <c r="C1238" s="21"/>
      <c r="E1238" s="21"/>
      <c r="F1238" s="21"/>
      <c r="G1238" s="14"/>
      <c r="H1238" s="14"/>
      <c r="I1238" s="14"/>
      <c r="J1238" s="14"/>
      <c r="K1238" s="14"/>
      <c r="L1238" s="14"/>
      <c r="M1238" s="14"/>
      <c r="N1238" s="14"/>
      <c r="O1238" s="14"/>
      <c r="P1238" s="14"/>
      <c r="Q1238" s="14"/>
      <c r="R1238" s="14"/>
      <c r="S1238" s="14"/>
      <c r="T1238" s="14"/>
      <c r="U1238" s="14"/>
      <c r="V1238" s="14"/>
      <c r="W1238" s="14"/>
      <c r="X1238" s="14"/>
      <c r="Y1238" s="14"/>
    </row>
    <row r="1239" spans="1:25" ht="15.75" x14ac:dyDescent="0.25">
      <c r="A1239" s="21"/>
      <c r="B1239" s="21"/>
      <c r="C1239" s="21"/>
      <c r="E1239" s="21"/>
      <c r="F1239" s="21"/>
      <c r="G1239" s="14"/>
      <c r="H1239" s="14"/>
      <c r="I1239" s="14"/>
      <c r="J1239" s="14"/>
      <c r="K1239" s="14"/>
      <c r="L1239" s="14"/>
      <c r="M1239" s="14"/>
      <c r="N1239" s="14"/>
      <c r="O1239" s="14"/>
      <c r="P1239" s="14"/>
      <c r="Q1239" s="14"/>
      <c r="R1239" s="14"/>
      <c r="S1239" s="14"/>
      <c r="T1239" s="14"/>
      <c r="U1239" s="14"/>
      <c r="V1239" s="14"/>
      <c r="W1239" s="14"/>
      <c r="X1239" s="14"/>
      <c r="Y1239" s="14"/>
    </row>
    <row r="1240" spans="1:25" ht="15.75" x14ac:dyDescent="0.25">
      <c r="A1240" s="21"/>
      <c r="B1240" s="21"/>
      <c r="C1240" s="21"/>
      <c r="E1240" s="21"/>
      <c r="F1240" s="21"/>
      <c r="G1240" s="14"/>
      <c r="H1240" s="14"/>
      <c r="I1240" s="14"/>
      <c r="J1240" s="14"/>
      <c r="K1240" s="14"/>
      <c r="L1240" s="14"/>
      <c r="M1240" s="14"/>
      <c r="N1240" s="14"/>
      <c r="O1240" s="14"/>
      <c r="P1240" s="14"/>
      <c r="Q1240" s="14"/>
      <c r="R1240" s="14"/>
      <c r="S1240" s="14"/>
      <c r="T1240" s="14"/>
      <c r="U1240" s="14"/>
      <c r="V1240" s="14"/>
      <c r="W1240" s="14"/>
      <c r="X1240" s="14"/>
      <c r="Y1240" s="14"/>
    </row>
    <row r="1241" spans="1:25" ht="15.75" x14ac:dyDescent="0.25">
      <c r="A1241" s="21"/>
      <c r="B1241" s="21"/>
      <c r="C1241" s="21"/>
      <c r="E1241" s="21"/>
      <c r="F1241" s="21"/>
      <c r="G1241" s="14"/>
      <c r="H1241" s="14"/>
      <c r="I1241" s="14"/>
      <c r="J1241" s="14"/>
      <c r="K1241" s="14"/>
      <c r="L1241" s="14"/>
      <c r="M1241" s="14"/>
      <c r="N1241" s="14"/>
      <c r="O1241" s="14"/>
      <c r="P1241" s="14"/>
      <c r="Q1241" s="14"/>
      <c r="R1241" s="14"/>
      <c r="S1241" s="14"/>
      <c r="T1241" s="14"/>
      <c r="U1241" s="14"/>
      <c r="V1241" s="14"/>
      <c r="W1241" s="14"/>
      <c r="X1241" s="14"/>
      <c r="Y1241" s="14"/>
    </row>
    <row r="1242" spans="1:25" ht="15.75" x14ac:dyDescent="0.25">
      <c r="A1242" s="21"/>
      <c r="B1242" s="21"/>
      <c r="C1242" s="21"/>
      <c r="E1242" s="21"/>
      <c r="F1242" s="21"/>
      <c r="G1242" s="14"/>
      <c r="H1242" s="14"/>
      <c r="I1242" s="14"/>
      <c r="J1242" s="14"/>
      <c r="K1242" s="14"/>
      <c r="L1242" s="14"/>
      <c r="M1242" s="14"/>
      <c r="N1242" s="14"/>
      <c r="O1242" s="14"/>
      <c r="P1242" s="14"/>
      <c r="Q1242" s="14"/>
      <c r="R1242" s="14"/>
      <c r="S1242" s="14"/>
      <c r="T1242" s="14"/>
      <c r="U1242" s="14"/>
      <c r="V1242" s="14"/>
      <c r="W1242" s="14"/>
      <c r="X1242" s="14"/>
      <c r="Y1242" s="14"/>
    </row>
    <row r="1243" spans="1:25" ht="15.75" x14ac:dyDescent="0.25">
      <c r="A1243" s="21"/>
      <c r="B1243" s="21"/>
      <c r="C1243" s="21"/>
      <c r="E1243" s="21"/>
      <c r="F1243" s="21"/>
      <c r="G1243" s="14"/>
      <c r="H1243" s="14"/>
      <c r="I1243" s="14"/>
      <c r="J1243" s="14"/>
      <c r="K1243" s="14"/>
      <c r="L1243" s="14"/>
      <c r="M1243" s="14"/>
      <c r="N1243" s="14"/>
      <c r="O1243" s="14"/>
      <c r="P1243" s="14"/>
      <c r="Q1243" s="14"/>
      <c r="R1243" s="14"/>
      <c r="S1243" s="14"/>
      <c r="T1243" s="14"/>
      <c r="U1243" s="14"/>
      <c r="V1243" s="14"/>
      <c r="W1243" s="14"/>
      <c r="X1243" s="14"/>
      <c r="Y1243" s="14"/>
    </row>
    <row r="1244" spans="1:25" ht="15.75" x14ac:dyDescent="0.25">
      <c r="A1244" s="21"/>
      <c r="B1244" s="21"/>
      <c r="C1244" s="21"/>
      <c r="E1244" s="21"/>
      <c r="F1244" s="21"/>
      <c r="G1244" s="14"/>
      <c r="H1244" s="14"/>
      <c r="I1244" s="14"/>
      <c r="J1244" s="14"/>
      <c r="K1244" s="14"/>
      <c r="L1244" s="14"/>
      <c r="M1244" s="14"/>
      <c r="N1244" s="14"/>
      <c r="O1244" s="14"/>
      <c r="P1244" s="14"/>
      <c r="Q1244" s="14"/>
      <c r="R1244" s="14"/>
      <c r="S1244" s="14"/>
      <c r="T1244" s="14"/>
      <c r="U1244" s="14"/>
      <c r="V1244" s="14"/>
      <c r="W1244" s="14"/>
      <c r="X1244" s="14"/>
      <c r="Y1244" s="14"/>
    </row>
    <row r="1245" spans="1:25" ht="15.75" x14ac:dyDescent="0.25">
      <c r="A1245" s="21"/>
      <c r="B1245" s="21"/>
      <c r="C1245" s="21"/>
      <c r="E1245" s="21"/>
      <c r="F1245" s="21"/>
      <c r="G1245" s="14"/>
      <c r="H1245" s="14"/>
      <c r="I1245" s="14"/>
      <c r="J1245" s="14"/>
      <c r="K1245" s="14"/>
      <c r="L1245" s="14"/>
      <c r="M1245" s="14"/>
      <c r="N1245" s="14"/>
      <c r="O1245" s="14"/>
      <c r="P1245" s="14"/>
      <c r="Q1245" s="14"/>
      <c r="R1245" s="14"/>
      <c r="S1245" s="14"/>
      <c r="T1245" s="14"/>
      <c r="U1245" s="14"/>
      <c r="V1245" s="14"/>
      <c r="W1245" s="14"/>
      <c r="X1245" s="14"/>
      <c r="Y1245" s="14"/>
    </row>
    <row r="1246" spans="1:25" ht="15.75" x14ac:dyDescent="0.25">
      <c r="A1246" s="21"/>
      <c r="B1246" s="21"/>
      <c r="C1246" s="21"/>
      <c r="E1246" s="21"/>
      <c r="F1246" s="21"/>
      <c r="G1246" s="14"/>
      <c r="H1246" s="14"/>
      <c r="I1246" s="14"/>
      <c r="J1246" s="14"/>
      <c r="K1246" s="14"/>
      <c r="L1246" s="14"/>
      <c r="M1246" s="14"/>
      <c r="N1246" s="14"/>
      <c r="O1246" s="14"/>
      <c r="P1246" s="14"/>
      <c r="Q1246" s="14"/>
      <c r="R1246" s="14"/>
      <c r="S1246" s="14"/>
      <c r="T1246" s="14"/>
      <c r="U1246" s="14"/>
      <c r="V1246" s="14"/>
      <c r="W1246" s="14"/>
      <c r="X1246" s="14"/>
      <c r="Y1246" s="14"/>
    </row>
    <row r="1247" spans="1:25" ht="15.75" x14ac:dyDescent="0.25">
      <c r="A1247" s="21"/>
      <c r="B1247" s="21"/>
      <c r="C1247" s="21"/>
      <c r="E1247" s="21"/>
      <c r="F1247" s="21"/>
      <c r="G1247" s="14"/>
      <c r="H1247" s="14"/>
      <c r="I1247" s="14"/>
      <c r="J1247" s="14"/>
      <c r="K1247" s="14"/>
      <c r="L1247" s="14"/>
      <c r="M1247" s="14"/>
      <c r="N1247" s="14"/>
      <c r="O1247" s="14"/>
      <c r="P1247" s="14"/>
      <c r="Q1247" s="14"/>
      <c r="R1247" s="14"/>
      <c r="S1247" s="14"/>
      <c r="T1247" s="14"/>
      <c r="U1247" s="14"/>
      <c r="V1247" s="14"/>
      <c r="W1247" s="14"/>
      <c r="X1247" s="14"/>
      <c r="Y1247" s="14"/>
    </row>
    <row r="1248" spans="1:25" ht="15.75" x14ac:dyDescent="0.25">
      <c r="A1248" s="21"/>
      <c r="B1248" s="21"/>
      <c r="C1248" s="21"/>
      <c r="E1248" s="21"/>
      <c r="F1248" s="21"/>
      <c r="G1248" s="14"/>
      <c r="H1248" s="14"/>
      <c r="I1248" s="14"/>
      <c r="J1248" s="14"/>
      <c r="K1248" s="14"/>
      <c r="L1248" s="14"/>
      <c r="M1248" s="14"/>
      <c r="N1248" s="14"/>
      <c r="O1248" s="14"/>
      <c r="P1248" s="14"/>
      <c r="Q1248" s="14"/>
      <c r="R1248" s="14"/>
      <c r="S1248" s="14"/>
      <c r="T1248" s="14"/>
      <c r="U1248" s="14"/>
      <c r="V1248" s="14"/>
      <c r="W1248" s="14"/>
      <c r="X1248" s="14"/>
      <c r="Y1248" s="14"/>
    </row>
    <row r="1249" spans="1:25" ht="15.75" x14ac:dyDescent="0.25">
      <c r="A1249" s="21"/>
      <c r="B1249" s="21"/>
      <c r="C1249" s="21"/>
      <c r="E1249" s="21"/>
      <c r="F1249" s="21"/>
      <c r="G1249" s="14"/>
      <c r="H1249" s="14"/>
      <c r="I1249" s="14"/>
      <c r="J1249" s="14"/>
      <c r="K1249" s="14"/>
      <c r="L1249" s="14"/>
      <c r="M1249" s="14"/>
      <c r="N1249" s="14"/>
      <c r="O1249" s="14"/>
      <c r="P1249" s="14"/>
      <c r="Q1249" s="14"/>
      <c r="R1249" s="14"/>
      <c r="S1249" s="14"/>
      <c r="T1249" s="14"/>
      <c r="U1249" s="14"/>
      <c r="V1249" s="14"/>
      <c r="W1249" s="14"/>
      <c r="X1249" s="14"/>
      <c r="Y1249" s="14"/>
    </row>
    <row r="1250" spans="1:25" ht="15.75" x14ac:dyDescent="0.25">
      <c r="A1250" s="21"/>
      <c r="B1250" s="21"/>
      <c r="C1250" s="21"/>
      <c r="E1250" s="21"/>
      <c r="F1250" s="21"/>
      <c r="G1250" s="14"/>
      <c r="H1250" s="14"/>
      <c r="I1250" s="14"/>
      <c r="J1250" s="14"/>
      <c r="K1250" s="14"/>
      <c r="L1250" s="14"/>
      <c r="M1250" s="14"/>
      <c r="N1250" s="14"/>
      <c r="O1250" s="14"/>
      <c r="P1250" s="14"/>
      <c r="Q1250" s="14"/>
      <c r="R1250" s="14"/>
      <c r="S1250" s="14"/>
      <c r="T1250" s="14"/>
      <c r="U1250" s="14"/>
      <c r="V1250" s="14"/>
      <c r="W1250" s="14"/>
      <c r="X1250" s="14"/>
      <c r="Y1250" s="14"/>
    </row>
    <row r="1251" spans="1:25" ht="15.75" x14ac:dyDescent="0.25">
      <c r="A1251" s="21"/>
      <c r="B1251" s="21"/>
      <c r="C1251" s="21"/>
      <c r="E1251" s="21"/>
      <c r="F1251" s="21"/>
      <c r="G1251" s="14"/>
      <c r="H1251" s="14"/>
      <c r="I1251" s="14"/>
      <c r="J1251" s="14"/>
      <c r="K1251" s="14"/>
      <c r="L1251" s="14"/>
      <c r="M1251" s="14"/>
      <c r="N1251" s="14"/>
      <c r="O1251" s="14"/>
      <c r="P1251" s="14"/>
      <c r="Q1251" s="14"/>
      <c r="R1251" s="14"/>
      <c r="S1251" s="14"/>
      <c r="T1251" s="14"/>
      <c r="U1251" s="14"/>
      <c r="V1251" s="14"/>
      <c r="W1251" s="14"/>
      <c r="X1251" s="14"/>
      <c r="Y1251" s="14"/>
    </row>
    <row r="1252" spans="1:25" ht="15.75" x14ac:dyDescent="0.25">
      <c r="A1252" s="21"/>
      <c r="B1252" s="21"/>
      <c r="C1252" s="21"/>
      <c r="E1252" s="21"/>
      <c r="F1252" s="21"/>
      <c r="G1252" s="14"/>
      <c r="H1252" s="14"/>
      <c r="I1252" s="14"/>
      <c r="J1252" s="14"/>
      <c r="K1252" s="14"/>
      <c r="L1252" s="14"/>
      <c r="M1252" s="14"/>
      <c r="N1252" s="14"/>
      <c r="O1252" s="14"/>
      <c r="P1252" s="14"/>
      <c r="Q1252" s="14"/>
      <c r="R1252" s="14"/>
      <c r="S1252" s="14"/>
      <c r="T1252" s="14"/>
      <c r="U1252" s="14"/>
      <c r="V1252" s="14"/>
      <c r="W1252" s="14"/>
      <c r="X1252" s="14"/>
      <c r="Y1252" s="14"/>
    </row>
    <row r="1253" spans="1:25" ht="15.75" x14ac:dyDescent="0.25">
      <c r="A1253" s="21"/>
      <c r="B1253" s="21"/>
      <c r="C1253" s="21"/>
      <c r="E1253" s="21"/>
      <c r="F1253" s="21"/>
      <c r="G1253" s="14"/>
      <c r="H1253" s="14"/>
      <c r="I1253" s="14"/>
      <c r="J1253" s="14"/>
      <c r="K1253" s="14"/>
      <c r="L1253" s="14"/>
      <c r="M1253" s="14"/>
      <c r="N1253" s="14"/>
      <c r="O1253" s="14"/>
      <c r="P1253" s="14"/>
      <c r="Q1253" s="14"/>
      <c r="R1253" s="14"/>
      <c r="S1253" s="14"/>
      <c r="T1253" s="14"/>
      <c r="U1253" s="14"/>
      <c r="V1253" s="14"/>
      <c r="W1253" s="14"/>
      <c r="X1253" s="14"/>
      <c r="Y1253" s="14"/>
    </row>
    <row r="1254" spans="1:25" ht="15.75" x14ac:dyDescent="0.25">
      <c r="A1254" s="21"/>
      <c r="B1254" s="21"/>
      <c r="C1254" s="21"/>
      <c r="E1254" s="21"/>
      <c r="F1254" s="21"/>
      <c r="G1254" s="14"/>
      <c r="H1254" s="14"/>
      <c r="I1254" s="14"/>
      <c r="J1254" s="14"/>
      <c r="K1254" s="14"/>
      <c r="L1254" s="14"/>
      <c r="M1254" s="14"/>
      <c r="N1254" s="14"/>
      <c r="O1254" s="14"/>
      <c r="P1254" s="14"/>
      <c r="Q1254" s="14"/>
      <c r="R1254" s="14"/>
      <c r="S1254" s="14"/>
      <c r="T1254" s="14"/>
      <c r="U1254" s="14"/>
      <c r="V1254" s="14"/>
      <c r="W1254" s="14"/>
      <c r="X1254" s="14"/>
      <c r="Y1254" s="14"/>
    </row>
    <row r="1255" spans="1:25" ht="15.75" x14ac:dyDescent="0.25">
      <c r="A1255" s="21"/>
      <c r="B1255" s="21"/>
      <c r="C1255" s="21"/>
      <c r="E1255" s="21"/>
      <c r="F1255" s="21"/>
      <c r="G1255" s="14"/>
      <c r="H1255" s="14"/>
      <c r="I1255" s="14"/>
      <c r="J1255" s="14"/>
      <c r="K1255" s="14"/>
      <c r="L1255" s="14"/>
      <c r="M1255" s="14"/>
      <c r="N1255" s="14"/>
      <c r="O1255" s="14"/>
      <c r="P1255" s="14"/>
      <c r="Q1255" s="14"/>
      <c r="R1255" s="14"/>
      <c r="S1255" s="14"/>
      <c r="T1255" s="14"/>
      <c r="U1255" s="14"/>
      <c r="V1255" s="14"/>
      <c r="W1255" s="14"/>
      <c r="X1255" s="14"/>
      <c r="Y1255" s="14"/>
    </row>
    <row r="1256" spans="1:25" ht="15.75" x14ac:dyDescent="0.25">
      <c r="A1256" s="21"/>
      <c r="B1256" s="21"/>
      <c r="C1256" s="21"/>
      <c r="E1256" s="21"/>
      <c r="F1256" s="21"/>
      <c r="G1256" s="14"/>
      <c r="H1256" s="14"/>
      <c r="I1256" s="14"/>
      <c r="J1256" s="14"/>
      <c r="K1256" s="14"/>
      <c r="L1256" s="14"/>
      <c r="M1256" s="14"/>
      <c r="N1256" s="14"/>
      <c r="O1256" s="14"/>
      <c r="P1256" s="14"/>
      <c r="Q1256" s="14"/>
      <c r="R1256" s="14"/>
      <c r="S1256" s="14"/>
      <c r="T1256" s="14"/>
      <c r="U1256" s="14"/>
      <c r="V1256" s="14"/>
      <c r="W1256" s="14"/>
      <c r="X1256" s="14"/>
      <c r="Y1256" s="14"/>
    </row>
    <row r="1257" spans="1:25" ht="15.75" x14ac:dyDescent="0.25">
      <c r="A1257" s="21"/>
      <c r="B1257" s="21"/>
      <c r="C1257" s="21"/>
      <c r="E1257" s="21"/>
      <c r="F1257" s="21"/>
      <c r="G1257" s="14"/>
      <c r="H1257" s="14"/>
      <c r="I1257" s="14"/>
      <c r="J1257" s="14"/>
      <c r="K1257" s="14"/>
      <c r="L1257" s="14"/>
      <c r="M1257" s="14"/>
      <c r="N1257" s="14"/>
      <c r="O1257" s="14"/>
      <c r="P1257" s="14"/>
      <c r="Q1257" s="14"/>
      <c r="R1257" s="14"/>
      <c r="S1257" s="14"/>
      <c r="T1257" s="14"/>
      <c r="U1257" s="14"/>
      <c r="V1257" s="14"/>
      <c r="W1257" s="14"/>
      <c r="X1257" s="14"/>
      <c r="Y1257" s="14"/>
    </row>
    <row r="1258" spans="1:25" ht="15.75" x14ac:dyDescent="0.25">
      <c r="A1258" s="21"/>
      <c r="B1258" s="21"/>
      <c r="C1258" s="21"/>
      <c r="E1258" s="21"/>
      <c r="F1258" s="21"/>
      <c r="G1258" s="14"/>
      <c r="H1258" s="14"/>
      <c r="I1258" s="14"/>
      <c r="J1258" s="14"/>
      <c r="K1258" s="14"/>
      <c r="L1258" s="14"/>
      <c r="M1258" s="14"/>
      <c r="N1258" s="14"/>
      <c r="O1258" s="14"/>
      <c r="P1258" s="14"/>
      <c r="Q1258" s="14"/>
      <c r="R1258" s="14"/>
      <c r="S1258" s="14"/>
      <c r="T1258" s="14"/>
      <c r="U1258" s="14"/>
      <c r="V1258" s="14"/>
      <c r="W1258" s="14"/>
      <c r="X1258" s="14"/>
      <c r="Y1258" s="14"/>
    </row>
    <row r="1259" spans="1:25" ht="15.75" x14ac:dyDescent="0.25">
      <c r="A1259" s="21"/>
      <c r="B1259" s="21"/>
      <c r="C1259" s="21"/>
      <c r="E1259" s="21"/>
      <c r="F1259" s="21"/>
      <c r="G1259" s="14"/>
      <c r="H1259" s="14"/>
      <c r="I1259" s="14"/>
      <c r="J1259" s="14"/>
      <c r="K1259" s="14"/>
      <c r="L1259" s="14"/>
      <c r="M1259" s="14"/>
      <c r="N1259" s="14"/>
      <c r="O1259" s="14"/>
      <c r="P1259" s="14"/>
      <c r="Q1259" s="14"/>
      <c r="R1259" s="14"/>
      <c r="S1259" s="14"/>
      <c r="T1259" s="14"/>
      <c r="U1259" s="14"/>
      <c r="V1259" s="14"/>
      <c r="W1259" s="14"/>
      <c r="X1259" s="14"/>
      <c r="Y1259" s="14"/>
    </row>
    <row r="1260" spans="1:25" ht="15.75" x14ac:dyDescent="0.25">
      <c r="A1260" s="21"/>
      <c r="B1260" s="21"/>
      <c r="C1260" s="21"/>
      <c r="E1260" s="21"/>
      <c r="F1260" s="21"/>
      <c r="G1260" s="14"/>
      <c r="H1260" s="14"/>
      <c r="I1260" s="14"/>
      <c r="J1260" s="14"/>
      <c r="K1260" s="14"/>
      <c r="L1260" s="14"/>
      <c r="M1260" s="14"/>
      <c r="N1260" s="14"/>
      <c r="O1260" s="14"/>
      <c r="P1260" s="14"/>
      <c r="Q1260" s="14"/>
      <c r="R1260" s="14"/>
      <c r="S1260" s="14"/>
      <c r="T1260" s="14"/>
      <c r="U1260" s="14"/>
      <c r="V1260" s="14"/>
      <c r="W1260" s="14"/>
      <c r="X1260" s="14"/>
      <c r="Y1260" s="14"/>
    </row>
    <row r="1261" spans="1:25" ht="15.75" x14ac:dyDescent="0.25">
      <c r="A1261" s="21"/>
      <c r="B1261" s="21"/>
      <c r="C1261" s="21"/>
      <c r="E1261" s="21"/>
      <c r="F1261" s="21"/>
      <c r="G1261" s="14"/>
      <c r="H1261" s="14"/>
      <c r="I1261" s="14"/>
      <c r="J1261" s="14"/>
      <c r="K1261" s="14"/>
      <c r="L1261" s="14"/>
      <c r="M1261" s="14"/>
      <c r="N1261" s="14"/>
      <c r="O1261" s="14"/>
      <c r="P1261" s="14"/>
      <c r="Q1261" s="14"/>
      <c r="R1261" s="14"/>
      <c r="S1261" s="14"/>
      <c r="T1261" s="14"/>
      <c r="U1261" s="14"/>
      <c r="V1261" s="14"/>
      <c r="W1261" s="14"/>
      <c r="X1261" s="14"/>
      <c r="Y1261" s="14"/>
    </row>
    <row r="1262" spans="1:25" ht="15.75" x14ac:dyDescent="0.25">
      <c r="A1262" s="21"/>
      <c r="B1262" s="21"/>
      <c r="C1262" s="21"/>
      <c r="E1262" s="21"/>
      <c r="F1262" s="21"/>
      <c r="G1262" s="14"/>
      <c r="H1262" s="14"/>
      <c r="I1262" s="14"/>
      <c r="J1262" s="14"/>
      <c r="K1262" s="14"/>
      <c r="L1262" s="14"/>
      <c r="M1262" s="14"/>
      <c r="N1262" s="14"/>
      <c r="O1262" s="14"/>
      <c r="P1262" s="14"/>
      <c r="Q1262" s="14"/>
      <c r="R1262" s="14"/>
      <c r="S1262" s="14"/>
      <c r="T1262" s="14"/>
      <c r="U1262" s="14"/>
      <c r="V1262" s="14"/>
      <c r="W1262" s="14"/>
      <c r="X1262" s="14"/>
      <c r="Y1262" s="14"/>
    </row>
    <row r="1263" spans="1:25" ht="15.75" x14ac:dyDescent="0.25">
      <c r="A1263" s="21"/>
      <c r="B1263" s="21"/>
      <c r="C1263" s="21"/>
      <c r="E1263" s="21"/>
      <c r="F1263" s="21"/>
      <c r="G1263" s="14"/>
      <c r="H1263" s="14"/>
      <c r="I1263" s="14"/>
      <c r="J1263" s="14"/>
      <c r="K1263" s="14"/>
      <c r="L1263" s="14"/>
      <c r="M1263" s="14"/>
      <c r="N1263" s="14"/>
      <c r="O1263" s="14"/>
      <c r="P1263" s="14"/>
      <c r="Q1263" s="14"/>
      <c r="R1263" s="14"/>
      <c r="S1263" s="14"/>
      <c r="T1263" s="14"/>
      <c r="U1263" s="14"/>
      <c r="V1263" s="14"/>
      <c r="W1263" s="14"/>
      <c r="X1263" s="14"/>
      <c r="Y1263" s="14"/>
    </row>
    <row r="1264" spans="1:25" ht="15.75" x14ac:dyDescent="0.25">
      <c r="A1264" s="21"/>
      <c r="B1264" s="21"/>
      <c r="C1264" s="21"/>
      <c r="E1264" s="21"/>
      <c r="F1264" s="21"/>
      <c r="G1264" s="14"/>
      <c r="H1264" s="14"/>
      <c r="I1264" s="14"/>
      <c r="J1264" s="14"/>
      <c r="K1264" s="14"/>
      <c r="L1264" s="14"/>
      <c r="M1264" s="14"/>
      <c r="N1264" s="14"/>
      <c r="O1264" s="14"/>
      <c r="P1264" s="14"/>
      <c r="Q1264" s="14"/>
      <c r="R1264" s="14"/>
      <c r="S1264" s="14"/>
      <c r="T1264" s="14"/>
      <c r="U1264" s="14"/>
      <c r="V1264" s="14"/>
      <c r="W1264" s="14"/>
      <c r="X1264" s="14"/>
      <c r="Y1264" s="14"/>
    </row>
    <row r="1265" spans="1:25" ht="15.75" x14ac:dyDescent="0.25">
      <c r="A1265" s="21"/>
      <c r="B1265" s="21"/>
      <c r="C1265" s="21"/>
      <c r="E1265" s="21"/>
      <c r="F1265" s="21"/>
      <c r="G1265" s="14"/>
      <c r="H1265" s="14"/>
      <c r="I1265" s="14"/>
      <c r="J1265" s="14"/>
      <c r="K1265" s="14"/>
      <c r="L1265" s="14"/>
      <c r="M1265" s="14"/>
      <c r="N1265" s="14"/>
      <c r="O1265" s="14"/>
      <c r="P1265" s="14"/>
      <c r="Q1265" s="14"/>
      <c r="R1265" s="14"/>
      <c r="S1265" s="14"/>
      <c r="T1265" s="14"/>
      <c r="U1265" s="14"/>
      <c r="V1265" s="14"/>
      <c r="W1265" s="14"/>
      <c r="X1265" s="14"/>
      <c r="Y1265" s="14"/>
    </row>
    <row r="1266" spans="1:25" ht="15.75" x14ac:dyDescent="0.25">
      <c r="A1266" s="21"/>
      <c r="B1266" s="21"/>
      <c r="C1266" s="21"/>
      <c r="E1266" s="21"/>
      <c r="F1266" s="21"/>
      <c r="G1266" s="14"/>
      <c r="H1266" s="14"/>
      <c r="I1266" s="14"/>
      <c r="J1266" s="14"/>
      <c r="K1266" s="14"/>
      <c r="L1266" s="14"/>
      <c r="M1266" s="14"/>
      <c r="N1266" s="14"/>
      <c r="O1266" s="14"/>
      <c r="P1266" s="14"/>
      <c r="Q1266" s="14"/>
      <c r="R1266" s="14"/>
      <c r="S1266" s="14"/>
      <c r="T1266" s="14"/>
      <c r="U1266" s="14"/>
      <c r="V1266" s="14"/>
      <c r="W1266" s="14"/>
      <c r="X1266" s="14"/>
      <c r="Y1266" s="14"/>
    </row>
    <row r="1267" spans="1:25" ht="15.75" x14ac:dyDescent="0.25">
      <c r="A1267" s="21"/>
      <c r="B1267" s="21"/>
      <c r="C1267" s="21"/>
      <c r="E1267" s="21"/>
      <c r="F1267" s="21"/>
      <c r="G1267" s="14"/>
      <c r="H1267" s="14"/>
      <c r="I1267" s="14"/>
      <c r="J1267" s="14"/>
      <c r="K1267" s="14"/>
      <c r="L1267" s="14"/>
      <c r="M1267" s="14"/>
      <c r="N1267" s="14"/>
      <c r="O1267" s="14"/>
      <c r="P1267" s="14"/>
      <c r="Q1267" s="14"/>
      <c r="R1267" s="14"/>
      <c r="S1267" s="14"/>
      <c r="T1267" s="14"/>
      <c r="U1267" s="14"/>
      <c r="V1267" s="14"/>
      <c r="W1267" s="14"/>
      <c r="X1267" s="14"/>
      <c r="Y1267" s="14"/>
    </row>
    <row r="1268" spans="1:25" ht="15.75" x14ac:dyDescent="0.25">
      <c r="A1268" s="21"/>
      <c r="B1268" s="21"/>
      <c r="C1268" s="21"/>
      <c r="E1268" s="21"/>
      <c r="F1268" s="21"/>
      <c r="G1268" s="14"/>
      <c r="H1268" s="14"/>
      <c r="I1268" s="14"/>
      <c r="J1268" s="14"/>
      <c r="K1268" s="14"/>
      <c r="L1268" s="14"/>
      <c r="M1268" s="14"/>
      <c r="N1268" s="14"/>
      <c r="O1268" s="14"/>
      <c r="P1268" s="14"/>
      <c r="Q1268" s="14"/>
      <c r="R1268" s="14"/>
      <c r="S1268" s="14"/>
      <c r="T1268" s="14"/>
      <c r="U1268" s="14"/>
      <c r="V1268" s="14"/>
      <c r="W1268" s="14"/>
      <c r="X1268" s="14"/>
      <c r="Y1268" s="14"/>
    </row>
    <row r="1269" spans="1:25" ht="15.75" x14ac:dyDescent="0.25">
      <c r="A1269" s="21"/>
      <c r="B1269" s="21"/>
      <c r="C1269" s="21"/>
      <c r="E1269" s="21"/>
      <c r="F1269" s="21"/>
      <c r="G1269" s="14"/>
      <c r="H1269" s="14"/>
      <c r="I1269" s="14"/>
      <c r="J1269" s="14"/>
      <c r="K1269" s="14"/>
      <c r="L1269" s="14"/>
      <c r="M1269" s="14"/>
      <c r="N1269" s="14"/>
      <c r="O1269" s="14"/>
      <c r="P1269" s="14"/>
      <c r="Q1269" s="14"/>
      <c r="R1269" s="14"/>
      <c r="S1269" s="14"/>
      <c r="T1269" s="14"/>
      <c r="U1269" s="14"/>
      <c r="V1269" s="14"/>
      <c r="W1269" s="14"/>
      <c r="X1269" s="14"/>
      <c r="Y1269" s="14"/>
    </row>
    <row r="1270" spans="1:25" ht="15.75" x14ac:dyDescent="0.25">
      <c r="A1270" s="21"/>
      <c r="B1270" s="21"/>
      <c r="C1270" s="21"/>
      <c r="E1270" s="21"/>
      <c r="F1270" s="21"/>
      <c r="G1270" s="14"/>
      <c r="H1270" s="14"/>
      <c r="I1270" s="14"/>
      <c r="J1270" s="14"/>
      <c r="K1270" s="14"/>
      <c r="L1270" s="14"/>
      <c r="M1270" s="14"/>
      <c r="N1270" s="14"/>
      <c r="O1270" s="14"/>
      <c r="P1270" s="14"/>
      <c r="Q1270" s="14"/>
      <c r="R1270" s="14"/>
      <c r="S1270" s="14"/>
      <c r="T1270" s="14"/>
      <c r="U1270" s="14"/>
      <c r="V1270" s="14"/>
      <c r="W1270" s="14"/>
      <c r="X1270" s="14"/>
      <c r="Y1270" s="14"/>
    </row>
    <row r="1271" spans="1:25" ht="15.75" x14ac:dyDescent="0.25">
      <c r="A1271" s="21"/>
      <c r="B1271" s="21"/>
      <c r="C1271" s="21"/>
      <c r="E1271" s="21"/>
      <c r="F1271" s="21"/>
      <c r="G1271" s="14"/>
      <c r="H1271" s="14"/>
      <c r="I1271" s="14"/>
      <c r="J1271" s="14"/>
      <c r="K1271" s="14"/>
      <c r="L1271" s="14"/>
      <c r="M1271" s="14"/>
      <c r="N1271" s="14"/>
      <c r="O1271" s="14"/>
      <c r="P1271" s="14"/>
      <c r="Q1271" s="14"/>
      <c r="R1271" s="14"/>
      <c r="S1271" s="14"/>
      <c r="T1271" s="14"/>
      <c r="U1271" s="14"/>
      <c r="V1271" s="14"/>
      <c r="W1271" s="14"/>
      <c r="X1271" s="14"/>
      <c r="Y1271" s="14"/>
    </row>
    <row r="1272" spans="1:25" ht="15.75" x14ac:dyDescent="0.25">
      <c r="A1272" s="21"/>
      <c r="B1272" s="21"/>
      <c r="C1272" s="21"/>
      <c r="E1272" s="21"/>
      <c r="F1272" s="21"/>
      <c r="G1272" s="14"/>
      <c r="H1272" s="14"/>
      <c r="I1272" s="14"/>
      <c r="J1272" s="14"/>
      <c r="K1272" s="14"/>
      <c r="L1272" s="14"/>
      <c r="M1272" s="14"/>
      <c r="N1272" s="14"/>
      <c r="O1272" s="14"/>
      <c r="P1272" s="14"/>
      <c r="Q1272" s="14"/>
      <c r="R1272" s="14"/>
      <c r="S1272" s="14"/>
      <c r="T1272" s="14"/>
      <c r="U1272" s="14"/>
      <c r="V1272" s="14"/>
      <c r="W1272" s="14"/>
      <c r="X1272" s="14"/>
      <c r="Y1272" s="14"/>
    </row>
    <row r="1273" spans="1:25" ht="15.75" x14ac:dyDescent="0.25">
      <c r="A1273" s="21"/>
      <c r="B1273" s="21"/>
      <c r="C1273" s="21"/>
      <c r="E1273" s="21"/>
      <c r="F1273" s="21"/>
      <c r="G1273" s="14"/>
      <c r="H1273" s="14"/>
      <c r="I1273" s="14"/>
      <c r="J1273" s="14"/>
      <c r="K1273" s="14"/>
      <c r="L1273" s="14"/>
      <c r="M1273" s="14"/>
      <c r="N1273" s="14"/>
      <c r="O1273" s="14"/>
      <c r="P1273" s="14"/>
      <c r="Q1273" s="14"/>
      <c r="R1273" s="14"/>
      <c r="S1273" s="14"/>
      <c r="T1273" s="14"/>
      <c r="U1273" s="14"/>
      <c r="V1273" s="14"/>
      <c r="W1273" s="14"/>
      <c r="X1273" s="14"/>
      <c r="Y1273" s="14"/>
    </row>
    <row r="1274" spans="1:25" ht="15.75" x14ac:dyDescent="0.25">
      <c r="A1274" s="21"/>
      <c r="B1274" s="21"/>
      <c r="C1274" s="21"/>
      <c r="E1274" s="21"/>
      <c r="F1274" s="21"/>
      <c r="G1274" s="14"/>
      <c r="H1274" s="14"/>
      <c r="I1274" s="14"/>
      <c r="J1274" s="14"/>
      <c r="K1274" s="14"/>
      <c r="L1274" s="14"/>
      <c r="M1274" s="14"/>
      <c r="N1274" s="14"/>
      <c r="O1274" s="14"/>
      <c r="P1274" s="14"/>
      <c r="Q1274" s="14"/>
      <c r="R1274" s="14"/>
      <c r="S1274" s="14"/>
      <c r="T1274" s="14"/>
      <c r="U1274" s="14"/>
      <c r="V1274" s="14"/>
      <c r="W1274" s="14"/>
      <c r="X1274" s="14"/>
      <c r="Y1274" s="14"/>
    </row>
    <row r="1275" spans="1:25" ht="15.75" x14ac:dyDescent="0.25">
      <c r="A1275" s="21"/>
      <c r="B1275" s="21"/>
      <c r="C1275" s="21"/>
      <c r="E1275" s="21"/>
      <c r="F1275" s="21"/>
      <c r="G1275" s="14"/>
      <c r="H1275" s="14"/>
      <c r="I1275" s="14"/>
      <c r="J1275" s="14"/>
      <c r="K1275" s="14"/>
      <c r="L1275" s="14"/>
      <c r="M1275" s="14"/>
      <c r="N1275" s="14"/>
      <c r="O1275" s="14"/>
      <c r="P1275" s="14"/>
      <c r="Q1275" s="14"/>
      <c r="R1275" s="14"/>
      <c r="S1275" s="14"/>
      <c r="T1275" s="14"/>
      <c r="U1275" s="14"/>
      <c r="V1275" s="14"/>
      <c r="W1275" s="14"/>
      <c r="X1275" s="14"/>
      <c r="Y1275" s="14"/>
    </row>
    <row r="1276" spans="1:25" ht="15.75" x14ac:dyDescent="0.25">
      <c r="A1276" s="21"/>
      <c r="B1276" s="21"/>
      <c r="C1276" s="21"/>
      <c r="E1276" s="21"/>
      <c r="F1276" s="21"/>
      <c r="G1276" s="14"/>
      <c r="H1276" s="14"/>
      <c r="I1276" s="14"/>
      <c r="J1276" s="14"/>
      <c r="K1276" s="14"/>
      <c r="L1276" s="14"/>
      <c r="M1276" s="14"/>
      <c r="N1276" s="14"/>
      <c r="O1276" s="14"/>
      <c r="P1276" s="14"/>
      <c r="Q1276" s="14"/>
      <c r="R1276" s="14"/>
      <c r="S1276" s="14"/>
      <c r="T1276" s="14"/>
      <c r="U1276" s="14"/>
      <c r="V1276" s="14"/>
      <c r="W1276" s="14"/>
      <c r="X1276" s="14"/>
      <c r="Y1276" s="14"/>
    </row>
    <row r="1277" spans="1:25" ht="15.75" x14ac:dyDescent="0.25">
      <c r="A1277" s="21"/>
      <c r="B1277" s="21"/>
      <c r="C1277" s="21"/>
      <c r="E1277" s="21"/>
      <c r="F1277" s="21"/>
      <c r="G1277" s="14"/>
      <c r="H1277" s="14"/>
      <c r="I1277" s="14"/>
      <c r="J1277" s="14"/>
      <c r="K1277" s="14"/>
      <c r="L1277" s="14"/>
      <c r="M1277" s="14"/>
      <c r="N1277" s="14"/>
      <c r="O1277" s="14"/>
      <c r="P1277" s="14"/>
      <c r="Q1277" s="14"/>
      <c r="R1277" s="14"/>
      <c r="S1277" s="14"/>
      <c r="T1277" s="14"/>
      <c r="U1277" s="14"/>
      <c r="V1277" s="14"/>
      <c r="W1277" s="14"/>
      <c r="X1277" s="14"/>
      <c r="Y1277" s="14"/>
    </row>
    <row r="1278" spans="1:25" ht="15.75" x14ac:dyDescent="0.25">
      <c r="A1278" s="21"/>
      <c r="B1278" s="21"/>
      <c r="C1278" s="21"/>
      <c r="E1278" s="21"/>
      <c r="F1278" s="21"/>
      <c r="G1278" s="14"/>
      <c r="H1278" s="14"/>
      <c r="I1278" s="14"/>
      <c r="J1278" s="14"/>
      <c r="K1278" s="14"/>
      <c r="L1278" s="14"/>
      <c r="M1278" s="14"/>
      <c r="N1278" s="14"/>
      <c r="O1278" s="14"/>
      <c r="P1278" s="14"/>
      <c r="Q1278" s="14"/>
      <c r="R1278" s="14"/>
      <c r="S1278" s="14"/>
      <c r="T1278" s="14"/>
      <c r="U1278" s="14"/>
      <c r="V1278" s="14"/>
      <c r="W1278" s="14"/>
      <c r="X1278" s="14"/>
      <c r="Y1278" s="14"/>
    </row>
    <row r="1279" spans="1:25" ht="15.75" x14ac:dyDescent="0.25">
      <c r="A1279" s="21"/>
      <c r="B1279" s="21"/>
      <c r="C1279" s="21"/>
      <c r="E1279" s="21"/>
      <c r="F1279" s="21"/>
      <c r="G1279" s="14"/>
      <c r="H1279" s="14"/>
      <c r="I1279" s="14"/>
      <c r="J1279" s="14"/>
      <c r="K1279" s="14"/>
      <c r="L1279" s="14"/>
      <c r="M1279" s="14"/>
      <c r="N1279" s="14"/>
      <c r="O1279" s="14"/>
      <c r="P1279" s="14"/>
      <c r="Q1279" s="14"/>
      <c r="R1279" s="14"/>
      <c r="S1279" s="14"/>
      <c r="T1279" s="14"/>
      <c r="U1279" s="14"/>
      <c r="V1279" s="14"/>
      <c r="W1279" s="14"/>
      <c r="X1279" s="14"/>
      <c r="Y1279" s="14"/>
    </row>
    <row r="1280" spans="1:25" ht="15.75" x14ac:dyDescent="0.25">
      <c r="A1280" s="21"/>
      <c r="B1280" s="21"/>
      <c r="C1280" s="21"/>
      <c r="E1280" s="21"/>
      <c r="F1280" s="21"/>
      <c r="G1280" s="14"/>
      <c r="H1280" s="14"/>
      <c r="I1280" s="14"/>
      <c r="J1280" s="14"/>
      <c r="K1280" s="14"/>
      <c r="L1280" s="14"/>
      <c r="M1280" s="14"/>
      <c r="N1280" s="14"/>
      <c r="O1280" s="14"/>
      <c r="P1280" s="14"/>
      <c r="Q1280" s="14"/>
      <c r="R1280" s="14"/>
      <c r="S1280" s="14"/>
      <c r="T1280" s="14"/>
      <c r="U1280" s="14"/>
      <c r="V1280" s="14"/>
      <c r="W1280" s="14"/>
      <c r="X1280" s="14"/>
      <c r="Y1280" s="14"/>
    </row>
    <row r="1281" spans="1:25" ht="15.75" x14ac:dyDescent="0.25">
      <c r="A1281" s="21"/>
      <c r="B1281" s="21"/>
      <c r="C1281" s="21"/>
      <c r="E1281" s="21"/>
      <c r="F1281" s="21"/>
      <c r="G1281" s="14"/>
      <c r="H1281" s="14"/>
      <c r="I1281" s="14"/>
      <c r="J1281" s="14"/>
      <c r="K1281" s="14"/>
      <c r="L1281" s="14"/>
      <c r="M1281" s="14"/>
      <c r="N1281" s="14"/>
      <c r="O1281" s="14"/>
      <c r="P1281" s="14"/>
      <c r="Q1281" s="14"/>
      <c r="R1281" s="14"/>
      <c r="S1281" s="14"/>
      <c r="T1281" s="14"/>
      <c r="U1281" s="14"/>
      <c r="V1281" s="14"/>
      <c r="W1281" s="14"/>
      <c r="X1281" s="14"/>
      <c r="Y1281" s="14"/>
    </row>
    <row r="1282" spans="1:25" ht="15.75" x14ac:dyDescent="0.25">
      <c r="A1282" s="21"/>
      <c r="B1282" s="21"/>
      <c r="C1282" s="21"/>
      <c r="E1282" s="21"/>
      <c r="F1282" s="21"/>
      <c r="G1282" s="14"/>
      <c r="H1282" s="14"/>
      <c r="I1282" s="14"/>
      <c r="J1282" s="14"/>
      <c r="K1282" s="14"/>
      <c r="L1282" s="14"/>
      <c r="M1282" s="14"/>
      <c r="N1282" s="14"/>
      <c r="O1282" s="14"/>
      <c r="P1282" s="14"/>
      <c r="Q1282" s="14"/>
      <c r="R1282" s="14"/>
      <c r="S1282" s="14"/>
      <c r="T1282" s="14"/>
      <c r="U1282" s="14"/>
      <c r="V1282" s="14"/>
      <c r="W1282" s="14"/>
      <c r="X1282" s="14"/>
      <c r="Y1282" s="14"/>
    </row>
    <row r="1283" spans="1:25" ht="15.75" x14ac:dyDescent="0.25">
      <c r="A1283" s="21"/>
      <c r="B1283" s="21"/>
      <c r="C1283" s="21"/>
      <c r="E1283" s="21"/>
      <c r="F1283" s="21"/>
      <c r="G1283" s="14"/>
      <c r="H1283" s="14"/>
      <c r="I1283" s="14"/>
      <c r="J1283" s="14"/>
      <c r="K1283" s="14"/>
      <c r="L1283" s="14"/>
      <c r="M1283" s="14"/>
      <c r="N1283" s="14"/>
      <c r="O1283" s="14"/>
      <c r="P1283" s="14"/>
      <c r="Q1283" s="14"/>
      <c r="R1283" s="14"/>
      <c r="S1283" s="14"/>
      <c r="T1283" s="14"/>
      <c r="U1283" s="14"/>
      <c r="V1283" s="14"/>
      <c r="W1283" s="14"/>
      <c r="X1283" s="14"/>
      <c r="Y1283" s="14"/>
    </row>
    <row r="1284" spans="1:25" ht="15.75" x14ac:dyDescent="0.25">
      <c r="A1284" s="21"/>
      <c r="B1284" s="21"/>
      <c r="C1284" s="21"/>
      <c r="E1284" s="21"/>
      <c r="F1284" s="21"/>
      <c r="G1284" s="14"/>
      <c r="H1284" s="14"/>
      <c r="I1284" s="14"/>
      <c r="J1284" s="14"/>
      <c r="K1284" s="14"/>
      <c r="L1284" s="14"/>
      <c r="M1284" s="14"/>
      <c r="N1284" s="14"/>
      <c r="O1284" s="14"/>
      <c r="P1284" s="14"/>
      <c r="Q1284" s="14"/>
      <c r="R1284" s="14"/>
      <c r="S1284" s="14"/>
      <c r="T1284" s="14"/>
      <c r="U1284" s="14"/>
      <c r="V1284" s="14"/>
      <c r="W1284" s="14"/>
      <c r="X1284" s="14"/>
      <c r="Y1284" s="14"/>
    </row>
    <row r="1285" spans="1:25" ht="15.75" x14ac:dyDescent="0.25">
      <c r="A1285" s="21"/>
      <c r="B1285" s="21"/>
      <c r="C1285" s="21"/>
      <c r="E1285" s="21"/>
      <c r="F1285" s="21"/>
      <c r="G1285" s="14"/>
      <c r="H1285" s="14"/>
      <c r="I1285" s="14"/>
      <c r="J1285" s="14"/>
      <c r="K1285" s="14"/>
      <c r="L1285" s="14"/>
      <c r="M1285" s="14"/>
      <c r="N1285" s="14"/>
      <c r="O1285" s="14"/>
      <c r="P1285" s="14"/>
      <c r="Q1285" s="14"/>
      <c r="R1285" s="14"/>
      <c r="S1285" s="14"/>
      <c r="T1285" s="14"/>
      <c r="U1285" s="14"/>
      <c r="V1285" s="14"/>
      <c r="W1285" s="14"/>
      <c r="X1285" s="14"/>
      <c r="Y1285" s="14"/>
    </row>
    <row r="1286" spans="1:25" ht="15.75" x14ac:dyDescent="0.25">
      <c r="A1286" s="21"/>
      <c r="B1286" s="21"/>
      <c r="C1286" s="21"/>
      <c r="E1286" s="21"/>
      <c r="F1286" s="21"/>
      <c r="G1286" s="14"/>
      <c r="H1286" s="14"/>
      <c r="I1286" s="14"/>
      <c r="J1286" s="14"/>
      <c r="K1286" s="14"/>
      <c r="L1286" s="14"/>
      <c r="M1286" s="14"/>
      <c r="N1286" s="14"/>
      <c r="O1286" s="14"/>
      <c r="P1286" s="14"/>
      <c r="Q1286" s="14"/>
      <c r="R1286" s="14"/>
      <c r="S1286" s="14"/>
      <c r="T1286" s="14"/>
      <c r="U1286" s="14"/>
      <c r="V1286" s="14"/>
      <c r="W1286" s="14"/>
      <c r="X1286" s="14"/>
      <c r="Y1286" s="14"/>
    </row>
    <row r="1287" spans="1:25" ht="15.75" x14ac:dyDescent="0.25">
      <c r="A1287" s="21"/>
      <c r="B1287" s="21"/>
      <c r="C1287" s="21"/>
      <c r="E1287" s="21"/>
      <c r="F1287" s="21"/>
      <c r="G1287" s="14"/>
      <c r="H1287" s="14"/>
      <c r="I1287" s="14"/>
      <c r="J1287" s="14"/>
      <c r="K1287" s="14"/>
      <c r="L1287" s="14"/>
      <c r="M1287" s="14"/>
      <c r="N1287" s="14"/>
      <c r="O1287" s="14"/>
      <c r="P1287" s="14"/>
      <c r="Q1287" s="14"/>
      <c r="R1287" s="14"/>
      <c r="S1287" s="14"/>
      <c r="T1287" s="14"/>
      <c r="U1287" s="14"/>
      <c r="V1287" s="14"/>
      <c r="W1287" s="14"/>
      <c r="X1287" s="14"/>
      <c r="Y1287" s="14"/>
    </row>
    <row r="1288" spans="1:25" ht="15.75" x14ac:dyDescent="0.25">
      <c r="A1288" s="21"/>
      <c r="B1288" s="21"/>
      <c r="C1288" s="21"/>
      <c r="E1288" s="21"/>
      <c r="F1288" s="21"/>
      <c r="G1288" s="14"/>
      <c r="H1288" s="14"/>
      <c r="I1288" s="14"/>
      <c r="J1288" s="14"/>
      <c r="K1288" s="14"/>
      <c r="L1288" s="14"/>
      <c r="M1288" s="14"/>
      <c r="N1288" s="14"/>
      <c r="O1288" s="14"/>
      <c r="P1288" s="14"/>
      <c r="Q1288" s="14"/>
      <c r="R1288" s="14"/>
      <c r="S1288" s="14"/>
      <c r="T1288" s="14"/>
      <c r="U1288" s="14"/>
      <c r="V1288" s="14"/>
      <c r="W1288" s="14"/>
      <c r="X1288" s="14"/>
      <c r="Y1288" s="14"/>
    </row>
    <row r="1289" spans="1:25" ht="15.75" x14ac:dyDescent="0.25">
      <c r="A1289" s="21"/>
      <c r="B1289" s="21"/>
      <c r="C1289" s="21"/>
      <c r="E1289" s="21"/>
      <c r="F1289" s="21"/>
      <c r="G1289" s="14"/>
      <c r="H1289" s="14"/>
      <c r="I1289" s="14"/>
      <c r="J1289" s="14"/>
      <c r="K1289" s="14"/>
      <c r="L1289" s="14"/>
      <c r="M1289" s="14"/>
      <c r="N1289" s="14"/>
      <c r="O1289" s="14"/>
      <c r="P1289" s="14"/>
      <c r="Q1289" s="14"/>
      <c r="R1289" s="14"/>
      <c r="S1289" s="14"/>
      <c r="T1289" s="14"/>
      <c r="U1289" s="14"/>
      <c r="V1289" s="14"/>
      <c r="W1289" s="14"/>
      <c r="X1289" s="14"/>
      <c r="Y1289" s="14"/>
    </row>
    <row r="1290" spans="1:25" ht="15.75" x14ac:dyDescent="0.25">
      <c r="A1290" s="21"/>
      <c r="B1290" s="21"/>
      <c r="C1290" s="21"/>
      <c r="E1290" s="21"/>
      <c r="F1290" s="21"/>
      <c r="G1290" s="14"/>
      <c r="H1290" s="14"/>
      <c r="I1290" s="14"/>
      <c r="J1290" s="14"/>
      <c r="K1290" s="14"/>
      <c r="L1290" s="14"/>
      <c r="M1290" s="14"/>
      <c r="N1290" s="14"/>
      <c r="O1290" s="14"/>
      <c r="P1290" s="14"/>
      <c r="Q1290" s="14"/>
      <c r="R1290" s="14"/>
      <c r="S1290" s="14"/>
      <c r="T1290" s="14"/>
      <c r="U1290" s="14"/>
      <c r="V1290" s="14"/>
      <c r="W1290" s="14"/>
      <c r="X1290" s="14"/>
      <c r="Y1290" s="14"/>
    </row>
    <row r="1291" spans="1:25" ht="15.75" x14ac:dyDescent="0.25">
      <c r="A1291" s="21"/>
      <c r="B1291" s="21"/>
      <c r="C1291" s="21"/>
      <c r="E1291" s="21"/>
      <c r="F1291" s="21"/>
      <c r="G1291" s="14"/>
      <c r="H1291" s="14"/>
      <c r="I1291" s="14"/>
      <c r="J1291" s="14"/>
      <c r="K1291" s="14"/>
      <c r="L1291" s="14"/>
      <c r="M1291" s="14"/>
      <c r="N1291" s="14"/>
      <c r="O1291" s="14"/>
      <c r="P1291" s="14"/>
      <c r="Q1291" s="14"/>
      <c r="R1291" s="14"/>
      <c r="S1291" s="14"/>
      <c r="T1291" s="14"/>
      <c r="U1291" s="14"/>
      <c r="V1291" s="14"/>
      <c r="W1291" s="14"/>
      <c r="X1291" s="14"/>
      <c r="Y1291" s="14"/>
    </row>
    <row r="1292" spans="1:25" ht="15.75" x14ac:dyDescent="0.25">
      <c r="A1292" s="21"/>
      <c r="B1292" s="21"/>
      <c r="C1292" s="21"/>
      <c r="E1292" s="21"/>
      <c r="F1292" s="21"/>
      <c r="G1292" s="14"/>
      <c r="H1292" s="14"/>
      <c r="I1292" s="14"/>
      <c r="J1292" s="14"/>
      <c r="K1292" s="14"/>
      <c r="L1292" s="14"/>
      <c r="M1292" s="14"/>
      <c r="N1292" s="14"/>
      <c r="O1292" s="14"/>
      <c r="P1292" s="14"/>
      <c r="Q1292" s="14"/>
      <c r="R1292" s="14"/>
      <c r="S1292" s="14"/>
      <c r="T1292" s="14"/>
      <c r="U1292" s="14"/>
      <c r="V1292" s="14"/>
      <c r="W1292" s="14"/>
      <c r="X1292" s="14"/>
      <c r="Y1292" s="14"/>
    </row>
    <row r="1293" spans="1:25" ht="15.75" x14ac:dyDescent="0.25">
      <c r="A1293" s="21"/>
      <c r="B1293" s="21"/>
      <c r="C1293" s="21"/>
      <c r="E1293" s="21"/>
      <c r="F1293" s="21"/>
      <c r="G1293" s="14"/>
      <c r="H1293" s="14"/>
      <c r="I1293" s="14"/>
      <c r="J1293" s="14"/>
      <c r="K1293" s="14"/>
      <c r="L1293" s="14"/>
      <c r="M1293" s="14"/>
      <c r="N1293" s="14"/>
      <c r="O1293" s="14"/>
      <c r="P1293" s="14"/>
      <c r="Q1293" s="14"/>
      <c r="R1293" s="14"/>
      <c r="S1293" s="14"/>
      <c r="T1293" s="14"/>
      <c r="U1293" s="14"/>
      <c r="V1293" s="14"/>
      <c r="W1293" s="14"/>
      <c r="X1293" s="14"/>
      <c r="Y1293" s="14"/>
    </row>
    <row r="1294" spans="1:25" ht="15.75" x14ac:dyDescent="0.25">
      <c r="A1294" s="21"/>
      <c r="B1294" s="21"/>
      <c r="C1294" s="21"/>
      <c r="E1294" s="21"/>
      <c r="F1294" s="21"/>
      <c r="G1294" s="14"/>
      <c r="H1294" s="14"/>
      <c r="I1294" s="14"/>
      <c r="J1294" s="14"/>
      <c r="K1294" s="14"/>
      <c r="L1294" s="14"/>
      <c r="M1294" s="14"/>
      <c r="N1294" s="14"/>
      <c r="O1294" s="14"/>
      <c r="P1294" s="14"/>
      <c r="Q1294" s="14"/>
      <c r="R1294" s="14"/>
      <c r="S1294" s="14"/>
      <c r="T1294" s="14"/>
      <c r="U1294" s="14"/>
      <c r="V1294" s="14"/>
      <c r="W1294" s="14"/>
      <c r="X1294" s="14"/>
      <c r="Y1294" s="14"/>
    </row>
    <row r="1295" spans="1:25" ht="15.75" x14ac:dyDescent="0.25">
      <c r="A1295" s="21"/>
      <c r="B1295" s="21"/>
      <c r="C1295" s="21"/>
      <c r="E1295" s="21"/>
      <c r="F1295" s="21"/>
      <c r="G1295" s="14"/>
      <c r="H1295" s="14"/>
      <c r="I1295" s="14"/>
      <c r="J1295" s="14"/>
      <c r="K1295" s="14"/>
      <c r="L1295" s="14"/>
      <c r="M1295" s="14"/>
      <c r="N1295" s="14"/>
      <c r="O1295" s="14"/>
      <c r="P1295" s="14"/>
      <c r="Q1295" s="14"/>
      <c r="R1295" s="14"/>
      <c r="S1295" s="14"/>
      <c r="T1295" s="14"/>
      <c r="U1295" s="14"/>
      <c r="V1295" s="14"/>
      <c r="W1295" s="14"/>
      <c r="X1295" s="14"/>
      <c r="Y1295" s="14"/>
    </row>
    <row r="1296" spans="1:25" ht="15.75" x14ac:dyDescent="0.25">
      <c r="A1296" s="21"/>
      <c r="B1296" s="21"/>
      <c r="C1296" s="21"/>
      <c r="E1296" s="21"/>
      <c r="F1296" s="21"/>
      <c r="G1296" s="14"/>
      <c r="H1296" s="14"/>
      <c r="I1296" s="14"/>
      <c r="J1296" s="14"/>
      <c r="K1296" s="14"/>
      <c r="L1296" s="14"/>
      <c r="M1296" s="14"/>
      <c r="N1296" s="14"/>
      <c r="O1296" s="14"/>
      <c r="P1296" s="14"/>
      <c r="Q1296" s="14"/>
      <c r="R1296" s="14"/>
      <c r="S1296" s="14"/>
      <c r="T1296" s="14"/>
      <c r="U1296" s="14"/>
      <c r="V1296" s="14"/>
      <c r="W1296" s="14"/>
      <c r="X1296" s="14"/>
      <c r="Y1296" s="14"/>
    </row>
    <row r="1297" spans="1:25" ht="15.75" x14ac:dyDescent="0.25">
      <c r="A1297" s="21"/>
      <c r="B1297" s="21"/>
      <c r="C1297" s="21"/>
      <c r="E1297" s="21"/>
      <c r="F1297" s="21"/>
      <c r="G1297" s="14"/>
      <c r="H1297" s="14"/>
      <c r="I1297" s="14"/>
      <c r="J1297" s="14"/>
      <c r="K1297" s="14"/>
      <c r="L1297" s="14"/>
      <c r="M1297" s="14"/>
      <c r="N1297" s="14"/>
      <c r="O1297" s="14"/>
      <c r="P1297" s="14"/>
      <c r="Q1297" s="14"/>
      <c r="R1297" s="14"/>
      <c r="S1297" s="14"/>
      <c r="T1297" s="14"/>
      <c r="U1297" s="14"/>
      <c r="V1297" s="14"/>
      <c r="W1297" s="14"/>
      <c r="X1297" s="14"/>
      <c r="Y1297" s="14"/>
    </row>
    <row r="1298" spans="1:25" ht="15.75" x14ac:dyDescent="0.25">
      <c r="A1298" s="21"/>
      <c r="B1298" s="21"/>
      <c r="C1298" s="21"/>
      <c r="E1298" s="21"/>
      <c r="F1298" s="21"/>
      <c r="G1298" s="14"/>
      <c r="H1298" s="14"/>
      <c r="I1298" s="14"/>
      <c r="J1298" s="14"/>
      <c r="K1298" s="14"/>
      <c r="L1298" s="14"/>
      <c r="M1298" s="14"/>
      <c r="N1298" s="14"/>
      <c r="O1298" s="14"/>
      <c r="P1298" s="14"/>
      <c r="Q1298" s="14"/>
      <c r="R1298" s="14"/>
      <c r="S1298" s="14"/>
      <c r="T1298" s="14"/>
      <c r="U1298" s="14"/>
      <c r="V1298" s="14"/>
      <c r="W1298" s="14"/>
      <c r="X1298" s="14"/>
      <c r="Y1298" s="14"/>
    </row>
    <row r="1299" spans="1:25" ht="15.75" x14ac:dyDescent="0.25">
      <c r="A1299" s="21"/>
      <c r="B1299" s="21"/>
      <c r="C1299" s="21"/>
      <c r="E1299" s="21"/>
      <c r="F1299" s="21"/>
      <c r="G1299" s="14"/>
      <c r="H1299" s="14"/>
      <c r="I1299" s="14"/>
      <c r="J1299" s="14"/>
      <c r="K1299" s="14"/>
      <c r="L1299" s="14"/>
      <c r="M1299" s="14"/>
      <c r="N1299" s="14"/>
      <c r="O1299" s="14"/>
      <c r="P1299" s="14"/>
      <c r="Q1299" s="14"/>
      <c r="R1299" s="14"/>
      <c r="S1299" s="14"/>
      <c r="T1299" s="14"/>
      <c r="U1299" s="14"/>
      <c r="V1299" s="14"/>
      <c r="W1299" s="14"/>
      <c r="X1299" s="14"/>
      <c r="Y1299" s="14"/>
    </row>
    <row r="1300" spans="1:25" ht="15.75" x14ac:dyDescent="0.25">
      <c r="A1300" s="21"/>
      <c r="B1300" s="21"/>
      <c r="C1300" s="21"/>
      <c r="E1300" s="21"/>
      <c r="F1300" s="21"/>
      <c r="G1300" s="14"/>
      <c r="H1300" s="14"/>
      <c r="I1300" s="14"/>
      <c r="J1300" s="14"/>
      <c r="K1300" s="14"/>
      <c r="L1300" s="14"/>
      <c r="M1300" s="14"/>
      <c r="N1300" s="14"/>
      <c r="O1300" s="14"/>
      <c r="P1300" s="14"/>
      <c r="Q1300" s="14"/>
      <c r="R1300" s="14"/>
      <c r="S1300" s="14"/>
      <c r="T1300" s="14"/>
      <c r="U1300" s="14"/>
      <c r="V1300" s="14"/>
      <c r="W1300" s="14"/>
      <c r="X1300" s="14"/>
      <c r="Y1300" s="14"/>
    </row>
    <row r="1301" spans="1:25" ht="15.75" x14ac:dyDescent="0.25">
      <c r="A1301" s="21"/>
      <c r="B1301" s="21"/>
      <c r="C1301" s="21"/>
      <c r="E1301" s="21"/>
      <c r="F1301" s="21"/>
      <c r="G1301" s="14"/>
      <c r="H1301" s="14"/>
      <c r="I1301" s="14"/>
      <c r="J1301" s="14"/>
      <c r="K1301" s="14"/>
      <c r="L1301" s="14"/>
      <c r="M1301" s="14"/>
      <c r="N1301" s="14"/>
      <c r="O1301" s="14"/>
      <c r="P1301" s="14"/>
      <c r="Q1301" s="14"/>
      <c r="R1301" s="14"/>
      <c r="S1301" s="14"/>
      <c r="T1301" s="14"/>
      <c r="U1301" s="14"/>
      <c r="V1301" s="14"/>
      <c r="W1301" s="14"/>
      <c r="X1301" s="14"/>
      <c r="Y1301" s="14"/>
    </row>
    <row r="1302" spans="1:25" ht="15.75" x14ac:dyDescent="0.25">
      <c r="A1302" s="21"/>
      <c r="B1302" s="21"/>
      <c r="C1302" s="21"/>
      <c r="E1302" s="21"/>
      <c r="F1302" s="21"/>
      <c r="G1302" s="14"/>
      <c r="H1302" s="14"/>
      <c r="I1302" s="14"/>
      <c r="J1302" s="14"/>
      <c r="K1302" s="14"/>
      <c r="L1302" s="14"/>
      <c r="M1302" s="14"/>
      <c r="N1302" s="14"/>
      <c r="O1302" s="14"/>
      <c r="P1302" s="14"/>
      <c r="Q1302" s="14"/>
      <c r="R1302" s="14"/>
      <c r="S1302" s="14"/>
      <c r="T1302" s="14"/>
      <c r="U1302" s="14"/>
      <c r="V1302" s="14"/>
      <c r="W1302" s="14"/>
      <c r="X1302" s="14"/>
      <c r="Y1302" s="14"/>
    </row>
    <row r="1303" spans="1:25" ht="15.75" x14ac:dyDescent="0.25">
      <c r="A1303" s="21"/>
      <c r="B1303" s="21"/>
      <c r="C1303" s="21"/>
      <c r="E1303" s="21"/>
      <c r="F1303" s="21"/>
      <c r="G1303" s="14"/>
      <c r="H1303" s="14"/>
      <c r="I1303" s="14"/>
      <c r="J1303" s="14"/>
      <c r="K1303" s="14"/>
      <c r="L1303" s="14"/>
      <c r="M1303" s="14"/>
      <c r="N1303" s="14"/>
      <c r="O1303" s="14"/>
      <c r="P1303" s="14"/>
      <c r="Q1303" s="14"/>
      <c r="R1303" s="14"/>
      <c r="S1303" s="14"/>
      <c r="T1303" s="14"/>
      <c r="U1303" s="14"/>
      <c r="V1303" s="14"/>
      <c r="W1303" s="14"/>
      <c r="X1303" s="14"/>
      <c r="Y1303" s="14"/>
    </row>
    <row r="1304" spans="1:25" ht="15.75" x14ac:dyDescent="0.25">
      <c r="A1304" s="21"/>
      <c r="B1304" s="21"/>
      <c r="C1304" s="21"/>
      <c r="E1304" s="21"/>
      <c r="F1304" s="21"/>
      <c r="G1304" s="14"/>
      <c r="H1304" s="14"/>
      <c r="I1304" s="14"/>
      <c r="J1304" s="14"/>
      <c r="K1304" s="14"/>
      <c r="L1304" s="14"/>
      <c r="M1304" s="14"/>
      <c r="N1304" s="14"/>
      <c r="O1304" s="14"/>
      <c r="P1304" s="14"/>
      <c r="Q1304" s="14"/>
      <c r="R1304" s="14"/>
      <c r="S1304" s="14"/>
      <c r="T1304" s="14"/>
      <c r="U1304" s="14"/>
      <c r="V1304" s="14"/>
      <c r="W1304" s="14"/>
      <c r="X1304" s="14"/>
      <c r="Y1304" s="14"/>
    </row>
    <row r="1305" spans="1:25" ht="15.75" x14ac:dyDescent="0.25">
      <c r="A1305" s="21"/>
      <c r="B1305" s="21"/>
      <c r="C1305" s="21"/>
      <c r="E1305" s="21"/>
      <c r="F1305" s="21"/>
      <c r="G1305" s="14"/>
      <c r="H1305" s="14"/>
      <c r="I1305" s="14"/>
      <c r="J1305" s="14"/>
      <c r="K1305" s="14"/>
      <c r="L1305" s="14"/>
      <c r="M1305" s="14"/>
      <c r="N1305" s="14"/>
      <c r="O1305" s="14"/>
      <c r="P1305" s="14"/>
      <c r="Q1305" s="14"/>
      <c r="R1305" s="14"/>
      <c r="S1305" s="14"/>
      <c r="T1305" s="14"/>
      <c r="U1305" s="14"/>
      <c r="V1305" s="14"/>
      <c r="W1305" s="14"/>
      <c r="X1305" s="14"/>
      <c r="Y1305" s="14"/>
    </row>
    <row r="1306" spans="1:25" ht="15.75" x14ac:dyDescent="0.25">
      <c r="A1306" s="21"/>
      <c r="B1306" s="21"/>
      <c r="C1306" s="21"/>
      <c r="E1306" s="21"/>
      <c r="F1306" s="21"/>
      <c r="G1306" s="14"/>
      <c r="H1306" s="14"/>
      <c r="I1306" s="14"/>
      <c r="J1306" s="14"/>
      <c r="K1306" s="14"/>
      <c r="L1306" s="14"/>
      <c r="M1306" s="14"/>
      <c r="N1306" s="14"/>
      <c r="O1306" s="14"/>
      <c r="P1306" s="14"/>
      <c r="Q1306" s="14"/>
      <c r="R1306" s="14"/>
      <c r="S1306" s="14"/>
      <c r="T1306" s="14"/>
      <c r="U1306" s="14"/>
      <c r="V1306" s="14"/>
      <c r="W1306" s="14"/>
      <c r="X1306" s="14"/>
      <c r="Y1306" s="14"/>
    </row>
    <row r="1307" spans="1:25" ht="15.75" x14ac:dyDescent="0.25">
      <c r="A1307" s="21"/>
      <c r="B1307" s="21"/>
      <c r="C1307" s="21"/>
      <c r="E1307" s="21"/>
      <c r="F1307" s="21"/>
      <c r="G1307" s="14"/>
      <c r="H1307" s="14"/>
      <c r="I1307" s="14"/>
      <c r="J1307" s="14"/>
      <c r="K1307" s="14"/>
      <c r="L1307" s="14"/>
      <c r="M1307" s="14"/>
      <c r="N1307" s="14"/>
      <c r="O1307" s="14"/>
      <c r="P1307" s="14"/>
      <c r="Q1307" s="14"/>
      <c r="R1307" s="14"/>
      <c r="S1307" s="14"/>
      <c r="T1307" s="14"/>
      <c r="U1307" s="14"/>
      <c r="V1307" s="14"/>
      <c r="W1307" s="14"/>
      <c r="X1307" s="14"/>
      <c r="Y1307" s="14"/>
    </row>
    <row r="1308" spans="1:25" ht="15.75" x14ac:dyDescent="0.25">
      <c r="A1308" s="21"/>
      <c r="B1308" s="21"/>
      <c r="C1308" s="21"/>
      <c r="E1308" s="21"/>
      <c r="F1308" s="21"/>
      <c r="G1308" s="14"/>
      <c r="H1308" s="14"/>
      <c r="I1308" s="14"/>
      <c r="J1308" s="14"/>
      <c r="K1308" s="14"/>
      <c r="L1308" s="14"/>
      <c r="M1308" s="14"/>
      <c r="N1308" s="14"/>
      <c r="O1308" s="14"/>
      <c r="P1308" s="14"/>
      <c r="Q1308" s="14"/>
      <c r="R1308" s="14"/>
      <c r="S1308" s="14"/>
      <c r="T1308" s="14"/>
      <c r="U1308" s="14"/>
      <c r="V1308" s="14"/>
      <c r="W1308" s="14"/>
      <c r="X1308" s="14"/>
      <c r="Y1308" s="14"/>
    </row>
    <row r="1309" spans="1:25" ht="15.75" x14ac:dyDescent="0.25">
      <c r="A1309" s="21"/>
      <c r="B1309" s="21"/>
      <c r="C1309" s="21"/>
      <c r="E1309" s="21"/>
      <c r="F1309" s="21"/>
      <c r="G1309" s="14"/>
      <c r="H1309" s="14"/>
      <c r="I1309" s="14"/>
      <c r="J1309" s="14"/>
      <c r="K1309" s="14"/>
      <c r="L1309" s="14"/>
      <c r="M1309" s="14"/>
      <c r="N1309" s="14"/>
      <c r="O1309" s="14"/>
      <c r="P1309" s="14"/>
      <c r="Q1309" s="14"/>
      <c r="R1309" s="14"/>
      <c r="S1309" s="14"/>
      <c r="T1309" s="14"/>
      <c r="U1309" s="14"/>
      <c r="V1309" s="14"/>
      <c r="W1309" s="14"/>
      <c r="X1309" s="14"/>
      <c r="Y1309" s="14"/>
    </row>
    <row r="1310" spans="1:25" ht="15.75" x14ac:dyDescent="0.25">
      <c r="A1310" s="21"/>
      <c r="B1310" s="21"/>
      <c r="C1310" s="21"/>
      <c r="E1310" s="21"/>
      <c r="F1310" s="21"/>
      <c r="G1310" s="14"/>
      <c r="H1310" s="14"/>
      <c r="I1310" s="14"/>
      <c r="J1310" s="14"/>
      <c r="K1310" s="14"/>
      <c r="L1310" s="14"/>
      <c r="M1310" s="14"/>
      <c r="N1310" s="14"/>
      <c r="O1310" s="14"/>
      <c r="P1310" s="14"/>
      <c r="Q1310" s="14"/>
      <c r="R1310" s="14"/>
      <c r="S1310" s="14"/>
      <c r="T1310" s="14"/>
      <c r="U1310" s="14"/>
      <c r="V1310" s="14"/>
      <c r="W1310" s="14"/>
      <c r="X1310" s="14"/>
      <c r="Y1310" s="14"/>
    </row>
    <row r="1311" spans="1:25" ht="15.75" x14ac:dyDescent="0.25">
      <c r="A1311" s="21"/>
      <c r="B1311" s="21"/>
      <c r="C1311" s="21"/>
      <c r="E1311" s="21"/>
      <c r="F1311" s="21"/>
      <c r="G1311" s="14"/>
      <c r="H1311" s="14"/>
      <c r="I1311" s="14"/>
      <c r="J1311" s="14"/>
      <c r="K1311" s="14"/>
      <c r="L1311" s="14"/>
      <c r="M1311" s="14"/>
      <c r="N1311" s="14"/>
      <c r="O1311" s="14"/>
      <c r="P1311" s="14"/>
      <c r="Q1311" s="14"/>
      <c r="R1311" s="14"/>
      <c r="S1311" s="14"/>
      <c r="T1311" s="14"/>
      <c r="U1311" s="14"/>
      <c r="V1311" s="14"/>
      <c r="W1311" s="14"/>
      <c r="X1311" s="14"/>
      <c r="Y1311" s="14"/>
    </row>
    <row r="1312" spans="1:25" ht="15.75" x14ac:dyDescent="0.25">
      <c r="A1312" s="21"/>
      <c r="B1312" s="21"/>
      <c r="C1312" s="21"/>
      <c r="E1312" s="21"/>
      <c r="F1312" s="21"/>
      <c r="G1312" s="14"/>
      <c r="H1312" s="14"/>
      <c r="I1312" s="14"/>
      <c r="J1312" s="14"/>
      <c r="K1312" s="14"/>
      <c r="L1312" s="14"/>
      <c r="M1312" s="14"/>
      <c r="N1312" s="14"/>
      <c r="O1312" s="14"/>
      <c r="P1312" s="14"/>
      <c r="Q1312" s="14"/>
      <c r="R1312" s="14"/>
      <c r="S1312" s="14"/>
      <c r="T1312" s="14"/>
      <c r="U1312" s="14"/>
      <c r="V1312" s="14"/>
      <c r="W1312" s="14"/>
      <c r="X1312" s="14"/>
      <c r="Y1312" s="14"/>
    </row>
    <row r="1313" spans="1:25" ht="15.75" x14ac:dyDescent="0.25">
      <c r="A1313" s="21"/>
      <c r="B1313" s="21"/>
      <c r="C1313" s="21"/>
      <c r="E1313" s="21"/>
      <c r="F1313" s="21"/>
      <c r="G1313" s="14"/>
      <c r="H1313" s="14"/>
      <c r="I1313" s="14"/>
      <c r="J1313" s="14"/>
      <c r="K1313" s="14"/>
      <c r="L1313" s="14"/>
      <c r="M1313" s="14"/>
      <c r="N1313" s="14"/>
      <c r="O1313" s="14"/>
      <c r="P1313" s="14"/>
      <c r="Q1313" s="14"/>
      <c r="R1313" s="14"/>
      <c r="S1313" s="14"/>
      <c r="T1313" s="14"/>
      <c r="U1313" s="14"/>
      <c r="V1313" s="14"/>
      <c r="W1313" s="14"/>
      <c r="X1313" s="14"/>
      <c r="Y1313" s="14"/>
    </row>
    <row r="1314" spans="1:25" ht="15.75" x14ac:dyDescent="0.25">
      <c r="A1314" s="21"/>
      <c r="B1314" s="21"/>
      <c r="C1314" s="21"/>
      <c r="E1314" s="21"/>
      <c r="F1314" s="21"/>
      <c r="G1314" s="14"/>
      <c r="H1314" s="14"/>
      <c r="I1314" s="14"/>
      <c r="J1314" s="14"/>
      <c r="K1314" s="14"/>
      <c r="L1314" s="14"/>
      <c r="M1314" s="14"/>
      <c r="N1314" s="14"/>
      <c r="O1314" s="14"/>
      <c r="P1314" s="14"/>
      <c r="Q1314" s="14"/>
      <c r="R1314" s="14"/>
      <c r="S1314" s="14"/>
      <c r="T1314" s="14"/>
      <c r="U1314" s="14"/>
      <c r="V1314" s="14"/>
      <c r="W1314" s="14"/>
      <c r="X1314" s="14"/>
      <c r="Y1314" s="14"/>
    </row>
    <row r="1315" spans="1:25" ht="15.75" x14ac:dyDescent="0.25">
      <c r="A1315" s="21"/>
      <c r="B1315" s="21"/>
      <c r="C1315" s="21"/>
      <c r="E1315" s="21"/>
      <c r="F1315" s="21"/>
      <c r="G1315" s="14"/>
      <c r="H1315" s="14"/>
      <c r="I1315" s="14"/>
      <c r="J1315" s="14"/>
      <c r="K1315" s="14"/>
      <c r="L1315" s="14"/>
      <c r="M1315" s="14"/>
      <c r="N1315" s="14"/>
      <c r="O1315" s="14"/>
      <c r="P1315" s="14"/>
      <c r="Q1315" s="14"/>
      <c r="R1315" s="14"/>
      <c r="S1315" s="14"/>
      <c r="T1315" s="14"/>
      <c r="U1315" s="14"/>
      <c r="V1315" s="14"/>
      <c r="W1315" s="14"/>
      <c r="X1315" s="14"/>
      <c r="Y1315" s="14"/>
    </row>
    <row r="1316" spans="1:25" ht="15.75" x14ac:dyDescent="0.25">
      <c r="A1316" s="21"/>
      <c r="B1316" s="21"/>
      <c r="C1316" s="21"/>
      <c r="E1316" s="21"/>
      <c r="F1316" s="21"/>
      <c r="G1316" s="14"/>
      <c r="H1316" s="14"/>
      <c r="I1316" s="14"/>
      <c r="J1316" s="14"/>
      <c r="K1316" s="14"/>
      <c r="L1316" s="14"/>
      <c r="M1316" s="14"/>
      <c r="N1316" s="14"/>
      <c r="O1316" s="14"/>
      <c r="P1316" s="14"/>
      <c r="Q1316" s="14"/>
      <c r="R1316" s="14"/>
      <c r="S1316" s="14"/>
      <c r="T1316" s="14"/>
      <c r="U1316" s="14"/>
      <c r="V1316" s="14"/>
      <c r="W1316" s="14"/>
      <c r="X1316" s="14"/>
      <c r="Y1316" s="14"/>
    </row>
    <row r="1317" spans="1:25" ht="15.75" x14ac:dyDescent="0.25">
      <c r="A1317" s="21"/>
      <c r="B1317" s="21"/>
      <c r="C1317" s="21"/>
      <c r="E1317" s="21"/>
      <c r="F1317" s="21"/>
      <c r="G1317" s="14"/>
      <c r="H1317" s="14"/>
      <c r="I1317" s="14"/>
      <c r="J1317" s="14"/>
      <c r="K1317" s="14"/>
      <c r="L1317" s="14"/>
      <c r="M1317" s="14"/>
      <c r="N1317" s="14"/>
      <c r="O1317" s="14"/>
      <c r="P1317" s="14"/>
      <c r="Q1317" s="14"/>
      <c r="R1317" s="14"/>
      <c r="S1317" s="14"/>
      <c r="T1317" s="14"/>
      <c r="U1317" s="14"/>
      <c r="V1317" s="14"/>
      <c r="W1317" s="14"/>
      <c r="X1317" s="14"/>
      <c r="Y1317" s="14"/>
    </row>
    <row r="1318" spans="1:25" ht="15.75" x14ac:dyDescent="0.25">
      <c r="A1318" s="21"/>
      <c r="B1318" s="21"/>
      <c r="C1318" s="21"/>
      <c r="E1318" s="21"/>
      <c r="F1318" s="21"/>
      <c r="G1318" s="14"/>
      <c r="H1318" s="14"/>
      <c r="I1318" s="14"/>
      <c r="J1318" s="14"/>
      <c r="K1318" s="14"/>
      <c r="L1318" s="14"/>
      <c r="M1318" s="14"/>
      <c r="N1318" s="14"/>
      <c r="O1318" s="14"/>
      <c r="P1318" s="14"/>
      <c r="Q1318" s="14"/>
      <c r="R1318" s="14"/>
      <c r="S1318" s="14"/>
      <c r="T1318" s="14"/>
      <c r="U1318" s="14"/>
      <c r="V1318" s="14"/>
      <c r="W1318" s="14"/>
      <c r="X1318" s="14"/>
      <c r="Y1318" s="14"/>
    </row>
    <row r="1319" spans="1:25" ht="15.75" x14ac:dyDescent="0.25">
      <c r="A1319" s="21"/>
      <c r="B1319" s="21"/>
      <c r="C1319" s="21"/>
      <c r="E1319" s="21"/>
      <c r="F1319" s="21"/>
      <c r="G1319" s="14"/>
      <c r="H1319" s="14"/>
      <c r="I1319" s="14"/>
      <c r="J1319" s="14"/>
      <c r="K1319" s="14"/>
      <c r="L1319" s="14"/>
      <c r="M1319" s="14"/>
      <c r="N1319" s="14"/>
      <c r="O1319" s="14"/>
      <c r="P1319" s="14"/>
      <c r="Q1319" s="14"/>
      <c r="R1319" s="14"/>
      <c r="S1319" s="14"/>
      <c r="T1319" s="14"/>
      <c r="U1319" s="14"/>
      <c r="V1319" s="14"/>
      <c r="W1319" s="14"/>
      <c r="X1319" s="14"/>
      <c r="Y1319" s="14"/>
    </row>
    <row r="1320" spans="1:25" ht="15.75" x14ac:dyDescent="0.25">
      <c r="A1320" s="21"/>
      <c r="B1320" s="21"/>
      <c r="C1320" s="21"/>
      <c r="E1320" s="21"/>
      <c r="F1320" s="21"/>
      <c r="G1320" s="14"/>
      <c r="H1320" s="14"/>
      <c r="I1320" s="14"/>
      <c r="J1320" s="14"/>
      <c r="K1320" s="14"/>
      <c r="L1320" s="14"/>
      <c r="M1320" s="14"/>
      <c r="N1320" s="14"/>
      <c r="O1320" s="14"/>
      <c r="P1320" s="14"/>
      <c r="Q1320" s="14"/>
      <c r="R1320" s="14"/>
      <c r="S1320" s="14"/>
      <c r="T1320" s="14"/>
      <c r="U1320" s="14"/>
      <c r="V1320" s="14"/>
      <c r="W1320" s="14"/>
      <c r="X1320" s="14"/>
      <c r="Y1320" s="14"/>
    </row>
    <row r="1321" spans="1:25" ht="15.75" x14ac:dyDescent="0.25">
      <c r="A1321" s="21"/>
      <c r="B1321" s="21"/>
      <c r="C1321" s="21"/>
      <c r="E1321" s="21"/>
      <c r="F1321" s="21"/>
      <c r="G1321" s="14"/>
      <c r="H1321" s="14"/>
      <c r="I1321" s="14"/>
      <c r="J1321" s="14"/>
      <c r="K1321" s="14"/>
      <c r="L1321" s="14"/>
      <c r="M1321" s="14"/>
      <c r="N1321" s="14"/>
      <c r="O1321" s="14"/>
      <c r="P1321" s="14"/>
      <c r="Q1321" s="14"/>
      <c r="R1321" s="14"/>
      <c r="S1321" s="14"/>
      <c r="T1321" s="14"/>
      <c r="U1321" s="14"/>
      <c r="V1321" s="14"/>
      <c r="W1321" s="14"/>
      <c r="X1321" s="14"/>
      <c r="Y1321" s="14"/>
    </row>
    <row r="1322" spans="1:25" ht="15.75" x14ac:dyDescent="0.25">
      <c r="A1322" s="21"/>
      <c r="B1322" s="21"/>
      <c r="C1322" s="21"/>
      <c r="E1322" s="21"/>
      <c r="F1322" s="21"/>
      <c r="G1322" s="14"/>
      <c r="H1322" s="14"/>
      <c r="I1322" s="14"/>
      <c r="J1322" s="14"/>
      <c r="K1322" s="14"/>
      <c r="L1322" s="14"/>
      <c r="M1322" s="14"/>
      <c r="N1322" s="14"/>
      <c r="O1322" s="14"/>
      <c r="P1322" s="14"/>
      <c r="Q1322" s="14"/>
      <c r="R1322" s="14"/>
      <c r="S1322" s="14"/>
      <c r="T1322" s="14"/>
      <c r="U1322" s="14"/>
      <c r="V1322" s="14"/>
      <c r="W1322" s="14"/>
      <c r="X1322" s="14"/>
      <c r="Y1322" s="14"/>
    </row>
    <row r="1323" spans="1:25" ht="15.75" x14ac:dyDescent="0.25">
      <c r="A1323" s="21"/>
      <c r="B1323" s="21"/>
      <c r="C1323" s="21"/>
      <c r="E1323" s="21"/>
      <c r="F1323" s="21"/>
      <c r="G1323" s="14"/>
      <c r="H1323" s="14"/>
      <c r="I1323" s="14"/>
      <c r="J1323" s="14"/>
      <c r="K1323" s="14"/>
      <c r="L1323" s="14"/>
      <c r="M1323" s="14"/>
      <c r="N1323" s="14"/>
      <c r="O1323" s="14"/>
      <c r="P1323" s="14"/>
      <c r="Q1323" s="14"/>
      <c r="R1323" s="14"/>
      <c r="S1323" s="14"/>
      <c r="T1323" s="14"/>
      <c r="U1323" s="14"/>
      <c r="V1323" s="14"/>
      <c r="W1323" s="14"/>
      <c r="X1323" s="14"/>
      <c r="Y1323" s="14"/>
    </row>
    <row r="1324" spans="1:25" ht="15.75" x14ac:dyDescent="0.25">
      <c r="A1324" s="21"/>
      <c r="B1324" s="21"/>
      <c r="C1324" s="21"/>
      <c r="E1324" s="21"/>
      <c r="F1324" s="21"/>
      <c r="G1324" s="14"/>
      <c r="H1324" s="14"/>
      <c r="I1324" s="14"/>
      <c r="J1324" s="14"/>
      <c r="K1324" s="14"/>
      <c r="L1324" s="14"/>
      <c r="M1324" s="14"/>
      <c r="N1324" s="14"/>
      <c r="O1324" s="14"/>
      <c r="P1324" s="14"/>
      <c r="Q1324" s="14"/>
      <c r="R1324" s="14"/>
      <c r="S1324" s="14"/>
      <c r="T1324" s="14"/>
      <c r="U1324" s="14"/>
      <c r="V1324" s="14"/>
      <c r="W1324" s="14"/>
      <c r="X1324" s="14"/>
      <c r="Y1324" s="14"/>
    </row>
    <row r="1325" spans="1:25" ht="15.75" x14ac:dyDescent="0.25">
      <c r="A1325" s="21"/>
      <c r="B1325" s="21"/>
      <c r="C1325" s="21"/>
      <c r="E1325" s="21"/>
      <c r="F1325" s="21"/>
      <c r="G1325" s="14"/>
      <c r="H1325" s="14"/>
      <c r="I1325" s="14"/>
      <c r="J1325" s="14"/>
      <c r="K1325" s="14"/>
      <c r="L1325" s="14"/>
      <c r="M1325" s="14"/>
      <c r="N1325" s="14"/>
      <c r="O1325" s="14"/>
      <c r="P1325" s="14"/>
      <c r="Q1325" s="14"/>
      <c r="R1325" s="14"/>
      <c r="S1325" s="14"/>
      <c r="T1325" s="14"/>
      <c r="U1325" s="14"/>
      <c r="V1325" s="14"/>
      <c r="W1325" s="14"/>
      <c r="X1325" s="14"/>
      <c r="Y1325" s="14"/>
    </row>
    <row r="1326" spans="1:25" ht="15.75" x14ac:dyDescent="0.25">
      <c r="A1326" s="21"/>
      <c r="B1326" s="21"/>
      <c r="C1326" s="21"/>
      <c r="E1326" s="21"/>
      <c r="F1326" s="21"/>
      <c r="G1326" s="14"/>
      <c r="H1326" s="14"/>
      <c r="I1326" s="14"/>
      <c r="J1326" s="14"/>
      <c r="K1326" s="14"/>
      <c r="L1326" s="14"/>
      <c r="M1326" s="14"/>
      <c r="N1326" s="14"/>
      <c r="O1326" s="14"/>
      <c r="P1326" s="14"/>
      <c r="Q1326" s="14"/>
      <c r="R1326" s="14"/>
      <c r="S1326" s="14"/>
      <c r="T1326" s="14"/>
      <c r="U1326" s="14"/>
      <c r="V1326" s="14"/>
      <c r="W1326" s="14"/>
      <c r="X1326" s="14"/>
      <c r="Y1326" s="14"/>
    </row>
    <row r="1327" spans="1:25" ht="15.75" x14ac:dyDescent="0.25">
      <c r="A1327" s="21"/>
      <c r="B1327" s="21"/>
      <c r="C1327" s="21"/>
      <c r="E1327" s="21"/>
      <c r="F1327" s="21"/>
      <c r="G1327" s="14"/>
      <c r="H1327" s="14"/>
      <c r="I1327" s="14"/>
      <c r="J1327" s="14"/>
      <c r="K1327" s="14"/>
      <c r="L1327" s="14"/>
      <c r="M1327" s="14"/>
      <c r="N1327" s="14"/>
      <c r="O1327" s="14"/>
      <c r="P1327" s="14"/>
      <c r="Q1327" s="14"/>
      <c r="R1327" s="14"/>
      <c r="S1327" s="14"/>
      <c r="T1327" s="14"/>
      <c r="U1327" s="14"/>
      <c r="V1327" s="14"/>
      <c r="W1327" s="14"/>
      <c r="X1327" s="14"/>
      <c r="Y1327" s="14"/>
    </row>
    <row r="1328" spans="1:25" ht="15.75" x14ac:dyDescent="0.25">
      <c r="A1328" s="21"/>
      <c r="B1328" s="21"/>
      <c r="C1328" s="21"/>
      <c r="E1328" s="21"/>
      <c r="F1328" s="21"/>
      <c r="G1328" s="14"/>
      <c r="H1328" s="14"/>
      <c r="I1328" s="14"/>
      <c r="J1328" s="14"/>
      <c r="K1328" s="14"/>
      <c r="L1328" s="14"/>
      <c r="M1328" s="14"/>
      <c r="N1328" s="14"/>
      <c r="O1328" s="14"/>
      <c r="P1328" s="14"/>
      <c r="Q1328" s="14"/>
      <c r="R1328" s="14"/>
      <c r="S1328" s="14"/>
      <c r="T1328" s="14"/>
      <c r="U1328" s="14"/>
      <c r="V1328" s="14"/>
      <c r="W1328" s="14"/>
      <c r="X1328" s="14"/>
      <c r="Y1328" s="14"/>
    </row>
    <row r="1329" spans="1:25" ht="15.75" x14ac:dyDescent="0.25">
      <c r="A1329" s="21"/>
      <c r="B1329" s="21"/>
      <c r="C1329" s="21"/>
      <c r="E1329" s="21"/>
      <c r="F1329" s="21"/>
      <c r="G1329" s="14"/>
      <c r="H1329" s="14"/>
      <c r="I1329" s="14"/>
      <c r="J1329" s="14"/>
      <c r="K1329" s="14"/>
      <c r="L1329" s="14"/>
      <c r="M1329" s="14"/>
      <c r="N1329" s="14"/>
      <c r="O1329" s="14"/>
      <c r="P1329" s="14"/>
      <c r="Q1329" s="14"/>
      <c r="R1329" s="14"/>
      <c r="S1329" s="14"/>
      <c r="T1329" s="14"/>
      <c r="U1329" s="14"/>
      <c r="V1329" s="14"/>
      <c r="W1329" s="14"/>
      <c r="X1329" s="14"/>
      <c r="Y1329" s="14"/>
    </row>
    <row r="1330" spans="1:25" ht="15.75" x14ac:dyDescent="0.25">
      <c r="A1330" s="21"/>
      <c r="B1330" s="21"/>
      <c r="C1330" s="21"/>
      <c r="E1330" s="21"/>
      <c r="F1330" s="21"/>
      <c r="G1330" s="14"/>
      <c r="H1330" s="14"/>
      <c r="I1330" s="14"/>
      <c r="J1330" s="14"/>
      <c r="K1330" s="14"/>
      <c r="L1330" s="14"/>
      <c r="M1330" s="14"/>
      <c r="N1330" s="14"/>
      <c r="O1330" s="14"/>
      <c r="P1330" s="14"/>
      <c r="Q1330" s="14"/>
      <c r="R1330" s="14"/>
      <c r="S1330" s="14"/>
      <c r="T1330" s="14"/>
      <c r="U1330" s="14"/>
      <c r="V1330" s="14"/>
      <c r="W1330" s="14"/>
      <c r="X1330" s="14"/>
      <c r="Y1330" s="14"/>
    </row>
    <row r="1331" spans="1:25" ht="15.75" x14ac:dyDescent="0.25">
      <c r="A1331" s="21"/>
      <c r="B1331" s="21"/>
      <c r="C1331" s="21"/>
      <c r="E1331" s="21"/>
      <c r="F1331" s="21"/>
      <c r="G1331" s="14"/>
      <c r="H1331" s="14"/>
      <c r="I1331" s="14"/>
      <c r="J1331" s="14"/>
      <c r="K1331" s="14"/>
      <c r="L1331" s="14"/>
      <c r="M1331" s="14"/>
      <c r="N1331" s="14"/>
      <c r="O1331" s="14"/>
      <c r="P1331" s="14"/>
      <c r="Q1331" s="14"/>
      <c r="R1331" s="14"/>
      <c r="S1331" s="14"/>
      <c r="T1331" s="14"/>
      <c r="U1331" s="14"/>
      <c r="V1331" s="14"/>
      <c r="W1331" s="14"/>
      <c r="X1331" s="14"/>
      <c r="Y1331" s="14"/>
    </row>
    <row r="1332" spans="1:25" ht="15.75" x14ac:dyDescent="0.25">
      <c r="A1332" s="21"/>
      <c r="B1332" s="21"/>
      <c r="C1332" s="21"/>
      <c r="E1332" s="21"/>
      <c r="F1332" s="21"/>
      <c r="G1332" s="14"/>
      <c r="H1332" s="14"/>
      <c r="I1332" s="14"/>
      <c r="J1332" s="14"/>
      <c r="K1332" s="14"/>
      <c r="L1332" s="14"/>
      <c r="M1332" s="14"/>
      <c r="N1332" s="14"/>
      <c r="O1332" s="14"/>
      <c r="P1332" s="14"/>
      <c r="Q1332" s="14"/>
      <c r="R1332" s="14"/>
      <c r="S1332" s="14"/>
      <c r="T1332" s="14"/>
      <c r="U1332" s="14"/>
      <c r="V1332" s="14"/>
      <c r="W1332" s="14"/>
      <c r="X1332" s="14"/>
      <c r="Y1332" s="14"/>
    </row>
    <row r="1333" spans="1:25" ht="15.75" x14ac:dyDescent="0.25">
      <c r="A1333" s="21"/>
      <c r="B1333" s="21"/>
      <c r="C1333" s="21"/>
      <c r="E1333" s="21"/>
      <c r="F1333" s="21"/>
      <c r="G1333" s="14"/>
      <c r="H1333" s="14"/>
      <c r="I1333" s="14"/>
      <c r="J1333" s="14"/>
      <c r="K1333" s="14"/>
      <c r="L1333" s="14"/>
      <c r="M1333" s="14"/>
      <c r="N1333" s="14"/>
      <c r="O1333" s="14"/>
      <c r="P1333" s="14"/>
      <c r="Q1333" s="14"/>
      <c r="R1333" s="14"/>
      <c r="S1333" s="14"/>
      <c r="T1333" s="14"/>
      <c r="U1333" s="14"/>
      <c r="V1333" s="14"/>
      <c r="W1333" s="14"/>
      <c r="X1333" s="14"/>
      <c r="Y1333" s="14"/>
    </row>
    <row r="1334" spans="1:25" ht="15.75" x14ac:dyDescent="0.25">
      <c r="A1334" s="21"/>
      <c r="B1334" s="21"/>
      <c r="C1334" s="21"/>
      <c r="E1334" s="21"/>
      <c r="F1334" s="21"/>
      <c r="G1334" s="14"/>
      <c r="H1334" s="14"/>
      <c r="I1334" s="14"/>
      <c r="J1334" s="14"/>
      <c r="K1334" s="14"/>
      <c r="L1334" s="14"/>
      <c r="M1334" s="14"/>
      <c r="N1334" s="14"/>
      <c r="O1334" s="14"/>
      <c r="P1334" s="14"/>
      <c r="Q1334" s="14"/>
      <c r="R1334" s="14"/>
      <c r="S1334" s="14"/>
      <c r="T1334" s="14"/>
      <c r="U1334" s="14"/>
      <c r="V1334" s="14"/>
      <c r="W1334" s="14"/>
      <c r="X1334" s="14"/>
      <c r="Y1334" s="14"/>
    </row>
    <row r="1335" spans="1:25" ht="15.75" x14ac:dyDescent="0.25">
      <c r="A1335" s="21"/>
      <c r="B1335" s="21"/>
      <c r="C1335" s="21"/>
      <c r="E1335" s="21"/>
      <c r="F1335" s="21"/>
      <c r="G1335" s="14"/>
      <c r="H1335" s="14"/>
      <c r="I1335" s="14"/>
      <c r="J1335" s="14"/>
      <c r="K1335" s="14"/>
      <c r="L1335" s="14"/>
      <c r="M1335" s="14"/>
      <c r="N1335" s="14"/>
      <c r="O1335" s="14"/>
      <c r="P1335" s="14"/>
      <c r="Q1335" s="14"/>
      <c r="R1335" s="14"/>
      <c r="S1335" s="14"/>
      <c r="T1335" s="14"/>
      <c r="U1335" s="14"/>
      <c r="V1335" s="14"/>
      <c r="W1335" s="14"/>
      <c r="X1335" s="14"/>
      <c r="Y1335" s="14"/>
    </row>
    <row r="1336" spans="1:25" ht="15.75" x14ac:dyDescent="0.25">
      <c r="A1336" s="21"/>
      <c r="B1336" s="21"/>
      <c r="C1336" s="21"/>
      <c r="E1336" s="21"/>
      <c r="F1336" s="21"/>
      <c r="G1336" s="14"/>
      <c r="H1336" s="14"/>
      <c r="I1336" s="14"/>
      <c r="J1336" s="14"/>
      <c r="K1336" s="14"/>
      <c r="L1336" s="14"/>
      <c r="M1336" s="14"/>
      <c r="N1336" s="14"/>
      <c r="O1336" s="14"/>
      <c r="P1336" s="14"/>
      <c r="Q1336" s="14"/>
      <c r="R1336" s="14"/>
      <c r="S1336" s="14"/>
      <c r="T1336" s="14"/>
      <c r="U1336" s="14"/>
      <c r="V1336" s="14"/>
      <c r="W1336" s="14"/>
      <c r="X1336" s="14"/>
      <c r="Y1336" s="14"/>
    </row>
    <row r="1337" spans="1:25" ht="15.75" x14ac:dyDescent="0.25">
      <c r="A1337" s="21"/>
      <c r="B1337" s="21"/>
      <c r="C1337" s="21"/>
      <c r="E1337" s="21"/>
      <c r="F1337" s="21"/>
      <c r="G1337" s="14"/>
      <c r="H1337" s="14"/>
      <c r="I1337" s="14"/>
      <c r="J1337" s="14"/>
      <c r="K1337" s="14"/>
      <c r="L1337" s="14"/>
      <c r="M1337" s="14"/>
      <c r="N1337" s="14"/>
      <c r="O1337" s="14"/>
      <c r="P1337" s="14"/>
      <c r="Q1337" s="14"/>
      <c r="R1337" s="14"/>
      <c r="S1337" s="14"/>
      <c r="T1337" s="14"/>
      <c r="U1337" s="14"/>
      <c r="V1337" s="14"/>
      <c r="W1337" s="14"/>
      <c r="X1337" s="14"/>
      <c r="Y1337" s="14"/>
    </row>
    <row r="1338" spans="1:25" ht="15.75" x14ac:dyDescent="0.25">
      <c r="A1338" s="21"/>
      <c r="B1338" s="21"/>
      <c r="C1338" s="21"/>
      <c r="E1338" s="21"/>
      <c r="F1338" s="21"/>
      <c r="G1338" s="14"/>
      <c r="H1338" s="14"/>
      <c r="I1338" s="14"/>
      <c r="J1338" s="14"/>
      <c r="K1338" s="14"/>
      <c r="L1338" s="14"/>
      <c r="M1338" s="14"/>
      <c r="N1338" s="14"/>
      <c r="O1338" s="14"/>
      <c r="P1338" s="14"/>
      <c r="Q1338" s="14"/>
      <c r="R1338" s="14"/>
      <c r="S1338" s="14"/>
      <c r="T1338" s="14"/>
      <c r="U1338" s="14"/>
      <c r="V1338" s="14"/>
      <c r="W1338" s="14"/>
      <c r="X1338" s="14"/>
      <c r="Y1338" s="14"/>
    </row>
    <row r="1339" spans="1:25" ht="15.75" x14ac:dyDescent="0.25">
      <c r="A1339" s="21"/>
      <c r="B1339" s="21"/>
      <c r="C1339" s="21"/>
      <c r="E1339" s="21"/>
      <c r="F1339" s="21"/>
      <c r="G1339" s="14"/>
      <c r="H1339" s="14"/>
      <c r="I1339" s="14"/>
      <c r="J1339" s="14"/>
      <c r="K1339" s="14"/>
      <c r="L1339" s="14"/>
      <c r="M1339" s="14"/>
      <c r="N1339" s="14"/>
      <c r="O1339" s="14"/>
      <c r="P1339" s="14"/>
      <c r="Q1339" s="14"/>
      <c r="R1339" s="14"/>
      <c r="S1339" s="14"/>
      <c r="T1339" s="14"/>
      <c r="U1339" s="14"/>
      <c r="V1339" s="14"/>
      <c r="W1339" s="14"/>
      <c r="X1339" s="14"/>
      <c r="Y1339" s="14"/>
    </row>
    <row r="1340" spans="1:25" ht="15.75" x14ac:dyDescent="0.25">
      <c r="A1340" s="21"/>
      <c r="B1340" s="21"/>
      <c r="C1340" s="21"/>
      <c r="E1340" s="21"/>
      <c r="F1340" s="21"/>
      <c r="G1340" s="14"/>
      <c r="H1340" s="14"/>
      <c r="I1340" s="14"/>
      <c r="J1340" s="14"/>
      <c r="K1340" s="14"/>
      <c r="L1340" s="14"/>
      <c r="M1340" s="14"/>
      <c r="N1340" s="14"/>
      <c r="O1340" s="14"/>
      <c r="P1340" s="14"/>
      <c r="Q1340" s="14"/>
      <c r="R1340" s="14"/>
      <c r="S1340" s="14"/>
      <c r="T1340" s="14"/>
      <c r="U1340" s="14"/>
      <c r="V1340" s="14"/>
      <c r="W1340" s="14"/>
      <c r="X1340" s="14"/>
      <c r="Y1340" s="14"/>
    </row>
    <row r="1341" spans="1:25" ht="15.75" x14ac:dyDescent="0.25">
      <c r="A1341" s="21"/>
      <c r="B1341" s="21"/>
      <c r="C1341" s="21"/>
      <c r="E1341" s="21"/>
      <c r="F1341" s="21"/>
      <c r="G1341" s="14"/>
      <c r="H1341" s="14"/>
      <c r="I1341" s="14"/>
      <c r="J1341" s="14"/>
      <c r="K1341" s="14"/>
      <c r="L1341" s="14"/>
      <c r="M1341" s="14"/>
      <c r="N1341" s="14"/>
      <c r="O1341" s="14"/>
      <c r="P1341" s="14"/>
      <c r="Q1341" s="14"/>
      <c r="R1341" s="14"/>
      <c r="S1341" s="14"/>
      <c r="T1341" s="14"/>
      <c r="U1341" s="14"/>
      <c r="V1341" s="14"/>
      <c r="W1341" s="14"/>
      <c r="X1341" s="14"/>
      <c r="Y1341" s="14"/>
    </row>
    <row r="1342" spans="1:25" ht="15.75" x14ac:dyDescent="0.25">
      <c r="A1342" s="21"/>
      <c r="B1342" s="21"/>
      <c r="C1342" s="21"/>
      <c r="E1342" s="21"/>
      <c r="F1342" s="21"/>
      <c r="G1342" s="14"/>
      <c r="H1342" s="14"/>
      <c r="I1342" s="14"/>
      <c r="J1342" s="14"/>
      <c r="K1342" s="14"/>
      <c r="L1342" s="14"/>
      <c r="M1342" s="14"/>
      <c r="N1342" s="14"/>
      <c r="O1342" s="14"/>
      <c r="P1342" s="14"/>
      <c r="Q1342" s="14"/>
      <c r="R1342" s="14"/>
      <c r="S1342" s="14"/>
      <c r="T1342" s="14"/>
      <c r="U1342" s="14"/>
      <c r="V1342" s="14"/>
      <c r="W1342" s="14"/>
      <c r="X1342" s="14"/>
      <c r="Y1342" s="14"/>
    </row>
    <row r="1343" spans="1:25" ht="15.75" x14ac:dyDescent="0.25">
      <c r="A1343" s="21"/>
      <c r="B1343" s="21"/>
      <c r="C1343" s="21"/>
      <c r="E1343" s="21"/>
      <c r="F1343" s="21"/>
      <c r="G1343" s="14"/>
      <c r="H1343" s="14"/>
      <c r="I1343" s="14"/>
      <c r="J1343" s="14"/>
      <c r="K1343" s="14"/>
      <c r="L1343" s="14"/>
      <c r="M1343" s="14"/>
      <c r="N1343" s="14"/>
      <c r="O1343" s="14"/>
      <c r="P1343" s="14"/>
      <c r="Q1343" s="14"/>
      <c r="R1343" s="14"/>
      <c r="S1343" s="14"/>
      <c r="T1343" s="14"/>
      <c r="U1343" s="14"/>
      <c r="V1343" s="14"/>
      <c r="W1343" s="14"/>
      <c r="X1343" s="14"/>
      <c r="Y1343" s="14"/>
    </row>
    <row r="1344" spans="1:25" ht="15.75" x14ac:dyDescent="0.25">
      <c r="A1344" s="21"/>
      <c r="B1344" s="21"/>
      <c r="C1344" s="21"/>
      <c r="E1344" s="21"/>
      <c r="F1344" s="21"/>
      <c r="G1344" s="14"/>
      <c r="H1344" s="14"/>
      <c r="I1344" s="14"/>
      <c r="J1344" s="14"/>
      <c r="K1344" s="14"/>
      <c r="L1344" s="14"/>
      <c r="M1344" s="14"/>
      <c r="N1344" s="14"/>
      <c r="O1344" s="14"/>
      <c r="P1344" s="14"/>
      <c r="Q1344" s="14"/>
      <c r="R1344" s="14"/>
      <c r="S1344" s="14"/>
      <c r="T1344" s="14"/>
      <c r="U1344" s="14"/>
      <c r="V1344" s="14"/>
      <c r="W1344" s="14"/>
      <c r="X1344" s="14"/>
      <c r="Y1344" s="14"/>
    </row>
    <row r="1345" spans="1:25" ht="15.75" x14ac:dyDescent="0.25">
      <c r="A1345" s="21"/>
      <c r="B1345" s="21"/>
      <c r="C1345" s="21"/>
      <c r="E1345" s="21"/>
      <c r="F1345" s="21"/>
      <c r="G1345" s="14"/>
      <c r="H1345" s="14"/>
      <c r="I1345" s="14"/>
      <c r="J1345" s="14"/>
      <c r="K1345" s="14"/>
      <c r="L1345" s="14"/>
      <c r="M1345" s="14"/>
      <c r="N1345" s="14"/>
      <c r="O1345" s="14"/>
      <c r="P1345" s="14"/>
      <c r="Q1345" s="14"/>
      <c r="R1345" s="14"/>
      <c r="S1345" s="14"/>
      <c r="T1345" s="14"/>
      <c r="U1345" s="14"/>
      <c r="V1345" s="14"/>
      <c r="W1345" s="14"/>
      <c r="X1345" s="14"/>
      <c r="Y1345" s="14"/>
    </row>
    <row r="1346" spans="1:25" ht="15.75" x14ac:dyDescent="0.25">
      <c r="A1346" s="21"/>
      <c r="B1346" s="21"/>
      <c r="C1346" s="21"/>
      <c r="E1346" s="21"/>
      <c r="F1346" s="21"/>
      <c r="G1346" s="14"/>
      <c r="H1346" s="14"/>
      <c r="I1346" s="14"/>
      <c r="J1346" s="14"/>
      <c r="K1346" s="14"/>
      <c r="L1346" s="14"/>
      <c r="M1346" s="14"/>
      <c r="N1346" s="14"/>
      <c r="O1346" s="14"/>
      <c r="P1346" s="14"/>
      <c r="Q1346" s="14"/>
      <c r="R1346" s="14"/>
      <c r="S1346" s="14"/>
      <c r="T1346" s="14"/>
      <c r="U1346" s="14"/>
      <c r="V1346" s="14"/>
      <c r="W1346" s="14"/>
      <c r="X1346" s="14"/>
      <c r="Y1346" s="14"/>
    </row>
    <row r="1347" spans="1:25" ht="15.75" x14ac:dyDescent="0.25">
      <c r="A1347" s="21"/>
      <c r="B1347" s="21"/>
      <c r="C1347" s="21"/>
      <c r="E1347" s="21"/>
      <c r="F1347" s="21"/>
      <c r="G1347" s="14"/>
      <c r="H1347" s="14"/>
      <c r="I1347" s="14"/>
      <c r="J1347" s="14"/>
      <c r="K1347" s="14"/>
      <c r="L1347" s="14"/>
      <c r="M1347" s="14"/>
      <c r="N1347" s="14"/>
      <c r="O1347" s="14"/>
      <c r="P1347" s="14"/>
      <c r="Q1347" s="14"/>
      <c r="R1347" s="14"/>
      <c r="S1347" s="14"/>
      <c r="T1347" s="14"/>
      <c r="U1347" s="14"/>
      <c r="V1347" s="14"/>
      <c r="W1347" s="14"/>
      <c r="X1347" s="14"/>
      <c r="Y1347" s="14"/>
    </row>
    <row r="1348" spans="1:25" ht="15.75" x14ac:dyDescent="0.25">
      <c r="A1348" s="21"/>
      <c r="B1348" s="21"/>
      <c r="C1348" s="21"/>
      <c r="E1348" s="21"/>
      <c r="F1348" s="21"/>
      <c r="G1348" s="14"/>
      <c r="H1348" s="14"/>
      <c r="I1348" s="14"/>
      <c r="J1348" s="14"/>
      <c r="K1348" s="14"/>
      <c r="L1348" s="14"/>
      <c r="M1348" s="14"/>
      <c r="N1348" s="14"/>
      <c r="O1348" s="14"/>
      <c r="P1348" s="14"/>
      <c r="Q1348" s="14"/>
      <c r="R1348" s="14"/>
      <c r="S1348" s="14"/>
      <c r="T1348" s="14"/>
      <c r="U1348" s="14"/>
      <c r="V1348" s="14"/>
      <c r="W1348" s="14"/>
      <c r="X1348" s="14"/>
      <c r="Y1348" s="14"/>
    </row>
    <row r="1349" spans="1:25" ht="15.75" x14ac:dyDescent="0.25">
      <c r="A1349" s="21"/>
      <c r="B1349" s="21"/>
      <c r="C1349" s="21"/>
      <c r="E1349" s="21"/>
      <c r="F1349" s="21"/>
      <c r="G1349" s="14"/>
      <c r="H1349" s="14"/>
      <c r="I1349" s="14"/>
      <c r="J1349" s="14"/>
      <c r="K1349" s="14"/>
      <c r="L1349" s="14"/>
      <c r="M1349" s="14"/>
      <c r="N1349" s="14"/>
      <c r="O1349" s="14"/>
      <c r="P1349" s="14"/>
      <c r="Q1349" s="14"/>
      <c r="R1349" s="14"/>
      <c r="S1349" s="14"/>
      <c r="T1349" s="14"/>
      <c r="U1349" s="14"/>
      <c r="V1349" s="14"/>
      <c r="W1349" s="14"/>
      <c r="X1349" s="14"/>
      <c r="Y1349" s="14"/>
    </row>
    <row r="1350" spans="1:25" ht="15.75" x14ac:dyDescent="0.25">
      <c r="A1350" s="21"/>
      <c r="B1350" s="21"/>
      <c r="C1350" s="21"/>
      <c r="E1350" s="21"/>
      <c r="F1350" s="21"/>
      <c r="G1350" s="14"/>
      <c r="H1350" s="14"/>
      <c r="I1350" s="14"/>
      <c r="J1350" s="14"/>
      <c r="K1350" s="14"/>
      <c r="L1350" s="14"/>
      <c r="M1350" s="14"/>
      <c r="N1350" s="14"/>
      <c r="O1350" s="14"/>
      <c r="P1350" s="14"/>
      <c r="Q1350" s="14"/>
      <c r="R1350" s="14"/>
      <c r="S1350" s="14"/>
      <c r="T1350" s="14"/>
      <c r="U1350" s="14"/>
      <c r="V1350" s="14"/>
      <c r="W1350" s="14"/>
      <c r="X1350" s="14"/>
      <c r="Y1350" s="14"/>
    </row>
    <row r="1351" spans="1:25" ht="15.75" x14ac:dyDescent="0.25">
      <c r="A1351" s="21"/>
      <c r="B1351" s="21"/>
      <c r="C1351" s="21"/>
      <c r="E1351" s="21"/>
      <c r="F1351" s="21"/>
      <c r="G1351" s="14"/>
      <c r="H1351" s="14"/>
      <c r="I1351" s="14"/>
      <c r="J1351" s="14"/>
      <c r="K1351" s="14"/>
      <c r="L1351" s="14"/>
      <c r="M1351" s="14"/>
      <c r="N1351" s="14"/>
      <c r="O1351" s="14"/>
      <c r="P1351" s="14"/>
      <c r="Q1351" s="14"/>
      <c r="R1351" s="14"/>
      <c r="S1351" s="14"/>
      <c r="T1351" s="14"/>
      <c r="U1351" s="14"/>
      <c r="V1351" s="14"/>
      <c r="W1351" s="14"/>
      <c r="X1351" s="14"/>
      <c r="Y1351" s="14"/>
    </row>
    <row r="1352" spans="1:25" ht="15.75" x14ac:dyDescent="0.25">
      <c r="A1352" s="21"/>
      <c r="B1352" s="21"/>
      <c r="C1352" s="21"/>
      <c r="E1352" s="21"/>
      <c r="F1352" s="21"/>
      <c r="G1352" s="14"/>
      <c r="H1352" s="14"/>
      <c r="I1352" s="14"/>
      <c r="J1352" s="14"/>
      <c r="K1352" s="14"/>
      <c r="L1352" s="14"/>
      <c r="M1352" s="14"/>
      <c r="N1352" s="14"/>
      <c r="O1352" s="14"/>
      <c r="P1352" s="14"/>
      <c r="Q1352" s="14"/>
      <c r="R1352" s="14"/>
      <c r="S1352" s="14"/>
      <c r="T1352" s="14"/>
      <c r="U1352" s="14"/>
      <c r="V1352" s="14"/>
      <c r="W1352" s="14"/>
      <c r="X1352" s="14"/>
      <c r="Y1352" s="14"/>
    </row>
    <row r="1353" spans="1:25" ht="15.75" x14ac:dyDescent="0.25">
      <c r="A1353" s="21"/>
      <c r="B1353" s="21"/>
      <c r="C1353" s="21"/>
      <c r="E1353" s="21"/>
      <c r="F1353" s="21"/>
      <c r="G1353" s="14"/>
      <c r="H1353" s="14"/>
      <c r="I1353" s="14"/>
      <c r="J1353" s="14"/>
      <c r="K1353" s="14"/>
      <c r="L1353" s="14"/>
      <c r="M1353" s="14"/>
      <c r="N1353" s="14"/>
      <c r="O1353" s="14"/>
      <c r="P1353" s="14"/>
      <c r="Q1353" s="14"/>
      <c r="R1353" s="14"/>
      <c r="S1353" s="14"/>
      <c r="T1353" s="14"/>
      <c r="U1353" s="14"/>
      <c r="V1353" s="14"/>
      <c r="W1353" s="14"/>
      <c r="X1353" s="14"/>
      <c r="Y1353" s="14"/>
    </row>
    <row r="1354" spans="1:25" ht="15.75" x14ac:dyDescent="0.25">
      <c r="A1354" s="21"/>
      <c r="B1354" s="21"/>
      <c r="C1354" s="21"/>
      <c r="E1354" s="21"/>
      <c r="F1354" s="21"/>
      <c r="G1354" s="14"/>
      <c r="H1354" s="14"/>
      <c r="I1354" s="14"/>
      <c r="J1354" s="14"/>
      <c r="K1354" s="14"/>
      <c r="L1354" s="14"/>
      <c r="M1354" s="14"/>
      <c r="N1354" s="14"/>
      <c r="O1354" s="14"/>
      <c r="P1354" s="14"/>
      <c r="Q1354" s="14"/>
      <c r="R1354" s="14"/>
      <c r="S1354" s="14"/>
      <c r="T1354" s="14"/>
      <c r="U1354" s="14"/>
      <c r="V1354" s="14"/>
      <c r="W1354" s="14"/>
      <c r="X1354" s="14"/>
      <c r="Y1354" s="14"/>
    </row>
    <row r="1355" spans="1:25" ht="15.75" x14ac:dyDescent="0.25">
      <c r="A1355" s="21"/>
      <c r="B1355" s="21"/>
      <c r="C1355" s="21"/>
      <c r="E1355" s="21"/>
      <c r="F1355" s="21"/>
      <c r="G1355" s="14"/>
      <c r="H1355" s="14"/>
      <c r="I1355" s="14"/>
      <c r="J1355" s="14"/>
      <c r="K1355" s="14"/>
      <c r="L1355" s="14"/>
      <c r="M1355" s="14"/>
      <c r="N1355" s="14"/>
      <c r="O1355" s="14"/>
      <c r="P1355" s="14"/>
      <c r="Q1355" s="14"/>
      <c r="R1355" s="14"/>
      <c r="S1355" s="14"/>
      <c r="T1355" s="14"/>
      <c r="U1355" s="14"/>
      <c r="V1355" s="14"/>
      <c r="W1355" s="14"/>
      <c r="X1355" s="14"/>
      <c r="Y1355" s="14"/>
    </row>
    <row r="1356" spans="1:25" ht="15.75" x14ac:dyDescent="0.25">
      <c r="A1356" s="21"/>
      <c r="B1356" s="21"/>
      <c r="C1356" s="21"/>
      <c r="E1356" s="21"/>
      <c r="F1356" s="21"/>
      <c r="G1356" s="14"/>
      <c r="H1356" s="14"/>
      <c r="I1356" s="14"/>
      <c r="J1356" s="14"/>
      <c r="K1356" s="14"/>
      <c r="L1356" s="14"/>
      <c r="M1356" s="14"/>
      <c r="N1356" s="14"/>
      <c r="O1356" s="14"/>
      <c r="P1356" s="14"/>
      <c r="Q1356" s="14"/>
      <c r="R1356" s="14"/>
      <c r="S1356" s="14"/>
      <c r="T1356" s="14"/>
      <c r="U1356" s="14"/>
      <c r="V1356" s="14"/>
      <c r="W1356" s="14"/>
      <c r="X1356" s="14"/>
      <c r="Y1356" s="14"/>
    </row>
    <row r="1357" spans="1:25" ht="15.75" x14ac:dyDescent="0.25">
      <c r="A1357" s="21"/>
      <c r="B1357" s="21"/>
      <c r="C1357" s="21"/>
      <c r="E1357" s="21"/>
      <c r="F1357" s="21"/>
      <c r="G1357" s="14"/>
      <c r="H1357" s="14"/>
      <c r="I1357" s="14"/>
      <c r="J1357" s="14"/>
      <c r="K1357" s="14"/>
      <c r="L1357" s="14"/>
      <c r="M1357" s="14"/>
      <c r="N1357" s="14"/>
      <c r="O1357" s="14"/>
      <c r="P1357" s="14"/>
      <c r="Q1357" s="14"/>
      <c r="R1357" s="14"/>
      <c r="S1357" s="14"/>
      <c r="T1357" s="14"/>
      <c r="U1357" s="14"/>
      <c r="V1357" s="14"/>
      <c r="W1357" s="14"/>
      <c r="X1357" s="14"/>
      <c r="Y1357" s="14"/>
    </row>
    <row r="1358" spans="1:25" ht="15.75" x14ac:dyDescent="0.25">
      <c r="A1358" s="21"/>
      <c r="B1358" s="21"/>
      <c r="C1358" s="21"/>
      <c r="E1358" s="21"/>
      <c r="F1358" s="21"/>
      <c r="G1358" s="14"/>
      <c r="H1358" s="14"/>
      <c r="I1358" s="14"/>
      <c r="J1358" s="14"/>
      <c r="K1358" s="14"/>
      <c r="L1358" s="14"/>
      <c r="M1358" s="14"/>
      <c r="N1358" s="14"/>
      <c r="O1358" s="14"/>
      <c r="P1358" s="14"/>
      <c r="Q1358" s="14"/>
      <c r="R1358" s="14"/>
      <c r="S1358" s="14"/>
      <c r="T1358" s="14"/>
      <c r="U1358" s="14"/>
      <c r="V1358" s="14"/>
      <c r="W1358" s="14"/>
      <c r="X1358" s="14"/>
      <c r="Y1358" s="14"/>
    </row>
    <row r="1359" spans="1:25" ht="15.75" x14ac:dyDescent="0.25">
      <c r="A1359" s="21"/>
      <c r="B1359" s="21"/>
      <c r="C1359" s="21"/>
      <c r="E1359" s="21"/>
      <c r="F1359" s="21"/>
      <c r="G1359" s="14"/>
      <c r="H1359" s="14"/>
      <c r="I1359" s="14"/>
      <c r="J1359" s="14"/>
      <c r="K1359" s="14"/>
      <c r="L1359" s="14"/>
      <c r="M1359" s="14"/>
      <c r="N1359" s="14"/>
      <c r="O1359" s="14"/>
      <c r="P1359" s="14"/>
      <c r="Q1359" s="14"/>
      <c r="R1359" s="14"/>
      <c r="S1359" s="14"/>
      <c r="T1359" s="14"/>
      <c r="U1359" s="14"/>
      <c r="V1359" s="14"/>
      <c r="W1359" s="14"/>
      <c r="X1359" s="14"/>
      <c r="Y1359" s="14"/>
    </row>
    <row r="1360" spans="1:25" ht="15.75" x14ac:dyDescent="0.25">
      <c r="A1360" s="21"/>
      <c r="B1360" s="21"/>
      <c r="C1360" s="21"/>
      <c r="E1360" s="21"/>
      <c r="F1360" s="21"/>
      <c r="G1360" s="14"/>
      <c r="H1360" s="14"/>
      <c r="I1360" s="14"/>
      <c r="J1360" s="14"/>
      <c r="K1360" s="14"/>
      <c r="L1360" s="14"/>
      <c r="M1360" s="14"/>
      <c r="N1360" s="14"/>
      <c r="O1360" s="14"/>
      <c r="P1360" s="14"/>
      <c r="Q1360" s="14"/>
      <c r="R1360" s="14"/>
      <c r="S1360" s="14"/>
      <c r="T1360" s="14"/>
      <c r="U1360" s="14"/>
      <c r="V1360" s="14"/>
      <c r="W1360" s="14"/>
      <c r="X1360" s="14"/>
      <c r="Y1360" s="14"/>
    </row>
    <row r="1361" spans="1:25" ht="15.75" x14ac:dyDescent="0.25">
      <c r="A1361" s="21"/>
      <c r="B1361" s="21"/>
      <c r="C1361" s="21"/>
      <c r="E1361" s="21"/>
      <c r="F1361" s="21"/>
      <c r="G1361" s="14"/>
      <c r="H1361" s="14"/>
      <c r="I1361" s="14"/>
      <c r="J1361" s="14"/>
      <c r="K1361" s="14"/>
      <c r="L1361" s="14"/>
      <c r="M1361" s="14"/>
      <c r="N1361" s="14"/>
      <c r="O1361" s="14"/>
      <c r="P1361" s="14"/>
      <c r="Q1361" s="14"/>
      <c r="R1361" s="14"/>
      <c r="S1361" s="14"/>
      <c r="T1361" s="14"/>
      <c r="U1361" s="14"/>
      <c r="V1361" s="14"/>
      <c r="W1361" s="14"/>
      <c r="X1361" s="14"/>
      <c r="Y1361" s="14"/>
    </row>
    <row r="1362" spans="1:25" ht="15.75" x14ac:dyDescent="0.25">
      <c r="A1362" s="21"/>
      <c r="B1362" s="21"/>
      <c r="C1362" s="21"/>
      <c r="E1362" s="21"/>
      <c r="F1362" s="21"/>
      <c r="G1362" s="14"/>
      <c r="H1362" s="14"/>
      <c r="I1362" s="14"/>
      <c r="J1362" s="14"/>
      <c r="K1362" s="14"/>
      <c r="L1362" s="14"/>
      <c r="M1362" s="14"/>
      <c r="N1362" s="14"/>
      <c r="O1362" s="14"/>
      <c r="P1362" s="14"/>
      <c r="Q1362" s="14"/>
      <c r="R1362" s="14"/>
      <c r="S1362" s="14"/>
      <c r="T1362" s="14"/>
      <c r="U1362" s="14"/>
      <c r="V1362" s="14"/>
      <c r="W1362" s="14"/>
      <c r="X1362" s="14"/>
      <c r="Y1362" s="14"/>
    </row>
    <row r="1363" spans="1:25" ht="15.75" x14ac:dyDescent="0.25">
      <c r="A1363" s="21"/>
      <c r="B1363" s="21"/>
      <c r="C1363" s="21"/>
      <c r="E1363" s="21"/>
      <c r="F1363" s="21"/>
      <c r="G1363" s="14"/>
      <c r="H1363" s="14"/>
      <c r="I1363" s="14"/>
      <c r="J1363" s="14"/>
      <c r="K1363" s="14"/>
      <c r="L1363" s="14"/>
      <c r="M1363" s="14"/>
      <c r="N1363" s="14"/>
      <c r="O1363" s="14"/>
      <c r="P1363" s="14"/>
      <c r="Q1363" s="14"/>
      <c r="R1363" s="14"/>
      <c r="S1363" s="14"/>
      <c r="T1363" s="14"/>
      <c r="U1363" s="14"/>
      <c r="V1363" s="14"/>
      <c r="W1363" s="14"/>
      <c r="X1363" s="14"/>
      <c r="Y1363" s="14"/>
    </row>
    <row r="1364" spans="1:25" ht="15.75" x14ac:dyDescent="0.25">
      <c r="A1364" s="21"/>
      <c r="B1364" s="21"/>
      <c r="C1364" s="21"/>
      <c r="E1364" s="21"/>
      <c r="F1364" s="21"/>
      <c r="G1364" s="14"/>
      <c r="H1364" s="14"/>
      <c r="I1364" s="14"/>
      <c r="J1364" s="14"/>
      <c r="K1364" s="14"/>
      <c r="L1364" s="14"/>
      <c r="M1364" s="14"/>
      <c r="N1364" s="14"/>
      <c r="O1364" s="14"/>
      <c r="P1364" s="14"/>
      <c r="Q1364" s="14"/>
      <c r="R1364" s="14"/>
      <c r="S1364" s="14"/>
      <c r="T1364" s="14"/>
      <c r="U1364" s="14"/>
      <c r="V1364" s="14"/>
      <c r="W1364" s="14"/>
      <c r="X1364" s="14"/>
      <c r="Y1364" s="14"/>
    </row>
    <row r="1365" spans="1:25" ht="15.75" x14ac:dyDescent="0.25">
      <c r="A1365" s="21"/>
      <c r="B1365" s="21"/>
      <c r="C1365" s="21"/>
      <c r="E1365" s="21"/>
      <c r="F1365" s="21"/>
      <c r="G1365" s="14"/>
      <c r="H1365" s="14"/>
      <c r="I1365" s="14"/>
      <c r="J1365" s="14"/>
      <c r="K1365" s="14"/>
      <c r="L1365" s="14"/>
      <c r="M1365" s="14"/>
      <c r="N1365" s="14"/>
      <c r="O1365" s="14"/>
      <c r="P1365" s="14"/>
      <c r="Q1365" s="14"/>
      <c r="R1365" s="14"/>
      <c r="S1365" s="14"/>
      <c r="T1365" s="14"/>
      <c r="U1365" s="14"/>
      <c r="V1365" s="14"/>
      <c r="W1365" s="14"/>
      <c r="X1365" s="14"/>
      <c r="Y1365" s="14"/>
    </row>
    <row r="1366" spans="1:25" ht="15.75" x14ac:dyDescent="0.25">
      <c r="A1366" s="21"/>
      <c r="B1366" s="21"/>
      <c r="C1366" s="21"/>
      <c r="E1366" s="21"/>
      <c r="F1366" s="21"/>
      <c r="G1366" s="14"/>
      <c r="H1366" s="14"/>
      <c r="I1366" s="14"/>
      <c r="J1366" s="14"/>
      <c r="K1366" s="14"/>
      <c r="L1366" s="14"/>
      <c r="M1366" s="14"/>
      <c r="N1366" s="14"/>
      <c r="O1366" s="14"/>
      <c r="P1366" s="14"/>
      <c r="Q1366" s="14"/>
      <c r="R1366" s="14"/>
      <c r="S1366" s="14"/>
      <c r="T1366" s="14"/>
      <c r="U1366" s="14"/>
      <c r="V1366" s="14"/>
      <c r="W1366" s="14"/>
      <c r="X1366" s="14"/>
      <c r="Y1366" s="14"/>
    </row>
    <row r="1367" spans="1:25" ht="15.75" x14ac:dyDescent="0.25">
      <c r="A1367" s="21"/>
      <c r="B1367" s="21"/>
      <c r="C1367" s="21"/>
      <c r="E1367" s="21"/>
      <c r="F1367" s="21"/>
      <c r="G1367" s="14"/>
      <c r="H1367" s="14"/>
      <c r="I1367" s="14"/>
      <c r="J1367" s="14"/>
      <c r="K1367" s="14"/>
      <c r="L1367" s="14"/>
      <c r="M1367" s="14"/>
      <c r="N1367" s="14"/>
      <c r="O1367" s="14"/>
      <c r="P1367" s="14"/>
      <c r="Q1367" s="14"/>
      <c r="R1367" s="14"/>
      <c r="S1367" s="14"/>
      <c r="T1367" s="14"/>
      <c r="U1367" s="14"/>
      <c r="V1367" s="14"/>
      <c r="W1367" s="14"/>
      <c r="X1367" s="14"/>
      <c r="Y1367" s="14"/>
    </row>
    <row r="1368" spans="1:25" ht="15.75" x14ac:dyDescent="0.25">
      <c r="A1368" s="21"/>
      <c r="B1368" s="21"/>
      <c r="C1368" s="21"/>
      <c r="E1368" s="21"/>
      <c r="F1368" s="21"/>
      <c r="G1368" s="14"/>
      <c r="H1368" s="14"/>
      <c r="I1368" s="14"/>
      <c r="J1368" s="14"/>
      <c r="K1368" s="14"/>
      <c r="L1368" s="14"/>
      <c r="M1368" s="14"/>
      <c r="N1368" s="14"/>
      <c r="O1368" s="14"/>
      <c r="P1368" s="14"/>
      <c r="Q1368" s="14"/>
      <c r="R1368" s="14"/>
      <c r="S1368" s="14"/>
      <c r="T1368" s="14"/>
      <c r="U1368" s="14"/>
      <c r="V1368" s="14"/>
      <c r="W1368" s="14"/>
      <c r="X1368" s="14"/>
      <c r="Y1368" s="14"/>
    </row>
    <row r="1369" spans="1:25" ht="15.75" x14ac:dyDescent="0.25">
      <c r="A1369" s="21"/>
      <c r="B1369" s="21"/>
      <c r="C1369" s="21"/>
      <c r="E1369" s="21"/>
      <c r="F1369" s="21"/>
      <c r="G1369" s="14"/>
      <c r="H1369" s="14"/>
      <c r="I1369" s="14"/>
      <c r="J1369" s="14"/>
      <c r="K1369" s="14"/>
      <c r="L1369" s="14"/>
      <c r="M1369" s="14"/>
      <c r="N1369" s="14"/>
      <c r="O1369" s="14"/>
      <c r="P1369" s="14"/>
      <c r="Q1369" s="14"/>
      <c r="R1369" s="14"/>
      <c r="S1369" s="14"/>
      <c r="T1369" s="14"/>
      <c r="U1369" s="14"/>
      <c r="V1369" s="14"/>
      <c r="W1369" s="14"/>
      <c r="X1369" s="14"/>
      <c r="Y1369" s="14"/>
    </row>
    <row r="1370" spans="1:25" ht="15.75" x14ac:dyDescent="0.25">
      <c r="A1370" s="21"/>
      <c r="B1370" s="21"/>
      <c r="C1370" s="21"/>
      <c r="E1370" s="21"/>
      <c r="F1370" s="21"/>
      <c r="G1370" s="14"/>
      <c r="H1370" s="14"/>
      <c r="I1370" s="14"/>
      <c r="J1370" s="14"/>
      <c r="K1370" s="14"/>
      <c r="L1370" s="14"/>
      <c r="M1370" s="14"/>
      <c r="N1370" s="14"/>
      <c r="O1370" s="14"/>
      <c r="P1370" s="14"/>
      <c r="Q1370" s="14"/>
      <c r="R1370" s="14"/>
      <c r="S1370" s="14"/>
      <c r="T1370" s="14"/>
      <c r="U1370" s="14"/>
      <c r="V1370" s="14"/>
      <c r="W1370" s="14"/>
      <c r="X1370" s="14"/>
      <c r="Y1370" s="14"/>
    </row>
    <row r="1371" spans="1:25" ht="15.75" x14ac:dyDescent="0.25">
      <c r="A1371" s="21"/>
      <c r="B1371" s="21"/>
      <c r="C1371" s="21"/>
      <c r="E1371" s="21"/>
      <c r="F1371" s="21"/>
      <c r="G1371" s="14"/>
      <c r="H1371" s="14"/>
      <c r="I1371" s="14"/>
      <c r="J1371" s="14"/>
      <c r="K1371" s="14"/>
      <c r="L1371" s="14"/>
      <c r="M1371" s="14"/>
      <c r="N1371" s="14"/>
      <c r="O1371" s="14"/>
      <c r="P1371" s="14"/>
      <c r="Q1371" s="14"/>
      <c r="R1371" s="14"/>
      <c r="S1371" s="14"/>
      <c r="T1371" s="14"/>
      <c r="U1371" s="14"/>
      <c r="V1371" s="14"/>
      <c r="W1371" s="14"/>
      <c r="X1371" s="14"/>
      <c r="Y1371" s="14"/>
    </row>
    <row r="1372" spans="1:25" ht="15.75" x14ac:dyDescent="0.25">
      <c r="A1372" s="21"/>
      <c r="B1372" s="21"/>
      <c r="C1372" s="21"/>
      <c r="E1372" s="21"/>
      <c r="F1372" s="21"/>
      <c r="G1372" s="14"/>
      <c r="H1372" s="14"/>
      <c r="I1372" s="14"/>
      <c r="J1372" s="14"/>
      <c r="K1372" s="14"/>
      <c r="L1372" s="14"/>
      <c r="M1372" s="14"/>
      <c r="N1372" s="14"/>
      <c r="O1372" s="14"/>
      <c r="P1372" s="14"/>
      <c r="Q1372" s="14"/>
      <c r="R1372" s="14"/>
      <c r="S1372" s="14"/>
      <c r="T1372" s="14"/>
      <c r="U1372" s="14"/>
      <c r="V1372" s="14"/>
      <c r="W1372" s="14"/>
      <c r="X1372" s="14"/>
      <c r="Y1372" s="14"/>
    </row>
    <row r="1373" spans="1:25" ht="15.75" x14ac:dyDescent="0.25">
      <c r="A1373" s="21"/>
      <c r="B1373" s="21"/>
      <c r="C1373" s="21"/>
      <c r="E1373" s="21"/>
      <c r="F1373" s="21"/>
      <c r="G1373" s="14"/>
      <c r="H1373" s="14"/>
      <c r="I1373" s="14"/>
      <c r="J1373" s="14"/>
      <c r="K1373" s="14"/>
      <c r="L1373" s="14"/>
      <c r="M1373" s="14"/>
      <c r="N1373" s="14"/>
      <c r="O1373" s="14"/>
      <c r="P1373" s="14"/>
      <c r="Q1373" s="14"/>
      <c r="R1373" s="14"/>
      <c r="S1373" s="14"/>
      <c r="T1373" s="14"/>
      <c r="U1373" s="14"/>
      <c r="V1373" s="14"/>
      <c r="W1373" s="14"/>
      <c r="X1373" s="14"/>
      <c r="Y1373" s="14"/>
    </row>
    <row r="1374" spans="1:25" ht="15.75" x14ac:dyDescent="0.25">
      <c r="A1374" s="21"/>
      <c r="B1374" s="21"/>
      <c r="C1374" s="21"/>
      <c r="E1374" s="21"/>
      <c r="F1374" s="21"/>
      <c r="G1374" s="14"/>
      <c r="H1374" s="14"/>
      <c r="I1374" s="14"/>
      <c r="J1374" s="14"/>
      <c r="K1374" s="14"/>
      <c r="L1374" s="14"/>
      <c r="M1374" s="14"/>
      <c r="N1374" s="14"/>
      <c r="O1374" s="14"/>
      <c r="P1374" s="14"/>
      <c r="Q1374" s="14"/>
      <c r="R1374" s="14"/>
      <c r="S1374" s="14"/>
      <c r="T1374" s="14"/>
      <c r="U1374" s="14"/>
      <c r="V1374" s="14"/>
      <c r="W1374" s="14"/>
      <c r="X1374" s="14"/>
      <c r="Y1374" s="14"/>
    </row>
    <row r="1375" spans="1:25" ht="15.75" x14ac:dyDescent="0.25">
      <c r="A1375" s="21"/>
      <c r="B1375" s="21"/>
      <c r="C1375" s="21"/>
      <c r="E1375" s="21"/>
      <c r="F1375" s="21"/>
      <c r="G1375" s="14"/>
      <c r="H1375" s="14"/>
      <c r="I1375" s="14"/>
      <c r="J1375" s="14"/>
      <c r="K1375" s="14"/>
      <c r="L1375" s="14"/>
      <c r="M1375" s="14"/>
      <c r="N1375" s="14"/>
      <c r="O1375" s="14"/>
      <c r="P1375" s="14"/>
      <c r="Q1375" s="14"/>
      <c r="R1375" s="14"/>
      <c r="S1375" s="14"/>
      <c r="T1375" s="14"/>
      <c r="U1375" s="14"/>
      <c r="V1375" s="14"/>
      <c r="W1375" s="14"/>
      <c r="X1375" s="14"/>
      <c r="Y1375" s="14"/>
    </row>
    <row r="1376" spans="1:25" ht="15.75" x14ac:dyDescent="0.25">
      <c r="A1376" s="21"/>
      <c r="B1376" s="21"/>
      <c r="C1376" s="21"/>
      <c r="E1376" s="21"/>
      <c r="F1376" s="21"/>
      <c r="G1376" s="14"/>
      <c r="H1376" s="14"/>
      <c r="I1376" s="14"/>
      <c r="J1376" s="14"/>
      <c r="K1376" s="14"/>
      <c r="L1376" s="14"/>
      <c r="M1376" s="14"/>
      <c r="N1376" s="14"/>
      <c r="O1376" s="14"/>
      <c r="P1376" s="14"/>
      <c r="Q1376" s="14"/>
      <c r="R1376" s="14"/>
      <c r="S1376" s="14"/>
      <c r="T1376" s="14"/>
      <c r="U1376" s="14"/>
      <c r="V1376" s="14"/>
      <c r="W1376" s="14"/>
      <c r="X1376" s="14"/>
      <c r="Y1376" s="14"/>
    </row>
    <row r="1377" spans="1:25" ht="15.75" x14ac:dyDescent="0.25">
      <c r="A1377" s="21"/>
      <c r="B1377" s="21"/>
      <c r="C1377" s="21"/>
      <c r="E1377" s="21"/>
      <c r="F1377" s="21"/>
      <c r="G1377" s="14"/>
      <c r="H1377" s="14"/>
      <c r="I1377" s="14"/>
      <c r="J1377" s="14"/>
      <c r="K1377" s="14"/>
      <c r="L1377" s="14"/>
      <c r="M1377" s="14"/>
      <c r="N1377" s="14"/>
      <c r="O1377" s="14"/>
      <c r="P1377" s="14"/>
      <c r="Q1377" s="14"/>
      <c r="R1377" s="14"/>
      <c r="S1377" s="14"/>
      <c r="T1377" s="14"/>
      <c r="U1377" s="14"/>
      <c r="V1377" s="14"/>
      <c r="W1377" s="14"/>
      <c r="X1377" s="14"/>
      <c r="Y1377" s="14"/>
    </row>
    <row r="1378" spans="1:25" ht="15.75" x14ac:dyDescent="0.25">
      <c r="A1378" s="21"/>
      <c r="B1378" s="21"/>
      <c r="C1378" s="21"/>
      <c r="E1378" s="21"/>
      <c r="F1378" s="21"/>
      <c r="G1378" s="14"/>
      <c r="H1378" s="14"/>
      <c r="I1378" s="14"/>
      <c r="J1378" s="14"/>
      <c r="K1378" s="14"/>
      <c r="L1378" s="14"/>
      <c r="M1378" s="14"/>
      <c r="N1378" s="14"/>
      <c r="O1378" s="14"/>
      <c r="P1378" s="14"/>
      <c r="Q1378" s="14"/>
      <c r="R1378" s="14"/>
      <c r="S1378" s="14"/>
      <c r="T1378" s="14"/>
      <c r="U1378" s="14"/>
      <c r="V1378" s="14"/>
      <c r="W1378" s="14"/>
      <c r="X1378" s="14"/>
      <c r="Y1378" s="14"/>
    </row>
    <row r="1379" spans="1:25" ht="15.75" x14ac:dyDescent="0.25">
      <c r="A1379" s="21"/>
      <c r="B1379" s="21"/>
      <c r="C1379" s="21"/>
      <c r="E1379" s="21"/>
      <c r="F1379" s="21"/>
      <c r="G1379" s="14"/>
      <c r="H1379" s="14"/>
      <c r="I1379" s="14"/>
      <c r="J1379" s="14"/>
      <c r="K1379" s="14"/>
      <c r="L1379" s="14"/>
      <c r="M1379" s="14"/>
      <c r="N1379" s="14"/>
      <c r="O1379" s="14"/>
      <c r="P1379" s="14"/>
      <c r="Q1379" s="14"/>
      <c r="R1379" s="14"/>
      <c r="S1379" s="14"/>
      <c r="T1379" s="14"/>
      <c r="U1379" s="14"/>
      <c r="V1379" s="14"/>
      <c r="W1379" s="14"/>
      <c r="X1379" s="14"/>
      <c r="Y1379" s="14"/>
    </row>
    <row r="1380" spans="1:25" ht="15.75" x14ac:dyDescent="0.25">
      <c r="A1380" s="21"/>
      <c r="B1380" s="21"/>
      <c r="C1380" s="21"/>
      <c r="E1380" s="21"/>
      <c r="F1380" s="21"/>
      <c r="G1380" s="14"/>
      <c r="H1380" s="14"/>
      <c r="I1380" s="14"/>
      <c r="J1380" s="14"/>
      <c r="K1380" s="14"/>
      <c r="L1380" s="14"/>
      <c r="M1380" s="14"/>
      <c r="N1380" s="14"/>
      <c r="O1380" s="14"/>
      <c r="P1380" s="14"/>
      <c r="Q1380" s="14"/>
      <c r="R1380" s="14"/>
      <c r="S1380" s="14"/>
      <c r="T1380" s="14"/>
      <c r="U1380" s="14"/>
      <c r="V1380" s="14"/>
      <c r="W1380" s="14"/>
      <c r="X1380" s="14"/>
      <c r="Y1380" s="14"/>
    </row>
    <row r="1381" spans="1:25" ht="15.75" x14ac:dyDescent="0.25">
      <c r="A1381" s="21"/>
      <c r="B1381" s="21"/>
      <c r="C1381" s="21"/>
      <c r="E1381" s="21"/>
      <c r="F1381" s="21"/>
      <c r="G1381" s="14"/>
      <c r="H1381" s="14"/>
      <c r="I1381" s="14"/>
      <c r="J1381" s="14"/>
      <c r="K1381" s="14"/>
      <c r="L1381" s="14"/>
      <c r="M1381" s="14"/>
      <c r="N1381" s="14"/>
      <c r="O1381" s="14"/>
      <c r="P1381" s="14"/>
      <c r="Q1381" s="14"/>
      <c r="R1381" s="14"/>
      <c r="S1381" s="14"/>
      <c r="T1381" s="14"/>
      <c r="U1381" s="14"/>
      <c r="V1381" s="14"/>
      <c r="W1381" s="14"/>
      <c r="X1381" s="14"/>
      <c r="Y1381" s="14"/>
    </row>
    <row r="1382" spans="1:25" ht="15.75" x14ac:dyDescent="0.25">
      <c r="A1382" s="21"/>
      <c r="B1382" s="21"/>
      <c r="C1382" s="21"/>
      <c r="E1382" s="21"/>
      <c r="F1382" s="21"/>
      <c r="G1382" s="14"/>
      <c r="H1382" s="14"/>
      <c r="I1382" s="14"/>
      <c r="J1382" s="14"/>
      <c r="K1382" s="14"/>
      <c r="L1382" s="14"/>
      <c r="M1382" s="14"/>
      <c r="N1382" s="14"/>
      <c r="O1382" s="14"/>
      <c r="P1382" s="14"/>
      <c r="Q1382" s="14"/>
      <c r="R1382" s="14"/>
      <c r="S1382" s="14"/>
      <c r="T1382" s="14"/>
      <c r="U1382" s="14"/>
      <c r="V1382" s="14"/>
      <c r="W1382" s="14"/>
      <c r="X1382" s="14"/>
      <c r="Y1382" s="14"/>
    </row>
    <row r="1383" spans="1:25" ht="15.75" x14ac:dyDescent="0.25">
      <c r="A1383" s="21"/>
      <c r="B1383" s="21"/>
      <c r="C1383" s="21"/>
      <c r="E1383" s="21"/>
      <c r="F1383" s="21"/>
      <c r="G1383" s="14"/>
      <c r="H1383" s="14"/>
      <c r="I1383" s="14"/>
      <c r="J1383" s="14"/>
      <c r="K1383" s="14"/>
      <c r="L1383" s="14"/>
      <c r="M1383" s="14"/>
      <c r="N1383" s="14"/>
      <c r="O1383" s="14"/>
      <c r="P1383" s="14"/>
      <c r="Q1383" s="14"/>
      <c r="R1383" s="14"/>
      <c r="S1383" s="14"/>
      <c r="T1383" s="14"/>
      <c r="U1383" s="14"/>
      <c r="V1383" s="14"/>
      <c r="W1383" s="14"/>
      <c r="X1383" s="14"/>
      <c r="Y1383" s="14"/>
    </row>
    <row r="1384" spans="1:25" ht="15.75" x14ac:dyDescent="0.25">
      <c r="A1384" s="21"/>
      <c r="B1384" s="21"/>
      <c r="C1384" s="21"/>
      <c r="E1384" s="21"/>
      <c r="F1384" s="21"/>
      <c r="G1384" s="14"/>
      <c r="H1384" s="14"/>
      <c r="I1384" s="14"/>
      <c r="J1384" s="14"/>
      <c r="K1384" s="14"/>
      <c r="L1384" s="14"/>
      <c r="M1384" s="14"/>
      <c r="N1384" s="14"/>
      <c r="O1384" s="14"/>
      <c r="P1384" s="14"/>
      <c r="Q1384" s="14"/>
      <c r="R1384" s="14"/>
      <c r="S1384" s="14"/>
      <c r="T1384" s="14"/>
      <c r="U1384" s="14"/>
      <c r="V1384" s="14"/>
      <c r="W1384" s="14"/>
      <c r="X1384" s="14"/>
      <c r="Y1384" s="14"/>
    </row>
    <row r="1385" spans="1:25" ht="15.75" x14ac:dyDescent="0.25">
      <c r="A1385" s="21"/>
      <c r="B1385" s="21"/>
      <c r="C1385" s="21"/>
      <c r="E1385" s="21"/>
      <c r="F1385" s="21"/>
      <c r="G1385" s="14"/>
      <c r="H1385" s="14"/>
      <c r="I1385" s="14"/>
      <c r="J1385" s="14"/>
      <c r="K1385" s="14"/>
      <c r="L1385" s="14"/>
      <c r="M1385" s="14"/>
      <c r="N1385" s="14"/>
      <c r="O1385" s="14"/>
      <c r="P1385" s="14"/>
      <c r="Q1385" s="14"/>
      <c r="R1385" s="14"/>
      <c r="S1385" s="14"/>
      <c r="T1385" s="14"/>
      <c r="U1385" s="14"/>
      <c r="V1385" s="14"/>
      <c r="W1385" s="14"/>
      <c r="X1385" s="14"/>
      <c r="Y1385" s="14"/>
    </row>
    <row r="1386" spans="1:25" ht="15.75" x14ac:dyDescent="0.25">
      <c r="A1386" s="21"/>
      <c r="B1386" s="21"/>
      <c r="C1386" s="21"/>
      <c r="E1386" s="21"/>
      <c r="F1386" s="21"/>
      <c r="G1386" s="14"/>
      <c r="H1386" s="14"/>
      <c r="I1386" s="14"/>
      <c r="J1386" s="14"/>
      <c r="K1386" s="14"/>
      <c r="L1386" s="14"/>
      <c r="M1386" s="14"/>
      <c r="N1386" s="14"/>
      <c r="O1386" s="14"/>
      <c r="P1386" s="14"/>
      <c r="Q1386" s="14"/>
      <c r="R1386" s="14"/>
      <c r="S1386" s="14"/>
      <c r="T1386" s="14"/>
      <c r="U1386" s="14"/>
      <c r="V1386" s="14"/>
      <c r="W1386" s="14"/>
      <c r="X1386" s="14"/>
      <c r="Y1386" s="14"/>
    </row>
    <row r="1387" spans="1:25" ht="15.75" x14ac:dyDescent="0.25">
      <c r="A1387" s="21"/>
      <c r="B1387" s="21"/>
      <c r="C1387" s="21"/>
      <c r="E1387" s="21"/>
      <c r="F1387" s="21"/>
      <c r="G1387" s="14"/>
      <c r="H1387" s="14"/>
      <c r="I1387" s="14"/>
      <c r="J1387" s="14"/>
      <c r="K1387" s="14"/>
      <c r="L1387" s="14"/>
      <c r="M1387" s="14"/>
      <c r="N1387" s="14"/>
      <c r="O1387" s="14"/>
      <c r="P1387" s="14"/>
      <c r="Q1387" s="14"/>
      <c r="R1387" s="14"/>
      <c r="S1387" s="14"/>
      <c r="T1387" s="14"/>
      <c r="U1387" s="14"/>
      <c r="V1387" s="14"/>
      <c r="W1387" s="14"/>
      <c r="X1387" s="14"/>
      <c r="Y1387" s="14"/>
    </row>
    <row r="1388" spans="1:25" ht="15.75" x14ac:dyDescent="0.25">
      <c r="A1388" s="21"/>
      <c r="B1388" s="21"/>
      <c r="C1388" s="21"/>
      <c r="E1388" s="21"/>
      <c r="F1388" s="21"/>
      <c r="G1388" s="14"/>
      <c r="H1388" s="14"/>
      <c r="I1388" s="14"/>
      <c r="J1388" s="14"/>
      <c r="K1388" s="14"/>
      <c r="L1388" s="14"/>
      <c r="M1388" s="14"/>
      <c r="N1388" s="14"/>
      <c r="O1388" s="14"/>
      <c r="P1388" s="14"/>
      <c r="Q1388" s="14"/>
      <c r="R1388" s="14"/>
      <c r="S1388" s="14"/>
      <c r="T1388" s="14"/>
      <c r="U1388" s="14"/>
      <c r="V1388" s="14"/>
      <c r="W1388" s="14"/>
      <c r="X1388" s="14"/>
      <c r="Y1388" s="14"/>
    </row>
    <row r="1389" spans="1:25" ht="15.75" x14ac:dyDescent="0.25">
      <c r="A1389" s="21"/>
      <c r="B1389" s="21"/>
      <c r="C1389" s="21"/>
      <c r="E1389" s="21"/>
      <c r="F1389" s="21"/>
      <c r="G1389" s="14"/>
      <c r="H1389" s="14"/>
      <c r="I1389" s="14"/>
      <c r="J1389" s="14"/>
      <c r="K1389" s="14"/>
      <c r="L1389" s="14"/>
      <c r="M1389" s="14"/>
      <c r="N1389" s="14"/>
      <c r="O1389" s="14"/>
      <c r="P1389" s="14"/>
      <c r="Q1389" s="14"/>
      <c r="R1389" s="14"/>
      <c r="S1389" s="14"/>
      <c r="T1389" s="14"/>
      <c r="U1389" s="14"/>
      <c r="V1389" s="14"/>
      <c r="W1389" s="14"/>
      <c r="X1389" s="14"/>
      <c r="Y1389" s="14"/>
    </row>
    <row r="1390" spans="1:25" ht="15.75" x14ac:dyDescent="0.25">
      <c r="A1390" s="21"/>
      <c r="B1390" s="21"/>
      <c r="C1390" s="21"/>
      <c r="E1390" s="21"/>
      <c r="F1390" s="21"/>
      <c r="G1390" s="14"/>
      <c r="H1390" s="14"/>
      <c r="I1390" s="14"/>
      <c r="J1390" s="14"/>
      <c r="K1390" s="14"/>
      <c r="L1390" s="14"/>
      <c r="M1390" s="14"/>
      <c r="N1390" s="14"/>
      <c r="O1390" s="14"/>
      <c r="P1390" s="14"/>
      <c r="Q1390" s="14"/>
      <c r="R1390" s="14"/>
      <c r="S1390" s="14"/>
      <c r="T1390" s="14"/>
      <c r="U1390" s="14"/>
      <c r="V1390" s="14"/>
      <c r="W1390" s="14"/>
      <c r="X1390" s="14"/>
      <c r="Y1390" s="14"/>
    </row>
    <row r="1391" spans="1:25" ht="15.75" x14ac:dyDescent="0.25">
      <c r="A1391" s="21"/>
      <c r="B1391" s="21"/>
      <c r="C1391" s="21"/>
      <c r="E1391" s="21"/>
      <c r="F1391" s="21"/>
      <c r="G1391" s="14"/>
      <c r="H1391" s="14"/>
      <c r="I1391" s="14"/>
      <c r="J1391" s="14"/>
      <c r="K1391" s="14"/>
      <c r="L1391" s="14"/>
      <c r="M1391" s="14"/>
      <c r="N1391" s="14"/>
      <c r="O1391" s="14"/>
      <c r="P1391" s="14"/>
      <c r="Q1391" s="14"/>
      <c r="R1391" s="14"/>
      <c r="S1391" s="14"/>
      <c r="T1391" s="14"/>
      <c r="U1391" s="14"/>
      <c r="V1391" s="14"/>
      <c r="W1391" s="14"/>
      <c r="X1391" s="14"/>
      <c r="Y1391" s="14"/>
    </row>
    <row r="1392" spans="1:25" ht="15.75" x14ac:dyDescent="0.25">
      <c r="A1392" s="21"/>
      <c r="B1392" s="21"/>
      <c r="C1392" s="21"/>
      <c r="E1392" s="21"/>
      <c r="F1392" s="21"/>
      <c r="G1392" s="14"/>
      <c r="H1392" s="14"/>
      <c r="I1392" s="14"/>
      <c r="J1392" s="14"/>
      <c r="K1392" s="14"/>
      <c r="L1392" s="14"/>
      <c r="M1392" s="14"/>
      <c r="N1392" s="14"/>
      <c r="O1392" s="14"/>
      <c r="P1392" s="14"/>
      <c r="Q1392" s="14"/>
      <c r="R1392" s="14"/>
      <c r="S1392" s="14"/>
      <c r="T1392" s="14"/>
      <c r="U1392" s="14"/>
      <c r="V1392" s="14"/>
      <c r="W1392" s="14"/>
      <c r="X1392" s="14"/>
      <c r="Y1392" s="14"/>
    </row>
    <row r="1393" spans="1:25" ht="15.75" x14ac:dyDescent="0.25">
      <c r="A1393" s="21"/>
      <c r="B1393" s="21"/>
      <c r="C1393" s="21"/>
      <c r="E1393" s="21"/>
      <c r="F1393" s="21"/>
      <c r="G1393" s="14"/>
      <c r="H1393" s="14"/>
      <c r="I1393" s="14"/>
      <c r="J1393" s="14"/>
      <c r="K1393" s="14"/>
      <c r="L1393" s="14"/>
      <c r="M1393" s="14"/>
      <c r="N1393" s="14"/>
      <c r="O1393" s="14"/>
      <c r="P1393" s="14"/>
      <c r="Q1393" s="14"/>
      <c r="R1393" s="14"/>
      <c r="S1393" s="14"/>
      <c r="T1393" s="14"/>
      <c r="U1393" s="14"/>
      <c r="V1393" s="14"/>
      <c r="W1393" s="14"/>
      <c r="X1393" s="14"/>
      <c r="Y1393" s="14"/>
    </row>
    <row r="1394" spans="1:25" ht="15.75" x14ac:dyDescent="0.25">
      <c r="A1394" s="21"/>
      <c r="B1394" s="21"/>
      <c r="C1394" s="21"/>
      <c r="E1394" s="21"/>
      <c r="F1394" s="21"/>
      <c r="G1394" s="14"/>
      <c r="H1394" s="14"/>
      <c r="I1394" s="14"/>
      <c r="J1394" s="14"/>
      <c r="K1394" s="14"/>
      <c r="L1394" s="14"/>
      <c r="M1394" s="14"/>
      <c r="N1394" s="14"/>
      <c r="O1394" s="14"/>
      <c r="P1394" s="14"/>
      <c r="Q1394" s="14"/>
      <c r="R1394" s="14"/>
      <c r="S1394" s="14"/>
      <c r="T1394" s="14"/>
      <c r="U1394" s="14"/>
      <c r="V1394" s="14"/>
      <c r="W1394" s="14"/>
      <c r="X1394" s="14"/>
      <c r="Y1394" s="14"/>
    </row>
    <row r="1395" spans="1:25" ht="15.75" x14ac:dyDescent="0.25">
      <c r="A1395" s="21"/>
      <c r="B1395" s="21"/>
      <c r="C1395" s="21"/>
      <c r="E1395" s="21"/>
      <c r="F1395" s="21"/>
      <c r="G1395" s="14"/>
      <c r="H1395" s="14"/>
      <c r="I1395" s="14"/>
      <c r="J1395" s="14"/>
      <c r="K1395" s="14"/>
      <c r="L1395" s="14"/>
      <c r="M1395" s="14"/>
      <c r="N1395" s="14"/>
      <c r="O1395" s="14"/>
      <c r="P1395" s="14"/>
      <c r="Q1395" s="14"/>
      <c r="R1395" s="14"/>
      <c r="S1395" s="14"/>
      <c r="T1395" s="14"/>
      <c r="U1395" s="14"/>
      <c r="V1395" s="14"/>
      <c r="W1395" s="14"/>
      <c r="X1395" s="14"/>
      <c r="Y1395" s="14"/>
    </row>
    <row r="1396" spans="1:25" ht="15.75" x14ac:dyDescent="0.25">
      <c r="A1396" s="21"/>
      <c r="B1396" s="21"/>
      <c r="C1396" s="21"/>
      <c r="E1396" s="21"/>
      <c r="F1396" s="21"/>
      <c r="G1396" s="14"/>
      <c r="H1396" s="14"/>
      <c r="I1396" s="14"/>
      <c r="J1396" s="14"/>
      <c r="K1396" s="14"/>
      <c r="L1396" s="14"/>
      <c r="M1396" s="14"/>
      <c r="N1396" s="14"/>
      <c r="O1396" s="14"/>
      <c r="P1396" s="14"/>
      <c r="Q1396" s="14"/>
      <c r="R1396" s="14"/>
      <c r="S1396" s="14"/>
      <c r="T1396" s="14"/>
      <c r="U1396" s="14"/>
      <c r="V1396" s="14"/>
      <c r="W1396" s="14"/>
      <c r="X1396" s="14"/>
      <c r="Y1396" s="14"/>
    </row>
    <row r="1397" spans="1:25" ht="15.75" x14ac:dyDescent="0.25">
      <c r="A1397" s="21"/>
      <c r="B1397" s="21"/>
      <c r="C1397" s="21"/>
      <c r="E1397" s="21"/>
      <c r="F1397" s="21"/>
      <c r="G1397" s="14"/>
      <c r="H1397" s="14"/>
      <c r="I1397" s="14"/>
      <c r="J1397" s="14"/>
      <c r="K1397" s="14"/>
      <c r="L1397" s="14"/>
      <c r="M1397" s="14"/>
      <c r="N1397" s="14"/>
      <c r="O1397" s="14"/>
      <c r="P1397" s="14"/>
      <c r="Q1397" s="14"/>
      <c r="R1397" s="14"/>
      <c r="S1397" s="14"/>
      <c r="T1397" s="14"/>
      <c r="U1397" s="14"/>
      <c r="V1397" s="14"/>
      <c r="W1397" s="14"/>
      <c r="X1397" s="14"/>
      <c r="Y1397" s="14"/>
    </row>
    <row r="1398" spans="1:25" ht="15.75" x14ac:dyDescent="0.25">
      <c r="A1398" s="21"/>
      <c r="B1398" s="21"/>
      <c r="C1398" s="21"/>
      <c r="E1398" s="21"/>
      <c r="F1398" s="21"/>
      <c r="G1398" s="14"/>
      <c r="H1398" s="14"/>
      <c r="I1398" s="14"/>
      <c r="J1398" s="14"/>
      <c r="K1398" s="14"/>
      <c r="L1398" s="14"/>
      <c r="M1398" s="14"/>
      <c r="N1398" s="14"/>
      <c r="O1398" s="14"/>
      <c r="P1398" s="14"/>
      <c r="Q1398" s="14"/>
      <c r="R1398" s="14"/>
      <c r="S1398" s="14"/>
      <c r="T1398" s="14"/>
      <c r="U1398" s="14"/>
      <c r="V1398" s="14"/>
      <c r="W1398" s="14"/>
      <c r="X1398" s="14"/>
      <c r="Y1398" s="14"/>
    </row>
    <row r="1399" spans="1:25" ht="15.75" x14ac:dyDescent="0.25">
      <c r="A1399" s="21"/>
      <c r="B1399" s="21"/>
      <c r="C1399" s="21"/>
      <c r="E1399" s="21"/>
      <c r="F1399" s="21"/>
      <c r="G1399" s="14"/>
      <c r="H1399" s="14"/>
      <c r="I1399" s="14"/>
      <c r="J1399" s="14"/>
      <c r="K1399" s="14"/>
      <c r="L1399" s="14"/>
      <c r="M1399" s="14"/>
      <c r="N1399" s="14"/>
      <c r="O1399" s="14"/>
      <c r="P1399" s="14"/>
      <c r="Q1399" s="14"/>
      <c r="R1399" s="14"/>
      <c r="S1399" s="14"/>
      <c r="T1399" s="14"/>
      <c r="U1399" s="14"/>
      <c r="V1399" s="14"/>
      <c r="W1399" s="14"/>
      <c r="X1399" s="14"/>
      <c r="Y1399" s="14"/>
    </row>
    <row r="1400" spans="1:25" ht="15.75" x14ac:dyDescent="0.25">
      <c r="A1400" s="21"/>
      <c r="B1400" s="21"/>
      <c r="C1400" s="21"/>
      <c r="E1400" s="21"/>
      <c r="F1400" s="21"/>
      <c r="G1400" s="14"/>
      <c r="H1400" s="14"/>
      <c r="I1400" s="14"/>
      <c r="J1400" s="14"/>
      <c r="K1400" s="14"/>
      <c r="L1400" s="14"/>
      <c r="M1400" s="14"/>
      <c r="N1400" s="14"/>
      <c r="O1400" s="14"/>
      <c r="P1400" s="14"/>
      <c r="Q1400" s="14"/>
      <c r="R1400" s="14"/>
      <c r="S1400" s="14"/>
      <c r="T1400" s="14"/>
      <c r="U1400" s="14"/>
      <c r="V1400" s="14"/>
      <c r="W1400" s="14"/>
      <c r="X1400" s="14"/>
      <c r="Y1400" s="14"/>
    </row>
    <row r="1401" spans="1:25" ht="15.75" x14ac:dyDescent="0.25">
      <c r="A1401" s="21"/>
      <c r="B1401" s="21"/>
      <c r="C1401" s="21"/>
      <c r="E1401" s="21"/>
      <c r="F1401" s="21"/>
      <c r="G1401" s="14"/>
      <c r="H1401" s="14"/>
      <c r="I1401" s="14"/>
      <c r="J1401" s="14"/>
      <c r="K1401" s="14"/>
      <c r="L1401" s="14"/>
      <c r="M1401" s="14"/>
      <c r="N1401" s="14"/>
      <c r="O1401" s="14"/>
      <c r="P1401" s="14"/>
      <c r="Q1401" s="14"/>
      <c r="R1401" s="14"/>
      <c r="S1401" s="14"/>
      <c r="T1401" s="14"/>
      <c r="U1401" s="14"/>
      <c r="V1401" s="14"/>
      <c r="W1401" s="14"/>
      <c r="X1401" s="14"/>
      <c r="Y1401" s="14"/>
    </row>
    <row r="1402" spans="1:25" ht="15.75" x14ac:dyDescent="0.25">
      <c r="A1402" s="21"/>
      <c r="B1402" s="21"/>
      <c r="C1402" s="21"/>
      <c r="E1402" s="21"/>
      <c r="F1402" s="21"/>
      <c r="G1402" s="14"/>
      <c r="H1402" s="14"/>
      <c r="I1402" s="14"/>
      <c r="J1402" s="14"/>
      <c r="K1402" s="14"/>
      <c r="L1402" s="14"/>
      <c r="M1402" s="14"/>
      <c r="N1402" s="14"/>
      <c r="O1402" s="14"/>
      <c r="P1402" s="14"/>
      <c r="Q1402" s="14"/>
      <c r="R1402" s="14"/>
      <c r="S1402" s="14"/>
      <c r="T1402" s="14"/>
      <c r="U1402" s="14"/>
      <c r="V1402" s="14"/>
      <c r="W1402" s="14"/>
      <c r="X1402" s="14"/>
      <c r="Y1402" s="14"/>
    </row>
    <row r="1403" spans="1:25" ht="15.75" x14ac:dyDescent="0.25">
      <c r="A1403" s="21"/>
      <c r="B1403" s="21"/>
      <c r="C1403" s="21"/>
      <c r="E1403" s="21"/>
      <c r="F1403" s="21"/>
      <c r="G1403" s="14"/>
      <c r="H1403" s="14"/>
      <c r="I1403" s="14"/>
      <c r="J1403" s="14"/>
      <c r="K1403" s="14"/>
      <c r="L1403" s="14"/>
      <c r="M1403" s="14"/>
      <c r="N1403" s="14"/>
      <c r="O1403" s="14"/>
      <c r="P1403" s="14"/>
      <c r="Q1403" s="14"/>
      <c r="R1403" s="14"/>
      <c r="S1403" s="14"/>
      <c r="T1403" s="14"/>
      <c r="U1403" s="14"/>
      <c r="V1403" s="14"/>
      <c r="W1403" s="14"/>
      <c r="X1403" s="14"/>
      <c r="Y1403" s="14"/>
    </row>
    <row r="1404" spans="1:25" ht="15.75" x14ac:dyDescent="0.25">
      <c r="A1404" s="21"/>
      <c r="B1404" s="21"/>
      <c r="C1404" s="21"/>
      <c r="E1404" s="21"/>
      <c r="F1404" s="21"/>
      <c r="G1404" s="14"/>
      <c r="H1404" s="14"/>
      <c r="I1404" s="14"/>
      <c r="J1404" s="14"/>
      <c r="K1404" s="14"/>
      <c r="L1404" s="14"/>
      <c r="M1404" s="14"/>
      <c r="N1404" s="14"/>
      <c r="O1404" s="14"/>
      <c r="P1404" s="14"/>
      <c r="Q1404" s="14"/>
      <c r="R1404" s="14"/>
      <c r="S1404" s="14"/>
      <c r="T1404" s="14"/>
      <c r="U1404" s="14"/>
      <c r="V1404" s="14"/>
      <c r="W1404" s="14"/>
      <c r="X1404" s="14"/>
      <c r="Y1404" s="14"/>
    </row>
    <row r="1405" spans="1:25" ht="15.75" x14ac:dyDescent="0.25">
      <c r="A1405" s="21"/>
      <c r="B1405" s="21"/>
      <c r="C1405" s="21"/>
      <c r="E1405" s="21"/>
      <c r="F1405" s="21"/>
      <c r="G1405" s="14"/>
      <c r="H1405" s="14"/>
      <c r="I1405" s="14"/>
      <c r="J1405" s="14"/>
      <c r="K1405" s="14"/>
      <c r="L1405" s="14"/>
      <c r="M1405" s="14"/>
      <c r="N1405" s="14"/>
      <c r="O1405" s="14"/>
      <c r="P1405" s="14"/>
      <c r="Q1405" s="14"/>
      <c r="R1405" s="14"/>
      <c r="S1405" s="14"/>
      <c r="T1405" s="14"/>
      <c r="U1405" s="14"/>
      <c r="V1405" s="14"/>
      <c r="W1405" s="14"/>
      <c r="X1405" s="14"/>
      <c r="Y1405" s="14"/>
    </row>
    <row r="1406" spans="1:25" ht="15.75" x14ac:dyDescent="0.25">
      <c r="A1406" s="21"/>
      <c r="B1406" s="21"/>
      <c r="C1406" s="21"/>
      <c r="E1406" s="21"/>
      <c r="F1406" s="21"/>
      <c r="G1406" s="14"/>
      <c r="H1406" s="14"/>
      <c r="I1406" s="14"/>
      <c r="J1406" s="14"/>
      <c r="K1406" s="14"/>
      <c r="L1406" s="14"/>
      <c r="M1406" s="14"/>
      <c r="N1406" s="14"/>
      <c r="O1406" s="14"/>
      <c r="P1406" s="14"/>
      <c r="Q1406" s="14"/>
      <c r="R1406" s="14"/>
      <c r="S1406" s="14"/>
      <c r="T1406" s="14"/>
      <c r="U1406" s="14"/>
      <c r="V1406" s="14"/>
      <c r="W1406" s="14"/>
      <c r="X1406" s="14"/>
      <c r="Y1406" s="14"/>
    </row>
    <row r="1407" spans="1:25" ht="15.75" x14ac:dyDescent="0.25">
      <c r="A1407" s="21"/>
      <c r="B1407" s="21"/>
      <c r="C1407" s="21"/>
      <c r="E1407" s="21"/>
      <c r="F1407" s="21"/>
      <c r="G1407" s="14"/>
      <c r="H1407" s="14"/>
      <c r="I1407" s="14"/>
      <c r="J1407" s="14"/>
      <c r="K1407" s="14"/>
      <c r="L1407" s="14"/>
      <c r="M1407" s="14"/>
      <c r="N1407" s="14"/>
      <c r="O1407" s="14"/>
      <c r="P1407" s="14"/>
      <c r="Q1407" s="14"/>
      <c r="R1407" s="14"/>
      <c r="S1407" s="14"/>
      <c r="T1407" s="14"/>
      <c r="U1407" s="14"/>
      <c r="V1407" s="14"/>
      <c r="W1407" s="14"/>
      <c r="X1407" s="14"/>
      <c r="Y1407" s="14"/>
    </row>
    <row r="1408" spans="1:25" ht="15.75" x14ac:dyDescent="0.25">
      <c r="A1408" s="21"/>
      <c r="B1408" s="21"/>
      <c r="C1408" s="21"/>
      <c r="E1408" s="21"/>
      <c r="F1408" s="21"/>
      <c r="G1408" s="14"/>
      <c r="H1408" s="14"/>
      <c r="I1408" s="14"/>
      <c r="J1408" s="14"/>
      <c r="K1408" s="14"/>
      <c r="L1408" s="14"/>
      <c r="M1408" s="14"/>
      <c r="N1408" s="14"/>
      <c r="O1408" s="14"/>
      <c r="P1408" s="14"/>
      <c r="Q1408" s="14"/>
      <c r="R1408" s="14"/>
      <c r="S1408" s="14"/>
      <c r="T1408" s="14"/>
      <c r="U1408" s="14"/>
      <c r="V1408" s="14"/>
      <c r="W1408" s="14"/>
      <c r="X1408" s="14"/>
      <c r="Y1408" s="14"/>
    </row>
    <row r="1409" spans="1:25" ht="15.75" x14ac:dyDescent="0.25">
      <c r="A1409" s="21"/>
      <c r="B1409" s="21"/>
      <c r="C1409" s="21"/>
      <c r="E1409" s="21"/>
      <c r="F1409" s="21"/>
      <c r="G1409" s="14"/>
      <c r="H1409" s="14"/>
      <c r="I1409" s="14"/>
      <c r="J1409" s="14"/>
      <c r="K1409" s="14"/>
      <c r="L1409" s="14"/>
      <c r="M1409" s="14"/>
      <c r="N1409" s="14"/>
      <c r="O1409" s="14"/>
      <c r="P1409" s="14"/>
      <c r="Q1409" s="14"/>
      <c r="R1409" s="14"/>
      <c r="S1409" s="14"/>
      <c r="T1409" s="14"/>
      <c r="U1409" s="14"/>
      <c r="V1409" s="14"/>
      <c r="W1409" s="14"/>
      <c r="X1409" s="14"/>
      <c r="Y1409" s="14"/>
    </row>
    <row r="1410" spans="1:25" ht="15.75" x14ac:dyDescent="0.25">
      <c r="A1410" s="21"/>
      <c r="B1410" s="21"/>
      <c r="C1410" s="21"/>
      <c r="E1410" s="21"/>
      <c r="F1410" s="21"/>
      <c r="G1410" s="14"/>
      <c r="H1410" s="14"/>
      <c r="I1410" s="14"/>
      <c r="J1410" s="14"/>
      <c r="K1410" s="14"/>
      <c r="L1410" s="14"/>
      <c r="M1410" s="14"/>
      <c r="N1410" s="14"/>
      <c r="O1410" s="14"/>
      <c r="P1410" s="14"/>
      <c r="Q1410" s="14"/>
      <c r="R1410" s="14"/>
      <c r="S1410" s="14"/>
      <c r="T1410" s="14"/>
      <c r="U1410" s="14"/>
      <c r="V1410" s="14"/>
      <c r="W1410" s="14"/>
      <c r="X1410" s="14"/>
      <c r="Y1410" s="14"/>
    </row>
    <row r="1411" spans="1:25" ht="15.75" x14ac:dyDescent="0.25">
      <c r="A1411" s="21"/>
      <c r="B1411" s="21"/>
      <c r="C1411" s="21"/>
      <c r="E1411" s="21"/>
      <c r="F1411" s="21"/>
      <c r="G1411" s="14"/>
      <c r="H1411" s="14"/>
      <c r="I1411" s="14"/>
      <c r="J1411" s="14"/>
      <c r="K1411" s="14"/>
      <c r="L1411" s="14"/>
      <c r="M1411" s="14"/>
      <c r="N1411" s="14"/>
      <c r="O1411" s="14"/>
      <c r="P1411" s="14"/>
      <c r="Q1411" s="14"/>
      <c r="R1411" s="14"/>
      <c r="S1411" s="14"/>
      <c r="T1411" s="14"/>
      <c r="U1411" s="14"/>
      <c r="V1411" s="14"/>
      <c r="W1411" s="14"/>
      <c r="X1411" s="14"/>
      <c r="Y1411" s="14"/>
    </row>
    <row r="1412" spans="1:25" ht="15.75" x14ac:dyDescent="0.25">
      <c r="A1412" s="21"/>
      <c r="B1412" s="21"/>
      <c r="C1412" s="21"/>
      <c r="E1412" s="21"/>
      <c r="F1412" s="21"/>
      <c r="G1412" s="14"/>
      <c r="H1412" s="14"/>
      <c r="I1412" s="14"/>
      <c r="J1412" s="14"/>
      <c r="K1412" s="14"/>
      <c r="L1412" s="14"/>
      <c r="M1412" s="14"/>
      <c r="N1412" s="14"/>
      <c r="O1412" s="14"/>
      <c r="P1412" s="14"/>
      <c r="Q1412" s="14"/>
      <c r="R1412" s="14"/>
      <c r="S1412" s="14"/>
      <c r="T1412" s="14"/>
      <c r="U1412" s="14"/>
      <c r="V1412" s="14"/>
      <c r="W1412" s="14"/>
      <c r="X1412" s="14"/>
      <c r="Y1412" s="14"/>
    </row>
    <row r="1413" spans="1:25" ht="15.75" x14ac:dyDescent="0.25">
      <c r="A1413" s="21"/>
      <c r="B1413" s="21"/>
      <c r="C1413" s="21"/>
      <c r="E1413" s="21"/>
      <c r="F1413" s="21"/>
      <c r="G1413" s="14"/>
      <c r="H1413" s="14"/>
      <c r="I1413" s="14"/>
      <c r="J1413" s="14"/>
      <c r="K1413" s="14"/>
      <c r="L1413" s="14"/>
      <c r="M1413" s="14"/>
      <c r="N1413" s="14"/>
      <c r="O1413" s="14"/>
      <c r="P1413" s="14"/>
      <c r="Q1413" s="14"/>
      <c r="R1413" s="14"/>
      <c r="S1413" s="14"/>
      <c r="T1413" s="14"/>
      <c r="U1413" s="14"/>
      <c r="V1413" s="14"/>
      <c r="W1413" s="14"/>
      <c r="X1413" s="14"/>
      <c r="Y1413" s="14"/>
    </row>
    <row r="1414" spans="1:25" ht="15.75" x14ac:dyDescent="0.25">
      <c r="A1414" s="21"/>
      <c r="B1414" s="21"/>
      <c r="C1414" s="21"/>
      <c r="E1414" s="21"/>
      <c r="F1414" s="21"/>
      <c r="G1414" s="14"/>
      <c r="H1414" s="14"/>
      <c r="I1414" s="14"/>
      <c r="J1414" s="14"/>
      <c r="K1414" s="14"/>
      <c r="L1414" s="14"/>
      <c r="M1414" s="14"/>
      <c r="N1414" s="14"/>
      <c r="O1414" s="14"/>
      <c r="P1414" s="14"/>
      <c r="Q1414" s="14"/>
      <c r="R1414" s="14"/>
      <c r="S1414" s="14"/>
      <c r="T1414" s="14"/>
      <c r="U1414" s="14"/>
      <c r="V1414" s="14"/>
      <c r="W1414" s="14"/>
      <c r="X1414" s="14"/>
      <c r="Y1414" s="14"/>
    </row>
    <row r="1415" spans="1:25" ht="15.75" x14ac:dyDescent="0.25">
      <c r="A1415" s="21"/>
      <c r="B1415" s="21"/>
      <c r="C1415" s="21"/>
      <c r="E1415" s="21"/>
      <c r="F1415" s="21"/>
      <c r="G1415" s="14"/>
      <c r="H1415" s="14"/>
      <c r="I1415" s="14"/>
      <c r="J1415" s="14"/>
      <c r="K1415" s="14"/>
      <c r="L1415" s="14"/>
      <c r="M1415" s="14"/>
      <c r="N1415" s="14"/>
      <c r="O1415" s="14"/>
      <c r="P1415" s="14"/>
      <c r="Q1415" s="14"/>
      <c r="R1415" s="14"/>
      <c r="S1415" s="14"/>
      <c r="T1415" s="14"/>
      <c r="U1415" s="14"/>
      <c r="V1415" s="14"/>
      <c r="W1415" s="14"/>
      <c r="X1415" s="14"/>
      <c r="Y1415" s="14"/>
    </row>
    <row r="1416" spans="1:25" ht="15.75" x14ac:dyDescent="0.25">
      <c r="A1416" s="21"/>
      <c r="B1416" s="21"/>
      <c r="C1416" s="21"/>
      <c r="E1416" s="21"/>
      <c r="F1416" s="21"/>
      <c r="G1416" s="14"/>
      <c r="H1416" s="14"/>
      <c r="I1416" s="14"/>
      <c r="J1416" s="14"/>
      <c r="K1416" s="14"/>
      <c r="L1416" s="14"/>
      <c r="M1416" s="14"/>
      <c r="N1416" s="14"/>
      <c r="O1416" s="14"/>
      <c r="P1416" s="14"/>
      <c r="Q1416" s="14"/>
      <c r="R1416" s="14"/>
      <c r="S1416" s="14"/>
      <c r="T1416" s="14"/>
      <c r="U1416" s="14"/>
      <c r="V1416" s="14"/>
      <c r="W1416" s="14"/>
      <c r="X1416" s="14"/>
      <c r="Y1416" s="14"/>
    </row>
    <row r="1417" spans="1:25" ht="15.75" x14ac:dyDescent="0.25">
      <c r="A1417" s="21"/>
      <c r="B1417" s="21"/>
      <c r="C1417" s="21"/>
      <c r="E1417" s="21"/>
      <c r="F1417" s="21"/>
      <c r="G1417" s="14"/>
      <c r="H1417" s="14"/>
      <c r="I1417" s="14"/>
      <c r="J1417" s="14"/>
      <c r="K1417" s="14"/>
      <c r="L1417" s="14"/>
      <c r="M1417" s="14"/>
      <c r="N1417" s="14"/>
      <c r="O1417" s="14"/>
      <c r="P1417" s="14"/>
      <c r="Q1417" s="14"/>
      <c r="R1417" s="14"/>
      <c r="S1417" s="14"/>
      <c r="T1417" s="14"/>
      <c r="U1417" s="14"/>
      <c r="V1417" s="14"/>
      <c r="W1417" s="14"/>
      <c r="X1417" s="14"/>
      <c r="Y1417" s="14"/>
    </row>
    <row r="1418" spans="1:25" ht="15.75" x14ac:dyDescent="0.25">
      <c r="A1418" s="21"/>
      <c r="B1418" s="21"/>
      <c r="C1418" s="21"/>
      <c r="E1418" s="21"/>
      <c r="F1418" s="21"/>
      <c r="G1418" s="14"/>
      <c r="H1418" s="14"/>
      <c r="I1418" s="14"/>
      <c r="J1418" s="14"/>
      <c r="K1418" s="14"/>
      <c r="L1418" s="14"/>
      <c r="M1418" s="14"/>
      <c r="N1418" s="14"/>
      <c r="O1418" s="14"/>
      <c r="P1418" s="14"/>
      <c r="Q1418" s="14"/>
      <c r="R1418" s="14"/>
      <c r="S1418" s="14"/>
      <c r="T1418" s="14"/>
      <c r="U1418" s="14"/>
      <c r="V1418" s="14"/>
      <c r="W1418" s="14"/>
      <c r="X1418" s="14"/>
      <c r="Y1418" s="14"/>
    </row>
    <row r="1419" spans="1:25" ht="15.75" x14ac:dyDescent="0.25">
      <c r="A1419" s="21"/>
      <c r="B1419" s="21"/>
      <c r="C1419" s="21"/>
      <c r="E1419" s="21"/>
      <c r="F1419" s="21"/>
      <c r="G1419" s="14"/>
      <c r="H1419" s="14"/>
      <c r="I1419" s="14"/>
      <c r="J1419" s="14"/>
      <c r="K1419" s="14"/>
      <c r="L1419" s="14"/>
      <c r="M1419" s="14"/>
      <c r="N1419" s="14"/>
      <c r="O1419" s="14"/>
      <c r="P1419" s="14"/>
      <c r="Q1419" s="14"/>
      <c r="R1419" s="14"/>
      <c r="S1419" s="14"/>
      <c r="T1419" s="14"/>
      <c r="U1419" s="14"/>
      <c r="V1419" s="14"/>
      <c r="W1419" s="14"/>
      <c r="X1419" s="14"/>
      <c r="Y1419" s="14"/>
    </row>
    <row r="1420" spans="1:25" ht="15.75" x14ac:dyDescent="0.25">
      <c r="A1420" s="21"/>
      <c r="B1420" s="21"/>
      <c r="C1420" s="21"/>
      <c r="E1420" s="21"/>
      <c r="F1420" s="21"/>
      <c r="G1420" s="14"/>
      <c r="H1420" s="14"/>
      <c r="I1420" s="14"/>
      <c r="J1420" s="14"/>
      <c r="K1420" s="14"/>
      <c r="L1420" s="14"/>
      <c r="M1420" s="14"/>
      <c r="N1420" s="14"/>
      <c r="O1420" s="14"/>
      <c r="P1420" s="14"/>
      <c r="Q1420" s="14"/>
      <c r="R1420" s="14"/>
      <c r="S1420" s="14"/>
      <c r="T1420" s="14"/>
      <c r="U1420" s="14"/>
      <c r="V1420" s="14"/>
      <c r="W1420" s="14"/>
      <c r="X1420" s="14"/>
      <c r="Y1420" s="14"/>
    </row>
    <row r="1421" spans="1:25" ht="15.75" x14ac:dyDescent="0.25">
      <c r="A1421" s="21"/>
      <c r="B1421" s="21"/>
      <c r="C1421" s="21"/>
      <c r="E1421" s="21"/>
      <c r="F1421" s="21"/>
      <c r="G1421" s="14"/>
      <c r="H1421" s="14"/>
      <c r="I1421" s="14"/>
      <c r="J1421" s="14"/>
      <c r="K1421" s="14"/>
      <c r="L1421" s="14"/>
      <c r="M1421" s="14"/>
      <c r="N1421" s="14"/>
      <c r="O1421" s="14"/>
      <c r="P1421" s="14"/>
      <c r="Q1421" s="14"/>
      <c r="R1421" s="14"/>
      <c r="S1421" s="14"/>
      <c r="T1421" s="14"/>
      <c r="U1421" s="14"/>
      <c r="V1421" s="14"/>
      <c r="W1421" s="14"/>
      <c r="X1421" s="14"/>
      <c r="Y1421" s="14"/>
    </row>
    <row r="1422" spans="1:25" ht="15.75" x14ac:dyDescent="0.25">
      <c r="A1422" s="21"/>
      <c r="B1422" s="21"/>
      <c r="C1422" s="21"/>
      <c r="E1422" s="21"/>
      <c r="F1422" s="21"/>
      <c r="G1422" s="14"/>
      <c r="H1422" s="14"/>
      <c r="I1422" s="14"/>
      <c r="J1422" s="14"/>
      <c r="K1422" s="14"/>
      <c r="L1422" s="14"/>
      <c r="M1422" s="14"/>
      <c r="N1422" s="14"/>
      <c r="O1422" s="14"/>
      <c r="P1422" s="14"/>
      <c r="Q1422" s="14"/>
      <c r="R1422" s="14"/>
      <c r="S1422" s="14"/>
      <c r="T1422" s="14"/>
      <c r="U1422" s="14"/>
      <c r="V1422" s="14"/>
      <c r="W1422" s="14"/>
      <c r="X1422" s="14"/>
      <c r="Y1422" s="14"/>
    </row>
    <row r="1423" spans="1:25" ht="15.75" x14ac:dyDescent="0.25">
      <c r="A1423" s="21"/>
      <c r="B1423" s="21"/>
      <c r="C1423" s="21"/>
      <c r="E1423" s="21"/>
      <c r="F1423" s="21"/>
      <c r="G1423" s="14"/>
      <c r="H1423" s="14"/>
      <c r="I1423" s="14"/>
      <c r="J1423" s="14"/>
      <c r="K1423" s="14"/>
      <c r="L1423" s="14"/>
      <c r="M1423" s="14"/>
      <c r="N1423" s="14"/>
      <c r="O1423" s="14"/>
      <c r="P1423" s="14"/>
      <c r="Q1423" s="14"/>
      <c r="R1423" s="14"/>
      <c r="S1423" s="14"/>
      <c r="T1423" s="14"/>
      <c r="U1423" s="14"/>
      <c r="V1423" s="14"/>
      <c r="W1423" s="14"/>
      <c r="X1423" s="14"/>
      <c r="Y1423" s="14"/>
    </row>
    <row r="1424" spans="1:25" ht="15.75" x14ac:dyDescent="0.25">
      <c r="A1424" s="21"/>
      <c r="B1424" s="21"/>
      <c r="C1424" s="21"/>
      <c r="E1424" s="21"/>
      <c r="F1424" s="21"/>
      <c r="G1424" s="14"/>
      <c r="H1424" s="14"/>
      <c r="I1424" s="14"/>
      <c r="J1424" s="14"/>
      <c r="K1424" s="14"/>
      <c r="L1424" s="14"/>
      <c r="M1424" s="14"/>
      <c r="N1424" s="14"/>
      <c r="O1424" s="14"/>
      <c r="P1424" s="14"/>
      <c r="Q1424" s="14"/>
      <c r="R1424" s="14"/>
      <c r="S1424" s="14"/>
      <c r="T1424" s="14"/>
      <c r="U1424" s="14"/>
      <c r="V1424" s="14"/>
      <c r="W1424" s="14"/>
      <c r="X1424" s="14"/>
      <c r="Y1424" s="14"/>
    </row>
    <row r="1425" spans="1:25" ht="15.75" x14ac:dyDescent="0.25">
      <c r="A1425" s="21"/>
      <c r="B1425" s="21"/>
      <c r="C1425" s="21"/>
      <c r="E1425" s="21"/>
      <c r="F1425" s="21"/>
      <c r="G1425" s="14"/>
      <c r="H1425" s="14"/>
      <c r="I1425" s="14"/>
      <c r="J1425" s="14"/>
      <c r="K1425" s="14"/>
      <c r="L1425" s="14"/>
      <c r="M1425" s="14"/>
      <c r="N1425" s="14"/>
      <c r="O1425" s="14"/>
      <c r="P1425" s="14"/>
      <c r="Q1425" s="14"/>
      <c r="R1425" s="14"/>
      <c r="S1425" s="14"/>
      <c r="T1425" s="14"/>
      <c r="U1425" s="14"/>
      <c r="V1425" s="14"/>
      <c r="W1425" s="14"/>
      <c r="X1425" s="14"/>
      <c r="Y1425" s="14"/>
    </row>
    <row r="1426" spans="1:25" ht="15.75" x14ac:dyDescent="0.25">
      <c r="A1426" s="21"/>
      <c r="B1426" s="21"/>
      <c r="C1426" s="21"/>
      <c r="E1426" s="21"/>
      <c r="F1426" s="21"/>
      <c r="G1426" s="14"/>
      <c r="H1426" s="14"/>
      <c r="I1426" s="14"/>
      <c r="J1426" s="14"/>
      <c r="K1426" s="14"/>
      <c r="L1426" s="14"/>
      <c r="M1426" s="14"/>
      <c r="N1426" s="14"/>
      <c r="O1426" s="14"/>
      <c r="P1426" s="14"/>
      <c r="Q1426" s="14"/>
      <c r="R1426" s="14"/>
      <c r="S1426" s="14"/>
      <c r="T1426" s="14"/>
      <c r="U1426" s="14"/>
      <c r="V1426" s="14"/>
      <c r="W1426" s="14"/>
      <c r="X1426" s="14"/>
      <c r="Y1426" s="14"/>
    </row>
    <row r="1427" spans="1:25" ht="15.75" x14ac:dyDescent="0.25">
      <c r="A1427" s="21"/>
      <c r="B1427" s="21"/>
      <c r="C1427" s="21"/>
      <c r="E1427" s="21"/>
      <c r="F1427" s="21"/>
      <c r="G1427" s="14"/>
      <c r="H1427" s="14"/>
      <c r="I1427" s="14"/>
      <c r="J1427" s="14"/>
      <c r="K1427" s="14"/>
      <c r="L1427" s="14"/>
      <c r="M1427" s="14"/>
      <c r="N1427" s="14"/>
      <c r="O1427" s="14"/>
      <c r="P1427" s="14"/>
      <c r="Q1427" s="14"/>
      <c r="R1427" s="14"/>
      <c r="S1427" s="14"/>
      <c r="T1427" s="14"/>
      <c r="U1427" s="14"/>
      <c r="V1427" s="14"/>
      <c r="W1427" s="14"/>
      <c r="X1427" s="14"/>
      <c r="Y1427" s="14"/>
    </row>
    <row r="1428" spans="1:25" ht="15.75" x14ac:dyDescent="0.25">
      <c r="A1428" s="21"/>
      <c r="B1428" s="21"/>
      <c r="C1428" s="21"/>
      <c r="E1428" s="21"/>
      <c r="F1428" s="21"/>
      <c r="G1428" s="14"/>
      <c r="H1428" s="14"/>
      <c r="I1428" s="14"/>
      <c r="J1428" s="14"/>
      <c r="K1428" s="14"/>
      <c r="L1428" s="14"/>
      <c r="M1428" s="14"/>
      <c r="N1428" s="14"/>
      <c r="O1428" s="14"/>
      <c r="P1428" s="14"/>
      <c r="Q1428" s="14"/>
      <c r="R1428" s="14"/>
      <c r="S1428" s="14"/>
      <c r="T1428" s="14"/>
      <c r="U1428" s="14"/>
      <c r="V1428" s="14"/>
      <c r="W1428" s="14"/>
      <c r="X1428" s="14"/>
      <c r="Y1428" s="14"/>
    </row>
    <row r="1429" spans="1:25" ht="15.75" x14ac:dyDescent="0.25">
      <c r="A1429" s="21"/>
      <c r="B1429" s="21"/>
      <c r="C1429" s="21"/>
      <c r="E1429" s="21"/>
      <c r="F1429" s="21"/>
      <c r="G1429" s="14"/>
      <c r="H1429" s="14"/>
      <c r="I1429" s="14"/>
      <c r="J1429" s="14"/>
      <c r="K1429" s="14"/>
      <c r="L1429" s="14"/>
      <c r="M1429" s="14"/>
      <c r="N1429" s="14"/>
      <c r="O1429" s="14"/>
      <c r="P1429" s="14"/>
      <c r="Q1429" s="14"/>
      <c r="R1429" s="14"/>
      <c r="S1429" s="14"/>
      <c r="T1429" s="14"/>
      <c r="U1429" s="14"/>
      <c r="V1429" s="14"/>
      <c r="W1429" s="14"/>
      <c r="X1429" s="14"/>
      <c r="Y1429" s="14"/>
    </row>
    <row r="1430" spans="1:25" ht="15.75" x14ac:dyDescent="0.25">
      <c r="A1430" s="21"/>
      <c r="B1430" s="21"/>
      <c r="C1430" s="21"/>
      <c r="E1430" s="21"/>
      <c r="F1430" s="21"/>
      <c r="G1430" s="14"/>
      <c r="H1430" s="14"/>
      <c r="I1430" s="14"/>
      <c r="J1430" s="14"/>
      <c r="K1430" s="14"/>
      <c r="L1430" s="14"/>
      <c r="M1430" s="14"/>
      <c r="N1430" s="14"/>
      <c r="O1430" s="14"/>
      <c r="P1430" s="14"/>
      <c r="Q1430" s="14"/>
      <c r="R1430" s="14"/>
      <c r="S1430" s="14"/>
      <c r="T1430" s="14"/>
      <c r="U1430" s="14"/>
      <c r="V1430" s="14"/>
      <c r="W1430" s="14"/>
      <c r="X1430" s="14"/>
      <c r="Y1430" s="14"/>
    </row>
    <row r="1431" spans="1:25" ht="15.75" x14ac:dyDescent="0.25">
      <c r="A1431" s="21"/>
      <c r="B1431" s="21"/>
      <c r="C1431" s="21"/>
      <c r="E1431" s="21"/>
      <c r="F1431" s="21"/>
      <c r="G1431" s="14"/>
      <c r="H1431" s="14"/>
      <c r="I1431" s="14"/>
      <c r="J1431" s="14"/>
      <c r="K1431" s="14"/>
      <c r="L1431" s="14"/>
      <c r="M1431" s="14"/>
      <c r="N1431" s="14"/>
      <c r="O1431" s="14"/>
      <c r="P1431" s="14"/>
      <c r="Q1431" s="14"/>
      <c r="R1431" s="14"/>
      <c r="S1431" s="14"/>
      <c r="T1431" s="14"/>
      <c r="U1431" s="14"/>
      <c r="V1431" s="14"/>
      <c r="W1431" s="14"/>
      <c r="X1431" s="14"/>
      <c r="Y1431" s="14"/>
    </row>
    <row r="1432" spans="1:25" ht="15.75" x14ac:dyDescent="0.25">
      <c r="A1432" s="21"/>
      <c r="B1432" s="21"/>
      <c r="C1432" s="21"/>
      <c r="E1432" s="21"/>
      <c r="F1432" s="21"/>
      <c r="G1432" s="14"/>
      <c r="H1432" s="14"/>
      <c r="I1432" s="14"/>
      <c r="J1432" s="14"/>
      <c r="K1432" s="14"/>
      <c r="L1432" s="14"/>
      <c r="M1432" s="14"/>
      <c r="N1432" s="14"/>
      <c r="O1432" s="14"/>
      <c r="P1432" s="14"/>
      <c r="Q1432" s="14"/>
      <c r="R1432" s="14"/>
      <c r="S1432" s="14"/>
      <c r="T1432" s="14"/>
      <c r="U1432" s="14"/>
      <c r="V1432" s="14"/>
      <c r="W1432" s="14"/>
      <c r="X1432" s="14"/>
      <c r="Y1432" s="14"/>
    </row>
    <row r="1433" spans="1:25" ht="15.75" x14ac:dyDescent="0.25">
      <c r="A1433" s="21"/>
      <c r="B1433" s="21"/>
      <c r="C1433" s="21"/>
      <c r="E1433" s="21"/>
      <c r="F1433" s="21"/>
      <c r="G1433" s="14"/>
      <c r="H1433" s="14"/>
      <c r="I1433" s="14"/>
      <c r="J1433" s="14"/>
      <c r="K1433" s="14"/>
      <c r="L1433" s="14"/>
      <c r="M1433" s="14"/>
      <c r="N1433" s="14"/>
      <c r="O1433" s="14"/>
      <c r="P1433" s="14"/>
      <c r="Q1433" s="14"/>
      <c r="R1433" s="14"/>
      <c r="S1433" s="14"/>
      <c r="T1433" s="14"/>
      <c r="U1433" s="14"/>
      <c r="V1433" s="14"/>
      <c r="W1433" s="14"/>
      <c r="X1433" s="14"/>
      <c r="Y1433" s="14"/>
    </row>
    <row r="1434" spans="1:25" ht="15.75" x14ac:dyDescent="0.25">
      <c r="A1434" s="21"/>
      <c r="B1434" s="21"/>
      <c r="C1434" s="21"/>
      <c r="E1434" s="21"/>
      <c r="F1434" s="21"/>
      <c r="G1434" s="14"/>
      <c r="H1434" s="14"/>
      <c r="I1434" s="14"/>
      <c r="J1434" s="14"/>
      <c r="K1434" s="14"/>
      <c r="L1434" s="14"/>
      <c r="M1434" s="14"/>
      <c r="N1434" s="14"/>
      <c r="O1434" s="14"/>
      <c r="P1434" s="14"/>
      <c r="Q1434" s="14"/>
      <c r="R1434" s="14"/>
      <c r="S1434" s="14"/>
      <c r="T1434" s="14"/>
      <c r="U1434" s="14"/>
      <c r="V1434" s="14"/>
      <c r="W1434" s="14"/>
      <c r="X1434" s="14"/>
      <c r="Y1434" s="14"/>
    </row>
    <row r="1435" spans="1:25" ht="15.75" x14ac:dyDescent="0.25">
      <c r="A1435" s="21"/>
      <c r="B1435" s="21"/>
      <c r="C1435" s="21"/>
      <c r="E1435" s="21"/>
      <c r="F1435" s="21"/>
      <c r="G1435" s="14"/>
      <c r="H1435" s="14"/>
      <c r="I1435" s="14"/>
      <c r="J1435" s="14"/>
      <c r="K1435" s="14"/>
      <c r="L1435" s="14"/>
      <c r="M1435" s="14"/>
      <c r="N1435" s="14"/>
      <c r="O1435" s="14"/>
      <c r="P1435" s="14"/>
      <c r="Q1435" s="14"/>
      <c r="R1435" s="14"/>
      <c r="S1435" s="14"/>
      <c r="T1435" s="14"/>
      <c r="U1435" s="14"/>
      <c r="V1435" s="14"/>
      <c r="W1435" s="14"/>
      <c r="X1435" s="14"/>
      <c r="Y1435" s="14"/>
    </row>
    <row r="1436" spans="1:25" ht="15.75" x14ac:dyDescent="0.25">
      <c r="A1436" s="21"/>
      <c r="B1436" s="21"/>
      <c r="C1436" s="21"/>
      <c r="E1436" s="21"/>
      <c r="F1436" s="21"/>
      <c r="G1436" s="14"/>
      <c r="H1436" s="14"/>
      <c r="I1436" s="14"/>
      <c r="J1436" s="14"/>
      <c r="K1436" s="14"/>
      <c r="L1436" s="14"/>
      <c r="M1436" s="14"/>
      <c r="N1436" s="14"/>
      <c r="O1436" s="14"/>
      <c r="P1436" s="14"/>
      <c r="Q1436" s="14"/>
      <c r="R1436" s="14"/>
      <c r="S1436" s="14"/>
      <c r="T1436" s="14"/>
      <c r="U1436" s="14"/>
      <c r="V1436" s="14"/>
      <c r="W1436" s="14"/>
      <c r="X1436" s="14"/>
      <c r="Y1436" s="14"/>
    </row>
    <row r="1437" spans="1:25" ht="15.75" x14ac:dyDescent="0.25">
      <c r="A1437" s="21"/>
      <c r="B1437" s="21"/>
      <c r="C1437" s="21"/>
      <c r="E1437" s="21"/>
      <c r="F1437" s="21"/>
      <c r="G1437" s="14"/>
      <c r="H1437" s="14"/>
      <c r="I1437" s="14"/>
      <c r="J1437" s="14"/>
      <c r="K1437" s="14"/>
      <c r="L1437" s="14"/>
      <c r="M1437" s="14"/>
      <c r="N1437" s="14"/>
      <c r="O1437" s="14"/>
      <c r="P1437" s="14"/>
      <c r="Q1437" s="14"/>
      <c r="R1437" s="14"/>
      <c r="S1437" s="14"/>
      <c r="T1437" s="14"/>
      <c r="U1437" s="14"/>
      <c r="V1437" s="14"/>
      <c r="W1437" s="14"/>
      <c r="X1437" s="14"/>
      <c r="Y1437" s="14"/>
    </row>
    <row r="1438" spans="1:25" ht="15.75" x14ac:dyDescent="0.25">
      <c r="A1438" s="21"/>
      <c r="B1438" s="21"/>
      <c r="C1438" s="21"/>
      <c r="E1438" s="21"/>
      <c r="F1438" s="21"/>
      <c r="G1438" s="14"/>
      <c r="H1438" s="14"/>
      <c r="I1438" s="14"/>
      <c r="J1438" s="14"/>
      <c r="K1438" s="14"/>
      <c r="L1438" s="14"/>
      <c r="M1438" s="14"/>
      <c r="N1438" s="14"/>
      <c r="O1438" s="14"/>
      <c r="P1438" s="14"/>
      <c r="Q1438" s="14"/>
      <c r="R1438" s="14"/>
      <c r="S1438" s="14"/>
      <c r="T1438" s="14"/>
      <c r="U1438" s="14"/>
      <c r="V1438" s="14"/>
      <c r="W1438" s="14"/>
      <c r="X1438" s="14"/>
      <c r="Y1438" s="14"/>
    </row>
    <row r="1439" spans="1:25" ht="15.75" x14ac:dyDescent="0.25">
      <c r="A1439" s="21"/>
      <c r="B1439" s="21"/>
      <c r="C1439" s="21"/>
      <c r="E1439" s="21"/>
      <c r="F1439" s="21"/>
      <c r="G1439" s="14"/>
      <c r="H1439" s="14"/>
      <c r="I1439" s="14"/>
      <c r="J1439" s="14"/>
      <c r="K1439" s="14"/>
      <c r="L1439" s="14"/>
      <c r="M1439" s="14"/>
      <c r="N1439" s="14"/>
      <c r="O1439" s="14"/>
      <c r="P1439" s="14"/>
      <c r="Q1439" s="14"/>
      <c r="R1439" s="14"/>
      <c r="S1439" s="14"/>
      <c r="T1439" s="14"/>
      <c r="U1439" s="14"/>
      <c r="V1439" s="14"/>
      <c r="W1439" s="14"/>
      <c r="X1439" s="14"/>
      <c r="Y1439" s="14"/>
    </row>
    <row r="1440" spans="1:25" ht="15.75" x14ac:dyDescent="0.25">
      <c r="A1440" s="21"/>
      <c r="B1440" s="21"/>
      <c r="C1440" s="21"/>
      <c r="E1440" s="21"/>
      <c r="F1440" s="21"/>
      <c r="G1440" s="14"/>
      <c r="H1440" s="14"/>
      <c r="I1440" s="14"/>
      <c r="J1440" s="14"/>
      <c r="K1440" s="14"/>
      <c r="L1440" s="14"/>
      <c r="M1440" s="14"/>
      <c r="N1440" s="14"/>
      <c r="O1440" s="14"/>
      <c r="P1440" s="14"/>
      <c r="Q1440" s="14"/>
      <c r="R1440" s="14"/>
      <c r="S1440" s="14"/>
      <c r="T1440" s="14"/>
      <c r="U1440" s="14"/>
      <c r="V1440" s="14"/>
      <c r="W1440" s="14"/>
      <c r="X1440" s="14"/>
      <c r="Y1440" s="14"/>
    </row>
    <row r="1441" spans="1:25" ht="15.75" x14ac:dyDescent="0.25">
      <c r="A1441" s="21"/>
      <c r="B1441" s="21"/>
      <c r="C1441" s="21"/>
      <c r="E1441" s="21"/>
      <c r="F1441" s="21"/>
      <c r="G1441" s="14"/>
      <c r="H1441" s="14"/>
      <c r="I1441" s="14"/>
      <c r="J1441" s="14"/>
      <c r="K1441" s="14"/>
      <c r="L1441" s="14"/>
      <c r="M1441" s="14"/>
      <c r="N1441" s="14"/>
      <c r="O1441" s="14"/>
      <c r="P1441" s="14"/>
      <c r="Q1441" s="14"/>
      <c r="R1441" s="14"/>
      <c r="S1441" s="14"/>
      <c r="T1441" s="14"/>
      <c r="U1441" s="14"/>
      <c r="V1441" s="14"/>
      <c r="W1441" s="14"/>
      <c r="X1441" s="14"/>
      <c r="Y1441" s="14"/>
    </row>
    <row r="1442" spans="1:25" ht="15.75" x14ac:dyDescent="0.25">
      <c r="A1442" s="21"/>
      <c r="B1442" s="21"/>
      <c r="C1442" s="21"/>
      <c r="E1442" s="21"/>
      <c r="F1442" s="21"/>
      <c r="G1442" s="14"/>
      <c r="H1442" s="14"/>
      <c r="I1442" s="14"/>
      <c r="J1442" s="14"/>
      <c r="K1442" s="14"/>
      <c r="L1442" s="14"/>
      <c r="M1442" s="14"/>
      <c r="N1442" s="14"/>
      <c r="O1442" s="14"/>
      <c r="P1442" s="14"/>
      <c r="Q1442" s="14"/>
      <c r="R1442" s="14"/>
      <c r="S1442" s="14"/>
      <c r="T1442" s="14"/>
      <c r="U1442" s="14"/>
      <c r="V1442" s="14"/>
      <c r="W1442" s="14"/>
      <c r="X1442" s="14"/>
      <c r="Y1442" s="14"/>
    </row>
    <row r="1443" spans="1:25" ht="15.75" x14ac:dyDescent="0.25">
      <c r="A1443" s="21"/>
      <c r="B1443" s="21"/>
      <c r="C1443" s="21"/>
      <c r="E1443" s="21"/>
      <c r="F1443" s="21"/>
      <c r="G1443" s="14"/>
      <c r="H1443" s="14"/>
      <c r="I1443" s="14"/>
      <c r="J1443" s="14"/>
      <c r="K1443" s="14"/>
      <c r="L1443" s="14"/>
      <c r="M1443" s="14"/>
      <c r="N1443" s="14"/>
      <c r="O1443" s="14"/>
      <c r="P1443" s="14"/>
      <c r="Q1443" s="14"/>
      <c r="R1443" s="14"/>
      <c r="S1443" s="14"/>
      <c r="T1443" s="14"/>
      <c r="U1443" s="14"/>
      <c r="V1443" s="14"/>
      <c r="W1443" s="14"/>
      <c r="X1443" s="14"/>
      <c r="Y1443" s="14"/>
    </row>
    <row r="1444" spans="1:25" ht="15.75" x14ac:dyDescent="0.25">
      <c r="A1444" s="21"/>
      <c r="B1444" s="21"/>
      <c r="C1444" s="21"/>
      <c r="E1444" s="21"/>
      <c r="F1444" s="21"/>
      <c r="G1444" s="14"/>
      <c r="H1444" s="14"/>
      <c r="I1444" s="14"/>
      <c r="J1444" s="14"/>
      <c r="K1444" s="14"/>
      <c r="L1444" s="14"/>
      <c r="M1444" s="14"/>
      <c r="N1444" s="14"/>
      <c r="O1444" s="14"/>
      <c r="P1444" s="14"/>
      <c r="Q1444" s="14"/>
      <c r="R1444" s="14"/>
      <c r="S1444" s="14"/>
      <c r="T1444" s="14"/>
      <c r="U1444" s="14"/>
      <c r="V1444" s="14"/>
      <c r="W1444" s="14"/>
      <c r="X1444" s="14"/>
      <c r="Y1444" s="14"/>
    </row>
    <row r="1445" spans="1:25" ht="15.75" x14ac:dyDescent="0.25">
      <c r="A1445" s="21"/>
      <c r="B1445" s="21"/>
      <c r="C1445" s="21"/>
      <c r="E1445" s="21"/>
      <c r="F1445" s="21"/>
      <c r="G1445" s="14"/>
      <c r="H1445" s="14"/>
      <c r="I1445" s="14"/>
      <c r="J1445" s="14"/>
      <c r="K1445" s="14"/>
      <c r="L1445" s="14"/>
      <c r="M1445" s="14"/>
      <c r="N1445" s="14"/>
      <c r="O1445" s="14"/>
      <c r="P1445" s="14"/>
      <c r="Q1445" s="14"/>
      <c r="R1445" s="14"/>
      <c r="S1445" s="14"/>
      <c r="T1445" s="14"/>
      <c r="U1445" s="14"/>
      <c r="V1445" s="14"/>
      <c r="W1445" s="14"/>
      <c r="X1445" s="14"/>
      <c r="Y1445" s="14"/>
    </row>
    <row r="1446" spans="1:25" ht="15.75" x14ac:dyDescent="0.25">
      <c r="A1446" s="21"/>
      <c r="B1446" s="21"/>
      <c r="C1446" s="21"/>
      <c r="E1446" s="21"/>
      <c r="F1446" s="21"/>
      <c r="G1446" s="14"/>
      <c r="H1446" s="14"/>
      <c r="I1446" s="14"/>
      <c r="J1446" s="14"/>
      <c r="K1446" s="14"/>
      <c r="L1446" s="14"/>
      <c r="M1446" s="14"/>
      <c r="N1446" s="14"/>
      <c r="O1446" s="14"/>
      <c r="P1446" s="14"/>
      <c r="Q1446" s="14"/>
      <c r="R1446" s="14"/>
      <c r="S1446" s="14"/>
      <c r="T1446" s="14"/>
      <c r="U1446" s="14"/>
      <c r="V1446" s="14"/>
      <c r="W1446" s="14"/>
      <c r="X1446" s="14"/>
      <c r="Y1446" s="14"/>
    </row>
    <row r="1447" spans="1:25" ht="15.75" x14ac:dyDescent="0.25">
      <c r="A1447" s="21"/>
      <c r="B1447" s="21"/>
      <c r="C1447" s="21"/>
      <c r="E1447" s="21"/>
      <c r="F1447" s="21"/>
      <c r="G1447" s="14"/>
      <c r="H1447" s="14"/>
      <c r="I1447" s="14"/>
      <c r="J1447" s="14"/>
      <c r="K1447" s="14"/>
      <c r="L1447" s="14"/>
      <c r="M1447" s="14"/>
      <c r="N1447" s="14"/>
      <c r="O1447" s="14"/>
      <c r="P1447" s="14"/>
      <c r="Q1447" s="14"/>
      <c r="R1447" s="14"/>
      <c r="S1447" s="14"/>
      <c r="T1447" s="14"/>
      <c r="U1447" s="14"/>
      <c r="V1447" s="14"/>
      <c r="W1447" s="14"/>
      <c r="X1447" s="14"/>
      <c r="Y1447" s="14"/>
    </row>
    <row r="1448" spans="1:25" ht="15.75" x14ac:dyDescent="0.25">
      <c r="A1448" s="21"/>
      <c r="B1448" s="21"/>
      <c r="C1448" s="21"/>
      <c r="E1448" s="21"/>
      <c r="F1448" s="21"/>
      <c r="G1448" s="14"/>
      <c r="H1448" s="14"/>
      <c r="I1448" s="14"/>
      <c r="J1448" s="14"/>
      <c r="K1448" s="14"/>
      <c r="L1448" s="14"/>
      <c r="M1448" s="14"/>
      <c r="N1448" s="14"/>
      <c r="O1448" s="14"/>
      <c r="P1448" s="14"/>
      <c r="Q1448" s="14"/>
      <c r="R1448" s="14"/>
      <c r="S1448" s="14"/>
      <c r="T1448" s="14"/>
      <c r="U1448" s="14"/>
      <c r="V1448" s="14"/>
      <c r="W1448" s="14"/>
      <c r="X1448" s="14"/>
      <c r="Y1448" s="14"/>
    </row>
    <row r="1449" spans="1:25" ht="15.75" x14ac:dyDescent="0.25">
      <c r="A1449" s="21"/>
      <c r="B1449" s="21"/>
      <c r="C1449" s="21"/>
      <c r="E1449" s="21"/>
      <c r="F1449" s="21"/>
      <c r="G1449" s="14"/>
      <c r="H1449" s="14"/>
      <c r="I1449" s="14"/>
      <c r="J1449" s="14"/>
      <c r="K1449" s="14"/>
      <c r="L1449" s="14"/>
      <c r="M1449" s="14"/>
      <c r="N1449" s="14"/>
      <c r="O1449" s="14"/>
      <c r="P1449" s="14"/>
      <c r="Q1449" s="14"/>
      <c r="R1449" s="14"/>
      <c r="S1449" s="14"/>
      <c r="T1449" s="14"/>
      <c r="U1449" s="14"/>
      <c r="V1449" s="14"/>
      <c r="W1449" s="14"/>
      <c r="X1449" s="14"/>
      <c r="Y1449" s="14"/>
    </row>
    <row r="1450" spans="1:25" ht="15.75" x14ac:dyDescent="0.25">
      <c r="A1450" s="21"/>
      <c r="B1450" s="21"/>
      <c r="C1450" s="21"/>
      <c r="E1450" s="21"/>
      <c r="F1450" s="21"/>
      <c r="G1450" s="14"/>
      <c r="H1450" s="14"/>
      <c r="I1450" s="14"/>
      <c r="J1450" s="14"/>
      <c r="K1450" s="14"/>
      <c r="L1450" s="14"/>
      <c r="M1450" s="14"/>
      <c r="N1450" s="14"/>
      <c r="O1450" s="14"/>
      <c r="P1450" s="14"/>
      <c r="Q1450" s="14"/>
      <c r="R1450" s="14"/>
      <c r="S1450" s="14"/>
      <c r="T1450" s="14"/>
      <c r="U1450" s="14"/>
      <c r="V1450" s="14"/>
      <c r="W1450" s="14"/>
      <c r="X1450" s="14"/>
      <c r="Y1450" s="14"/>
    </row>
    <row r="1451" spans="1:25" ht="15.75" x14ac:dyDescent="0.25">
      <c r="A1451" s="21"/>
      <c r="B1451" s="21"/>
      <c r="C1451" s="21"/>
      <c r="E1451" s="21"/>
      <c r="F1451" s="21"/>
      <c r="G1451" s="14"/>
      <c r="H1451" s="14"/>
      <c r="I1451" s="14"/>
      <c r="J1451" s="14"/>
      <c r="K1451" s="14"/>
      <c r="L1451" s="14"/>
      <c r="M1451" s="14"/>
      <c r="N1451" s="14"/>
      <c r="O1451" s="14"/>
      <c r="P1451" s="14"/>
      <c r="Q1451" s="14"/>
      <c r="R1451" s="14"/>
      <c r="S1451" s="14"/>
      <c r="T1451" s="14"/>
      <c r="U1451" s="14"/>
      <c r="V1451" s="14"/>
      <c r="W1451" s="14"/>
      <c r="X1451" s="14"/>
      <c r="Y1451" s="14"/>
    </row>
    <row r="1452" spans="1:25" ht="15.75" x14ac:dyDescent="0.25">
      <c r="A1452" s="21"/>
      <c r="B1452" s="21"/>
      <c r="C1452" s="21"/>
      <c r="E1452" s="21"/>
      <c r="F1452" s="21"/>
      <c r="G1452" s="14"/>
      <c r="H1452" s="14"/>
      <c r="I1452" s="14"/>
      <c r="J1452" s="14"/>
      <c r="K1452" s="14"/>
      <c r="L1452" s="14"/>
      <c r="M1452" s="14"/>
      <c r="N1452" s="14"/>
      <c r="O1452" s="14"/>
      <c r="P1452" s="14"/>
      <c r="Q1452" s="14"/>
      <c r="R1452" s="14"/>
      <c r="S1452" s="14"/>
      <c r="T1452" s="14"/>
      <c r="U1452" s="14"/>
      <c r="V1452" s="14"/>
      <c r="W1452" s="14"/>
      <c r="X1452" s="14"/>
      <c r="Y1452" s="14"/>
    </row>
    <row r="1453" spans="1:25" ht="15.75" x14ac:dyDescent="0.25">
      <c r="A1453" s="21"/>
      <c r="B1453" s="21"/>
      <c r="C1453" s="21"/>
      <c r="E1453" s="21"/>
      <c r="F1453" s="21"/>
      <c r="G1453" s="14"/>
      <c r="H1453" s="14"/>
      <c r="I1453" s="14"/>
      <c r="J1453" s="14"/>
      <c r="K1453" s="14"/>
      <c r="L1453" s="14"/>
      <c r="M1453" s="14"/>
      <c r="N1453" s="14"/>
      <c r="O1453" s="14"/>
      <c r="P1453" s="14"/>
      <c r="Q1453" s="14"/>
      <c r="R1453" s="14"/>
      <c r="S1453" s="14"/>
      <c r="T1453" s="14"/>
      <c r="U1453" s="14"/>
      <c r="V1453" s="14"/>
      <c r="W1453" s="14"/>
      <c r="X1453" s="14"/>
      <c r="Y1453" s="14"/>
    </row>
    <row r="1454" spans="1:25" ht="15.75" x14ac:dyDescent="0.25">
      <c r="A1454" s="21"/>
      <c r="B1454" s="21"/>
      <c r="C1454" s="21"/>
      <c r="E1454" s="21"/>
      <c r="F1454" s="21"/>
      <c r="G1454" s="14"/>
      <c r="H1454" s="14"/>
      <c r="I1454" s="14"/>
      <c r="J1454" s="14"/>
      <c r="K1454" s="14"/>
      <c r="L1454" s="14"/>
      <c r="M1454" s="14"/>
      <c r="N1454" s="14"/>
      <c r="O1454" s="14"/>
      <c r="P1454" s="14"/>
      <c r="Q1454" s="14"/>
      <c r="R1454" s="14"/>
      <c r="S1454" s="14"/>
      <c r="T1454" s="14"/>
      <c r="U1454" s="14"/>
      <c r="V1454" s="14"/>
      <c r="W1454" s="14"/>
      <c r="X1454" s="14"/>
      <c r="Y1454" s="14"/>
    </row>
    <row r="1455" spans="1:25" ht="15.75" x14ac:dyDescent="0.25">
      <c r="A1455" s="21"/>
      <c r="B1455" s="21"/>
      <c r="C1455" s="21"/>
      <c r="E1455" s="21"/>
      <c r="F1455" s="21"/>
      <c r="G1455" s="14"/>
      <c r="H1455" s="14"/>
      <c r="I1455" s="14"/>
      <c r="J1455" s="14"/>
      <c r="K1455" s="14"/>
      <c r="L1455" s="14"/>
      <c r="M1455" s="14"/>
      <c r="N1455" s="14"/>
      <c r="O1455" s="14"/>
      <c r="P1455" s="14"/>
      <c r="Q1455" s="14"/>
      <c r="R1455" s="14"/>
      <c r="S1455" s="14"/>
      <c r="T1455" s="14"/>
      <c r="U1455" s="14"/>
      <c r="V1455" s="14"/>
      <c r="W1455" s="14"/>
      <c r="X1455" s="14"/>
      <c r="Y1455" s="14"/>
    </row>
    <row r="1456" spans="1:25" ht="15.75" x14ac:dyDescent="0.25">
      <c r="A1456" s="21"/>
      <c r="B1456" s="21"/>
      <c r="C1456" s="21"/>
      <c r="E1456" s="21"/>
      <c r="F1456" s="21"/>
      <c r="G1456" s="14"/>
      <c r="H1456" s="14"/>
      <c r="I1456" s="14"/>
      <c r="J1456" s="14"/>
      <c r="K1456" s="14"/>
      <c r="L1456" s="14"/>
      <c r="M1456" s="14"/>
      <c r="N1456" s="14"/>
      <c r="O1456" s="14"/>
      <c r="P1456" s="14"/>
      <c r="Q1456" s="14"/>
      <c r="R1456" s="14"/>
      <c r="S1456" s="14"/>
      <c r="T1456" s="14"/>
      <c r="U1456" s="14"/>
      <c r="V1456" s="14"/>
      <c r="W1456" s="14"/>
      <c r="X1456" s="14"/>
      <c r="Y1456" s="14"/>
    </row>
    <row r="1457" spans="1:25" ht="15.75" x14ac:dyDescent="0.25">
      <c r="A1457" s="21"/>
      <c r="B1457" s="21"/>
      <c r="C1457" s="21"/>
      <c r="E1457" s="21"/>
      <c r="F1457" s="21"/>
      <c r="G1457" s="14"/>
      <c r="H1457" s="14"/>
      <c r="I1457" s="14"/>
      <c r="J1457" s="14"/>
      <c r="K1457" s="14"/>
      <c r="L1457" s="14"/>
      <c r="M1457" s="14"/>
      <c r="N1457" s="14"/>
      <c r="O1457" s="14"/>
      <c r="P1457" s="14"/>
      <c r="Q1457" s="14"/>
      <c r="R1457" s="14"/>
      <c r="S1457" s="14"/>
      <c r="T1457" s="14"/>
      <c r="U1457" s="14"/>
      <c r="V1457" s="14"/>
      <c r="W1457" s="14"/>
      <c r="X1457" s="14"/>
      <c r="Y1457" s="14"/>
    </row>
    <row r="1458" spans="1:25" ht="15.75" x14ac:dyDescent="0.25">
      <c r="A1458" s="21"/>
      <c r="B1458" s="21"/>
      <c r="C1458" s="21"/>
      <c r="E1458" s="21"/>
      <c r="F1458" s="21"/>
      <c r="G1458" s="14"/>
      <c r="H1458" s="14"/>
      <c r="I1458" s="14"/>
      <c r="J1458" s="14"/>
      <c r="K1458" s="14"/>
      <c r="L1458" s="14"/>
      <c r="M1458" s="14"/>
      <c r="N1458" s="14"/>
      <c r="O1458" s="14"/>
      <c r="P1458" s="14"/>
      <c r="Q1458" s="14"/>
      <c r="R1458" s="14"/>
      <c r="S1458" s="14"/>
      <c r="T1458" s="14"/>
      <c r="U1458" s="14"/>
      <c r="V1458" s="14"/>
      <c r="W1458" s="14"/>
      <c r="X1458" s="14"/>
      <c r="Y1458" s="14"/>
    </row>
    <row r="1459" spans="1:25" ht="15.75" x14ac:dyDescent="0.25">
      <c r="A1459" s="21"/>
      <c r="B1459" s="21"/>
      <c r="C1459" s="21"/>
      <c r="E1459" s="21"/>
      <c r="F1459" s="21"/>
      <c r="G1459" s="14"/>
      <c r="H1459" s="14"/>
      <c r="I1459" s="14"/>
      <c r="J1459" s="14"/>
      <c r="K1459" s="14"/>
      <c r="L1459" s="14"/>
      <c r="M1459" s="14"/>
      <c r="N1459" s="14"/>
      <c r="O1459" s="14"/>
      <c r="P1459" s="14"/>
      <c r="Q1459" s="14"/>
      <c r="R1459" s="14"/>
      <c r="S1459" s="14"/>
      <c r="T1459" s="14"/>
      <c r="U1459" s="14"/>
      <c r="V1459" s="14"/>
      <c r="W1459" s="14"/>
      <c r="X1459" s="14"/>
      <c r="Y1459" s="14"/>
    </row>
    <row r="1460" spans="1:25" ht="15.75" x14ac:dyDescent="0.25">
      <c r="A1460" s="21"/>
      <c r="B1460" s="21"/>
      <c r="C1460" s="21"/>
      <c r="E1460" s="21"/>
      <c r="F1460" s="21"/>
      <c r="G1460" s="14"/>
      <c r="H1460" s="14"/>
      <c r="I1460" s="14"/>
      <c r="J1460" s="14"/>
      <c r="K1460" s="14"/>
      <c r="L1460" s="14"/>
      <c r="M1460" s="14"/>
      <c r="N1460" s="14"/>
      <c r="O1460" s="14"/>
      <c r="P1460" s="14"/>
      <c r="Q1460" s="14"/>
      <c r="R1460" s="14"/>
      <c r="S1460" s="14"/>
      <c r="T1460" s="14"/>
      <c r="U1460" s="14"/>
      <c r="V1460" s="14"/>
      <c r="W1460" s="14"/>
      <c r="X1460" s="14"/>
      <c r="Y1460" s="14"/>
    </row>
    <row r="1461" spans="1:25" ht="15.75" x14ac:dyDescent="0.25">
      <c r="A1461" s="21"/>
      <c r="B1461" s="21"/>
      <c r="C1461" s="21"/>
      <c r="E1461" s="21"/>
      <c r="F1461" s="21"/>
      <c r="G1461" s="14"/>
      <c r="H1461" s="14"/>
      <c r="I1461" s="14"/>
      <c r="J1461" s="14"/>
      <c r="K1461" s="14"/>
      <c r="L1461" s="14"/>
      <c r="M1461" s="14"/>
      <c r="N1461" s="14"/>
      <c r="O1461" s="14"/>
      <c r="P1461" s="14"/>
      <c r="Q1461" s="14"/>
      <c r="R1461" s="14"/>
      <c r="S1461" s="14"/>
      <c r="T1461" s="14"/>
      <c r="U1461" s="14"/>
      <c r="V1461" s="14"/>
      <c r="W1461" s="14"/>
      <c r="X1461" s="14"/>
      <c r="Y1461" s="14"/>
    </row>
    <row r="1462" spans="1:25" ht="15.75" x14ac:dyDescent="0.25">
      <c r="A1462" s="21"/>
      <c r="B1462" s="21"/>
      <c r="C1462" s="21"/>
      <c r="E1462" s="21"/>
      <c r="F1462" s="21"/>
      <c r="G1462" s="14"/>
      <c r="H1462" s="14"/>
      <c r="I1462" s="14"/>
      <c r="J1462" s="14"/>
      <c r="K1462" s="14"/>
      <c r="L1462" s="14"/>
      <c r="M1462" s="14"/>
      <c r="N1462" s="14"/>
      <c r="O1462" s="14"/>
      <c r="P1462" s="14"/>
      <c r="Q1462" s="14"/>
      <c r="R1462" s="14"/>
      <c r="S1462" s="14"/>
      <c r="T1462" s="14"/>
      <c r="U1462" s="14"/>
      <c r="V1462" s="14"/>
      <c r="W1462" s="14"/>
      <c r="X1462" s="14"/>
      <c r="Y1462" s="14"/>
    </row>
    <row r="1463" spans="1:25" ht="15.75" x14ac:dyDescent="0.25">
      <c r="A1463" s="21"/>
      <c r="B1463" s="21"/>
      <c r="C1463" s="21"/>
      <c r="E1463" s="21"/>
      <c r="F1463" s="21"/>
      <c r="G1463" s="14"/>
      <c r="H1463" s="14"/>
      <c r="I1463" s="14"/>
      <c r="J1463" s="14"/>
      <c r="K1463" s="14"/>
      <c r="L1463" s="14"/>
      <c r="M1463" s="14"/>
      <c r="N1463" s="14"/>
      <c r="O1463" s="14"/>
      <c r="P1463" s="14"/>
      <c r="Q1463" s="14"/>
      <c r="R1463" s="14"/>
      <c r="S1463" s="14"/>
      <c r="T1463" s="14"/>
      <c r="U1463" s="14"/>
      <c r="V1463" s="14"/>
      <c r="W1463" s="14"/>
      <c r="X1463" s="14"/>
      <c r="Y1463" s="14"/>
    </row>
    <row r="1464" spans="1:25" ht="15.75" x14ac:dyDescent="0.25">
      <c r="A1464" s="21"/>
      <c r="B1464" s="21"/>
      <c r="C1464" s="21"/>
      <c r="E1464" s="21"/>
      <c r="F1464" s="21"/>
      <c r="G1464" s="14"/>
      <c r="H1464" s="14"/>
      <c r="I1464" s="14"/>
      <c r="J1464" s="14"/>
      <c r="K1464" s="14"/>
      <c r="L1464" s="14"/>
      <c r="M1464" s="14"/>
      <c r="N1464" s="14"/>
      <c r="O1464" s="14"/>
      <c r="P1464" s="14"/>
      <c r="Q1464" s="14"/>
      <c r="R1464" s="14"/>
      <c r="S1464" s="14"/>
      <c r="T1464" s="14"/>
      <c r="U1464" s="14"/>
      <c r="V1464" s="14"/>
      <c r="W1464" s="14"/>
      <c r="X1464" s="14"/>
      <c r="Y1464" s="14"/>
    </row>
    <row r="1465" spans="1:25" ht="15.75" x14ac:dyDescent="0.25">
      <c r="A1465" s="21"/>
      <c r="B1465" s="21"/>
      <c r="C1465" s="21"/>
      <c r="E1465" s="21"/>
      <c r="F1465" s="21"/>
      <c r="G1465" s="14"/>
      <c r="H1465" s="14"/>
      <c r="I1465" s="14"/>
      <c r="J1465" s="14"/>
      <c r="K1465" s="14"/>
      <c r="L1465" s="14"/>
      <c r="M1465" s="14"/>
      <c r="N1465" s="14"/>
      <c r="O1465" s="14"/>
      <c r="P1465" s="14"/>
      <c r="Q1465" s="14"/>
      <c r="R1465" s="14"/>
      <c r="S1465" s="14"/>
      <c r="T1465" s="14"/>
      <c r="U1465" s="14"/>
      <c r="V1465" s="14"/>
      <c r="W1465" s="14"/>
      <c r="X1465" s="14"/>
      <c r="Y1465" s="14"/>
    </row>
    <row r="1466" spans="1:25" ht="15.75" x14ac:dyDescent="0.25">
      <c r="A1466" s="21"/>
      <c r="B1466" s="21"/>
      <c r="C1466" s="21"/>
      <c r="E1466" s="21"/>
      <c r="F1466" s="21"/>
      <c r="G1466" s="14"/>
      <c r="H1466" s="14"/>
      <c r="I1466" s="14"/>
      <c r="J1466" s="14"/>
      <c r="K1466" s="14"/>
      <c r="L1466" s="14"/>
      <c r="M1466" s="14"/>
      <c r="N1466" s="14"/>
      <c r="O1466" s="14"/>
      <c r="P1466" s="14"/>
      <c r="Q1466" s="14"/>
      <c r="R1466" s="14"/>
      <c r="S1466" s="14"/>
      <c r="T1466" s="14"/>
      <c r="U1466" s="14"/>
      <c r="V1466" s="14"/>
      <c r="W1466" s="14"/>
      <c r="X1466" s="14"/>
      <c r="Y1466" s="14"/>
    </row>
    <row r="1467" spans="1:25" ht="15.75" x14ac:dyDescent="0.25">
      <c r="A1467" s="21"/>
      <c r="B1467" s="21"/>
      <c r="C1467" s="21"/>
      <c r="E1467" s="21"/>
      <c r="F1467" s="21"/>
      <c r="G1467" s="14"/>
      <c r="H1467" s="14"/>
      <c r="I1467" s="14"/>
      <c r="J1467" s="14"/>
      <c r="K1467" s="14"/>
      <c r="L1467" s="14"/>
      <c r="M1467" s="14"/>
      <c r="N1467" s="14"/>
      <c r="O1467" s="14"/>
      <c r="P1467" s="14"/>
      <c r="Q1467" s="14"/>
      <c r="R1467" s="14"/>
      <c r="S1467" s="14"/>
      <c r="T1467" s="14"/>
      <c r="U1467" s="14"/>
      <c r="V1467" s="14"/>
      <c r="W1467" s="14"/>
      <c r="X1467" s="14"/>
      <c r="Y1467" s="14"/>
    </row>
    <row r="1468" spans="1:25" ht="15.75" x14ac:dyDescent="0.25">
      <c r="A1468" s="21"/>
      <c r="B1468" s="21"/>
      <c r="C1468" s="21"/>
      <c r="E1468" s="21"/>
      <c r="F1468" s="21"/>
      <c r="G1468" s="14"/>
      <c r="H1468" s="14"/>
      <c r="I1468" s="14"/>
      <c r="J1468" s="14"/>
      <c r="K1468" s="14"/>
      <c r="L1468" s="14"/>
      <c r="M1468" s="14"/>
      <c r="N1468" s="14"/>
      <c r="O1468" s="14"/>
      <c r="P1468" s="14"/>
      <c r="Q1468" s="14"/>
      <c r="R1468" s="14"/>
      <c r="S1468" s="14"/>
      <c r="T1468" s="14"/>
      <c r="U1468" s="14"/>
      <c r="V1468" s="14"/>
      <c r="W1468" s="14"/>
      <c r="X1468" s="14"/>
      <c r="Y1468" s="14"/>
    </row>
    <row r="1469" spans="1:25" ht="15.75" x14ac:dyDescent="0.25">
      <c r="A1469" s="21"/>
      <c r="B1469" s="21"/>
      <c r="C1469" s="21"/>
      <c r="E1469" s="21"/>
      <c r="F1469" s="21"/>
      <c r="G1469" s="14"/>
      <c r="H1469" s="14"/>
      <c r="I1469" s="14"/>
      <c r="J1469" s="14"/>
      <c r="K1469" s="14"/>
      <c r="L1469" s="14"/>
      <c r="M1469" s="14"/>
      <c r="N1469" s="14"/>
      <c r="O1469" s="14"/>
      <c r="P1469" s="14"/>
      <c r="Q1469" s="14"/>
      <c r="R1469" s="14"/>
      <c r="S1469" s="14"/>
      <c r="T1469" s="14"/>
      <c r="U1469" s="14"/>
      <c r="V1469" s="14"/>
      <c r="W1469" s="14"/>
      <c r="X1469" s="14"/>
      <c r="Y1469" s="14"/>
    </row>
    <row r="1470" spans="1:25" ht="15.75" x14ac:dyDescent="0.25">
      <c r="A1470" s="21"/>
      <c r="B1470" s="21"/>
      <c r="C1470" s="21"/>
      <c r="E1470" s="21"/>
      <c r="F1470" s="21"/>
      <c r="G1470" s="14"/>
      <c r="H1470" s="14"/>
      <c r="I1470" s="14"/>
      <c r="J1470" s="14"/>
      <c r="K1470" s="14"/>
      <c r="L1470" s="14"/>
      <c r="M1470" s="14"/>
      <c r="N1470" s="14"/>
      <c r="O1470" s="14"/>
      <c r="P1470" s="14"/>
      <c r="Q1470" s="14"/>
      <c r="R1470" s="14"/>
      <c r="S1470" s="14"/>
      <c r="T1470" s="14"/>
      <c r="U1470" s="14"/>
      <c r="V1470" s="14"/>
      <c r="W1470" s="14"/>
      <c r="X1470" s="14"/>
      <c r="Y1470" s="14"/>
    </row>
    <row r="1471" spans="1:25" ht="15.75" x14ac:dyDescent="0.25">
      <c r="A1471" s="21"/>
      <c r="B1471" s="21"/>
      <c r="C1471" s="21"/>
      <c r="E1471" s="21"/>
      <c r="F1471" s="21"/>
      <c r="G1471" s="14"/>
      <c r="H1471" s="14"/>
      <c r="I1471" s="14"/>
      <c r="J1471" s="14"/>
      <c r="K1471" s="14"/>
      <c r="L1471" s="14"/>
      <c r="M1471" s="14"/>
      <c r="N1471" s="14"/>
      <c r="O1471" s="14"/>
      <c r="P1471" s="14"/>
      <c r="Q1471" s="14"/>
      <c r="R1471" s="14"/>
      <c r="S1471" s="14"/>
      <c r="T1471" s="14"/>
      <c r="U1471" s="14"/>
      <c r="V1471" s="14"/>
      <c r="W1471" s="14"/>
      <c r="X1471" s="14"/>
      <c r="Y1471" s="14"/>
    </row>
    <row r="1472" spans="1:25" ht="15.75" x14ac:dyDescent="0.25">
      <c r="A1472" s="21"/>
      <c r="B1472" s="21"/>
      <c r="C1472" s="21"/>
      <c r="E1472" s="21"/>
      <c r="F1472" s="21"/>
      <c r="G1472" s="14"/>
      <c r="H1472" s="14"/>
      <c r="I1472" s="14"/>
      <c r="J1472" s="14"/>
      <c r="K1472" s="14"/>
      <c r="L1472" s="14"/>
      <c r="M1472" s="14"/>
      <c r="N1472" s="14"/>
      <c r="O1472" s="14"/>
      <c r="P1472" s="14"/>
      <c r="Q1472" s="14"/>
      <c r="R1472" s="14"/>
      <c r="S1472" s="14"/>
      <c r="T1472" s="14"/>
      <c r="U1472" s="14"/>
      <c r="V1472" s="14"/>
      <c r="W1472" s="14"/>
      <c r="X1472" s="14"/>
      <c r="Y1472" s="14"/>
    </row>
    <row r="1473" spans="1:25" ht="15.75" x14ac:dyDescent="0.25">
      <c r="A1473" s="21"/>
      <c r="B1473" s="21"/>
      <c r="C1473" s="21"/>
      <c r="E1473" s="21"/>
      <c r="F1473" s="21"/>
      <c r="G1473" s="14"/>
      <c r="H1473" s="14"/>
      <c r="I1473" s="14"/>
      <c r="J1473" s="14"/>
      <c r="K1473" s="14"/>
      <c r="L1473" s="14"/>
      <c r="M1473" s="14"/>
      <c r="N1473" s="14"/>
      <c r="O1473" s="14"/>
      <c r="P1473" s="14"/>
      <c r="Q1473" s="14"/>
      <c r="R1473" s="14"/>
      <c r="S1473" s="14"/>
      <c r="T1473" s="14"/>
      <c r="U1473" s="14"/>
      <c r="V1473" s="14"/>
      <c r="W1473" s="14"/>
      <c r="X1473" s="14"/>
      <c r="Y1473" s="14"/>
    </row>
    <row r="1474" spans="1:25" ht="15.75" x14ac:dyDescent="0.25">
      <c r="A1474" s="21"/>
      <c r="B1474" s="21"/>
      <c r="C1474" s="21"/>
      <c r="E1474" s="21"/>
      <c r="F1474" s="21"/>
      <c r="G1474" s="14"/>
      <c r="H1474" s="14"/>
      <c r="I1474" s="14"/>
      <c r="J1474" s="14"/>
      <c r="K1474" s="14"/>
      <c r="L1474" s="14"/>
      <c r="M1474" s="14"/>
      <c r="N1474" s="14"/>
      <c r="O1474" s="14"/>
      <c r="P1474" s="14"/>
      <c r="Q1474" s="14"/>
      <c r="R1474" s="14"/>
      <c r="S1474" s="14"/>
      <c r="T1474" s="14"/>
      <c r="U1474" s="14"/>
      <c r="V1474" s="14"/>
      <c r="W1474" s="14"/>
      <c r="X1474" s="14"/>
      <c r="Y1474" s="14"/>
    </row>
    <row r="1475" spans="1:25" ht="15.75" x14ac:dyDescent="0.25">
      <c r="A1475" s="21"/>
      <c r="B1475" s="21"/>
      <c r="C1475" s="21"/>
      <c r="E1475" s="21"/>
      <c r="F1475" s="21"/>
      <c r="G1475" s="14"/>
      <c r="H1475" s="14"/>
      <c r="I1475" s="14"/>
      <c r="J1475" s="14"/>
      <c r="K1475" s="14"/>
      <c r="L1475" s="14"/>
      <c r="M1475" s="14"/>
      <c r="N1475" s="14"/>
      <c r="O1475" s="14"/>
      <c r="P1475" s="14"/>
      <c r="Q1475" s="14"/>
      <c r="R1475" s="14"/>
      <c r="S1475" s="14"/>
      <c r="T1475" s="14"/>
      <c r="U1475" s="14"/>
      <c r="V1475" s="14"/>
      <c r="W1475" s="14"/>
      <c r="X1475" s="14"/>
      <c r="Y1475" s="14"/>
    </row>
    <row r="1476" spans="1:25" ht="15.75" x14ac:dyDescent="0.25">
      <c r="A1476" s="21"/>
      <c r="B1476" s="21"/>
      <c r="C1476" s="21"/>
      <c r="E1476" s="21"/>
      <c r="F1476" s="21"/>
      <c r="G1476" s="14"/>
      <c r="H1476" s="14"/>
      <c r="I1476" s="14"/>
      <c r="J1476" s="14"/>
      <c r="K1476" s="14"/>
      <c r="L1476" s="14"/>
      <c r="M1476" s="14"/>
      <c r="N1476" s="14"/>
      <c r="O1476" s="14"/>
      <c r="P1476" s="14"/>
      <c r="Q1476" s="14"/>
      <c r="R1476" s="14"/>
      <c r="S1476" s="14"/>
      <c r="T1476" s="14"/>
      <c r="U1476" s="14"/>
      <c r="V1476" s="14"/>
      <c r="W1476" s="14"/>
      <c r="X1476" s="14"/>
      <c r="Y1476" s="14"/>
    </row>
    <row r="1477" spans="1:25" ht="15.75" x14ac:dyDescent="0.25">
      <c r="A1477" s="21"/>
      <c r="B1477" s="21"/>
      <c r="C1477" s="21"/>
      <c r="E1477" s="21"/>
      <c r="F1477" s="21"/>
      <c r="G1477" s="14"/>
      <c r="H1477" s="14"/>
      <c r="I1477" s="14"/>
      <c r="J1477" s="14"/>
      <c r="K1477" s="14"/>
      <c r="L1477" s="14"/>
      <c r="M1477" s="14"/>
      <c r="N1477" s="14"/>
      <c r="O1477" s="14"/>
      <c r="P1477" s="14"/>
      <c r="Q1477" s="14"/>
      <c r="R1477" s="14"/>
      <c r="S1477" s="14"/>
      <c r="T1477" s="14"/>
      <c r="U1477" s="14"/>
      <c r="V1477" s="14"/>
      <c r="W1477" s="14"/>
      <c r="X1477" s="14"/>
      <c r="Y1477" s="14"/>
    </row>
    <row r="1478" spans="1:25" ht="15.75" x14ac:dyDescent="0.25">
      <c r="A1478" s="21"/>
      <c r="B1478" s="21"/>
      <c r="C1478" s="21"/>
      <c r="E1478" s="21"/>
      <c r="F1478" s="21"/>
      <c r="G1478" s="14"/>
      <c r="H1478" s="14"/>
      <c r="I1478" s="14"/>
      <c r="J1478" s="14"/>
      <c r="K1478" s="14"/>
      <c r="L1478" s="14"/>
      <c r="M1478" s="14"/>
      <c r="N1478" s="14"/>
      <c r="O1478" s="14"/>
      <c r="P1478" s="14"/>
      <c r="Q1478" s="14"/>
      <c r="R1478" s="14"/>
      <c r="S1478" s="14"/>
      <c r="T1478" s="14"/>
      <c r="U1478" s="14"/>
      <c r="V1478" s="14"/>
      <c r="W1478" s="14"/>
      <c r="X1478" s="14"/>
      <c r="Y1478" s="14"/>
    </row>
    <row r="1479" spans="1:25" ht="15.75" x14ac:dyDescent="0.25">
      <c r="A1479" s="21"/>
      <c r="B1479" s="21"/>
      <c r="C1479" s="21"/>
      <c r="E1479" s="21"/>
      <c r="F1479" s="21"/>
      <c r="G1479" s="14"/>
      <c r="H1479" s="14"/>
      <c r="I1479" s="14"/>
      <c r="J1479" s="14"/>
      <c r="K1479" s="14"/>
      <c r="L1479" s="14"/>
      <c r="M1479" s="14"/>
      <c r="N1479" s="14"/>
      <c r="O1479" s="14"/>
      <c r="P1479" s="14"/>
      <c r="Q1479" s="14"/>
      <c r="R1479" s="14"/>
      <c r="S1479" s="14"/>
      <c r="T1479" s="14"/>
      <c r="U1479" s="14"/>
      <c r="V1479" s="14"/>
      <c r="W1479" s="14"/>
      <c r="X1479" s="14"/>
      <c r="Y1479" s="14"/>
    </row>
    <row r="1480" spans="1:25" ht="15.75" x14ac:dyDescent="0.25">
      <c r="A1480" s="21"/>
      <c r="B1480" s="21"/>
      <c r="C1480" s="21"/>
      <c r="E1480" s="21"/>
      <c r="F1480" s="21"/>
      <c r="G1480" s="14"/>
      <c r="H1480" s="14"/>
      <c r="I1480" s="14"/>
      <c r="J1480" s="14"/>
      <c r="K1480" s="14"/>
      <c r="L1480" s="14"/>
      <c r="M1480" s="14"/>
      <c r="N1480" s="14"/>
      <c r="O1480" s="14"/>
      <c r="P1480" s="14"/>
      <c r="Q1480" s="14"/>
      <c r="R1480" s="14"/>
      <c r="S1480" s="14"/>
      <c r="T1480" s="14"/>
      <c r="U1480" s="14"/>
      <c r="V1480" s="14"/>
      <c r="W1480" s="14"/>
      <c r="X1480" s="14"/>
      <c r="Y1480" s="14"/>
    </row>
    <row r="1481" spans="1:25" ht="15.75" x14ac:dyDescent="0.25">
      <c r="A1481" s="21"/>
      <c r="B1481" s="21"/>
      <c r="C1481" s="21"/>
      <c r="E1481" s="21"/>
      <c r="F1481" s="21"/>
      <c r="G1481" s="14"/>
      <c r="H1481" s="14"/>
      <c r="I1481" s="14"/>
      <c r="J1481" s="14"/>
      <c r="K1481" s="14"/>
      <c r="L1481" s="14"/>
      <c r="M1481" s="14"/>
      <c r="N1481" s="14"/>
      <c r="O1481" s="14"/>
      <c r="P1481" s="14"/>
      <c r="Q1481" s="14"/>
      <c r="R1481" s="14"/>
      <c r="S1481" s="14"/>
      <c r="T1481" s="14"/>
      <c r="U1481" s="14"/>
      <c r="V1481" s="14"/>
      <c r="W1481" s="14"/>
      <c r="X1481" s="14"/>
      <c r="Y1481" s="14"/>
    </row>
    <row r="1482" spans="1:25" ht="15.75" x14ac:dyDescent="0.25">
      <c r="A1482" s="21"/>
      <c r="B1482" s="21"/>
      <c r="C1482" s="21"/>
      <c r="E1482" s="21"/>
      <c r="F1482" s="21"/>
      <c r="G1482" s="14"/>
      <c r="H1482" s="14"/>
      <c r="I1482" s="14"/>
      <c r="J1482" s="14"/>
      <c r="K1482" s="14"/>
      <c r="L1482" s="14"/>
      <c r="M1482" s="14"/>
      <c r="N1482" s="14"/>
      <c r="O1482" s="14"/>
      <c r="P1482" s="14"/>
      <c r="Q1482" s="14"/>
      <c r="R1482" s="14"/>
      <c r="S1482" s="14"/>
      <c r="T1482" s="14"/>
      <c r="U1482" s="14"/>
      <c r="V1482" s="14"/>
      <c r="W1482" s="14"/>
      <c r="X1482" s="14"/>
      <c r="Y1482" s="14"/>
    </row>
    <row r="1483" spans="1:25" ht="15.75" x14ac:dyDescent="0.25">
      <c r="A1483" s="21"/>
      <c r="B1483" s="21"/>
      <c r="C1483" s="21"/>
      <c r="E1483" s="21"/>
      <c r="F1483" s="21"/>
      <c r="G1483" s="14"/>
      <c r="H1483" s="14"/>
      <c r="I1483" s="14"/>
      <c r="J1483" s="14"/>
      <c r="K1483" s="14"/>
      <c r="L1483" s="14"/>
      <c r="M1483" s="14"/>
      <c r="N1483" s="14"/>
      <c r="O1483" s="14"/>
      <c r="P1483" s="14"/>
      <c r="Q1483" s="14"/>
      <c r="R1483" s="14"/>
      <c r="S1483" s="14"/>
      <c r="T1483" s="14"/>
      <c r="U1483" s="14"/>
      <c r="V1483" s="14"/>
      <c r="W1483" s="14"/>
      <c r="X1483" s="14"/>
      <c r="Y1483" s="14"/>
    </row>
    <row r="1484" spans="1:25" ht="15.75" x14ac:dyDescent="0.25">
      <c r="A1484" s="21"/>
      <c r="B1484" s="21"/>
      <c r="C1484" s="21"/>
      <c r="E1484" s="21"/>
      <c r="F1484" s="21"/>
      <c r="G1484" s="14"/>
      <c r="H1484" s="14"/>
      <c r="I1484" s="14"/>
      <c r="J1484" s="14"/>
      <c r="K1484" s="14"/>
      <c r="L1484" s="14"/>
      <c r="M1484" s="14"/>
      <c r="N1484" s="14"/>
      <c r="O1484" s="14"/>
      <c r="P1484" s="14"/>
      <c r="Q1484" s="14"/>
      <c r="R1484" s="14"/>
      <c r="S1484" s="14"/>
      <c r="T1484" s="14"/>
      <c r="U1484" s="14"/>
      <c r="V1484" s="14"/>
      <c r="W1484" s="14"/>
      <c r="X1484" s="14"/>
      <c r="Y1484" s="14"/>
    </row>
    <row r="1485" spans="1:25" ht="15.75" x14ac:dyDescent="0.25">
      <c r="A1485" s="21"/>
      <c r="B1485" s="21"/>
      <c r="C1485" s="21"/>
      <c r="E1485" s="21"/>
      <c r="F1485" s="21"/>
      <c r="G1485" s="14"/>
      <c r="H1485" s="14"/>
      <c r="I1485" s="14"/>
      <c r="J1485" s="14"/>
      <c r="K1485" s="14"/>
      <c r="L1485" s="14"/>
      <c r="M1485" s="14"/>
      <c r="N1485" s="14"/>
      <c r="O1485" s="14"/>
      <c r="P1485" s="14"/>
      <c r="Q1485" s="14"/>
      <c r="R1485" s="14"/>
      <c r="S1485" s="14"/>
      <c r="T1485" s="14"/>
      <c r="U1485" s="14"/>
      <c r="V1485" s="14"/>
      <c r="W1485" s="14"/>
      <c r="X1485" s="14"/>
      <c r="Y1485" s="14"/>
    </row>
    <row r="1486" spans="1:25" ht="15.75" x14ac:dyDescent="0.25">
      <c r="A1486" s="21"/>
      <c r="B1486" s="21"/>
      <c r="C1486" s="21"/>
      <c r="E1486" s="21"/>
      <c r="F1486" s="21"/>
      <c r="G1486" s="14"/>
      <c r="H1486" s="14"/>
      <c r="I1486" s="14"/>
      <c r="J1486" s="14"/>
      <c r="K1486" s="14"/>
      <c r="L1486" s="14"/>
      <c r="M1486" s="14"/>
      <c r="N1486" s="14"/>
      <c r="O1486" s="14"/>
      <c r="P1486" s="14"/>
      <c r="Q1486" s="14"/>
      <c r="R1486" s="14"/>
      <c r="S1486" s="14"/>
      <c r="T1486" s="14"/>
      <c r="U1486" s="14"/>
      <c r="V1486" s="14"/>
      <c r="W1486" s="14"/>
      <c r="X1486" s="14"/>
      <c r="Y1486" s="14"/>
    </row>
    <row r="1487" spans="1:25" ht="15.75" x14ac:dyDescent="0.25">
      <c r="A1487" s="21"/>
      <c r="B1487" s="21"/>
      <c r="C1487" s="21"/>
      <c r="E1487" s="21"/>
      <c r="F1487" s="21"/>
      <c r="G1487" s="14"/>
      <c r="H1487" s="14"/>
      <c r="I1487" s="14"/>
      <c r="J1487" s="14"/>
      <c r="K1487" s="14"/>
      <c r="L1487" s="14"/>
      <c r="M1487" s="14"/>
      <c r="N1487" s="14"/>
      <c r="O1487" s="14"/>
      <c r="P1487" s="14"/>
      <c r="Q1487" s="14"/>
      <c r="R1487" s="14"/>
      <c r="S1487" s="14"/>
      <c r="T1487" s="14"/>
      <c r="U1487" s="14"/>
      <c r="V1487" s="14"/>
      <c r="W1487" s="14"/>
      <c r="X1487" s="14"/>
      <c r="Y1487" s="14"/>
    </row>
    <row r="1488" spans="1:25" ht="15.75" x14ac:dyDescent="0.25">
      <c r="A1488" s="21"/>
      <c r="B1488" s="21"/>
      <c r="C1488" s="21"/>
      <c r="E1488" s="21"/>
      <c r="F1488" s="21"/>
      <c r="G1488" s="14"/>
      <c r="H1488" s="14"/>
      <c r="I1488" s="14"/>
      <c r="J1488" s="14"/>
      <c r="K1488" s="14"/>
      <c r="L1488" s="14"/>
      <c r="M1488" s="14"/>
      <c r="N1488" s="14"/>
      <c r="O1488" s="14"/>
      <c r="P1488" s="14"/>
      <c r="Q1488" s="14"/>
      <c r="R1488" s="14"/>
      <c r="S1488" s="14"/>
      <c r="T1488" s="14"/>
      <c r="U1488" s="14"/>
      <c r="V1488" s="14"/>
      <c r="W1488" s="14"/>
      <c r="X1488" s="14"/>
      <c r="Y1488" s="14"/>
    </row>
    <row r="1489" spans="1:25" ht="15.75" x14ac:dyDescent="0.25">
      <c r="A1489" s="21"/>
      <c r="B1489" s="21"/>
      <c r="C1489" s="21"/>
      <c r="E1489" s="21"/>
      <c r="F1489" s="21"/>
      <c r="G1489" s="14"/>
      <c r="H1489" s="14"/>
      <c r="I1489" s="14"/>
      <c r="J1489" s="14"/>
      <c r="K1489" s="14"/>
      <c r="L1489" s="14"/>
      <c r="M1489" s="14"/>
      <c r="N1489" s="14"/>
      <c r="O1489" s="14"/>
      <c r="P1489" s="14"/>
      <c r="Q1489" s="14"/>
      <c r="R1489" s="14"/>
      <c r="S1489" s="14"/>
      <c r="T1489" s="14"/>
      <c r="U1489" s="14"/>
      <c r="V1489" s="14"/>
      <c r="W1489" s="14"/>
      <c r="X1489" s="14"/>
      <c r="Y1489" s="14"/>
    </row>
    <row r="1490" spans="1:25" ht="15.75" x14ac:dyDescent="0.25">
      <c r="A1490" s="21"/>
      <c r="B1490" s="21"/>
      <c r="C1490" s="21"/>
      <c r="E1490" s="21"/>
      <c r="F1490" s="21"/>
      <c r="G1490" s="14"/>
      <c r="H1490" s="14"/>
      <c r="I1490" s="14"/>
      <c r="J1490" s="14"/>
      <c r="K1490" s="14"/>
      <c r="L1490" s="14"/>
      <c r="M1490" s="14"/>
      <c r="N1490" s="14"/>
      <c r="O1490" s="14"/>
      <c r="P1490" s="14"/>
      <c r="Q1490" s="14"/>
      <c r="R1490" s="14"/>
      <c r="S1490" s="14"/>
      <c r="T1490" s="14"/>
      <c r="U1490" s="14"/>
      <c r="V1490" s="14"/>
      <c r="W1490" s="14"/>
      <c r="X1490" s="14"/>
      <c r="Y1490" s="14"/>
    </row>
    <row r="1491" spans="1:25" ht="15.75" x14ac:dyDescent="0.25">
      <c r="A1491" s="21"/>
      <c r="B1491" s="21"/>
      <c r="C1491" s="21"/>
      <c r="E1491" s="21"/>
      <c r="F1491" s="21"/>
      <c r="G1491" s="14"/>
      <c r="H1491" s="14"/>
      <c r="I1491" s="14"/>
      <c r="J1491" s="14"/>
      <c r="K1491" s="14"/>
      <c r="L1491" s="14"/>
      <c r="M1491" s="14"/>
      <c r="N1491" s="14"/>
      <c r="O1491" s="14"/>
      <c r="P1491" s="14"/>
      <c r="Q1491" s="14"/>
      <c r="R1491" s="14"/>
      <c r="S1491" s="14"/>
      <c r="T1491" s="14"/>
      <c r="U1491" s="14"/>
      <c r="V1491" s="14"/>
      <c r="W1491" s="14"/>
      <c r="X1491" s="14"/>
      <c r="Y1491" s="14"/>
    </row>
    <row r="1492" spans="1:25" ht="15.75" x14ac:dyDescent="0.25">
      <c r="A1492" s="21"/>
      <c r="B1492" s="21"/>
      <c r="C1492" s="21"/>
      <c r="E1492" s="21"/>
      <c r="F1492" s="21"/>
      <c r="G1492" s="14"/>
      <c r="H1492" s="14"/>
      <c r="I1492" s="14"/>
      <c r="J1492" s="14"/>
      <c r="K1492" s="14"/>
      <c r="L1492" s="14"/>
      <c r="M1492" s="14"/>
      <c r="N1492" s="14"/>
      <c r="O1492" s="14"/>
      <c r="P1492" s="14"/>
      <c r="Q1492" s="14"/>
      <c r="R1492" s="14"/>
      <c r="S1492" s="14"/>
      <c r="T1492" s="14"/>
      <c r="U1492" s="14"/>
      <c r="V1492" s="14"/>
      <c r="W1492" s="14"/>
      <c r="X1492" s="14"/>
      <c r="Y1492" s="14"/>
    </row>
    <row r="1493" spans="1:25" ht="15.75" x14ac:dyDescent="0.25">
      <c r="A1493" s="21"/>
      <c r="B1493" s="21"/>
      <c r="C1493" s="21"/>
      <c r="E1493" s="21"/>
      <c r="F1493" s="21"/>
      <c r="G1493" s="14"/>
      <c r="H1493" s="14"/>
      <c r="I1493" s="14"/>
      <c r="J1493" s="14"/>
      <c r="K1493" s="14"/>
      <c r="L1493" s="14"/>
      <c r="M1493" s="14"/>
      <c r="N1493" s="14"/>
      <c r="O1493" s="14"/>
      <c r="P1493" s="14"/>
      <c r="Q1493" s="14"/>
      <c r="R1493" s="14"/>
      <c r="S1493" s="14"/>
      <c r="T1493" s="14"/>
      <c r="U1493" s="14"/>
      <c r="V1493" s="14"/>
      <c r="W1493" s="14"/>
      <c r="X1493" s="14"/>
      <c r="Y1493" s="14"/>
    </row>
    <row r="1494" spans="1:25" ht="15.75" x14ac:dyDescent="0.25">
      <c r="A1494" s="21"/>
      <c r="B1494" s="21"/>
      <c r="C1494" s="21"/>
      <c r="E1494" s="21"/>
      <c r="F1494" s="21"/>
      <c r="G1494" s="14"/>
      <c r="H1494" s="14"/>
      <c r="I1494" s="14"/>
      <c r="J1494" s="14"/>
      <c r="K1494" s="14"/>
      <c r="L1494" s="14"/>
      <c r="M1494" s="14"/>
      <c r="N1494" s="14"/>
      <c r="O1494" s="14"/>
      <c r="P1494" s="14"/>
      <c r="Q1494" s="14"/>
      <c r="R1494" s="14"/>
      <c r="S1494" s="14"/>
      <c r="T1494" s="14"/>
      <c r="U1494" s="14"/>
      <c r="V1494" s="14"/>
      <c r="W1494" s="14"/>
      <c r="X1494" s="14"/>
      <c r="Y1494" s="14"/>
    </row>
    <row r="1495" spans="1:25" ht="15.75" x14ac:dyDescent="0.25">
      <c r="A1495" s="21"/>
      <c r="B1495" s="21"/>
      <c r="C1495" s="21"/>
      <c r="E1495" s="21"/>
      <c r="F1495" s="21"/>
      <c r="G1495" s="14"/>
      <c r="H1495" s="14"/>
      <c r="I1495" s="14"/>
      <c r="J1495" s="14"/>
      <c r="K1495" s="14"/>
      <c r="L1495" s="14"/>
      <c r="M1495" s="14"/>
      <c r="N1495" s="14"/>
      <c r="O1495" s="14"/>
      <c r="P1495" s="14"/>
      <c r="Q1495" s="14"/>
      <c r="R1495" s="14"/>
      <c r="S1495" s="14"/>
      <c r="T1495" s="14"/>
      <c r="U1495" s="14"/>
      <c r="V1495" s="14"/>
      <c r="W1495" s="14"/>
      <c r="X1495" s="14"/>
      <c r="Y1495" s="14"/>
    </row>
    <row r="1496" spans="1:25" ht="15.75" x14ac:dyDescent="0.25">
      <c r="A1496" s="21"/>
      <c r="B1496" s="21"/>
      <c r="C1496" s="21"/>
      <c r="E1496" s="21"/>
      <c r="F1496" s="21"/>
      <c r="G1496" s="14"/>
      <c r="H1496" s="14"/>
      <c r="I1496" s="14"/>
      <c r="J1496" s="14"/>
      <c r="K1496" s="14"/>
      <c r="L1496" s="14"/>
      <c r="M1496" s="14"/>
      <c r="N1496" s="14"/>
      <c r="O1496" s="14"/>
      <c r="P1496" s="14"/>
      <c r="Q1496" s="14"/>
      <c r="R1496" s="14"/>
      <c r="S1496" s="14"/>
      <c r="T1496" s="14"/>
      <c r="U1496" s="14"/>
      <c r="V1496" s="14"/>
      <c r="W1496" s="14"/>
      <c r="X1496" s="14"/>
      <c r="Y1496" s="14"/>
    </row>
    <row r="1497" spans="1:25" ht="15.75" x14ac:dyDescent="0.25">
      <c r="A1497" s="21"/>
      <c r="B1497" s="21"/>
      <c r="C1497" s="21"/>
      <c r="E1497" s="21"/>
      <c r="F1497" s="21"/>
      <c r="G1497" s="14"/>
      <c r="H1497" s="14"/>
      <c r="I1497" s="14"/>
      <c r="J1497" s="14"/>
      <c r="K1497" s="14"/>
      <c r="L1497" s="14"/>
      <c r="M1497" s="14"/>
      <c r="N1497" s="14"/>
      <c r="O1497" s="14"/>
      <c r="P1497" s="14"/>
      <c r="Q1497" s="14"/>
      <c r="R1497" s="14"/>
      <c r="S1497" s="14"/>
      <c r="T1497" s="14"/>
      <c r="U1497" s="14"/>
      <c r="V1497" s="14"/>
      <c r="W1497" s="14"/>
      <c r="X1497" s="14"/>
      <c r="Y1497" s="14"/>
    </row>
    <row r="1498" spans="1:25" ht="15.75" x14ac:dyDescent="0.25">
      <c r="A1498" s="21"/>
      <c r="B1498" s="21"/>
      <c r="C1498" s="21"/>
      <c r="E1498" s="21"/>
      <c r="F1498" s="21"/>
      <c r="G1498" s="14"/>
      <c r="H1498" s="14"/>
      <c r="I1498" s="14"/>
      <c r="J1498" s="14"/>
      <c r="K1498" s="14"/>
      <c r="L1498" s="14"/>
      <c r="M1498" s="14"/>
      <c r="N1498" s="14"/>
      <c r="O1498" s="14"/>
      <c r="P1498" s="14"/>
      <c r="Q1498" s="14"/>
      <c r="R1498" s="14"/>
      <c r="S1498" s="14"/>
      <c r="T1498" s="14"/>
      <c r="U1498" s="14"/>
      <c r="V1498" s="14"/>
      <c r="W1498" s="14"/>
      <c r="X1498" s="14"/>
      <c r="Y1498" s="14"/>
    </row>
    <row r="1499" spans="1:25" ht="15.75" x14ac:dyDescent="0.25">
      <c r="A1499" s="21"/>
      <c r="B1499" s="21"/>
      <c r="C1499" s="21"/>
      <c r="E1499" s="21"/>
      <c r="F1499" s="21"/>
      <c r="G1499" s="14"/>
      <c r="H1499" s="14"/>
      <c r="I1499" s="14"/>
      <c r="J1499" s="14"/>
      <c r="K1499" s="14"/>
      <c r="L1499" s="14"/>
      <c r="M1499" s="14"/>
      <c r="N1499" s="14"/>
      <c r="O1499" s="14"/>
      <c r="P1499" s="14"/>
      <c r="Q1499" s="14"/>
      <c r="R1499" s="14"/>
      <c r="S1499" s="14"/>
      <c r="T1499" s="14"/>
      <c r="U1499" s="14"/>
      <c r="V1499" s="14"/>
      <c r="W1499" s="14"/>
      <c r="X1499" s="14"/>
      <c r="Y1499" s="14"/>
    </row>
    <row r="1500" spans="1:25" ht="15.75" x14ac:dyDescent="0.25">
      <c r="A1500" s="21"/>
      <c r="B1500" s="21"/>
      <c r="C1500" s="21"/>
      <c r="E1500" s="21"/>
      <c r="F1500" s="21"/>
      <c r="G1500" s="14"/>
      <c r="H1500" s="14"/>
      <c r="I1500" s="14"/>
      <c r="J1500" s="14"/>
      <c r="K1500" s="14"/>
      <c r="L1500" s="14"/>
      <c r="M1500" s="14"/>
      <c r="N1500" s="14"/>
      <c r="O1500" s="14"/>
      <c r="P1500" s="14"/>
      <c r="Q1500" s="14"/>
      <c r="R1500" s="14"/>
      <c r="S1500" s="14"/>
      <c r="T1500" s="14"/>
      <c r="U1500" s="14"/>
      <c r="V1500" s="14"/>
      <c r="W1500" s="14"/>
      <c r="X1500" s="14"/>
      <c r="Y1500" s="14"/>
    </row>
    <row r="1501" spans="1:25" ht="15.75" x14ac:dyDescent="0.25">
      <c r="A1501" s="21"/>
      <c r="B1501" s="21"/>
      <c r="C1501" s="21"/>
      <c r="E1501" s="21"/>
      <c r="F1501" s="21"/>
      <c r="G1501" s="14"/>
      <c r="H1501" s="14"/>
      <c r="I1501" s="14"/>
      <c r="J1501" s="14"/>
      <c r="K1501" s="14"/>
      <c r="L1501" s="14"/>
      <c r="M1501" s="14"/>
      <c r="N1501" s="14"/>
      <c r="O1501" s="14"/>
      <c r="P1501" s="14"/>
      <c r="Q1501" s="14"/>
      <c r="R1501" s="14"/>
      <c r="S1501" s="14"/>
      <c r="T1501" s="14"/>
      <c r="U1501" s="14"/>
      <c r="V1501" s="14"/>
      <c r="W1501" s="14"/>
      <c r="X1501" s="14"/>
      <c r="Y1501" s="14"/>
    </row>
    <row r="1502" spans="1:25" ht="15.75" x14ac:dyDescent="0.25">
      <c r="A1502" s="21"/>
      <c r="B1502" s="21"/>
      <c r="C1502" s="21"/>
      <c r="E1502" s="21"/>
      <c r="F1502" s="21"/>
      <c r="G1502" s="14"/>
      <c r="H1502" s="14"/>
      <c r="I1502" s="14"/>
      <c r="J1502" s="14"/>
      <c r="K1502" s="14"/>
      <c r="L1502" s="14"/>
      <c r="M1502" s="14"/>
      <c r="N1502" s="14"/>
      <c r="O1502" s="14"/>
      <c r="P1502" s="14"/>
      <c r="Q1502" s="14"/>
      <c r="R1502" s="14"/>
      <c r="S1502" s="14"/>
      <c r="T1502" s="14"/>
      <c r="U1502" s="14"/>
      <c r="V1502" s="14"/>
      <c r="W1502" s="14"/>
      <c r="X1502" s="14"/>
      <c r="Y1502" s="14"/>
    </row>
    <row r="1503" spans="1:25" ht="15.75" x14ac:dyDescent="0.25">
      <c r="A1503" s="21"/>
      <c r="B1503" s="21"/>
      <c r="C1503" s="21"/>
      <c r="E1503" s="21"/>
      <c r="F1503" s="21"/>
      <c r="G1503" s="14"/>
      <c r="H1503" s="14"/>
      <c r="I1503" s="14"/>
      <c r="J1503" s="14"/>
      <c r="K1503" s="14"/>
      <c r="L1503" s="14"/>
      <c r="M1503" s="14"/>
      <c r="N1503" s="14"/>
      <c r="O1503" s="14"/>
      <c r="P1503" s="14"/>
      <c r="Q1503" s="14"/>
      <c r="R1503" s="14"/>
      <c r="S1503" s="14"/>
      <c r="T1503" s="14"/>
      <c r="U1503" s="14"/>
      <c r="V1503" s="14"/>
      <c r="W1503" s="14"/>
      <c r="X1503" s="14"/>
      <c r="Y1503" s="14"/>
    </row>
    <row r="1504" spans="1:25" ht="15.75" x14ac:dyDescent="0.25">
      <c r="A1504" s="21"/>
      <c r="B1504" s="21"/>
      <c r="C1504" s="21"/>
      <c r="E1504" s="21"/>
      <c r="F1504" s="21"/>
      <c r="G1504" s="14"/>
      <c r="H1504" s="14"/>
      <c r="I1504" s="14"/>
      <c r="J1504" s="14"/>
      <c r="K1504" s="14"/>
      <c r="L1504" s="14"/>
      <c r="M1504" s="14"/>
      <c r="N1504" s="14"/>
      <c r="O1504" s="14"/>
      <c r="P1504" s="14"/>
      <c r="Q1504" s="14"/>
      <c r="R1504" s="14"/>
      <c r="S1504" s="14"/>
      <c r="T1504" s="14"/>
      <c r="U1504" s="14"/>
      <c r="V1504" s="14"/>
      <c r="W1504" s="14"/>
      <c r="X1504" s="14"/>
      <c r="Y1504" s="14"/>
    </row>
    <row r="1505" spans="1:25" ht="15.75" x14ac:dyDescent="0.25">
      <c r="A1505" s="21"/>
      <c r="B1505" s="21"/>
      <c r="C1505" s="21"/>
      <c r="E1505" s="21"/>
      <c r="F1505" s="21"/>
      <c r="G1505" s="14"/>
      <c r="H1505" s="14"/>
      <c r="I1505" s="14"/>
      <c r="J1505" s="14"/>
      <c r="K1505" s="14"/>
      <c r="L1505" s="14"/>
      <c r="M1505" s="14"/>
      <c r="N1505" s="14"/>
      <c r="O1505" s="14"/>
      <c r="P1505" s="14"/>
      <c r="Q1505" s="14"/>
      <c r="R1505" s="14"/>
      <c r="S1505" s="14"/>
      <c r="T1505" s="14"/>
      <c r="U1505" s="14"/>
      <c r="V1505" s="14"/>
      <c r="W1505" s="14"/>
      <c r="X1505" s="14"/>
      <c r="Y1505" s="14"/>
    </row>
    <row r="1506" spans="1:25" ht="15.75" x14ac:dyDescent="0.25">
      <c r="A1506" s="21"/>
      <c r="B1506" s="21"/>
      <c r="C1506" s="21"/>
      <c r="E1506" s="21"/>
      <c r="F1506" s="21"/>
      <c r="G1506" s="14"/>
      <c r="H1506" s="14"/>
      <c r="I1506" s="14"/>
      <c r="J1506" s="14"/>
      <c r="K1506" s="14"/>
      <c r="L1506" s="14"/>
      <c r="M1506" s="14"/>
      <c r="N1506" s="14"/>
      <c r="O1506" s="14"/>
      <c r="P1506" s="14"/>
      <c r="Q1506" s="14"/>
      <c r="R1506" s="14"/>
      <c r="S1506" s="14"/>
      <c r="T1506" s="14"/>
      <c r="U1506" s="14"/>
      <c r="V1506" s="14"/>
      <c r="W1506" s="14"/>
      <c r="X1506" s="14"/>
      <c r="Y1506" s="14"/>
    </row>
    <row r="1507" spans="1:25" ht="15.75" x14ac:dyDescent="0.25">
      <c r="A1507" s="21"/>
      <c r="B1507" s="21"/>
      <c r="C1507" s="21"/>
      <c r="E1507" s="21"/>
      <c r="F1507" s="21"/>
      <c r="G1507" s="14"/>
      <c r="H1507" s="14"/>
      <c r="I1507" s="14"/>
      <c r="J1507" s="14"/>
      <c r="K1507" s="14"/>
      <c r="L1507" s="14"/>
      <c r="M1507" s="14"/>
      <c r="N1507" s="14"/>
      <c r="O1507" s="14"/>
      <c r="P1507" s="14"/>
      <c r="Q1507" s="14"/>
      <c r="R1507" s="14"/>
      <c r="S1507" s="14"/>
      <c r="T1507" s="14"/>
      <c r="U1507" s="14"/>
      <c r="V1507" s="14"/>
      <c r="W1507" s="14"/>
      <c r="X1507" s="14"/>
      <c r="Y1507" s="14"/>
    </row>
    <row r="1508" spans="1:25" ht="15.75" x14ac:dyDescent="0.25">
      <c r="A1508" s="21"/>
      <c r="B1508" s="21"/>
      <c r="C1508" s="21"/>
      <c r="E1508" s="21"/>
      <c r="F1508" s="21"/>
      <c r="G1508" s="14"/>
      <c r="H1508" s="14"/>
      <c r="I1508" s="14"/>
      <c r="J1508" s="14"/>
      <c r="K1508" s="14"/>
      <c r="L1508" s="14"/>
      <c r="M1508" s="14"/>
      <c r="N1508" s="14"/>
      <c r="O1508" s="14"/>
      <c r="P1508" s="14"/>
      <c r="Q1508" s="14"/>
      <c r="R1508" s="14"/>
      <c r="S1508" s="14"/>
      <c r="T1508" s="14"/>
      <c r="U1508" s="14"/>
      <c r="V1508" s="14"/>
      <c r="W1508" s="14"/>
      <c r="X1508" s="14"/>
      <c r="Y1508" s="14"/>
    </row>
    <row r="1509" spans="1:25" ht="15.75" x14ac:dyDescent="0.25">
      <c r="A1509" s="21"/>
      <c r="B1509" s="21"/>
      <c r="C1509" s="21"/>
      <c r="E1509" s="21"/>
      <c r="F1509" s="21"/>
      <c r="G1509" s="14"/>
      <c r="H1509" s="14"/>
      <c r="I1509" s="14"/>
      <c r="J1509" s="14"/>
      <c r="K1509" s="14"/>
      <c r="L1509" s="14"/>
      <c r="M1509" s="14"/>
      <c r="N1509" s="14"/>
      <c r="O1509" s="14"/>
      <c r="P1509" s="14"/>
      <c r="Q1509" s="14"/>
      <c r="R1509" s="14"/>
      <c r="S1509" s="14"/>
      <c r="T1509" s="14"/>
      <c r="U1509" s="14"/>
      <c r="V1509" s="14"/>
      <c r="W1509" s="14"/>
      <c r="X1509" s="14"/>
      <c r="Y1509" s="14"/>
    </row>
    <row r="1510" spans="1:25" ht="15.75" x14ac:dyDescent="0.25">
      <c r="A1510" s="21"/>
      <c r="B1510" s="21"/>
      <c r="C1510" s="21"/>
      <c r="E1510" s="21"/>
      <c r="F1510" s="21"/>
      <c r="G1510" s="14"/>
      <c r="H1510" s="14"/>
      <c r="I1510" s="14"/>
      <c r="J1510" s="14"/>
      <c r="K1510" s="14"/>
      <c r="L1510" s="14"/>
      <c r="M1510" s="14"/>
      <c r="N1510" s="14"/>
      <c r="O1510" s="14"/>
      <c r="P1510" s="14"/>
      <c r="Q1510" s="14"/>
      <c r="R1510" s="14"/>
      <c r="S1510" s="14"/>
      <c r="T1510" s="14"/>
      <c r="U1510" s="14"/>
      <c r="V1510" s="14"/>
      <c r="W1510" s="14"/>
      <c r="X1510" s="14"/>
      <c r="Y1510" s="14"/>
    </row>
    <row r="1511" spans="1:25" ht="15.75" x14ac:dyDescent="0.25">
      <c r="A1511" s="21"/>
      <c r="B1511" s="21"/>
      <c r="C1511" s="21"/>
      <c r="E1511" s="21"/>
      <c r="F1511" s="21"/>
      <c r="G1511" s="14"/>
      <c r="H1511" s="14"/>
      <c r="I1511" s="14"/>
      <c r="J1511" s="14"/>
      <c r="K1511" s="14"/>
      <c r="L1511" s="14"/>
      <c r="M1511" s="14"/>
      <c r="N1511" s="14"/>
      <c r="O1511" s="14"/>
      <c r="P1511" s="14"/>
      <c r="Q1511" s="14"/>
      <c r="R1511" s="14"/>
      <c r="S1511" s="14"/>
      <c r="T1511" s="14"/>
      <c r="U1511" s="14"/>
      <c r="V1511" s="14"/>
      <c r="W1511" s="14"/>
      <c r="X1511" s="14"/>
      <c r="Y1511" s="14"/>
    </row>
    <row r="1512" spans="1:25" ht="15.75" x14ac:dyDescent="0.25">
      <c r="A1512" s="21"/>
      <c r="B1512" s="21"/>
      <c r="C1512" s="21"/>
      <c r="E1512" s="21"/>
      <c r="F1512" s="21"/>
      <c r="G1512" s="14"/>
      <c r="H1512" s="14"/>
      <c r="I1512" s="14"/>
      <c r="J1512" s="14"/>
      <c r="K1512" s="14"/>
      <c r="L1512" s="14"/>
      <c r="M1512" s="14"/>
      <c r="N1512" s="14"/>
      <c r="O1512" s="14"/>
      <c r="P1512" s="14"/>
      <c r="Q1512" s="14"/>
      <c r="R1512" s="14"/>
      <c r="S1512" s="14"/>
      <c r="T1512" s="14"/>
      <c r="U1512" s="14"/>
      <c r="V1512" s="14"/>
      <c r="W1512" s="14"/>
      <c r="X1512" s="14"/>
      <c r="Y1512" s="14"/>
    </row>
    <row r="1513" spans="1:25" ht="15.75" x14ac:dyDescent="0.25">
      <c r="A1513" s="21"/>
      <c r="B1513" s="21"/>
      <c r="C1513" s="21"/>
      <c r="E1513" s="21"/>
      <c r="F1513" s="21"/>
      <c r="G1513" s="14"/>
      <c r="H1513" s="14"/>
      <c r="I1513" s="14"/>
      <c r="J1513" s="14"/>
      <c r="K1513" s="14"/>
      <c r="L1513" s="14"/>
      <c r="M1513" s="14"/>
      <c r="N1513" s="14"/>
      <c r="O1513" s="14"/>
      <c r="P1513" s="14"/>
      <c r="Q1513" s="14"/>
      <c r="R1513" s="14"/>
      <c r="S1513" s="14"/>
      <c r="T1513" s="14"/>
      <c r="U1513" s="14"/>
      <c r="V1513" s="14"/>
      <c r="W1513" s="14"/>
      <c r="X1513" s="14"/>
      <c r="Y1513" s="14"/>
    </row>
    <row r="1514" spans="1:25" ht="15.75" x14ac:dyDescent="0.25">
      <c r="A1514" s="21"/>
      <c r="B1514" s="21"/>
      <c r="C1514" s="21"/>
      <c r="E1514" s="21"/>
      <c r="F1514" s="21"/>
      <c r="G1514" s="14"/>
      <c r="H1514" s="14"/>
      <c r="I1514" s="14"/>
      <c r="J1514" s="14"/>
      <c r="K1514" s="14"/>
      <c r="L1514" s="14"/>
      <c r="M1514" s="14"/>
      <c r="N1514" s="14"/>
      <c r="O1514" s="14"/>
      <c r="P1514" s="14"/>
      <c r="Q1514" s="14"/>
      <c r="R1514" s="14"/>
      <c r="S1514" s="14"/>
      <c r="T1514" s="14"/>
      <c r="U1514" s="14"/>
      <c r="V1514" s="14"/>
      <c r="W1514" s="14"/>
      <c r="X1514" s="14"/>
      <c r="Y1514" s="14"/>
    </row>
    <row r="1515" spans="1:25" ht="15.75" x14ac:dyDescent="0.25">
      <c r="A1515" s="21"/>
      <c r="B1515" s="21"/>
      <c r="C1515" s="21"/>
      <c r="E1515" s="21"/>
      <c r="F1515" s="21"/>
      <c r="G1515" s="14"/>
      <c r="H1515" s="14"/>
      <c r="I1515" s="14"/>
      <c r="J1515" s="14"/>
      <c r="K1515" s="14"/>
      <c r="L1515" s="14"/>
      <c r="M1515" s="14"/>
      <c r="N1515" s="14"/>
      <c r="O1515" s="14"/>
      <c r="P1515" s="14"/>
      <c r="Q1515" s="14"/>
      <c r="R1515" s="14"/>
      <c r="S1515" s="14"/>
      <c r="T1515" s="14"/>
      <c r="U1515" s="14"/>
      <c r="V1515" s="14"/>
      <c r="W1515" s="14"/>
      <c r="X1515" s="14"/>
      <c r="Y1515" s="14"/>
    </row>
    <row r="1516" spans="1:25" ht="15.75" x14ac:dyDescent="0.25">
      <c r="A1516" s="21"/>
      <c r="B1516" s="21"/>
      <c r="C1516" s="21"/>
      <c r="E1516" s="21"/>
      <c r="F1516" s="21"/>
      <c r="G1516" s="14"/>
      <c r="H1516" s="14"/>
      <c r="I1516" s="14"/>
      <c r="J1516" s="14"/>
      <c r="K1516" s="14"/>
      <c r="L1516" s="14"/>
      <c r="M1516" s="14"/>
      <c r="N1516" s="14"/>
      <c r="O1516" s="14"/>
      <c r="P1516" s="14"/>
      <c r="Q1516" s="14"/>
      <c r="R1516" s="14"/>
      <c r="S1516" s="14"/>
      <c r="T1516" s="14"/>
      <c r="U1516" s="14"/>
      <c r="V1516" s="14"/>
      <c r="W1516" s="14"/>
      <c r="X1516" s="14"/>
      <c r="Y1516" s="14"/>
    </row>
    <row r="1517" spans="1:25" ht="15.75" x14ac:dyDescent="0.25">
      <c r="A1517" s="21"/>
      <c r="B1517" s="21"/>
      <c r="C1517" s="21"/>
      <c r="E1517" s="21"/>
      <c r="F1517" s="21"/>
      <c r="G1517" s="14"/>
      <c r="H1517" s="14"/>
      <c r="I1517" s="14"/>
      <c r="J1517" s="14"/>
      <c r="K1517" s="14"/>
      <c r="L1517" s="14"/>
      <c r="M1517" s="14"/>
      <c r="N1517" s="14"/>
      <c r="O1517" s="14"/>
      <c r="P1517" s="14"/>
      <c r="Q1517" s="14"/>
      <c r="R1517" s="14"/>
      <c r="S1517" s="14"/>
      <c r="T1517" s="14"/>
      <c r="U1517" s="14"/>
      <c r="V1517" s="14"/>
      <c r="W1517" s="14"/>
      <c r="X1517" s="14"/>
      <c r="Y1517" s="14"/>
    </row>
    <row r="1518" spans="1:25" ht="15.75" x14ac:dyDescent="0.25">
      <c r="A1518" s="21"/>
      <c r="B1518" s="21"/>
      <c r="C1518" s="21"/>
      <c r="E1518" s="21"/>
      <c r="F1518" s="21"/>
      <c r="G1518" s="14"/>
      <c r="H1518" s="14"/>
      <c r="I1518" s="14"/>
      <c r="J1518" s="14"/>
      <c r="K1518" s="14"/>
      <c r="L1518" s="14"/>
      <c r="M1518" s="14"/>
      <c r="N1518" s="14"/>
      <c r="O1518" s="14"/>
      <c r="P1518" s="14"/>
      <c r="Q1518" s="14"/>
      <c r="R1518" s="14"/>
      <c r="S1518" s="14"/>
      <c r="T1518" s="14"/>
      <c r="U1518" s="14"/>
      <c r="V1518" s="14"/>
      <c r="W1518" s="14"/>
      <c r="X1518" s="14"/>
      <c r="Y1518" s="14"/>
    </row>
    <row r="1519" spans="1:25" ht="15.75" x14ac:dyDescent="0.25">
      <c r="A1519" s="21"/>
      <c r="B1519" s="21"/>
      <c r="C1519" s="21"/>
      <c r="E1519" s="21"/>
      <c r="F1519" s="21"/>
      <c r="G1519" s="14"/>
      <c r="H1519" s="14"/>
      <c r="I1519" s="14"/>
      <c r="J1519" s="14"/>
      <c r="K1519" s="14"/>
      <c r="L1519" s="14"/>
      <c r="M1519" s="14"/>
      <c r="N1519" s="14"/>
      <c r="O1519" s="14"/>
      <c r="P1519" s="14"/>
      <c r="Q1519" s="14"/>
      <c r="R1519" s="14"/>
      <c r="S1519" s="14"/>
      <c r="T1519" s="14"/>
      <c r="U1519" s="14"/>
      <c r="V1519" s="14"/>
      <c r="W1519" s="14"/>
      <c r="X1519" s="14"/>
      <c r="Y1519" s="14"/>
    </row>
    <row r="1520" spans="1:25" ht="15.75" x14ac:dyDescent="0.25">
      <c r="A1520" s="21"/>
      <c r="B1520" s="21"/>
      <c r="C1520" s="21"/>
      <c r="E1520" s="21"/>
      <c r="F1520" s="21"/>
      <c r="G1520" s="14"/>
      <c r="H1520" s="14"/>
      <c r="I1520" s="14"/>
      <c r="J1520" s="14"/>
      <c r="K1520" s="14"/>
      <c r="L1520" s="14"/>
      <c r="M1520" s="14"/>
      <c r="N1520" s="14"/>
      <c r="O1520" s="14"/>
      <c r="P1520" s="14"/>
      <c r="Q1520" s="14"/>
      <c r="R1520" s="14"/>
      <c r="S1520" s="14"/>
      <c r="T1520" s="14"/>
      <c r="U1520" s="14"/>
      <c r="V1520" s="14"/>
      <c r="W1520" s="14"/>
      <c r="X1520" s="14"/>
      <c r="Y1520" s="14"/>
    </row>
    <row r="1521" spans="1:25" ht="15.75" x14ac:dyDescent="0.25">
      <c r="A1521" s="21"/>
      <c r="B1521" s="21"/>
      <c r="C1521" s="21"/>
      <c r="E1521" s="21"/>
      <c r="F1521" s="21"/>
      <c r="G1521" s="14"/>
      <c r="H1521" s="14"/>
      <c r="I1521" s="14"/>
      <c r="J1521" s="14"/>
      <c r="K1521" s="14"/>
      <c r="L1521" s="14"/>
      <c r="M1521" s="14"/>
      <c r="N1521" s="14"/>
      <c r="O1521" s="14"/>
      <c r="P1521" s="14"/>
      <c r="Q1521" s="14"/>
      <c r="R1521" s="14"/>
      <c r="S1521" s="14"/>
      <c r="T1521" s="14"/>
      <c r="U1521" s="14"/>
      <c r="V1521" s="14"/>
      <c r="W1521" s="14"/>
      <c r="X1521" s="14"/>
      <c r="Y1521" s="14"/>
    </row>
    <row r="1522" spans="1:25" ht="15.75" x14ac:dyDescent="0.25">
      <c r="A1522" s="21"/>
      <c r="B1522" s="21"/>
      <c r="C1522" s="21"/>
      <c r="E1522" s="21"/>
      <c r="F1522" s="21"/>
      <c r="G1522" s="14"/>
      <c r="H1522" s="14"/>
      <c r="I1522" s="14"/>
      <c r="J1522" s="14"/>
      <c r="K1522" s="14"/>
      <c r="L1522" s="14"/>
      <c r="M1522" s="14"/>
      <c r="N1522" s="14"/>
      <c r="O1522" s="14"/>
      <c r="P1522" s="14"/>
      <c r="Q1522" s="14"/>
      <c r="R1522" s="14"/>
      <c r="S1522" s="14"/>
      <c r="T1522" s="14"/>
      <c r="U1522" s="14"/>
      <c r="V1522" s="14"/>
      <c r="W1522" s="14"/>
      <c r="X1522" s="14"/>
      <c r="Y1522" s="14"/>
    </row>
    <row r="1523" spans="1:25" ht="15.75" x14ac:dyDescent="0.25">
      <c r="A1523" s="21"/>
      <c r="B1523" s="21"/>
      <c r="C1523" s="21"/>
      <c r="E1523" s="21"/>
      <c r="F1523" s="21"/>
      <c r="G1523" s="14"/>
      <c r="H1523" s="14"/>
      <c r="I1523" s="14"/>
      <c r="J1523" s="14"/>
      <c r="K1523" s="14"/>
      <c r="L1523" s="14"/>
      <c r="M1523" s="14"/>
      <c r="N1523" s="14"/>
      <c r="O1523" s="14"/>
      <c r="P1523" s="14"/>
      <c r="Q1523" s="14"/>
      <c r="R1523" s="14"/>
      <c r="S1523" s="14"/>
      <c r="T1523" s="14"/>
      <c r="U1523" s="14"/>
      <c r="V1523" s="14"/>
      <c r="W1523" s="14"/>
      <c r="X1523" s="14"/>
      <c r="Y1523" s="14"/>
    </row>
    <row r="1524" spans="1:25" ht="15.75" x14ac:dyDescent="0.25">
      <c r="A1524" s="21"/>
      <c r="B1524" s="21"/>
      <c r="C1524" s="21"/>
      <c r="E1524" s="21"/>
      <c r="F1524" s="21"/>
      <c r="G1524" s="14"/>
      <c r="H1524" s="14"/>
      <c r="I1524" s="14"/>
      <c r="J1524" s="14"/>
      <c r="K1524" s="14"/>
      <c r="L1524" s="14"/>
      <c r="M1524" s="14"/>
      <c r="N1524" s="14"/>
      <c r="O1524" s="14"/>
      <c r="P1524" s="14"/>
      <c r="Q1524" s="14"/>
      <c r="R1524" s="14"/>
      <c r="S1524" s="14"/>
      <c r="T1524" s="14"/>
      <c r="U1524" s="14"/>
      <c r="V1524" s="14"/>
      <c r="W1524" s="14"/>
      <c r="X1524" s="14"/>
      <c r="Y1524" s="14"/>
    </row>
    <row r="1525" spans="1:25" ht="15.75" x14ac:dyDescent="0.25">
      <c r="A1525" s="21"/>
      <c r="B1525" s="21"/>
      <c r="C1525" s="21"/>
      <c r="E1525" s="21"/>
      <c r="F1525" s="21"/>
      <c r="G1525" s="14"/>
      <c r="H1525" s="14"/>
      <c r="I1525" s="14"/>
      <c r="J1525" s="14"/>
      <c r="K1525" s="14"/>
      <c r="L1525" s="14"/>
      <c r="M1525" s="14"/>
      <c r="N1525" s="14"/>
      <c r="O1525" s="14"/>
      <c r="P1525" s="14"/>
      <c r="Q1525" s="14"/>
      <c r="R1525" s="14"/>
      <c r="S1525" s="14"/>
      <c r="T1525" s="14"/>
      <c r="U1525" s="14"/>
      <c r="V1525" s="14"/>
      <c r="W1525" s="14"/>
      <c r="X1525" s="14"/>
      <c r="Y1525" s="14"/>
    </row>
    <row r="1526" spans="1:25" ht="15.75" x14ac:dyDescent="0.25">
      <c r="A1526" s="21"/>
      <c r="B1526" s="21"/>
      <c r="C1526" s="21"/>
      <c r="E1526" s="21"/>
      <c r="F1526" s="21"/>
      <c r="G1526" s="14"/>
      <c r="H1526" s="14"/>
      <c r="I1526" s="14"/>
      <c r="J1526" s="14"/>
      <c r="K1526" s="14"/>
      <c r="L1526" s="14"/>
      <c r="M1526" s="14"/>
      <c r="N1526" s="14"/>
      <c r="O1526" s="14"/>
      <c r="P1526" s="14"/>
      <c r="Q1526" s="14"/>
      <c r="R1526" s="14"/>
      <c r="S1526" s="14"/>
      <c r="T1526" s="14"/>
      <c r="U1526" s="14"/>
      <c r="V1526" s="14"/>
      <c r="W1526" s="14"/>
      <c r="X1526" s="14"/>
      <c r="Y1526" s="14"/>
    </row>
    <row r="1527" spans="1:25" ht="15.75" x14ac:dyDescent="0.25">
      <c r="A1527" s="21"/>
      <c r="B1527" s="21"/>
      <c r="C1527" s="21"/>
      <c r="E1527" s="21"/>
      <c r="F1527" s="21"/>
      <c r="G1527" s="14"/>
      <c r="H1527" s="14"/>
      <c r="I1527" s="14"/>
      <c r="J1527" s="14"/>
      <c r="K1527" s="14"/>
      <c r="L1527" s="14"/>
      <c r="M1527" s="14"/>
      <c r="N1527" s="14"/>
      <c r="O1527" s="14"/>
      <c r="P1527" s="14"/>
      <c r="Q1527" s="14"/>
      <c r="R1527" s="14"/>
      <c r="S1527" s="14"/>
      <c r="T1527" s="14"/>
      <c r="U1527" s="14"/>
      <c r="V1527" s="14"/>
      <c r="W1527" s="14"/>
      <c r="X1527" s="14"/>
      <c r="Y1527" s="14"/>
    </row>
    <row r="1528" spans="1:25" ht="15.75" x14ac:dyDescent="0.25">
      <c r="A1528" s="21"/>
      <c r="B1528" s="21"/>
      <c r="C1528" s="21"/>
      <c r="E1528" s="21"/>
      <c r="F1528" s="21"/>
      <c r="G1528" s="14"/>
      <c r="H1528" s="14"/>
      <c r="I1528" s="14"/>
      <c r="J1528" s="14"/>
      <c r="K1528" s="14"/>
      <c r="L1528" s="14"/>
      <c r="M1528" s="14"/>
      <c r="N1528" s="14"/>
      <c r="O1528" s="14"/>
      <c r="P1528" s="14"/>
      <c r="Q1528" s="14"/>
      <c r="R1528" s="14"/>
      <c r="S1528" s="14"/>
      <c r="T1528" s="14"/>
      <c r="U1528" s="14"/>
      <c r="V1528" s="14"/>
      <c r="W1528" s="14"/>
      <c r="X1528" s="14"/>
      <c r="Y1528" s="14"/>
    </row>
    <row r="1529" spans="1:25" ht="15.75" x14ac:dyDescent="0.25">
      <c r="A1529" s="21"/>
      <c r="B1529" s="21"/>
      <c r="C1529" s="21"/>
      <c r="E1529" s="21"/>
      <c r="F1529" s="21"/>
      <c r="G1529" s="14"/>
      <c r="H1529" s="14"/>
      <c r="I1529" s="14"/>
      <c r="J1529" s="14"/>
      <c r="K1529" s="14"/>
      <c r="L1529" s="14"/>
      <c r="M1529" s="14"/>
      <c r="N1529" s="14"/>
      <c r="O1529" s="14"/>
      <c r="P1529" s="14"/>
      <c r="Q1529" s="14"/>
      <c r="R1529" s="14"/>
      <c r="S1529" s="14"/>
      <c r="T1529" s="14"/>
      <c r="U1529" s="14"/>
      <c r="V1529" s="14"/>
      <c r="W1529" s="14"/>
      <c r="X1529" s="14"/>
      <c r="Y1529" s="14"/>
    </row>
    <row r="1530" spans="1:25" ht="15.75" x14ac:dyDescent="0.25">
      <c r="A1530" s="21"/>
      <c r="B1530" s="21"/>
      <c r="C1530" s="21"/>
      <c r="E1530" s="21"/>
      <c r="F1530" s="21"/>
      <c r="G1530" s="14"/>
      <c r="H1530" s="14"/>
      <c r="I1530" s="14"/>
      <c r="J1530" s="14"/>
      <c r="K1530" s="14"/>
      <c r="L1530" s="14"/>
      <c r="M1530" s="14"/>
      <c r="N1530" s="14"/>
      <c r="O1530" s="14"/>
      <c r="P1530" s="14"/>
      <c r="Q1530" s="14"/>
      <c r="R1530" s="14"/>
      <c r="S1530" s="14"/>
      <c r="T1530" s="14"/>
      <c r="U1530" s="14"/>
      <c r="V1530" s="14"/>
      <c r="W1530" s="14"/>
      <c r="X1530" s="14"/>
      <c r="Y1530" s="14"/>
    </row>
    <row r="1531" spans="1:25" ht="15.75" x14ac:dyDescent="0.25">
      <c r="A1531" s="21"/>
      <c r="B1531" s="21"/>
      <c r="C1531" s="21"/>
      <c r="E1531" s="21"/>
      <c r="F1531" s="21"/>
      <c r="G1531" s="14"/>
      <c r="H1531" s="14"/>
      <c r="I1531" s="14"/>
      <c r="J1531" s="14"/>
      <c r="K1531" s="14"/>
      <c r="L1531" s="14"/>
      <c r="M1531" s="14"/>
      <c r="N1531" s="14"/>
      <c r="O1531" s="14"/>
      <c r="P1531" s="14"/>
      <c r="Q1531" s="14"/>
      <c r="R1531" s="14"/>
      <c r="S1531" s="14"/>
      <c r="T1531" s="14"/>
      <c r="U1531" s="14"/>
      <c r="V1531" s="14"/>
      <c r="W1531" s="14"/>
      <c r="X1531" s="14"/>
      <c r="Y1531" s="14"/>
    </row>
    <row r="1532" spans="1:25" ht="15.75" x14ac:dyDescent="0.25">
      <c r="A1532" s="21"/>
      <c r="B1532" s="21"/>
      <c r="C1532" s="21"/>
      <c r="E1532" s="21"/>
      <c r="F1532" s="21"/>
      <c r="G1532" s="14"/>
      <c r="H1532" s="14"/>
      <c r="I1532" s="14"/>
      <c r="J1532" s="14"/>
      <c r="K1532" s="14"/>
      <c r="L1532" s="14"/>
      <c r="M1532" s="14"/>
      <c r="N1532" s="14"/>
      <c r="O1532" s="14"/>
      <c r="P1532" s="14"/>
      <c r="Q1532" s="14"/>
      <c r="R1532" s="14"/>
      <c r="S1532" s="14"/>
      <c r="T1532" s="14"/>
      <c r="U1532" s="14"/>
      <c r="V1532" s="14"/>
      <c r="W1532" s="14"/>
      <c r="X1532" s="14"/>
      <c r="Y1532" s="14"/>
    </row>
    <row r="1533" spans="1:25" ht="15.75" x14ac:dyDescent="0.25">
      <c r="A1533" s="21"/>
      <c r="B1533" s="21"/>
      <c r="C1533" s="21"/>
      <c r="E1533" s="21"/>
      <c r="F1533" s="21"/>
      <c r="G1533" s="14"/>
      <c r="H1533" s="14"/>
      <c r="I1533" s="14"/>
      <c r="J1533" s="14"/>
      <c r="K1533" s="14"/>
      <c r="L1533" s="14"/>
      <c r="M1533" s="14"/>
      <c r="N1533" s="14"/>
      <c r="O1533" s="14"/>
      <c r="P1533" s="14"/>
      <c r="Q1533" s="14"/>
      <c r="R1533" s="14"/>
      <c r="S1533" s="14"/>
      <c r="T1533" s="14"/>
      <c r="U1533" s="14"/>
      <c r="V1533" s="14"/>
      <c r="W1533" s="14"/>
      <c r="X1533" s="14"/>
      <c r="Y1533" s="14"/>
    </row>
    <row r="1534" spans="1:25" ht="15.75" x14ac:dyDescent="0.25">
      <c r="A1534" s="21"/>
      <c r="B1534" s="21"/>
      <c r="C1534" s="21"/>
      <c r="E1534" s="21"/>
      <c r="F1534" s="21"/>
      <c r="G1534" s="14"/>
      <c r="H1534" s="14"/>
      <c r="I1534" s="14"/>
      <c r="J1534" s="14"/>
      <c r="K1534" s="14"/>
      <c r="L1534" s="14"/>
      <c r="M1534" s="14"/>
      <c r="N1534" s="14"/>
      <c r="O1534" s="14"/>
      <c r="P1534" s="14"/>
      <c r="Q1534" s="14"/>
      <c r="R1534" s="14"/>
      <c r="S1534" s="14"/>
      <c r="T1534" s="14"/>
      <c r="U1534" s="14"/>
      <c r="V1534" s="14"/>
      <c r="W1534" s="14"/>
      <c r="X1534" s="14"/>
      <c r="Y1534" s="14"/>
    </row>
    <row r="1535" spans="1:25" ht="15.75" x14ac:dyDescent="0.25">
      <c r="A1535" s="21"/>
      <c r="B1535" s="21"/>
      <c r="C1535" s="21"/>
      <c r="E1535" s="21"/>
      <c r="F1535" s="21"/>
      <c r="G1535" s="14"/>
      <c r="H1535" s="14"/>
      <c r="I1535" s="14"/>
      <c r="J1535" s="14"/>
      <c r="K1535" s="14"/>
      <c r="L1535" s="14"/>
      <c r="M1535" s="14"/>
      <c r="N1535" s="14"/>
      <c r="O1535" s="14"/>
      <c r="P1535" s="14"/>
      <c r="Q1535" s="14"/>
      <c r="R1535" s="14"/>
      <c r="S1535" s="14"/>
      <c r="T1535" s="14"/>
      <c r="U1535" s="14"/>
      <c r="V1535" s="14"/>
      <c r="W1535" s="14"/>
      <c r="X1535" s="14"/>
      <c r="Y1535" s="14"/>
    </row>
    <row r="1536" spans="1:25" ht="15.75" x14ac:dyDescent="0.25">
      <c r="A1536" s="21"/>
      <c r="B1536" s="21"/>
      <c r="C1536" s="21"/>
      <c r="E1536" s="21"/>
      <c r="F1536" s="21"/>
      <c r="G1536" s="14"/>
      <c r="H1536" s="14"/>
      <c r="I1536" s="14"/>
      <c r="J1536" s="14"/>
      <c r="K1536" s="14"/>
      <c r="L1536" s="14"/>
      <c r="M1536" s="14"/>
      <c r="N1536" s="14"/>
      <c r="O1536" s="14"/>
      <c r="P1536" s="14"/>
      <c r="Q1536" s="14"/>
      <c r="R1536" s="14"/>
      <c r="S1536" s="14"/>
      <c r="T1536" s="14"/>
      <c r="U1536" s="14"/>
      <c r="V1536" s="14"/>
      <c r="W1536" s="14"/>
      <c r="X1536" s="14"/>
      <c r="Y1536" s="14"/>
    </row>
    <row r="1537" spans="1:25" ht="15.75" x14ac:dyDescent="0.25">
      <c r="A1537" s="21"/>
      <c r="B1537" s="21"/>
      <c r="C1537" s="21"/>
      <c r="E1537" s="21"/>
      <c r="F1537" s="21"/>
      <c r="G1537" s="14"/>
      <c r="H1537" s="14"/>
      <c r="I1537" s="14"/>
      <c r="J1537" s="14"/>
      <c r="K1537" s="14"/>
      <c r="L1537" s="14"/>
      <c r="M1537" s="14"/>
      <c r="N1537" s="14"/>
      <c r="O1537" s="14"/>
      <c r="P1537" s="14"/>
      <c r="Q1537" s="14"/>
      <c r="R1537" s="14"/>
      <c r="S1537" s="14"/>
      <c r="T1537" s="14"/>
      <c r="U1537" s="14"/>
      <c r="V1537" s="14"/>
      <c r="W1537" s="14"/>
      <c r="X1537" s="14"/>
      <c r="Y1537" s="14"/>
    </row>
    <row r="1538" spans="1:25" ht="15.75" x14ac:dyDescent="0.25">
      <c r="A1538" s="21"/>
      <c r="B1538" s="21"/>
      <c r="C1538" s="21"/>
      <c r="E1538" s="21"/>
      <c r="F1538" s="21"/>
      <c r="G1538" s="14"/>
      <c r="H1538" s="14"/>
      <c r="I1538" s="14"/>
      <c r="J1538" s="14"/>
      <c r="K1538" s="14"/>
      <c r="L1538" s="14"/>
      <c r="M1538" s="14"/>
      <c r="N1538" s="14"/>
      <c r="O1538" s="14"/>
      <c r="P1538" s="14"/>
      <c r="Q1538" s="14"/>
      <c r="R1538" s="14"/>
      <c r="S1538" s="14"/>
      <c r="T1538" s="14"/>
      <c r="U1538" s="14"/>
      <c r="V1538" s="14"/>
      <c r="W1538" s="14"/>
      <c r="X1538" s="14"/>
      <c r="Y1538" s="14"/>
    </row>
    <row r="1539" spans="1:25" ht="15.75" x14ac:dyDescent="0.25">
      <c r="A1539" s="21"/>
      <c r="B1539" s="21"/>
      <c r="C1539" s="21"/>
      <c r="E1539" s="21"/>
      <c r="F1539" s="21"/>
      <c r="G1539" s="14"/>
      <c r="H1539" s="14"/>
      <c r="I1539" s="14"/>
      <c r="J1539" s="14"/>
      <c r="K1539" s="14"/>
      <c r="L1539" s="14"/>
      <c r="M1539" s="14"/>
      <c r="N1539" s="14"/>
      <c r="O1539" s="14"/>
      <c r="P1539" s="14"/>
      <c r="Q1539" s="14"/>
      <c r="R1539" s="14"/>
      <c r="S1539" s="14"/>
      <c r="T1539" s="14"/>
      <c r="U1539" s="14"/>
      <c r="V1539" s="14"/>
      <c r="W1539" s="14"/>
      <c r="X1539" s="14"/>
      <c r="Y1539" s="14"/>
    </row>
    <row r="1540" spans="1:25" ht="15.75" x14ac:dyDescent="0.25">
      <c r="A1540" s="21"/>
      <c r="B1540" s="21"/>
      <c r="C1540" s="21"/>
      <c r="E1540" s="21"/>
      <c r="F1540" s="21"/>
      <c r="G1540" s="14"/>
      <c r="H1540" s="14"/>
      <c r="I1540" s="14"/>
      <c r="J1540" s="14"/>
      <c r="K1540" s="14"/>
      <c r="L1540" s="14"/>
      <c r="M1540" s="14"/>
      <c r="N1540" s="14"/>
      <c r="O1540" s="14"/>
      <c r="P1540" s="14"/>
      <c r="Q1540" s="14"/>
      <c r="R1540" s="14"/>
      <c r="S1540" s="14"/>
      <c r="T1540" s="14"/>
      <c r="U1540" s="14"/>
      <c r="V1540" s="14"/>
      <c r="W1540" s="14"/>
      <c r="X1540" s="14"/>
      <c r="Y1540" s="14"/>
    </row>
    <row r="1541" spans="1:25" ht="15.75" x14ac:dyDescent="0.25">
      <c r="A1541" s="21"/>
      <c r="B1541" s="21"/>
      <c r="C1541" s="21"/>
      <c r="E1541" s="21"/>
      <c r="F1541" s="21"/>
      <c r="G1541" s="14"/>
      <c r="H1541" s="14"/>
      <c r="I1541" s="14"/>
      <c r="J1541" s="14"/>
      <c r="K1541" s="14"/>
      <c r="L1541" s="14"/>
      <c r="M1541" s="14"/>
      <c r="N1541" s="14"/>
      <c r="O1541" s="14"/>
      <c r="P1541" s="14"/>
      <c r="Q1541" s="14"/>
      <c r="R1541" s="14"/>
      <c r="S1541" s="14"/>
      <c r="T1541" s="14"/>
      <c r="U1541" s="14"/>
      <c r="V1541" s="14"/>
      <c r="W1541" s="14"/>
      <c r="X1541" s="14"/>
      <c r="Y1541" s="14"/>
    </row>
    <row r="1542" spans="1:25" ht="15.75" x14ac:dyDescent="0.25">
      <c r="A1542" s="21"/>
      <c r="B1542" s="21"/>
      <c r="C1542" s="21"/>
      <c r="E1542" s="21"/>
      <c r="F1542" s="21"/>
      <c r="G1542" s="14"/>
      <c r="H1542" s="14"/>
      <c r="I1542" s="14"/>
      <c r="J1542" s="14"/>
      <c r="K1542" s="14"/>
      <c r="L1542" s="14"/>
      <c r="M1542" s="14"/>
      <c r="N1542" s="14"/>
      <c r="O1542" s="14"/>
      <c r="P1542" s="14"/>
      <c r="Q1542" s="14"/>
      <c r="R1542" s="14"/>
      <c r="S1542" s="14"/>
      <c r="T1542" s="14"/>
      <c r="U1542" s="14"/>
      <c r="V1542" s="14"/>
      <c r="W1542" s="14"/>
      <c r="X1542" s="14"/>
      <c r="Y1542" s="14"/>
    </row>
    <row r="1543" spans="1:25" ht="15.75" x14ac:dyDescent="0.25">
      <c r="A1543" s="21"/>
      <c r="B1543" s="21"/>
      <c r="C1543" s="21"/>
      <c r="E1543" s="21"/>
      <c r="F1543" s="21"/>
      <c r="G1543" s="14"/>
      <c r="H1543" s="14"/>
      <c r="I1543" s="14"/>
      <c r="J1543" s="14"/>
      <c r="K1543" s="14"/>
      <c r="L1543" s="14"/>
      <c r="M1543" s="14"/>
      <c r="N1543" s="14"/>
      <c r="O1543" s="14"/>
      <c r="P1543" s="14"/>
      <c r="Q1543" s="14"/>
      <c r="R1543" s="14"/>
      <c r="S1543" s="14"/>
      <c r="T1543" s="14"/>
      <c r="U1543" s="14"/>
      <c r="V1543" s="14"/>
      <c r="W1543" s="14"/>
      <c r="X1543" s="14"/>
      <c r="Y1543" s="14"/>
    </row>
    <row r="1544" spans="1:25" ht="15.75" x14ac:dyDescent="0.25">
      <c r="A1544" s="21"/>
      <c r="B1544" s="21"/>
      <c r="C1544" s="21"/>
      <c r="E1544" s="21"/>
      <c r="F1544" s="21"/>
      <c r="G1544" s="14"/>
      <c r="H1544" s="14"/>
      <c r="I1544" s="14"/>
      <c r="J1544" s="14"/>
      <c r="K1544" s="14"/>
      <c r="L1544" s="14"/>
      <c r="M1544" s="14"/>
      <c r="N1544" s="14"/>
      <c r="O1544" s="14"/>
      <c r="P1544" s="14"/>
      <c r="Q1544" s="14"/>
      <c r="R1544" s="14"/>
      <c r="S1544" s="14"/>
      <c r="T1544" s="14"/>
      <c r="U1544" s="14"/>
      <c r="V1544" s="14"/>
      <c r="W1544" s="14"/>
      <c r="X1544" s="14"/>
      <c r="Y1544" s="14"/>
    </row>
    <row r="1545" spans="1:25" ht="15.75" x14ac:dyDescent="0.25">
      <c r="A1545" s="21"/>
      <c r="B1545" s="21"/>
      <c r="C1545" s="21"/>
      <c r="E1545" s="21"/>
      <c r="F1545" s="21"/>
      <c r="G1545" s="14"/>
      <c r="H1545" s="14"/>
      <c r="I1545" s="14"/>
      <c r="J1545" s="14"/>
      <c r="K1545" s="14"/>
      <c r="L1545" s="14"/>
      <c r="M1545" s="14"/>
      <c r="N1545" s="14"/>
      <c r="O1545" s="14"/>
      <c r="P1545" s="14"/>
      <c r="Q1545" s="14"/>
      <c r="R1545" s="14"/>
      <c r="S1545" s="14"/>
      <c r="T1545" s="14"/>
      <c r="U1545" s="14"/>
      <c r="V1545" s="14"/>
      <c r="W1545" s="14"/>
      <c r="X1545" s="14"/>
      <c r="Y1545" s="14"/>
    </row>
    <row r="1546" spans="1:25" ht="15.75" x14ac:dyDescent="0.25">
      <c r="A1546" s="21"/>
      <c r="B1546" s="21"/>
      <c r="C1546" s="21"/>
      <c r="E1546" s="21"/>
      <c r="F1546" s="21"/>
      <c r="G1546" s="14"/>
      <c r="H1546" s="14"/>
      <c r="I1546" s="14"/>
      <c r="J1546" s="14"/>
      <c r="K1546" s="14"/>
      <c r="L1546" s="14"/>
      <c r="M1546" s="14"/>
      <c r="N1546" s="14"/>
      <c r="O1546" s="14"/>
      <c r="P1546" s="14"/>
      <c r="Q1546" s="14"/>
      <c r="R1546" s="14"/>
      <c r="S1546" s="14"/>
      <c r="T1546" s="14"/>
      <c r="U1546" s="14"/>
      <c r="V1546" s="14"/>
      <c r="W1546" s="14"/>
      <c r="X1546" s="14"/>
      <c r="Y1546" s="14"/>
    </row>
    <row r="1547" spans="1:25" ht="15.75" x14ac:dyDescent="0.25">
      <c r="A1547" s="21"/>
      <c r="B1547" s="21"/>
      <c r="C1547" s="21"/>
      <c r="E1547" s="21"/>
      <c r="F1547" s="21"/>
      <c r="G1547" s="14"/>
      <c r="H1547" s="14"/>
      <c r="I1547" s="14"/>
      <c r="J1547" s="14"/>
      <c r="K1547" s="14"/>
      <c r="L1547" s="14"/>
      <c r="M1547" s="14"/>
      <c r="N1547" s="14"/>
      <c r="O1547" s="14"/>
      <c r="P1547" s="14"/>
      <c r="Q1547" s="14"/>
      <c r="R1547" s="14"/>
      <c r="S1547" s="14"/>
      <c r="T1547" s="14"/>
      <c r="U1547" s="14"/>
      <c r="V1547" s="14"/>
      <c r="W1547" s="14"/>
      <c r="X1547" s="14"/>
      <c r="Y1547" s="14"/>
    </row>
    <row r="1548" spans="1:25" ht="15.75" x14ac:dyDescent="0.25">
      <c r="A1548" s="21"/>
      <c r="B1548" s="21"/>
      <c r="C1548" s="21"/>
      <c r="E1548" s="21"/>
      <c r="F1548" s="21"/>
      <c r="G1548" s="14"/>
      <c r="H1548" s="14"/>
      <c r="I1548" s="14"/>
      <c r="J1548" s="14"/>
      <c r="K1548" s="14"/>
      <c r="L1548" s="14"/>
      <c r="M1548" s="14"/>
      <c r="N1548" s="14"/>
      <c r="O1548" s="14"/>
      <c r="P1548" s="14"/>
      <c r="Q1548" s="14"/>
      <c r="R1548" s="14"/>
      <c r="S1548" s="14"/>
      <c r="T1548" s="14"/>
      <c r="U1548" s="14"/>
      <c r="V1548" s="14"/>
      <c r="W1548" s="14"/>
      <c r="X1548" s="14"/>
      <c r="Y1548" s="14"/>
    </row>
    <row r="1549" spans="1:25" ht="15.75" x14ac:dyDescent="0.25">
      <c r="A1549" s="21"/>
      <c r="B1549" s="21"/>
      <c r="C1549" s="21"/>
      <c r="E1549" s="21"/>
      <c r="F1549" s="21"/>
      <c r="G1549" s="14"/>
      <c r="H1549" s="14"/>
      <c r="I1549" s="14"/>
      <c r="J1549" s="14"/>
      <c r="K1549" s="14"/>
      <c r="L1549" s="14"/>
      <c r="M1549" s="14"/>
      <c r="N1549" s="14"/>
      <c r="O1549" s="14"/>
      <c r="P1549" s="14"/>
      <c r="Q1549" s="14"/>
      <c r="R1549" s="14"/>
      <c r="S1549" s="14"/>
      <c r="T1549" s="14"/>
      <c r="U1549" s="14"/>
      <c r="V1549" s="14"/>
      <c r="W1549" s="14"/>
      <c r="X1549" s="14"/>
      <c r="Y1549" s="14"/>
    </row>
    <row r="1550" spans="1:25" ht="15.75" x14ac:dyDescent="0.25">
      <c r="A1550" s="21"/>
      <c r="B1550" s="21"/>
      <c r="C1550" s="21"/>
      <c r="E1550" s="21"/>
      <c r="F1550" s="21"/>
      <c r="G1550" s="14"/>
      <c r="H1550" s="14"/>
      <c r="I1550" s="14"/>
      <c r="J1550" s="14"/>
      <c r="K1550" s="14"/>
      <c r="L1550" s="14"/>
      <c r="M1550" s="14"/>
      <c r="N1550" s="14"/>
      <c r="O1550" s="14"/>
      <c r="P1550" s="14"/>
      <c r="Q1550" s="14"/>
      <c r="R1550" s="14"/>
      <c r="S1550" s="14"/>
      <c r="T1550" s="14"/>
      <c r="U1550" s="14"/>
      <c r="V1550" s="14"/>
      <c r="W1550" s="14"/>
      <c r="X1550" s="14"/>
      <c r="Y1550" s="14"/>
    </row>
    <row r="1551" spans="1:25" ht="15.75" x14ac:dyDescent="0.25">
      <c r="A1551" s="21"/>
      <c r="B1551" s="21"/>
      <c r="C1551" s="21"/>
      <c r="E1551" s="21"/>
      <c r="F1551" s="21"/>
      <c r="G1551" s="14"/>
      <c r="H1551" s="14"/>
      <c r="I1551" s="14"/>
      <c r="J1551" s="14"/>
      <c r="K1551" s="14"/>
      <c r="L1551" s="14"/>
      <c r="M1551" s="14"/>
      <c r="N1551" s="14"/>
      <c r="O1551" s="14"/>
      <c r="P1551" s="14"/>
      <c r="Q1551" s="14"/>
      <c r="R1551" s="14"/>
      <c r="S1551" s="14"/>
      <c r="T1551" s="14"/>
      <c r="U1551" s="14"/>
      <c r="V1551" s="14"/>
      <c r="W1551" s="14"/>
      <c r="X1551" s="14"/>
      <c r="Y1551" s="14"/>
    </row>
    <row r="1552" spans="1:25" ht="15.75" x14ac:dyDescent="0.25">
      <c r="A1552" s="21"/>
      <c r="B1552" s="21"/>
      <c r="C1552" s="21"/>
      <c r="E1552" s="21"/>
      <c r="F1552" s="21"/>
      <c r="G1552" s="14"/>
      <c r="H1552" s="14"/>
      <c r="I1552" s="14"/>
      <c r="J1552" s="14"/>
      <c r="K1552" s="14"/>
      <c r="L1552" s="14"/>
      <c r="M1552" s="14"/>
      <c r="N1552" s="14"/>
      <c r="O1552" s="14"/>
      <c r="P1552" s="14"/>
      <c r="Q1552" s="14"/>
      <c r="R1552" s="14"/>
      <c r="S1552" s="14"/>
      <c r="T1552" s="14"/>
      <c r="U1552" s="14"/>
      <c r="V1552" s="14"/>
      <c r="W1552" s="14"/>
      <c r="X1552" s="14"/>
      <c r="Y1552" s="14"/>
    </row>
    <row r="1553" spans="1:25" ht="15.75" x14ac:dyDescent="0.25">
      <c r="A1553" s="21"/>
      <c r="B1553" s="21"/>
      <c r="C1553" s="21"/>
      <c r="E1553" s="21"/>
      <c r="F1553" s="21"/>
      <c r="G1553" s="14"/>
      <c r="H1553" s="14"/>
      <c r="I1553" s="14"/>
      <c r="J1553" s="14"/>
      <c r="K1553" s="14"/>
      <c r="L1553" s="14"/>
      <c r="M1553" s="14"/>
      <c r="N1553" s="14"/>
      <c r="O1553" s="14"/>
      <c r="P1553" s="14"/>
      <c r="Q1553" s="14"/>
      <c r="R1553" s="14"/>
      <c r="S1553" s="14"/>
      <c r="T1553" s="14"/>
      <c r="U1553" s="14"/>
      <c r="V1553" s="14"/>
      <c r="W1553" s="14"/>
      <c r="X1553" s="14"/>
      <c r="Y1553" s="14"/>
    </row>
    <row r="1554" spans="1:25" ht="15.75" x14ac:dyDescent="0.25">
      <c r="A1554" s="21"/>
      <c r="B1554" s="21"/>
      <c r="C1554" s="21"/>
      <c r="E1554" s="21"/>
      <c r="F1554" s="21"/>
      <c r="G1554" s="14"/>
      <c r="H1554" s="14"/>
      <c r="I1554" s="14"/>
      <c r="J1554" s="14"/>
      <c r="K1554" s="14"/>
      <c r="L1554" s="14"/>
      <c r="M1554" s="14"/>
      <c r="N1554" s="14"/>
      <c r="O1554" s="14"/>
      <c r="P1554" s="14"/>
      <c r="Q1554" s="14"/>
      <c r="R1554" s="14"/>
      <c r="S1554" s="14"/>
      <c r="T1554" s="14"/>
      <c r="U1554" s="14"/>
      <c r="V1554" s="14"/>
      <c r="W1554" s="14"/>
      <c r="X1554" s="14"/>
      <c r="Y1554" s="14"/>
    </row>
    <row r="1555" spans="1:25" ht="15.75" x14ac:dyDescent="0.25">
      <c r="A1555" s="21"/>
      <c r="B1555" s="21"/>
      <c r="C1555" s="21"/>
      <c r="E1555" s="21"/>
      <c r="F1555" s="21"/>
      <c r="G1555" s="14"/>
      <c r="H1555" s="14"/>
      <c r="I1555" s="14"/>
      <c r="J1555" s="14"/>
      <c r="K1555" s="14"/>
      <c r="L1555" s="14"/>
      <c r="M1555" s="14"/>
      <c r="N1555" s="14"/>
      <c r="O1555" s="14"/>
      <c r="P1555" s="14"/>
      <c r="Q1555" s="14"/>
      <c r="R1555" s="14"/>
      <c r="S1555" s="14"/>
      <c r="T1555" s="14"/>
      <c r="U1555" s="14"/>
      <c r="V1555" s="14"/>
      <c r="W1555" s="14"/>
      <c r="X1555" s="14"/>
      <c r="Y1555" s="14"/>
    </row>
    <row r="1556" spans="1:25" ht="15.75" x14ac:dyDescent="0.25">
      <c r="A1556" s="21"/>
      <c r="B1556" s="21"/>
      <c r="C1556" s="21"/>
      <c r="E1556" s="21"/>
      <c r="F1556" s="21"/>
      <c r="G1556" s="14"/>
      <c r="H1556" s="14"/>
      <c r="I1556" s="14"/>
      <c r="J1556" s="14"/>
      <c r="K1556" s="14"/>
      <c r="L1556" s="14"/>
      <c r="M1556" s="14"/>
      <c r="N1556" s="14"/>
      <c r="O1556" s="14"/>
      <c r="P1556" s="14"/>
      <c r="Q1556" s="14"/>
      <c r="R1556" s="14"/>
      <c r="S1556" s="14"/>
      <c r="T1556" s="14"/>
      <c r="U1556" s="14"/>
      <c r="V1556" s="14"/>
      <c r="W1556" s="14"/>
      <c r="X1556" s="14"/>
      <c r="Y1556" s="14"/>
    </row>
    <row r="1557" spans="1:25" ht="15.75" x14ac:dyDescent="0.25">
      <c r="A1557" s="21"/>
      <c r="B1557" s="21"/>
      <c r="C1557" s="21"/>
      <c r="E1557" s="21"/>
      <c r="F1557" s="21"/>
      <c r="G1557" s="14"/>
      <c r="H1557" s="14"/>
      <c r="I1557" s="14"/>
      <c r="J1557" s="14"/>
      <c r="K1557" s="14"/>
      <c r="L1557" s="14"/>
      <c r="M1557" s="14"/>
      <c r="N1557" s="14"/>
      <c r="O1557" s="14"/>
      <c r="P1557" s="14"/>
      <c r="Q1557" s="14"/>
      <c r="R1557" s="14"/>
      <c r="S1557" s="14"/>
      <c r="T1557" s="14"/>
      <c r="U1557" s="14"/>
      <c r="V1557" s="14"/>
      <c r="W1557" s="14"/>
      <c r="X1557" s="14"/>
      <c r="Y1557" s="14"/>
    </row>
    <row r="1558" spans="1:25" ht="15.75" x14ac:dyDescent="0.25">
      <c r="A1558" s="21"/>
      <c r="B1558" s="21"/>
      <c r="C1558" s="21"/>
      <c r="E1558" s="21"/>
      <c r="F1558" s="21"/>
      <c r="G1558" s="14"/>
      <c r="H1558" s="14"/>
      <c r="I1558" s="14"/>
      <c r="J1558" s="14"/>
      <c r="K1558" s="14"/>
      <c r="L1558" s="14"/>
      <c r="M1558" s="14"/>
      <c r="N1558" s="14"/>
      <c r="O1558" s="14"/>
      <c r="P1558" s="14"/>
      <c r="Q1558" s="14"/>
      <c r="R1558" s="14"/>
      <c r="S1558" s="14"/>
      <c r="T1558" s="14"/>
      <c r="U1558" s="14"/>
      <c r="V1558" s="14"/>
      <c r="W1558" s="14"/>
      <c r="X1558" s="14"/>
      <c r="Y1558" s="14"/>
    </row>
    <row r="1559" spans="1:25" ht="15.75" x14ac:dyDescent="0.25">
      <c r="A1559" s="21"/>
      <c r="B1559" s="21"/>
      <c r="C1559" s="21"/>
      <c r="E1559" s="21"/>
      <c r="F1559" s="21"/>
      <c r="G1559" s="14"/>
      <c r="H1559" s="14"/>
      <c r="I1559" s="14"/>
      <c r="J1559" s="14"/>
      <c r="K1559" s="14"/>
      <c r="L1559" s="14"/>
      <c r="M1559" s="14"/>
      <c r="N1559" s="14"/>
      <c r="O1559" s="14"/>
      <c r="P1559" s="14"/>
      <c r="Q1559" s="14"/>
      <c r="R1559" s="14"/>
      <c r="S1559" s="14"/>
      <c r="T1559" s="14"/>
      <c r="U1559" s="14"/>
      <c r="V1559" s="14"/>
      <c r="W1559" s="14"/>
      <c r="X1559" s="14"/>
      <c r="Y1559" s="14"/>
    </row>
    <row r="1560" spans="1:25" ht="15.75" x14ac:dyDescent="0.25">
      <c r="A1560" s="21"/>
      <c r="B1560" s="21"/>
      <c r="C1560" s="21"/>
      <c r="E1560" s="21"/>
      <c r="F1560" s="21"/>
      <c r="G1560" s="14"/>
      <c r="H1560" s="14"/>
      <c r="I1560" s="14"/>
      <c r="J1560" s="14"/>
      <c r="K1560" s="14"/>
      <c r="L1560" s="14"/>
      <c r="M1560" s="14"/>
      <c r="N1560" s="14"/>
      <c r="O1560" s="14"/>
      <c r="P1560" s="14"/>
      <c r="Q1560" s="14"/>
      <c r="R1560" s="14"/>
      <c r="S1560" s="14"/>
      <c r="T1560" s="14"/>
      <c r="U1560" s="14"/>
      <c r="V1560" s="14"/>
      <c r="W1560" s="14"/>
      <c r="X1560" s="14"/>
      <c r="Y1560" s="14"/>
    </row>
    <row r="1561" spans="1:25" ht="15.75" x14ac:dyDescent="0.25">
      <c r="A1561" s="21"/>
      <c r="B1561" s="21"/>
      <c r="C1561" s="21"/>
      <c r="E1561" s="21"/>
      <c r="F1561" s="21"/>
      <c r="G1561" s="14"/>
      <c r="H1561" s="14"/>
      <c r="I1561" s="14"/>
      <c r="J1561" s="14"/>
      <c r="K1561" s="14"/>
      <c r="L1561" s="14"/>
      <c r="M1561" s="14"/>
      <c r="N1561" s="14"/>
      <c r="O1561" s="14"/>
      <c r="P1561" s="14"/>
      <c r="Q1561" s="14"/>
      <c r="R1561" s="14"/>
      <c r="S1561" s="14"/>
      <c r="T1561" s="14"/>
      <c r="U1561" s="14"/>
      <c r="V1561" s="14"/>
      <c r="W1561" s="14"/>
      <c r="X1561" s="14"/>
      <c r="Y1561" s="14"/>
    </row>
    <row r="1562" spans="1:25" ht="15.75" x14ac:dyDescent="0.25">
      <c r="A1562" s="21"/>
      <c r="B1562" s="21"/>
      <c r="C1562" s="21"/>
      <c r="E1562" s="21"/>
      <c r="F1562" s="21"/>
      <c r="G1562" s="14"/>
      <c r="H1562" s="14"/>
      <c r="I1562" s="14"/>
      <c r="J1562" s="14"/>
      <c r="K1562" s="14"/>
      <c r="L1562" s="14"/>
      <c r="M1562" s="14"/>
      <c r="N1562" s="14"/>
      <c r="O1562" s="14"/>
      <c r="P1562" s="14"/>
      <c r="Q1562" s="14"/>
      <c r="R1562" s="14"/>
      <c r="S1562" s="14"/>
      <c r="T1562" s="14"/>
      <c r="U1562" s="14"/>
      <c r="V1562" s="14"/>
      <c r="W1562" s="14"/>
      <c r="X1562" s="14"/>
      <c r="Y1562" s="14"/>
    </row>
    <row r="1563" spans="1:25" ht="15.75" x14ac:dyDescent="0.25">
      <c r="A1563" s="21"/>
      <c r="B1563" s="21"/>
      <c r="C1563" s="21"/>
      <c r="E1563" s="21"/>
      <c r="F1563" s="21"/>
      <c r="G1563" s="14"/>
      <c r="H1563" s="14"/>
      <c r="I1563" s="14"/>
      <c r="J1563" s="14"/>
      <c r="K1563" s="14"/>
      <c r="L1563" s="14"/>
      <c r="M1563" s="14"/>
      <c r="N1563" s="14"/>
      <c r="O1563" s="14"/>
      <c r="P1563" s="14"/>
      <c r="Q1563" s="14"/>
      <c r="R1563" s="14"/>
      <c r="S1563" s="14"/>
      <c r="T1563" s="14"/>
      <c r="U1563" s="14"/>
      <c r="V1563" s="14"/>
      <c r="W1563" s="14"/>
      <c r="X1563" s="14"/>
      <c r="Y1563" s="14"/>
    </row>
    <row r="1564" spans="1:25" ht="15.75" x14ac:dyDescent="0.25">
      <c r="A1564" s="21"/>
      <c r="B1564" s="21"/>
      <c r="C1564" s="21"/>
      <c r="E1564" s="21"/>
      <c r="F1564" s="21"/>
      <c r="G1564" s="14"/>
      <c r="H1564" s="14"/>
      <c r="I1564" s="14"/>
      <c r="J1564" s="14"/>
      <c r="K1564" s="14"/>
      <c r="L1564" s="14"/>
      <c r="M1564" s="14"/>
      <c r="N1564" s="14"/>
      <c r="O1564" s="14"/>
      <c r="P1564" s="14"/>
      <c r="Q1564" s="14"/>
      <c r="R1564" s="14"/>
      <c r="S1564" s="14"/>
      <c r="T1564" s="14"/>
      <c r="U1564" s="14"/>
      <c r="V1564" s="14"/>
      <c r="W1564" s="14"/>
      <c r="X1564" s="14"/>
      <c r="Y1564" s="14"/>
    </row>
    <row r="1565" spans="1:25" ht="15.75" x14ac:dyDescent="0.25">
      <c r="A1565" s="21"/>
      <c r="B1565" s="21"/>
      <c r="C1565" s="21"/>
      <c r="E1565" s="21"/>
      <c r="F1565" s="21"/>
      <c r="G1565" s="14"/>
      <c r="H1565" s="14"/>
      <c r="I1565" s="14"/>
      <c r="J1565" s="14"/>
      <c r="K1565" s="14"/>
      <c r="L1565" s="14"/>
      <c r="M1565" s="14"/>
      <c r="N1565" s="14"/>
      <c r="O1565" s="14"/>
      <c r="P1565" s="14"/>
      <c r="Q1565" s="14"/>
      <c r="R1565" s="14"/>
      <c r="S1565" s="14"/>
      <c r="T1565" s="14"/>
      <c r="U1565" s="14"/>
      <c r="V1565" s="14"/>
      <c r="W1565" s="14"/>
      <c r="X1565" s="14"/>
      <c r="Y1565" s="14"/>
    </row>
    <row r="1566" spans="1:25" ht="15.75" x14ac:dyDescent="0.25">
      <c r="A1566" s="21"/>
      <c r="B1566" s="21"/>
      <c r="C1566" s="21"/>
      <c r="E1566" s="21"/>
      <c r="F1566" s="21"/>
      <c r="G1566" s="14"/>
      <c r="H1566" s="14"/>
      <c r="I1566" s="14"/>
      <c r="J1566" s="14"/>
      <c r="K1566" s="14"/>
      <c r="L1566" s="14"/>
      <c r="M1566" s="14"/>
      <c r="N1566" s="14"/>
      <c r="O1566" s="14"/>
      <c r="P1566" s="14"/>
      <c r="Q1566" s="14"/>
      <c r="R1566" s="14"/>
      <c r="S1566" s="14"/>
      <c r="T1566" s="14"/>
      <c r="U1566" s="14"/>
      <c r="V1566" s="14"/>
      <c r="W1566" s="14"/>
      <c r="X1566" s="14"/>
      <c r="Y1566" s="14"/>
    </row>
    <row r="1567" spans="1:25" ht="15.75" x14ac:dyDescent="0.25">
      <c r="A1567" s="21"/>
      <c r="B1567" s="21"/>
      <c r="C1567" s="21"/>
      <c r="E1567" s="21"/>
      <c r="F1567" s="21"/>
      <c r="G1567" s="14"/>
      <c r="H1567" s="14"/>
      <c r="I1567" s="14"/>
      <c r="J1567" s="14"/>
      <c r="K1567" s="14"/>
      <c r="L1567" s="14"/>
      <c r="M1567" s="14"/>
      <c r="N1567" s="14"/>
      <c r="O1567" s="14"/>
      <c r="P1567" s="14"/>
      <c r="Q1567" s="14"/>
      <c r="R1567" s="14"/>
      <c r="S1567" s="14"/>
      <c r="T1567" s="14"/>
      <c r="U1567" s="14"/>
      <c r="V1567" s="14"/>
      <c r="W1567" s="14"/>
      <c r="X1567" s="14"/>
      <c r="Y1567" s="14"/>
    </row>
    <row r="1568" spans="1:25" ht="15.75" x14ac:dyDescent="0.25">
      <c r="A1568" s="21"/>
      <c r="B1568" s="21"/>
      <c r="C1568" s="21"/>
      <c r="E1568" s="21"/>
      <c r="F1568" s="21"/>
      <c r="G1568" s="14"/>
      <c r="H1568" s="14"/>
      <c r="I1568" s="14"/>
      <c r="J1568" s="14"/>
      <c r="K1568" s="14"/>
      <c r="L1568" s="14"/>
      <c r="M1568" s="14"/>
      <c r="N1568" s="14"/>
      <c r="O1568" s="14"/>
      <c r="P1568" s="14"/>
      <c r="Q1568" s="14"/>
      <c r="R1568" s="14"/>
      <c r="S1568" s="14"/>
      <c r="T1568" s="14"/>
      <c r="U1568" s="14"/>
      <c r="V1568" s="14"/>
      <c r="W1568" s="14"/>
      <c r="X1568" s="14"/>
      <c r="Y1568" s="14"/>
    </row>
    <row r="1569" spans="1:25" ht="15.75" x14ac:dyDescent="0.25">
      <c r="A1569" s="21"/>
      <c r="B1569" s="21"/>
      <c r="C1569" s="21"/>
      <c r="E1569" s="21"/>
      <c r="F1569" s="21"/>
      <c r="G1569" s="14"/>
      <c r="H1569" s="14"/>
      <c r="I1569" s="14"/>
      <c r="J1569" s="14"/>
      <c r="K1569" s="14"/>
      <c r="L1569" s="14"/>
      <c r="M1569" s="14"/>
      <c r="N1569" s="14"/>
      <c r="O1569" s="14"/>
      <c r="P1569" s="14"/>
      <c r="Q1569" s="14"/>
      <c r="R1569" s="14"/>
      <c r="S1569" s="14"/>
      <c r="T1569" s="14"/>
      <c r="U1569" s="14"/>
      <c r="V1569" s="14"/>
      <c r="W1569" s="14"/>
      <c r="X1569" s="14"/>
      <c r="Y1569" s="14"/>
    </row>
    <row r="1570" spans="1:25" ht="15.75" x14ac:dyDescent="0.25">
      <c r="A1570" s="21"/>
      <c r="B1570" s="21"/>
      <c r="C1570" s="21"/>
      <c r="E1570" s="21"/>
      <c r="F1570" s="21"/>
      <c r="G1570" s="14"/>
      <c r="H1570" s="14"/>
      <c r="I1570" s="14"/>
      <c r="J1570" s="14"/>
      <c r="K1570" s="14"/>
      <c r="L1570" s="14"/>
      <c r="M1570" s="14"/>
      <c r="N1570" s="14"/>
      <c r="O1570" s="14"/>
      <c r="P1570" s="14"/>
      <c r="Q1570" s="14"/>
      <c r="R1570" s="14"/>
      <c r="S1570" s="14"/>
      <c r="T1570" s="14"/>
      <c r="U1570" s="14"/>
      <c r="V1570" s="14"/>
      <c r="W1570" s="14"/>
      <c r="X1570" s="14"/>
      <c r="Y1570" s="14"/>
    </row>
    <row r="1571" spans="1:25" ht="15.75" x14ac:dyDescent="0.25">
      <c r="A1571" s="21"/>
      <c r="B1571" s="21"/>
      <c r="C1571" s="21"/>
      <c r="E1571" s="21"/>
      <c r="F1571" s="21"/>
      <c r="G1571" s="14"/>
      <c r="H1571" s="14"/>
      <c r="I1571" s="14"/>
      <c r="J1571" s="14"/>
      <c r="K1571" s="14"/>
      <c r="L1571" s="14"/>
      <c r="M1571" s="14"/>
      <c r="N1571" s="14"/>
      <c r="O1571" s="14"/>
      <c r="P1571" s="14"/>
      <c r="Q1571" s="14"/>
      <c r="R1571" s="14"/>
      <c r="S1571" s="14"/>
      <c r="T1571" s="14"/>
      <c r="U1571" s="14"/>
      <c r="V1571" s="14"/>
      <c r="W1571" s="14"/>
      <c r="X1571" s="14"/>
      <c r="Y1571" s="14"/>
    </row>
    <row r="1572" spans="1:25" ht="15.75" x14ac:dyDescent="0.25">
      <c r="A1572" s="21"/>
      <c r="B1572" s="21"/>
      <c r="C1572" s="21"/>
      <c r="E1572" s="21"/>
      <c r="F1572" s="21"/>
      <c r="G1572" s="14"/>
      <c r="H1572" s="14"/>
      <c r="I1572" s="14"/>
      <c r="J1572" s="14"/>
      <c r="K1572" s="14"/>
      <c r="L1572" s="14"/>
      <c r="M1572" s="14"/>
      <c r="N1572" s="14"/>
      <c r="O1572" s="14"/>
      <c r="P1572" s="14"/>
      <c r="Q1572" s="14"/>
      <c r="R1572" s="14"/>
      <c r="S1572" s="14"/>
      <c r="T1572" s="14"/>
      <c r="U1572" s="14"/>
      <c r="V1572" s="14"/>
      <c r="W1572" s="14"/>
      <c r="X1572" s="14"/>
      <c r="Y1572" s="14"/>
    </row>
    <row r="1573" spans="1:25" ht="15.75" x14ac:dyDescent="0.25">
      <c r="A1573" s="21"/>
      <c r="B1573" s="21"/>
      <c r="C1573" s="21"/>
      <c r="E1573" s="21"/>
      <c r="F1573" s="21"/>
      <c r="G1573" s="14"/>
      <c r="H1573" s="14"/>
      <c r="I1573" s="14"/>
      <c r="J1573" s="14"/>
      <c r="K1573" s="14"/>
      <c r="L1573" s="14"/>
      <c r="M1573" s="14"/>
      <c r="N1573" s="14"/>
      <c r="O1573" s="14"/>
      <c r="P1573" s="14"/>
      <c r="Q1573" s="14"/>
      <c r="R1573" s="14"/>
      <c r="S1573" s="14"/>
      <c r="T1573" s="14"/>
      <c r="U1573" s="14"/>
      <c r="V1573" s="14"/>
      <c r="W1573" s="14"/>
      <c r="X1573" s="14"/>
      <c r="Y1573" s="14"/>
    </row>
    <row r="1574" spans="1:25" ht="15.75" x14ac:dyDescent="0.25">
      <c r="A1574" s="21"/>
      <c r="B1574" s="21"/>
      <c r="C1574" s="21"/>
      <c r="E1574" s="21"/>
      <c r="F1574" s="21"/>
      <c r="G1574" s="14"/>
      <c r="H1574" s="14"/>
      <c r="I1574" s="14"/>
      <c r="J1574" s="14"/>
      <c r="K1574" s="14"/>
      <c r="L1574" s="14"/>
      <c r="M1574" s="14"/>
      <c r="N1574" s="14"/>
      <c r="O1574" s="14"/>
      <c r="P1574" s="14"/>
      <c r="Q1574" s="14"/>
      <c r="R1574" s="14"/>
      <c r="S1574" s="14"/>
      <c r="T1574" s="14"/>
      <c r="U1574" s="14"/>
      <c r="V1574" s="14"/>
      <c r="W1574" s="14"/>
      <c r="X1574" s="14"/>
      <c r="Y1574" s="14"/>
    </row>
    <row r="1575" spans="1:25" ht="15.75" x14ac:dyDescent="0.25">
      <c r="A1575" s="21"/>
      <c r="B1575" s="21"/>
      <c r="C1575" s="21"/>
      <c r="E1575" s="21"/>
      <c r="F1575" s="21"/>
      <c r="G1575" s="14"/>
      <c r="H1575" s="14"/>
      <c r="I1575" s="14"/>
      <c r="J1575" s="14"/>
      <c r="K1575" s="14"/>
      <c r="L1575" s="14"/>
      <c r="M1575" s="14"/>
      <c r="N1575" s="14"/>
      <c r="O1575" s="14"/>
      <c r="P1575" s="14"/>
      <c r="Q1575" s="14"/>
      <c r="R1575" s="14"/>
      <c r="S1575" s="14"/>
      <c r="T1575" s="14"/>
      <c r="U1575" s="14"/>
      <c r="V1575" s="14"/>
      <c r="W1575" s="14"/>
      <c r="X1575" s="14"/>
      <c r="Y1575" s="14"/>
    </row>
    <row r="1576" spans="1:25" ht="15.75" x14ac:dyDescent="0.25">
      <c r="A1576" s="21"/>
      <c r="B1576" s="21"/>
      <c r="C1576" s="21"/>
      <c r="E1576" s="21"/>
      <c r="F1576" s="21"/>
      <c r="G1576" s="14"/>
      <c r="H1576" s="14"/>
      <c r="I1576" s="14"/>
      <c r="J1576" s="14"/>
      <c r="K1576" s="14"/>
      <c r="L1576" s="14"/>
      <c r="M1576" s="14"/>
      <c r="N1576" s="14"/>
      <c r="O1576" s="14"/>
      <c r="P1576" s="14"/>
      <c r="Q1576" s="14"/>
      <c r="R1576" s="14"/>
      <c r="S1576" s="14"/>
      <c r="T1576" s="14"/>
      <c r="U1576" s="14"/>
      <c r="V1576" s="14"/>
      <c r="W1576" s="14"/>
      <c r="X1576" s="14"/>
      <c r="Y1576" s="14"/>
    </row>
    <row r="1577" spans="1:25" ht="15.75" x14ac:dyDescent="0.25">
      <c r="A1577" s="21"/>
      <c r="B1577" s="21"/>
      <c r="C1577" s="21"/>
      <c r="E1577" s="21"/>
      <c r="F1577" s="21"/>
      <c r="G1577" s="14"/>
      <c r="H1577" s="14"/>
      <c r="I1577" s="14"/>
      <c r="J1577" s="14"/>
      <c r="K1577" s="14"/>
      <c r="L1577" s="14"/>
      <c r="M1577" s="14"/>
      <c r="N1577" s="14"/>
      <c r="O1577" s="14"/>
      <c r="P1577" s="14"/>
      <c r="Q1577" s="14"/>
      <c r="R1577" s="14"/>
      <c r="S1577" s="14"/>
      <c r="T1577" s="14"/>
      <c r="U1577" s="14"/>
      <c r="V1577" s="14"/>
      <c r="W1577" s="14"/>
      <c r="X1577" s="14"/>
      <c r="Y1577" s="14"/>
    </row>
    <row r="1578" spans="1:25" ht="15.75" x14ac:dyDescent="0.25">
      <c r="A1578" s="21"/>
      <c r="B1578" s="21"/>
      <c r="C1578" s="21"/>
      <c r="E1578" s="21"/>
      <c r="F1578" s="21"/>
      <c r="G1578" s="14"/>
      <c r="H1578" s="14"/>
      <c r="I1578" s="14"/>
      <c r="J1578" s="14"/>
      <c r="K1578" s="14"/>
      <c r="L1578" s="14"/>
      <c r="M1578" s="14"/>
      <c r="N1578" s="14"/>
      <c r="O1578" s="14"/>
      <c r="P1578" s="14"/>
      <c r="Q1578" s="14"/>
      <c r="R1578" s="14"/>
      <c r="S1578" s="14"/>
      <c r="T1578" s="14"/>
      <c r="U1578" s="14"/>
      <c r="V1578" s="14"/>
      <c r="W1578" s="14"/>
      <c r="X1578" s="14"/>
      <c r="Y1578" s="14"/>
    </row>
    <row r="1579" spans="1:25" ht="15.75" x14ac:dyDescent="0.25">
      <c r="A1579" s="21"/>
      <c r="B1579" s="21"/>
      <c r="C1579" s="21"/>
      <c r="E1579" s="21"/>
      <c r="F1579" s="21"/>
      <c r="G1579" s="14"/>
      <c r="H1579" s="14"/>
      <c r="I1579" s="14"/>
      <c r="J1579" s="14"/>
      <c r="K1579" s="14"/>
      <c r="L1579" s="14"/>
      <c r="M1579" s="14"/>
      <c r="N1579" s="14"/>
      <c r="O1579" s="14"/>
      <c r="P1579" s="14"/>
      <c r="Q1579" s="14"/>
      <c r="R1579" s="14"/>
      <c r="S1579" s="14"/>
      <c r="T1579" s="14"/>
      <c r="U1579" s="14"/>
      <c r="V1579" s="14"/>
      <c r="W1579" s="14"/>
      <c r="X1579" s="14"/>
      <c r="Y1579" s="14"/>
    </row>
    <row r="1580" spans="1:25" ht="15.75" x14ac:dyDescent="0.25">
      <c r="A1580" s="21"/>
      <c r="B1580" s="21"/>
      <c r="C1580" s="21"/>
      <c r="E1580" s="21"/>
      <c r="F1580" s="21"/>
      <c r="G1580" s="14"/>
      <c r="H1580" s="14"/>
      <c r="I1580" s="14"/>
      <c r="J1580" s="14"/>
      <c r="K1580" s="14"/>
      <c r="L1580" s="14"/>
      <c r="M1580" s="14"/>
      <c r="N1580" s="14"/>
      <c r="O1580" s="14"/>
      <c r="P1580" s="14"/>
      <c r="Q1580" s="14"/>
      <c r="R1580" s="14"/>
      <c r="S1580" s="14"/>
      <c r="T1580" s="14"/>
      <c r="U1580" s="14"/>
      <c r="V1580" s="14"/>
      <c r="W1580" s="14"/>
      <c r="X1580" s="14"/>
      <c r="Y1580" s="14"/>
    </row>
    <row r="1581" spans="1:25" ht="15.75" x14ac:dyDescent="0.25">
      <c r="A1581" s="21"/>
      <c r="B1581" s="21"/>
      <c r="C1581" s="21"/>
      <c r="E1581" s="21"/>
      <c r="F1581" s="21"/>
      <c r="G1581" s="14"/>
      <c r="H1581" s="14"/>
      <c r="I1581" s="14"/>
      <c r="J1581" s="14"/>
      <c r="K1581" s="14"/>
      <c r="L1581" s="14"/>
      <c r="M1581" s="14"/>
      <c r="N1581" s="14"/>
      <c r="O1581" s="14"/>
      <c r="P1581" s="14"/>
      <c r="Q1581" s="14"/>
      <c r="R1581" s="14"/>
      <c r="S1581" s="14"/>
      <c r="T1581" s="14"/>
      <c r="U1581" s="14"/>
      <c r="V1581" s="14"/>
      <c r="W1581" s="14"/>
      <c r="X1581" s="14"/>
      <c r="Y1581" s="14"/>
    </row>
    <row r="1582" spans="1:25" ht="15.75" x14ac:dyDescent="0.25">
      <c r="A1582" s="21"/>
      <c r="B1582" s="21"/>
      <c r="C1582" s="21"/>
      <c r="E1582" s="21"/>
      <c r="F1582" s="21"/>
      <c r="G1582" s="14"/>
      <c r="H1582" s="14"/>
      <c r="I1582" s="14"/>
      <c r="J1582" s="14"/>
      <c r="K1582" s="14"/>
      <c r="L1582" s="14"/>
      <c r="M1582" s="14"/>
      <c r="N1582" s="14"/>
      <c r="O1582" s="14"/>
      <c r="P1582" s="14"/>
      <c r="Q1582" s="14"/>
      <c r="R1582" s="14"/>
      <c r="S1582" s="14"/>
      <c r="T1582" s="14"/>
      <c r="U1582" s="14"/>
      <c r="V1582" s="14"/>
      <c r="W1582" s="14"/>
      <c r="X1582" s="14"/>
      <c r="Y1582" s="14"/>
    </row>
    <row r="1583" spans="1:25" ht="15.75" x14ac:dyDescent="0.25">
      <c r="A1583" s="21"/>
      <c r="B1583" s="21"/>
      <c r="C1583" s="21"/>
      <c r="E1583" s="21"/>
      <c r="F1583" s="21"/>
      <c r="G1583" s="14"/>
      <c r="H1583" s="14"/>
      <c r="I1583" s="14"/>
      <c r="J1583" s="14"/>
      <c r="K1583" s="14"/>
      <c r="L1583" s="14"/>
      <c r="M1583" s="14"/>
      <c r="N1583" s="14"/>
      <c r="O1583" s="14"/>
      <c r="P1583" s="14"/>
      <c r="Q1583" s="14"/>
      <c r="R1583" s="14"/>
      <c r="S1583" s="14"/>
      <c r="T1583" s="14"/>
      <c r="U1583" s="14"/>
      <c r="V1583" s="14"/>
      <c r="W1583" s="14"/>
      <c r="X1583" s="14"/>
      <c r="Y1583" s="14"/>
    </row>
    <row r="1584" spans="1:25" ht="15.75" x14ac:dyDescent="0.25">
      <c r="A1584" s="21"/>
      <c r="B1584" s="21"/>
      <c r="C1584" s="21"/>
      <c r="E1584" s="21"/>
      <c r="F1584" s="21"/>
      <c r="G1584" s="14"/>
      <c r="H1584" s="14"/>
      <c r="I1584" s="14"/>
      <c r="J1584" s="14"/>
      <c r="K1584" s="14"/>
      <c r="L1584" s="14"/>
      <c r="M1584" s="14"/>
      <c r="N1584" s="14"/>
      <c r="O1584" s="14"/>
      <c r="P1584" s="14"/>
      <c r="Q1584" s="14"/>
      <c r="R1584" s="14"/>
      <c r="S1584" s="14"/>
      <c r="T1584" s="14"/>
      <c r="U1584" s="14"/>
      <c r="V1584" s="14"/>
      <c r="W1584" s="14"/>
      <c r="X1584" s="14"/>
      <c r="Y1584" s="14"/>
    </row>
    <row r="1585" spans="1:25" ht="15.75" x14ac:dyDescent="0.25">
      <c r="A1585" s="21"/>
      <c r="B1585" s="21"/>
      <c r="C1585" s="21"/>
      <c r="E1585" s="21"/>
      <c r="F1585" s="21"/>
      <c r="G1585" s="14"/>
      <c r="H1585" s="14"/>
      <c r="I1585" s="14"/>
      <c r="J1585" s="14"/>
      <c r="K1585" s="14"/>
      <c r="L1585" s="14"/>
      <c r="M1585" s="14"/>
      <c r="N1585" s="14"/>
      <c r="O1585" s="14"/>
      <c r="P1585" s="14"/>
      <c r="Q1585" s="14"/>
      <c r="R1585" s="14"/>
      <c r="S1585" s="14"/>
      <c r="T1585" s="14"/>
      <c r="U1585" s="14"/>
      <c r="V1585" s="14"/>
      <c r="W1585" s="14"/>
      <c r="X1585" s="14"/>
      <c r="Y1585" s="14"/>
    </row>
    <row r="1586" spans="1:25" ht="15.75" x14ac:dyDescent="0.25">
      <c r="A1586" s="21"/>
      <c r="B1586" s="21"/>
      <c r="C1586" s="21"/>
      <c r="E1586" s="21"/>
      <c r="F1586" s="21"/>
      <c r="G1586" s="14"/>
      <c r="H1586" s="14"/>
      <c r="I1586" s="14"/>
      <c r="J1586" s="14"/>
      <c r="K1586" s="14"/>
      <c r="L1586" s="14"/>
      <c r="M1586" s="14"/>
      <c r="N1586" s="14"/>
      <c r="O1586" s="14"/>
      <c r="P1586" s="14"/>
      <c r="Q1586" s="14"/>
      <c r="R1586" s="14"/>
      <c r="S1586" s="14"/>
      <c r="T1586" s="14"/>
      <c r="U1586" s="14"/>
      <c r="V1586" s="14"/>
      <c r="W1586" s="14"/>
      <c r="X1586" s="14"/>
      <c r="Y1586" s="14"/>
    </row>
    <row r="1587" spans="1:25" ht="15.75" x14ac:dyDescent="0.25">
      <c r="A1587" s="21"/>
      <c r="B1587" s="21"/>
      <c r="C1587" s="21"/>
      <c r="E1587" s="21"/>
      <c r="F1587" s="21"/>
      <c r="G1587" s="14"/>
      <c r="H1587" s="14"/>
      <c r="I1587" s="14"/>
      <c r="J1587" s="14"/>
      <c r="K1587" s="14"/>
      <c r="L1587" s="14"/>
      <c r="M1587" s="14"/>
      <c r="N1587" s="14"/>
      <c r="O1587" s="14"/>
      <c r="P1587" s="14"/>
      <c r="Q1587" s="14"/>
      <c r="R1587" s="14"/>
      <c r="S1587" s="14"/>
      <c r="T1587" s="14"/>
      <c r="U1587" s="14"/>
      <c r="V1587" s="14"/>
      <c r="W1587" s="14"/>
      <c r="X1587" s="14"/>
      <c r="Y1587" s="14"/>
    </row>
    <row r="1588" spans="1:25" ht="15.75" x14ac:dyDescent="0.25">
      <c r="A1588" s="21"/>
      <c r="B1588" s="21"/>
      <c r="C1588" s="21"/>
      <c r="E1588" s="21"/>
      <c r="F1588" s="21"/>
      <c r="G1588" s="14"/>
      <c r="H1588" s="14"/>
      <c r="I1588" s="14"/>
      <c r="J1588" s="14"/>
      <c r="K1588" s="14"/>
      <c r="L1588" s="14"/>
      <c r="M1588" s="14"/>
      <c r="N1588" s="14"/>
      <c r="O1588" s="14"/>
      <c r="P1588" s="14"/>
      <c r="Q1588" s="14"/>
      <c r="R1588" s="14"/>
      <c r="S1588" s="14"/>
      <c r="T1588" s="14"/>
      <c r="U1588" s="14"/>
      <c r="V1588" s="14"/>
      <c r="W1588" s="14"/>
      <c r="X1588" s="14"/>
      <c r="Y1588" s="14"/>
    </row>
    <row r="1589" spans="1:25" ht="15.75" x14ac:dyDescent="0.25">
      <c r="A1589" s="21"/>
      <c r="B1589" s="21"/>
      <c r="C1589" s="21"/>
      <c r="E1589" s="21"/>
      <c r="F1589" s="21"/>
      <c r="G1589" s="14"/>
      <c r="H1589" s="14"/>
      <c r="I1589" s="14"/>
      <c r="J1589" s="14"/>
      <c r="K1589" s="14"/>
      <c r="L1589" s="14"/>
      <c r="M1589" s="14"/>
      <c r="N1589" s="14"/>
      <c r="O1589" s="14"/>
      <c r="P1589" s="14"/>
      <c r="Q1589" s="14"/>
      <c r="R1589" s="14"/>
      <c r="S1589" s="14"/>
      <c r="T1589" s="14"/>
      <c r="U1589" s="14"/>
      <c r="V1589" s="14"/>
      <c r="W1589" s="14"/>
      <c r="X1589" s="14"/>
      <c r="Y1589" s="14"/>
    </row>
    <row r="1590" spans="1:25" ht="15.75" x14ac:dyDescent="0.25">
      <c r="A1590" s="21"/>
      <c r="B1590" s="21"/>
      <c r="C1590" s="21"/>
      <c r="E1590" s="21"/>
      <c r="F1590" s="21"/>
      <c r="G1590" s="14"/>
      <c r="H1590" s="14"/>
      <c r="I1590" s="14"/>
      <c r="J1590" s="14"/>
      <c r="K1590" s="14"/>
      <c r="L1590" s="14"/>
      <c r="M1590" s="14"/>
      <c r="N1590" s="14"/>
      <c r="O1590" s="14"/>
      <c r="P1590" s="14"/>
      <c r="Q1590" s="14"/>
      <c r="R1590" s="14"/>
      <c r="S1590" s="14"/>
      <c r="T1590" s="14"/>
      <c r="U1590" s="14"/>
      <c r="V1590" s="14"/>
      <c r="W1590" s="14"/>
      <c r="X1590" s="14"/>
      <c r="Y1590" s="14"/>
    </row>
    <row r="1591" spans="1:25" ht="15.75" x14ac:dyDescent="0.25">
      <c r="A1591" s="21"/>
      <c r="B1591" s="21"/>
      <c r="C1591" s="21"/>
      <c r="E1591" s="21"/>
      <c r="F1591" s="21"/>
      <c r="G1591" s="14"/>
      <c r="H1591" s="14"/>
      <c r="I1591" s="14"/>
      <c r="J1591" s="14"/>
      <c r="K1591" s="14"/>
      <c r="L1591" s="14"/>
      <c r="M1591" s="14"/>
      <c r="N1591" s="14"/>
      <c r="O1591" s="14"/>
      <c r="P1591" s="14"/>
      <c r="Q1591" s="14"/>
      <c r="R1591" s="14"/>
      <c r="S1591" s="14"/>
      <c r="T1591" s="14"/>
      <c r="U1591" s="14"/>
      <c r="V1591" s="14"/>
      <c r="W1591" s="14"/>
      <c r="X1591" s="14"/>
      <c r="Y1591" s="14"/>
    </row>
    <row r="1592" spans="1:25" ht="15.75" x14ac:dyDescent="0.25">
      <c r="A1592" s="21"/>
      <c r="B1592" s="21"/>
      <c r="C1592" s="21"/>
      <c r="E1592" s="21"/>
      <c r="F1592" s="21"/>
      <c r="G1592" s="14"/>
      <c r="H1592" s="14"/>
      <c r="I1592" s="14"/>
      <c r="J1592" s="14"/>
      <c r="K1592" s="14"/>
      <c r="L1592" s="14"/>
      <c r="M1592" s="14"/>
      <c r="N1592" s="14"/>
      <c r="O1592" s="14"/>
      <c r="P1592" s="14"/>
      <c r="Q1592" s="14"/>
      <c r="R1592" s="14"/>
      <c r="S1592" s="14"/>
      <c r="T1592" s="14"/>
      <c r="U1592" s="14"/>
      <c r="V1592" s="14"/>
      <c r="W1592" s="14"/>
      <c r="X1592" s="14"/>
      <c r="Y1592" s="14"/>
    </row>
    <row r="1593" spans="1:25" ht="15.75" x14ac:dyDescent="0.25">
      <c r="A1593" s="21"/>
      <c r="B1593" s="21"/>
      <c r="C1593" s="21"/>
      <c r="E1593" s="21"/>
      <c r="F1593" s="21"/>
      <c r="G1593" s="14"/>
      <c r="H1593" s="14"/>
      <c r="I1593" s="14"/>
      <c r="J1593" s="14"/>
      <c r="K1593" s="14"/>
      <c r="L1593" s="14"/>
      <c r="M1593" s="14"/>
      <c r="N1593" s="14"/>
      <c r="O1593" s="14"/>
      <c r="P1593" s="14"/>
      <c r="Q1593" s="14"/>
      <c r="R1593" s="14"/>
      <c r="S1593" s="14"/>
      <c r="T1593" s="14"/>
      <c r="U1593" s="14"/>
      <c r="V1593" s="14"/>
      <c r="W1593" s="14"/>
      <c r="X1593" s="14"/>
      <c r="Y1593" s="14"/>
    </row>
    <row r="1594" spans="1:25" ht="15.75" x14ac:dyDescent="0.25">
      <c r="A1594" s="21"/>
      <c r="B1594" s="21"/>
      <c r="C1594" s="21"/>
      <c r="E1594" s="21"/>
      <c r="F1594" s="21"/>
      <c r="G1594" s="14"/>
      <c r="H1594" s="14"/>
      <c r="I1594" s="14"/>
      <c r="J1594" s="14"/>
      <c r="K1594" s="14"/>
      <c r="L1594" s="14"/>
      <c r="M1594" s="14"/>
      <c r="N1594" s="14"/>
      <c r="O1594" s="14"/>
      <c r="P1594" s="14"/>
      <c r="Q1594" s="14"/>
      <c r="R1594" s="14"/>
      <c r="S1594" s="14"/>
      <c r="T1594" s="14"/>
      <c r="U1594" s="14"/>
      <c r="V1594" s="14"/>
      <c r="W1594" s="14"/>
      <c r="X1594" s="14"/>
      <c r="Y1594" s="14"/>
    </row>
    <row r="1595" spans="1:25" ht="15.75" x14ac:dyDescent="0.25">
      <c r="A1595" s="21"/>
      <c r="B1595" s="21"/>
      <c r="C1595" s="21"/>
      <c r="E1595" s="21"/>
      <c r="F1595" s="21"/>
      <c r="G1595" s="14"/>
      <c r="H1595" s="14"/>
      <c r="I1595" s="14"/>
      <c r="J1595" s="14"/>
      <c r="K1595" s="14"/>
      <c r="L1595" s="14"/>
      <c r="M1595" s="14"/>
      <c r="N1595" s="14"/>
      <c r="O1595" s="14"/>
      <c r="P1595" s="14"/>
      <c r="Q1595" s="14"/>
      <c r="R1595" s="14"/>
      <c r="S1595" s="14"/>
      <c r="T1595" s="14"/>
      <c r="U1595" s="14"/>
      <c r="V1595" s="14"/>
      <c r="W1595" s="14"/>
      <c r="X1595" s="14"/>
      <c r="Y1595" s="14"/>
    </row>
    <row r="1596" spans="1:25" ht="15.75" x14ac:dyDescent="0.25">
      <c r="A1596" s="21"/>
      <c r="B1596" s="21"/>
      <c r="C1596" s="21"/>
      <c r="E1596" s="21"/>
      <c r="F1596" s="21"/>
      <c r="G1596" s="14"/>
      <c r="H1596" s="14"/>
      <c r="I1596" s="14"/>
      <c r="J1596" s="14"/>
      <c r="K1596" s="14"/>
      <c r="L1596" s="14"/>
      <c r="M1596" s="14"/>
      <c r="N1596" s="14"/>
      <c r="O1596" s="14"/>
      <c r="P1596" s="14"/>
      <c r="Q1596" s="14"/>
      <c r="R1596" s="14"/>
      <c r="S1596" s="14"/>
      <c r="T1596" s="14"/>
      <c r="U1596" s="14"/>
      <c r="V1596" s="14"/>
      <c r="W1596" s="14"/>
      <c r="X1596" s="14"/>
      <c r="Y1596" s="14"/>
    </row>
    <row r="1597" spans="1:25" ht="15.75" x14ac:dyDescent="0.25">
      <c r="A1597" s="21"/>
      <c r="B1597" s="21"/>
      <c r="C1597" s="21"/>
      <c r="E1597" s="21"/>
      <c r="F1597" s="21"/>
      <c r="G1597" s="14"/>
      <c r="H1597" s="14"/>
      <c r="I1597" s="14"/>
      <c r="J1597" s="14"/>
      <c r="K1597" s="14"/>
      <c r="L1597" s="14"/>
      <c r="M1597" s="14"/>
      <c r="N1597" s="14"/>
      <c r="O1597" s="14"/>
      <c r="P1597" s="14"/>
      <c r="Q1597" s="14"/>
      <c r="R1597" s="14"/>
      <c r="S1597" s="14"/>
      <c r="T1597" s="14"/>
      <c r="U1597" s="14"/>
      <c r="V1597" s="14"/>
      <c r="W1597" s="14"/>
      <c r="X1597" s="14"/>
      <c r="Y1597" s="14"/>
    </row>
    <row r="1598" spans="1:25" ht="15.75" x14ac:dyDescent="0.25">
      <c r="A1598" s="21"/>
      <c r="B1598" s="21"/>
      <c r="C1598" s="21"/>
      <c r="E1598" s="21"/>
      <c r="F1598" s="21"/>
      <c r="G1598" s="14"/>
      <c r="H1598" s="14"/>
      <c r="I1598" s="14"/>
      <c r="J1598" s="14"/>
      <c r="K1598" s="14"/>
      <c r="L1598" s="14"/>
      <c r="M1598" s="14"/>
      <c r="N1598" s="14"/>
      <c r="O1598" s="14"/>
      <c r="P1598" s="14"/>
      <c r="Q1598" s="14"/>
      <c r="R1598" s="14"/>
      <c r="S1598" s="14"/>
      <c r="T1598" s="14"/>
      <c r="U1598" s="14"/>
      <c r="V1598" s="14"/>
      <c r="W1598" s="14"/>
      <c r="X1598" s="14"/>
      <c r="Y1598" s="14"/>
    </row>
    <row r="1599" spans="1:25" ht="15.75" x14ac:dyDescent="0.25">
      <c r="A1599" s="21"/>
      <c r="B1599" s="21"/>
      <c r="C1599" s="21"/>
      <c r="E1599" s="21"/>
      <c r="F1599" s="21"/>
      <c r="G1599" s="14"/>
      <c r="H1599" s="14"/>
      <c r="I1599" s="14"/>
      <c r="J1599" s="14"/>
      <c r="K1599" s="14"/>
      <c r="L1599" s="14"/>
      <c r="M1599" s="14"/>
      <c r="N1599" s="14"/>
      <c r="O1599" s="14"/>
      <c r="P1599" s="14"/>
      <c r="Q1599" s="14"/>
      <c r="R1599" s="14"/>
      <c r="S1599" s="14"/>
      <c r="T1599" s="14"/>
      <c r="U1599" s="14"/>
      <c r="V1599" s="14"/>
      <c r="W1599" s="14"/>
      <c r="X1599" s="14"/>
      <c r="Y1599" s="14"/>
    </row>
    <row r="1600" spans="1:25" ht="15.75" x14ac:dyDescent="0.25">
      <c r="A1600" s="21"/>
      <c r="B1600" s="21"/>
      <c r="C1600" s="21"/>
      <c r="E1600" s="21"/>
      <c r="F1600" s="21"/>
      <c r="G1600" s="14"/>
      <c r="H1600" s="14"/>
      <c r="I1600" s="14"/>
      <c r="J1600" s="14"/>
      <c r="K1600" s="14"/>
      <c r="L1600" s="14"/>
      <c r="M1600" s="14"/>
      <c r="N1600" s="14"/>
      <c r="O1600" s="14"/>
      <c r="P1600" s="14"/>
      <c r="Q1600" s="14"/>
      <c r="R1600" s="14"/>
      <c r="S1600" s="14"/>
      <c r="T1600" s="14"/>
      <c r="U1600" s="14"/>
      <c r="V1600" s="14"/>
      <c r="W1600" s="14"/>
      <c r="X1600" s="14"/>
      <c r="Y1600" s="14"/>
    </row>
    <row r="1601" spans="1:25" ht="15.75" x14ac:dyDescent="0.25">
      <c r="A1601" s="21"/>
      <c r="B1601" s="21"/>
      <c r="C1601" s="21"/>
      <c r="E1601" s="21"/>
      <c r="F1601" s="21"/>
      <c r="G1601" s="14"/>
      <c r="H1601" s="14"/>
      <c r="I1601" s="14"/>
      <c r="J1601" s="14"/>
      <c r="K1601" s="14"/>
      <c r="L1601" s="14"/>
      <c r="M1601" s="14"/>
      <c r="N1601" s="14"/>
      <c r="O1601" s="14"/>
      <c r="P1601" s="14"/>
      <c r="Q1601" s="14"/>
      <c r="R1601" s="14"/>
      <c r="S1601" s="14"/>
      <c r="T1601" s="14"/>
      <c r="U1601" s="14"/>
      <c r="V1601" s="14"/>
      <c r="W1601" s="14"/>
      <c r="X1601" s="14"/>
      <c r="Y1601" s="14"/>
    </row>
    <row r="1602" spans="1:25" ht="15.75" x14ac:dyDescent="0.25">
      <c r="A1602" s="21"/>
      <c r="B1602" s="21"/>
      <c r="C1602" s="21"/>
      <c r="E1602" s="21"/>
      <c r="F1602" s="21"/>
      <c r="G1602" s="14"/>
      <c r="H1602" s="14"/>
      <c r="I1602" s="14"/>
      <c r="J1602" s="14"/>
      <c r="K1602" s="14"/>
      <c r="L1602" s="14"/>
      <c r="M1602" s="14"/>
      <c r="N1602" s="14"/>
      <c r="O1602" s="14"/>
      <c r="P1602" s="14"/>
      <c r="Q1602" s="14"/>
      <c r="R1602" s="14"/>
      <c r="S1602" s="14"/>
      <c r="T1602" s="14"/>
      <c r="U1602" s="14"/>
      <c r="V1602" s="14"/>
      <c r="W1602" s="14"/>
      <c r="X1602" s="14"/>
      <c r="Y1602" s="14"/>
    </row>
    <row r="1603" spans="1:25" ht="15.75" x14ac:dyDescent="0.25">
      <c r="A1603" s="21"/>
      <c r="B1603" s="21"/>
      <c r="C1603" s="21"/>
      <c r="E1603" s="21"/>
      <c r="F1603" s="21"/>
      <c r="G1603" s="14"/>
      <c r="H1603" s="14"/>
      <c r="I1603" s="14"/>
      <c r="J1603" s="14"/>
      <c r="K1603" s="14"/>
      <c r="L1603" s="14"/>
      <c r="M1603" s="14"/>
      <c r="N1603" s="14"/>
      <c r="O1603" s="14"/>
      <c r="P1603" s="14"/>
      <c r="Q1603" s="14"/>
      <c r="R1603" s="14"/>
      <c r="S1603" s="14"/>
      <c r="T1603" s="14"/>
      <c r="U1603" s="14"/>
      <c r="V1603" s="14"/>
      <c r="W1603" s="14"/>
      <c r="X1603" s="14"/>
      <c r="Y1603" s="14"/>
    </row>
    <row r="1604" spans="1:25" ht="15.75" x14ac:dyDescent="0.25">
      <c r="A1604" s="21"/>
      <c r="B1604" s="21"/>
      <c r="C1604" s="21"/>
      <c r="E1604" s="21"/>
      <c r="F1604" s="21"/>
      <c r="G1604" s="14"/>
      <c r="H1604" s="14"/>
      <c r="I1604" s="14"/>
      <c r="J1604" s="14"/>
      <c r="K1604" s="14"/>
      <c r="L1604" s="14"/>
      <c r="M1604" s="14"/>
      <c r="N1604" s="14"/>
      <c r="O1604" s="14"/>
      <c r="P1604" s="14"/>
      <c r="Q1604" s="14"/>
      <c r="R1604" s="14"/>
      <c r="S1604" s="14"/>
      <c r="T1604" s="14"/>
      <c r="U1604" s="14"/>
      <c r="V1604" s="14"/>
      <c r="W1604" s="14"/>
      <c r="X1604" s="14"/>
      <c r="Y1604" s="14"/>
    </row>
    <row r="1605" spans="1:25" ht="15.75" x14ac:dyDescent="0.25">
      <c r="A1605" s="21"/>
      <c r="B1605" s="21"/>
      <c r="C1605" s="21"/>
      <c r="E1605" s="21"/>
      <c r="F1605" s="21"/>
      <c r="G1605" s="14"/>
      <c r="H1605" s="14"/>
      <c r="I1605" s="14"/>
      <c r="J1605" s="14"/>
      <c r="K1605" s="14"/>
      <c r="L1605" s="14"/>
      <c r="M1605" s="14"/>
      <c r="N1605" s="14"/>
      <c r="O1605" s="14"/>
      <c r="P1605" s="14"/>
      <c r="Q1605" s="14"/>
      <c r="R1605" s="14"/>
      <c r="S1605" s="14"/>
      <c r="T1605" s="14"/>
      <c r="U1605" s="14"/>
      <c r="V1605" s="14"/>
      <c r="W1605" s="14"/>
      <c r="X1605" s="14"/>
      <c r="Y1605" s="14"/>
    </row>
    <row r="1606" spans="1:25" ht="15.75" x14ac:dyDescent="0.25">
      <c r="A1606" s="21"/>
      <c r="B1606" s="21"/>
      <c r="C1606" s="21"/>
      <c r="E1606" s="21"/>
      <c r="F1606" s="21"/>
      <c r="G1606" s="14"/>
      <c r="H1606" s="14"/>
      <c r="I1606" s="14"/>
      <c r="J1606" s="14"/>
      <c r="K1606" s="14"/>
      <c r="L1606" s="14"/>
      <c r="M1606" s="14"/>
      <c r="N1606" s="14"/>
      <c r="O1606" s="14"/>
      <c r="P1606" s="14"/>
      <c r="Q1606" s="14"/>
      <c r="R1606" s="14"/>
      <c r="S1606" s="14"/>
      <c r="T1606" s="14"/>
      <c r="U1606" s="14"/>
      <c r="V1606" s="14"/>
      <c r="W1606" s="14"/>
      <c r="X1606" s="14"/>
      <c r="Y1606" s="14"/>
    </row>
    <row r="1607" spans="1:25" ht="15.75" x14ac:dyDescent="0.25">
      <c r="A1607" s="21"/>
      <c r="B1607" s="21"/>
      <c r="C1607" s="21"/>
      <c r="E1607" s="21"/>
      <c r="F1607" s="21"/>
      <c r="G1607" s="14"/>
      <c r="H1607" s="14"/>
      <c r="I1607" s="14"/>
      <c r="J1607" s="14"/>
      <c r="K1607" s="14"/>
      <c r="L1607" s="14"/>
      <c r="M1607" s="14"/>
      <c r="N1607" s="14"/>
      <c r="O1607" s="14"/>
      <c r="P1607" s="14"/>
      <c r="Q1607" s="14"/>
      <c r="R1607" s="14"/>
      <c r="S1607" s="14"/>
      <c r="T1607" s="14"/>
      <c r="U1607" s="14"/>
      <c r="V1607" s="14"/>
      <c r="W1607" s="14"/>
      <c r="X1607" s="14"/>
      <c r="Y1607" s="14"/>
    </row>
    <row r="1608" spans="1:25" ht="15.75" x14ac:dyDescent="0.25">
      <c r="A1608" s="21"/>
      <c r="B1608" s="21"/>
      <c r="C1608" s="21"/>
      <c r="E1608" s="21"/>
      <c r="F1608" s="21"/>
      <c r="G1608" s="14"/>
      <c r="H1608" s="14"/>
      <c r="I1608" s="14"/>
      <c r="J1608" s="14"/>
      <c r="K1608" s="14"/>
      <c r="L1608" s="14"/>
      <c r="M1608" s="14"/>
      <c r="N1608" s="14"/>
      <c r="O1608" s="14"/>
      <c r="P1608" s="14"/>
      <c r="Q1608" s="14"/>
      <c r="R1608" s="14"/>
      <c r="S1608" s="14"/>
      <c r="T1608" s="14"/>
      <c r="U1608" s="14"/>
      <c r="V1608" s="14"/>
      <c r="W1608" s="14"/>
      <c r="X1608" s="14"/>
      <c r="Y1608" s="14"/>
    </row>
    <row r="1609" spans="1:25" ht="15.75" x14ac:dyDescent="0.25">
      <c r="A1609" s="21"/>
      <c r="B1609" s="21"/>
      <c r="C1609" s="21"/>
      <c r="E1609" s="21"/>
      <c r="F1609" s="21"/>
      <c r="G1609" s="14"/>
      <c r="H1609" s="14"/>
      <c r="I1609" s="14"/>
      <c r="J1609" s="14"/>
      <c r="K1609" s="14"/>
      <c r="L1609" s="14"/>
      <c r="M1609" s="14"/>
      <c r="N1609" s="14"/>
      <c r="O1609" s="14"/>
      <c r="P1609" s="14"/>
      <c r="Q1609" s="14"/>
      <c r="R1609" s="14"/>
      <c r="S1609" s="14"/>
      <c r="T1609" s="14"/>
      <c r="U1609" s="14"/>
      <c r="V1609" s="14"/>
      <c r="W1609" s="14"/>
      <c r="X1609" s="14"/>
      <c r="Y1609" s="14"/>
    </row>
    <row r="1610" spans="1:25" ht="15.75" x14ac:dyDescent="0.25">
      <c r="A1610" s="21"/>
      <c r="B1610" s="21"/>
      <c r="C1610" s="21"/>
      <c r="E1610" s="21"/>
      <c r="F1610" s="21"/>
      <c r="G1610" s="14"/>
      <c r="H1610" s="14"/>
      <c r="I1610" s="14"/>
      <c r="J1610" s="14"/>
      <c r="K1610" s="14"/>
      <c r="L1610" s="14"/>
      <c r="M1610" s="14"/>
      <c r="N1610" s="14"/>
      <c r="O1610" s="14"/>
      <c r="P1610" s="14"/>
      <c r="Q1610" s="14"/>
      <c r="R1610" s="14"/>
      <c r="S1610" s="14"/>
      <c r="T1610" s="14"/>
      <c r="U1610" s="14"/>
      <c r="V1610" s="14"/>
      <c r="W1610" s="14"/>
      <c r="X1610" s="14"/>
      <c r="Y1610" s="14"/>
    </row>
    <row r="1611" spans="1:25" ht="15.75" x14ac:dyDescent="0.25">
      <c r="A1611" s="21"/>
      <c r="B1611" s="21"/>
      <c r="C1611" s="21"/>
      <c r="E1611" s="21"/>
      <c r="F1611" s="21"/>
      <c r="G1611" s="14"/>
      <c r="H1611" s="14"/>
      <c r="I1611" s="14"/>
      <c r="J1611" s="14"/>
      <c r="K1611" s="14"/>
      <c r="L1611" s="14"/>
      <c r="M1611" s="14"/>
      <c r="N1611" s="14"/>
      <c r="O1611" s="14"/>
      <c r="P1611" s="14"/>
      <c r="Q1611" s="14"/>
      <c r="R1611" s="14"/>
      <c r="S1611" s="14"/>
      <c r="T1611" s="14"/>
      <c r="U1611" s="14"/>
      <c r="V1611" s="14"/>
      <c r="W1611" s="14"/>
      <c r="X1611" s="14"/>
      <c r="Y1611" s="14"/>
    </row>
    <row r="1612" spans="1:25" ht="15.75" x14ac:dyDescent="0.25">
      <c r="A1612" s="21"/>
      <c r="B1612" s="21"/>
      <c r="C1612" s="21"/>
      <c r="E1612" s="21"/>
      <c r="F1612" s="21"/>
      <c r="G1612" s="14"/>
      <c r="H1612" s="14"/>
      <c r="I1612" s="14"/>
      <c r="J1612" s="14"/>
      <c r="K1612" s="14"/>
      <c r="L1612" s="14"/>
      <c r="M1612" s="14"/>
      <c r="N1612" s="14"/>
      <c r="O1612" s="14"/>
      <c r="P1612" s="14"/>
      <c r="Q1612" s="14"/>
      <c r="R1612" s="14"/>
      <c r="S1612" s="14"/>
      <c r="T1612" s="14"/>
      <c r="U1612" s="14"/>
      <c r="V1612" s="14"/>
      <c r="W1612" s="14"/>
      <c r="X1612" s="14"/>
      <c r="Y1612" s="14"/>
    </row>
    <row r="1613" spans="1:25" ht="15.75" x14ac:dyDescent="0.25">
      <c r="A1613" s="21"/>
      <c r="B1613" s="21"/>
      <c r="C1613" s="21"/>
      <c r="E1613" s="21"/>
      <c r="F1613" s="21"/>
      <c r="G1613" s="14"/>
      <c r="H1613" s="14"/>
      <c r="I1613" s="14"/>
      <c r="J1613" s="14"/>
      <c r="K1613" s="14"/>
      <c r="L1613" s="14"/>
      <c r="M1613" s="14"/>
      <c r="N1613" s="14"/>
      <c r="O1613" s="14"/>
      <c r="P1613" s="14"/>
      <c r="Q1613" s="14"/>
      <c r="R1613" s="14"/>
      <c r="S1613" s="14"/>
      <c r="T1613" s="14"/>
      <c r="U1613" s="14"/>
      <c r="V1613" s="14"/>
      <c r="W1613" s="14"/>
      <c r="X1613" s="14"/>
      <c r="Y1613" s="14"/>
    </row>
    <row r="1614" spans="1:25" ht="15.75" x14ac:dyDescent="0.25">
      <c r="A1614" s="21"/>
      <c r="B1614" s="21"/>
      <c r="C1614" s="21"/>
      <c r="E1614" s="21"/>
      <c r="F1614" s="21"/>
      <c r="G1614" s="14"/>
      <c r="H1614" s="14"/>
      <c r="I1614" s="14"/>
      <c r="J1614" s="14"/>
      <c r="K1614" s="14"/>
      <c r="L1614" s="14"/>
      <c r="M1614" s="14"/>
      <c r="N1614" s="14"/>
      <c r="O1614" s="14"/>
      <c r="P1614" s="14"/>
      <c r="Q1614" s="14"/>
      <c r="R1614" s="14"/>
      <c r="S1614" s="14"/>
      <c r="T1614" s="14"/>
      <c r="U1614" s="14"/>
      <c r="V1614" s="14"/>
      <c r="W1614" s="14"/>
      <c r="X1614" s="14"/>
      <c r="Y1614" s="14"/>
    </row>
    <row r="1615" spans="1:25" ht="15.75" x14ac:dyDescent="0.25">
      <c r="A1615" s="21"/>
      <c r="B1615" s="21"/>
      <c r="C1615" s="21"/>
      <c r="E1615" s="21"/>
      <c r="F1615" s="21"/>
      <c r="G1615" s="14"/>
      <c r="H1615" s="14"/>
      <c r="I1615" s="14"/>
      <c r="J1615" s="14"/>
      <c r="K1615" s="14"/>
      <c r="L1615" s="14"/>
      <c r="M1615" s="14"/>
      <c r="N1615" s="14"/>
      <c r="O1615" s="14"/>
      <c r="P1615" s="14"/>
      <c r="Q1615" s="14"/>
      <c r="R1615" s="14"/>
      <c r="S1615" s="14"/>
      <c r="T1615" s="14"/>
      <c r="U1615" s="14"/>
      <c r="V1615" s="14"/>
      <c r="W1615" s="14"/>
      <c r="X1615" s="14"/>
      <c r="Y1615" s="14"/>
    </row>
    <row r="1616" spans="1:25" ht="15.75" x14ac:dyDescent="0.25">
      <c r="A1616" s="21"/>
      <c r="B1616" s="21"/>
      <c r="C1616" s="21"/>
      <c r="E1616" s="21"/>
      <c r="F1616" s="21"/>
      <c r="G1616" s="14"/>
      <c r="H1616" s="14"/>
      <c r="I1616" s="14"/>
      <c r="J1616" s="14"/>
      <c r="K1616" s="14"/>
      <c r="L1616" s="14"/>
      <c r="M1616" s="14"/>
      <c r="N1616" s="14"/>
      <c r="O1616" s="14"/>
      <c r="P1616" s="14"/>
      <c r="Q1616" s="14"/>
      <c r="R1616" s="14"/>
      <c r="S1616" s="14"/>
      <c r="T1616" s="14"/>
      <c r="U1616" s="14"/>
      <c r="V1616" s="14"/>
      <c r="W1616" s="14"/>
      <c r="X1616" s="14"/>
      <c r="Y1616" s="14"/>
    </row>
    <row r="1617" spans="1:25" ht="15.75" x14ac:dyDescent="0.25">
      <c r="A1617" s="21"/>
      <c r="B1617" s="21"/>
      <c r="C1617" s="21"/>
      <c r="E1617" s="21"/>
      <c r="F1617" s="21"/>
      <c r="G1617" s="14"/>
      <c r="H1617" s="14"/>
      <c r="I1617" s="14"/>
      <c r="J1617" s="14"/>
      <c r="K1617" s="14"/>
      <c r="L1617" s="14"/>
      <c r="M1617" s="14"/>
      <c r="N1617" s="14"/>
      <c r="O1617" s="14"/>
      <c r="P1617" s="14"/>
      <c r="Q1617" s="14"/>
      <c r="R1617" s="14"/>
      <c r="S1617" s="14"/>
      <c r="T1617" s="14"/>
      <c r="U1617" s="14"/>
      <c r="V1617" s="14"/>
      <c r="W1617" s="14"/>
      <c r="X1617" s="14"/>
      <c r="Y1617" s="14"/>
    </row>
    <row r="1618" spans="1:25" ht="15.75" x14ac:dyDescent="0.25">
      <c r="A1618" s="21"/>
      <c r="B1618" s="21"/>
      <c r="C1618" s="21"/>
      <c r="E1618" s="21"/>
      <c r="F1618" s="21"/>
      <c r="G1618" s="14"/>
      <c r="H1618" s="14"/>
      <c r="I1618" s="14"/>
      <c r="J1618" s="14"/>
      <c r="K1618" s="14"/>
      <c r="L1618" s="14"/>
      <c r="M1618" s="14"/>
      <c r="N1618" s="14"/>
      <c r="O1618" s="14"/>
      <c r="P1618" s="14"/>
      <c r="Q1618" s="14"/>
      <c r="R1618" s="14"/>
      <c r="S1618" s="14"/>
      <c r="T1618" s="14"/>
      <c r="U1618" s="14"/>
      <c r="V1618" s="14"/>
      <c r="W1618" s="14"/>
      <c r="X1618" s="14"/>
      <c r="Y1618" s="14"/>
    </row>
    <row r="1619" spans="1:25" ht="15.75" x14ac:dyDescent="0.25">
      <c r="A1619" s="21"/>
      <c r="B1619" s="21"/>
      <c r="C1619" s="21"/>
      <c r="E1619" s="21"/>
      <c r="F1619" s="21"/>
      <c r="G1619" s="14"/>
      <c r="H1619" s="14"/>
      <c r="I1619" s="14"/>
      <c r="J1619" s="14"/>
      <c r="K1619" s="14"/>
      <c r="L1619" s="14"/>
      <c r="M1619" s="14"/>
      <c r="N1619" s="14"/>
      <c r="O1619" s="14"/>
      <c r="P1619" s="14"/>
      <c r="Q1619" s="14"/>
      <c r="R1619" s="14"/>
      <c r="S1619" s="14"/>
      <c r="T1619" s="14"/>
      <c r="U1619" s="14"/>
      <c r="V1619" s="14"/>
      <c r="W1619" s="14"/>
      <c r="X1619" s="14"/>
      <c r="Y1619" s="14"/>
    </row>
    <row r="1620" spans="1:25" ht="15.75" x14ac:dyDescent="0.25">
      <c r="A1620" s="21"/>
      <c r="B1620" s="21"/>
      <c r="C1620" s="21"/>
      <c r="E1620" s="21"/>
      <c r="F1620" s="21"/>
      <c r="G1620" s="14"/>
      <c r="H1620" s="14"/>
      <c r="I1620" s="14"/>
      <c r="J1620" s="14"/>
      <c r="K1620" s="14"/>
      <c r="L1620" s="14"/>
      <c r="M1620" s="14"/>
      <c r="N1620" s="14"/>
      <c r="O1620" s="14"/>
      <c r="P1620" s="14"/>
      <c r="Q1620" s="14"/>
      <c r="R1620" s="14"/>
      <c r="S1620" s="14"/>
      <c r="T1620" s="14"/>
      <c r="U1620" s="14"/>
      <c r="V1620" s="14"/>
      <c r="W1620" s="14"/>
      <c r="X1620" s="14"/>
      <c r="Y1620" s="14"/>
    </row>
    <row r="1621" spans="1:25" ht="15.75" x14ac:dyDescent="0.25">
      <c r="A1621" s="21"/>
      <c r="B1621" s="21"/>
      <c r="C1621" s="21"/>
      <c r="E1621" s="21"/>
      <c r="F1621" s="21"/>
      <c r="G1621" s="14"/>
      <c r="H1621" s="14"/>
      <c r="I1621" s="14"/>
      <c r="J1621" s="14"/>
      <c r="K1621" s="14"/>
      <c r="L1621" s="14"/>
      <c r="M1621" s="14"/>
      <c r="N1621" s="14"/>
      <c r="O1621" s="14"/>
      <c r="P1621" s="14"/>
      <c r="Q1621" s="14"/>
      <c r="R1621" s="14"/>
      <c r="S1621" s="14"/>
      <c r="T1621" s="14"/>
      <c r="U1621" s="14"/>
      <c r="V1621" s="14"/>
      <c r="W1621" s="14"/>
      <c r="X1621" s="14"/>
      <c r="Y1621" s="14"/>
    </row>
    <row r="1622" spans="1:25" ht="15.75" x14ac:dyDescent="0.25">
      <c r="A1622" s="21"/>
      <c r="B1622" s="21"/>
      <c r="C1622" s="21"/>
      <c r="E1622" s="21"/>
      <c r="F1622" s="21"/>
      <c r="G1622" s="14"/>
      <c r="H1622" s="14"/>
      <c r="I1622" s="14"/>
      <c r="J1622" s="14"/>
      <c r="K1622" s="14"/>
      <c r="L1622" s="14"/>
      <c r="M1622" s="14"/>
      <c r="N1622" s="14"/>
      <c r="O1622" s="14"/>
      <c r="P1622" s="14"/>
      <c r="Q1622" s="14"/>
      <c r="R1622" s="14"/>
      <c r="S1622" s="14"/>
      <c r="T1622" s="14"/>
      <c r="U1622" s="14"/>
      <c r="V1622" s="14"/>
      <c r="W1622" s="14"/>
      <c r="X1622" s="14"/>
      <c r="Y1622" s="14"/>
    </row>
    <row r="1623" spans="1:25" ht="15.75" x14ac:dyDescent="0.25">
      <c r="A1623" s="21"/>
      <c r="B1623" s="21"/>
      <c r="C1623" s="21"/>
      <c r="E1623" s="21"/>
      <c r="F1623" s="21"/>
      <c r="G1623" s="14"/>
      <c r="H1623" s="14"/>
      <c r="I1623" s="14"/>
      <c r="J1623" s="14"/>
      <c r="K1623" s="14"/>
      <c r="L1623" s="14"/>
      <c r="M1623" s="14"/>
      <c r="N1623" s="14"/>
      <c r="O1623" s="14"/>
      <c r="P1623" s="14"/>
      <c r="Q1623" s="14"/>
      <c r="R1623" s="14"/>
      <c r="S1623" s="14"/>
      <c r="T1623" s="14"/>
      <c r="U1623" s="14"/>
      <c r="V1623" s="14"/>
      <c r="W1623" s="14"/>
      <c r="X1623" s="14"/>
      <c r="Y1623" s="14"/>
    </row>
    <row r="1624" spans="1:25" ht="15.75" x14ac:dyDescent="0.25">
      <c r="A1624" s="21"/>
      <c r="B1624" s="21"/>
      <c r="C1624" s="21"/>
      <c r="E1624" s="21"/>
      <c r="F1624" s="21"/>
      <c r="G1624" s="14"/>
      <c r="H1624" s="14"/>
      <c r="I1624" s="14"/>
      <c r="J1624" s="14"/>
      <c r="K1624" s="14"/>
      <c r="L1624" s="14"/>
      <c r="M1624" s="14"/>
      <c r="N1624" s="14"/>
      <c r="O1624" s="14"/>
      <c r="P1624" s="14"/>
      <c r="Q1624" s="14"/>
      <c r="R1624" s="14"/>
      <c r="S1624" s="14"/>
      <c r="T1624" s="14"/>
      <c r="U1624" s="14"/>
      <c r="V1624" s="14"/>
      <c r="W1624" s="14"/>
      <c r="X1624" s="14"/>
      <c r="Y1624" s="14"/>
    </row>
    <row r="1625" spans="1:25" ht="15.75" x14ac:dyDescent="0.25">
      <c r="A1625" s="21"/>
      <c r="B1625" s="21"/>
      <c r="C1625" s="21"/>
      <c r="E1625" s="21"/>
      <c r="F1625" s="21"/>
      <c r="G1625" s="14"/>
      <c r="H1625" s="14"/>
      <c r="I1625" s="14"/>
      <c r="J1625" s="14"/>
      <c r="K1625" s="14"/>
      <c r="L1625" s="14"/>
      <c r="M1625" s="14"/>
      <c r="N1625" s="14"/>
      <c r="O1625" s="14"/>
      <c r="P1625" s="14"/>
      <c r="Q1625" s="14"/>
      <c r="R1625" s="14"/>
      <c r="S1625" s="14"/>
      <c r="T1625" s="14"/>
      <c r="U1625" s="14"/>
      <c r="V1625" s="14"/>
      <c r="W1625" s="14"/>
      <c r="X1625" s="14"/>
      <c r="Y1625" s="14"/>
    </row>
    <row r="1626" spans="1:25" ht="15.75" x14ac:dyDescent="0.25">
      <c r="A1626" s="21"/>
      <c r="B1626" s="21"/>
      <c r="C1626" s="21"/>
      <c r="E1626" s="21"/>
      <c r="F1626" s="21"/>
      <c r="G1626" s="14"/>
      <c r="H1626" s="14"/>
      <c r="I1626" s="14"/>
      <c r="J1626" s="14"/>
      <c r="K1626" s="14"/>
      <c r="L1626" s="14"/>
      <c r="M1626" s="14"/>
      <c r="N1626" s="14"/>
      <c r="O1626" s="14"/>
      <c r="P1626" s="14"/>
      <c r="Q1626" s="14"/>
      <c r="R1626" s="14"/>
      <c r="S1626" s="14"/>
      <c r="T1626" s="14"/>
      <c r="U1626" s="14"/>
      <c r="V1626" s="14"/>
      <c r="W1626" s="14"/>
      <c r="X1626" s="14"/>
      <c r="Y1626" s="14"/>
    </row>
    <row r="1627" spans="1:25" ht="15.75" x14ac:dyDescent="0.25">
      <c r="A1627" s="21"/>
      <c r="B1627" s="21"/>
      <c r="C1627" s="21"/>
      <c r="E1627" s="21"/>
      <c r="F1627" s="21"/>
      <c r="G1627" s="14"/>
      <c r="H1627" s="14"/>
      <c r="I1627" s="14"/>
      <c r="J1627" s="14"/>
      <c r="K1627" s="14"/>
      <c r="L1627" s="14"/>
      <c r="M1627" s="14"/>
      <c r="N1627" s="14"/>
      <c r="O1627" s="14"/>
      <c r="P1627" s="14"/>
      <c r="Q1627" s="14"/>
      <c r="R1627" s="14"/>
      <c r="S1627" s="14"/>
      <c r="T1627" s="14"/>
      <c r="U1627" s="14"/>
      <c r="V1627" s="14"/>
      <c r="W1627" s="14"/>
      <c r="X1627" s="14"/>
      <c r="Y1627" s="14"/>
    </row>
    <row r="1628" spans="1:25" ht="15.75" x14ac:dyDescent="0.25">
      <c r="A1628" s="21"/>
      <c r="B1628" s="21"/>
      <c r="C1628" s="21"/>
      <c r="E1628" s="21"/>
      <c r="F1628" s="21"/>
      <c r="G1628" s="14"/>
      <c r="H1628" s="14"/>
      <c r="I1628" s="14"/>
      <c r="J1628" s="14"/>
      <c r="K1628" s="14"/>
      <c r="L1628" s="14"/>
      <c r="M1628" s="14"/>
      <c r="N1628" s="14"/>
      <c r="O1628" s="14"/>
      <c r="P1628" s="14"/>
      <c r="Q1628" s="14"/>
      <c r="R1628" s="14"/>
      <c r="S1628" s="14"/>
      <c r="T1628" s="14"/>
      <c r="U1628" s="14"/>
      <c r="V1628" s="14"/>
      <c r="W1628" s="14"/>
      <c r="X1628" s="14"/>
      <c r="Y1628" s="14"/>
    </row>
    <row r="1629" spans="1:25" ht="15.75" x14ac:dyDescent="0.25">
      <c r="A1629" s="21"/>
      <c r="B1629" s="21"/>
      <c r="C1629" s="21"/>
      <c r="E1629" s="21"/>
      <c r="F1629" s="21"/>
      <c r="G1629" s="14"/>
      <c r="H1629" s="14"/>
      <c r="I1629" s="14"/>
      <c r="J1629" s="14"/>
      <c r="K1629" s="14"/>
      <c r="L1629" s="14"/>
      <c r="M1629" s="14"/>
      <c r="N1629" s="14"/>
      <c r="O1629" s="14"/>
      <c r="P1629" s="14"/>
      <c r="Q1629" s="14"/>
      <c r="R1629" s="14"/>
      <c r="S1629" s="14"/>
      <c r="T1629" s="14"/>
      <c r="U1629" s="14"/>
      <c r="V1629" s="14"/>
      <c r="W1629" s="14"/>
      <c r="X1629" s="14"/>
      <c r="Y1629" s="14"/>
    </row>
    <row r="1630" spans="1:25" ht="15.75" x14ac:dyDescent="0.25">
      <c r="A1630" s="21"/>
      <c r="B1630" s="21"/>
      <c r="C1630" s="21"/>
      <c r="E1630" s="21"/>
      <c r="F1630" s="21"/>
      <c r="G1630" s="14"/>
      <c r="H1630" s="14"/>
      <c r="I1630" s="14"/>
      <c r="J1630" s="14"/>
      <c r="K1630" s="14"/>
      <c r="L1630" s="14"/>
      <c r="M1630" s="14"/>
      <c r="N1630" s="14"/>
      <c r="O1630" s="14"/>
      <c r="P1630" s="14"/>
      <c r="Q1630" s="14"/>
      <c r="R1630" s="14"/>
      <c r="S1630" s="14"/>
      <c r="T1630" s="14"/>
      <c r="U1630" s="14"/>
      <c r="V1630" s="14"/>
      <c r="W1630" s="14"/>
      <c r="X1630" s="14"/>
      <c r="Y1630" s="14"/>
    </row>
    <row r="1631" spans="1:25" ht="15.75" x14ac:dyDescent="0.25">
      <c r="A1631" s="21"/>
      <c r="B1631" s="21"/>
      <c r="C1631" s="21"/>
      <c r="E1631" s="21"/>
      <c r="F1631" s="21"/>
      <c r="G1631" s="14"/>
      <c r="H1631" s="14"/>
      <c r="I1631" s="14"/>
      <c r="J1631" s="14"/>
      <c r="K1631" s="14"/>
      <c r="L1631" s="14"/>
      <c r="M1631" s="14"/>
      <c r="N1631" s="14"/>
      <c r="O1631" s="14"/>
      <c r="P1631" s="14"/>
      <c r="Q1631" s="14"/>
      <c r="R1631" s="14"/>
      <c r="S1631" s="14"/>
      <c r="T1631" s="14"/>
      <c r="U1631" s="14"/>
      <c r="V1631" s="14"/>
      <c r="W1631" s="14"/>
      <c r="X1631" s="14"/>
      <c r="Y1631" s="14"/>
    </row>
    <row r="1632" spans="1:25" ht="15.75" x14ac:dyDescent="0.25">
      <c r="A1632" s="21"/>
      <c r="B1632" s="21"/>
      <c r="C1632" s="21"/>
      <c r="E1632" s="21"/>
      <c r="F1632" s="21"/>
      <c r="G1632" s="14"/>
      <c r="H1632" s="14"/>
      <c r="I1632" s="14"/>
      <c r="J1632" s="14"/>
      <c r="K1632" s="14"/>
      <c r="L1632" s="14"/>
      <c r="M1632" s="14"/>
      <c r="N1632" s="14"/>
      <c r="O1632" s="14"/>
      <c r="P1632" s="14"/>
      <c r="Q1632" s="14"/>
      <c r="R1632" s="14"/>
      <c r="S1632" s="14"/>
      <c r="T1632" s="14"/>
      <c r="U1632" s="14"/>
      <c r="V1632" s="14"/>
      <c r="W1632" s="14"/>
      <c r="X1632" s="14"/>
      <c r="Y1632" s="14"/>
    </row>
    <row r="1633" spans="1:25" ht="15.75" x14ac:dyDescent="0.25">
      <c r="A1633" s="21"/>
      <c r="B1633" s="21"/>
      <c r="C1633" s="21"/>
      <c r="E1633" s="21"/>
      <c r="F1633" s="21"/>
      <c r="G1633" s="14"/>
      <c r="H1633" s="14"/>
      <c r="I1633" s="14"/>
      <c r="J1633" s="14"/>
      <c r="K1633" s="14"/>
      <c r="L1633" s="14"/>
      <c r="M1633" s="14"/>
      <c r="N1633" s="14"/>
      <c r="O1633" s="14"/>
      <c r="P1633" s="14"/>
      <c r="Q1633" s="14"/>
      <c r="R1633" s="14"/>
      <c r="S1633" s="14"/>
      <c r="T1633" s="14"/>
      <c r="U1633" s="14"/>
      <c r="V1633" s="14"/>
      <c r="W1633" s="14"/>
      <c r="X1633" s="14"/>
      <c r="Y1633" s="14"/>
    </row>
    <row r="1634" spans="1:25" ht="15.75" x14ac:dyDescent="0.25">
      <c r="A1634" s="21"/>
      <c r="B1634" s="21"/>
      <c r="C1634" s="21"/>
      <c r="E1634" s="21"/>
      <c r="F1634" s="21"/>
      <c r="G1634" s="14"/>
      <c r="H1634" s="14"/>
      <c r="I1634" s="14"/>
      <c r="J1634" s="14"/>
      <c r="K1634" s="14"/>
      <c r="L1634" s="14"/>
      <c r="M1634" s="14"/>
      <c r="N1634" s="14"/>
      <c r="O1634" s="14"/>
      <c r="P1634" s="14"/>
      <c r="Q1634" s="14"/>
      <c r="R1634" s="14"/>
      <c r="S1634" s="14"/>
      <c r="T1634" s="14"/>
      <c r="U1634" s="14"/>
      <c r="V1634" s="14"/>
      <c r="W1634" s="14"/>
      <c r="X1634" s="14"/>
      <c r="Y1634" s="14"/>
    </row>
    <row r="1635" spans="1:25" ht="15.75" x14ac:dyDescent="0.25">
      <c r="A1635" s="21"/>
      <c r="B1635" s="21"/>
      <c r="C1635" s="21"/>
      <c r="E1635" s="21"/>
      <c r="F1635" s="21"/>
      <c r="G1635" s="14"/>
      <c r="H1635" s="14"/>
      <c r="I1635" s="14"/>
      <c r="J1635" s="14"/>
      <c r="K1635" s="14"/>
      <c r="L1635" s="14"/>
      <c r="M1635" s="14"/>
      <c r="N1635" s="14"/>
      <c r="O1635" s="14"/>
      <c r="P1635" s="14"/>
      <c r="Q1635" s="14"/>
      <c r="R1635" s="14"/>
      <c r="S1635" s="14"/>
      <c r="T1635" s="14"/>
      <c r="U1635" s="14"/>
      <c r="V1635" s="14"/>
      <c r="W1635" s="14"/>
      <c r="X1635" s="14"/>
      <c r="Y1635" s="14"/>
    </row>
    <row r="1636" spans="1:25" ht="15.75" x14ac:dyDescent="0.25">
      <c r="A1636" s="21"/>
      <c r="B1636" s="21"/>
      <c r="C1636" s="21"/>
      <c r="E1636" s="21"/>
      <c r="F1636" s="21"/>
      <c r="G1636" s="14"/>
      <c r="H1636" s="14"/>
      <c r="I1636" s="14"/>
      <c r="J1636" s="14"/>
      <c r="K1636" s="14"/>
      <c r="L1636" s="14"/>
      <c r="M1636" s="14"/>
      <c r="N1636" s="14"/>
      <c r="O1636" s="14"/>
      <c r="P1636" s="14"/>
      <c r="Q1636" s="14"/>
      <c r="R1636" s="14"/>
      <c r="S1636" s="14"/>
      <c r="T1636" s="14"/>
      <c r="U1636" s="14"/>
      <c r="V1636" s="14"/>
      <c r="W1636" s="14"/>
      <c r="X1636" s="14"/>
      <c r="Y1636" s="14"/>
    </row>
    <row r="1637" spans="1:25" ht="15.75" x14ac:dyDescent="0.25">
      <c r="A1637" s="21"/>
      <c r="B1637" s="21"/>
      <c r="C1637" s="21"/>
      <c r="E1637" s="21"/>
      <c r="F1637" s="21"/>
      <c r="G1637" s="14"/>
      <c r="H1637" s="14"/>
      <c r="I1637" s="14"/>
      <c r="J1637" s="14"/>
      <c r="K1637" s="14"/>
      <c r="L1637" s="14"/>
      <c r="M1637" s="14"/>
      <c r="N1637" s="14"/>
      <c r="O1637" s="14"/>
      <c r="P1637" s="14"/>
      <c r="Q1637" s="14"/>
      <c r="R1637" s="14"/>
      <c r="S1637" s="14"/>
      <c r="T1637" s="14"/>
      <c r="U1637" s="14"/>
      <c r="V1637" s="14"/>
      <c r="W1637" s="14"/>
      <c r="X1637" s="14"/>
      <c r="Y1637" s="14"/>
    </row>
    <row r="1638" spans="1:25" ht="15.75" x14ac:dyDescent="0.25">
      <c r="A1638" s="21"/>
      <c r="B1638" s="21"/>
      <c r="C1638" s="21"/>
      <c r="E1638" s="21"/>
      <c r="F1638" s="21"/>
      <c r="G1638" s="14"/>
      <c r="H1638" s="14"/>
      <c r="I1638" s="14"/>
      <c r="J1638" s="14"/>
      <c r="K1638" s="14"/>
      <c r="L1638" s="14"/>
      <c r="M1638" s="14"/>
      <c r="N1638" s="14"/>
      <c r="O1638" s="14"/>
      <c r="P1638" s="14"/>
      <c r="Q1638" s="14"/>
      <c r="R1638" s="14"/>
      <c r="S1638" s="14"/>
      <c r="T1638" s="14"/>
      <c r="U1638" s="14"/>
      <c r="V1638" s="14"/>
      <c r="W1638" s="14"/>
      <c r="X1638" s="14"/>
      <c r="Y1638" s="14"/>
    </row>
    <row r="1639" spans="1:25" ht="15.75" x14ac:dyDescent="0.25">
      <c r="A1639" s="21"/>
      <c r="B1639" s="21"/>
      <c r="C1639" s="21"/>
      <c r="E1639" s="21"/>
      <c r="F1639" s="21"/>
      <c r="G1639" s="14"/>
      <c r="H1639" s="14"/>
      <c r="I1639" s="14"/>
      <c r="J1639" s="14"/>
      <c r="K1639" s="14"/>
      <c r="L1639" s="14"/>
      <c r="M1639" s="14"/>
      <c r="N1639" s="14"/>
      <c r="O1639" s="14"/>
      <c r="P1639" s="14"/>
      <c r="Q1639" s="14"/>
      <c r="R1639" s="14"/>
      <c r="S1639" s="14"/>
      <c r="T1639" s="14"/>
      <c r="U1639" s="14"/>
      <c r="V1639" s="14"/>
      <c r="W1639" s="14"/>
      <c r="X1639" s="14"/>
      <c r="Y1639" s="14"/>
    </row>
    <row r="1640" spans="1:25" ht="15.75" x14ac:dyDescent="0.25">
      <c r="A1640" s="21"/>
      <c r="B1640" s="21"/>
      <c r="C1640" s="21"/>
      <c r="E1640" s="21"/>
      <c r="F1640" s="21"/>
      <c r="G1640" s="14"/>
      <c r="H1640" s="14"/>
      <c r="I1640" s="14"/>
      <c r="J1640" s="14"/>
      <c r="K1640" s="14"/>
      <c r="L1640" s="14"/>
      <c r="M1640" s="14"/>
      <c r="N1640" s="14"/>
      <c r="O1640" s="14"/>
      <c r="P1640" s="14"/>
      <c r="Q1640" s="14"/>
      <c r="R1640" s="14"/>
      <c r="S1640" s="14"/>
      <c r="T1640" s="14"/>
      <c r="U1640" s="14"/>
      <c r="V1640" s="14"/>
      <c r="W1640" s="14"/>
      <c r="X1640" s="14"/>
      <c r="Y1640" s="14"/>
    </row>
    <row r="1641" spans="1:25" ht="15.75" x14ac:dyDescent="0.25">
      <c r="A1641" s="21"/>
      <c r="B1641" s="21"/>
      <c r="C1641" s="21"/>
      <c r="E1641" s="21"/>
      <c r="F1641" s="21"/>
      <c r="G1641" s="14"/>
      <c r="H1641" s="14"/>
      <c r="I1641" s="14"/>
      <c r="J1641" s="14"/>
      <c r="K1641" s="14"/>
      <c r="L1641" s="14"/>
      <c r="M1641" s="14"/>
      <c r="N1641" s="14"/>
      <c r="O1641" s="14"/>
      <c r="P1641" s="14"/>
      <c r="Q1641" s="14"/>
      <c r="R1641" s="14"/>
      <c r="S1641" s="14"/>
      <c r="T1641" s="14"/>
      <c r="U1641" s="14"/>
      <c r="V1641" s="14"/>
      <c r="W1641" s="14"/>
      <c r="X1641" s="14"/>
      <c r="Y1641" s="14"/>
    </row>
    <row r="1642" spans="1:25" ht="15.75" x14ac:dyDescent="0.25">
      <c r="A1642" s="21"/>
      <c r="B1642" s="21"/>
      <c r="C1642" s="21"/>
      <c r="E1642" s="21"/>
      <c r="F1642" s="21"/>
      <c r="G1642" s="14"/>
      <c r="H1642" s="14"/>
      <c r="I1642" s="14"/>
      <c r="J1642" s="14"/>
      <c r="K1642" s="14"/>
      <c r="L1642" s="14"/>
      <c r="M1642" s="14"/>
      <c r="N1642" s="14"/>
      <c r="O1642" s="14"/>
      <c r="P1642" s="14"/>
      <c r="Q1642" s="14"/>
      <c r="R1642" s="14"/>
      <c r="S1642" s="14"/>
      <c r="T1642" s="14"/>
      <c r="U1642" s="14"/>
      <c r="V1642" s="14"/>
      <c r="W1642" s="14"/>
      <c r="X1642" s="14"/>
      <c r="Y1642" s="14"/>
    </row>
    <row r="1643" spans="1:25" ht="15.75" x14ac:dyDescent="0.25">
      <c r="A1643" s="21"/>
      <c r="B1643" s="21"/>
      <c r="C1643" s="21"/>
      <c r="E1643" s="21"/>
      <c r="F1643" s="21"/>
      <c r="G1643" s="14"/>
      <c r="H1643" s="14"/>
      <c r="I1643" s="14"/>
      <c r="J1643" s="14"/>
      <c r="K1643" s="14"/>
      <c r="L1643" s="14"/>
      <c r="M1643" s="14"/>
      <c r="N1643" s="14"/>
      <c r="O1643" s="14"/>
      <c r="P1643" s="14"/>
      <c r="Q1643" s="14"/>
      <c r="R1643" s="14"/>
      <c r="S1643" s="14"/>
      <c r="T1643" s="14"/>
      <c r="U1643" s="14"/>
      <c r="V1643" s="14"/>
      <c r="W1643" s="14"/>
      <c r="X1643" s="14"/>
      <c r="Y1643" s="14"/>
    </row>
    <row r="1644" spans="1:25" ht="15.75" x14ac:dyDescent="0.25">
      <c r="A1644" s="21"/>
      <c r="B1644" s="21"/>
      <c r="C1644" s="21"/>
      <c r="E1644" s="21"/>
      <c r="F1644" s="21"/>
      <c r="G1644" s="14"/>
      <c r="H1644" s="14"/>
      <c r="I1644" s="14"/>
      <c r="J1644" s="14"/>
      <c r="K1644" s="14"/>
      <c r="L1644" s="14"/>
      <c r="M1644" s="14"/>
      <c r="N1644" s="14"/>
      <c r="O1644" s="14"/>
      <c r="P1644" s="14"/>
      <c r="Q1644" s="14"/>
      <c r="R1644" s="14"/>
      <c r="S1644" s="14"/>
      <c r="T1644" s="14"/>
      <c r="U1644" s="14"/>
      <c r="V1644" s="14"/>
      <c r="W1644" s="14"/>
      <c r="X1644" s="14"/>
      <c r="Y1644" s="14"/>
    </row>
    <row r="1645" spans="1:25" ht="15.75" x14ac:dyDescent="0.25">
      <c r="A1645" s="21"/>
      <c r="B1645" s="21"/>
      <c r="C1645" s="21"/>
      <c r="E1645" s="21"/>
      <c r="F1645" s="21"/>
      <c r="G1645" s="14"/>
      <c r="H1645" s="14"/>
      <c r="I1645" s="14"/>
      <c r="J1645" s="14"/>
      <c r="K1645" s="14"/>
      <c r="L1645" s="14"/>
      <c r="M1645" s="14"/>
      <c r="N1645" s="14"/>
      <c r="O1645" s="14"/>
      <c r="P1645" s="14"/>
      <c r="Q1645" s="14"/>
      <c r="R1645" s="14"/>
      <c r="S1645" s="14"/>
      <c r="T1645" s="14"/>
      <c r="U1645" s="14"/>
      <c r="V1645" s="14"/>
      <c r="W1645" s="14"/>
      <c r="X1645" s="14"/>
      <c r="Y1645" s="14"/>
    </row>
    <row r="1646" spans="1:25" ht="15.75" x14ac:dyDescent="0.25">
      <c r="A1646" s="21"/>
      <c r="B1646" s="21"/>
      <c r="C1646" s="21"/>
      <c r="E1646" s="21"/>
      <c r="F1646" s="21"/>
      <c r="G1646" s="14"/>
      <c r="H1646" s="14"/>
      <c r="I1646" s="14"/>
      <c r="J1646" s="14"/>
      <c r="K1646" s="14"/>
      <c r="L1646" s="14"/>
      <c r="M1646" s="14"/>
      <c r="N1646" s="14"/>
      <c r="O1646" s="14"/>
      <c r="P1646" s="14"/>
      <c r="Q1646" s="14"/>
      <c r="R1646" s="14"/>
      <c r="S1646" s="14"/>
      <c r="T1646" s="14"/>
      <c r="U1646" s="14"/>
      <c r="V1646" s="14"/>
      <c r="W1646" s="14"/>
      <c r="X1646" s="14"/>
      <c r="Y1646" s="14"/>
    </row>
    <row r="1647" spans="1:25" ht="15.75" x14ac:dyDescent="0.25">
      <c r="A1647" s="21"/>
      <c r="B1647" s="21"/>
      <c r="C1647" s="21"/>
      <c r="E1647" s="21"/>
      <c r="F1647" s="21"/>
      <c r="G1647" s="14"/>
      <c r="H1647" s="14"/>
      <c r="I1647" s="14"/>
      <c r="J1647" s="14"/>
      <c r="K1647" s="14"/>
      <c r="L1647" s="14"/>
      <c r="M1647" s="14"/>
      <c r="N1647" s="14"/>
      <c r="O1647" s="14"/>
      <c r="P1647" s="14"/>
      <c r="Q1647" s="14"/>
      <c r="R1647" s="14"/>
      <c r="S1647" s="14"/>
      <c r="T1647" s="14"/>
      <c r="U1647" s="14"/>
      <c r="V1647" s="14"/>
      <c r="W1647" s="14"/>
      <c r="X1647" s="14"/>
      <c r="Y1647" s="14"/>
    </row>
    <row r="1648" spans="1:25" ht="15.75" x14ac:dyDescent="0.25">
      <c r="A1648" s="21"/>
      <c r="B1648" s="21"/>
      <c r="C1648" s="21"/>
      <c r="E1648" s="21"/>
      <c r="F1648" s="21"/>
      <c r="G1648" s="14"/>
      <c r="H1648" s="14"/>
      <c r="I1648" s="14"/>
      <c r="J1648" s="14"/>
      <c r="K1648" s="14"/>
      <c r="L1648" s="14"/>
      <c r="M1648" s="14"/>
      <c r="N1648" s="14"/>
      <c r="O1648" s="14"/>
      <c r="P1648" s="14"/>
      <c r="Q1648" s="14"/>
      <c r="R1648" s="14"/>
      <c r="S1648" s="14"/>
      <c r="T1648" s="14"/>
      <c r="U1648" s="14"/>
      <c r="V1648" s="14"/>
      <c r="W1648" s="14"/>
      <c r="X1648" s="14"/>
      <c r="Y1648" s="14"/>
    </row>
    <row r="1649" spans="1:25" ht="15.75" x14ac:dyDescent="0.25">
      <c r="A1649" s="21"/>
      <c r="B1649" s="21"/>
      <c r="C1649" s="21"/>
      <c r="E1649" s="21"/>
      <c r="F1649" s="21"/>
      <c r="G1649" s="14"/>
      <c r="H1649" s="14"/>
      <c r="I1649" s="14"/>
      <c r="J1649" s="14"/>
      <c r="K1649" s="14"/>
      <c r="L1649" s="14"/>
      <c r="M1649" s="14"/>
      <c r="N1649" s="14"/>
      <c r="O1649" s="14"/>
      <c r="P1649" s="14"/>
      <c r="Q1649" s="14"/>
      <c r="R1649" s="14"/>
      <c r="S1649" s="14"/>
      <c r="T1649" s="14"/>
      <c r="U1649" s="14"/>
      <c r="V1649" s="14"/>
      <c r="W1649" s="14"/>
      <c r="X1649" s="14"/>
      <c r="Y1649" s="14"/>
    </row>
    <row r="1650" spans="1:25" ht="15.75" x14ac:dyDescent="0.25">
      <c r="A1650" s="21"/>
      <c r="B1650" s="21"/>
      <c r="C1650" s="21"/>
      <c r="E1650" s="21"/>
      <c r="F1650" s="21"/>
      <c r="G1650" s="14"/>
      <c r="H1650" s="14"/>
      <c r="I1650" s="14"/>
      <c r="J1650" s="14"/>
      <c r="K1650" s="14"/>
      <c r="L1650" s="14"/>
      <c r="M1650" s="14"/>
      <c r="N1650" s="14"/>
      <c r="O1650" s="14"/>
      <c r="P1650" s="14"/>
      <c r="Q1650" s="14"/>
      <c r="R1650" s="14"/>
      <c r="S1650" s="14"/>
      <c r="T1650" s="14"/>
      <c r="U1650" s="14"/>
      <c r="V1650" s="14"/>
      <c r="W1650" s="14"/>
      <c r="X1650" s="14"/>
      <c r="Y1650" s="14"/>
    </row>
    <row r="1651" spans="1:25" ht="15.75" x14ac:dyDescent="0.25">
      <c r="A1651" s="21"/>
      <c r="B1651" s="21"/>
      <c r="C1651" s="21"/>
      <c r="E1651" s="21"/>
      <c r="F1651" s="21"/>
      <c r="G1651" s="14"/>
      <c r="H1651" s="14"/>
      <c r="I1651" s="14"/>
      <c r="J1651" s="14"/>
      <c r="K1651" s="14"/>
      <c r="L1651" s="14"/>
      <c r="M1651" s="14"/>
      <c r="N1651" s="14"/>
      <c r="O1651" s="14"/>
      <c r="P1651" s="14"/>
      <c r="Q1651" s="14"/>
      <c r="R1651" s="14"/>
      <c r="S1651" s="14"/>
      <c r="T1651" s="14"/>
      <c r="U1651" s="14"/>
      <c r="V1651" s="14"/>
      <c r="W1651" s="14"/>
      <c r="X1651" s="14"/>
      <c r="Y1651" s="14"/>
    </row>
    <row r="1652" spans="1:25" ht="15.75" x14ac:dyDescent="0.25">
      <c r="A1652" s="21"/>
      <c r="B1652" s="21"/>
      <c r="C1652" s="21"/>
      <c r="E1652" s="21"/>
      <c r="F1652" s="21"/>
      <c r="G1652" s="14"/>
      <c r="H1652" s="14"/>
      <c r="I1652" s="14"/>
      <c r="J1652" s="14"/>
      <c r="K1652" s="14"/>
      <c r="L1652" s="14"/>
      <c r="M1652" s="14"/>
      <c r="N1652" s="14"/>
      <c r="O1652" s="14"/>
      <c r="P1652" s="14"/>
      <c r="Q1652" s="14"/>
      <c r="R1652" s="14"/>
      <c r="S1652" s="14"/>
      <c r="T1652" s="14"/>
      <c r="U1652" s="14"/>
      <c r="V1652" s="14"/>
      <c r="W1652" s="14"/>
      <c r="X1652" s="14"/>
      <c r="Y1652" s="14"/>
    </row>
    <row r="1653" spans="1:25" ht="15.75" x14ac:dyDescent="0.25">
      <c r="A1653" s="21"/>
      <c r="B1653" s="21"/>
      <c r="C1653" s="21"/>
      <c r="E1653" s="21"/>
      <c r="F1653" s="21"/>
      <c r="G1653" s="14"/>
      <c r="H1653" s="14"/>
      <c r="I1653" s="14"/>
      <c r="J1653" s="14"/>
      <c r="K1653" s="14"/>
      <c r="L1653" s="14"/>
      <c r="M1653" s="14"/>
      <c r="N1653" s="14"/>
      <c r="O1653" s="14"/>
      <c r="P1653" s="14"/>
      <c r="Q1653" s="14"/>
      <c r="R1653" s="14"/>
      <c r="S1653" s="14"/>
      <c r="T1653" s="14"/>
      <c r="U1653" s="14"/>
      <c r="V1653" s="14"/>
      <c r="W1653" s="14"/>
      <c r="X1653" s="14"/>
      <c r="Y1653" s="14"/>
    </row>
    <row r="1654" spans="1:25" ht="15.75" x14ac:dyDescent="0.25">
      <c r="A1654" s="21"/>
      <c r="B1654" s="21"/>
      <c r="C1654" s="21"/>
      <c r="E1654" s="21"/>
      <c r="F1654" s="21"/>
      <c r="G1654" s="14"/>
      <c r="H1654" s="14"/>
      <c r="I1654" s="14"/>
      <c r="J1654" s="14"/>
      <c r="K1654" s="14"/>
      <c r="L1654" s="14"/>
      <c r="M1654" s="14"/>
      <c r="N1654" s="14"/>
      <c r="O1654" s="14"/>
      <c r="P1654" s="14"/>
      <c r="Q1654" s="14"/>
      <c r="R1654" s="14"/>
      <c r="S1654" s="14"/>
      <c r="T1654" s="14"/>
      <c r="U1654" s="14"/>
      <c r="V1654" s="14"/>
      <c r="W1654" s="14"/>
      <c r="X1654" s="14"/>
      <c r="Y1654" s="14"/>
    </row>
    <row r="1655" spans="1:25" ht="15.75" x14ac:dyDescent="0.25">
      <c r="A1655" s="21"/>
      <c r="B1655" s="21"/>
      <c r="C1655" s="21"/>
      <c r="E1655" s="21"/>
      <c r="F1655" s="21"/>
      <c r="G1655" s="14"/>
      <c r="H1655" s="14"/>
      <c r="I1655" s="14"/>
      <c r="J1655" s="14"/>
      <c r="K1655" s="14"/>
      <c r="L1655" s="14"/>
      <c r="M1655" s="14"/>
      <c r="N1655" s="14"/>
      <c r="O1655" s="14"/>
      <c r="P1655" s="14"/>
      <c r="Q1655" s="14"/>
      <c r="R1655" s="14"/>
      <c r="S1655" s="14"/>
      <c r="T1655" s="14"/>
      <c r="U1655" s="14"/>
      <c r="V1655" s="14"/>
      <c r="W1655" s="14"/>
      <c r="X1655" s="14"/>
      <c r="Y1655" s="14"/>
    </row>
    <row r="1656" spans="1:25" ht="15.75" x14ac:dyDescent="0.25">
      <c r="A1656" s="21"/>
      <c r="B1656" s="21"/>
      <c r="C1656" s="21"/>
      <c r="E1656" s="21"/>
      <c r="F1656" s="21"/>
      <c r="G1656" s="14"/>
      <c r="H1656" s="14"/>
      <c r="I1656" s="14"/>
      <c r="J1656" s="14"/>
      <c r="K1656" s="14"/>
      <c r="L1656" s="14"/>
      <c r="M1656" s="14"/>
      <c r="N1656" s="14"/>
      <c r="O1656" s="14"/>
      <c r="P1656" s="14"/>
      <c r="Q1656" s="14"/>
      <c r="R1656" s="14"/>
      <c r="S1656" s="14"/>
      <c r="T1656" s="14"/>
      <c r="U1656" s="14"/>
      <c r="V1656" s="14"/>
      <c r="W1656" s="14"/>
      <c r="X1656" s="14"/>
      <c r="Y1656" s="14"/>
    </row>
    <row r="1657" spans="1:25" ht="15.75" x14ac:dyDescent="0.25">
      <c r="A1657" s="21"/>
      <c r="B1657" s="21"/>
      <c r="C1657" s="21"/>
      <c r="E1657" s="21"/>
      <c r="F1657" s="21"/>
      <c r="G1657" s="14"/>
      <c r="H1657" s="14"/>
      <c r="I1657" s="14"/>
      <c r="J1657" s="14"/>
      <c r="K1657" s="14"/>
      <c r="L1657" s="14"/>
      <c r="M1657" s="14"/>
      <c r="N1657" s="14"/>
      <c r="O1657" s="14"/>
      <c r="P1657" s="14"/>
      <c r="Q1657" s="14"/>
      <c r="R1657" s="14"/>
      <c r="S1657" s="14"/>
      <c r="T1657" s="14"/>
      <c r="U1657" s="14"/>
      <c r="V1657" s="14"/>
      <c r="W1657" s="14"/>
      <c r="X1657" s="14"/>
      <c r="Y1657" s="14"/>
    </row>
    <row r="1658" spans="1:25" ht="15.75" x14ac:dyDescent="0.25">
      <c r="A1658" s="21"/>
      <c r="B1658" s="21"/>
      <c r="C1658" s="21"/>
      <c r="E1658" s="21"/>
      <c r="F1658" s="21"/>
      <c r="G1658" s="14"/>
      <c r="H1658" s="14"/>
      <c r="I1658" s="14"/>
      <c r="J1658" s="14"/>
      <c r="K1658" s="14"/>
      <c r="L1658" s="14"/>
      <c r="M1658" s="14"/>
      <c r="N1658" s="14"/>
      <c r="O1658" s="14"/>
      <c r="P1658" s="14"/>
      <c r="Q1658" s="14"/>
      <c r="R1658" s="14"/>
      <c r="S1658" s="14"/>
      <c r="T1658" s="14"/>
      <c r="U1658" s="14"/>
      <c r="V1658" s="14"/>
      <c r="W1658" s="14"/>
      <c r="X1658" s="14"/>
      <c r="Y1658" s="14"/>
    </row>
    <row r="1659" spans="1:25" ht="15.75" x14ac:dyDescent="0.25">
      <c r="A1659" s="21"/>
      <c r="B1659" s="21"/>
      <c r="C1659" s="21"/>
      <c r="E1659" s="21"/>
      <c r="F1659" s="21"/>
      <c r="G1659" s="14"/>
      <c r="H1659" s="14"/>
      <c r="I1659" s="14"/>
      <c r="J1659" s="14"/>
      <c r="K1659" s="14"/>
      <c r="L1659" s="14"/>
      <c r="M1659" s="14"/>
      <c r="N1659" s="14"/>
      <c r="O1659" s="14"/>
      <c r="P1659" s="14"/>
      <c r="Q1659" s="14"/>
      <c r="R1659" s="14"/>
      <c r="S1659" s="14"/>
      <c r="T1659" s="14"/>
      <c r="U1659" s="14"/>
      <c r="V1659" s="14"/>
      <c r="W1659" s="14"/>
      <c r="X1659" s="14"/>
      <c r="Y1659" s="14"/>
    </row>
    <row r="1660" spans="1:25" ht="15.75" x14ac:dyDescent="0.25">
      <c r="A1660" s="21"/>
      <c r="B1660" s="21"/>
      <c r="C1660" s="21"/>
      <c r="E1660" s="21"/>
      <c r="F1660" s="21"/>
      <c r="G1660" s="14"/>
      <c r="H1660" s="14"/>
      <c r="I1660" s="14"/>
      <c r="J1660" s="14"/>
      <c r="K1660" s="14"/>
      <c r="L1660" s="14"/>
      <c r="M1660" s="14"/>
      <c r="N1660" s="14"/>
      <c r="O1660" s="14"/>
      <c r="P1660" s="14"/>
      <c r="Q1660" s="14"/>
      <c r="R1660" s="14"/>
      <c r="S1660" s="14"/>
      <c r="T1660" s="14"/>
      <c r="U1660" s="14"/>
      <c r="V1660" s="14"/>
      <c r="W1660" s="14"/>
      <c r="X1660" s="14"/>
      <c r="Y1660" s="14"/>
    </row>
    <row r="1661" spans="1:25" ht="15.75" x14ac:dyDescent="0.25">
      <c r="A1661" s="21"/>
      <c r="B1661" s="21"/>
      <c r="C1661" s="21"/>
      <c r="E1661" s="21"/>
      <c r="F1661" s="21"/>
      <c r="G1661" s="14"/>
      <c r="H1661" s="14"/>
      <c r="I1661" s="14"/>
      <c r="J1661" s="14"/>
      <c r="K1661" s="14"/>
      <c r="L1661" s="14"/>
      <c r="M1661" s="14"/>
      <c r="N1661" s="14"/>
      <c r="O1661" s="14"/>
      <c r="P1661" s="14"/>
      <c r="Q1661" s="14"/>
      <c r="R1661" s="14"/>
      <c r="S1661" s="14"/>
      <c r="T1661" s="14"/>
      <c r="U1661" s="14"/>
      <c r="V1661" s="14"/>
      <c r="W1661" s="14"/>
      <c r="X1661" s="14"/>
      <c r="Y1661" s="14"/>
    </row>
    <row r="1662" spans="1:25" ht="15.75" x14ac:dyDescent="0.25">
      <c r="A1662" s="21"/>
      <c r="B1662" s="21"/>
      <c r="C1662" s="21"/>
      <c r="E1662" s="21"/>
      <c r="F1662" s="21"/>
      <c r="G1662" s="14"/>
      <c r="H1662" s="14"/>
      <c r="I1662" s="14"/>
      <c r="J1662" s="14"/>
      <c r="K1662" s="14"/>
      <c r="L1662" s="14"/>
      <c r="M1662" s="14"/>
      <c r="N1662" s="14"/>
      <c r="O1662" s="14"/>
      <c r="P1662" s="14"/>
      <c r="Q1662" s="14"/>
      <c r="R1662" s="14"/>
      <c r="S1662" s="14"/>
      <c r="T1662" s="14"/>
      <c r="U1662" s="14"/>
      <c r="V1662" s="14"/>
      <c r="W1662" s="14"/>
      <c r="X1662" s="14"/>
      <c r="Y1662" s="14"/>
    </row>
    <row r="1663" spans="1:25" ht="15.75" x14ac:dyDescent="0.25">
      <c r="A1663" s="21"/>
      <c r="B1663" s="21"/>
      <c r="C1663" s="21"/>
      <c r="E1663" s="21"/>
      <c r="F1663" s="21"/>
      <c r="G1663" s="14"/>
      <c r="H1663" s="14"/>
      <c r="I1663" s="14"/>
      <c r="J1663" s="14"/>
      <c r="K1663" s="14"/>
      <c r="L1663" s="14"/>
      <c r="M1663" s="14"/>
      <c r="N1663" s="14"/>
      <c r="O1663" s="14"/>
      <c r="P1663" s="14"/>
      <c r="Q1663" s="14"/>
      <c r="R1663" s="14"/>
      <c r="S1663" s="14"/>
      <c r="T1663" s="14"/>
      <c r="U1663" s="14"/>
      <c r="V1663" s="14"/>
      <c r="W1663" s="14"/>
      <c r="X1663" s="14"/>
      <c r="Y1663" s="14"/>
    </row>
    <row r="1664" spans="1:25" ht="15.75" x14ac:dyDescent="0.25">
      <c r="A1664" s="21"/>
      <c r="B1664" s="21"/>
      <c r="C1664" s="21"/>
      <c r="E1664" s="21"/>
      <c r="F1664" s="21"/>
      <c r="G1664" s="14"/>
      <c r="H1664" s="14"/>
      <c r="I1664" s="14"/>
      <c r="J1664" s="14"/>
      <c r="K1664" s="14"/>
      <c r="L1664" s="14"/>
      <c r="M1664" s="14"/>
      <c r="N1664" s="14"/>
      <c r="O1664" s="14"/>
      <c r="P1664" s="14"/>
      <c r="Q1664" s="14"/>
      <c r="R1664" s="14"/>
      <c r="S1664" s="14"/>
      <c r="T1664" s="14"/>
      <c r="U1664" s="14"/>
      <c r="V1664" s="14"/>
      <c r="W1664" s="14"/>
      <c r="X1664" s="14"/>
      <c r="Y1664" s="14"/>
    </row>
    <row r="1665" spans="1:25" ht="15.75" x14ac:dyDescent="0.25">
      <c r="A1665" s="21"/>
      <c r="B1665" s="21"/>
      <c r="C1665" s="21"/>
      <c r="E1665" s="21"/>
      <c r="F1665" s="21"/>
      <c r="G1665" s="14"/>
      <c r="H1665" s="14"/>
      <c r="I1665" s="14"/>
      <c r="J1665" s="14"/>
      <c r="K1665" s="14"/>
      <c r="L1665" s="14"/>
      <c r="M1665" s="14"/>
      <c r="N1665" s="14"/>
      <c r="O1665" s="14"/>
      <c r="P1665" s="14"/>
      <c r="Q1665" s="14"/>
      <c r="R1665" s="14"/>
      <c r="S1665" s="14"/>
      <c r="T1665" s="14"/>
      <c r="U1665" s="14"/>
      <c r="V1665" s="14"/>
      <c r="W1665" s="14"/>
      <c r="X1665" s="14"/>
      <c r="Y1665" s="14"/>
    </row>
    <row r="1666" spans="1:25" ht="15.75" x14ac:dyDescent="0.25">
      <c r="A1666" s="21"/>
      <c r="B1666" s="21"/>
      <c r="C1666" s="21"/>
      <c r="E1666" s="21"/>
      <c r="F1666" s="21"/>
      <c r="G1666" s="14"/>
      <c r="H1666" s="14"/>
      <c r="I1666" s="14"/>
      <c r="J1666" s="14"/>
      <c r="K1666" s="14"/>
      <c r="L1666" s="14"/>
      <c r="M1666" s="14"/>
      <c r="N1666" s="14"/>
      <c r="O1666" s="14"/>
      <c r="P1666" s="14"/>
      <c r="Q1666" s="14"/>
      <c r="R1666" s="14"/>
      <c r="S1666" s="14"/>
      <c r="T1666" s="14"/>
      <c r="U1666" s="14"/>
      <c r="V1666" s="14"/>
      <c r="W1666" s="14"/>
      <c r="X1666" s="14"/>
      <c r="Y1666" s="14"/>
    </row>
    <row r="1667" spans="1:25" ht="15.75" x14ac:dyDescent="0.25">
      <c r="A1667" s="21"/>
      <c r="B1667" s="21"/>
      <c r="C1667" s="21"/>
      <c r="E1667" s="21"/>
      <c r="F1667" s="21"/>
      <c r="G1667" s="14"/>
      <c r="H1667" s="14"/>
      <c r="I1667" s="14"/>
      <c r="J1667" s="14"/>
      <c r="K1667" s="14"/>
      <c r="L1667" s="14"/>
      <c r="M1667" s="14"/>
      <c r="N1667" s="14"/>
      <c r="O1667" s="14"/>
      <c r="P1667" s="14"/>
      <c r="Q1667" s="14"/>
      <c r="R1667" s="14"/>
      <c r="S1667" s="14"/>
      <c r="T1667" s="14"/>
      <c r="U1667" s="14"/>
      <c r="V1667" s="14"/>
      <c r="W1667" s="14"/>
      <c r="X1667" s="14"/>
      <c r="Y1667" s="14"/>
    </row>
    <row r="1668" spans="1:25" ht="15.75" x14ac:dyDescent="0.25">
      <c r="A1668" s="21"/>
      <c r="B1668" s="21"/>
      <c r="C1668" s="21"/>
      <c r="E1668" s="21"/>
      <c r="F1668" s="21"/>
      <c r="G1668" s="14"/>
      <c r="H1668" s="14"/>
      <c r="I1668" s="14"/>
      <c r="J1668" s="14"/>
      <c r="K1668" s="14"/>
      <c r="L1668" s="14"/>
      <c r="M1668" s="14"/>
      <c r="N1668" s="14"/>
      <c r="O1668" s="14"/>
      <c r="P1668" s="14"/>
      <c r="Q1668" s="14"/>
      <c r="R1668" s="14"/>
      <c r="S1668" s="14"/>
      <c r="T1668" s="14"/>
      <c r="U1668" s="14"/>
      <c r="V1668" s="14"/>
      <c r="W1668" s="14"/>
      <c r="X1668" s="14"/>
      <c r="Y1668" s="14"/>
    </row>
    <row r="1669" spans="1:25" ht="15.75" x14ac:dyDescent="0.25">
      <c r="A1669" s="21"/>
      <c r="B1669" s="21"/>
      <c r="C1669" s="21"/>
      <c r="E1669" s="21"/>
      <c r="F1669" s="21"/>
      <c r="G1669" s="14"/>
      <c r="H1669" s="14"/>
      <c r="I1669" s="14"/>
      <c r="J1669" s="14"/>
      <c r="K1669" s="14"/>
      <c r="L1669" s="14"/>
      <c r="M1669" s="14"/>
      <c r="N1669" s="14"/>
      <c r="O1669" s="14"/>
      <c r="P1669" s="14"/>
      <c r="Q1669" s="14"/>
      <c r="R1669" s="14"/>
      <c r="S1669" s="14"/>
      <c r="T1669" s="14"/>
      <c r="U1669" s="14"/>
      <c r="V1669" s="14"/>
      <c r="W1669" s="14"/>
      <c r="X1669" s="14"/>
      <c r="Y1669" s="14"/>
    </row>
    <row r="1670" spans="1:25" ht="15.75" x14ac:dyDescent="0.25">
      <c r="A1670" s="21"/>
      <c r="B1670" s="21"/>
      <c r="C1670" s="21"/>
      <c r="E1670" s="21"/>
      <c r="F1670" s="21"/>
      <c r="G1670" s="14"/>
      <c r="H1670" s="14"/>
      <c r="I1670" s="14"/>
      <c r="J1670" s="14"/>
      <c r="K1670" s="14"/>
      <c r="L1670" s="14"/>
      <c r="M1670" s="14"/>
      <c r="N1670" s="14"/>
      <c r="O1670" s="14"/>
      <c r="P1670" s="14"/>
      <c r="Q1670" s="14"/>
      <c r="R1670" s="14"/>
      <c r="S1670" s="14"/>
      <c r="T1670" s="14"/>
      <c r="U1670" s="14"/>
      <c r="V1670" s="14"/>
      <c r="W1670" s="14"/>
      <c r="X1670" s="14"/>
      <c r="Y1670" s="14"/>
    </row>
    <row r="1671" spans="1:25" ht="15.75" x14ac:dyDescent="0.25">
      <c r="A1671" s="21"/>
      <c r="B1671" s="21"/>
      <c r="C1671" s="21"/>
      <c r="E1671" s="21"/>
      <c r="F1671" s="21"/>
      <c r="G1671" s="14"/>
      <c r="H1671" s="14"/>
      <c r="I1671" s="14"/>
      <c r="J1671" s="14"/>
      <c r="K1671" s="14"/>
      <c r="L1671" s="14"/>
      <c r="M1671" s="14"/>
      <c r="N1671" s="14"/>
      <c r="O1671" s="14"/>
      <c r="P1671" s="14"/>
      <c r="Q1671" s="14"/>
      <c r="R1671" s="14"/>
      <c r="S1671" s="14"/>
      <c r="T1671" s="14"/>
      <c r="U1671" s="14"/>
      <c r="V1671" s="14"/>
      <c r="W1671" s="14"/>
      <c r="X1671" s="14"/>
      <c r="Y1671" s="14"/>
    </row>
    <row r="1672" spans="1:25" ht="15.75" x14ac:dyDescent="0.25">
      <c r="A1672" s="21"/>
      <c r="B1672" s="21"/>
      <c r="C1672" s="21"/>
      <c r="E1672" s="21"/>
      <c r="F1672" s="21"/>
      <c r="G1672" s="14"/>
      <c r="H1672" s="14"/>
      <c r="I1672" s="14"/>
      <c r="J1672" s="14"/>
      <c r="K1672" s="14"/>
      <c r="L1672" s="14"/>
      <c r="M1672" s="14"/>
      <c r="N1672" s="14"/>
      <c r="O1672" s="14"/>
      <c r="P1672" s="14"/>
      <c r="Q1672" s="14"/>
      <c r="R1672" s="14"/>
      <c r="S1672" s="14"/>
      <c r="T1672" s="14"/>
      <c r="U1672" s="14"/>
      <c r="V1672" s="14"/>
      <c r="W1672" s="14"/>
      <c r="X1672" s="14"/>
      <c r="Y1672" s="14"/>
    </row>
    <row r="1673" spans="1:25" ht="15.75" x14ac:dyDescent="0.25">
      <c r="A1673" s="21"/>
      <c r="B1673" s="21"/>
      <c r="C1673" s="21"/>
      <c r="E1673" s="21"/>
      <c r="F1673" s="21"/>
      <c r="G1673" s="14"/>
      <c r="H1673" s="14"/>
      <c r="I1673" s="14"/>
      <c r="J1673" s="14"/>
      <c r="K1673" s="14"/>
      <c r="L1673" s="14"/>
      <c r="M1673" s="14"/>
      <c r="N1673" s="14"/>
      <c r="O1673" s="14"/>
      <c r="P1673" s="14"/>
      <c r="Q1673" s="14"/>
      <c r="R1673" s="14"/>
      <c r="S1673" s="14"/>
      <c r="T1673" s="14"/>
      <c r="U1673" s="14"/>
      <c r="V1673" s="14"/>
      <c r="W1673" s="14"/>
      <c r="X1673" s="14"/>
      <c r="Y1673" s="14"/>
    </row>
    <row r="1674" spans="1:25" ht="15.75" x14ac:dyDescent="0.25">
      <c r="A1674" s="21"/>
      <c r="B1674" s="21"/>
      <c r="C1674" s="21"/>
      <c r="E1674" s="21"/>
      <c r="F1674" s="21"/>
      <c r="G1674" s="14"/>
      <c r="H1674" s="14"/>
      <c r="I1674" s="14"/>
      <c r="J1674" s="14"/>
      <c r="K1674" s="14"/>
      <c r="L1674" s="14"/>
      <c r="M1674" s="14"/>
      <c r="N1674" s="14"/>
      <c r="O1674" s="14"/>
      <c r="P1674" s="14"/>
      <c r="Q1674" s="14"/>
      <c r="R1674" s="14"/>
      <c r="S1674" s="14"/>
      <c r="T1674" s="14"/>
      <c r="U1674" s="14"/>
      <c r="V1674" s="14"/>
      <c r="W1674" s="14"/>
      <c r="X1674" s="14"/>
      <c r="Y1674" s="14"/>
    </row>
    <row r="1675" spans="1:25" ht="15.75" x14ac:dyDescent="0.25">
      <c r="A1675" s="21"/>
      <c r="B1675" s="21"/>
      <c r="C1675" s="21"/>
      <c r="E1675" s="21"/>
      <c r="F1675" s="21"/>
      <c r="G1675" s="14"/>
      <c r="H1675" s="14"/>
      <c r="I1675" s="14"/>
      <c r="J1675" s="14"/>
      <c r="K1675" s="14"/>
      <c r="L1675" s="14"/>
      <c r="M1675" s="14"/>
      <c r="N1675" s="14"/>
      <c r="O1675" s="14"/>
      <c r="P1675" s="14"/>
      <c r="Q1675" s="14"/>
      <c r="R1675" s="14"/>
      <c r="S1675" s="14"/>
      <c r="T1675" s="14"/>
      <c r="U1675" s="14"/>
      <c r="V1675" s="14"/>
      <c r="W1675" s="14"/>
      <c r="X1675" s="14"/>
      <c r="Y1675" s="14"/>
    </row>
    <row r="1676" spans="1:25" ht="15.75" x14ac:dyDescent="0.25">
      <c r="A1676" s="21"/>
      <c r="B1676" s="21"/>
      <c r="C1676" s="21"/>
      <c r="E1676" s="21"/>
      <c r="F1676" s="21"/>
      <c r="G1676" s="14"/>
      <c r="H1676" s="14"/>
      <c r="I1676" s="14"/>
      <c r="J1676" s="14"/>
      <c r="K1676" s="14"/>
      <c r="L1676" s="14"/>
      <c r="M1676" s="14"/>
      <c r="N1676" s="14"/>
      <c r="O1676" s="14"/>
      <c r="P1676" s="14"/>
      <c r="Q1676" s="14"/>
      <c r="R1676" s="14"/>
      <c r="S1676" s="14"/>
      <c r="T1676" s="14"/>
      <c r="U1676" s="14"/>
      <c r="V1676" s="14"/>
      <c r="W1676" s="14"/>
      <c r="X1676" s="14"/>
      <c r="Y1676" s="14"/>
    </row>
    <row r="1677" spans="1:25" ht="15.75" x14ac:dyDescent="0.25">
      <c r="A1677" s="21"/>
      <c r="B1677" s="21"/>
      <c r="C1677" s="21"/>
      <c r="E1677" s="21"/>
      <c r="F1677" s="21"/>
      <c r="G1677" s="14"/>
      <c r="H1677" s="14"/>
      <c r="I1677" s="14"/>
      <c r="J1677" s="14"/>
      <c r="K1677" s="14"/>
      <c r="L1677" s="14"/>
      <c r="M1677" s="14"/>
      <c r="N1677" s="14"/>
      <c r="O1677" s="14"/>
      <c r="P1677" s="14"/>
      <c r="Q1677" s="14"/>
      <c r="R1677" s="14"/>
      <c r="S1677" s="14"/>
      <c r="T1677" s="14"/>
      <c r="U1677" s="14"/>
      <c r="V1677" s="14"/>
      <c r="W1677" s="14"/>
      <c r="X1677" s="14"/>
      <c r="Y1677" s="14"/>
    </row>
    <row r="1678" spans="1:25" ht="15.75" x14ac:dyDescent="0.25">
      <c r="A1678" s="21"/>
      <c r="B1678" s="21"/>
      <c r="C1678" s="21"/>
      <c r="E1678" s="21"/>
      <c r="F1678" s="21"/>
      <c r="G1678" s="14"/>
      <c r="H1678" s="14"/>
      <c r="I1678" s="14"/>
      <c r="J1678" s="14"/>
      <c r="K1678" s="14"/>
      <c r="L1678" s="14"/>
      <c r="M1678" s="14"/>
      <c r="N1678" s="14"/>
      <c r="O1678" s="14"/>
      <c r="P1678" s="14"/>
      <c r="Q1678" s="14"/>
      <c r="R1678" s="14"/>
      <c r="S1678" s="14"/>
      <c r="T1678" s="14"/>
      <c r="U1678" s="14"/>
      <c r="V1678" s="14"/>
      <c r="W1678" s="14"/>
      <c r="X1678" s="14"/>
      <c r="Y1678" s="14"/>
    </row>
    <row r="1679" spans="1:25" ht="15.75" x14ac:dyDescent="0.25">
      <c r="A1679" s="21"/>
      <c r="B1679" s="21"/>
      <c r="C1679" s="21"/>
      <c r="E1679" s="21"/>
      <c r="F1679" s="21"/>
      <c r="G1679" s="14"/>
      <c r="H1679" s="14"/>
      <c r="I1679" s="14"/>
      <c r="J1679" s="14"/>
      <c r="K1679" s="14"/>
      <c r="L1679" s="14"/>
      <c r="M1679" s="14"/>
      <c r="N1679" s="14"/>
      <c r="O1679" s="14"/>
      <c r="P1679" s="14"/>
      <c r="Q1679" s="14"/>
      <c r="R1679" s="14"/>
      <c r="S1679" s="14"/>
      <c r="T1679" s="14"/>
      <c r="U1679" s="14"/>
      <c r="V1679" s="14"/>
      <c r="W1679" s="14"/>
      <c r="X1679" s="14"/>
      <c r="Y1679" s="14"/>
    </row>
    <row r="1680" spans="1:25" ht="15.75" x14ac:dyDescent="0.25">
      <c r="A1680" s="21"/>
      <c r="B1680" s="21"/>
      <c r="C1680" s="21"/>
      <c r="E1680" s="21"/>
      <c r="F1680" s="21"/>
      <c r="G1680" s="14"/>
      <c r="H1680" s="14"/>
      <c r="I1680" s="14"/>
      <c r="J1680" s="14"/>
      <c r="K1680" s="14"/>
      <c r="L1680" s="14"/>
      <c r="M1680" s="14"/>
      <c r="N1680" s="14"/>
      <c r="O1680" s="14"/>
      <c r="P1680" s="14"/>
      <c r="Q1680" s="14"/>
      <c r="R1680" s="14"/>
      <c r="S1680" s="14"/>
      <c r="T1680" s="14"/>
      <c r="U1680" s="14"/>
      <c r="V1680" s="14"/>
      <c r="W1680" s="14"/>
      <c r="X1680" s="14"/>
      <c r="Y1680" s="14"/>
    </row>
    <row r="1681" spans="1:25" ht="15.75" x14ac:dyDescent="0.25">
      <c r="A1681" s="21"/>
      <c r="B1681" s="21"/>
      <c r="C1681" s="21"/>
      <c r="E1681" s="21"/>
      <c r="F1681" s="21"/>
      <c r="G1681" s="14"/>
      <c r="H1681" s="14"/>
      <c r="I1681" s="14"/>
      <c r="J1681" s="14"/>
      <c r="K1681" s="14"/>
      <c r="L1681" s="14"/>
      <c r="M1681" s="14"/>
      <c r="N1681" s="14"/>
      <c r="O1681" s="14"/>
      <c r="P1681" s="14"/>
      <c r="Q1681" s="14"/>
      <c r="R1681" s="14"/>
      <c r="S1681" s="14"/>
      <c r="T1681" s="14"/>
      <c r="U1681" s="14"/>
      <c r="V1681" s="14"/>
      <c r="W1681" s="14"/>
      <c r="X1681" s="14"/>
      <c r="Y1681" s="14"/>
    </row>
    <row r="1682" spans="1:25" ht="15.75" x14ac:dyDescent="0.25">
      <c r="A1682" s="21"/>
      <c r="B1682" s="21"/>
      <c r="C1682" s="21"/>
      <c r="E1682" s="21"/>
      <c r="F1682" s="21"/>
      <c r="G1682" s="14"/>
      <c r="H1682" s="14"/>
      <c r="I1682" s="14"/>
      <c r="J1682" s="14"/>
      <c r="K1682" s="14"/>
      <c r="L1682" s="14"/>
      <c r="M1682" s="14"/>
      <c r="N1682" s="14"/>
      <c r="O1682" s="14"/>
      <c r="P1682" s="14"/>
      <c r="Q1682" s="14"/>
      <c r="R1682" s="14"/>
      <c r="S1682" s="14"/>
      <c r="T1682" s="14"/>
      <c r="U1682" s="14"/>
      <c r="V1682" s="14"/>
      <c r="W1682" s="14"/>
      <c r="X1682" s="14"/>
      <c r="Y1682" s="14"/>
    </row>
    <row r="1683" spans="1:25" ht="15.75" x14ac:dyDescent="0.25">
      <c r="A1683" s="21"/>
      <c r="B1683" s="21"/>
      <c r="C1683" s="21"/>
      <c r="E1683" s="21"/>
      <c r="F1683" s="21"/>
      <c r="G1683" s="14"/>
      <c r="H1683" s="14"/>
      <c r="I1683" s="14"/>
      <c r="J1683" s="14"/>
      <c r="K1683" s="14"/>
      <c r="L1683" s="14"/>
      <c r="M1683" s="14"/>
      <c r="N1683" s="14"/>
      <c r="O1683" s="14"/>
      <c r="P1683" s="14"/>
      <c r="Q1683" s="14"/>
      <c r="R1683" s="14"/>
      <c r="S1683" s="14"/>
      <c r="T1683" s="14"/>
      <c r="U1683" s="14"/>
      <c r="V1683" s="14"/>
      <c r="W1683" s="14"/>
      <c r="X1683" s="14"/>
      <c r="Y1683" s="14"/>
    </row>
    <row r="1684" spans="1:25" ht="15.75" x14ac:dyDescent="0.25">
      <c r="A1684" s="21"/>
      <c r="B1684" s="21"/>
      <c r="C1684" s="21"/>
      <c r="E1684" s="21"/>
      <c r="F1684" s="21"/>
      <c r="G1684" s="14"/>
      <c r="H1684" s="14"/>
      <c r="I1684" s="14"/>
      <c r="J1684" s="14"/>
      <c r="K1684" s="14"/>
      <c r="L1684" s="14"/>
      <c r="M1684" s="14"/>
      <c r="N1684" s="14"/>
      <c r="O1684" s="14"/>
      <c r="P1684" s="14"/>
      <c r="Q1684" s="14"/>
      <c r="R1684" s="14"/>
      <c r="S1684" s="14"/>
      <c r="T1684" s="14"/>
      <c r="U1684" s="14"/>
      <c r="V1684" s="14"/>
      <c r="W1684" s="14"/>
      <c r="X1684" s="14"/>
      <c r="Y1684" s="14"/>
    </row>
    <row r="1685" spans="1:25" ht="15.75" x14ac:dyDescent="0.25">
      <c r="A1685" s="21"/>
      <c r="B1685" s="21"/>
      <c r="C1685" s="21"/>
      <c r="E1685" s="21"/>
      <c r="F1685" s="21"/>
      <c r="G1685" s="14"/>
      <c r="H1685" s="14"/>
      <c r="I1685" s="14"/>
      <c r="J1685" s="14"/>
      <c r="K1685" s="14"/>
      <c r="L1685" s="14"/>
      <c r="M1685" s="14"/>
      <c r="N1685" s="14"/>
      <c r="O1685" s="14"/>
      <c r="P1685" s="14"/>
      <c r="Q1685" s="14"/>
      <c r="R1685" s="14"/>
      <c r="S1685" s="14"/>
      <c r="T1685" s="14"/>
      <c r="U1685" s="14"/>
      <c r="V1685" s="14"/>
      <c r="W1685" s="14"/>
      <c r="X1685" s="14"/>
      <c r="Y1685" s="14"/>
    </row>
    <row r="1686" spans="1:25" ht="15.75" x14ac:dyDescent="0.25">
      <c r="A1686" s="21"/>
      <c r="B1686" s="21"/>
      <c r="C1686" s="21"/>
      <c r="E1686" s="21"/>
      <c r="F1686" s="21"/>
      <c r="G1686" s="14"/>
      <c r="H1686" s="14"/>
      <c r="I1686" s="14"/>
      <c r="J1686" s="14"/>
      <c r="K1686" s="14"/>
      <c r="L1686" s="14"/>
      <c r="M1686" s="14"/>
      <c r="N1686" s="14"/>
      <c r="O1686" s="14"/>
      <c r="P1686" s="14"/>
      <c r="Q1686" s="14"/>
      <c r="R1686" s="14"/>
      <c r="S1686" s="14"/>
      <c r="T1686" s="14"/>
      <c r="U1686" s="14"/>
      <c r="V1686" s="14"/>
      <c r="W1686" s="14"/>
      <c r="X1686" s="14"/>
      <c r="Y1686" s="14"/>
    </row>
    <row r="1687" spans="1:25" ht="15.75" x14ac:dyDescent="0.25">
      <c r="A1687" s="21"/>
      <c r="B1687" s="21"/>
      <c r="C1687" s="21"/>
      <c r="E1687" s="21"/>
      <c r="F1687" s="21"/>
      <c r="G1687" s="14"/>
      <c r="H1687" s="14"/>
      <c r="I1687" s="14"/>
      <c r="J1687" s="14"/>
      <c r="K1687" s="14"/>
      <c r="L1687" s="14"/>
      <c r="M1687" s="14"/>
      <c r="N1687" s="14"/>
      <c r="O1687" s="14"/>
      <c r="P1687" s="14"/>
      <c r="Q1687" s="14"/>
      <c r="R1687" s="14"/>
      <c r="S1687" s="14"/>
      <c r="T1687" s="14"/>
      <c r="U1687" s="14"/>
      <c r="V1687" s="14"/>
      <c r="W1687" s="14"/>
      <c r="X1687" s="14"/>
      <c r="Y1687" s="14"/>
    </row>
    <row r="1688" spans="1:25" ht="15.75" x14ac:dyDescent="0.25">
      <c r="A1688" s="21"/>
      <c r="B1688" s="21"/>
      <c r="C1688" s="21"/>
      <c r="E1688" s="21"/>
      <c r="F1688" s="21"/>
      <c r="G1688" s="14"/>
      <c r="H1688" s="14"/>
      <c r="I1688" s="14"/>
      <c r="J1688" s="14"/>
      <c r="K1688" s="14"/>
      <c r="L1688" s="14"/>
      <c r="M1688" s="14"/>
      <c r="N1688" s="14"/>
      <c r="O1688" s="14"/>
      <c r="P1688" s="14"/>
      <c r="Q1688" s="14"/>
      <c r="R1688" s="14"/>
      <c r="S1688" s="14"/>
      <c r="T1688" s="14"/>
      <c r="U1688" s="14"/>
      <c r="V1688" s="14"/>
      <c r="W1688" s="14"/>
      <c r="X1688" s="14"/>
      <c r="Y1688" s="14"/>
    </row>
    <row r="1689" spans="1:25" ht="15.75" x14ac:dyDescent="0.25">
      <c r="A1689" s="21"/>
      <c r="B1689" s="21"/>
      <c r="C1689" s="21"/>
      <c r="E1689" s="21"/>
      <c r="F1689" s="21"/>
      <c r="G1689" s="14"/>
      <c r="H1689" s="14"/>
      <c r="I1689" s="14"/>
      <c r="J1689" s="14"/>
      <c r="K1689" s="14"/>
      <c r="L1689" s="14"/>
      <c r="M1689" s="14"/>
      <c r="N1689" s="14"/>
      <c r="O1689" s="14"/>
      <c r="P1689" s="14"/>
      <c r="Q1689" s="14"/>
      <c r="R1689" s="14"/>
      <c r="S1689" s="14"/>
      <c r="T1689" s="14"/>
      <c r="U1689" s="14"/>
      <c r="V1689" s="14"/>
      <c r="W1689" s="14"/>
      <c r="X1689" s="14"/>
      <c r="Y1689" s="14"/>
    </row>
    <row r="1690" spans="1:25" ht="15.75" x14ac:dyDescent="0.25">
      <c r="A1690" s="21"/>
      <c r="B1690" s="21"/>
      <c r="C1690" s="21"/>
      <c r="E1690" s="21"/>
      <c r="F1690" s="21"/>
      <c r="G1690" s="14"/>
      <c r="H1690" s="14"/>
      <c r="I1690" s="14"/>
      <c r="J1690" s="14"/>
      <c r="K1690" s="14"/>
      <c r="L1690" s="14"/>
      <c r="M1690" s="14"/>
      <c r="N1690" s="14"/>
      <c r="O1690" s="14"/>
      <c r="P1690" s="14"/>
      <c r="Q1690" s="14"/>
      <c r="R1690" s="14"/>
      <c r="S1690" s="14"/>
      <c r="T1690" s="14"/>
      <c r="U1690" s="14"/>
      <c r="V1690" s="14"/>
      <c r="W1690" s="14"/>
      <c r="X1690" s="14"/>
      <c r="Y1690" s="14"/>
    </row>
    <row r="1691" spans="1:25" ht="15.75" x14ac:dyDescent="0.25">
      <c r="A1691" s="21"/>
      <c r="B1691" s="21"/>
      <c r="C1691" s="21"/>
      <c r="E1691" s="21"/>
      <c r="F1691" s="21"/>
      <c r="G1691" s="14"/>
      <c r="H1691" s="14"/>
      <c r="I1691" s="14"/>
      <c r="J1691" s="14"/>
      <c r="K1691" s="14"/>
      <c r="L1691" s="14"/>
      <c r="M1691" s="14"/>
      <c r="N1691" s="14"/>
      <c r="O1691" s="14"/>
      <c r="P1691" s="14"/>
      <c r="Q1691" s="14"/>
      <c r="R1691" s="14"/>
      <c r="S1691" s="14"/>
      <c r="T1691" s="14"/>
      <c r="U1691" s="14"/>
      <c r="V1691" s="14"/>
      <c r="W1691" s="14"/>
      <c r="X1691" s="14"/>
      <c r="Y1691" s="14"/>
    </row>
    <row r="1692" spans="1:25" ht="15.75" x14ac:dyDescent="0.25">
      <c r="A1692" s="21"/>
      <c r="B1692" s="21"/>
      <c r="C1692" s="21"/>
      <c r="E1692" s="21"/>
      <c r="F1692" s="21"/>
      <c r="G1692" s="14"/>
      <c r="H1692" s="14"/>
      <c r="I1692" s="14"/>
      <c r="J1692" s="14"/>
      <c r="K1692" s="14"/>
      <c r="L1692" s="14"/>
      <c r="M1692" s="14"/>
      <c r="N1692" s="14"/>
      <c r="O1692" s="14"/>
      <c r="P1692" s="14"/>
      <c r="Q1692" s="14"/>
      <c r="R1692" s="14"/>
      <c r="S1692" s="14"/>
      <c r="T1692" s="14"/>
      <c r="U1692" s="14"/>
      <c r="V1692" s="14"/>
      <c r="W1692" s="14"/>
      <c r="X1692" s="14"/>
      <c r="Y1692" s="14"/>
    </row>
    <row r="1693" spans="1:25" ht="15.75" x14ac:dyDescent="0.25">
      <c r="A1693" s="21"/>
      <c r="B1693" s="21"/>
      <c r="C1693" s="21"/>
      <c r="E1693" s="21"/>
      <c r="F1693" s="21"/>
      <c r="G1693" s="14"/>
      <c r="H1693" s="14"/>
      <c r="I1693" s="14"/>
      <c r="J1693" s="14"/>
      <c r="K1693" s="14"/>
      <c r="L1693" s="14"/>
      <c r="M1693" s="14"/>
      <c r="N1693" s="14"/>
      <c r="O1693" s="14"/>
      <c r="P1693" s="14"/>
      <c r="Q1693" s="14"/>
      <c r="R1693" s="14"/>
      <c r="S1693" s="14"/>
      <c r="T1693" s="14"/>
      <c r="U1693" s="14"/>
      <c r="V1693" s="14"/>
      <c r="W1693" s="14"/>
      <c r="X1693" s="14"/>
      <c r="Y1693" s="14"/>
    </row>
    <row r="1694" spans="1:25" ht="15.75" x14ac:dyDescent="0.25">
      <c r="A1694" s="21"/>
      <c r="B1694" s="21"/>
      <c r="C1694" s="21"/>
      <c r="E1694" s="21"/>
      <c r="F1694" s="21"/>
      <c r="G1694" s="14"/>
      <c r="H1694" s="14"/>
      <c r="I1694" s="14"/>
      <c r="J1694" s="14"/>
      <c r="K1694" s="14"/>
      <c r="L1694" s="14"/>
      <c r="M1694" s="14"/>
      <c r="N1694" s="14"/>
      <c r="O1694" s="14"/>
      <c r="P1694" s="14"/>
      <c r="Q1694" s="14"/>
      <c r="R1694" s="14"/>
      <c r="S1694" s="14"/>
      <c r="T1694" s="14"/>
      <c r="U1694" s="14"/>
      <c r="V1694" s="14"/>
      <c r="W1694" s="14"/>
      <c r="X1694" s="14"/>
      <c r="Y1694" s="14"/>
    </row>
    <row r="1695" spans="1:25" ht="15.75" x14ac:dyDescent="0.25">
      <c r="A1695" s="21"/>
      <c r="B1695" s="21"/>
      <c r="C1695" s="21"/>
      <c r="E1695" s="21"/>
      <c r="F1695" s="21"/>
      <c r="G1695" s="14"/>
      <c r="H1695" s="14"/>
      <c r="I1695" s="14"/>
      <c r="J1695" s="14"/>
      <c r="K1695" s="14"/>
      <c r="L1695" s="14"/>
      <c r="M1695" s="14"/>
      <c r="N1695" s="14"/>
      <c r="O1695" s="14"/>
      <c r="P1695" s="14"/>
      <c r="Q1695" s="14"/>
      <c r="R1695" s="14"/>
      <c r="S1695" s="14"/>
      <c r="T1695" s="14"/>
      <c r="U1695" s="14"/>
      <c r="V1695" s="14"/>
      <c r="W1695" s="14"/>
      <c r="X1695" s="14"/>
      <c r="Y1695" s="14"/>
    </row>
    <row r="1696" spans="1:25" ht="15.75" x14ac:dyDescent="0.25">
      <c r="A1696" s="21"/>
      <c r="B1696" s="21"/>
      <c r="C1696" s="21"/>
      <c r="E1696" s="21"/>
      <c r="F1696" s="21"/>
      <c r="G1696" s="14"/>
      <c r="H1696" s="14"/>
      <c r="I1696" s="14"/>
      <c r="J1696" s="14"/>
      <c r="K1696" s="14"/>
      <c r="L1696" s="14"/>
      <c r="M1696" s="14"/>
      <c r="N1696" s="14"/>
      <c r="O1696" s="14"/>
      <c r="P1696" s="14"/>
      <c r="Q1696" s="14"/>
      <c r="R1696" s="14"/>
      <c r="S1696" s="14"/>
      <c r="T1696" s="14"/>
      <c r="U1696" s="14"/>
      <c r="V1696" s="14"/>
      <c r="W1696" s="14"/>
      <c r="X1696" s="14"/>
      <c r="Y1696" s="14"/>
    </row>
    <row r="1697" spans="1:25" ht="15.75" x14ac:dyDescent="0.25">
      <c r="A1697" s="21"/>
      <c r="B1697" s="21"/>
      <c r="C1697" s="21"/>
      <c r="E1697" s="21"/>
      <c r="F1697" s="21"/>
      <c r="G1697" s="14"/>
      <c r="H1697" s="14"/>
      <c r="I1697" s="14"/>
      <c r="J1697" s="14"/>
      <c r="K1697" s="14"/>
      <c r="L1697" s="14"/>
      <c r="M1697" s="14"/>
      <c r="N1697" s="14"/>
      <c r="O1697" s="14"/>
      <c r="P1697" s="14"/>
      <c r="Q1697" s="14"/>
      <c r="R1697" s="14"/>
      <c r="S1697" s="14"/>
      <c r="T1697" s="14"/>
      <c r="U1697" s="14"/>
      <c r="V1697" s="14"/>
      <c r="W1697" s="14"/>
      <c r="X1697" s="14"/>
      <c r="Y1697" s="14"/>
    </row>
    <row r="1698" spans="1:25" ht="15.75" x14ac:dyDescent="0.25">
      <c r="A1698" s="21"/>
      <c r="B1698" s="21"/>
      <c r="C1698" s="21"/>
      <c r="E1698" s="21"/>
      <c r="F1698" s="21"/>
      <c r="G1698" s="14"/>
      <c r="H1698" s="14"/>
      <c r="I1698" s="14"/>
      <c r="J1698" s="14"/>
      <c r="K1698" s="14"/>
      <c r="L1698" s="14"/>
      <c r="M1698" s="14"/>
      <c r="N1698" s="14"/>
      <c r="O1698" s="14"/>
      <c r="P1698" s="14"/>
      <c r="Q1698" s="14"/>
      <c r="R1698" s="14"/>
      <c r="S1698" s="14"/>
      <c r="T1698" s="14"/>
      <c r="U1698" s="14"/>
      <c r="V1698" s="14"/>
      <c r="W1698" s="14"/>
      <c r="X1698" s="14"/>
      <c r="Y1698" s="14"/>
    </row>
    <row r="1699" spans="1:25" ht="15.75" x14ac:dyDescent="0.25">
      <c r="A1699" s="21"/>
      <c r="B1699" s="21"/>
      <c r="C1699" s="21"/>
      <c r="E1699" s="21"/>
      <c r="F1699" s="21"/>
      <c r="G1699" s="14"/>
      <c r="H1699" s="14"/>
      <c r="I1699" s="14"/>
      <c r="J1699" s="14"/>
      <c r="K1699" s="14"/>
      <c r="L1699" s="14"/>
      <c r="M1699" s="14"/>
      <c r="N1699" s="14"/>
      <c r="O1699" s="14"/>
      <c r="P1699" s="14"/>
      <c r="Q1699" s="14"/>
      <c r="R1699" s="14"/>
      <c r="S1699" s="14"/>
      <c r="T1699" s="14"/>
      <c r="U1699" s="14"/>
      <c r="V1699" s="14"/>
      <c r="W1699" s="14"/>
      <c r="X1699" s="14"/>
      <c r="Y1699" s="14"/>
    </row>
    <row r="1700" spans="1:25" ht="15.75" x14ac:dyDescent="0.25">
      <c r="A1700" s="21"/>
      <c r="B1700" s="21"/>
      <c r="C1700" s="21"/>
      <c r="E1700" s="21"/>
      <c r="F1700" s="21"/>
      <c r="G1700" s="14"/>
      <c r="H1700" s="14"/>
      <c r="I1700" s="14"/>
      <c r="J1700" s="14"/>
      <c r="K1700" s="14"/>
      <c r="L1700" s="14"/>
      <c r="M1700" s="14"/>
      <c r="N1700" s="14"/>
      <c r="O1700" s="14"/>
      <c r="P1700" s="14"/>
      <c r="Q1700" s="14"/>
      <c r="R1700" s="14"/>
      <c r="S1700" s="14"/>
      <c r="T1700" s="14"/>
      <c r="U1700" s="14"/>
      <c r="V1700" s="14"/>
      <c r="W1700" s="14"/>
      <c r="X1700" s="14"/>
      <c r="Y1700" s="14"/>
    </row>
    <row r="1701" spans="1:25" ht="15.75" x14ac:dyDescent="0.25">
      <c r="A1701" s="21"/>
      <c r="B1701" s="21"/>
      <c r="C1701" s="21"/>
      <c r="E1701" s="21"/>
      <c r="F1701" s="21"/>
      <c r="G1701" s="14"/>
      <c r="H1701" s="14"/>
      <c r="I1701" s="14"/>
      <c r="J1701" s="14"/>
      <c r="K1701" s="14"/>
      <c r="L1701" s="14"/>
      <c r="M1701" s="14"/>
      <c r="N1701" s="14"/>
      <c r="O1701" s="14"/>
      <c r="P1701" s="14"/>
      <c r="Q1701" s="14"/>
      <c r="R1701" s="14"/>
      <c r="S1701" s="14"/>
      <c r="T1701" s="14"/>
      <c r="U1701" s="14"/>
      <c r="V1701" s="14"/>
      <c r="W1701" s="14"/>
      <c r="X1701" s="14"/>
      <c r="Y1701" s="14"/>
    </row>
    <row r="1702" spans="1:25" ht="15.75" x14ac:dyDescent="0.25">
      <c r="A1702" s="21"/>
      <c r="B1702" s="21"/>
      <c r="C1702" s="21"/>
      <c r="E1702" s="21"/>
      <c r="F1702" s="21"/>
      <c r="G1702" s="14"/>
      <c r="H1702" s="14"/>
      <c r="I1702" s="14"/>
      <c r="J1702" s="14"/>
      <c r="K1702" s="14"/>
      <c r="L1702" s="14"/>
      <c r="M1702" s="14"/>
      <c r="N1702" s="14"/>
      <c r="O1702" s="14"/>
      <c r="P1702" s="14"/>
      <c r="Q1702" s="14"/>
      <c r="R1702" s="14"/>
      <c r="S1702" s="14"/>
      <c r="T1702" s="14"/>
      <c r="U1702" s="14"/>
      <c r="V1702" s="14"/>
      <c r="W1702" s="14"/>
      <c r="X1702" s="14"/>
      <c r="Y1702" s="14"/>
    </row>
    <row r="1703" spans="1:25" ht="15.75" x14ac:dyDescent="0.25">
      <c r="A1703" s="21"/>
      <c r="B1703" s="21"/>
      <c r="C1703" s="21"/>
      <c r="E1703" s="21"/>
      <c r="F1703" s="21"/>
      <c r="G1703" s="14"/>
      <c r="H1703" s="14"/>
      <c r="I1703" s="14"/>
      <c r="J1703" s="14"/>
      <c r="K1703" s="14"/>
      <c r="L1703" s="14"/>
      <c r="M1703" s="14"/>
      <c r="N1703" s="14"/>
      <c r="O1703" s="14"/>
      <c r="P1703" s="14"/>
      <c r="Q1703" s="14"/>
      <c r="R1703" s="14"/>
      <c r="S1703" s="14"/>
      <c r="T1703" s="14"/>
      <c r="U1703" s="14"/>
      <c r="V1703" s="14"/>
      <c r="W1703" s="14"/>
      <c r="X1703" s="14"/>
      <c r="Y1703" s="14"/>
    </row>
    <row r="1704" spans="1:25" ht="15.75" x14ac:dyDescent="0.25">
      <c r="A1704" s="21"/>
      <c r="B1704" s="21"/>
      <c r="C1704" s="21"/>
      <c r="E1704" s="21"/>
      <c r="F1704" s="21"/>
      <c r="G1704" s="14"/>
      <c r="H1704" s="14"/>
      <c r="I1704" s="14"/>
      <c r="J1704" s="14"/>
      <c r="K1704" s="14"/>
      <c r="L1704" s="14"/>
      <c r="M1704" s="14"/>
      <c r="N1704" s="14"/>
      <c r="O1704" s="14"/>
      <c r="P1704" s="14"/>
      <c r="Q1704" s="14"/>
      <c r="R1704" s="14"/>
      <c r="S1704" s="14"/>
      <c r="T1704" s="14"/>
      <c r="U1704" s="14"/>
      <c r="V1704" s="14"/>
      <c r="W1704" s="14"/>
      <c r="X1704" s="14"/>
      <c r="Y1704" s="14"/>
    </row>
    <row r="1705" spans="1:25" ht="15.75" x14ac:dyDescent="0.25">
      <c r="A1705" s="21"/>
      <c r="B1705" s="21"/>
      <c r="C1705" s="21"/>
      <c r="E1705" s="21"/>
      <c r="F1705" s="21"/>
      <c r="G1705" s="14"/>
      <c r="H1705" s="14"/>
      <c r="I1705" s="14"/>
      <c r="J1705" s="14"/>
      <c r="K1705" s="14"/>
      <c r="L1705" s="14"/>
      <c r="M1705" s="14"/>
      <c r="N1705" s="14"/>
      <c r="O1705" s="14"/>
      <c r="P1705" s="14"/>
      <c r="Q1705" s="14"/>
      <c r="R1705" s="14"/>
      <c r="S1705" s="14"/>
      <c r="T1705" s="14"/>
      <c r="U1705" s="14"/>
      <c r="V1705" s="14"/>
      <c r="W1705" s="14"/>
      <c r="X1705" s="14"/>
      <c r="Y1705" s="14"/>
    </row>
    <row r="1706" spans="1:25" ht="15.75" x14ac:dyDescent="0.25">
      <c r="A1706" s="21"/>
      <c r="B1706" s="21"/>
      <c r="C1706" s="21"/>
      <c r="E1706" s="21"/>
      <c r="F1706" s="21"/>
      <c r="G1706" s="14"/>
      <c r="H1706" s="14"/>
      <c r="I1706" s="14"/>
      <c r="J1706" s="14"/>
      <c r="K1706" s="14"/>
      <c r="L1706" s="14"/>
      <c r="M1706" s="14"/>
      <c r="N1706" s="14"/>
      <c r="O1706" s="14"/>
      <c r="P1706" s="14"/>
      <c r="Q1706" s="14"/>
      <c r="R1706" s="14"/>
      <c r="S1706" s="14"/>
      <c r="T1706" s="14"/>
      <c r="U1706" s="14"/>
      <c r="V1706" s="14"/>
      <c r="W1706" s="14"/>
      <c r="X1706" s="14"/>
      <c r="Y1706" s="14"/>
    </row>
    <row r="1707" spans="1:25" ht="15.75" x14ac:dyDescent="0.25">
      <c r="A1707" s="21"/>
      <c r="B1707" s="21"/>
      <c r="C1707" s="21"/>
      <c r="E1707" s="21"/>
      <c r="F1707" s="21"/>
      <c r="G1707" s="14"/>
      <c r="H1707" s="14"/>
      <c r="I1707" s="14"/>
      <c r="J1707" s="14"/>
      <c r="K1707" s="14"/>
      <c r="L1707" s="14"/>
      <c r="M1707" s="14"/>
      <c r="N1707" s="14"/>
      <c r="O1707" s="14"/>
      <c r="P1707" s="14"/>
      <c r="Q1707" s="14"/>
      <c r="R1707" s="14"/>
      <c r="S1707" s="14"/>
      <c r="T1707" s="14"/>
      <c r="U1707" s="14"/>
      <c r="V1707" s="14"/>
      <c r="W1707" s="14"/>
      <c r="X1707" s="14"/>
      <c r="Y1707" s="14"/>
    </row>
    <row r="1708" spans="1:25" ht="15.75" x14ac:dyDescent="0.25">
      <c r="A1708" s="21"/>
      <c r="B1708" s="21"/>
      <c r="C1708" s="21"/>
      <c r="E1708" s="21"/>
      <c r="F1708" s="21"/>
      <c r="G1708" s="14"/>
      <c r="H1708" s="14"/>
      <c r="I1708" s="14"/>
      <c r="J1708" s="14"/>
      <c r="K1708" s="14"/>
      <c r="L1708" s="14"/>
      <c r="M1708" s="14"/>
      <c r="N1708" s="14"/>
      <c r="O1708" s="14"/>
      <c r="P1708" s="14"/>
      <c r="Q1708" s="14"/>
      <c r="R1708" s="14"/>
      <c r="S1708" s="14"/>
      <c r="T1708" s="14"/>
      <c r="U1708" s="14"/>
      <c r="V1708" s="14"/>
      <c r="W1708" s="14"/>
      <c r="X1708" s="14"/>
      <c r="Y1708" s="14"/>
    </row>
    <row r="1709" spans="1:25" ht="15.75" x14ac:dyDescent="0.25">
      <c r="A1709" s="21"/>
      <c r="B1709" s="21"/>
      <c r="C1709" s="21"/>
      <c r="E1709" s="21"/>
      <c r="F1709" s="21"/>
      <c r="G1709" s="14"/>
      <c r="H1709" s="14"/>
      <c r="I1709" s="14"/>
      <c r="J1709" s="14"/>
      <c r="K1709" s="14"/>
      <c r="L1709" s="14"/>
      <c r="M1709" s="14"/>
      <c r="N1709" s="14"/>
      <c r="O1709" s="14"/>
      <c r="P1709" s="14"/>
      <c r="Q1709" s="14"/>
      <c r="R1709" s="14"/>
      <c r="S1709" s="14"/>
      <c r="T1709" s="14"/>
      <c r="U1709" s="14"/>
      <c r="V1709" s="14"/>
      <c r="W1709" s="14"/>
      <c r="X1709" s="14"/>
      <c r="Y1709" s="14"/>
    </row>
    <row r="1710" spans="1:25" ht="15.75" x14ac:dyDescent="0.25">
      <c r="A1710" s="21"/>
      <c r="B1710" s="21"/>
      <c r="C1710" s="21"/>
      <c r="E1710" s="21"/>
      <c r="F1710" s="21"/>
      <c r="G1710" s="14"/>
      <c r="H1710" s="14"/>
      <c r="I1710" s="14"/>
      <c r="J1710" s="14"/>
      <c r="K1710" s="14"/>
      <c r="L1710" s="14"/>
      <c r="M1710" s="14"/>
      <c r="N1710" s="14"/>
      <c r="O1710" s="14"/>
      <c r="P1710" s="14"/>
      <c r="Q1710" s="14"/>
      <c r="R1710" s="14"/>
      <c r="S1710" s="14"/>
      <c r="T1710" s="14"/>
      <c r="U1710" s="14"/>
      <c r="V1710" s="14"/>
      <c r="W1710" s="14"/>
      <c r="X1710" s="14"/>
      <c r="Y1710" s="14"/>
    </row>
    <row r="1711" spans="1:25" ht="15.75" x14ac:dyDescent="0.25">
      <c r="A1711" s="21"/>
      <c r="B1711" s="21"/>
      <c r="C1711" s="21"/>
      <c r="E1711" s="21"/>
      <c r="F1711" s="21"/>
      <c r="G1711" s="14"/>
      <c r="H1711" s="14"/>
      <c r="I1711" s="14"/>
      <c r="J1711" s="14"/>
      <c r="K1711" s="14"/>
      <c r="L1711" s="14"/>
      <c r="M1711" s="14"/>
      <c r="N1711" s="14"/>
      <c r="O1711" s="14"/>
      <c r="P1711" s="14"/>
      <c r="Q1711" s="14"/>
      <c r="R1711" s="14"/>
      <c r="S1711" s="14"/>
      <c r="T1711" s="14"/>
      <c r="U1711" s="14"/>
      <c r="V1711" s="14"/>
      <c r="W1711" s="14"/>
      <c r="X1711" s="14"/>
      <c r="Y1711" s="14"/>
    </row>
    <row r="1712" spans="1:25" ht="15.75" x14ac:dyDescent="0.25">
      <c r="A1712" s="21"/>
      <c r="B1712" s="21"/>
      <c r="C1712" s="21"/>
      <c r="E1712" s="21"/>
      <c r="F1712" s="21"/>
      <c r="G1712" s="14"/>
      <c r="H1712" s="14"/>
      <c r="I1712" s="14"/>
      <c r="J1712" s="14"/>
      <c r="K1712" s="14"/>
      <c r="L1712" s="14"/>
      <c r="M1712" s="14"/>
      <c r="N1712" s="14"/>
      <c r="O1712" s="14"/>
      <c r="P1712" s="14"/>
      <c r="Q1712" s="14"/>
      <c r="R1712" s="14"/>
      <c r="S1712" s="14"/>
      <c r="T1712" s="14"/>
      <c r="U1712" s="14"/>
      <c r="V1712" s="14"/>
      <c r="W1712" s="14"/>
      <c r="X1712" s="14"/>
      <c r="Y1712" s="14"/>
    </row>
    <row r="1713" spans="1:25" ht="15.75" x14ac:dyDescent="0.25">
      <c r="A1713" s="21"/>
      <c r="B1713" s="21"/>
      <c r="C1713" s="21"/>
      <c r="E1713" s="21"/>
      <c r="F1713" s="21"/>
      <c r="G1713" s="14"/>
      <c r="H1713" s="14"/>
      <c r="I1713" s="14"/>
      <c r="J1713" s="14"/>
      <c r="K1713" s="14"/>
      <c r="L1713" s="14"/>
      <c r="M1713" s="14"/>
      <c r="N1713" s="14"/>
      <c r="O1713" s="14"/>
      <c r="P1713" s="14"/>
      <c r="Q1713" s="14"/>
      <c r="R1713" s="14"/>
      <c r="S1713" s="14"/>
      <c r="T1713" s="14"/>
      <c r="U1713" s="14"/>
      <c r="V1713" s="14"/>
      <c r="W1713" s="14"/>
      <c r="X1713" s="14"/>
      <c r="Y1713" s="14"/>
    </row>
    <row r="1714" spans="1:25" ht="15.75" x14ac:dyDescent="0.25">
      <c r="A1714" s="21"/>
      <c r="B1714" s="21"/>
      <c r="C1714" s="21"/>
      <c r="E1714" s="21"/>
      <c r="F1714" s="21"/>
      <c r="G1714" s="14"/>
      <c r="H1714" s="14"/>
      <c r="I1714" s="14"/>
      <c r="J1714" s="14"/>
      <c r="K1714" s="14"/>
      <c r="L1714" s="14"/>
      <c r="M1714" s="14"/>
      <c r="N1714" s="14"/>
      <c r="O1714" s="14"/>
      <c r="P1714" s="14"/>
      <c r="Q1714" s="14"/>
      <c r="R1714" s="14"/>
      <c r="S1714" s="14"/>
      <c r="T1714" s="14"/>
      <c r="U1714" s="14"/>
      <c r="V1714" s="14"/>
      <c r="W1714" s="14"/>
      <c r="X1714" s="14"/>
      <c r="Y1714" s="14"/>
    </row>
    <row r="1715" spans="1:25" ht="15.75" x14ac:dyDescent="0.25">
      <c r="A1715" s="21"/>
      <c r="B1715" s="21"/>
      <c r="C1715" s="21"/>
      <c r="E1715" s="21"/>
      <c r="F1715" s="21"/>
      <c r="G1715" s="14"/>
      <c r="H1715" s="14"/>
      <c r="I1715" s="14"/>
      <c r="J1715" s="14"/>
      <c r="K1715" s="14"/>
      <c r="L1715" s="14"/>
      <c r="M1715" s="14"/>
      <c r="N1715" s="14"/>
      <c r="O1715" s="14"/>
      <c r="P1715" s="14"/>
      <c r="Q1715" s="14"/>
      <c r="R1715" s="14"/>
      <c r="S1715" s="14"/>
      <c r="T1715" s="14"/>
      <c r="U1715" s="14"/>
      <c r="V1715" s="14"/>
      <c r="W1715" s="14"/>
      <c r="X1715" s="14"/>
      <c r="Y1715" s="14"/>
    </row>
    <row r="1716" spans="1:25" ht="15.75" x14ac:dyDescent="0.25">
      <c r="A1716" s="21"/>
      <c r="B1716" s="21"/>
      <c r="C1716" s="21"/>
      <c r="E1716" s="21"/>
      <c r="F1716" s="21"/>
      <c r="G1716" s="14"/>
      <c r="H1716" s="14"/>
      <c r="I1716" s="14"/>
      <c r="J1716" s="14"/>
      <c r="K1716" s="14"/>
      <c r="L1716" s="14"/>
      <c r="M1716" s="14"/>
      <c r="N1716" s="14"/>
      <c r="O1716" s="14"/>
      <c r="P1716" s="14"/>
      <c r="Q1716" s="14"/>
      <c r="R1716" s="14"/>
      <c r="S1716" s="14"/>
      <c r="T1716" s="14"/>
      <c r="U1716" s="14"/>
      <c r="V1716" s="14"/>
      <c r="W1716" s="14"/>
      <c r="X1716" s="14"/>
      <c r="Y1716" s="14"/>
    </row>
    <row r="1717" spans="1:25" ht="15.75" x14ac:dyDescent="0.25">
      <c r="A1717" s="21"/>
      <c r="B1717" s="21"/>
      <c r="C1717" s="21"/>
      <c r="E1717" s="21"/>
      <c r="F1717" s="21"/>
      <c r="G1717" s="14"/>
      <c r="H1717" s="14"/>
      <c r="I1717" s="14"/>
      <c r="J1717" s="14"/>
      <c r="K1717" s="14"/>
      <c r="L1717" s="14"/>
      <c r="M1717" s="14"/>
      <c r="N1717" s="14"/>
      <c r="O1717" s="14"/>
      <c r="P1717" s="14"/>
      <c r="Q1717" s="14"/>
      <c r="R1717" s="14"/>
      <c r="S1717" s="14"/>
      <c r="T1717" s="14"/>
      <c r="U1717" s="14"/>
      <c r="V1717" s="14"/>
      <c r="W1717" s="14"/>
      <c r="X1717" s="14"/>
      <c r="Y1717" s="14"/>
    </row>
    <row r="1718" spans="1:25" ht="15.75" x14ac:dyDescent="0.25">
      <c r="A1718" s="21"/>
      <c r="B1718" s="21"/>
      <c r="C1718" s="21"/>
      <c r="E1718" s="21"/>
      <c r="F1718" s="21"/>
      <c r="G1718" s="14"/>
      <c r="H1718" s="14"/>
      <c r="I1718" s="14"/>
      <c r="J1718" s="14"/>
      <c r="K1718" s="14"/>
      <c r="L1718" s="14"/>
      <c r="M1718" s="14"/>
      <c r="N1718" s="14"/>
      <c r="O1718" s="14"/>
      <c r="P1718" s="14"/>
      <c r="Q1718" s="14"/>
      <c r="R1718" s="14"/>
      <c r="S1718" s="14"/>
      <c r="T1718" s="14"/>
      <c r="U1718" s="14"/>
      <c r="V1718" s="14"/>
      <c r="W1718" s="14"/>
      <c r="X1718" s="14"/>
      <c r="Y1718" s="14"/>
    </row>
    <row r="1719" spans="1:25" ht="15.75" x14ac:dyDescent="0.25">
      <c r="A1719" s="21"/>
      <c r="B1719" s="21"/>
      <c r="C1719" s="21"/>
      <c r="E1719" s="21"/>
      <c r="F1719" s="21"/>
      <c r="G1719" s="14"/>
      <c r="H1719" s="14"/>
      <c r="I1719" s="14"/>
      <c r="J1719" s="14"/>
      <c r="K1719" s="14"/>
      <c r="L1719" s="14"/>
      <c r="M1719" s="14"/>
      <c r="N1719" s="14"/>
      <c r="O1719" s="14"/>
      <c r="P1719" s="14"/>
      <c r="Q1719" s="14"/>
      <c r="R1719" s="14"/>
      <c r="S1719" s="14"/>
      <c r="T1719" s="14"/>
      <c r="U1719" s="14"/>
      <c r="V1719" s="14"/>
      <c r="W1719" s="14"/>
      <c r="X1719" s="14"/>
      <c r="Y1719" s="14"/>
    </row>
    <row r="1720" spans="1:25" ht="15.75" x14ac:dyDescent="0.25">
      <c r="A1720" s="21"/>
      <c r="B1720" s="21"/>
      <c r="C1720" s="21"/>
      <c r="E1720" s="21"/>
      <c r="F1720" s="21"/>
      <c r="G1720" s="14"/>
      <c r="H1720" s="14"/>
      <c r="I1720" s="14"/>
      <c r="J1720" s="14"/>
      <c r="K1720" s="14"/>
      <c r="L1720" s="14"/>
      <c r="M1720" s="14"/>
      <c r="N1720" s="14"/>
      <c r="O1720" s="14"/>
      <c r="P1720" s="14"/>
      <c r="Q1720" s="14"/>
      <c r="R1720" s="14"/>
      <c r="S1720" s="14"/>
      <c r="T1720" s="14"/>
      <c r="U1720" s="14"/>
      <c r="V1720" s="14"/>
      <c r="W1720" s="14"/>
      <c r="X1720" s="14"/>
      <c r="Y1720" s="14"/>
    </row>
    <row r="1721" spans="1:25" ht="15.75" x14ac:dyDescent="0.25">
      <c r="A1721" s="21"/>
      <c r="B1721" s="21"/>
      <c r="C1721" s="21"/>
      <c r="E1721" s="21"/>
      <c r="F1721" s="21"/>
      <c r="G1721" s="14"/>
      <c r="H1721" s="14"/>
      <c r="I1721" s="14"/>
      <c r="J1721" s="14"/>
      <c r="K1721" s="14"/>
      <c r="L1721" s="14"/>
      <c r="M1721" s="14"/>
      <c r="N1721" s="14"/>
      <c r="O1721" s="14"/>
      <c r="P1721" s="14"/>
      <c r="Q1721" s="14"/>
      <c r="R1721" s="14"/>
      <c r="S1721" s="14"/>
      <c r="T1721" s="14"/>
      <c r="U1721" s="14"/>
      <c r="V1721" s="14"/>
      <c r="W1721" s="14"/>
      <c r="X1721" s="14"/>
      <c r="Y1721" s="14"/>
    </row>
    <row r="1722" spans="1:25" ht="15.75" x14ac:dyDescent="0.25">
      <c r="A1722" s="21"/>
      <c r="B1722" s="21"/>
      <c r="C1722" s="21"/>
      <c r="E1722" s="21"/>
      <c r="F1722" s="21"/>
      <c r="G1722" s="14"/>
      <c r="H1722" s="14"/>
      <c r="I1722" s="14"/>
      <c r="J1722" s="14"/>
      <c r="K1722" s="14"/>
      <c r="L1722" s="14"/>
      <c r="M1722" s="14"/>
      <c r="N1722" s="14"/>
      <c r="O1722" s="14"/>
      <c r="P1722" s="14"/>
      <c r="Q1722" s="14"/>
      <c r="R1722" s="14"/>
      <c r="S1722" s="14"/>
      <c r="T1722" s="14"/>
      <c r="U1722" s="14"/>
      <c r="V1722" s="14"/>
      <c r="W1722" s="14"/>
      <c r="X1722" s="14"/>
      <c r="Y1722" s="14"/>
    </row>
    <row r="1723" spans="1:25" ht="15.75" x14ac:dyDescent="0.25">
      <c r="A1723" s="21"/>
      <c r="B1723" s="21"/>
      <c r="C1723" s="21"/>
      <c r="E1723" s="21"/>
      <c r="F1723" s="21"/>
      <c r="G1723" s="14"/>
      <c r="H1723" s="14"/>
      <c r="I1723" s="14"/>
      <c r="J1723" s="14"/>
      <c r="K1723" s="14"/>
      <c r="L1723" s="14"/>
      <c r="M1723" s="14"/>
      <c r="N1723" s="14"/>
      <c r="O1723" s="14"/>
      <c r="P1723" s="14"/>
      <c r="Q1723" s="14"/>
      <c r="R1723" s="14"/>
      <c r="S1723" s="14"/>
      <c r="T1723" s="14"/>
      <c r="U1723" s="14"/>
      <c r="V1723" s="14"/>
      <c r="W1723" s="14"/>
      <c r="X1723" s="14"/>
      <c r="Y1723" s="14"/>
    </row>
    <row r="1724" spans="1:25" ht="15.75" x14ac:dyDescent="0.25">
      <c r="A1724" s="21"/>
      <c r="B1724" s="21"/>
      <c r="C1724" s="21"/>
      <c r="E1724" s="21"/>
      <c r="F1724" s="21"/>
      <c r="G1724" s="14"/>
      <c r="H1724" s="14"/>
      <c r="I1724" s="14"/>
      <c r="J1724" s="14"/>
      <c r="K1724" s="14"/>
      <c r="L1724" s="14"/>
      <c r="M1724" s="14"/>
      <c r="N1724" s="14"/>
      <c r="O1724" s="14"/>
      <c r="P1724" s="14"/>
      <c r="Q1724" s="14"/>
      <c r="R1724" s="14"/>
      <c r="S1724" s="14"/>
      <c r="T1724" s="14"/>
      <c r="U1724" s="14"/>
      <c r="V1724" s="14"/>
      <c r="W1724" s="14"/>
      <c r="X1724" s="14"/>
      <c r="Y1724" s="14"/>
    </row>
    <row r="1725" spans="1:25" ht="15.75" x14ac:dyDescent="0.25">
      <c r="A1725" s="21"/>
      <c r="B1725" s="21"/>
      <c r="C1725" s="21"/>
      <c r="E1725" s="21"/>
      <c r="F1725" s="21"/>
      <c r="G1725" s="14"/>
      <c r="H1725" s="14"/>
      <c r="I1725" s="14"/>
      <c r="J1725" s="14"/>
      <c r="K1725" s="14"/>
      <c r="L1725" s="14"/>
      <c r="M1725" s="14"/>
      <c r="N1725" s="14"/>
      <c r="O1725" s="14"/>
      <c r="P1725" s="14"/>
      <c r="Q1725" s="14"/>
      <c r="R1725" s="14"/>
      <c r="S1725" s="14"/>
      <c r="T1725" s="14"/>
      <c r="U1725" s="14"/>
      <c r="V1725" s="14"/>
      <c r="W1725" s="14"/>
      <c r="X1725" s="14"/>
      <c r="Y1725" s="14"/>
    </row>
    <row r="1726" spans="1:25" ht="15.75" x14ac:dyDescent="0.25">
      <c r="A1726" s="21"/>
      <c r="B1726" s="21"/>
      <c r="C1726" s="21"/>
      <c r="E1726" s="21"/>
      <c r="F1726" s="21"/>
      <c r="G1726" s="14"/>
      <c r="H1726" s="14"/>
      <c r="I1726" s="14"/>
      <c r="J1726" s="14"/>
      <c r="K1726" s="14"/>
      <c r="L1726" s="14"/>
      <c r="M1726" s="14"/>
      <c r="N1726" s="14"/>
      <c r="O1726" s="14"/>
      <c r="P1726" s="14"/>
      <c r="Q1726" s="14"/>
      <c r="R1726" s="14"/>
      <c r="S1726" s="14"/>
      <c r="T1726" s="14"/>
      <c r="U1726" s="14"/>
      <c r="V1726" s="14"/>
      <c r="W1726" s="14"/>
      <c r="X1726" s="14"/>
      <c r="Y1726" s="14"/>
    </row>
    <row r="1727" spans="1:25" ht="15.75" x14ac:dyDescent="0.25">
      <c r="A1727" s="21"/>
      <c r="B1727" s="21"/>
      <c r="C1727" s="21"/>
      <c r="E1727" s="21"/>
      <c r="F1727" s="21"/>
      <c r="G1727" s="14"/>
      <c r="H1727" s="14"/>
      <c r="I1727" s="14"/>
      <c r="J1727" s="14"/>
      <c r="K1727" s="14"/>
      <c r="L1727" s="14"/>
      <c r="M1727" s="14"/>
      <c r="N1727" s="14"/>
      <c r="O1727" s="14"/>
      <c r="P1727" s="14"/>
      <c r="Q1727" s="14"/>
      <c r="R1727" s="14"/>
      <c r="S1727" s="14"/>
      <c r="T1727" s="14"/>
      <c r="U1727" s="14"/>
      <c r="V1727" s="14"/>
      <c r="W1727" s="14"/>
      <c r="X1727" s="14"/>
      <c r="Y1727" s="14"/>
    </row>
    <row r="1728" spans="1:25" ht="15.75" x14ac:dyDescent="0.25">
      <c r="A1728" s="21"/>
      <c r="B1728" s="21"/>
      <c r="C1728" s="21"/>
      <c r="E1728" s="21"/>
      <c r="F1728" s="21"/>
      <c r="G1728" s="14"/>
      <c r="H1728" s="14"/>
      <c r="I1728" s="14"/>
      <c r="J1728" s="14"/>
      <c r="K1728" s="14"/>
      <c r="L1728" s="14"/>
      <c r="M1728" s="14"/>
      <c r="N1728" s="14"/>
      <c r="O1728" s="14"/>
      <c r="P1728" s="14"/>
      <c r="Q1728" s="14"/>
      <c r="R1728" s="14"/>
      <c r="S1728" s="14"/>
      <c r="T1728" s="14"/>
      <c r="U1728" s="14"/>
      <c r="V1728" s="14"/>
      <c r="W1728" s="14"/>
      <c r="X1728" s="14"/>
      <c r="Y1728" s="14"/>
    </row>
    <row r="1729" spans="1:25" ht="15.75" x14ac:dyDescent="0.25">
      <c r="A1729" s="21"/>
      <c r="B1729" s="21"/>
      <c r="C1729" s="21"/>
      <c r="E1729" s="21"/>
      <c r="F1729" s="21"/>
      <c r="G1729" s="14"/>
      <c r="H1729" s="14"/>
      <c r="I1729" s="14"/>
      <c r="J1729" s="14"/>
      <c r="K1729" s="14"/>
      <c r="L1729" s="14"/>
      <c r="M1729" s="14"/>
      <c r="N1729" s="14"/>
      <c r="O1729" s="14"/>
      <c r="P1729" s="14"/>
      <c r="Q1729" s="14"/>
      <c r="R1729" s="14"/>
      <c r="S1729" s="14"/>
      <c r="T1729" s="14"/>
      <c r="U1729" s="14"/>
      <c r="V1729" s="14"/>
      <c r="W1729" s="14"/>
      <c r="X1729" s="14"/>
      <c r="Y1729" s="14"/>
    </row>
    <row r="1730" spans="1:25" ht="15.75" x14ac:dyDescent="0.25">
      <c r="A1730" s="21"/>
      <c r="B1730" s="21"/>
      <c r="C1730" s="21"/>
      <c r="E1730" s="21"/>
      <c r="F1730" s="21"/>
      <c r="G1730" s="14"/>
      <c r="H1730" s="14"/>
      <c r="I1730" s="14"/>
      <c r="J1730" s="14"/>
      <c r="K1730" s="14"/>
      <c r="L1730" s="14"/>
      <c r="M1730" s="14"/>
      <c r="N1730" s="14"/>
      <c r="O1730" s="14"/>
      <c r="P1730" s="14"/>
      <c r="Q1730" s="14"/>
      <c r="R1730" s="14"/>
      <c r="S1730" s="14"/>
      <c r="T1730" s="14"/>
      <c r="U1730" s="14"/>
      <c r="V1730" s="14"/>
      <c r="W1730" s="14"/>
      <c r="X1730" s="14"/>
      <c r="Y1730" s="14"/>
    </row>
    <row r="1731" spans="1:25" ht="15.75" x14ac:dyDescent="0.25">
      <c r="A1731" s="21"/>
      <c r="B1731" s="21"/>
      <c r="C1731" s="21"/>
      <c r="E1731" s="21"/>
      <c r="F1731" s="21"/>
      <c r="G1731" s="14"/>
      <c r="H1731" s="14"/>
      <c r="I1731" s="14"/>
      <c r="J1731" s="14"/>
      <c r="K1731" s="14"/>
      <c r="L1731" s="14"/>
      <c r="M1731" s="14"/>
      <c r="N1731" s="14"/>
      <c r="O1731" s="14"/>
      <c r="P1731" s="14"/>
      <c r="Q1731" s="14"/>
      <c r="R1731" s="14"/>
      <c r="S1731" s="14"/>
      <c r="T1731" s="14"/>
      <c r="U1731" s="14"/>
      <c r="V1731" s="14"/>
      <c r="W1731" s="14"/>
      <c r="X1731" s="14"/>
      <c r="Y1731" s="14"/>
    </row>
    <row r="1732" spans="1:25" ht="15.75" x14ac:dyDescent="0.25">
      <c r="A1732" s="21"/>
      <c r="B1732" s="21"/>
      <c r="C1732" s="21"/>
      <c r="E1732" s="21"/>
      <c r="F1732" s="21"/>
      <c r="G1732" s="14"/>
      <c r="H1732" s="14"/>
      <c r="I1732" s="14"/>
      <c r="J1732" s="14"/>
      <c r="K1732" s="14"/>
      <c r="L1732" s="14"/>
      <c r="M1732" s="14"/>
      <c r="N1732" s="14"/>
      <c r="O1732" s="14"/>
      <c r="P1732" s="14"/>
      <c r="Q1732" s="14"/>
      <c r="R1732" s="14"/>
      <c r="S1732" s="14"/>
      <c r="T1732" s="14"/>
      <c r="U1732" s="14"/>
      <c r="V1732" s="14"/>
      <c r="W1732" s="14"/>
      <c r="X1732" s="14"/>
      <c r="Y1732" s="14"/>
    </row>
    <row r="1733" spans="1:25" ht="15.75" x14ac:dyDescent="0.25">
      <c r="A1733" s="21"/>
      <c r="B1733" s="21"/>
      <c r="C1733" s="21"/>
      <c r="E1733" s="21"/>
      <c r="F1733" s="21"/>
      <c r="G1733" s="14"/>
      <c r="H1733" s="14"/>
      <c r="I1733" s="14"/>
      <c r="J1733" s="14"/>
      <c r="K1733" s="14"/>
      <c r="L1733" s="14"/>
      <c r="M1733" s="14"/>
      <c r="N1733" s="14"/>
      <c r="O1733" s="14"/>
      <c r="P1733" s="14"/>
      <c r="Q1733" s="14"/>
      <c r="R1733" s="14"/>
      <c r="S1733" s="14"/>
      <c r="T1733" s="14"/>
      <c r="U1733" s="14"/>
      <c r="V1733" s="14"/>
      <c r="W1733" s="14"/>
      <c r="X1733" s="14"/>
      <c r="Y1733" s="14"/>
    </row>
    <row r="1734" spans="1:25" ht="15.75" x14ac:dyDescent="0.25">
      <c r="A1734" s="21"/>
      <c r="B1734" s="21"/>
      <c r="C1734" s="21"/>
      <c r="E1734" s="21"/>
      <c r="F1734" s="21"/>
      <c r="G1734" s="14"/>
      <c r="H1734" s="14"/>
      <c r="I1734" s="14"/>
      <c r="J1734" s="14"/>
      <c r="K1734" s="14"/>
      <c r="L1734" s="14"/>
      <c r="M1734" s="14"/>
      <c r="N1734" s="14"/>
      <c r="O1734" s="14"/>
      <c r="P1734" s="14"/>
      <c r="Q1734" s="14"/>
      <c r="R1734" s="14"/>
      <c r="S1734" s="14"/>
      <c r="T1734" s="14"/>
      <c r="U1734" s="14"/>
      <c r="V1734" s="14"/>
      <c r="W1734" s="14"/>
      <c r="X1734" s="14"/>
      <c r="Y1734" s="14"/>
    </row>
    <row r="1735" spans="1:25" ht="15.75" x14ac:dyDescent="0.25">
      <c r="A1735" s="21"/>
      <c r="B1735" s="21"/>
      <c r="C1735" s="21"/>
      <c r="E1735" s="21"/>
      <c r="F1735" s="21"/>
      <c r="G1735" s="14"/>
      <c r="H1735" s="14"/>
      <c r="I1735" s="14"/>
      <c r="J1735" s="14"/>
      <c r="K1735" s="14"/>
      <c r="L1735" s="14"/>
      <c r="M1735" s="14"/>
      <c r="N1735" s="14"/>
      <c r="O1735" s="14"/>
      <c r="P1735" s="14"/>
      <c r="Q1735" s="14"/>
      <c r="R1735" s="14"/>
      <c r="S1735" s="14"/>
      <c r="T1735" s="14"/>
      <c r="U1735" s="14"/>
      <c r="V1735" s="14"/>
      <c r="W1735" s="14"/>
      <c r="X1735" s="14"/>
      <c r="Y1735" s="14"/>
    </row>
    <row r="1736" spans="1:25" ht="15.75" x14ac:dyDescent="0.25">
      <c r="A1736" s="21"/>
      <c r="B1736" s="21"/>
      <c r="C1736" s="21"/>
      <c r="E1736" s="21"/>
      <c r="F1736" s="21"/>
      <c r="G1736" s="14"/>
      <c r="H1736" s="14"/>
      <c r="I1736" s="14"/>
      <c r="J1736" s="14"/>
      <c r="K1736" s="14"/>
      <c r="L1736" s="14"/>
      <c r="M1736" s="14"/>
      <c r="N1736" s="14"/>
      <c r="O1736" s="14"/>
      <c r="P1736" s="14"/>
      <c r="Q1736" s="14"/>
      <c r="R1736" s="14"/>
      <c r="S1736" s="14"/>
      <c r="T1736" s="14"/>
      <c r="U1736" s="14"/>
      <c r="V1736" s="14"/>
      <c r="W1736" s="14"/>
      <c r="X1736" s="14"/>
      <c r="Y1736" s="14"/>
    </row>
    <row r="1737" spans="1:25" ht="15.75" x14ac:dyDescent="0.25">
      <c r="A1737" s="21"/>
      <c r="B1737" s="21"/>
      <c r="C1737" s="21"/>
      <c r="E1737" s="21"/>
      <c r="F1737" s="21"/>
      <c r="G1737" s="14"/>
      <c r="H1737" s="14"/>
      <c r="I1737" s="14"/>
      <c r="J1737" s="14"/>
      <c r="K1737" s="14"/>
      <c r="L1737" s="14"/>
      <c r="M1737" s="14"/>
      <c r="N1737" s="14"/>
      <c r="O1737" s="14"/>
      <c r="P1737" s="14"/>
      <c r="Q1737" s="14"/>
      <c r="R1737" s="14"/>
      <c r="S1737" s="14"/>
      <c r="T1737" s="14"/>
      <c r="U1737" s="14"/>
      <c r="V1737" s="14"/>
      <c r="W1737" s="14"/>
      <c r="X1737" s="14"/>
      <c r="Y1737" s="14"/>
    </row>
    <row r="1738" spans="1:25" ht="15.75" x14ac:dyDescent="0.25">
      <c r="A1738" s="21"/>
      <c r="B1738" s="21"/>
      <c r="C1738" s="21"/>
      <c r="E1738" s="21"/>
      <c r="F1738" s="21"/>
      <c r="G1738" s="14"/>
      <c r="H1738" s="14"/>
      <c r="I1738" s="14"/>
      <c r="J1738" s="14"/>
      <c r="K1738" s="14"/>
      <c r="L1738" s="14"/>
      <c r="M1738" s="14"/>
      <c r="N1738" s="14"/>
      <c r="O1738" s="14"/>
      <c r="P1738" s="14"/>
      <c r="Q1738" s="14"/>
      <c r="R1738" s="14"/>
      <c r="S1738" s="14"/>
      <c r="T1738" s="14"/>
      <c r="U1738" s="14"/>
      <c r="V1738" s="14"/>
      <c r="W1738" s="14"/>
      <c r="X1738" s="14"/>
      <c r="Y1738" s="14"/>
    </row>
    <row r="1739" spans="1:25" ht="15.75" x14ac:dyDescent="0.25">
      <c r="A1739" s="21"/>
      <c r="B1739" s="21"/>
      <c r="C1739" s="21"/>
      <c r="E1739" s="21"/>
      <c r="F1739" s="21"/>
      <c r="G1739" s="14"/>
      <c r="H1739" s="14"/>
      <c r="I1739" s="14"/>
      <c r="J1739" s="14"/>
      <c r="K1739" s="14"/>
      <c r="L1739" s="14"/>
      <c r="M1739" s="14"/>
      <c r="N1739" s="14"/>
      <c r="O1739" s="14"/>
      <c r="P1739" s="14"/>
      <c r="Q1739" s="14"/>
      <c r="R1739" s="14"/>
      <c r="S1739" s="14"/>
      <c r="T1739" s="14"/>
      <c r="U1739" s="14"/>
      <c r="V1739" s="14"/>
      <c r="W1739" s="14"/>
      <c r="X1739" s="14"/>
      <c r="Y1739" s="14"/>
    </row>
    <row r="1740" spans="1:25" ht="15.75" x14ac:dyDescent="0.25">
      <c r="A1740" s="21"/>
      <c r="B1740" s="21"/>
      <c r="C1740" s="21"/>
      <c r="E1740" s="21"/>
      <c r="F1740" s="21"/>
      <c r="G1740" s="14"/>
      <c r="H1740" s="14"/>
      <c r="I1740" s="14"/>
      <c r="J1740" s="14"/>
      <c r="K1740" s="14"/>
      <c r="L1740" s="14"/>
      <c r="M1740" s="14"/>
      <c r="N1740" s="14"/>
      <c r="O1740" s="14"/>
      <c r="P1740" s="14"/>
      <c r="Q1740" s="14"/>
      <c r="R1740" s="14"/>
      <c r="S1740" s="14"/>
      <c r="T1740" s="14"/>
      <c r="U1740" s="14"/>
      <c r="V1740" s="14"/>
      <c r="W1740" s="14"/>
      <c r="X1740" s="14"/>
      <c r="Y1740" s="14"/>
    </row>
    <row r="1741" spans="1:25" ht="15.75" x14ac:dyDescent="0.25">
      <c r="A1741" s="21"/>
      <c r="B1741" s="21"/>
      <c r="C1741" s="21"/>
      <c r="E1741" s="21"/>
      <c r="F1741" s="21"/>
      <c r="G1741" s="14"/>
      <c r="H1741" s="14"/>
      <c r="I1741" s="14"/>
      <c r="J1741" s="14"/>
      <c r="K1741" s="14"/>
      <c r="L1741" s="14"/>
      <c r="M1741" s="14"/>
      <c r="N1741" s="14"/>
      <c r="O1741" s="14"/>
      <c r="P1741" s="14"/>
      <c r="Q1741" s="14"/>
      <c r="R1741" s="14"/>
      <c r="S1741" s="14"/>
      <c r="T1741" s="14"/>
      <c r="U1741" s="14"/>
      <c r="V1741" s="14"/>
      <c r="W1741" s="14"/>
      <c r="X1741" s="14"/>
      <c r="Y1741" s="14"/>
    </row>
    <row r="1742" spans="1:25" ht="15.75" x14ac:dyDescent="0.25">
      <c r="A1742" s="21"/>
      <c r="B1742" s="21"/>
      <c r="C1742" s="21"/>
      <c r="E1742" s="21"/>
      <c r="F1742" s="21"/>
      <c r="G1742" s="14"/>
      <c r="H1742" s="14"/>
      <c r="I1742" s="14"/>
      <c r="J1742" s="14"/>
      <c r="K1742" s="14"/>
      <c r="L1742" s="14"/>
      <c r="M1742" s="14"/>
      <c r="N1742" s="14"/>
      <c r="O1742" s="14"/>
      <c r="P1742" s="14"/>
      <c r="Q1742" s="14"/>
      <c r="R1742" s="14"/>
      <c r="S1742" s="14"/>
      <c r="T1742" s="14"/>
      <c r="U1742" s="14"/>
      <c r="V1742" s="14"/>
      <c r="W1742" s="14"/>
      <c r="X1742" s="14"/>
      <c r="Y1742" s="14"/>
    </row>
    <row r="1743" spans="1:25" ht="15.75" x14ac:dyDescent="0.25">
      <c r="A1743" s="21"/>
      <c r="B1743" s="21"/>
      <c r="C1743" s="21"/>
      <c r="E1743" s="21"/>
      <c r="F1743" s="21"/>
      <c r="G1743" s="14"/>
      <c r="H1743" s="14"/>
      <c r="I1743" s="14"/>
      <c r="J1743" s="14"/>
      <c r="K1743" s="14"/>
      <c r="L1743" s="14"/>
      <c r="M1743" s="14"/>
      <c r="N1743" s="14"/>
      <c r="O1743" s="14"/>
      <c r="P1743" s="14"/>
      <c r="Q1743" s="14"/>
      <c r="R1743" s="14"/>
      <c r="S1743" s="14"/>
      <c r="T1743" s="14"/>
      <c r="U1743" s="14"/>
      <c r="V1743" s="14"/>
      <c r="W1743" s="14"/>
      <c r="X1743" s="14"/>
      <c r="Y1743" s="14"/>
    </row>
    <row r="1744" spans="1:25" ht="15.75" x14ac:dyDescent="0.25">
      <c r="A1744" s="21"/>
      <c r="B1744" s="21"/>
      <c r="C1744" s="21"/>
      <c r="E1744" s="21"/>
      <c r="F1744" s="21"/>
      <c r="G1744" s="14"/>
      <c r="H1744" s="14"/>
      <c r="I1744" s="14"/>
      <c r="J1744" s="14"/>
      <c r="K1744" s="14"/>
      <c r="L1744" s="14"/>
      <c r="M1744" s="14"/>
      <c r="N1744" s="14"/>
      <c r="O1744" s="14"/>
      <c r="P1744" s="14"/>
      <c r="Q1744" s="14"/>
      <c r="R1744" s="14"/>
      <c r="S1744" s="14"/>
      <c r="T1744" s="14"/>
      <c r="U1744" s="14"/>
      <c r="V1744" s="14"/>
      <c r="W1744" s="14"/>
      <c r="X1744" s="14"/>
      <c r="Y1744" s="14"/>
    </row>
    <row r="1745" spans="1:25" ht="15.75" x14ac:dyDescent="0.25">
      <c r="A1745" s="21"/>
      <c r="B1745" s="21"/>
      <c r="C1745" s="21"/>
      <c r="E1745" s="21"/>
      <c r="F1745" s="21"/>
      <c r="G1745" s="14"/>
      <c r="H1745" s="14"/>
      <c r="I1745" s="14"/>
      <c r="J1745" s="14"/>
      <c r="K1745" s="14"/>
      <c r="L1745" s="14"/>
      <c r="M1745" s="14"/>
      <c r="N1745" s="14"/>
      <c r="O1745" s="14"/>
      <c r="P1745" s="14"/>
      <c r="Q1745" s="14"/>
      <c r="R1745" s="14"/>
      <c r="S1745" s="14"/>
      <c r="T1745" s="14"/>
      <c r="U1745" s="14"/>
      <c r="V1745" s="14"/>
      <c r="W1745" s="14"/>
      <c r="X1745" s="14"/>
      <c r="Y1745" s="14"/>
    </row>
    <row r="1746" spans="1:25" ht="15.75" x14ac:dyDescent="0.25">
      <c r="A1746" s="21"/>
      <c r="B1746" s="21"/>
      <c r="C1746" s="21"/>
      <c r="E1746" s="21"/>
      <c r="F1746" s="21"/>
      <c r="G1746" s="14"/>
      <c r="H1746" s="14"/>
      <c r="I1746" s="14"/>
      <c r="J1746" s="14"/>
      <c r="K1746" s="14"/>
      <c r="L1746" s="14"/>
      <c r="M1746" s="14"/>
      <c r="N1746" s="14"/>
      <c r="O1746" s="14"/>
      <c r="P1746" s="14"/>
      <c r="Q1746" s="14"/>
      <c r="R1746" s="14"/>
      <c r="S1746" s="14"/>
      <c r="T1746" s="14"/>
      <c r="U1746" s="14"/>
      <c r="V1746" s="14"/>
      <c r="W1746" s="14"/>
      <c r="X1746" s="14"/>
      <c r="Y1746" s="14"/>
    </row>
    <row r="1747" spans="1:25" ht="15.75" x14ac:dyDescent="0.25">
      <c r="A1747" s="21"/>
      <c r="B1747" s="21"/>
      <c r="C1747" s="21"/>
      <c r="E1747" s="21"/>
      <c r="F1747" s="21"/>
      <c r="G1747" s="14"/>
      <c r="H1747" s="14"/>
      <c r="I1747" s="14"/>
      <c r="J1747" s="14"/>
      <c r="K1747" s="14"/>
      <c r="L1747" s="14"/>
      <c r="M1747" s="14"/>
      <c r="N1747" s="14"/>
      <c r="O1747" s="14"/>
      <c r="P1747" s="14"/>
      <c r="Q1747" s="14"/>
      <c r="R1747" s="14"/>
      <c r="S1747" s="14"/>
      <c r="T1747" s="14"/>
      <c r="U1747" s="14"/>
      <c r="V1747" s="14"/>
      <c r="W1747" s="14"/>
      <c r="X1747" s="14"/>
      <c r="Y1747" s="14"/>
    </row>
    <row r="1748" spans="1:25" ht="15.75" x14ac:dyDescent="0.25">
      <c r="A1748" s="21"/>
      <c r="B1748" s="21"/>
      <c r="C1748" s="21"/>
      <c r="E1748" s="21"/>
      <c r="F1748" s="21"/>
      <c r="G1748" s="14"/>
      <c r="H1748" s="14"/>
      <c r="I1748" s="14"/>
      <c r="J1748" s="14"/>
      <c r="K1748" s="14"/>
      <c r="L1748" s="14"/>
      <c r="M1748" s="14"/>
      <c r="N1748" s="14"/>
      <c r="O1748" s="14"/>
      <c r="P1748" s="14"/>
      <c r="Q1748" s="14"/>
      <c r="R1748" s="14"/>
      <c r="S1748" s="14"/>
      <c r="T1748" s="14"/>
      <c r="U1748" s="14"/>
      <c r="V1748" s="14"/>
      <c r="W1748" s="14"/>
      <c r="X1748" s="14"/>
      <c r="Y1748" s="14"/>
    </row>
    <row r="1749" spans="1:25" ht="15.75" x14ac:dyDescent="0.25">
      <c r="A1749" s="21"/>
      <c r="B1749" s="21"/>
      <c r="C1749" s="21"/>
      <c r="E1749" s="21"/>
      <c r="F1749" s="21"/>
      <c r="G1749" s="14"/>
      <c r="H1749" s="14"/>
      <c r="I1749" s="14"/>
      <c r="J1749" s="14"/>
      <c r="K1749" s="14"/>
      <c r="L1749" s="14"/>
      <c r="M1749" s="14"/>
      <c r="N1749" s="14"/>
      <c r="O1749" s="14"/>
      <c r="P1749" s="14"/>
      <c r="Q1749" s="14"/>
      <c r="R1749" s="14"/>
      <c r="S1749" s="14"/>
      <c r="T1749" s="14"/>
      <c r="U1749" s="14"/>
      <c r="V1749" s="14"/>
      <c r="W1749" s="14"/>
      <c r="X1749" s="14"/>
      <c r="Y1749" s="14"/>
    </row>
    <row r="1750" spans="1:25" ht="15.75" x14ac:dyDescent="0.25">
      <c r="A1750" s="21"/>
      <c r="B1750" s="21"/>
      <c r="C1750" s="21"/>
      <c r="E1750" s="21"/>
      <c r="F1750" s="21"/>
      <c r="G1750" s="14"/>
      <c r="H1750" s="14"/>
      <c r="I1750" s="14"/>
      <c r="J1750" s="14"/>
      <c r="K1750" s="14"/>
      <c r="L1750" s="14"/>
      <c r="M1750" s="14"/>
      <c r="N1750" s="14"/>
      <c r="O1750" s="14"/>
      <c r="P1750" s="14"/>
      <c r="Q1750" s="14"/>
      <c r="R1750" s="14"/>
      <c r="S1750" s="14"/>
      <c r="T1750" s="14"/>
      <c r="U1750" s="14"/>
      <c r="V1750" s="14"/>
      <c r="W1750" s="14"/>
      <c r="X1750" s="14"/>
      <c r="Y1750" s="14"/>
    </row>
    <row r="1751" spans="1:25" ht="15.75" x14ac:dyDescent="0.25">
      <c r="A1751" s="21"/>
      <c r="B1751" s="21"/>
      <c r="C1751" s="21"/>
      <c r="E1751" s="21"/>
      <c r="F1751" s="21"/>
      <c r="G1751" s="14"/>
      <c r="H1751" s="14"/>
      <c r="I1751" s="14"/>
      <c r="J1751" s="14"/>
      <c r="K1751" s="14"/>
      <c r="L1751" s="14"/>
      <c r="M1751" s="14"/>
      <c r="N1751" s="14"/>
      <c r="O1751" s="14"/>
      <c r="P1751" s="14"/>
      <c r="Q1751" s="14"/>
      <c r="R1751" s="14"/>
      <c r="S1751" s="14"/>
      <c r="T1751" s="14"/>
      <c r="U1751" s="14"/>
      <c r="V1751" s="14"/>
      <c r="W1751" s="14"/>
      <c r="X1751" s="14"/>
      <c r="Y1751" s="14"/>
    </row>
    <row r="1752" spans="1:25" ht="15.75" x14ac:dyDescent="0.25">
      <c r="A1752" s="21"/>
      <c r="B1752" s="21"/>
      <c r="C1752" s="21"/>
      <c r="E1752" s="21"/>
      <c r="F1752" s="21"/>
      <c r="G1752" s="14"/>
      <c r="H1752" s="14"/>
      <c r="I1752" s="14"/>
      <c r="J1752" s="14"/>
      <c r="K1752" s="14"/>
      <c r="L1752" s="14"/>
      <c r="M1752" s="14"/>
      <c r="N1752" s="14"/>
      <c r="O1752" s="14"/>
      <c r="P1752" s="14"/>
      <c r="Q1752" s="14"/>
      <c r="R1752" s="14"/>
      <c r="S1752" s="14"/>
      <c r="T1752" s="14"/>
      <c r="U1752" s="14"/>
      <c r="V1752" s="14"/>
      <c r="W1752" s="14"/>
      <c r="X1752" s="14"/>
      <c r="Y1752" s="14"/>
    </row>
    <row r="1753" spans="1:25" ht="15.75" x14ac:dyDescent="0.25">
      <c r="A1753" s="21"/>
      <c r="B1753" s="21"/>
      <c r="C1753" s="21"/>
      <c r="E1753" s="21"/>
      <c r="F1753" s="21"/>
      <c r="G1753" s="14"/>
      <c r="H1753" s="14"/>
      <c r="I1753" s="14"/>
      <c r="J1753" s="14"/>
      <c r="K1753" s="14"/>
      <c r="L1753" s="14"/>
      <c r="M1753" s="14"/>
      <c r="N1753" s="14"/>
      <c r="O1753" s="14"/>
      <c r="P1753" s="14"/>
      <c r="Q1753" s="14"/>
      <c r="R1753" s="14"/>
      <c r="S1753" s="14"/>
      <c r="T1753" s="14"/>
      <c r="U1753" s="14"/>
      <c r="V1753" s="14"/>
      <c r="W1753" s="14"/>
      <c r="X1753" s="14"/>
      <c r="Y1753" s="14"/>
    </row>
    <row r="1754" spans="1:25" ht="15.75" x14ac:dyDescent="0.25">
      <c r="A1754" s="21"/>
      <c r="B1754" s="21"/>
      <c r="C1754" s="21"/>
      <c r="E1754" s="21"/>
      <c r="F1754" s="21"/>
      <c r="G1754" s="14"/>
      <c r="H1754" s="14"/>
      <c r="I1754" s="14"/>
      <c r="J1754" s="14"/>
      <c r="K1754" s="14"/>
      <c r="L1754" s="14"/>
      <c r="M1754" s="14"/>
      <c r="N1754" s="14"/>
      <c r="O1754" s="14"/>
      <c r="P1754" s="14"/>
      <c r="Q1754" s="14"/>
      <c r="R1754" s="14"/>
      <c r="S1754" s="14"/>
      <c r="T1754" s="14"/>
      <c r="U1754" s="14"/>
      <c r="V1754" s="14"/>
      <c r="W1754" s="14"/>
      <c r="X1754" s="14"/>
      <c r="Y1754" s="14"/>
    </row>
    <row r="1755" spans="1:25" ht="15.75" x14ac:dyDescent="0.25">
      <c r="A1755" s="21"/>
      <c r="B1755" s="21"/>
      <c r="C1755" s="21"/>
      <c r="E1755" s="21"/>
      <c r="F1755" s="21"/>
      <c r="G1755" s="14"/>
      <c r="H1755" s="14"/>
      <c r="I1755" s="14"/>
      <c r="J1755" s="14"/>
      <c r="K1755" s="14"/>
      <c r="L1755" s="14"/>
      <c r="M1755" s="14"/>
      <c r="N1755" s="14"/>
      <c r="O1755" s="14"/>
      <c r="P1755" s="14"/>
      <c r="Q1755" s="14"/>
      <c r="R1755" s="14"/>
      <c r="S1755" s="14"/>
      <c r="T1755" s="14"/>
      <c r="U1755" s="14"/>
      <c r="V1755" s="14"/>
      <c r="W1755" s="14"/>
      <c r="X1755" s="14"/>
      <c r="Y1755" s="14"/>
    </row>
    <row r="1756" spans="1:25" ht="15.75" x14ac:dyDescent="0.25">
      <c r="A1756" s="21"/>
      <c r="B1756" s="21"/>
      <c r="C1756" s="21"/>
      <c r="E1756" s="21"/>
      <c r="F1756" s="21"/>
      <c r="G1756" s="14"/>
      <c r="H1756" s="14"/>
      <c r="I1756" s="14"/>
      <c r="J1756" s="14"/>
      <c r="K1756" s="14"/>
      <c r="L1756" s="14"/>
      <c r="M1756" s="14"/>
      <c r="N1756" s="14"/>
      <c r="O1756" s="14"/>
      <c r="P1756" s="14"/>
      <c r="Q1756" s="14"/>
      <c r="R1756" s="14"/>
      <c r="S1756" s="14"/>
      <c r="T1756" s="14"/>
      <c r="U1756" s="14"/>
      <c r="V1756" s="14"/>
      <c r="W1756" s="14"/>
      <c r="X1756" s="14"/>
      <c r="Y1756" s="14"/>
    </row>
    <row r="1757" spans="1:25" ht="15.75" x14ac:dyDescent="0.25">
      <c r="A1757" s="21"/>
      <c r="B1757" s="21"/>
      <c r="C1757" s="21"/>
      <c r="E1757" s="21"/>
      <c r="F1757" s="21"/>
      <c r="G1757" s="14"/>
      <c r="H1757" s="14"/>
      <c r="I1757" s="14"/>
      <c r="J1757" s="14"/>
      <c r="K1757" s="14"/>
      <c r="L1757" s="14"/>
      <c r="M1757" s="14"/>
      <c r="N1757" s="14"/>
      <c r="O1757" s="14"/>
      <c r="P1757" s="14"/>
      <c r="Q1757" s="14"/>
      <c r="R1757" s="14"/>
      <c r="S1757" s="14"/>
      <c r="T1757" s="14"/>
      <c r="U1757" s="14"/>
      <c r="V1757" s="14"/>
      <c r="W1757" s="14"/>
      <c r="X1757" s="14"/>
      <c r="Y1757" s="14"/>
    </row>
    <row r="1758" spans="1:25" ht="15.75" x14ac:dyDescent="0.25">
      <c r="A1758" s="21"/>
      <c r="B1758" s="21"/>
      <c r="C1758" s="21"/>
      <c r="E1758" s="21"/>
      <c r="F1758" s="21"/>
      <c r="G1758" s="14"/>
      <c r="H1758" s="14"/>
      <c r="I1758" s="14"/>
      <c r="J1758" s="14"/>
      <c r="K1758" s="14"/>
      <c r="L1758" s="14"/>
      <c r="M1758" s="14"/>
      <c r="N1758" s="14"/>
      <c r="O1758" s="14"/>
      <c r="P1758" s="14"/>
      <c r="Q1758" s="14"/>
      <c r="R1758" s="14"/>
      <c r="S1758" s="14"/>
      <c r="T1758" s="14"/>
      <c r="U1758" s="14"/>
      <c r="V1758" s="14"/>
      <c r="W1758" s="14"/>
      <c r="X1758" s="14"/>
      <c r="Y1758" s="14"/>
    </row>
    <row r="1759" spans="1:25" ht="15.75" x14ac:dyDescent="0.25">
      <c r="A1759" s="21"/>
      <c r="B1759" s="21"/>
      <c r="C1759" s="21"/>
      <c r="E1759" s="21"/>
      <c r="F1759" s="21"/>
      <c r="G1759" s="14"/>
      <c r="H1759" s="14"/>
      <c r="I1759" s="14"/>
      <c r="J1759" s="14"/>
      <c r="K1759" s="14"/>
      <c r="L1759" s="14"/>
      <c r="M1759" s="14"/>
      <c r="N1759" s="14"/>
      <c r="O1759" s="14"/>
      <c r="P1759" s="14"/>
      <c r="Q1759" s="14"/>
      <c r="R1759" s="14"/>
      <c r="S1759" s="14"/>
      <c r="T1759" s="14"/>
      <c r="U1759" s="14"/>
      <c r="V1759" s="14"/>
      <c r="W1759" s="14"/>
      <c r="X1759" s="14"/>
      <c r="Y1759" s="14"/>
    </row>
    <row r="1760" spans="1:25" ht="15.75" x14ac:dyDescent="0.25">
      <c r="A1760" s="21"/>
      <c r="B1760" s="21"/>
      <c r="C1760" s="21"/>
      <c r="E1760" s="21"/>
      <c r="F1760" s="21"/>
      <c r="G1760" s="14"/>
      <c r="H1760" s="14"/>
      <c r="I1760" s="14"/>
      <c r="J1760" s="14"/>
      <c r="K1760" s="14"/>
      <c r="L1760" s="14"/>
      <c r="M1760" s="14"/>
      <c r="N1760" s="14"/>
      <c r="O1760" s="14"/>
      <c r="P1760" s="14"/>
      <c r="Q1760" s="14"/>
      <c r="R1760" s="14"/>
      <c r="S1760" s="14"/>
      <c r="T1760" s="14"/>
      <c r="U1760" s="14"/>
      <c r="V1760" s="14"/>
      <c r="W1760" s="14"/>
      <c r="X1760" s="14"/>
      <c r="Y1760" s="14"/>
    </row>
    <row r="1761" spans="1:25" ht="15.75" x14ac:dyDescent="0.25">
      <c r="A1761" s="21"/>
      <c r="B1761" s="21"/>
      <c r="C1761" s="21"/>
      <c r="E1761" s="21"/>
      <c r="F1761" s="21"/>
      <c r="G1761" s="14"/>
      <c r="H1761" s="14"/>
      <c r="I1761" s="14"/>
      <c r="J1761" s="14"/>
      <c r="K1761" s="14"/>
      <c r="L1761" s="14"/>
      <c r="M1761" s="14"/>
      <c r="N1761" s="14"/>
      <c r="O1761" s="14"/>
      <c r="P1761" s="14"/>
      <c r="Q1761" s="14"/>
      <c r="R1761" s="14"/>
      <c r="S1761" s="14"/>
      <c r="T1761" s="14"/>
      <c r="U1761" s="14"/>
      <c r="V1761" s="14"/>
      <c r="W1761" s="14"/>
      <c r="X1761" s="14"/>
      <c r="Y1761" s="14"/>
    </row>
    <row r="1762" spans="1:25" ht="15.75" x14ac:dyDescent="0.25">
      <c r="A1762" s="21"/>
      <c r="B1762" s="21"/>
      <c r="C1762" s="21"/>
      <c r="E1762" s="21"/>
      <c r="F1762" s="21"/>
      <c r="G1762" s="14"/>
      <c r="H1762" s="14"/>
      <c r="I1762" s="14"/>
      <c r="J1762" s="14"/>
      <c r="K1762" s="14"/>
      <c r="L1762" s="14"/>
      <c r="M1762" s="14"/>
      <c r="N1762" s="14"/>
      <c r="O1762" s="14"/>
      <c r="P1762" s="14"/>
      <c r="Q1762" s="14"/>
      <c r="R1762" s="14"/>
      <c r="S1762" s="14"/>
      <c r="T1762" s="14"/>
      <c r="U1762" s="14"/>
      <c r="V1762" s="14"/>
      <c r="W1762" s="14"/>
      <c r="X1762" s="14"/>
      <c r="Y1762" s="14"/>
    </row>
    <row r="1763" spans="1:25" ht="15.75" x14ac:dyDescent="0.25">
      <c r="A1763" s="21"/>
      <c r="B1763" s="21"/>
      <c r="C1763" s="21"/>
      <c r="E1763" s="21"/>
      <c r="F1763" s="21"/>
      <c r="G1763" s="14"/>
      <c r="H1763" s="14"/>
      <c r="I1763" s="14"/>
      <c r="J1763" s="14"/>
      <c r="K1763" s="14"/>
      <c r="L1763" s="14"/>
      <c r="M1763" s="14"/>
      <c r="N1763" s="14"/>
      <c r="O1763" s="14"/>
      <c r="P1763" s="14"/>
      <c r="Q1763" s="14"/>
      <c r="R1763" s="14"/>
      <c r="S1763" s="14"/>
      <c r="T1763" s="14"/>
      <c r="U1763" s="14"/>
      <c r="V1763" s="14"/>
      <c r="W1763" s="14"/>
      <c r="X1763" s="14"/>
      <c r="Y1763" s="14"/>
    </row>
    <row r="1764" spans="1:25" ht="15.75" x14ac:dyDescent="0.25">
      <c r="A1764" s="21"/>
      <c r="B1764" s="21"/>
      <c r="C1764" s="21"/>
      <c r="E1764" s="21"/>
      <c r="F1764" s="21"/>
      <c r="G1764" s="14"/>
      <c r="H1764" s="14"/>
      <c r="I1764" s="14"/>
      <c r="J1764" s="14"/>
      <c r="K1764" s="14"/>
      <c r="L1764" s="14"/>
      <c r="M1764" s="14"/>
      <c r="N1764" s="14"/>
      <c r="O1764" s="14"/>
      <c r="P1764" s="14"/>
      <c r="Q1764" s="14"/>
      <c r="R1764" s="14"/>
      <c r="S1764" s="14"/>
      <c r="T1764" s="14"/>
      <c r="U1764" s="14"/>
      <c r="V1764" s="14"/>
      <c r="W1764" s="14"/>
      <c r="X1764" s="14"/>
      <c r="Y1764" s="14"/>
    </row>
    <row r="1765" spans="1:25" ht="15.75" x14ac:dyDescent="0.25">
      <c r="A1765" s="21"/>
      <c r="B1765" s="21"/>
      <c r="C1765" s="21"/>
      <c r="E1765" s="21"/>
      <c r="F1765" s="21"/>
      <c r="G1765" s="14"/>
      <c r="H1765" s="14"/>
      <c r="I1765" s="14"/>
      <c r="J1765" s="14"/>
      <c r="K1765" s="14"/>
      <c r="L1765" s="14"/>
      <c r="M1765" s="14"/>
      <c r="N1765" s="14"/>
      <c r="O1765" s="14"/>
      <c r="P1765" s="14"/>
      <c r="Q1765" s="14"/>
      <c r="R1765" s="14"/>
      <c r="S1765" s="14"/>
      <c r="T1765" s="14"/>
      <c r="U1765" s="14"/>
      <c r="V1765" s="14"/>
      <c r="W1765" s="14"/>
      <c r="X1765" s="14"/>
      <c r="Y1765" s="14"/>
    </row>
    <row r="1766" spans="1:25" ht="15.75" x14ac:dyDescent="0.25">
      <c r="A1766" s="21"/>
      <c r="B1766" s="21"/>
      <c r="C1766" s="21"/>
      <c r="E1766" s="21"/>
      <c r="F1766" s="21"/>
      <c r="G1766" s="14"/>
      <c r="H1766" s="14"/>
      <c r="I1766" s="14"/>
      <c r="J1766" s="14"/>
      <c r="K1766" s="14"/>
      <c r="L1766" s="14"/>
      <c r="M1766" s="14"/>
      <c r="N1766" s="14"/>
      <c r="O1766" s="14"/>
      <c r="P1766" s="14"/>
      <c r="Q1766" s="14"/>
      <c r="R1766" s="14"/>
      <c r="S1766" s="14"/>
      <c r="T1766" s="14"/>
      <c r="U1766" s="14"/>
      <c r="V1766" s="14"/>
      <c r="W1766" s="14"/>
      <c r="X1766" s="14"/>
      <c r="Y1766" s="14"/>
    </row>
    <row r="1767" spans="1:25" ht="15.75" x14ac:dyDescent="0.25">
      <c r="A1767" s="21"/>
      <c r="B1767" s="21"/>
      <c r="C1767" s="21"/>
      <c r="E1767" s="21"/>
      <c r="F1767" s="21"/>
      <c r="G1767" s="14"/>
      <c r="H1767" s="14"/>
      <c r="I1767" s="14"/>
      <c r="J1767" s="14"/>
      <c r="K1767" s="14"/>
      <c r="L1767" s="14"/>
      <c r="M1767" s="14"/>
      <c r="N1767" s="14"/>
      <c r="O1767" s="14"/>
      <c r="P1767" s="14"/>
      <c r="Q1767" s="14"/>
      <c r="R1767" s="14"/>
      <c r="S1767" s="14"/>
      <c r="T1767" s="14"/>
      <c r="U1767" s="14"/>
      <c r="V1767" s="14"/>
      <c r="W1767" s="14"/>
      <c r="X1767" s="14"/>
      <c r="Y1767" s="14"/>
    </row>
    <row r="1768" spans="1:25" ht="15.75" x14ac:dyDescent="0.25">
      <c r="A1768" s="21"/>
      <c r="B1768" s="21"/>
      <c r="C1768" s="21"/>
      <c r="E1768" s="21"/>
      <c r="F1768" s="21"/>
      <c r="G1768" s="14"/>
      <c r="H1768" s="14"/>
      <c r="I1768" s="14"/>
      <c r="J1768" s="14"/>
      <c r="K1768" s="14"/>
      <c r="L1768" s="14"/>
      <c r="M1768" s="14"/>
      <c r="N1768" s="14"/>
      <c r="O1768" s="14"/>
      <c r="P1768" s="14"/>
      <c r="Q1768" s="14"/>
      <c r="R1768" s="14"/>
      <c r="S1768" s="14"/>
      <c r="T1768" s="14"/>
      <c r="U1768" s="14"/>
      <c r="V1768" s="14"/>
      <c r="W1768" s="14"/>
      <c r="X1768" s="14"/>
      <c r="Y1768" s="14"/>
    </row>
    <row r="1769" spans="1:25" ht="15.75" x14ac:dyDescent="0.25">
      <c r="A1769" s="21"/>
      <c r="B1769" s="21"/>
      <c r="C1769" s="21"/>
      <c r="E1769" s="21"/>
      <c r="F1769" s="21"/>
      <c r="G1769" s="14"/>
      <c r="H1769" s="14"/>
      <c r="I1769" s="14"/>
      <c r="J1769" s="14"/>
      <c r="K1769" s="14"/>
      <c r="L1769" s="14"/>
      <c r="M1769" s="14"/>
      <c r="N1769" s="14"/>
      <c r="O1769" s="14"/>
      <c r="P1769" s="14"/>
      <c r="Q1769" s="14"/>
      <c r="R1769" s="14"/>
      <c r="S1769" s="14"/>
      <c r="T1769" s="14"/>
      <c r="U1769" s="14"/>
      <c r="V1769" s="14"/>
      <c r="W1769" s="14"/>
      <c r="X1769" s="14"/>
      <c r="Y1769" s="14"/>
    </row>
    <row r="1770" spans="1:25" ht="15.75" x14ac:dyDescent="0.25">
      <c r="A1770" s="21"/>
      <c r="B1770" s="21"/>
      <c r="C1770" s="21"/>
      <c r="E1770" s="21"/>
      <c r="F1770" s="21"/>
      <c r="G1770" s="14"/>
      <c r="H1770" s="14"/>
      <c r="I1770" s="14"/>
      <c r="J1770" s="14"/>
      <c r="K1770" s="14"/>
      <c r="L1770" s="14"/>
      <c r="M1770" s="14"/>
      <c r="N1770" s="14"/>
      <c r="O1770" s="14"/>
      <c r="P1770" s="14"/>
      <c r="Q1770" s="14"/>
      <c r="R1770" s="14"/>
      <c r="S1770" s="14"/>
      <c r="T1770" s="14"/>
      <c r="U1770" s="14"/>
      <c r="V1770" s="14"/>
      <c r="W1770" s="14"/>
      <c r="X1770" s="14"/>
      <c r="Y1770" s="14"/>
    </row>
    <row r="1771" spans="1:25" ht="15.75" x14ac:dyDescent="0.25">
      <c r="A1771" s="21"/>
      <c r="B1771" s="21"/>
      <c r="C1771" s="21"/>
      <c r="E1771" s="21"/>
      <c r="F1771" s="21"/>
      <c r="G1771" s="14"/>
      <c r="H1771" s="14"/>
      <c r="I1771" s="14"/>
      <c r="J1771" s="14"/>
      <c r="K1771" s="14"/>
      <c r="L1771" s="14"/>
      <c r="M1771" s="14"/>
      <c r="N1771" s="14"/>
      <c r="O1771" s="14"/>
      <c r="P1771" s="14"/>
      <c r="Q1771" s="14"/>
      <c r="R1771" s="14"/>
      <c r="S1771" s="14"/>
      <c r="T1771" s="14"/>
      <c r="U1771" s="14"/>
      <c r="V1771" s="14"/>
      <c r="W1771" s="14"/>
      <c r="X1771" s="14"/>
      <c r="Y1771" s="14"/>
    </row>
    <row r="1772" spans="1:25" ht="15.75" x14ac:dyDescent="0.25">
      <c r="A1772" s="21"/>
      <c r="B1772" s="21"/>
      <c r="C1772" s="21"/>
      <c r="E1772" s="21"/>
      <c r="F1772" s="21"/>
      <c r="G1772" s="14"/>
      <c r="H1772" s="14"/>
      <c r="I1772" s="14"/>
      <c r="J1772" s="14"/>
      <c r="K1772" s="14"/>
      <c r="L1772" s="14"/>
      <c r="M1772" s="14"/>
      <c r="N1772" s="14"/>
      <c r="O1772" s="14"/>
      <c r="P1772" s="14"/>
      <c r="Q1772" s="14"/>
      <c r="R1772" s="14"/>
      <c r="S1772" s="14"/>
      <c r="T1772" s="14"/>
      <c r="U1772" s="14"/>
      <c r="V1772" s="14"/>
      <c r="W1772" s="14"/>
      <c r="X1772" s="14"/>
      <c r="Y1772" s="14"/>
    </row>
    <row r="1773" spans="1:25" ht="15.75" x14ac:dyDescent="0.25">
      <c r="A1773" s="21"/>
      <c r="B1773" s="21"/>
      <c r="C1773" s="21"/>
      <c r="E1773" s="21"/>
      <c r="F1773" s="21"/>
      <c r="G1773" s="14"/>
      <c r="H1773" s="14"/>
      <c r="I1773" s="14"/>
      <c r="J1773" s="14"/>
      <c r="K1773" s="14"/>
      <c r="L1773" s="14"/>
      <c r="M1773" s="14"/>
      <c r="N1773" s="14"/>
      <c r="O1773" s="14"/>
      <c r="P1773" s="14"/>
      <c r="Q1773" s="14"/>
      <c r="R1773" s="14"/>
      <c r="S1773" s="14"/>
      <c r="T1773" s="14"/>
      <c r="U1773" s="14"/>
      <c r="V1773" s="14"/>
      <c r="W1773" s="14"/>
      <c r="X1773" s="14"/>
      <c r="Y1773" s="14"/>
    </row>
    <row r="1774" spans="1:25" ht="15.75" x14ac:dyDescent="0.25">
      <c r="A1774" s="21"/>
      <c r="B1774" s="21"/>
      <c r="C1774" s="21"/>
      <c r="E1774" s="21"/>
      <c r="F1774" s="21"/>
      <c r="G1774" s="14"/>
      <c r="H1774" s="14"/>
      <c r="I1774" s="14"/>
      <c r="J1774" s="14"/>
      <c r="K1774" s="14"/>
      <c r="L1774" s="14"/>
      <c r="M1774" s="14"/>
      <c r="N1774" s="14"/>
      <c r="O1774" s="14"/>
      <c r="P1774" s="14"/>
      <c r="Q1774" s="14"/>
      <c r="R1774" s="14"/>
      <c r="S1774" s="14"/>
      <c r="T1774" s="14"/>
      <c r="U1774" s="14"/>
      <c r="V1774" s="14"/>
      <c r="W1774" s="14"/>
      <c r="X1774" s="14"/>
      <c r="Y1774" s="14"/>
    </row>
    <row r="1775" spans="1:25" ht="15.75" x14ac:dyDescent="0.25">
      <c r="A1775" s="21"/>
      <c r="B1775" s="21"/>
      <c r="C1775" s="21"/>
      <c r="E1775" s="21"/>
      <c r="F1775" s="21"/>
      <c r="G1775" s="14"/>
      <c r="H1775" s="14"/>
      <c r="I1775" s="14"/>
      <c r="J1775" s="14"/>
      <c r="K1775" s="14"/>
      <c r="L1775" s="14"/>
      <c r="M1775" s="14"/>
      <c r="N1775" s="14"/>
      <c r="O1775" s="14"/>
      <c r="P1775" s="14"/>
      <c r="Q1775" s="14"/>
      <c r="R1775" s="14"/>
      <c r="S1775" s="14"/>
      <c r="T1775" s="14"/>
      <c r="U1775" s="14"/>
      <c r="V1775" s="14"/>
      <c r="W1775" s="14"/>
      <c r="X1775" s="14"/>
      <c r="Y1775" s="14"/>
    </row>
    <row r="1776" spans="1:25" ht="15.75" x14ac:dyDescent="0.25">
      <c r="A1776" s="21"/>
      <c r="B1776" s="21"/>
      <c r="C1776" s="21"/>
      <c r="E1776" s="21"/>
      <c r="F1776" s="21"/>
      <c r="G1776" s="14"/>
      <c r="H1776" s="14"/>
      <c r="I1776" s="14"/>
      <c r="J1776" s="14"/>
      <c r="K1776" s="14"/>
      <c r="L1776" s="14"/>
      <c r="M1776" s="14"/>
      <c r="N1776" s="14"/>
      <c r="O1776" s="14"/>
      <c r="P1776" s="14"/>
      <c r="Q1776" s="14"/>
      <c r="R1776" s="14"/>
      <c r="S1776" s="14"/>
      <c r="T1776" s="14"/>
      <c r="U1776" s="14"/>
      <c r="V1776" s="14"/>
      <c r="W1776" s="14"/>
      <c r="X1776" s="14"/>
      <c r="Y1776" s="14"/>
    </row>
    <row r="1777" spans="1:25" ht="15.75" x14ac:dyDescent="0.25">
      <c r="A1777" s="21"/>
      <c r="B1777" s="21"/>
      <c r="C1777" s="21"/>
      <c r="E1777" s="21"/>
      <c r="F1777" s="21"/>
      <c r="G1777" s="14"/>
      <c r="H1777" s="14"/>
      <c r="I1777" s="14"/>
      <c r="J1777" s="14"/>
      <c r="K1777" s="14"/>
      <c r="L1777" s="14"/>
      <c r="M1777" s="14"/>
      <c r="N1777" s="14"/>
      <c r="O1777" s="14"/>
      <c r="P1777" s="14"/>
      <c r="Q1777" s="14"/>
      <c r="R1777" s="14"/>
      <c r="S1777" s="14"/>
      <c r="T1777" s="14"/>
      <c r="U1777" s="14"/>
      <c r="V1777" s="14"/>
      <c r="W1777" s="14"/>
      <c r="X1777" s="14"/>
      <c r="Y1777" s="14"/>
    </row>
    <row r="1778" spans="1:25" ht="15.75" x14ac:dyDescent="0.25">
      <c r="A1778" s="21"/>
      <c r="B1778" s="21"/>
      <c r="C1778" s="21"/>
      <c r="E1778" s="21"/>
      <c r="F1778" s="21"/>
      <c r="G1778" s="14"/>
      <c r="H1778" s="14"/>
      <c r="I1778" s="14"/>
      <c r="J1778" s="14"/>
      <c r="K1778" s="14"/>
      <c r="L1778" s="14"/>
      <c r="M1778" s="14"/>
      <c r="N1778" s="14"/>
      <c r="O1778" s="14"/>
      <c r="P1778" s="14"/>
      <c r="Q1778" s="14"/>
      <c r="R1778" s="14"/>
      <c r="S1778" s="14"/>
      <c r="T1778" s="14"/>
      <c r="U1778" s="14"/>
      <c r="V1778" s="14"/>
      <c r="W1778" s="14"/>
      <c r="X1778" s="14"/>
      <c r="Y1778" s="14"/>
    </row>
    <row r="1779" spans="1:25" ht="15.75" x14ac:dyDescent="0.25">
      <c r="A1779" s="21"/>
      <c r="B1779" s="21"/>
      <c r="C1779" s="21"/>
      <c r="E1779" s="21"/>
      <c r="F1779" s="21"/>
      <c r="G1779" s="14"/>
      <c r="H1779" s="14"/>
      <c r="I1779" s="14"/>
      <c r="J1779" s="14"/>
      <c r="K1779" s="14"/>
      <c r="L1779" s="14"/>
      <c r="M1779" s="14"/>
      <c r="N1779" s="14"/>
      <c r="O1779" s="14"/>
      <c r="P1779" s="14"/>
      <c r="Q1779" s="14"/>
      <c r="R1779" s="14"/>
      <c r="S1779" s="14"/>
      <c r="T1779" s="14"/>
      <c r="U1779" s="14"/>
      <c r="V1779" s="14"/>
      <c r="W1779" s="14"/>
      <c r="X1779" s="14"/>
      <c r="Y1779" s="14"/>
    </row>
    <row r="1780" spans="1:25" ht="15.75" x14ac:dyDescent="0.25">
      <c r="A1780" s="21"/>
      <c r="B1780" s="21"/>
      <c r="C1780" s="21"/>
      <c r="E1780" s="21"/>
      <c r="F1780" s="21"/>
      <c r="G1780" s="14"/>
      <c r="H1780" s="14"/>
      <c r="I1780" s="14"/>
      <c r="J1780" s="14"/>
      <c r="K1780" s="14"/>
      <c r="L1780" s="14"/>
      <c r="M1780" s="14"/>
      <c r="N1780" s="14"/>
      <c r="O1780" s="14"/>
      <c r="P1780" s="14"/>
      <c r="Q1780" s="14"/>
      <c r="R1780" s="14"/>
      <c r="S1780" s="14"/>
      <c r="T1780" s="14"/>
      <c r="U1780" s="14"/>
      <c r="V1780" s="14"/>
      <c r="W1780" s="14"/>
      <c r="X1780" s="14"/>
      <c r="Y1780" s="14"/>
    </row>
    <row r="1781" spans="1:25" ht="15.75" x14ac:dyDescent="0.25">
      <c r="A1781" s="21"/>
      <c r="B1781" s="21"/>
      <c r="C1781" s="21"/>
      <c r="E1781" s="21"/>
      <c r="F1781" s="21"/>
      <c r="G1781" s="14"/>
      <c r="H1781" s="14"/>
      <c r="I1781" s="14"/>
      <c r="J1781" s="14"/>
      <c r="K1781" s="14"/>
      <c r="L1781" s="14"/>
      <c r="M1781" s="14"/>
      <c r="N1781" s="14"/>
      <c r="O1781" s="14"/>
      <c r="P1781" s="14"/>
      <c r="Q1781" s="14"/>
      <c r="R1781" s="14"/>
      <c r="S1781" s="14"/>
      <c r="T1781" s="14"/>
      <c r="U1781" s="14"/>
      <c r="V1781" s="14"/>
      <c r="W1781" s="14"/>
      <c r="X1781" s="14"/>
      <c r="Y1781" s="14"/>
    </row>
    <row r="1782" spans="1:25" ht="15.75" x14ac:dyDescent="0.25">
      <c r="A1782" s="21"/>
      <c r="B1782" s="21"/>
      <c r="C1782" s="21"/>
      <c r="E1782" s="21"/>
      <c r="F1782" s="21"/>
      <c r="G1782" s="14"/>
      <c r="H1782" s="14"/>
      <c r="I1782" s="14"/>
      <c r="J1782" s="14"/>
      <c r="K1782" s="14"/>
      <c r="L1782" s="14"/>
      <c r="M1782" s="14"/>
      <c r="N1782" s="14"/>
      <c r="O1782" s="14"/>
      <c r="P1782" s="14"/>
      <c r="Q1782" s="14"/>
      <c r="R1782" s="14"/>
      <c r="S1782" s="14"/>
      <c r="T1782" s="14"/>
      <c r="U1782" s="14"/>
      <c r="V1782" s="14"/>
      <c r="W1782" s="14"/>
      <c r="X1782" s="14"/>
      <c r="Y1782" s="14"/>
    </row>
    <row r="1783" spans="1:25" ht="15.75" x14ac:dyDescent="0.25">
      <c r="A1783" s="21"/>
      <c r="B1783" s="21"/>
      <c r="C1783" s="21"/>
      <c r="E1783" s="21"/>
      <c r="F1783" s="21"/>
      <c r="G1783" s="14"/>
      <c r="H1783" s="14"/>
      <c r="I1783" s="14"/>
      <c r="J1783" s="14"/>
      <c r="K1783" s="14"/>
      <c r="L1783" s="14"/>
      <c r="M1783" s="14"/>
      <c r="N1783" s="14"/>
      <c r="O1783" s="14"/>
      <c r="P1783" s="14"/>
      <c r="Q1783" s="14"/>
      <c r="R1783" s="14"/>
      <c r="S1783" s="14"/>
      <c r="T1783" s="14"/>
      <c r="U1783" s="14"/>
      <c r="V1783" s="14"/>
      <c r="W1783" s="14"/>
      <c r="X1783" s="14"/>
      <c r="Y1783" s="14"/>
    </row>
    <row r="1784" spans="1:25" ht="15.75" x14ac:dyDescent="0.25">
      <c r="A1784" s="21"/>
      <c r="B1784" s="21"/>
      <c r="C1784" s="21"/>
      <c r="E1784" s="21"/>
      <c r="F1784" s="21"/>
      <c r="G1784" s="14"/>
      <c r="H1784" s="14"/>
      <c r="I1784" s="14"/>
      <c r="J1784" s="14"/>
      <c r="K1784" s="14"/>
      <c r="L1784" s="14"/>
      <c r="M1784" s="14"/>
      <c r="N1784" s="14"/>
      <c r="O1784" s="14"/>
      <c r="P1784" s="14"/>
      <c r="Q1784" s="14"/>
      <c r="R1784" s="14"/>
      <c r="S1784" s="14"/>
      <c r="T1784" s="14"/>
      <c r="U1784" s="14"/>
      <c r="V1784" s="14"/>
      <c r="W1784" s="14"/>
      <c r="X1784" s="14"/>
      <c r="Y1784" s="14"/>
    </row>
    <row r="1785" spans="1:25" ht="15.75" x14ac:dyDescent="0.25">
      <c r="A1785" s="21"/>
      <c r="B1785" s="21"/>
      <c r="C1785" s="21"/>
      <c r="E1785" s="21"/>
      <c r="F1785" s="21"/>
      <c r="G1785" s="14"/>
      <c r="H1785" s="14"/>
      <c r="I1785" s="14"/>
      <c r="J1785" s="14"/>
      <c r="K1785" s="14"/>
      <c r="L1785" s="14"/>
      <c r="M1785" s="14"/>
      <c r="N1785" s="14"/>
      <c r="O1785" s="14"/>
      <c r="P1785" s="14"/>
      <c r="Q1785" s="14"/>
      <c r="R1785" s="14"/>
      <c r="S1785" s="14"/>
      <c r="T1785" s="14"/>
      <c r="U1785" s="14"/>
      <c r="V1785" s="14"/>
      <c r="W1785" s="14"/>
      <c r="X1785" s="14"/>
      <c r="Y1785" s="14"/>
    </row>
    <row r="1786" spans="1:25" ht="15.75" x14ac:dyDescent="0.25">
      <c r="A1786" s="21"/>
      <c r="B1786" s="21"/>
      <c r="C1786" s="21"/>
      <c r="E1786" s="21"/>
      <c r="F1786" s="21"/>
      <c r="G1786" s="14"/>
      <c r="H1786" s="14"/>
      <c r="I1786" s="14"/>
      <c r="J1786" s="14"/>
      <c r="K1786" s="14"/>
      <c r="L1786" s="14"/>
      <c r="M1786" s="14"/>
      <c r="N1786" s="14"/>
      <c r="O1786" s="14"/>
      <c r="P1786" s="14"/>
      <c r="Q1786" s="14"/>
      <c r="R1786" s="14"/>
      <c r="S1786" s="14"/>
      <c r="T1786" s="14"/>
      <c r="U1786" s="14"/>
      <c r="V1786" s="14"/>
      <c r="W1786" s="14"/>
      <c r="X1786" s="14"/>
      <c r="Y1786" s="14"/>
    </row>
    <row r="1787" spans="1:25" ht="15.75" x14ac:dyDescent="0.25">
      <c r="A1787" s="21"/>
      <c r="B1787" s="21"/>
      <c r="C1787" s="21"/>
      <c r="E1787" s="21"/>
      <c r="F1787" s="21"/>
      <c r="G1787" s="14"/>
      <c r="H1787" s="14"/>
      <c r="I1787" s="14"/>
      <c r="J1787" s="14"/>
      <c r="K1787" s="14"/>
      <c r="L1787" s="14"/>
      <c r="M1787" s="14"/>
      <c r="N1787" s="14"/>
      <c r="O1787" s="14"/>
      <c r="P1787" s="14"/>
      <c r="Q1787" s="14"/>
      <c r="R1787" s="14"/>
      <c r="S1787" s="14"/>
      <c r="T1787" s="14"/>
      <c r="U1787" s="14"/>
      <c r="V1787" s="14"/>
      <c r="W1787" s="14"/>
      <c r="X1787" s="14"/>
      <c r="Y1787" s="14"/>
    </row>
    <row r="1788" spans="1:25" ht="15.75" x14ac:dyDescent="0.25">
      <c r="A1788" s="21"/>
      <c r="B1788" s="21"/>
      <c r="C1788" s="21"/>
      <c r="E1788" s="21"/>
      <c r="F1788" s="21"/>
      <c r="G1788" s="14"/>
      <c r="H1788" s="14"/>
      <c r="I1788" s="14"/>
      <c r="J1788" s="14"/>
      <c r="K1788" s="14"/>
      <c r="L1788" s="14"/>
      <c r="M1788" s="14"/>
      <c r="N1788" s="14"/>
      <c r="O1788" s="14"/>
      <c r="P1788" s="14"/>
      <c r="Q1788" s="14"/>
      <c r="R1788" s="14"/>
      <c r="S1788" s="14"/>
      <c r="T1788" s="14"/>
      <c r="U1788" s="14"/>
      <c r="V1788" s="14"/>
      <c r="W1788" s="14"/>
      <c r="X1788" s="14"/>
      <c r="Y1788" s="14"/>
    </row>
    <row r="1789" spans="1:25" ht="15.75" x14ac:dyDescent="0.25">
      <c r="A1789" s="21"/>
      <c r="B1789" s="21"/>
      <c r="C1789" s="21"/>
      <c r="E1789" s="21"/>
      <c r="F1789" s="21"/>
      <c r="G1789" s="14"/>
      <c r="H1789" s="14"/>
      <c r="I1789" s="14"/>
      <c r="J1789" s="14"/>
      <c r="K1789" s="14"/>
      <c r="L1789" s="14"/>
      <c r="M1789" s="14"/>
      <c r="N1789" s="14"/>
      <c r="O1789" s="14"/>
      <c r="P1789" s="14"/>
      <c r="Q1789" s="14"/>
      <c r="R1789" s="14"/>
      <c r="S1789" s="14"/>
      <c r="T1789" s="14"/>
      <c r="U1789" s="14"/>
      <c r="V1789" s="14"/>
      <c r="W1789" s="14"/>
      <c r="X1789" s="14"/>
      <c r="Y1789" s="14"/>
    </row>
    <row r="1790" spans="1:25" ht="15.75" x14ac:dyDescent="0.25">
      <c r="A1790" s="21"/>
      <c r="B1790" s="21"/>
      <c r="C1790" s="21"/>
      <c r="E1790" s="21"/>
      <c r="F1790" s="21"/>
      <c r="G1790" s="14"/>
      <c r="H1790" s="14"/>
      <c r="I1790" s="14"/>
      <c r="J1790" s="14"/>
      <c r="K1790" s="14"/>
      <c r="L1790" s="14"/>
      <c r="M1790" s="14"/>
      <c r="N1790" s="14"/>
      <c r="O1790" s="14"/>
      <c r="P1790" s="14"/>
      <c r="Q1790" s="14"/>
      <c r="R1790" s="14"/>
      <c r="S1790" s="14"/>
      <c r="T1790" s="14"/>
      <c r="U1790" s="14"/>
      <c r="V1790" s="14"/>
      <c r="W1790" s="14"/>
      <c r="X1790" s="14"/>
      <c r="Y1790" s="14"/>
    </row>
    <row r="1791" spans="1:25" ht="15.75" x14ac:dyDescent="0.25">
      <c r="A1791" s="21"/>
      <c r="B1791" s="21"/>
      <c r="C1791" s="21"/>
      <c r="E1791" s="21"/>
      <c r="F1791" s="21"/>
      <c r="G1791" s="14"/>
      <c r="H1791" s="14"/>
      <c r="I1791" s="14"/>
      <c r="J1791" s="14"/>
      <c r="K1791" s="14"/>
      <c r="L1791" s="14"/>
      <c r="M1791" s="14"/>
      <c r="N1791" s="14"/>
      <c r="O1791" s="14"/>
      <c r="P1791" s="14"/>
      <c r="Q1791" s="14"/>
      <c r="R1791" s="14"/>
      <c r="S1791" s="14"/>
      <c r="T1791" s="14"/>
      <c r="U1791" s="14"/>
      <c r="V1791" s="14"/>
      <c r="W1791" s="14"/>
      <c r="X1791" s="14"/>
      <c r="Y1791" s="14"/>
    </row>
    <row r="1792" spans="1:25" ht="15.75" x14ac:dyDescent="0.25">
      <c r="A1792" s="21"/>
      <c r="B1792" s="21"/>
      <c r="C1792" s="21"/>
      <c r="E1792" s="21"/>
      <c r="F1792" s="21"/>
      <c r="G1792" s="14"/>
      <c r="H1792" s="14"/>
      <c r="I1792" s="14"/>
      <c r="J1792" s="14"/>
      <c r="K1792" s="14"/>
      <c r="L1792" s="14"/>
      <c r="M1792" s="14"/>
      <c r="N1792" s="14"/>
      <c r="O1792" s="14"/>
      <c r="P1792" s="14"/>
      <c r="Q1792" s="14"/>
      <c r="R1792" s="14"/>
      <c r="S1792" s="14"/>
      <c r="T1792" s="14"/>
      <c r="U1792" s="14"/>
      <c r="V1792" s="14"/>
      <c r="W1792" s="14"/>
      <c r="X1792" s="14"/>
      <c r="Y1792" s="14"/>
    </row>
    <row r="1793" spans="1:25" ht="15.75" x14ac:dyDescent="0.25">
      <c r="A1793" s="21"/>
      <c r="B1793" s="21"/>
      <c r="C1793" s="21"/>
      <c r="E1793" s="21"/>
      <c r="F1793" s="21"/>
      <c r="G1793" s="14"/>
      <c r="H1793" s="14"/>
      <c r="I1793" s="14"/>
      <c r="J1793" s="14"/>
      <c r="K1793" s="14"/>
      <c r="L1793" s="14"/>
      <c r="M1793" s="14"/>
      <c r="N1793" s="14"/>
      <c r="O1793" s="14"/>
      <c r="P1793" s="14"/>
      <c r="Q1793" s="14"/>
      <c r="R1793" s="14"/>
      <c r="S1793" s="14"/>
      <c r="T1793" s="14"/>
      <c r="U1793" s="14"/>
      <c r="V1793" s="14"/>
      <c r="W1793" s="14"/>
      <c r="X1793" s="14"/>
      <c r="Y1793" s="14"/>
    </row>
    <row r="1794" spans="1:25" ht="15.75" x14ac:dyDescent="0.25">
      <c r="A1794" s="21"/>
      <c r="B1794" s="21"/>
      <c r="C1794" s="21"/>
      <c r="E1794" s="21"/>
      <c r="F1794" s="21"/>
      <c r="G1794" s="14"/>
      <c r="H1794" s="14"/>
      <c r="I1794" s="14"/>
      <c r="J1794" s="14"/>
      <c r="K1794" s="14"/>
      <c r="L1794" s="14"/>
      <c r="M1794" s="14"/>
      <c r="N1794" s="14"/>
      <c r="O1794" s="14"/>
      <c r="P1794" s="14"/>
      <c r="Q1794" s="14"/>
      <c r="R1794" s="14"/>
      <c r="S1794" s="14"/>
      <c r="T1794" s="14"/>
      <c r="U1794" s="14"/>
      <c r="V1794" s="14"/>
      <c r="W1794" s="14"/>
      <c r="X1794" s="14"/>
      <c r="Y1794" s="14"/>
    </row>
    <row r="1795" spans="1:25" ht="15.75" x14ac:dyDescent="0.25">
      <c r="A1795" s="21"/>
      <c r="B1795" s="21"/>
      <c r="C1795" s="21"/>
      <c r="E1795" s="21"/>
      <c r="F1795" s="21"/>
      <c r="G1795" s="14"/>
      <c r="H1795" s="14"/>
      <c r="I1795" s="14"/>
      <c r="J1795" s="14"/>
      <c r="K1795" s="14"/>
      <c r="L1795" s="14"/>
      <c r="M1795" s="14"/>
      <c r="N1795" s="14"/>
      <c r="O1795" s="14"/>
      <c r="P1795" s="14"/>
      <c r="Q1795" s="14"/>
      <c r="R1795" s="14"/>
      <c r="S1795" s="14"/>
      <c r="T1795" s="14"/>
      <c r="U1795" s="14"/>
      <c r="V1795" s="14"/>
      <c r="W1795" s="14"/>
      <c r="X1795" s="14"/>
      <c r="Y1795" s="14"/>
    </row>
    <row r="1796" spans="1:25" ht="15.75" x14ac:dyDescent="0.25">
      <c r="A1796" s="21"/>
      <c r="B1796" s="21"/>
      <c r="C1796" s="21"/>
      <c r="E1796" s="21"/>
      <c r="F1796" s="21"/>
      <c r="G1796" s="14"/>
      <c r="H1796" s="14"/>
      <c r="I1796" s="14"/>
      <c r="J1796" s="14"/>
      <c r="K1796" s="14"/>
      <c r="L1796" s="14"/>
      <c r="M1796" s="14"/>
      <c r="N1796" s="14"/>
      <c r="O1796" s="14"/>
      <c r="P1796" s="14"/>
      <c r="Q1796" s="14"/>
      <c r="R1796" s="14"/>
      <c r="S1796" s="14"/>
      <c r="T1796" s="14"/>
      <c r="U1796" s="14"/>
      <c r="V1796" s="14"/>
      <c r="W1796" s="14"/>
      <c r="X1796" s="14"/>
      <c r="Y1796" s="14"/>
    </row>
    <row r="1797" spans="1:25" ht="15.75" x14ac:dyDescent="0.25">
      <c r="A1797" s="21"/>
      <c r="B1797" s="21"/>
      <c r="C1797" s="21"/>
      <c r="E1797" s="21"/>
      <c r="F1797" s="21"/>
      <c r="G1797" s="14"/>
      <c r="H1797" s="14"/>
      <c r="I1797" s="14"/>
      <c r="J1797" s="14"/>
      <c r="K1797" s="14"/>
      <c r="L1797" s="14"/>
      <c r="M1797" s="14"/>
      <c r="N1797" s="14"/>
      <c r="O1797" s="14"/>
      <c r="P1797" s="14"/>
      <c r="Q1797" s="14"/>
      <c r="R1797" s="14"/>
      <c r="S1797" s="14"/>
      <c r="T1797" s="14"/>
      <c r="U1797" s="14"/>
      <c r="V1797" s="14"/>
      <c r="W1797" s="14"/>
      <c r="X1797" s="14"/>
      <c r="Y1797" s="14"/>
    </row>
    <row r="1798" spans="1:25" ht="15.75" x14ac:dyDescent="0.25">
      <c r="A1798" s="21"/>
      <c r="B1798" s="21"/>
      <c r="C1798" s="21"/>
      <c r="E1798" s="21"/>
      <c r="F1798" s="21"/>
      <c r="G1798" s="14"/>
      <c r="H1798" s="14"/>
      <c r="I1798" s="14"/>
      <c r="J1798" s="14"/>
      <c r="K1798" s="14"/>
      <c r="L1798" s="14"/>
      <c r="M1798" s="14"/>
      <c r="N1798" s="14"/>
      <c r="O1798" s="14"/>
      <c r="P1798" s="14"/>
      <c r="Q1798" s="14"/>
      <c r="R1798" s="14"/>
      <c r="S1798" s="14"/>
      <c r="T1798" s="14"/>
      <c r="U1798" s="14"/>
      <c r="V1798" s="14"/>
      <c r="W1798" s="14"/>
      <c r="X1798" s="14"/>
      <c r="Y1798" s="14"/>
    </row>
    <row r="1799" spans="1:25" ht="15.75" x14ac:dyDescent="0.25">
      <c r="A1799" s="21"/>
      <c r="B1799" s="21"/>
      <c r="C1799" s="21"/>
      <c r="E1799" s="21"/>
      <c r="F1799" s="21"/>
      <c r="G1799" s="14"/>
      <c r="H1799" s="14"/>
      <c r="I1799" s="14"/>
      <c r="J1799" s="14"/>
      <c r="K1799" s="14"/>
      <c r="L1799" s="14"/>
      <c r="M1799" s="14"/>
      <c r="N1799" s="14"/>
      <c r="O1799" s="14"/>
      <c r="P1799" s="14"/>
      <c r="Q1799" s="14"/>
      <c r="R1799" s="14"/>
      <c r="S1799" s="14"/>
      <c r="T1799" s="14"/>
      <c r="U1799" s="14"/>
      <c r="V1799" s="14"/>
      <c r="W1799" s="14"/>
      <c r="X1799" s="14"/>
      <c r="Y1799" s="14"/>
    </row>
    <row r="1800" spans="1:25" ht="15.75" x14ac:dyDescent="0.25">
      <c r="A1800" s="21"/>
      <c r="B1800" s="21"/>
      <c r="C1800" s="21"/>
      <c r="E1800" s="21"/>
      <c r="F1800" s="21"/>
      <c r="G1800" s="14"/>
      <c r="H1800" s="14"/>
      <c r="I1800" s="14"/>
      <c r="J1800" s="14"/>
      <c r="K1800" s="14"/>
      <c r="L1800" s="14"/>
      <c r="M1800" s="14"/>
      <c r="N1800" s="14"/>
      <c r="O1800" s="14"/>
      <c r="P1800" s="14"/>
      <c r="Q1800" s="14"/>
      <c r="R1800" s="14"/>
      <c r="S1800" s="14"/>
      <c r="T1800" s="14"/>
      <c r="U1800" s="14"/>
      <c r="V1800" s="14"/>
      <c r="W1800" s="14"/>
      <c r="X1800" s="14"/>
      <c r="Y1800" s="14"/>
    </row>
    <row r="1801" spans="1:25" ht="15.75" x14ac:dyDescent="0.25">
      <c r="A1801" s="21"/>
      <c r="B1801" s="21"/>
      <c r="C1801" s="21"/>
      <c r="E1801" s="21"/>
      <c r="F1801" s="21"/>
      <c r="G1801" s="14"/>
      <c r="H1801" s="14"/>
      <c r="I1801" s="14"/>
      <c r="J1801" s="14"/>
      <c r="K1801" s="14"/>
      <c r="L1801" s="14"/>
      <c r="M1801" s="14"/>
      <c r="N1801" s="14"/>
      <c r="O1801" s="14"/>
      <c r="P1801" s="14"/>
      <c r="Q1801" s="14"/>
      <c r="R1801" s="14"/>
      <c r="S1801" s="14"/>
      <c r="T1801" s="14"/>
      <c r="U1801" s="14"/>
      <c r="V1801" s="14"/>
      <c r="W1801" s="14"/>
      <c r="X1801" s="14"/>
      <c r="Y1801" s="14"/>
    </row>
    <row r="1802" spans="1:25" ht="15.75" x14ac:dyDescent="0.25">
      <c r="A1802" s="21"/>
      <c r="B1802" s="21"/>
      <c r="C1802" s="21"/>
      <c r="E1802" s="21"/>
      <c r="F1802" s="21"/>
      <c r="G1802" s="14"/>
      <c r="H1802" s="14"/>
      <c r="I1802" s="14"/>
      <c r="J1802" s="14"/>
      <c r="K1802" s="14"/>
      <c r="L1802" s="14"/>
      <c r="M1802" s="14"/>
      <c r="N1802" s="14"/>
      <c r="O1802" s="14"/>
      <c r="P1802" s="14"/>
      <c r="Q1802" s="14"/>
      <c r="R1802" s="14"/>
      <c r="S1802" s="14"/>
      <c r="T1802" s="14"/>
      <c r="U1802" s="14"/>
      <c r="V1802" s="14"/>
      <c r="W1802" s="14"/>
      <c r="X1802" s="14"/>
      <c r="Y1802" s="14"/>
    </row>
    <row r="1803" spans="1:25" ht="15.75" x14ac:dyDescent="0.25">
      <c r="A1803" s="21"/>
      <c r="B1803" s="21"/>
      <c r="C1803" s="21"/>
      <c r="E1803" s="21"/>
      <c r="F1803" s="21"/>
      <c r="G1803" s="14"/>
      <c r="H1803" s="14"/>
      <c r="I1803" s="14"/>
      <c r="J1803" s="14"/>
      <c r="K1803" s="14"/>
      <c r="L1803" s="14"/>
      <c r="M1803" s="14"/>
      <c r="N1803" s="14"/>
      <c r="O1803" s="14"/>
      <c r="P1803" s="14"/>
      <c r="Q1803" s="14"/>
      <c r="R1803" s="14"/>
      <c r="S1803" s="14"/>
      <c r="T1803" s="14"/>
      <c r="U1803" s="14"/>
      <c r="V1803" s="14"/>
      <c r="W1803" s="14"/>
      <c r="X1803" s="14"/>
      <c r="Y1803" s="14"/>
    </row>
    <row r="1804" spans="1:25" ht="15.75" x14ac:dyDescent="0.25">
      <c r="A1804" s="21"/>
      <c r="B1804" s="21"/>
      <c r="C1804" s="21"/>
      <c r="E1804" s="21"/>
      <c r="F1804" s="21"/>
      <c r="G1804" s="14"/>
      <c r="H1804" s="14"/>
      <c r="I1804" s="14"/>
      <c r="J1804" s="14"/>
      <c r="K1804" s="14"/>
      <c r="L1804" s="14"/>
      <c r="M1804" s="14"/>
      <c r="N1804" s="14"/>
      <c r="O1804" s="14"/>
      <c r="P1804" s="14"/>
      <c r="Q1804" s="14"/>
      <c r="R1804" s="14"/>
      <c r="S1804" s="14"/>
      <c r="T1804" s="14"/>
      <c r="U1804" s="14"/>
      <c r="V1804" s="14"/>
      <c r="W1804" s="14"/>
      <c r="X1804" s="14"/>
      <c r="Y1804" s="14"/>
    </row>
    <row r="1805" spans="1:25" ht="15.75" x14ac:dyDescent="0.25">
      <c r="A1805" s="21"/>
      <c r="B1805" s="21"/>
      <c r="C1805" s="21"/>
      <c r="E1805" s="21"/>
      <c r="F1805" s="21"/>
      <c r="G1805" s="14"/>
      <c r="H1805" s="14"/>
      <c r="I1805" s="14"/>
      <c r="J1805" s="14"/>
      <c r="K1805" s="14"/>
      <c r="L1805" s="14"/>
      <c r="M1805" s="14"/>
      <c r="N1805" s="14"/>
      <c r="O1805" s="14"/>
      <c r="P1805" s="14"/>
      <c r="Q1805" s="14"/>
      <c r="R1805" s="14"/>
      <c r="S1805" s="14"/>
      <c r="T1805" s="14"/>
      <c r="U1805" s="14"/>
      <c r="V1805" s="14"/>
      <c r="W1805" s="14"/>
      <c r="X1805" s="14"/>
      <c r="Y1805" s="14"/>
    </row>
    <row r="1806" spans="1:25" ht="15.75" x14ac:dyDescent="0.25">
      <c r="A1806" s="21"/>
      <c r="B1806" s="21"/>
      <c r="C1806" s="21"/>
      <c r="E1806" s="21"/>
      <c r="F1806" s="21"/>
      <c r="G1806" s="14"/>
      <c r="H1806" s="14"/>
      <c r="I1806" s="14"/>
      <c r="J1806" s="14"/>
      <c r="K1806" s="14"/>
      <c r="L1806" s="14"/>
      <c r="M1806" s="14"/>
      <c r="N1806" s="14"/>
      <c r="O1806" s="14"/>
      <c r="P1806" s="14"/>
      <c r="Q1806" s="14"/>
      <c r="R1806" s="14"/>
      <c r="S1806" s="14"/>
      <c r="T1806" s="14"/>
      <c r="U1806" s="14"/>
      <c r="V1806" s="14"/>
      <c r="W1806" s="14"/>
      <c r="X1806" s="14"/>
      <c r="Y1806" s="14"/>
    </row>
    <row r="1807" spans="1:25" ht="15.75" x14ac:dyDescent="0.25">
      <c r="A1807" s="21"/>
      <c r="B1807" s="21"/>
      <c r="C1807" s="21"/>
      <c r="E1807" s="21"/>
      <c r="F1807" s="21"/>
      <c r="G1807" s="14"/>
      <c r="H1807" s="14"/>
      <c r="I1807" s="14"/>
      <c r="J1807" s="14"/>
      <c r="K1807" s="14"/>
      <c r="L1807" s="14"/>
      <c r="M1807" s="14"/>
      <c r="N1807" s="14"/>
      <c r="O1807" s="14"/>
      <c r="P1807" s="14"/>
      <c r="Q1807" s="14"/>
      <c r="R1807" s="14"/>
      <c r="S1807" s="14"/>
      <c r="T1807" s="14"/>
      <c r="U1807" s="14"/>
      <c r="V1807" s="14"/>
      <c r="W1807" s="14"/>
      <c r="X1807" s="14"/>
      <c r="Y1807" s="14"/>
    </row>
    <row r="1808" spans="1:25" ht="15.75" x14ac:dyDescent="0.25">
      <c r="A1808" s="21"/>
      <c r="B1808" s="21"/>
      <c r="C1808" s="21"/>
      <c r="E1808" s="21"/>
      <c r="F1808" s="21"/>
      <c r="G1808" s="14"/>
      <c r="H1808" s="14"/>
      <c r="I1808" s="14"/>
      <c r="J1808" s="14"/>
      <c r="K1808" s="14"/>
      <c r="L1808" s="14"/>
      <c r="M1808" s="14"/>
      <c r="N1808" s="14"/>
      <c r="O1808" s="14"/>
      <c r="P1808" s="14"/>
      <c r="Q1808" s="14"/>
      <c r="R1808" s="14"/>
      <c r="S1808" s="14"/>
      <c r="T1808" s="14"/>
      <c r="U1808" s="14"/>
      <c r="V1808" s="14"/>
      <c r="W1808" s="14"/>
      <c r="X1808" s="14"/>
      <c r="Y1808" s="14"/>
    </row>
    <row r="1809" spans="1:25" ht="15.75" x14ac:dyDescent="0.25">
      <c r="A1809" s="21"/>
      <c r="B1809" s="21"/>
      <c r="C1809" s="21"/>
      <c r="E1809" s="21"/>
      <c r="F1809" s="21"/>
      <c r="G1809" s="14"/>
      <c r="H1809" s="14"/>
      <c r="I1809" s="14"/>
      <c r="J1809" s="14"/>
      <c r="K1809" s="14"/>
      <c r="L1809" s="14"/>
      <c r="M1809" s="14"/>
      <c r="N1809" s="14"/>
      <c r="O1809" s="14"/>
      <c r="P1809" s="14"/>
      <c r="Q1809" s="14"/>
      <c r="R1809" s="14"/>
      <c r="S1809" s="14"/>
      <c r="T1809" s="14"/>
      <c r="U1809" s="14"/>
      <c r="V1809" s="14"/>
      <c r="W1809" s="14"/>
      <c r="X1809" s="14"/>
      <c r="Y1809" s="14"/>
    </row>
    <row r="1810" spans="1:25" ht="15.75" x14ac:dyDescent="0.25">
      <c r="A1810" s="21"/>
      <c r="B1810" s="21"/>
      <c r="C1810" s="21"/>
      <c r="E1810" s="21"/>
      <c r="F1810" s="21"/>
      <c r="G1810" s="14"/>
      <c r="H1810" s="14"/>
      <c r="I1810" s="14"/>
      <c r="J1810" s="14"/>
      <c r="K1810" s="14"/>
      <c r="L1810" s="14"/>
      <c r="M1810" s="14"/>
      <c r="N1810" s="14"/>
      <c r="O1810" s="14"/>
      <c r="P1810" s="14"/>
      <c r="Q1810" s="14"/>
      <c r="R1810" s="14"/>
      <c r="S1810" s="14"/>
      <c r="T1810" s="14"/>
      <c r="U1810" s="14"/>
      <c r="V1810" s="14"/>
      <c r="W1810" s="14"/>
      <c r="X1810" s="14"/>
      <c r="Y1810" s="14"/>
    </row>
    <row r="1811" spans="1:25" ht="15.75" x14ac:dyDescent="0.25">
      <c r="A1811" s="21"/>
      <c r="B1811" s="21"/>
      <c r="C1811" s="21"/>
      <c r="E1811" s="21"/>
      <c r="F1811" s="21"/>
      <c r="G1811" s="14"/>
      <c r="H1811" s="14"/>
      <c r="I1811" s="14"/>
      <c r="J1811" s="14"/>
      <c r="K1811" s="14"/>
      <c r="L1811" s="14"/>
      <c r="M1811" s="14"/>
      <c r="N1811" s="14"/>
      <c r="O1811" s="14"/>
      <c r="P1811" s="14"/>
      <c r="Q1811" s="14"/>
      <c r="R1811" s="14"/>
      <c r="S1811" s="14"/>
      <c r="T1811" s="14"/>
      <c r="U1811" s="14"/>
      <c r="V1811" s="14"/>
      <c r="W1811" s="14"/>
      <c r="X1811" s="14"/>
      <c r="Y1811" s="14"/>
    </row>
    <row r="1812" spans="1:25" ht="15.75" x14ac:dyDescent="0.25">
      <c r="A1812" s="21"/>
      <c r="B1812" s="21"/>
      <c r="C1812" s="21"/>
      <c r="E1812" s="21"/>
      <c r="F1812" s="21"/>
      <c r="G1812" s="14"/>
      <c r="H1812" s="14"/>
      <c r="I1812" s="14"/>
      <c r="J1812" s="14"/>
      <c r="K1812" s="14"/>
      <c r="L1812" s="14"/>
      <c r="M1812" s="14"/>
      <c r="N1812" s="14"/>
      <c r="O1812" s="14"/>
      <c r="P1812" s="14"/>
      <c r="Q1812" s="14"/>
      <c r="R1812" s="14"/>
      <c r="S1812" s="14"/>
      <c r="T1812" s="14"/>
      <c r="U1812" s="14"/>
      <c r="V1812" s="14"/>
      <c r="W1812" s="14"/>
      <c r="X1812" s="14"/>
      <c r="Y1812" s="14"/>
    </row>
    <row r="1813" spans="1:25" ht="15.75" x14ac:dyDescent="0.25">
      <c r="A1813" s="21"/>
      <c r="B1813" s="21"/>
      <c r="C1813" s="21"/>
      <c r="E1813" s="21"/>
      <c r="F1813" s="21"/>
      <c r="G1813" s="14"/>
      <c r="H1813" s="14"/>
      <c r="I1813" s="14"/>
      <c r="J1813" s="14"/>
      <c r="K1813" s="14"/>
      <c r="L1813" s="14"/>
      <c r="M1813" s="14"/>
      <c r="N1813" s="14"/>
      <c r="O1813" s="14"/>
      <c r="P1813" s="14"/>
      <c r="Q1813" s="14"/>
      <c r="R1813" s="14"/>
      <c r="S1813" s="14"/>
      <c r="T1813" s="14"/>
      <c r="U1813" s="14"/>
      <c r="V1813" s="14"/>
      <c r="W1813" s="14"/>
      <c r="X1813" s="14"/>
      <c r="Y1813" s="14"/>
    </row>
    <row r="1814" spans="1:25" ht="15.75" x14ac:dyDescent="0.25">
      <c r="A1814" s="21"/>
      <c r="B1814" s="21"/>
      <c r="C1814" s="21"/>
      <c r="E1814" s="21"/>
      <c r="F1814" s="21"/>
      <c r="G1814" s="14"/>
      <c r="H1814" s="14"/>
      <c r="I1814" s="14"/>
      <c r="J1814" s="14"/>
      <c r="K1814" s="14"/>
      <c r="L1814" s="14"/>
      <c r="M1814" s="14"/>
      <c r="N1814" s="14"/>
      <c r="O1814" s="14"/>
      <c r="P1814" s="14"/>
      <c r="Q1814" s="14"/>
      <c r="R1814" s="14"/>
      <c r="S1814" s="14"/>
      <c r="T1814" s="14"/>
      <c r="U1814" s="14"/>
      <c r="V1814" s="14"/>
      <c r="W1814" s="14"/>
      <c r="X1814" s="14"/>
      <c r="Y1814" s="14"/>
    </row>
    <row r="1815" spans="1:25" ht="15.75" x14ac:dyDescent="0.25">
      <c r="A1815" s="21"/>
      <c r="B1815" s="21"/>
      <c r="C1815" s="21"/>
      <c r="E1815" s="21"/>
      <c r="F1815" s="21"/>
      <c r="G1815" s="14"/>
      <c r="H1815" s="14"/>
      <c r="I1815" s="14"/>
      <c r="J1815" s="14"/>
      <c r="K1815" s="14"/>
      <c r="L1815" s="14"/>
      <c r="M1815" s="14"/>
      <c r="N1815" s="14"/>
      <c r="O1815" s="14"/>
      <c r="P1815" s="14"/>
      <c r="Q1815" s="14"/>
      <c r="R1815" s="14"/>
      <c r="S1815" s="14"/>
      <c r="T1815" s="14"/>
      <c r="U1815" s="14"/>
      <c r="V1815" s="14"/>
      <c r="W1815" s="14"/>
      <c r="X1815" s="14"/>
      <c r="Y1815" s="14"/>
    </row>
    <row r="1816" spans="1:25" ht="15.75" x14ac:dyDescent="0.25">
      <c r="A1816" s="21"/>
      <c r="B1816" s="21"/>
      <c r="C1816" s="21"/>
      <c r="E1816" s="21"/>
      <c r="F1816" s="21"/>
      <c r="G1816" s="14"/>
      <c r="H1816" s="14"/>
      <c r="I1816" s="14"/>
      <c r="J1816" s="14"/>
      <c r="K1816" s="14"/>
      <c r="L1816" s="14"/>
      <c r="M1816" s="14"/>
      <c r="N1816" s="14"/>
      <c r="O1816" s="14"/>
      <c r="P1816" s="14"/>
      <c r="Q1816" s="14"/>
      <c r="R1816" s="14"/>
      <c r="S1816" s="14"/>
      <c r="T1816" s="14"/>
      <c r="U1816" s="14"/>
      <c r="V1816" s="14"/>
      <c r="W1816" s="14"/>
      <c r="X1816" s="14"/>
      <c r="Y1816" s="14"/>
    </row>
    <row r="1817" spans="1:25" ht="15.75" x14ac:dyDescent="0.25">
      <c r="A1817" s="21"/>
      <c r="B1817" s="21"/>
      <c r="C1817" s="21"/>
      <c r="E1817" s="21"/>
      <c r="F1817" s="21"/>
      <c r="G1817" s="14"/>
      <c r="H1817" s="14"/>
      <c r="I1817" s="14"/>
      <c r="J1817" s="14"/>
      <c r="K1817" s="14"/>
      <c r="L1817" s="14"/>
      <c r="M1817" s="14"/>
      <c r="N1817" s="14"/>
      <c r="O1817" s="14"/>
      <c r="P1817" s="14"/>
      <c r="Q1817" s="14"/>
      <c r="R1817" s="14"/>
      <c r="S1817" s="14"/>
      <c r="T1817" s="14"/>
      <c r="U1817" s="14"/>
      <c r="V1817" s="14"/>
      <c r="W1817" s="14"/>
      <c r="X1817" s="14"/>
      <c r="Y1817" s="14"/>
    </row>
    <row r="1818" spans="1:25" ht="15.75" x14ac:dyDescent="0.25">
      <c r="A1818" s="21"/>
      <c r="B1818" s="21"/>
      <c r="C1818" s="21"/>
      <c r="E1818" s="21"/>
      <c r="F1818" s="21"/>
      <c r="G1818" s="14"/>
      <c r="H1818" s="14"/>
      <c r="I1818" s="14"/>
      <c r="J1818" s="14"/>
      <c r="K1818" s="14"/>
      <c r="L1818" s="14"/>
      <c r="M1818" s="14"/>
      <c r="N1818" s="14"/>
      <c r="O1818" s="14"/>
      <c r="P1818" s="14"/>
      <c r="Q1818" s="14"/>
      <c r="R1818" s="14"/>
      <c r="S1818" s="14"/>
      <c r="T1818" s="14"/>
      <c r="U1818" s="14"/>
      <c r="V1818" s="14"/>
      <c r="W1818" s="14"/>
      <c r="X1818" s="14"/>
      <c r="Y1818" s="14"/>
    </row>
    <row r="1819" spans="1:25" ht="15.75" x14ac:dyDescent="0.25">
      <c r="A1819" s="21"/>
      <c r="B1819" s="21"/>
      <c r="C1819" s="21"/>
      <c r="E1819" s="21"/>
      <c r="F1819" s="21"/>
      <c r="G1819" s="14"/>
      <c r="H1819" s="14"/>
      <c r="I1819" s="14"/>
      <c r="J1819" s="14"/>
      <c r="K1819" s="14"/>
      <c r="L1819" s="14"/>
      <c r="M1819" s="14"/>
      <c r="N1819" s="14"/>
      <c r="O1819" s="14"/>
      <c r="P1819" s="14"/>
      <c r="Q1819" s="14"/>
      <c r="R1819" s="14"/>
      <c r="S1819" s="14"/>
      <c r="T1819" s="14"/>
      <c r="U1819" s="14"/>
      <c r="V1819" s="14"/>
      <c r="W1819" s="14"/>
      <c r="X1819" s="14"/>
      <c r="Y1819" s="14"/>
    </row>
    <row r="1820" spans="1:25" ht="15.75" x14ac:dyDescent="0.25">
      <c r="A1820" s="21"/>
      <c r="B1820" s="21"/>
      <c r="C1820" s="21"/>
      <c r="E1820" s="21"/>
      <c r="F1820" s="21"/>
      <c r="G1820" s="14"/>
      <c r="H1820" s="14"/>
      <c r="I1820" s="14"/>
      <c r="J1820" s="14"/>
      <c r="K1820" s="14"/>
      <c r="L1820" s="14"/>
      <c r="M1820" s="14"/>
      <c r="N1820" s="14"/>
      <c r="O1820" s="14"/>
      <c r="P1820" s="14"/>
      <c r="Q1820" s="14"/>
      <c r="R1820" s="14"/>
      <c r="S1820" s="14"/>
      <c r="T1820" s="14"/>
      <c r="U1820" s="14"/>
      <c r="V1820" s="14"/>
      <c r="W1820" s="14"/>
      <c r="X1820" s="14"/>
      <c r="Y1820" s="14"/>
    </row>
    <row r="1821" spans="1:25" ht="15.75" x14ac:dyDescent="0.25">
      <c r="A1821" s="21"/>
      <c r="B1821" s="21"/>
      <c r="C1821" s="21"/>
      <c r="E1821" s="21"/>
      <c r="F1821" s="21"/>
      <c r="G1821" s="14"/>
      <c r="H1821" s="14"/>
      <c r="I1821" s="14"/>
      <c r="J1821" s="14"/>
      <c r="K1821" s="14"/>
      <c r="L1821" s="14"/>
      <c r="M1821" s="14"/>
      <c r="N1821" s="14"/>
      <c r="O1821" s="14"/>
      <c r="P1821" s="14"/>
      <c r="Q1821" s="14"/>
      <c r="R1821" s="14"/>
      <c r="S1821" s="14"/>
      <c r="T1821" s="14"/>
      <c r="U1821" s="14"/>
      <c r="V1821" s="14"/>
      <c r="W1821" s="14"/>
      <c r="X1821" s="14"/>
      <c r="Y1821" s="14"/>
    </row>
    <row r="1822" spans="1:25" ht="15.75" x14ac:dyDescent="0.25">
      <c r="A1822" s="21"/>
      <c r="B1822" s="21"/>
      <c r="C1822" s="21"/>
      <c r="E1822" s="21"/>
      <c r="F1822" s="21"/>
      <c r="G1822" s="14"/>
      <c r="H1822" s="14"/>
      <c r="I1822" s="14"/>
      <c r="J1822" s="14"/>
      <c r="K1822" s="14"/>
      <c r="L1822" s="14"/>
      <c r="M1822" s="14"/>
      <c r="N1822" s="14"/>
      <c r="O1822" s="14"/>
      <c r="P1822" s="14"/>
      <c r="Q1822" s="14"/>
      <c r="R1822" s="14"/>
      <c r="S1822" s="14"/>
      <c r="T1822" s="14"/>
      <c r="U1822" s="14"/>
      <c r="V1822" s="14"/>
      <c r="W1822" s="14"/>
      <c r="X1822" s="14"/>
      <c r="Y1822" s="14"/>
    </row>
    <row r="1823" spans="1:25" ht="15.75" x14ac:dyDescent="0.25">
      <c r="A1823" s="21"/>
      <c r="B1823" s="21"/>
      <c r="C1823" s="21"/>
      <c r="E1823" s="21"/>
      <c r="F1823" s="21"/>
      <c r="G1823" s="14"/>
      <c r="H1823" s="14"/>
      <c r="I1823" s="14"/>
      <c r="J1823" s="14"/>
      <c r="K1823" s="14"/>
      <c r="L1823" s="14"/>
      <c r="M1823" s="14"/>
      <c r="N1823" s="14"/>
      <c r="O1823" s="14"/>
      <c r="P1823" s="14"/>
      <c r="Q1823" s="14"/>
      <c r="R1823" s="14"/>
      <c r="S1823" s="14"/>
      <c r="T1823" s="14"/>
      <c r="U1823" s="14"/>
      <c r="V1823" s="14"/>
      <c r="W1823" s="14"/>
      <c r="X1823" s="14"/>
      <c r="Y1823" s="14"/>
    </row>
    <row r="1824" spans="1:25" ht="15.75" x14ac:dyDescent="0.25">
      <c r="A1824" s="21"/>
      <c r="B1824" s="21"/>
      <c r="C1824" s="21"/>
      <c r="E1824" s="21"/>
      <c r="F1824" s="21"/>
      <c r="G1824" s="14"/>
      <c r="H1824" s="14"/>
      <c r="I1824" s="14"/>
      <c r="J1824" s="14"/>
      <c r="K1824" s="14"/>
      <c r="L1824" s="14"/>
      <c r="M1824" s="14"/>
      <c r="N1824" s="14"/>
      <c r="O1824" s="14"/>
      <c r="P1824" s="14"/>
      <c r="Q1824" s="14"/>
      <c r="R1824" s="14"/>
      <c r="S1824" s="14"/>
      <c r="T1824" s="14"/>
      <c r="U1824" s="14"/>
      <c r="V1824" s="14"/>
      <c r="W1824" s="14"/>
      <c r="X1824" s="14"/>
      <c r="Y1824" s="14"/>
    </row>
    <row r="1825" spans="1:25" ht="15.75" x14ac:dyDescent="0.25">
      <c r="A1825" s="21"/>
      <c r="B1825" s="21"/>
      <c r="C1825" s="21"/>
      <c r="E1825" s="21"/>
      <c r="F1825" s="21"/>
      <c r="G1825" s="14"/>
      <c r="H1825" s="14"/>
      <c r="I1825" s="14"/>
      <c r="J1825" s="14"/>
      <c r="K1825" s="14"/>
      <c r="L1825" s="14"/>
      <c r="M1825" s="14"/>
      <c r="N1825" s="14"/>
      <c r="O1825" s="14"/>
      <c r="P1825" s="14"/>
      <c r="Q1825" s="14"/>
      <c r="R1825" s="14"/>
      <c r="S1825" s="14"/>
      <c r="T1825" s="14"/>
      <c r="U1825" s="14"/>
      <c r="V1825" s="14"/>
      <c r="W1825" s="14"/>
      <c r="X1825" s="14"/>
      <c r="Y1825" s="14"/>
    </row>
    <row r="1826" spans="1:25" ht="15.75" x14ac:dyDescent="0.25">
      <c r="A1826" s="21"/>
      <c r="B1826" s="21"/>
      <c r="C1826" s="21"/>
      <c r="E1826" s="21"/>
      <c r="F1826" s="21"/>
      <c r="G1826" s="14"/>
      <c r="H1826" s="14"/>
      <c r="I1826" s="14"/>
      <c r="J1826" s="14"/>
      <c r="K1826" s="14"/>
      <c r="L1826" s="14"/>
      <c r="M1826" s="14"/>
      <c r="N1826" s="14"/>
      <c r="O1826" s="14"/>
      <c r="P1826" s="14"/>
      <c r="Q1826" s="14"/>
      <c r="R1826" s="14"/>
      <c r="S1826" s="14"/>
      <c r="T1826" s="14"/>
      <c r="U1826" s="14"/>
      <c r="V1826" s="14"/>
      <c r="W1826" s="14"/>
      <c r="X1826" s="14"/>
      <c r="Y1826" s="14"/>
    </row>
    <row r="1827" spans="1:25" ht="15.75" x14ac:dyDescent="0.25">
      <c r="A1827" s="21"/>
      <c r="B1827" s="21"/>
      <c r="C1827" s="21"/>
      <c r="E1827" s="21"/>
      <c r="F1827" s="21"/>
      <c r="G1827" s="14"/>
      <c r="H1827" s="14"/>
      <c r="I1827" s="14"/>
      <c r="J1827" s="14"/>
      <c r="K1827" s="14"/>
      <c r="L1827" s="14"/>
      <c r="M1827" s="14"/>
      <c r="N1827" s="14"/>
      <c r="O1827" s="14"/>
      <c r="P1827" s="14"/>
      <c r="Q1827" s="14"/>
      <c r="R1827" s="14"/>
      <c r="S1827" s="14"/>
      <c r="T1827" s="14"/>
      <c r="U1827" s="14"/>
      <c r="V1827" s="14"/>
      <c r="W1827" s="14"/>
      <c r="X1827" s="14"/>
      <c r="Y1827" s="14"/>
    </row>
    <row r="1828" spans="1:25" ht="15.75" x14ac:dyDescent="0.25">
      <c r="A1828" s="21"/>
      <c r="B1828" s="21"/>
      <c r="C1828" s="21"/>
      <c r="E1828" s="21"/>
      <c r="F1828" s="21"/>
      <c r="G1828" s="14"/>
      <c r="H1828" s="14"/>
      <c r="I1828" s="14"/>
      <c r="J1828" s="14"/>
      <c r="K1828" s="14"/>
      <c r="L1828" s="14"/>
      <c r="M1828" s="14"/>
      <c r="N1828" s="14"/>
      <c r="O1828" s="14"/>
      <c r="P1828" s="14"/>
      <c r="Q1828" s="14"/>
      <c r="R1828" s="14"/>
      <c r="S1828" s="14"/>
      <c r="T1828" s="14"/>
      <c r="U1828" s="14"/>
      <c r="V1828" s="14"/>
      <c r="W1828" s="14"/>
      <c r="X1828" s="14"/>
      <c r="Y1828" s="14"/>
    </row>
    <row r="1829" spans="1:25" ht="15.75" x14ac:dyDescent="0.25">
      <c r="A1829" s="21"/>
      <c r="B1829" s="21"/>
      <c r="C1829" s="21"/>
      <c r="E1829" s="21"/>
      <c r="F1829" s="21"/>
      <c r="G1829" s="14"/>
      <c r="H1829" s="14"/>
      <c r="I1829" s="14"/>
      <c r="J1829" s="14"/>
      <c r="K1829" s="14"/>
      <c r="L1829" s="14"/>
      <c r="M1829" s="14"/>
      <c r="N1829" s="14"/>
      <c r="O1829" s="14"/>
      <c r="P1829" s="14"/>
      <c r="Q1829" s="14"/>
      <c r="R1829" s="14"/>
      <c r="S1829" s="14"/>
      <c r="T1829" s="14"/>
      <c r="U1829" s="14"/>
      <c r="V1829" s="14"/>
      <c r="W1829" s="14"/>
      <c r="X1829" s="14"/>
      <c r="Y1829" s="14"/>
    </row>
    <row r="1830" spans="1:25" ht="15.75" x14ac:dyDescent="0.25">
      <c r="A1830" s="21"/>
      <c r="B1830" s="21"/>
      <c r="C1830" s="21"/>
      <c r="E1830" s="21"/>
      <c r="F1830" s="21"/>
      <c r="G1830" s="14"/>
      <c r="H1830" s="14"/>
      <c r="I1830" s="14"/>
      <c r="J1830" s="14"/>
      <c r="K1830" s="14"/>
      <c r="L1830" s="14"/>
      <c r="M1830" s="14"/>
      <c r="N1830" s="14"/>
      <c r="O1830" s="14"/>
      <c r="P1830" s="14"/>
      <c r="Q1830" s="14"/>
      <c r="R1830" s="14"/>
      <c r="S1830" s="14"/>
      <c r="T1830" s="14"/>
      <c r="U1830" s="14"/>
      <c r="V1830" s="14"/>
      <c r="W1830" s="14"/>
      <c r="X1830" s="14"/>
      <c r="Y1830" s="14"/>
    </row>
    <row r="1831" spans="1:25" ht="15.75" x14ac:dyDescent="0.25">
      <c r="A1831" s="21"/>
      <c r="B1831" s="21"/>
      <c r="C1831" s="21"/>
      <c r="E1831" s="21"/>
      <c r="F1831" s="21"/>
      <c r="G1831" s="14"/>
      <c r="H1831" s="14"/>
      <c r="I1831" s="14"/>
      <c r="J1831" s="14"/>
      <c r="K1831" s="14"/>
      <c r="L1831" s="14"/>
      <c r="M1831" s="14"/>
      <c r="N1831" s="14"/>
      <c r="O1831" s="14"/>
      <c r="P1831" s="14"/>
      <c r="Q1831" s="14"/>
      <c r="R1831" s="14"/>
      <c r="S1831" s="14"/>
      <c r="T1831" s="14"/>
      <c r="U1831" s="14"/>
      <c r="V1831" s="14"/>
      <c r="W1831" s="14"/>
      <c r="X1831" s="14"/>
      <c r="Y1831" s="14"/>
    </row>
    <row r="1832" spans="1:25" ht="15.75" x14ac:dyDescent="0.25">
      <c r="A1832" s="21"/>
      <c r="B1832" s="21"/>
      <c r="C1832" s="21"/>
      <c r="E1832" s="21"/>
      <c r="F1832" s="21"/>
      <c r="G1832" s="14"/>
      <c r="H1832" s="14"/>
      <c r="I1832" s="14"/>
      <c r="J1832" s="14"/>
      <c r="K1832" s="14"/>
      <c r="L1832" s="14"/>
      <c r="M1832" s="14"/>
      <c r="N1832" s="14"/>
      <c r="O1832" s="14"/>
      <c r="P1832" s="14"/>
      <c r="Q1832" s="14"/>
      <c r="R1832" s="14"/>
      <c r="S1832" s="14"/>
      <c r="T1832" s="14"/>
      <c r="U1832" s="14"/>
      <c r="V1832" s="14"/>
      <c r="W1832" s="14"/>
      <c r="X1832" s="14"/>
      <c r="Y1832" s="14"/>
    </row>
    <row r="1833" spans="1:25" ht="15.75" x14ac:dyDescent="0.25">
      <c r="A1833" s="21"/>
      <c r="B1833" s="21"/>
      <c r="C1833" s="21"/>
      <c r="E1833" s="21"/>
      <c r="F1833" s="21"/>
      <c r="G1833" s="14"/>
      <c r="H1833" s="14"/>
      <c r="I1833" s="14"/>
      <c r="J1833" s="14"/>
      <c r="K1833" s="14"/>
      <c r="L1833" s="14"/>
      <c r="M1833" s="14"/>
      <c r="N1833" s="14"/>
      <c r="O1833" s="14"/>
      <c r="P1833" s="14"/>
      <c r="Q1833" s="14"/>
      <c r="R1833" s="14"/>
      <c r="S1833" s="14"/>
      <c r="T1833" s="14"/>
      <c r="U1833" s="14"/>
      <c r="V1833" s="14"/>
      <c r="W1833" s="14"/>
      <c r="X1833" s="14"/>
      <c r="Y1833" s="14"/>
    </row>
    <row r="1834" spans="1:25" ht="15.75" x14ac:dyDescent="0.25">
      <c r="A1834" s="21"/>
      <c r="B1834" s="21"/>
      <c r="C1834" s="21"/>
      <c r="E1834" s="21"/>
      <c r="F1834" s="21"/>
      <c r="G1834" s="14"/>
      <c r="H1834" s="14"/>
      <c r="I1834" s="14"/>
      <c r="J1834" s="14"/>
      <c r="K1834" s="14"/>
      <c r="L1834" s="14"/>
      <c r="M1834" s="14"/>
      <c r="N1834" s="14"/>
      <c r="O1834" s="14"/>
      <c r="P1834" s="14"/>
      <c r="Q1834" s="14"/>
      <c r="R1834" s="14"/>
      <c r="S1834" s="14"/>
      <c r="T1834" s="14"/>
      <c r="U1834" s="14"/>
      <c r="V1834" s="14"/>
      <c r="W1834" s="14"/>
      <c r="X1834" s="14"/>
      <c r="Y1834" s="14"/>
    </row>
    <row r="1835" spans="1:25" ht="15.75" x14ac:dyDescent="0.25">
      <c r="A1835" s="21"/>
      <c r="B1835" s="21"/>
      <c r="C1835" s="21"/>
      <c r="E1835" s="21"/>
      <c r="F1835" s="21"/>
      <c r="G1835" s="14"/>
      <c r="H1835" s="14"/>
      <c r="I1835" s="14"/>
      <c r="J1835" s="14"/>
      <c r="K1835" s="14"/>
      <c r="L1835" s="14"/>
      <c r="M1835" s="14"/>
      <c r="N1835" s="14"/>
      <c r="O1835" s="14"/>
      <c r="P1835" s="14"/>
      <c r="Q1835" s="14"/>
      <c r="R1835" s="14"/>
      <c r="S1835" s="14"/>
      <c r="T1835" s="14"/>
      <c r="U1835" s="14"/>
      <c r="V1835" s="14"/>
      <c r="W1835" s="14"/>
      <c r="X1835" s="14"/>
      <c r="Y1835" s="14"/>
    </row>
    <row r="1836" spans="1:25" ht="15.75" x14ac:dyDescent="0.25">
      <c r="A1836" s="21"/>
      <c r="B1836" s="21"/>
      <c r="C1836" s="21"/>
      <c r="E1836" s="21"/>
      <c r="F1836" s="21"/>
      <c r="G1836" s="14"/>
      <c r="H1836" s="14"/>
      <c r="I1836" s="14"/>
      <c r="J1836" s="14"/>
      <c r="K1836" s="14"/>
      <c r="L1836" s="14"/>
      <c r="M1836" s="14"/>
      <c r="N1836" s="14"/>
      <c r="O1836" s="14"/>
      <c r="P1836" s="14"/>
      <c r="Q1836" s="14"/>
      <c r="R1836" s="14"/>
      <c r="S1836" s="14"/>
      <c r="T1836" s="14"/>
      <c r="U1836" s="14"/>
      <c r="V1836" s="14"/>
      <c r="W1836" s="14"/>
      <c r="X1836" s="14"/>
      <c r="Y1836" s="14"/>
    </row>
    <row r="1837" spans="1:25" ht="15.75" x14ac:dyDescent="0.25">
      <c r="A1837" s="21"/>
      <c r="B1837" s="21"/>
      <c r="C1837" s="21"/>
      <c r="E1837" s="21"/>
      <c r="F1837" s="21"/>
      <c r="G1837" s="14"/>
      <c r="H1837" s="14"/>
      <c r="I1837" s="14"/>
      <c r="J1837" s="14"/>
      <c r="K1837" s="14"/>
      <c r="L1837" s="14"/>
      <c r="M1837" s="14"/>
      <c r="N1837" s="14"/>
      <c r="O1837" s="14"/>
      <c r="P1837" s="14"/>
      <c r="Q1837" s="14"/>
      <c r="R1837" s="14"/>
      <c r="S1837" s="14"/>
      <c r="T1837" s="14"/>
      <c r="U1837" s="14"/>
      <c r="V1837" s="14"/>
      <c r="W1837" s="14"/>
      <c r="X1837" s="14"/>
      <c r="Y1837" s="14"/>
    </row>
    <row r="1838" spans="1:25" ht="15.75" x14ac:dyDescent="0.25">
      <c r="A1838" s="21"/>
      <c r="B1838" s="21"/>
      <c r="C1838" s="21"/>
      <c r="E1838" s="21"/>
      <c r="F1838" s="21"/>
      <c r="G1838" s="14"/>
      <c r="H1838" s="14"/>
      <c r="I1838" s="14"/>
      <c r="J1838" s="14"/>
      <c r="K1838" s="14"/>
      <c r="L1838" s="14"/>
      <c r="M1838" s="14"/>
      <c r="N1838" s="14"/>
      <c r="O1838" s="14"/>
      <c r="P1838" s="14"/>
      <c r="Q1838" s="14"/>
      <c r="R1838" s="14"/>
      <c r="S1838" s="14"/>
      <c r="T1838" s="14"/>
      <c r="U1838" s="14"/>
      <c r="V1838" s="14"/>
      <c r="W1838" s="14"/>
      <c r="X1838" s="14"/>
      <c r="Y1838" s="14"/>
    </row>
    <row r="1839" spans="1:25" ht="15.75" x14ac:dyDescent="0.25">
      <c r="A1839" s="21"/>
      <c r="B1839" s="21"/>
      <c r="C1839" s="21"/>
      <c r="E1839" s="21"/>
      <c r="F1839" s="21"/>
      <c r="G1839" s="14"/>
      <c r="H1839" s="14"/>
      <c r="I1839" s="14"/>
      <c r="J1839" s="14"/>
      <c r="K1839" s="14"/>
      <c r="L1839" s="14"/>
      <c r="M1839" s="14"/>
      <c r="N1839" s="14"/>
      <c r="O1839" s="14"/>
      <c r="P1839" s="14"/>
      <c r="Q1839" s="14"/>
      <c r="R1839" s="14"/>
      <c r="S1839" s="14"/>
      <c r="T1839" s="14"/>
      <c r="U1839" s="14"/>
      <c r="V1839" s="14"/>
      <c r="W1839" s="14"/>
      <c r="X1839" s="14"/>
      <c r="Y1839" s="14"/>
    </row>
    <row r="1840" spans="1:25" ht="15.75" x14ac:dyDescent="0.25">
      <c r="A1840" s="21"/>
      <c r="B1840" s="21"/>
      <c r="C1840" s="21"/>
      <c r="E1840" s="21"/>
      <c r="F1840" s="21"/>
      <c r="G1840" s="14"/>
      <c r="H1840" s="14"/>
      <c r="I1840" s="14"/>
      <c r="J1840" s="14"/>
      <c r="K1840" s="14"/>
      <c r="L1840" s="14"/>
      <c r="M1840" s="14"/>
      <c r="N1840" s="14"/>
      <c r="O1840" s="14"/>
      <c r="P1840" s="14"/>
      <c r="Q1840" s="14"/>
      <c r="R1840" s="14"/>
      <c r="S1840" s="14"/>
      <c r="T1840" s="14"/>
      <c r="U1840" s="14"/>
      <c r="V1840" s="14"/>
      <c r="W1840" s="14"/>
      <c r="X1840" s="14"/>
      <c r="Y1840" s="14"/>
    </row>
    <row r="1841" spans="1:25" ht="15.75" x14ac:dyDescent="0.25">
      <c r="A1841" s="21"/>
      <c r="B1841" s="21"/>
      <c r="C1841" s="21"/>
      <c r="E1841" s="21"/>
      <c r="F1841" s="21"/>
      <c r="G1841" s="14"/>
      <c r="H1841" s="14"/>
      <c r="I1841" s="14"/>
      <c r="J1841" s="14"/>
      <c r="K1841" s="14"/>
      <c r="L1841" s="14"/>
      <c r="M1841" s="14"/>
      <c r="N1841" s="14"/>
      <c r="O1841" s="14"/>
      <c r="P1841" s="14"/>
      <c r="Q1841" s="14"/>
      <c r="R1841" s="14"/>
      <c r="S1841" s="14"/>
      <c r="T1841" s="14"/>
      <c r="U1841" s="14"/>
      <c r="V1841" s="14"/>
      <c r="W1841" s="14"/>
      <c r="X1841" s="14"/>
      <c r="Y1841" s="14"/>
    </row>
    <row r="1842" spans="1:25" ht="15.75" x14ac:dyDescent="0.25">
      <c r="A1842" s="21"/>
      <c r="B1842" s="21"/>
      <c r="C1842" s="21"/>
      <c r="E1842" s="21"/>
      <c r="F1842" s="21"/>
      <c r="G1842" s="14"/>
      <c r="H1842" s="14"/>
      <c r="I1842" s="14"/>
      <c r="J1842" s="14"/>
      <c r="K1842" s="14"/>
      <c r="L1842" s="14"/>
      <c r="M1842" s="14"/>
      <c r="N1842" s="14"/>
      <c r="O1842" s="14"/>
      <c r="P1842" s="14"/>
      <c r="Q1842" s="14"/>
      <c r="R1842" s="14"/>
      <c r="S1842" s="14"/>
      <c r="T1842" s="14"/>
      <c r="U1842" s="14"/>
      <c r="V1842" s="14"/>
      <c r="W1842" s="14"/>
      <c r="X1842" s="14"/>
      <c r="Y1842" s="14"/>
    </row>
    <row r="1843" spans="1:25" ht="15.75" x14ac:dyDescent="0.25">
      <c r="A1843" s="21"/>
      <c r="B1843" s="21"/>
      <c r="C1843" s="21"/>
      <c r="E1843" s="21"/>
      <c r="F1843" s="21"/>
      <c r="G1843" s="14"/>
      <c r="H1843" s="14"/>
      <c r="I1843" s="14"/>
      <c r="J1843" s="14"/>
      <c r="K1843" s="14"/>
      <c r="L1843" s="14"/>
      <c r="M1843" s="14"/>
      <c r="N1843" s="14"/>
      <c r="O1843" s="14"/>
      <c r="P1843" s="14"/>
      <c r="Q1843" s="14"/>
      <c r="R1843" s="14"/>
      <c r="S1843" s="14"/>
      <c r="T1843" s="14"/>
      <c r="U1843" s="14"/>
      <c r="V1843" s="14"/>
      <c r="W1843" s="14"/>
      <c r="X1843" s="14"/>
      <c r="Y1843" s="14"/>
    </row>
    <row r="1844" spans="1:25" ht="15.75" x14ac:dyDescent="0.25">
      <c r="A1844" s="21"/>
      <c r="B1844" s="21"/>
      <c r="C1844" s="21"/>
      <c r="E1844" s="21"/>
      <c r="F1844" s="21"/>
      <c r="G1844" s="14"/>
      <c r="H1844" s="14"/>
      <c r="I1844" s="14"/>
      <c r="J1844" s="14"/>
      <c r="K1844" s="14"/>
      <c r="L1844" s="14"/>
      <c r="M1844" s="14"/>
      <c r="N1844" s="14"/>
      <c r="O1844" s="14"/>
      <c r="P1844" s="14"/>
      <c r="Q1844" s="14"/>
      <c r="R1844" s="14"/>
      <c r="S1844" s="14"/>
      <c r="T1844" s="14"/>
      <c r="U1844" s="14"/>
      <c r="V1844" s="14"/>
      <c r="W1844" s="14"/>
      <c r="X1844" s="14"/>
      <c r="Y1844" s="14"/>
    </row>
    <row r="1845" spans="1:25" ht="15.75" x14ac:dyDescent="0.25">
      <c r="A1845" s="21"/>
      <c r="B1845" s="21"/>
      <c r="C1845" s="21"/>
      <c r="E1845" s="21"/>
      <c r="F1845" s="21"/>
      <c r="G1845" s="14"/>
      <c r="H1845" s="14"/>
      <c r="I1845" s="14"/>
      <c r="J1845" s="14"/>
      <c r="K1845" s="14"/>
      <c r="L1845" s="14"/>
      <c r="M1845" s="14"/>
      <c r="N1845" s="14"/>
      <c r="O1845" s="14"/>
      <c r="P1845" s="14"/>
      <c r="Q1845" s="14"/>
      <c r="R1845" s="14"/>
      <c r="S1845" s="14"/>
      <c r="T1845" s="14"/>
      <c r="U1845" s="14"/>
      <c r="V1845" s="14"/>
      <c r="W1845" s="14"/>
      <c r="X1845" s="14"/>
      <c r="Y1845" s="14"/>
    </row>
    <row r="1846" spans="1:25" ht="15.75" x14ac:dyDescent="0.25">
      <c r="A1846" s="21"/>
      <c r="B1846" s="21"/>
      <c r="C1846" s="21"/>
      <c r="E1846" s="21"/>
      <c r="F1846" s="21"/>
      <c r="G1846" s="14"/>
      <c r="H1846" s="14"/>
      <c r="I1846" s="14"/>
      <c r="J1846" s="14"/>
      <c r="K1846" s="14"/>
      <c r="L1846" s="14"/>
      <c r="M1846" s="14"/>
      <c r="N1846" s="14"/>
      <c r="O1846" s="14"/>
      <c r="P1846" s="14"/>
      <c r="Q1846" s="14"/>
      <c r="R1846" s="14"/>
      <c r="S1846" s="14"/>
      <c r="T1846" s="14"/>
      <c r="U1846" s="14"/>
      <c r="V1846" s="14"/>
      <c r="W1846" s="14"/>
      <c r="X1846" s="14"/>
      <c r="Y1846" s="14"/>
    </row>
    <row r="1847" spans="1:25" ht="15.75" x14ac:dyDescent="0.25">
      <c r="A1847" s="21"/>
      <c r="B1847" s="21"/>
      <c r="C1847" s="21"/>
      <c r="E1847" s="21"/>
      <c r="F1847" s="21"/>
      <c r="G1847" s="14"/>
      <c r="H1847" s="14"/>
      <c r="I1847" s="14"/>
      <c r="J1847" s="14"/>
      <c r="K1847" s="14"/>
      <c r="L1847" s="14"/>
      <c r="M1847" s="14"/>
      <c r="N1847" s="14"/>
      <c r="O1847" s="14"/>
      <c r="P1847" s="14"/>
      <c r="Q1847" s="14"/>
      <c r="R1847" s="14"/>
      <c r="S1847" s="14"/>
      <c r="T1847" s="14"/>
      <c r="U1847" s="14"/>
      <c r="V1847" s="14"/>
      <c r="W1847" s="14"/>
      <c r="X1847" s="14"/>
      <c r="Y1847" s="14"/>
    </row>
    <row r="1848" spans="1:25" ht="15.75" x14ac:dyDescent="0.25">
      <c r="A1848" s="21"/>
      <c r="B1848" s="21"/>
      <c r="C1848" s="21"/>
      <c r="E1848" s="21"/>
      <c r="F1848" s="21"/>
      <c r="G1848" s="14"/>
      <c r="H1848" s="14"/>
      <c r="I1848" s="14"/>
      <c r="J1848" s="14"/>
      <c r="K1848" s="14"/>
      <c r="L1848" s="14"/>
      <c r="M1848" s="14"/>
      <c r="N1848" s="14"/>
      <c r="O1848" s="14"/>
      <c r="P1848" s="14"/>
      <c r="Q1848" s="14"/>
      <c r="R1848" s="14"/>
      <c r="S1848" s="14"/>
      <c r="T1848" s="14"/>
      <c r="U1848" s="14"/>
      <c r="V1848" s="14"/>
      <c r="W1848" s="14"/>
      <c r="X1848" s="14"/>
      <c r="Y1848" s="14"/>
    </row>
    <row r="1849" spans="1:25" ht="15.75" x14ac:dyDescent="0.25">
      <c r="A1849" s="21"/>
      <c r="B1849" s="21"/>
      <c r="C1849" s="21"/>
      <c r="E1849" s="21"/>
      <c r="F1849" s="21"/>
      <c r="G1849" s="14"/>
      <c r="H1849" s="14"/>
      <c r="I1849" s="14"/>
      <c r="J1849" s="14"/>
      <c r="K1849" s="14"/>
      <c r="L1849" s="14"/>
      <c r="M1849" s="14"/>
      <c r="N1849" s="14"/>
      <c r="O1849" s="14"/>
      <c r="P1849" s="14"/>
      <c r="Q1849" s="14"/>
      <c r="R1849" s="14"/>
      <c r="S1849" s="14"/>
      <c r="T1849" s="14"/>
      <c r="U1849" s="14"/>
      <c r="V1849" s="14"/>
      <c r="W1849" s="14"/>
      <c r="X1849" s="14"/>
      <c r="Y1849" s="14"/>
    </row>
    <row r="1850" spans="1:25" ht="15.75" x14ac:dyDescent="0.25">
      <c r="A1850" s="21"/>
      <c r="B1850" s="21"/>
      <c r="C1850" s="21"/>
      <c r="E1850" s="21"/>
      <c r="F1850" s="21"/>
      <c r="G1850" s="14"/>
      <c r="H1850" s="14"/>
      <c r="I1850" s="14"/>
      <c r="J1850" s="14"/>
      <c r="K1850" s="14"/>
      <c r="L1850" s="14"/>
      <c r="M1850" s="14"/>
      <c r="N1850" s="14"/>
      <c r="O1850" s="14"/>
      <c r="P1850" s="14"/>
      <c r="Q1850" s="14"/>
      <c r="R1850" s="14"/>
      <c r="S1850" s="14"/>
      <c r="T1850" s="14"/>
      <c r="U1850" s="14"/>
      <c r="V1850" s="14"/>
      <c r="W1850" s="14"/>
      <c r="X1850" s="14"/>
      <c r="Y1850" s="14"/>
    </row>
    <row r="1851" spans="1:25" ht="15.75" x14ac:dyDescent="0.25">
      <c r="A1851" s="21"/>
      <c r="B1851" s="21"/>
      <c r="C1851" s="21"/>
      <c r="E1851" s="21"/>
      <c r="F1851" s="21"/>
      <c r="G1851" s="14"/>
      <c r="H1851" s="14"/>
      <c r="I1851" s="14"/>
      <c r="J1851" s="14"/>
      <c r="K1851" s="14"/>
      <c r="L1851" s="14"/>
      <c r="M1851" s="14"/>
      <c r="N1851" s="14"/>
      <c r="O1851" s="14"/>
      <c r="P1851" s="14"/>
      <c r="Q1851" s="14"/>
      <c r="R1851" s="14"/>
      <c r="S1851" s="14"/>
      <c r="T1851" s="14"/>
      <c r="U1851" s="14"/>
      <c r="V1851" s="14"/>
      <c r="W1851" s="14"/>
      <c r="X1851" s="14"/>
      <c r="Y1851" s="14"/>
    </row>
    <row r="1852" spans="1:25" ht="15.75" x14ac:dyDescent="0.25">
      <c r="A1852" s="21"/>
      <c r="B1852" s="21"/>
      <c r="C1852" s="21"/>
      <c r="E1852" s="21"/>
      <c r="F1852" s="21"/>
      <c r="G1852" s="14"/>
      <c r="H1852" s="14"/>
      <c r="I1852" s="14"/>
      <c r="J1852" s="14"/>
      <c r="K1852" s="14"/>
      <c r="L1852" s="14"/>
      <c r="M1852" s="14"/>
      <c r="N1852" s="14"/>
      <c r="O1852" s="14"/>
      <c r="P1852" s="14"/>
      <c r="Q1852" s="14"/>
      <c r="R1852" s="14"/>
      <c r="S1852" s="14"/>
      <c r="T1852" s="14"/>
      <c r="U1852" s="14"/>
      <c r="V1852" s="14"/>
      <c r="W1852" s="14"/>
      <c r="X1852" s="14"/>
      <c r="Y1852" s="14"/>
    </row>
    <row r="1853" spans="1:25" ht="15.75" x14ac:dyDescent="0.25">
      <c r="A1853" s="21"/>
      <c r="B1853" s="21"/>
      <c r="C1853" s="21"/>
      <c r="E1853" s="21"/>
      <c r="F1853" s="21"/>
      <c r="G1853" s="14"/>
      <c r="H1853" s="14"/>
      <c r="I1853" s="14"/>
      <c r="J1853" s="14"/>
      <c r="K1853" s="14"/>
      <c r="L1853" s="14"/>
      <c r="M1853" s="14"/>
      <c r="N1853" s="14"/>
      <c r="O1853" s="14"/>
      <c r="P1853" s="14"/>
      <c r="Q1853" s="14"/>
      <c r="R1853" s="14"/>
      <c r="S1853" s="14"/>
      <c r="T1853" s="14"/>
      <c r="U1853" s="14"/>
      <c r="V1853" s="14"/>
      <c r="W1853" s="14"/>
      <c r="X1853" s="14"/>
      <c r="Y1853" s="14"/>
    </row>
    <row r="1854" spans="1:25" ht="15.75" x14ac:dyDescent="0.25">
      <c r="A1854" s="21"/>
      <c r="B1854" s="21"/>
      <c r="C1854" s="21"/>
      <c r="E1854" s="21"/>
      <c r="F1854" s="21"/>
      <c r="G1854" s="14"/>
      <c r="H1854" s="14"/>
      <c r="I1854" s="14"/>
      <c r="J1854" s="14"/>
      <c r="K1854" s="14"/>
      <c r="L1854" s="14"/>
      <c r="M1854" s="14"/>
      <c r="N1854" s="14"/>
      <c r="O1854" s="14"/>
      <c r="P1854" s="14"/>
      <c r="Q1854" s="14"/>
      <c r="R1854" s="14"/>
      <c r="S1854" s="14"/>
      <c r="T1854" s="14"/>
      <c r="U1854" s="14"/>
      <c r="V1854" s="14"/>
      <c r="W1854" s="14"/>
      <c r="X1854" s="14"/>
      <c r="Y1854" s="14"/>
    </row>
    <row r="1855" spans="1:25" ht="15.75" x14ac:dyDescent="0.25">
      <c r="A1855" s="21"/>
      <c r="B1855" s="21"/>
      <c r="C1855" s="21"/>
      <c r="E1855" s="21"/>
      <c r="F1855" s="21"/>
      <c r="G1855" s="14"/>
      <c r="H1855" s="14"/>
      <c r="I1855" s="14"/>
      <c r="J1855" s="14"/>
      <c r="K1855" s="14"/>
      <c r="L1855" s="14"/>
      <c r="M1855" s="14"/>
      <c r="N1855" s="14"/>
      <c r="O1855" s="14"/>
      <c r="P1855" s="14"/>
      <c r="Q1855" s="14"/>
      <c r="R1855" s="14"/>
      <c r="S1855" s="14"/>
      <c r="T1855" s="14"/>
      <c r="U1855" s="14"/>
      <c r="V1855" s="14"/>
      <c r="W1855" s="14"/>
      <c r="X1855" s="14"/>
      <c r="Y1855" s="14"/>
    </row>
    <row r="1856" spans="1:25" ht="15.75" x14ac:dyDescent="0.25">
      <c r="A1856" s="21"/>
      <c r="B1856" s="21"/>
      <c r="C1856" s="21"/>
      <c r="E1856" s="21"/>
      <c r="F1856" s="21"/>
      <c r="G1856" s="14"/>
      <c r="H1856" s="14"/>
      <c r="I1856" s="14"/>
      <c r="J1856" s="14"/>
      <c r="K1856" s="14"/>
      <c r="L1856" s="14"/>
      <c r="M1856" s="14"/>
      <c r="N1856" s="14"/>
      <c r="O1856" s="14"/>
      <c r="P1856" s="14"/>
      <c r="Q1856" s="14"/>
      <c r="R1856" s="14"/>
      <c r="S1856" s="14"/>
      <c r="T1856" s="14"/>
      <c r="U1856" s="14"/>
      <c r="V1856" s="14"/>
      <c r="W1856" s="14"/>
      <c r="X1856" s="14"/>
      <c r="Y1856" s="14"/>
    </row>
    <row r="1857" spans="1:25" ht="15.75" x14ac:dyDescent="0.25">
      <c r="A1857" s="21"/>
      <c r="B1857" s="21"/>
      <c r="C1857" s="21"/>
      <c r="E1857" s="21"/>
      <c r="F1857" s="21"/>
      <c r="G1857" s="14"/>
      <c r="H1857" s="14"/>
      <c r="I1857" s="14"/>
      <c r="J1857" s="14"/>
      <c r="K1857" s="14"/>
      <c r="L1857" s="14"/>
      <c r="M1857" s="14"/>
      <c r="N1857" s="14"/>
      <c r="O1857" s="14"/>
      <c r="P1857" s="14"/>
      <c r="Q1857" s="14"/>
      <c r="R1857" s="14"/>
      <c r="S1857" s="14"/>
      <c r="T1857" s="14"/>
      <c r="U1857" s="14"/>
      <c r="V1857" s="14"/>
      <c r="W1857" s="14"/>
      <c r="X1857" s="14"/>
      <c r="Y1857" s="14"/>
    </row>
    <row r="1858" spans="1:25" ht="15.75" x14ac:dyDescent="0.25">
      <c r="A1858" s="21"/>
      <c r="B1858" s="21"/>
      <c r="C1858" s="21"/>
      <c r="E1858" s="21"/>
      <c r="F1858" s="21"/>
      <c r="G1858" s="14"/>
      <c r="H1858" s="14"/>
      <c r="I1858" s="14"/>
      <c r="J1858" s="14"/>
      <c r="K1858" s="14"/>
      <c r="L1858" s="14"/>
      <c r="M1858" s="14"/>
      <c r="N1858" s="14"/>
      <c r="O1858" s="14"/>
      <c r="P1858" s="14"/>
      <c r="Q1858" s="14"/>
      <c r="R1858" s="14"/>
      <c r="S1858" s="14"/>
      <c r="T1858" s="14"/>
      <c r="U1858" s="14"/>
      <c r="V1858" s="14"/>
      <c r="W1858" s="14"/>
      <c r="X1858" s="14"/>
      <c r="Y1858" s="14"/>
    </row>
    <row r="1859" spans="1:25" ht="15.75" x14ac:dyDescent="0.25">
      <c r="A1859" s="21"/>
      <c r="B1859" s="21"/>
      <c r="C1859" s="21"/>
      <c r="E1859" s="21"/>
      <c r="F1859" s="21"/>
      <c r="G1859" s="14"/>
      <c r="H1859" s="14"/>
      <c r="I1859" s="14"/>
      <c r="J1859" s="14"/>
      <c r="K1859" s="14"/>
      <c r="L1859" s="14"/>
      <c r="M1859" s="14"/>
      <c r="N1859" s="14"/>
      <c r="O1859" s="14"/>
      <c r="P1859" s="14"/>
      <c r="Q1859" s="14"/>
      <c r="R1859" s="14"/>
      <c r="S1859" s="14"/>
      <c r="T1859" s="14"/>
      <c r="U1859" s="14"/>
      <c r="V1859" s="14"/>
      <c r="W1859" s="14"/>
      <c r="X1859" s="14"/>
      <c r="Y1859" s="14"/>
    </row>
    <row r="1860" spans="1:25" ht="15.75" x14ac:dyDescent="0.25">
      <c r="A1860" s="21"/>
      <c r="B1860" s="21"/>
      <c r="C1860" s="21"/>
      <c r="E1860" s="21"/>
      <c r="F1860" s="21"/>
      <c r="G1860" s="14"/>
      <c r="H1860" s="14"/>
      <c r="I1860" s="14"/>
      <c r="J1860" s="14"/>
      <c r="K1860" s="14"/>
      <c r="L1860" s="14"/>
      <c r="M1860" s="14"/>
      <c r="N1860" s="14"/>
      <c r="O1860" s="14"/>
      <c r="P1860" s="14"/>
      <c r="Q1860" s="14"/>
      <c r="R1860" s="14"/>
      <c r="S1860" s="14"/>
      <c r="T1860" s="14"/>
      <c r="U1860" s="14"/>
      <c r="V1860" s="14"/>
      <c r="W1860" s="14"/>
      <c r="X1860" s="14"/>
      <c r="Y1860" s="14"/>
    </row>
    <row r="1861" spans="1:25" ht="15.75" x14ac:dyDescent="0.25">
      <c r="A1861" s="21"/>
      <c r="B1861" s="21"/>
      <c r="C1861" s="21"/>
      <c r="E1861" s="21"/>
      <c r="F1861" s="21"/>
      <c r="G1861" s="14"/>
      <c r="H1861" s="14"/>
      <c r="I1861" s="14"/>
      <c r="J1861" s="14"/>
      <c r="K1861" s="14"/>
      <c r="L1861" s="14"/>
      <c r="M1861" s="14"/>
      <c r="N1861" s="14"/>
      <c r="O1861" s="14"/>
      <c r="P1861" s="14"/>
      <c r="Q1861" s="14"/>
      <c r="R1861" s="14"/>
      <c r="S1861" s="14"/>
      <c r="T1861" s="14"/>
      <c r="U1861" s="14"/>
      <c r="V1861" s="14"/>
      <c r="W1861" s="14"/>
      <c r="X1861" s="14"/>
      <c r="Y1861" s="14"/>
    </row>
    <row r="1862" spans="1:25" ht="15.75" x14ac:dyDescent="0.25">
      <c r="A1862" s="21"/>
      <c r="B1862" s="21"/>
      <c r="C1862" s="21"/>
      <c r="E1862" s="21"/>
      <c r="F1862" s="21"/>
      <c r="G1862" s="14"/>
      <c r="H1862" s="14"/>
      <c r="I1862" s="14"/>
      <c r="J1862" s="14"/>
      <c r="K1862" s="14"/>
      <c r="L1862" s="14"/>
      <c r="M1862" s="14"/>
      <c r="N1862" s="14"/>
      <c r="O1862" s="14"/>
      <c r="P1862" s="14"/>
      <c r="Q1862" s="14"/>
      <c r="R1862" s="14"/>
      <c r="S1862" s="14"/>
      <c r="T1862" s="14"/>
      <c r="U1862" s="14"/>
      <c r="V1862" s="14"/>
      <c r="W1862" s="14"/>
      <c r="X1862" s="14"/>
      <c r="Y1862" s="14"/>
    </row>
    <row r="1863" spans="1:25" ht="15.75" x14ac:dyDescent="0.25">
      <c r="A1863" s="21"/>
      <c r="B1863" s="21"/>
      <c r="C1863" s="21"/>
      <c r="E1863" s="21"/>
      <c r="F1863" s="21"/>
      <c r="G1863" s="14"/>
      <c r="H1863" s="14"/>
      <c r="I1863" s="14"/>
      <c r="J1863" s="14"/>
      <c r="K1863" s="14"/>
      <c r="L1863" s="14"/>
      <c r="M1863" s="14"/>
      <c r="N1863" s="14"/>
      <c r="O1863" s="14"/>
      <c r="P1863" s="14"/>
      <c r="Q1863" s="14"/>
      <c r="R1863" s="14"/>
      <c r="S1863" s="14"/>
      <c r="T1863" s="14"/>
      <c r="U1863" s="14"/>
      <c r="V1863" s="14"/>
      <c r="W1863" s="14"/>
      <c r="X1863" s="14"/>
      <c r="Y1863" s="14"/>
    </row>
    <row r="1864" spans="1:25" ht="15.75" x14ac:dyDescent="0.25">
      <c r="A1864" s="21"/>
      <c r="B1864" s="21"/>
      <c r="C1864" s="21"/>
      <c r="E1864" s="21"/>
      <c r="F1864" s="21"/>
      <c r="G1864" s="14"/>
      <c r="H1864" s="14"/>
      <c r="I1864" s="14"/>
      <c r="J1864" s="14"/>
      <c r="K1864" s="14"/>
      <c r="L1864" s="14"/>
      <c r="M1864" s="14"/>
      <c r="N1864" s="14"/>
      <c r="O1864" s="14"/>
      <c r="P1864" s="14"/>
      <c r="Q1864" s="14"/>
      <c r="R1864" s="14"/>
      <c r="S1864" s="14"/>
      <c r="T1864" s="14"/>
      <c r="U1864" s="14"/>
      <c r="V1864" s="14"/>
      <c r="W1864" s="14"/>
      <c r="X1864" s="14"/>
      <c r="Y1864" s="14"/>
    </row>
    <row r="1865" spans="1:25" ht="15.75" x14ac:dyDescent="0.25">
      <c r="A1865" s="21"/>
      <c r="B1865" s="21"/>
      <c r="C1865" s="21"/>
      <c r="E1865" s="21"/>
      <c r="F1865" s="21"/>
      <c r="G1865" s="14"/>
      <c r="H1865" s="14"/>
      <c r="I1865" s="14"/>
      <c r="J1865" s="14"/>
      <c r="K1865" s="14"/>
      <c r="L1865" s="14"/>
      <c r="M1865" s="14"/>
      <c r="N1865" s="14"/>
      <c r="O1865" s="14"/>
      <c r="P1865" s="14"/>
      <c r="Q1865" s="14"/>
      <c r="R1865" s="14"/>
      <c r="S1865" s="14"/>
      <c r="T1865" s="14"/>
      <c r="U1865" s="14"/>
      <c r="V1865" s="14"/>
      <c r="W1865" s="14"/>
      <c r="X1865" s="14"/>
      <c r="Y1865" s="14"/>
    </row>
    <row r="1866" spans="1:25" ht="15.75" x14ac:dyDescent="0.25">
      <c r="A1866" s="21"/>
      <c r="B1866" s="21"/>
      <c r="C1866" s="21"/>
      <c r="E1866" s="21"/>
      <c r="F1866" s="21"/>
      <c r="G1866" s="14"/>
      <c r="H1866" s="14"/>
      <c r="I1866" s="14"/>
      <c r="J1866" s="14"/>
      <c r="K1866" s="14"/>
      <c r="L1866" s="14"/>
      <c r="M1866" s="14"/>
      <c r="N1866" s="14"/>
      <c r="O1866" s="14"/>
      <c r="P1866" s="14"/>
      <c r="Q1866" s="14"/>
      <c r="R1866" s="14"/>
      <c r="S1866" s="14"/>
      <c r="T1866" s="14"/>
      <c r="U1866" s="14"/>
      <c r="V1866" s="14"/>
      <c r="W1866" s="14"/>
      <c r="X1866" s="14"/>
      <c r="Y1866" s="14"/>
    </row>
    <row r="1867" spans="1:25" ht="15.75" x14ac:dyDescent="0.25">
      <c r="A1867" s="21"/>
      <c r="B1867" s="21"/>
      <c r="C1867" s="21"/>
      <c r="E1867" s="21"/>
      <c r="F1867" s="21"/>
      <c r="G1867" s="14"/>
      <c r="H1867" s="14"/>
      <c r="I1867" s="14"/>
      <c r="J1867" s="14"/>
      <c r="K1867" s="14"/>
      <c r="L1867" s="14"/>
      <c r="M1867" s="14"/>
      <c r="N1867" s="14"/>
      <c r="O1867" s="14"/>
      <c r="P1867" s="14"/>
      <c r="Q1867" s="14"/>
      <c r="R1867" s="14"/>
      <c r="S1867" s="14"/>
      <c r="T1867" s="14"/>
      <c r="U1867" s="14"/>
      <c r="V1867" s="14"/>
      <c r="W1867" s="14"/>
      <c r="X1867" s="14"/>
      <c r="Y1867" s="14"/>
    </row>
    <row r="1868" spans="1:25" ht="15.75" x14ac:dyDescent="0.25">
      <c r="A1868" s="21"/>
      <c r="B1868" s="21"/>
      <c r="C1868" s="21"/>
      <c r="E1868" s="21"/>
      <c r="F1868" s="21"/>
      <c r="G1868" s="14"/>
      <c r="H1868" s="14"/>
      <c r="I1868" s="14"/>
      <c r="J1868" s="14"/>
      <c r="K1868" s="14"/>
      <c r="L1868" s="14"/>
      <c r="M1868" s="14"/>
      <c r="N1868" s="14"/>
      <c r="O1868" s="14"/>
      <c r="P1868" s="14"/>
      <c r="Q1868" s="14"/>
      <c r="R1868" s="14"/>
      <c r="S1868" s="14"/>
      <c r="T1868" s="14"/>
      <c r="U1868" s="14"/>
      <c r="V1868" s="14"/>
      <c r="W1868" s="14"/>
      <c r="X1868" s="14"/>
      <c r="Y1868" s="14"/>
    </row>
    <row r="1869" spans="1:25" ht="15.75" x14ac:dyDescent="0.25">
      <c r="A1869" s="21"/>
      <c r="B1869" s="21"/>
      <c r="C1869" s="21"/>
      <c r="E1869" s="21"/>
      <c r="F1869" s="21"/>
      <c r="G1869" s="14"/>
      <c r="H1869" s="14"/>
      <c r="I1869" s="14"/>
      <c r="J1869" s="14"/>
      <c r="K1869" s="14"/>
      <c r="L1869" s="14"/>
      <c r="M1869" s="14"/>
      <c r="N1869" s="14"/>
      <c r="O1869" s="14"/>
      <c r="P1869" s="14"/>
      <c r="Q1869" s="14"/>
      <c r="R1869" s="14"/>
      <c r="S1869" s="14"/>
      <c r="T1869" s="14"/>
      <c r="U1869" s="14"/>
      <c r="V1869" s="14"/>
      <c r="W1869" s="14"/>
      <c r="X1869" s="14"/>
      <c r="Y1869" s="14"/>
    </row>
    <row r="1870" spans="1:25" ht="15.75" x14ac:dyDescent="0.25">
      <c r="A1870" s="21"/>
      <c r="B1870" s="21"/>
      <c r="C1870" s="21"/>
      <c r="E1870" s="21"/>
      <c r="F1870" s="21"/>
      <c r="G1870" s="14"/>
      <c r="H1870" s="14"/>
      <c r="I1870" s="14"/>
      <c r="J1870" s="14"/>
      <c r="K1870" s="14"/>
      <c r="L1870" s="14"/>
      <c r="M1870" s="14"/>
      <c r="N1870" s="14"/>
      <c r="O1870" s="14"/>
      <c r="P1870" s="14"/>
      <c r="Q1870" s="14"/>
      <c r="R1870" s="14"/>
      <c r="S1870" s="14"/>
      <c r="T1870" s="14"/>
      <c r="U1870" s="14"/>
      <c r="V1870" s="14"/>
      <c r="W1870" s="14"/>
      <c r="X1870" s="14"/>
      <c r="Y1870" s="14"/>
    </row>
    <row r="1871" spans="1:25" ht="15.75" x14ac:dyDescent="0.25">
      <c r="A1871" s="21"/>
      <c r="B1871" s="21"/>
      <c r="C1871" s="21"/>
      <c r="E1871" s="21"/>
      <c r="F1871" s="21"/>
      <c r="G1871" s="14"/>
      <c r="H1871" s="14"/>
      <c r="I1871" s="14"/>
      <c r="J1871" s="14"/>
      <c r="K1871" s="14"/>
      <c r="L1871" s="14"/>
      <c r="M1871" s="14"/>
      <c r="N1871" s="14"/>
      <c r="O1871" s="14"/>
      <c r="P1871" s="14"/>
      <c r="Q1871" s="14"/>
      <c r="R1871" s="14"/>
      <c r="S1871" s="14"/>
      <c r="T1871" s="14"/>
      <c r="U1871" s="14"/>
      <c r="V1871" s="14"/>
      <c r="W1871" s="14"/>
      <c r="X1871" s="14"/>
      <c r="Y1871" s="14"/>
    </row>
    <row r="1872" spans="1:25" ht="15.75" x14ac:dyDescent="0.25">
      <c r="A1872" s="21"/>
      <c r="B1872" s="21"/>
      <c r="C1872" s="21"/>
      <c r="E1872" s="21"/>
      <c r="F1872" s="21"/>
      <c r="G1872" s="14"/>
      <c r="H1872" s="14"/>
      <c r="I1872" s="14"/>
      <c r="J1872" s="14"/>
      <c r="K1872" s="14"/>
      <c r="L1872" s="14"/>
      <c r="M1872" s="14"/>
      <c r="N1872" s="14"/>
      <c r="O1872" s="14"/>
      <c r="P1872" s="14"/>
      <c r="Q1872" s="14"/>
      <c r="R1872" s="14"/>
      <c r="S1872" s="14"/>
      <c r="T1872" s="14"/>
      <c r="U1872" s="14"/>
      <c r="V1872" s="14"/>
      <c r="W1872" s="14"/>
      <c r="X1872" s="14"/>
      <c r="Y1872" s="14"/>
    </row>
    <row r="1873" spans="1:25" ht="15.75" x14ac:dyDescent="0.25">
      <c r="A1873" s="21"/>
      <c r="B1873" s="21"/>
      <c r="C1873" s="21"/>
      <c r="E1873" s="21"/>
      <c r="F1873" s="21"/>
      <c r="G1873" s="14"/>
      <c r="H1873" s="14"/>
      <c r="I1873" s="14"/>
      <c r="J1873" s="14"/>
      <c r="K1873" s="14"/>
      <c r="L1873" s="14"/>
      <c r="M1873" s="14"/>
      <c r="N1873" s="14"/>
      <c r="O1873" s="14"/>
      <c r="P1873" s="14"/>
      <c r="Q1873" s="14"/>
      <c r="R1873" s="14"/>
      <c r="S1873" s="14"/>
      <c r="T1873" s="14"/>
      <c r="U1873" s="14"/>
      <c r="V1873" s="14"/>
      <c r="W1873" s="14"/>
      <c r="X1873" s="14"/>
      <c r="Y1873" s="14"/>
    </row>
    <row r="1874" spans="1:25" ht="15.75" x14ac:dyDescent="0.25">
      <c r="A1874" s="21"/>
      <c r="B1874" s="21"/>
      <c r="C1874" s="21"/>
      <c r="E1874" s="21"/>
      <c r="F1874" s="21"/>
      <c r="G1874" s="14"/>
      <c r="H1874" s="14"/>
      <c r="I1874" s="14"/>
      <c r="J1874" s="14"/>
      <c r="K1874" s="14"/>
      <c r="L1874" s="14"/>
      <c r="M1874" s="14"/>
      <c r="N1874" s="14"/>
      <c r="O1874" s="14"/>
      <c r="P1874" s="14"/>
      <c r="Q1874" s="14"/>
      <c r="R1874" s="14"/>
      <c r="S1874" s="14"/>
      <c r="T1874" s="14"/>
      <c r="U1874" s="14"/>
      <c r="V1874" s="14"/>
      <c r="W1874" s="14"/>
      <c r="X1874" s="14"/>
      <c r="Y1874" s="14"/>
    </row>
    <row r="1875" spans="1:25" ht="15.75" x14ac:dyDescent="0.25">
      <c r="A1875" s="21"/>
      <c r="B1875" s="21"/>
      <c r="C1875" s="21"/>
      <c r="E1875" s="21"/>
      <c r="F1875" s="21"/>
      <c r="G1875" s="14"/>
      <c r="H1875" s="14"/>
      <c r="I1875" s="14"/>
      <c r="J1875" s="14"/>
      <c r="K1875" s="14"/>
      <c r="L1875" s="14"/>
      <c r="M1875" s="14"/>
      <c r="N1875" s="14"/>
      <c r="O1875" s="14"/>
      <c r="P1875" s="14"/>
      <c r="Q1875" s="14"/>
      <c r="R1875" s="14"/>
      <c r="S1875" s="14"/>
      <c r="T1875" s="14"/>
      <c r="U1875" s="14"/>
      <c r="V1875" s="14"/>
      <c r="W1875" s="14"/>
      <c r="X1875" s="14"/>
      <c r="Y1875" s="14"/>
    </row>
    <row r="1876" spans="1:25" ht="15.75" x14ac:dyDescent="0.25">
      <c r="A1876" s="21"/>
      <c r="B1876" s="21"/>
      <c r="C1876" s="21"/>
      <c r="E1876" s="21"/>
      <c r="F1876" s="21"/>
      <c r="G1876" s="14"/>
      <c r="H1876" s="14"/>
      <c r="I1876" s="14"/>
      <c r="J1876" s="14"/>
      <c r="K1876" s="14"/>
      <c r="L1876" s="14"/>
      <c r="M1876" s="14"/>
      <c r="N1876" s="14"/>
      <c r="O1876" s="14"/>
      <c r="P1876" s="14"/>
      <c r="Q1876" s="14"/>
      <c r="R1876" s="14"/>
      <c r="S1876" s="14"/>
      <c r="T1876" s="14"/>
      <c r="U1876" s="14"/>
      <c r="V1876" s="14"/>
      <c r="W1876" s="14"/>
      <c r="X1876" s="14"/>
      <c r="Y1876" s="14"/>
    </row>
    <row r="1877" spans="1:25" ht="15.75" x14ac:dyDescent="0.25">
      <c r="A1877" s="21"/>
      <c r="B1877" s="21"/>
      <c r="C1877" s="21"/>
      <c r="E1877" s="21"/>
      <c r="F1877" s="21"/>
      <c r="G1877" s="14"/>
      <c r="H1877" s="14"/>
      <c r="I1877" s="14"/>
      <c r="J1877" s="14"/>
      <c r="K1877" s="14"/>
      <c r="L1877" s="14"/>
      <c r="M1877" s="14"/>
      <c r="N1877" s="14"/>
      <c r="O1877" s="14"/>
      <c r="P1877" s="14"/>
      <c r="Q1877" s="14"/>
      <c r="R1877" s="14"/>
      <c r="S1877" s="14"/>
      <c r="T1877" s="14"/>
      <c r="U1877" s="14"/>
      <c r="V1877" s="14"/>
      <c r="W1877" s="14"/>
      <c r="X1877" s="14"/>
      <c r="Y1877" s="14"/>
    </row>
    <row r="1878" spans="1:25" ht="15.75" x14ac:dyDescent="0.25">
      <c r="A1878" s="21"/>
      <c r="B1878" s="21"/>
      <c r="C1878" s="21"/>
      <c r="E1878" s="21"/>
      <c r="F1878" s="21"/>
      <c r="G1878" s="14"/>
      <c r="H1878" s="14"/>
      <c r="I1878" s="14"/>
      <c r="J1878" s="14"/>
      <c r="K1878" s="14"/>
      <c r="L1878" s="14"/>
      <c r="M1878" s="14"/>
      <c r="N1878" s="14"/>
      <c r="O1878" s="14"/>
      <c r="P1878" s="14"/>
      <c r="Q1878" s="14"/>
      <c r="R1878" s="14"/>
      <c r="S1878" s="14"/>
      <c r="T1878" s="14"/>
      <c r="U1878" s="14"/>
      <c r="V1878" s="14"/>
      <c r="W1878" s="14"/>
      <c r="X1878" s="14"/>
      <c r="Y1878" s="14"/>
    </row>
    <row r="1879" spans="1:25" ht="15.75" x14ac:dyDescent="0.25">
      <c r="A1879" s="21"/>
      <c r="B1879" s="21"/>
      <c r="C1879" s="21"/>
      <c r="E1879" s="21"/>
      <c r="F1879" s="21"/>
      <c r="G1879" s="14"/>
      <c r="H1879" s="14"/>
      <c r="I1879" s="14"/>
      <c r="J1879" s="14"/>
      <c r="K1879" s="14"/>
      <c r="L1879" s="14"/>
      <c r="M1879" s="14"/>
      <c r="N1879" s="14"/>
      <c r="O1879" s="14"/>
      <c r="P1879" s="14"/>
      <c r="Q1879" s="14"/>
      <c r="R1879" s="14"/>
      <c r="S1879" s="14"/>
      <c r="T1879" s="14"/>
      <c r="U1879" s="14"/>
      <c r="V1879" s="14"/>
      <c r="W1879" s="14"/>
      <c r="X1879" s="14"/>
      <c r="Y1879" s="14"/>
    </row>
    <row r="1880" spans="1:25" ht="15.75" x14ac:dyDescent="0.25">
      <c r="A1880" s="21"/>
      <c r="B1880" s="21"/>
      <c r="C1880" s="21"/>
      <c r="E1880" s="21"/>
      <c r="F1880" s="21"/>
      <c r="G1880" s="14"/>
      <c r="H1880" s="14"/>
      <c r="I1880" s="14"/>
      <c r="J1880" s="14"/>
      <c r="K1880" s="14"/>
      <c r="L1880" s="14"/>
      <c r="M1880" s="14"/>
      <c r="N1880" s="14"/>
      <c r="O1880" s="14"/>
      <c r="P1880" s="14"/>
      <c r="Q1880" s="14"/>
      <c r="R1880" s="14"/>
      <c r="S1880" s="14"/>
      <c r="T1880" s="14"/>
      <c r="U1880" s="14"/>
      <c r="V1880" s="14"/>
      <c r="W1880" s="14"/>
      <c r="X1880" s="14"/>
      <c r="Y1880" s="14"/>
    </row>
    <row r="1881" spans="1:25" ht="15.75" x14ac:dyDescent="0.25">
      <c r="A1881" s="21"/>
      <c r="B1881" s="21"/>
      <c r="C1881" s="21"/>
      <c r="E1881" s="21"/>
      <c r="F1881" s="21"/>
      <c r="G1881" s="14"/>
      <c r="H1881" s="14"/>
      <c r="I1881" s="14"/>
      <c r="J1881" s="14"/>
      <c r="K1881" s="14"/>
      <c r="L1881" s="14"/>
      <c r="M1881" s="14"/>
      <c r="N1881" s="14"/>
      <c r="O1881" s="14"/>
      <c r="P1881" s="14"/>
      <c r="Q1881" s="14"/>
      <c r="R1881" s="14"/>
      <c r="S1881" s="14"/>
      <c r="T1881" s="14"/>
      <c r="U1881" s="14"/>
      <c r="V1881" s="14"/>
      <c r="W1881" s="14"/>
      <c r="X1881" s="14"/>
      <c r="Y1881" s="14"/>
    </row>
    <row r="1882" spans="1:25" ht="15.75" x14ac:dyDescent="0.25">
      <c r="A1882" s="21"/>
      <c r="B1882" s="21"/>
      <c r="C1882" s="21"/>
      <c r="E1882" s="21"/>
      <c r="F1882" s="21"/>
      <c r="G1882" s="14"/>
      <c r="H1882" s="14"/>
      <c r="I1882" s="14"/>
      <c r="J1882" s="14"/>
      <c r="K1882" s="14"/>
      <c r="L1882" s="14"/>
      <c r="M1882" s="14"/>
      <c r="N1882" s="14"/>
      <c r="O1882" s="14"/>
      <c r="P1882" s="14"/>
      <c r="Q1882" s="14"/>
      <c r="R1882" s="14"/>
      <c r="S1882" s="14"/>
      <c r="T1882" s="14"/>
      <c r="U1882" s="14"/>
      <c r="V1882" s="14"/>
      <c r="W1882" s="14"/>
      <c r="X1882" s="14"/>
      <c r="Y1882" s="14"/>
    </row>
    <row r="1883" spans="1:25" ht="15.75" x14ac:dyDescent="0.25">
      <c r="A1883" s="21"/>
      <c r="B1883" s="21"/>
      <c r="C1883" s="21"/>
      <c r="E1883" s="21"/>
      <c r="F1883" s="21"/>
      <c r="G1883" s="14"/>
      <c r="H1883" s="14"/>
      <c r="I1883" s="14"/>
      <c r="J1883" s="14"/>
      <c r="K1883" s="14"/>
      <c r="L1883" s="14"/>
      <c r="M1883" s="14"/>
      <c r="N1883" s="14"/>
      <c r="O1883" s="14"/>
      <c r="P1883" s="14"/>
      <c r="Q1883" s="14"/>
      <c r="R1883" s="14"/>
      <c r="S1883" s="14"/>
      <c r="T1883" s="14"/>
      <c r="U1883" s="14"/>
      <c r="V1883" s="14"/>
      <c r="W1883" s="14"/>
      <c r="X1883" s="14"/>
      <c r="Y1883" s="14"/>
    </row>
    <row r="1884" spans="1:25" ht="15.75" x14ac:dyDescent="0.25">
      <c r="A1884" s="21"/>
      <c r="B1884" s="21"/>
      <c r="C1884" s="21"/>
      <c r="E1884" s="21"/>
      <c r="F1884" s="21"/>
      <c r="G1884" s="14"/>
      <c r="H1884" s="14"/>
      <c r="I1884" s="14"/>
      <c r="J1884" s="14"/>
      <c r="K1884" s="14"/>
      <c r="L1884" s="14"/>
      <c r="M1884" s="14"/>
      <c r="N1884" s="14"/>
      <c r="O1884" s="14"/>
      <c r="P1884" s="14"/>
      <c r="Q1884" s="14"/>
      <c r="R1884" s="14"/>
      <c r="S1884" s="14"/>
      <c r="T1884" s="14"/>
      <c r="U1884" s="14"/>
      <c r="V1884" s="14"/>
      <c r="W1884" s="14"/>
      <c r="X1884" s="14"/>
      <c r="Y1884" s="14"/>
    </row>
    <row r="1885" spans="1:25" ht="15.75" x14ac:dyDescent="0.25">
      <c r="A1885" s="21"/>
      <c r="B1885" s="21"/>
      <c r="C1885" s="21"/>
      <c r="E1885" s="21"/>
      <c r="F1885" s="21"/>
      <c r="G1885" s="14"/>
      <c r="H1885" s="14"/>
      <c r="I1885" s="14"/>
      <c r="J1885" s="14"/>
      <c r="K1885" s="14"/>
      <c r="L1885" s="14"/>
      <c r="M1885" s="14"/>
      <c r="N1885" s="14"/>
      <c r="O1885" s="14"/>
      <c r="P1885" s="14"/>
      <c r="Q1885" s="14"/>
      <c r="R1885" s="14"/>
      <c r="S1885" s="14"/>
      <c r="T1885" s="14"/>
      <c r="U1885" s="14"/>
      <c r="V1885" s="14"/>
      <c r="W1885" s="14"/>
      <c r="X1885" s="14"/>
      <c r="Y1885" s="14"/>
    </row>
    <row r="1886" spans="1:25" ht="15.75" x14ac:dyDescent="0.25">
      <c r="A1886" s="21"/>
      <c r="B1886" s="21"/>
      <c r="C1886" s="21"/>
      <c r="E1886" s="21"/>
      <c r="F1886" s="21"/>
      <c r="G1886" s="14"/>
      <c r="H1886" s="14"/>
      <c r="I1886" s="14"/>
      <c r="J1886" s="14"/>
      <c r="K1886" s="14"/>
      <c r="L1886" s="14"/>
      <c r="M1886" s="14"/>
      <c r="N1886" s="14"/>
      <c r="O1886" s="14"/>
      <c r="P1886" s="14"/>
      <c r="Q1886" s="14"/>
      <c r="R1886" s="14"/>
      <c r="S1886" s="14"/>
      <c r="T1886" s="14"/>
      <c r="U1886" s="14"/>
      <c r="V1886" s="14"/>
      <c r="W1886" s="14"/>
      <c r="X1886" s="14"/>
      <c r="Y1886" s="14"/>
    </row>
    <row r="1887" spans="1:25" ht="15.75" x14ac:dyDescent="0.25">
      <c r="A1887" s="21"/>
      <c r="B1887" s="21"/>
      <c r="C1887" s="21"/>
      <c r="E1887" s="21"/>
      <c r="F1887" s="21"/>
      <c r="G1887" s="14"/>
      <c r="H1887" s="14"/>
      <c r="I1887" s="14"/>
      <c r="J1887" s="14"/>
      <c r="K1887" s="14"/>
      <c r="L1887" s="14"/>
      <c r="M1887" s="14"/>
      <c r="N1887" s="14"/>
      <c r="O1887" s="14"/>
      <c r="P1887" s="14"/>
      <c r="Q1887" s="14"/>
      <c r="R1887" s="14"/>
      <c r="S1887" s="14"/>
      <c r="T1887" s="14"/>
      <c r="U1887" s="14"/>
      <c r="V1887" s="14"/>
      <c r="W1887" s="14"/>
      <c r="X1887" s="14"/>
      <c r="Y1887" s="14"/>
    </row>
    <row r="1888" spans="1:25" ht="15.75" x14ac:dyDescent="0.25">
      <c r="A1888" s="21"/>
      <c r="B1888" s="21"/>
      <c r="C1888" s="21"/>
      <c r="E1888" s="21"/>
      <c r="F1888" s="21"/>
      <c r="G1888" s="14"/>
      <c r="H1888" s="14"/>
      <c r="I1888" s="14"/>
      <c r="J1888" s="14"/>
      <c r="K1888" s="14"/>
      <c r="L1888" s="14"/>
      <c r="M1888" s="14"/>
      <c r="N1888" s="14"/>
      <c r="O1888" s="14"/>
      <c r="P1888" s="14"/>
      <c r="Q1888" s="14"/>
      <c r="R1888" s="14"/>
      <c r="S1888" s="14"/>
      <c r="T1888" s="14"/>
      <c r="U1888" s="14"/>
      <c r="V1888" s="14"/>
      <c r="W1888" s="14"/>
      <c r="X1888" s="14"/>
      <c r="Y1888" s="14"/>
    </row>
    <row r="1889" spans="1:25" ht="15.75" x14ac:dyDescent="0.25">
      <c r="A1889" s="21"/>
      <c r="B1889" s="21"/>
      <c r="C1889" s="21"/>
      <c r="E1889" s="21"/>
      <c r="F1889" s="21"/>
      <c r="G1889" s="14"/>
      <c r="H1889" s="14"/>
      <c r="I1889" s="14"/>
      <c r="J1889" s="14"/>
      <c r="K1889" s="14"/>
      <c r="L1889" s="14"/>
      <c r="M1889" s="14"/>
      <c r="N1889" s="14"/>
      <c r="O1889" s="14"/>
      <c r="P1889" s="14"/>
      <c r="Q1889" s="14"/>
      <c r="R1889" s="14"/>
      <c r="S1889" s="14"/>
      <c r="T1889" s="14"/>
      <c r="U1889" s="14"/>
      <c r="V1889" s="14"/>
      <c r="W1889" s="14"/>
      <c r="X1889" s="14"/>
      <c r="Y1889" s="14"/>
    </row>
    <row r="1890" spans="1:25" ht="15.75" x14ac:dyDescent="0.25">
      <c r="A1890" s="21"/>
      <c r="B1890" s="21"/>
      <c r="C1890" s="21"/>
      <c r="E1890" s="21"/>
      <c r="F1890" s="21"/>
      <c r="G1890" s="14"/>
      <c r="H1890" s="14"/>
      <c r="I1890" s="14"/>
      <c r="J1890" s="14"/>
      <c r="K1890" s="14"/>
      <c r="L1890" s="14"/>
      <c r="M1890" s="14"/>
      <c r="N1890" s="14"/>
      <c r="O1890" s="14"/>
      <c r="P1890" s="14"/>
      <c r="Q1890" s="14"/>
      <c r="R1890" s="14"/>
      <c r="S1890" s="14"/>
      <c r="T1890" s="14"/>
      <c r="U1890" s="14"/>
      <c r="V1890" s="14"/>
      <c r="W1890" s="14"/>
      <c r="X1890" s="14"/>
      <c r="Y1890" s="14"/>
    </row>
    <row r="1891" spans="1:25" ht="15.75" x14ac:dyDescent="0.25">
      <c r="A1891" s="21"/>
      <c r="B1891" s="21"/>
      <c r="C1891" s="21"/>
      <c r="E1891" s="21"/>
      <c r="F1891" s="21"/>
      <c r="G1891" s="14"/>
      <c r="H1891" s="14"/>
      <c r="I1891" s="14"/>
      <c r="J1891" s="14"/>
      <c r="K1891" s="14"/>
      <c r="L1891" s="14"/>
      <c r="M1891" s="14"/>
      <c r="N1891" s="14"/>
      <c r="O1891" s="14"/>
      <c r="P1891" s="14"/>
      <c r="Q1891" s="14"/>
      <c r="R1891" s="14"/>
      <c r="S1891" s="14"/>
      <c r="T1891" s="14"/>
      <c r="U1891" s="14"/>
      <c r="V1891" s="14"/>
      <c r="W1891" s="14"/>
      <c r="X1891" s="14"/>
      <c r="Y1891" s="14"/>
    </row>
    <row r="1892" spans="1:25" ht="15.75" x14ac:dyDescent="0.25">
      <c r="A1892" s="21"/>
      <c r="B1892" s="21"/>
      <c r="C1892" s="21"/>
      <c r="E1892" s="21"/>
      <c r="F1892" s="21"/>
      <c r="G1892" s="14"/>
      <c r="H1892" s="14"/>
      <c r="I1892" s="14"/>
      <c r="J1892" s="14"/>
      <c r="K1892" s="14"/>
      <c r="L1892" s="14"/>
      <c r="M1892" s="14"/>
      <c r="N1892" s="14"/>
      <c r="O1892" s="14"/>
      <c r="P1892" s="14"/>
      <c r="Q1892" s="14"/>
      <c r="R1892" s="14"/>
      <c r="S1892" s="14"/>
      <c r="T1892" s="14"/>
      <c r="U1892" s="14"/>
      <c r="V1892" s="14"/>
      <c r="W1892" s="14"/>
      <c r="X1892" s="14"/>
      <c r="Y1892" s="14"/>
    </row>
    <row r="1893" spans="1:25" ht="15.75" x14ac:dyDescent="0.25">
      <c r="A1893" s="21"/>
      <c r="B1893" s="21"/>
      <c r="C1893" s="21"/>
      <c r="E1893" s="21"/>
      <c r="F1893" s="21"/>
      <c r="G1893" s="14"/>
      <c r="H1893" s="14"/>
      <c r="I1893" s="14"/>
      <c r="J1893" s="14"/>
      <c r="K1893" s="14"/>
      <c r="L1893" s="14"/>
      <c r="M1893" s="14"/>
      <c r="N1893" s="14"/>
      <c r="O1893" s="14"/>
      <c r="P1893" s="14"/>
      <c r="Q1893" s="14"/>
      <c r="R1893" s="14"/>
      <c r="S1893" s="14"/>
      <c r="T1893" s="14"/>
      <c r="U1893" s="14"/>
      <c r="V1893" s="14"/>
      <c r="W1893" s="14"/>
      <c r="X1893" s="14"/>
      <c r="Y1893" s="14"/>
    </row>
    <row r="1894" spans="1:25" ht="15.75" x14ac:dyDescent="0.25">
      <c r="A1894" s="21"/>
      <c r="B1894" s="21"/>
      <c r="C1894" s="21"/>
      <c r="E1894" s="21"/>
      <c r="F1894" s="21"/>
      <c r="G1894" s="14"/>
      <c r="H1894" s="14"/>
      <c r="I1894" s="14"/>
      <c r="J1894" s="14"/>
      <c r="K1894" s="14"/>
      <c r="L1894" s="14"/>
      <c r="M1894" s="14"/>
      <c r="N1894" s="14"/>
      <c r="O1894" s="14"/>
      <c r="P1894" s="14"/>
      <c r="Q1894" s="14"/>
      <c r="R1894" s="14"/>
      <c r="S1894" s="14"/>
      <c r="T1894" s="14"/>
      <c r="U1894" s="14"/>
      <c r="V1894" s="14"/>
      <c r="W1894" s="14"/>
      <c r="X1894" s="14"/>
      <c r="Y1894" s="14"/>
    </row>
    <row r="1895" spans="1:25" ht="15.75" x14ac:dyDescent="0.25">
      <c r="A1895" s="21"/>
      <c r="B1895" s="21"/>
      <c r="C1895" s="21"/>
      <c r="E1895" s="21"/>
      <c r="F1895" s="21"/>
      <c r="G1895" s="14"/>
      <c r="H1895" s="14"/>
      <c r="I1895" s="14"/>
      <c r="J1895" s="14"/>
      <c r="K1895" s="14"/>
      <c r="L1895" s="14"/>
      <c r="M1895" s="14"/>
      <c r="N1895" s="14"/>
      <c r="O1895" s="14"/>
      <c r="P1895" s="14"/>
      <c r="Q1895" s="14"/>
      <c r="R1895" s="14"/>
      <c r="S1895" s="14"/>
      <c r="T1895" s="14"/>
      <c r="U1895" s="14"/>
      <c r="V1895" s="14"/>
      <c r="W1895" s="14"/>
      <c r="X1895" s="14"/>
      <c r="Y1895" s="14"/>
    </row>
    <row r="1896" spans="1:25" ht="15.75" x14ac:dyDescent="0.25">
      <c r="A1896" s="21"/>
      <c r="B1896" s="21"/>
      <c r="C1896" s="21"/>
      <c r="E1896" s="21"/>
      <c r="F1896" s="21"/>
      <c r="G1896" s="14"/>
      <c r="H1896" s="14"/>
      <c r="I1896" s="14"/>
      <c r="J1896" s="14"/>
      <c r="K1896" s="14"/>
      <c r="L1896" s="14"/>
      <c r="M1896" s="14"/>
      <c r="N1896" s="14"/>
      <c r="O1896" s="14"/>
      <c r="P1896" s="14"/>
      <c r="Q1896" s="14"/>
      <c r="R1896" s="14"/>
      <c r="S1896" s="14"/>
      <c r="T1896" s="14"/>
      <c r="U1896" s="14"/>
      <c r="V1896" s="14"/>
      <c r="W1896" s="14"/>
      <c r="X1896" s="14"/>
      <c r="Y1896" s="14"/>
    </row>
    <row r="1897" spans="1:25" ht="15.75" x14ac:dyDescent="0.25">
      <c r="A1897" s="21"/>
      <c r="B1897" s="21"/>
      <c r="C1897" s="21"/>
      <c r="E1897" s="21"/>
      <c r="F1897" s="21"/>
      <c r="G1897" s="14"/>
      <c r="H1897" s="14"/>
      <c r="I1897" s="14"/>
      <c r="J1897" s="14"/>
      <c r="K1897" s="14"/>
      <c r="L1897" s="14"/>
      <c r="M1897" s="14"/>
      <c r="N1897" s="14"/>
      <c r="O1897" s="14"/>
      <c r="P1897" s="14"/>
      <c r="Q1897" s="14"/>
      <c r="R1897" s="14"/>
      <c r="S1897" s="14"/>
      <c r="T1897" s="14"/>
      <c r="U1897" s="14"/>
      <c r="V1897" s="14"/>
      <c r="W1897" s="14"/>
      <c r="X1897" s="14"/>
      <c r="Y1897" s="14"/>
    </row>
    <row r="1898" spans="1:25" ht="15.75" x14ac:dyDescent="0.25">
      <c r="A1898" s="21"/>
      <c r="B1898" s="21"/>
      <c r="C1898" s="21"/>
      <c r="E1898" s="21"/>
      <c r="F1898" s="21"/>
      <c r="G1898" s="14"/>
      <c r="H1898" s="14"/>
      <c r="I1898" s="14"/>
      <c r="J1898" s="14"/>
      <c r="K1898" s="14"/>
      <c r="L1898" s="14"/>
      <c r="M1898" s="14"/>
      <c r="N1898" s="14"/>
      <c r="O1898" s="14"/>
      <c r="P1898" s="14"/>
      <c r="Q1898" s="14"/>
      <c r="R1898" s="14"/>
      <c r="S1898" s="14"/>
      <c r="T1898" s="14"/>
      <c r="U1898" s="14"/>
      <c r="V1898" s="14"/>
      <c r="W1898" s="14"/>
      <c r="X1898" s="14"/>
      <c r="Y1898" s="14"/>
    </row>
    <row r="1899" spans="1:25" ht="15.75" x14ac:dyDescent="0.25">
      <c r="A1899" s="21"/>
      <c r="B1899" s="21"/>
      <c r="C1899" s="21"/>
      <c r="E1899" s="21"/>
      <c r="F1899" s="21"/>
      <c r="G1899" s="14"/>
      <c r="H1899" s="14"/>
      <c r="I1899" s="14"/>
      <c r="J1899" s="14"/>
      <c r="K1899" s="14"/>
      <c r="L1899" s="14"/>
      <c r="M1899" s="14"/>
      <c r="N1899" s="14"/>
      <c r="O1899" s="14"/>
      <c r="P1899" s="14"/>
      <c r="Q1899" s="14"/>
      <c r="R1899" s="14"/>
      <c r="S1899" s="14"/>
      <c r="T1899" s="14"/>
      <c r="U1899" s="14"/>
      <c r="V1899" s="14"/>
      <c r="W1899" s="14"/>
      <c r="X1899" s="14"/>
      <c r="Y1899" s="14"/>
    </row>
    <row r="1900" spans="1:25" ht="15.75" x14ac:dyDescent="0.25">
      <c r="A1900" s="21"/>
      <c r="B1900" s="21"/>
      <c r="C1900" s="21"/>
      <c r="E1900" s="21"/>
      <c r="F1900" s="21"/>
      <c r="G1900" s="14"/>
      <c r="H1900" s="14"/>
      <c r="I1900" s="14"/>
      <c r="J1900" s="14"/>
      <c r="K1900" s="14"/>
      <c r="L1900" s="14"/>
      <c r="M1900" s="14"/>
      <c r="N1900" s="14"/>
      <c r="O1900" s="14"/>
      <c r="P1900" s="14"/>
      <c r="Q1900" s="14"/>
      <c r="R1900" s="14"/>
      <c r="S1900" s="14"/>
      <c r="T1900" s="14"/>
      <c r="U1900" s="14"/>
      <c r="V1900" s="14"/>
      <c r="W1900" s="14"/>
      <c r="X1900" s="14"/>
      <c r="Y1900" s="14"/>
    </row>
    <row r="1901" spans="1:25" ht="15.75" x14ac:dyDescent="0.25">
      <c r="A1901" s="21"/>
      <c r="B1901" s="21"/>
      <c r="C1901" s="21"/>
      <c r="E1901" s="21"/>
      <c r="F1901" s="21"/>
      <c r="G1901" s="14"/>
      <c r="H1901" s="14"/>
      <c r="I1901" s="14"/>
      <c r="J1901" s="14"/>
      <c r="K1901" s="14"/>
      <c r="L1901" s="14"/>
      <c r="M1901" s="14"/>
      <c r="N1901" s="14"/>
      <c r="O1901" s="14"/>
      <c r="P1901" s="14"/>
      <c r="Q1901" s="14"/>
      <c r="R1901" s="14"/>
      <c r="S1901" s="14"/>
      <c r="T1901" s="14"/>
      <c r="U1901" s="14"/>
      <c r="V1901" s="14"/>
      <c r="W1901" s="14"/>
      <c r="X1901" s="14"/>
      <c r="Y1901" s="14"/>
    </row>
    <row r="1902" spans="1:25" ht="15.75" x14ac:dyDescent="0.25">
      <c r="A1902" s="21"/>
      <c r="B1902" s="21"/>
      <c r="C1902" s="21"/>
      <c r="E1902" s="21"/>
      <c r="F1902" s="21"/>
      <c r="G1902" s="14"/>
      <c r="H1902" s="14"/>
      <c r="I1902" s="14"/>
      <c r="J1902" s="14"/>
      <c r="K1902" s="14"/>
      <c r="L1902" s="14"/>
      <c r="M1902" s="14"/>
      <c r="N1902" s="14"/>
      <c r="O1902" s="14"/>
      <c r="P1902" s="14"/>
      <c r="Q1902" s="14"/>
      <c r="R1902" s="14"/>
      <c r="S1902" s="14"/>
      <c r="T1902" s="14"/>
      <c r="U1902" s="14"/>
      <c r="V1902" s="14"/>
      <c r="W1902" s="14"/>
      <c r="X1902" s="14"/>
      <c r="Y1902" s="14"/>
    </row>
    <row r="1903" spans="1:25" ht="15.75" x14ac:dyDescent="0.25">
      <c r="A1903" s="21"/>
      <c r="B1903" s="21"/>
      <c r="C1903" s="21"/>
      <c r="E1903" s="21"/>
      <c r="F1903" s="21"/>
      <c r="G1903" s="14"/>
      <c r="H1903" s="14"/>
      <c r="I1903" s="14"/>
      <c r="J1903" s="14"/>
      <c r="K1903" s="14"/>
      <c r="L1903" s="14"/>
      <c r="M1903" s="14"/>
      <c r="N1903" s="14"/>
      <c r="O1903" s="14"/>
      <c r="P1903" s="14"/>
      <c r="Q1903" s="14"/>
      <c r="R1903" s="14"/>
      <c r="S1903" s="14"/>
      <c r="T1903" s="14"/>
      <c r="U1903" s="14"/>
      <c r="V1903" s="14"/>
      <c r="W1903" s="14"/>
      <c r="X1903" s="14"/>
      <c r="Y1903" s="14"/>
    </row>
    <row r="1904" spans="1:25" ht="15.75" x14ac:dyDescent="0.25">
      <c r="A1904" s="21"/>
      <c r="B1904" s="21"/>
      <c r="C1904" s="21"/>
      <c r="E1904" s="21"/>
      <c r="F1904" s="21"/>
      <c r="G1904" s="14"/>
      <c r="H1904" s="14"/>
      <c r="I1904" s="14"/>
      <c r="J1904" s="14"/>
      <c r="K1904" s="14"/>
      <c r="L1904" s="14"/>
      <c r="M1904" s="14"/>
      <c r="N1904" s="14"/>
      <c r="O1904" s="14"/>
      <c r="P1904" s="14"/>
      <c r="Q1904" s="14"/>
      <c r="R1904" s="14"/>
      <c r="S1904" s="14"/>
      <c r="T1904" s="14"/>
      <c r="U1904" s="14"/>
      <c r="V1904" s="14"/>
      <c r="W1904" s="14"/>
      <c r="X1904" s="14"/>
      <c r="Y1904" s="14"/>
    </row>
    <row r="1905" spans="1:25" ht="15.75" x14ac:dyDescent="0.25">
      <c r="A1905" s="21"/>
      <c r="B1905" s="21"/>
      <c r="C1905" s="21"/>
      <c r="E1905" s="21"/>
      <c r="F1905" s="21"/>
      <c r="G1905" s="14"/>
      <c r="H1905" s="14"/>
      <c r="I1905" s="14"/>
      <c r="J1905" s="14"/>
      <c r="K1905" s="14"/>
      <c r="L1905" s="14"/>
      <c r="M1905" s="14"/>
      <c r="N1905" s="14"/>
      <c r="O1905" s="14"/>
      <c r="P1905" s="14"/>
      <c r="Q1905" s="14"/>
      <c r="R1905" s="14"/>
      <c r="S1905" s="14"/>
      <c r="T1905" s="14"/>
      <c r="U1905" s="14"/>
      <c r="V1905" s="14"/>
      <c r="W1905" s="14"/>
      <c r="X1905" s="14"/>
      <c r="Y1905" s="14"/>
    </row>
    <row r="1906" spans="1:25" ht="15.75" x14ac:dyDescent="0.25">
      <c r="A1906" s="21"/>
      <c r="B1906" s="21"/>
      <c r="C1906" s="21"/>
      <c r="E1906" s="21"/>
      <c r="F1906" s="21"/>
      <c r="G1906" s="14"/>
      <c r="H1906" s="14"/>
      <c r="I1906" s="14"/>
      <c r="J1906" s="14"/>
      <c r="K1906" s="14"/>
      <c r="L1906" s="14"/>
      <c r="M1906" s="14"/>
      <c r="N1906" s="14"/>
      <c r="O1906" s="14"/>
      <c r="P1906" s="14"/>
      <c r="Q1906" s="14"/>
      <c r="R1906" s="14"/>
      <c r="S1906" s="14"/>
      <c r="T1906" s="14"/>
      <c r="U1906" s="14"/>
      <c r="V1906" s="14"/>
      <c r="W1906" s="14"/>
      <c r="X1906" s="14"/>
      <c r="Y1906" s="14"/>
    </row>
    <row r="1907" spans="1:25" ht="15.75" x14ac:dyDescent="0.25">
      <c r="A1907" s="21"/>
      <c r="B1907" s="21"/>
      <c r="C1907" s="21"/>
      <c r="E1907" s="21"/>
      <c r="F1907" s="21"/>
      <c r="G1907" s="14"/>
      <c r="H1907" s="14"/>
      <c r="I1907" s="14"/>
      <c r="J1907" s="14"/>
      <c r="K1907" s="14"/>
      <c r="L1907" s="14"/>
      <c r="M1907" s="14"/>
      <c r="N1907" s="14"/>
      <c r="O1907" s="14"/>
      <c r="P1907" s="14"/>
      <c r="Q1907" s="14"/>
      <c r="R1907" s="14"/>
      <c r="S1907" s="14"/>
      <c r="T1907" s="14"/>
      <c r="U1907" s="14"/>
      <c r="V1907" s="14"/>
      <c r="W1907" s="14"/>
      <c r="X1907" s="14"/>
      <c r="Y1907" s="14"/>
    </row>
    <row r="1908" spans="1:25" ht="15.75" x14ac:dyDescent="0.25">
      <c r="A1908" s="21"/>
      <c r="B1908" s="21"/>
      <c r="C1908" s="21"/>
      <c r="E1908" s="21"/>
      <c r="F1908" s="21"/>
      <c r="G1908" s="14"/>
      <c r="H1908" s="14"/>
      <c r="I1908" s="14"/>
      <c r="J1908" s="14"/>
      <c r="K1908" s="14"/>
      <c r="L1908" s="14"/>
      <c r="M1908" s="14"/>
      <c r="N1908" s="14"/>
      <c r="O1908" s="14"/>
      <c r="P1908" s="14"/>
      <c r="Q1908" s="14"/>
      <c r="R1908" s="14"/>
      <c r="S1908" s="14"/>
      <c r="T1908" s="14"/>
      <c r="U1908" s="14"/>
      <c r="V1908" s="14"/>
      <c r="W1908" s="14"/>
      <c r="X1908" s="14"/>
      <c r="Y1908" s="14"/>
    </row>
    <row r="1909" spans="1:25" ht="15.75" x14ac:dyDescent="0.25">
      <c r="A1909" s="21"/>
      <c r="B1909" s="21"/>
      <c r="C1909" s="21"/>
      <c r="E1909" s="21"/>
      <c r="F1909" s="21"/>
      <c r="G1909" s="14"/>
      <c r="H1909" s="14"/>
      <c r="I1909" s="14"/>
      <c r="J1909" s="14"/>
      <c r="K1909" s="14"/>
      <c r="L1909" s="14"/>
      <c r="M1909" s="14"/>
      <c r="N1909" s="14"/>
      <c r="O1909" s="14"/>
      <c r="P1909" s="14"/>
      <c r="Q1909" s="14"/>
      <c r="R1909" s="14"/>
      <c r="S1909" s="14"/>
      <c r="T1909" s="14"/>
      <c r="U1909" s="14"/>
      <c r="V1909" s="14"/>
      <c r="W1909" s="14"/>
      <c r="X1909" s="14"/>
      <c r="Y1909" s="14"/>
    </row>
    <row r="1910" spans="1:25" ht="15.75" x14ac:dyDescent="0.25">
      <c r="A1910" s="21"/>
      <c r="B1910" s="21"/>
      <c r="C1910" s="21"/>
      <c r="E1910" s="21"/>
      <c r="F1910" s="21"/>
      <c r="G1910" s="14"/>
      <c r="H1910" s="14"/>
      <c r="I1910" s="14"/>
      <c r="J1910" s="14"/>
      <c r="K1910" s="14"/>
      <c r="L1910" s="14"/>
      <c r="M1910" s="14"/>
      <c r="N1910" s="14"/>
      <c r="O1910" s="14"/>
      <c r="P1910" s="14"/>
      <c r="Q1910" s="14"/>
      <c r="R1910" s="14"/>
      <c r="S1910" s="14"/>
      <c r="T1910" s="14"/>
      <c r="U1910" s="14"/>
      <c r="V1910" s="14"/>
      <c r="W1910" s="14"/>
      <c r="X1910" s="14"/>
      <c r="Y1910" s="14"/>
    </row>
    <row r="1911" spans="1:25" ht="15.75" x14ac:dyDescent="0.25">
      <c r="A1911" s="21"/>
      <c r="B1911" s="21"/>
      <c r="C1911" s="21"/>
      <c r="E1911" s="21"/>
      <c r="F1911" s="21"/>
      <c r="G1911" s="14"/>
      <c r="H1911" s="14"/>
      <c r="I1911" s="14"/>
      <c r="J1911" s="14"/>
      <c r="K1911" s="14"/>
      <c r="L1911" s="14"/>
      <c r="M1911" s="14"/>
      <c r="N1911" s="14"/>
      <c r="O1911" s="14"/>
      <c r="P1911" s="14"/>
      <c r="Q1911" s="14"/>
      <c r="R1911" s="14"/>
      <c r="S1911" s="14"/>
      <c r="T1911" s="14"/>
      <c r="U1911" s="14"/>
      <c r="V1911" s="14"/>
      <c r="W1911" s="14"/>
      <c r="X1911" s="14"/>
      <c r="Y1911" s="14"/>
    </row>
    <row r="1912" spans="1:25" ht="15.75" x14ac:dyDescent="0.25">
      <c r="A1912" s="21"/>
      <c r="B1912" s="21"/>
      <c r="C1912" s="21"/>
      <c r="E1912" s="21"/>
      <c r="F1912" s="21"/>
      <c r="G1912" s="14"/>
      <c r="H1912" s="14"/>
      <c r="I1912" s="14"/>
      <c r="J1912" s="14"/>
      <c r="K1912" s="14"/>
      <c r="L1912" s="14"/>
      <c r="M1912" s="14"/>
      <c r="N1912" s="14"/>
      <c r="O1912" s="14"/>
      <c r="P1912" s="14"/>
      <c r="Q1912" s="14"/>
      <c r="R1912" s="14"/>
      <c r="S1912" s="14"/>
      <c r="T1912" s="14"/>
      <c r="U1912" s="14"/>
      <c r="V1912" s="14"/>
      <c r="W1912" s="14"/>
      <c r="X1912" s="14"/>
      <c r="Y1912" s="14"/>
    </row>
    <row r="1913" spans="1:25" ht="15.75" x14ac:dyDescent="0.25">
      <c r="A1913" s="21"/>
      <c r="B1913" s="21"/>
      <c r="C1913" s="21"/>
      <c r="E1913" s="21"/>
      <c r="F1913" s="21"/>
      <c r="G1913" s="14"/>
      <c r="H1913" s="14"/>
      <c r="I1913" s="14"/>
      <c r="J1913" s="14"/>
      <c r="K1913" s="14"/>
      <c r="L1913" s="14"/>
      <c r="M1913" s="14"/>
      <c r="N1913" s="14"/>
      <c r="O1913" s="14"/>
      <c r="P1913" s="14"/>
      <c r="Q1913" s="14"/>
      <c r="R1913" s="14"/>
      <c r="S1913" s="14"/>
      <c r="T1913" s="14"/>
      <c r="U1913" s="14"/>
      <c r="V1913" s="14"/>
      <c r="W1913" s="14"/>
      <c r="X1913" s="14"/>
      <c r="Y1913" s="14"/>
    </row>
    <row r="1914" spans="1:25" ht="15.75" x14ac:dyDescent="0.25">
      <c r="A1914" s="21"/>
      <c r="B1914" s="21"/>
      <c r="C1914" s="21"/>
      <c r="E1914" s="21"/>
      <c r="F1914" s="21"/>
      <c r="G1914" s="14"/>
      <c r="H1914" s="14"/>
      <c r="I1914" s="14"/>
      <c r="J1914" s="14"/>
      <c r="K1914" s="14"/>
      <c r="L1914" s="14"/>
      <c r="M1914" s="14"/>
      <c r="N1914" s="14"/>
      <c r="O1914" s="14"/>
      <c r="P1914" s="14"/>
      <c r="Q1914" s="14"/>
      <c r="R1914" s="14"/>
      <c r="S1914" s="14"/>
      <c r="T1914" s="14"/>
      <c r="U1914" s="14"/>
      <c r="V1914" s="14"/>
      <c r="W1914" s="14"/>
      <c r="X1914" s="14"/>
      <c r="Y1914" s="14"/>
    </row>
    <row r="1915" spans="1:25" ht="15.75" x14ac:dyDescent="0.25">
      <c r="A1915" s="21"/>
      <c r="B1915" s="21"/>
      <c r="C1915" s="21"/>
      <c r="E1915" s="21"/>
      <c r="F1915" s="21"/>
      <c r="G1915" s="14"/>
      <c r="H1915" s="14"/>
      <c r="I1915" s="14"/>
      <c r="J1915" s="14"/>
      <c r="K1915" s="14"/>
      <c r="L1915" s="14"/>
      <c r="M1915" s="14"/>
      <c r="N1915" s="14"/>
      <c r="O1915" s="14"/>
      <c r="P1915" s="14"/>
      <c r="Q1915" s="14"/>
      <c r="R1915" s="14"/>
      <c r="S1915" s="14"/>
      <c r="T1915" s="14"/>
      <c r="U1915" s="14"/>
      <c r="V1915" s="14"/>
      <c r="W1915" s="14"/>
      <c r="X1915" s="14"/>
      <c r="Y1915" s="14"/>
    </row>
    <row r="1916" spans="1:25" ht="15.75" x14ac:dyDescent="0.25">
      <c r="A1916" s="21"/>
      <c r="B1916" s="21"/>
      <c r="C1916" s="21"/>
      <c r="E1916" s="21"/>
      <c r="F1916" s="21"/>
      <c r="G1916" s="14"/>
      <c r="H1916" s="14"/>
      <c r="I1916" s="14"/>
      <c r="J1916" s="14"/>
      <c r="K1916" s="14"/>
      <c r="L1916" s="14"/>
      <c r="M1916" s="14"/>
      <c r="N1916" s="14"/>
      <c r="O1916" s="14"/>
      <c r="P1916" s="14"/>
      <c r="Q1916" s="14"/>
      <c r="R1916" s="14"/>
      <c r="S1916" s="14"/>
      <c r="T1916" s="14"/>
      <c r="U1916" s="14"/>
      <c r="V1916" s="14"/>
      <c r="W1916" s="14"/>
      <c r="X1916" s="14"/>
      <c r="Y1916" s="14"/>
    </row>
    <row r="1917" spans="1:25" ht="15.75" x14ac:dyDescent="0.25">
      <c r="A1917" s="21"/>
      <c r="B1917" s="21"/>
      <c r="C1917" s="21"/>
      <c r="E1917" s="21"/>
      <c r="F1917" s="21"/>
      <c r="G1917" s="14"/>
      <c r="H1917" s="14"/>
      <c r="I1917" s="14"/>
      <c r="J1917" s="14"/>
      <c r="K1917" s="14"/>
      <c r="L1917" s="14"/>
      <c r="M1917" s="14"/>
      <c r="N1917" s="14"/>
      <c r="O1917" s="14"/>
      <c r="P1917" s="14"/>
      <c r="Q1917" s="14"/>
      <c r="R1917" s="14"/>
      <c r="S1917" s="14"/>
      <c r="T1917" s="14"/>
      <c r="U1917" s="14"/>
      <c r="V1917" s="14"/>
      <c r="W1917" s="14"/>
      <c r="X1917" s="14"/>
      <c r="Y1917" s="14"/>
    </row>
    <row r="1918" spans="1:25" ht="15.75" x14ac:dyDescent="0.25">
      <c r="A1918" s="21"/>
      <c r="B1918" s="21"/>
      <c r="C1918" s="21"/>
      <c r="E1918" s="21"/>
      <c r="F1918" s="21"/>
      <c r="G1918" s="14"/>
      <c r="H1918" s="14"/>
      <c r="I1918" s="14"/>
      <c r="J1918" s="14"/>
      <c r="K1918" s="14"/>
      <c r="L1918" s="14"/>
      <c r="M1918" s="14"/>
      <c r="N1918" s="14"/>
      <c r="O1918" s="14"/>
      <c r="P1918" s="14"/>
      <c r="Q1918" s="14"/>
      <c r="R1918" s="14"/>
      <c r="S1918" s="14"/>
      <c r="T1918" s="14"/>
      <c r="U1918" s="14"/>
      <c r="V1918" s="14"/>
      <c r="W1918" s="14"/>
      <c r="X1918" s="14"/>
      <c r="Y1918" s="14"/>
    </row>
    <row r="1919" spans="1:25" ht="15.75" x14ac:dyDescent="0.25">
      <c r="A1919" s="21"/>
      <c r="B1919" s="21"/>
      <c r="C1919" s="21"/>
      <c r="E1919" s="21"/>
      <c r="F1919" s="21"/>
      <c r="G1919" s="14"/>
      <c r="H1919" s="14"/>
      <c r="I1919" s="14"/>
      <c r="J1919" s="14"/>
      <c r="K1919" s="14"/>
      <c r="L1919" s="14"/>
      <c r="M1919" s="14"/>
      <c r="N1919" s="14"/>
      <c r="O1919" s="14"/>
      <c r="P1919" s="14"/>
      <c r="Q1919" s="14"/>
      <c r="R1919" s="14"/>
      <c r="S1919" s="14"/>
      <c r="T1919" s="14"/>
      <c r="U1919" s="14"/>
      <c r="V1919" s="14"/>
      <c r="W1919" s="14"/>
      <c r="X1919" s="14"/>
      <c r="Y1919" s="14"/>
    </row>
    <row r="1920" spans="1:25" ht="15.75" x14ac:dyDescent="0.25">
      <c r="A1920" s="21"/>
      <c r="B1920" s="21"/>
      <c r="C1920" s="21"/>
      <c r="E1920" s="21"/>
      <c r="F1920" s="21"/>
      <c r="G1920" s="14"/>
      <c r="H1920" s="14"/>
      <c r="I1920" s="14"/>
      <c r="J1920" s="14"/>
      <c r="K1920" s="14"/>
      <c r="L1920" s="14"/>
      <c r="M1920" s="14"/>
      <c r="N1920" s="14"/>
      <c r="O1920" s="14"/>
      <c r="P1920" s="14"/>
      <c r="Q1920" s="14"/>
      <c r="R1920" s="14"/>
      <c r="S1920" s="14"/>
      <c r="T1920" s="14"/>
      <c r="U1920" s="14"/>
      <c r="V1920" s="14"/>
      <c r="W1920" s="14"/>
      <c r="X1920" s="14"/>
      <c r="Y1920" s="14"/>
    </row>
    <row r="1921" spans="1:25" ht="15.75" x14ac:dyDescent="0.25">
      <c r="A1921" s="21"/>
      <c r="B1921" s="21"/>
      <c r="C1921" s="21"/>
      <c r="E1921" s="21"/>
      <c r="F1921" s="21"/>
      <c r="G1921" s="14"/>
      <c r="H1921" s="14"/>
      <c r="I1921" s="14"/>
      <c r="J1921" s="14"/>
      <c r="K1921" s="14"/>
      <c r="L1921" s="14"/>
      <c r="M1921" s="14"/>
      <c r="N1921" s="14"/>
      <c r="O1921" s="14"/>
      <c r="P1921" s="14"/>
      <c r="Q1921" s="14"/>
      <c r="R1921" s="14"/>
      <c r="S1921" s="14"/>
      <c r="T1921" s="14"/>
      <c r="U1921" s="14"/>
      <c r="V1921" s="14"/>
      <c r="W1921" s="14"/>
      <c r="X1921" s="14"/>
      <c r="Y1921" s="14"/>
    </row>
    <row r="1922" spans="1:25" ht="15.75" x14ac:dyDescent="0.25">
      <c r="A1922" s="21"/>
      <c r="B1922" s="21"/>
      <c r="C1922" s="21"/>
      <c r="E1922" s="21"/>
      <c r="F1922" s="21"/>
      <c r="G1922" s="14"/>
      <c r="H1922" s="14"/>
      <c r="I1922" s="14"/>
      <c r="J1922" s="14"/>
      <c r="K1922" s="14"/>
      <c r="L1922" s="14"/>
      <c r="M1922" s="14"/>
      <c r="N1922" s="14"/>
      <c r="O1922" s="14"/>
      <c r="P1922" s="14"/>
      <c r="Q1922" s="14"/>
      <c r="R1922" s="14"/>
      <c r="S1922" s="14"/>
      <c r="T1922" s="14"/>
      <c r="U1922" s="14"/>
      <c r="V1922" s="14"/>
      <c r="W1922" s="14"/>
      <c r="X1922" s="14"/>
      <c r="Y1922" s="14"/>
    </row>
    <row r="1923" spans="1:25" ht="15.75" x14ac:dyDescent="0.25">
      <c r="A1923" s="21"/>
      <c r="B1923" s="21"/>
      <c r="C1923" s="21"/>
      <c r="E1923" s="21"/>
      <c r="F1923" s="21"/>
      <c r="G1923" s="14"/>
      <c r="H1923" s="14"/>
      <c r="I1923" s="14"/>
      <c r="J1923" s="14"/>
      <c r="K1923" s="14"/>
      <c r="L1923" s="14"/>
      <c r="M1923" s="14"/>
      <c r="N1923" s="14"/>
      <c r="O1923" s="14"/>
      <c r="P1923" s="14"/>
      <c r="Q1923" s="14"/>
      <c r="R1923" s="14"/>
      <c r="S1923" s="14"/>
      <c r="T1923" s="14"/>
      <c r="U1923" s="14"/>
      <c r="V1923" s="14"/>
      <c r="W1923" s="14"/>
      <c r="X1923" s="14"/>
      <c r="Y1923" s="14"/>
    </row>
    <row r="1924" spans="1:25" ht="15.75" x14ac:dyDescent="0.25">
      <c r="A1924" s="21"/>
      <c r="B1924" s="21"/>
      <c r="C1924" s="21"/>
      <c r="E1924" s="21"/>
      <c r="F1924" s="21"/>
      <c r="G1924" s="14"/>
      <c r="H1924" s="14"/>
      <c r="I1924" s="14"/>
      <c r="J1924" s="14"/>
      <c r="K1924" s="14"/>
      <c r="L1924" s="14"/>
      <c r="M1924" s="14"/>
      <c r="N1924" s="14"/>
      <c r="O1924" s="14"/>
      <c r="P1924" s="14"/>
      <c r="Q1924" s="14"/>
      <c r="R1924" s="14"/>
      <c r="S1924" s="14"/>
      <c r="T1924" s="14"/>
      <c r="U1924" s="14"/>
      <c r="V1924" s="14"/>
      <c r="W1924" s="14"/>
      <c r="X1924" s="14"/>
      <c r="Y1924" s="14"/>
    </row>
    <row r="1925" spans="1:25" ht="15.75" x14ac:dyDescent="0.25">
      <c r="A1925" s="21"/>
      <c r="B1925" s="21"/>
      <c r="C1925" s="21"/>
      <c r="E1925" s="21"/>
      <c r="F1925" s="21"/>
      <c r="G1925" s="14"/>
      <c r="H1925" s="14"/>
      <c r="I1925" s="14"/>
      <c r="J1925" s="14"/>
      <c r="K1925" s="14"/>
      <c r="L1925" s="14"/>
      <c r="M1925" s="14"/>
      <c r="N1925" s="14"/>
      <c r="O1925" s="14"/>
      <c r="P1925" s="14"/>
      <c r="Q1925" s="14"/>
      <c r="R1925" s="14"/>
      <c r="S1925" s="14"/>
      <c r="T1925" s="14"/>
      <c r="U1925" s="14"/>
      <c r="V1925" s="14"/>
      <c r="W1925" s="14"/>
      <c r="X1925" s="14"/>
      <c r="Y1925" s="14"/>
    </row>
    <row r="1926" spans="1:25" ht="15.75" x14ac:dyDescent="0.25">
      <c r="A1926" s="21"/>
      <c r="B1926" s="21"/>
      <c r="C1926" s="21"/>
      <c r="E1926" s="21"/>
      <c r="F1926" s="21"/>
      <c r="G1926" s="14"/>
      <c r="H1926" s="14"/>
      <c r="I1926" s="14"/>
      <c r="J1926" s="14"/>
      <c r="K1926" s="14"/>
      <c r="L1926" s="14"/>
      <c r="M1926" s="14"/>
      <c r="N1926" s="14"/>
      <c r="O1926" s="14"/>
      <c r="P1926" s="14"/>
      <c r="Q1926" s="14"/>
      <c r="R1926" s="14"/>
      <c r="S1926" s="14"/>
      <c r="T1926" s="14"/>
      <c r="U1926" s="14"/>
      <c r="V1926" s="14"/>
      <c r="W1926" s="14"/>
      <c r="X1926" s="14"/>
      <c r="Y1926" s="14"/>
    </row>
    <row r="1927" spans="1:25" ht="15.75" x14ac:dyDescent="0.25">
      <c r="A1927" s="21"/>
      <c r="B1927" s="21"/>
      <c r="C1927" s="21"/>
      <c r="E1927" s="21"/>
      <c r="F1927" s="21"/>
      <c r="G1927" s="14"/>
      <c r="H1927" s="14"/>
      <c r="I1927" s="14"/>
      <c r="J1927" s="14"/>
      <c r="K1927" s="14"/>
      <c r="L1927" s="14"/>
      <c r="M1927" s="14"/>
      <c r="N1927" s="14"/>
      <c r="O1927" s="14"/>
      <c r="P1927" s="14"/>
      <c r="Q1927" s="14"/>
      <c r="R1927" s="14"/>
      <c r="S1927" s="14"/>
      <c r="T1927" s="14"/>
      <c r="U1927" s="14"/>
      <c r="V1927" s="14"/>
      <c r="W1927" s="14"/>
      <c r="X1927" s="14"/>
      <c r="Y1927" s="14"/>
    </row>
    <row r="1928" spans="1:25" ht="15.75" x14ac:dyDescent="0.25">
      <c r="A1928" s="21"/>
      <c r="B1928" s="21"/>
      <c r="C1928" s="21"/>
      <c r="E1928" s="21"/>
      <c r="F1928" s="21"/>
      <c r="G1928" s="14"/>
      <c r="H1928" s="14"/>
      <c r="I1928" s="14"/>
      <c r="J1928" s="14"/>
      <c r="K1928" s="14"/>
      <c r="L1928" s="14"/>
      <c r="M1928" s="14"/>
      <c r="N1928" s="14"/>
      <c r="O1928" s="14"/>
      <c r="P1928" s="14"/>
      <c r="Q1928" s="14"/>
      <c r="R1928" s="14"/>
      <c r="S1928" s="14"/>
      <c r="T1928" s="14"/>
      <c r="U1928" s="14"/>
      <c r="V1928" s="14"/>
      <c r="W1928" s="14"/>
      <c r="X1928" s="14"/>
      <c r="Y1928" s="14"/>
    </row>
    <row r="1929" spans="1:25" ht="15.75" x14ac:dyDescent="0.25">
      <c r="A1929" s="21"/>
      <c r="B1929" s="21"/>
      <c r="C1929" s="21"/>
      <c r="E1929" s="21"/>
      <c r="F1929" s="21"/>
      <c r="G1929" s="14"/>
      <c r="H1929" s="14"/>
      <c r="I1929" s="14"/>
      <c r="J1929" s="14"/>
      <c r="K1929" s="14"/>
      <c r="L1929" s="14"/>
      <c r="M1929" s="14"/>
      <c r="N1929" s="14"/>
      <c r="O1929" s="14"/>
      <c r="P1929" s="14"/>
      <c r="Q1929" s="14"/>
      <c r="R1929" s="14"/>
      <c r="S1929" s="14"/>
      <c r="T1929" s="14"/>
      <c r="U1929" s="14"/>
      <c r="V1929" s="14"/>
      <c r="W1929" s="14"/>
      <c r="X1929" s="14"/>
      <c r="Y1929" s="14"/>
    </row>
    <row r="1930" spans="1:25" ht="15.75" x14ac:dyDescent="0.25">
      <c r="A1930" s="21"/>
      <c r="B1930" s="21"/>
      <c r="C1930" s="21"/>
      <c r="E1930" s="21"/>
      <c r="F1930" s="21"/>
      <c r="G1930" s="14"/>
      <c r="H1930" s="14"/>
      <c r="I1930" s="14"/>
      <c r="J1930" s="14"/>
      <c r="K1930" s="14"/>
      <c r="L1930" s="14"/>
      <c r="M1930" s="14"/>
      <c r="N1930" s="14"/>
      <c r="O1930" s="14"/>
      <c r="P1930" s="14"/>
      <c r="Q1930" s="14"/>
      <c r="R1930" s="14"/>
      <c r="S1930" s="14"/>
      <c r="T1930" s="14"/>
      <c r="U1930" s="14"/>
      <c r="V1930" s="14"/>
      <c r="W1930" s="14"/>
      <c r="X1930" s="14"/>
      <c r="Y1930" s="14"/>
    </row>
    <row r="1931" spans="1:25" ht="15.75" x14ac:dyDescent="0.25">
      <c r="A1931" s="21"/>
      <c r="B1931" s="21"/>
      <c r="C1931" s="21"/>
      <c r="E1931" s="21"/>
      <c r="F1931" s="21"/>
      <c r="G1931" s="14"/>
      <c r="H1931" s="14"/>
      <c r="I1931" s="14"/>
      <c r="J1931" s="14"/>
      <c r="K1931" s="14"/>
      <c r="L1931" s="14"/>
      <c r="M1931" s="14"/>
      <c r="N1931" s="14"/>
      <c r="O1931" s="14"/>
      <c r="P1931" s="14"/>
      <c r="Q1931" s="14"/>
      <c r="R1931" s="14"/>
      <c r="S1931" s="14"/>
      <c r="T1931" s="14"/>
      <c r="U1931" s="14"/>
      <c r="V1931" s="14"/>
      <c r="W1931" s="14"/>
      <c r="X1931" s="14"/>
      <c r="Y1931" s="14"/>
    </row>
    <row r="1932" spans="1:25" ht="15.75" x14ac:dyDescent="0.25">
      <c r="A1932" s="21"/>
      <c r="B1932" s="21"/>
      <c r="C1932" s="21"/>
      <c r="E1932" s="21"/>
      <c r="F1932" s="21"/>
      <c r="G1932" s="14"/>
      <c r="H1932" s="14"/>
      <c r="I1932" s="14"/>
      <c r="J1932" s="14"/>
      <c r="K1932" s="14"/>
      <c r="L1932" s="14"/>
      <c r="M1932" s="14"/>
      <c r="N1932" s="14"/>
      <c r="O1932" s="14"/>
      <c r="P1932" s="14"/>
      <c r="Q1932" s="14"/>
      <c r="R1932" s="14"/>
      <c r="S1932" s="14"/>
      <c r="T1932" s="14"/>
      <c r="U1932" s="14"/>
      <c r="V1932" s="14"/>
      <c r="W1932" s="14"/>
      <c r="X1932" s="14"/>
      <c r="Y1932" s="14"/>
    </row>
    <row r="1933" spans="1:25" ht="15.75" x14ac:dyDescent="0.25">
      <c r="A1933" s="21"/>
      <c r="B1933" s="21"/>
      <c r="C1933" s="21"/>
      <c r="E1933" s="21"/>
      <c r="F1933" s="21"/>
      <c r="G1933" s="14"/>
      <c r="H1933" s="14"/>
      <c r="I1933" s="14"/>
      <c r="J1933" s="14"/>
      <c r="K1933" s="14"/>
      <c r="L1933" s="14"/>
      <c r="M1933" s="14"/>
      <c r="N1933" s="14"/>
      <c r="O1933" s="14"/>
      <c r="P1933" s="14"/>
      <c r="Q1933" s="14"/>
      <c r="R1933" s="14"/>
      <c r="S1933" s="14"/>
      <c r="T1933" s="14"/>
      <c r="U1933" s="14"/>
      <c r="V1933" s="14"/>
      <c r="W1933" s="14"/>
      <c r="X1933" s="14"/>
      <c r="Y1933" s="14"/>
    </row>
    <row r="1934" spans="1:25" ht="15.75" x14ac:dyDescent="0.25">
      <c r="A1934" s="21"/>
      <c r="B1934" s="21"/>
      <c r="C1934" s="21"/>
      <c r="E1934" s="21"/>
      <c r="F1934" s="21"/>
      <c r="G1934" s="14"/>
      <c r="H1934" s="14"/>
      <c r="I1934" s="14"/>
      <c r="J1934" s="14"/>
      <c r="K1934" s="14"/>
      <c r="L1934" s="14"/>
      <c r="M1934" s="14"/>
      <c r="N1934" s="14"/>
      <c r="O1934" s="14"/>
      <c r="P1934" s="14"/>
      <c r="Q1934" s="14"/>
      <c r="R1934" s="14"/>
      <c r="S1934" s="14"/>
      <c r="T1934" s="14"/>
      <c r="U1934" s="14"/>
      <c r="V1934" s="14"/>
      <c r="W1934" s="14"/>
      <c r="X1934" s="14"/>
      <c r="Y1934" s="14"/>
    </row>
    <row r="1935" spans="1:25" ht="15.75" x14ac:dyDescent="0.25">
      <c r="A1935" s="21"/>
      <c r="B1935" s="21"/>
      <c r="C1935" s="21"/>
      <c r="E1935" s="21"/>
      <c r="F1935" s="21"/>
      <c r="G1935" s="14"/>
      <c r="H1935" s="14"/>
      <c r="I1935" s="14"/>
      <c r="J1935" s="14"/>
      <c r="K1935" s="14"/>
      <c r="L1935" s="14"/>
      <c r="M1935" s="14"/>
      <c r="N1935" s="14"/>
      <c r="O1935" s="14"/>
      <c r="P1935" s="14"/>
      <c r="Q1935" s="14"/>
      <c r="R1935" s="14"/>
      <c r="S1935" s="14"/>
      <c r="T1935" s="14"/>
      <c r="U1935" s="14"/>
      <c r="V1935" s="14"/>
      <c r="W1935" s="14"/>
      <c r="X1935" s="14"/>
      <c r="Y1935" s="14"/>
    </row>
    <row r="1936" spans="1:25" ht="15.75" x14ac:dyDescent="0.25">
      <c r="A1936" s="21"/>
      <c r="B1936" s="21"/>
      <c r="C1936" s="21"/>
      <c r="E1936" s="21"/>
      <c r="F1936" s="21"/>
      <c r="G1936" s="14"/>
      <c r="H1936" s="14"/>
      <c r="I1936" s="14"/>
      <c r="J1936" s="14"/>
      <c r="K1936" s="14"/>
      <c r="L1936" s="14"/>
      <c r="M1936" s="14"/>
      <c r="N1936" s="14"/>
      <c r="O1936" s="14"/>
      <c r="P1936" s="14"/>
      <c r="Q1936" s="14"/>
      <c r="R1936" s="14"/>
      <c r="S1936" s="14"/>
      <c r="T1936" s="14"/>
      <c r="U1936" s="14"/>
      <c r="V1936" s="14"/>
      <c r="W1936" s="14"/>
      <c r="X1936" s="14"/>
      <c r="Y1936" s="14"/>
    </row>
    <row r="1937" spans="1:25" ht="15.75" x14ac:dyDescent="0.25">
      <c r="A1937" s="21"/>
      <c r="B1937" s="21"/>
      <c r="C1937" s="21"/>
      <c r="E1937" s="21"/>
      <c r="F1937" s="21"/>
      <c r="G1937" s="14"/>
      <c r="H1937" s="14"/>
      <c r="I1937" s="14"/>
      <c r="J1937" s="14"/>
      <c r="K1937" s="14"/>
      <c r="L1937" s="14"/>
      <c r="M1937" s="14"/>
      <c r="N1937" s="14"/>
      <c r="O1937" s="14"/>
      <c r="P1937" s="14"/>
      <c r="Q1937" s="14"/>
      <c r="R1937" s="14"/>
      <c r="S1937" s="14"/>
      <c r="T1937" s="14"/>
      <c r="U1937" s="14"/>
      <c r="V1937" s="14"/>
      <c r="W1937" s="14"/>
      <c r="X1937" s="14"/>
      <c r="Y1937" s="14"/>
    </row>
    <row r="1938" spans="1:25" ht="15.75" x14ac:dyDescent="0.25">
      <c r="A1938" s="21"/>
      <c r="B1938" s="21"/>
      <c r="C1938" s="21"/>
      <c r="E1938" s="21"/>
      <c r="F1938" s="21"/>
      <c r="G1938" s="14"/>
      <c r="H1938" s="14"/>
      <c r="I1938" s="14"/>
      <c r="J1938" s="14"/>
      <c r="K1938" s="14"/>
      <c r="L1938" s="14"/>
      <c r="M1938" s="14"/>
      <c r="N1938" s="14"/>
      <c r="O1938" s="14"/>
      <c r="P1938" s="14"/>
      <c r="Q1938" s="14"/>
      <c r="R1938" s="14"/>
      <c r="S1938" s="14"/>
      <c r="T1938" s="14"/>
      <c r="U1938" s="14"/>
      <c r="V1938" s="14"/>
      <c r="W1938" s="14"/>
      <c r="X1938" s="14"/>
      <c r="Y1938" s="14"/>
    </row>
    <row r="1939" spans="1:25" ht="15.75" x14ac:dyDescent="0.25">
      <c r="A1939" s="21"/>
      <c r="B1939" s="21"/>
      <c r="C1939" s="21"/>
      <c r="E1939" s="21"/>
      <c r="F1939" s="21"/>
      <c r="G1939" s="14"/>
      <c r="H1939" s="14"/>
      <c r="I1939" s="14"/>
      <c r="J1939" s="14"/>
      <c r="K1939" s="14"/>
      <c r="L1939" s="14"/>
      <c r="M1939" s="14"/>
      <c r="N1939" s="14"/>
      <c r="O1939" s="14"/>
      <c r="P1939" s="14"/>
      <c r="Q1939" s="14"/>
      <c r="R1939" s="14"/>
      <c r="S1939" s="14"/>
      <c r="T1939" s="14"/>
      <c r="U1939" s="14"/>
      <c r="V1939" s="14"/>
      <c r="W1939" s="14"/>
      <c r="X1939" s="14"/>
      <c r="Y1939" s="14"/>
    </row>
    <row r="1940" spans="1:25" ht="15.75" x14ac:dyDescent="0.25">
      <c r="A1940" s="21"/>
      <c r="B1940" s="21"/>
      <c r="C1940" s="21"/>
      <c r="E1940" s="21"/>
      <c r="F1940" s="21"/>
      <c r="G1940" s="14"/>
      <c r="H1940" s="14"/>
      <c r="I1940" s="14"/>
      <c r="J1940" s="14"/>
      <c r="K1940" s="14"/>
      <c r="L1940" s="14"/>
      <c r="M1940" s="14"/>
      <c r="N1940" s="14"/>
      <c r="O1940" s="14"/>
      <c r="P1940" s="14"/>
      <c r="Q1940" s="14"/>
      <c r="R1940" s="14"/>
      <c r="S1940" s="14"/>
      <c r="T1940" s="14"/>
      <c r="U1940" s="14"/>
      <c r="V1940" s="14"/>
      <c r="W1940" s="14"/>
      <c r="X1940" s="14"/>
      <c r="Y1940" s="14"/>
    </row>
    <row r="1941" spans="1:25" ht="15.75" x14ac:dyDescent="0.25">
      <c r="A1941" s="21"/>
      <c r="B1941" s="21"/>
      <c r="C1941" s="21"/>
      <c r="E1941" s="21"/>
      <c r="F1941" s="21"/>
      <c r="G1941" s="14"/>
      <c r="H1941" s="14"/>
      <c r="I1941" s="14"/>
      <c r="J1941" s="14"/>
      <c r="K1941" s="14"/>
      <c r="L1941" s="14"/>
      <c r="M1941" s="14"/>
      <c r="N1941" s="14"/>
      <c r="O1941" s="14"/>
      <c r="P1941" s="14"/>
      <c r="Q1941" s="14"/>
      <c r="R1941" s="14"/>
      <c r="S1941" s="14"/>
      <c r="T1941" s="14"/>
      <c r="U1941" s="14"/>
      <c r="V1941" s="14"/>
      <c r="W1941" s="14"/>
      <c r="X1941" s="14"/>
      <c r="Y1941" s="14"/>
    </row>
    <row r="1942" spans="1:25" ht="15.75" x14ac:dyDescent="0.25">
      <c r="A1942" s="21"/>
      <c r="B1942" s="21"/>
      <c r="C1942" s="21"/>
      <c r="E1942" s="21"/>
      <c r="F1942" s="21"/>
      <c r="G1942" s="14"/>
      <c r="H1942" s="14"/>
      <c r="I1942" s="14"/>
      <c r="J1942" s="14"/>
      <c r="K1942" s="14"/>
      <c r="L1942" s="14"/>
      <c r="M1942" s="14"/>
      <c r="N1942" s="14"/>
      <c r="O1942" s="14"/>
      <c r="P1942" s="14"/>
      <c r="Q1942" s="14"/>
      <c r="R1942" s="14"/>
      <c r="S1942" s="14"/>
      <c r="T1942" s="14"/>
      <c r="U1942" s="14"/>
      <c r="V1942" s="14"/>
      <c r="W1942" s="14"/>
      <c r="X1942" s="14"/>
      <c r="Y1942" s="14"/>
    </row>
    <row r="1943" spans="1:25" ht="15.75" x14ac:dyDescent="0.25">
      <c r="A1943" s="21"/>
      <c r="B1943" s="21"/>
      <c r="C1943" s="21"/>
      <c r="E1943" s="21"/>
      <c r="F1943" s="21"/>
      <c r="G1943" s="14"/>
      <c r="H1943" s="14"/>
      <c r="I1943" s="14"/>
      <c r="J1943" s="14"/>
      <c r="K1943" s="14"/>
      <c r="L1943" s="14"/>
      <c r="M1943" s="14"/>
      <c r="N1943" s="14"/>
      <c r="O1943" s="14"/>
      <c r="P1943" s="14"/>
      <c r="Q1943" s="14"/>
      <c r="R1943" s="14"/>
      <c r="S1943" s="14"/>
      <c r="T1943" s="14"/>
      <c r="U1943" s="14"/>
      <c r="V1943" s="14"/>
      <c r="W1943" s="14"/>
      <c r="X1943" s="14"/>
      <c r="Y1943" s="14"/>
    </row>
    <row r="1944" spans="1:25" ht="15.75" x14ac:dyDescent="0.25">
      <c r="A1944" s="21"/>
      <c r="B1944" s="21"/>
      <c r="C1944" s="21"/>
      <c r="E1944" s="21"/>
      <c r="F1944" s="21"/>
      <c r="G1944" s="14"/>
      <c r="H1944" s="14"/>
      <c r="I1944" s="14"/>
      <c r="J1944" s="14"/>
      <c r="K1944" s="14"/>
      <c r="L1944" s="14"/>
      <c r="M1944" s="14"/>
      <c r="N1944" s="14"/>
      <c r="O1944" s="14"/>
      <c r="P1944" s="14"/>
      <c r="Q1944" s="14"/>
      <c r="R1944" s="14"/>
      <c r="S1944" s="14"/>
      <c r="T1944" s="14"/>
      <c r="U1944" s="14"/>
      <c r="V1944" s="14"/>
      <c r="W1944" s="14"/>
      <c r="X1944" s="14"/>
      <c r="Y1944" s="14"/>
    </row>
    <row r="1945" spans="1:25" ht="15.75" x14ac:dyDescent="0.25">
      <c r="A1945" s="21"/>
      <c r="B1945" s="21"/>
      <c r="C1945" s="21"/>
      <c r="E1945" s="21"/>
      <c r="F1945" s="21"/>
      <c r="G1945" s="14"/>
      <c r="H1945" s="14"/>
      <c r="I1945" s="14"/>
      <c r="J1945" s="14"/>
      <c r="K1945" s="14"/>
      <c r="L1945" s="14"/>
      <c r="M1945" s="14"/>
      <c r="N1945" s="14"/>
      <c r="O1945" s="14"/>
      <c r="P1945" s="14"/>
      <c r="Q1945" s="14"/>
      <c r="R1945" s="14"/>
      <c r="S1945" s="14"/>
      <c r="T1945" s="14"/>
      <c r="U1945" s="14"/>
      <c r="V1945" s="14"/>
      <c r="W1945" s="14"/>
      <c r="X1945" s="14"/>
      <c r="Y1945" s="14"/>
    </row>
    <row r="1946" spans="1:25" ht="15.75" x14ac:dyDescent="0.25">
      <c r="A1946" s="21"/>
      <c r="B1946" s="21"/>
      <c r="C1946" s="21"/>
      <c r="E1946" s="21"/>
      <c r="F1946" s="21"/>
      <c r="G1946" s="14"/>
      <c r="H1946" s="14"/>
      <c r="I1946" s="14"/>
      <c r="J1946" s="14"/>
      <c r="K1946" s="14"/>
      <c r="L1946" s="14"/>
      <c r="M1946" s="14"/>
      <c r="N1946" s="14"/>
      <c r="O1946" s="14"/>
      <c r="P1946" s="14"/>
      <c r="Q1946" s="14"/>
      <c r="R1946" s="14"/>
      <c r="S1946" s="14"/>
      <c r="T1946" s="14"/>
      <c r="U1946" s="14"/>
      <c r="V1946" s="14"/>
      <c r="W1946" s="14"/>
      <c r="X1946" s="14"/>
      <c r="Y1946" s="14"/>
    </row>
    <row r="1947" spans="1:25" ht="15.75" x14ac:dyDescent="0.25">
      <c r="A1947" s="21"/>
      <c r="B1947" s="21"/>
      <c r="C1947" s="21"/>
      <c r="E1947" s="21"/>
      <c r="F1947" s="21"/>
      <c r="G1947" s="14"/>
      <c r="H1947" s="14"/>
      <c r="I1947" s="14"/>
      <c r="J1947" s="14"/>
      <c r="K1947" s="14"/>
      <c r="L1947" s="14"/>
      <c r="M1947" s="14"/>
      <c r="N1947" s="14"/>
      <c r="O1947" s="14"/>
      <c r="P1947" s="14"/>
      <c r="Q1947" s="14"/>
      <c r="R1947" s="14"/>
      <c r="S1947" s="14"/>
      <c r="T1947" s="14"/>
      <c r="U1947" s="14"/>
      <c r="V1947" s="14"/>
      <c r="W1947" s="14"/>
      <c r="X1947" s="14"/>
      <c r="Y1947" s="14"/>
    </row>
    <row r="1948" spans="1:25" ht="15.75" x14ac:dyDescent="0.25">
      <c r="A1948" s="21"/>
      <c r="B1948" s="21"/>
      <c r="C1948" s="21"/>
      <c r="E1948" s="21"/>
      <c r="F1948" s="21"/>
      <c r="G1948" s="14"/>
      <c r="H1948" s="14"/>
      <c r="I1948" s="14"/>
      <c r="J1948" s="14"/>
      <c r="K1948" s="14"/>
      <c r="L1948" s="14"/>
      <c r="M1948" s="14"/>
      <c r="N1948" s="14"/>
      <c r="O1948" s="14"/>
      <c r="P1948" s="14"/>
      <c r="Q1948" s="14"/>
      <c r="R1948" s="14"/>
      <c r="S1948" s="14"/>
      <c r="T1948" s="14"/>
      <c r="U1948" s="14"/>
      <c r="V1948" s="14"/>
      <c r="W1948" s="14"/>
      <c r="X1948" s="14"/>
      <c r="Y1948" s="14"/>
    </row>
    <row r="1949" spans="1:25" ht="15.75" x14ac:dyDescent="0.25">
      <c r="A1949" s="21"/>
      <c r="B1949" s="21"/>
      <c r="C1949" s="21"/>
      <c r="E1949" s="21"/>
      <c r="F1949" s="21"/>
      <c r="G1949" s="14"/>
      <c r="H1949" s="14"/>
      <c r="I1949" s="14"/>
      <c r="J1949" s="14"/>
      <c r="K1949" s="14"/>
      <c r="L1949" s="14"/>
      <c r="M1949" s="14"/>
      <c r="N1949" s="14"/>
      <c r="O1949" s="14"/>
      <c r="P1949" s="14"/>
      <c r="Q1949" s="14"/>
      <c r="R1949" s="14"/>
      <c r="S1949" s="14"/>
      <c r="T1949" s="14"/>
      <c r="U1949" s="14"/>
      <c r="V1949" s="14"/>
      <c r="W1949" s="14"/>
      <c r="X1949" s="14"/>
      <c r="Y1949" s="14"/>
    </row>
    <row r="1950" spans="1:25" ht="15.75" x14ac:dyDescent="0.25">
      <c r="A1950" s="21"/>
      <c r="B1950" s="21"/>
      <c r="C1950" s="21"/>
      <c r="E1950" s="21"/>
      <c r="F1950" s="21"/>
      <c r="G1950" s="14"/>
      <c r="H1950" s="14"/>
      <c r="I1950" s="14"/>
      <c r="J1950" s="14"/>
      <c r="K1950" s="14"/>
      <c r="L1950" s="14"/>
      <c r="M1950" s="14"/>
      <c r="N1950" s="14"/>
      <c r="O1950" s="14"/>
      <c r="P1950" s="14"/>
      <c r="Q1950" s="14"/>
      <c r="R1950" s="14"/>
      <c r="S1950" s="14"/>
      <c r="T1950" s="14"/>
      <c r="U1950" s="14"/>
      <c r="V1950" s="14"/>
      <c r="W1950" s="14"/>
      <c r="X1950" s="14"/>
      <c r="Y1950" s="14"/>
    </row>
    <row r="1951" spans="1:25" ht="15.75" x14ac:dyDescent="0.25">
      <c r="A1951" s="21"/>
      <c r="B1951" s="21"/>
      <c r="C1951" s="21"/>
      <c r="E1951" s="21"/>
      <c r="F1951" s="21"/>
      <c r="G1951" s="14"/>
      <c r="H1951" s="14"/>
      <c r="I1951" s="14"/>
      <c r="J1951" s="14"/>
      <c r="K1951" s="14"/>
      <c r="L1951" s="14"/>
      <c r="M1951" s="14"/>
      <c r="N1951" s="14"/>
      <c r="O1951" s="14"/>
      <c r="P1951" s="14"/>
      <c r="Q1951" s="14"/>
      <c r="R1951" s="14"/>
      <c r="S1951" s="14"/>
      <c r="T1951" s="14"/>
      <c r="U1951" s="14"/>
      <c r="V1951" s="14"/>
      <c r="W1951" s="14"/>
      <c r="X1951" s="14"/>
      <c r="Y1951" s="14"/>
    </row>
    <row r="1952" spans="1:25" ht="15.75" x14ac:dyDescent="0.25">
      <c r="A1952" s="21"/>
      <c r="B1952" s="21"/>
      <c r="C1952" s="21"/>
      <c r="E1952" s="21"/>
      <c r="F1952" s="21"/>
      <c r="G1952" s="14"/>
      <c r="H1952" s="14"/>
      <c r="I1952" s="14"/>
      <c r="J1952" s="14"/>
      <c r="K1952" s="14"/>
      <c r="L1952" s="14"/>
      <c r="M1952" s="14"/>
      <c r="N1952" s="14"/>
      <c r="O1952" s="14"/>
      <c r="P1952" s="14"/>
      <c r="Q1952" s="14"/>
      <c r="R1952" s="14"/>
      <c r="S1952" s="14"/>
      <c r="T1952" s="14"/>
      <c r="U1952" s="14"/>
      <c r="V1952" s="14"/>
      <c r="W1952" s="14"/>
      <c r="X1952" s="14"/>
      <c r="Y1952" s="14"/>
    </row>
    <row r="1953" spans="1:25" ht="15.75" x14ac:dyDescent="0.25">
      <c r="A1953" s="21"/>
      <c r="B1953" s="21"/>
      <c r="C1953" s="21"/>
      <c r="E1953" s="21"/>
      <c r="F1953" s="21"/>
      <c r="G1953" s="14"/>
      <c r="H1953" s="14"/>
      <c r="I1953" s="14"/>
      <c r="J1953" s="14"/>
      <c r="K1953" s="14"/>
      <c r="L1953" s="14"/>
      <c r="M1953" s="14"/>
      <c r="N1953" s="14"/>
      <c r="O1953" s="14"/>
      <c r="P1953" s="14"/>
      <c r="Q1953" s="14"/>
      <c r="R1953" s="14"/>
      <c r="S1953" s="14"/>
      <c r="T1953" s="14"/>
      <c r="U1953" s="14"/>
      <c r="V1953" s="14"/>
      <c r="W1953" s="14"/>
      <c r="X1953" s="14"/>
      <c r="Y1953" s="14"/>
    </row>
    <row r="1954" spans="1:25" ht="15.75" x14ac:dyDescent="0.25">
      <c r="A1954" s="21"/>
      <c r="B1954" s="21"/>
      <c r="C1954" s="21"/>
      <c r="E1954" s="21"/>
      <c r="F1954" s="21"/>
      <c r="G1954" s="14"/>
      <c r="H1954" s="14"/>
      <c r="I1954" s="14"/>
      <c r="J1954" s="14"/>
      <c r="K1954" s="14"/>
      <c r="L1954" s="14"/>
      <c r="M1954" s="14"/>
      <c r="N1954" s="14"/>
      <c r="O1954" s="14"/>
      <c r="P1954" s="14"/>
      <c r="Q1954" s="14"/>
      <c r="R1954" s="14"/>
      <c r="S1954" s="14"/>
      <c r="T1954" s="14"/>
      <c r="U1954" s="14"/>
      <c r="V1954" s="14"/>
      <c r="W1954" s="14"/>
      <c r="X1954" s="14"/>
      <c r="Y1954" s="14"/>
    </row>
    <row r="1955" spans="1:25" ht="15.75" x14ac:dyDescent="0.25">
      <c r="A1955" s="21"/>
      <c r="B1955" s="21"/>
      <c r="C1955" s="21"/>
      <c r="E1955" s="21"/>
      <c r="F1955" s="21"/>
      <c r="G1955" s="14"/>
      <c r="H1955" s="14"/>
      <c r="I1955" s="14"/>
      <c r="J1955" s="14"/>
      <c r="K1955" s="14"/>
      <c r="L1955" s="14"/>
      <c r="M1955" s="14"/>
      <c r="N1955" s="14"/>
      <c r="O1955" s="14"/>
      <c r="P1955" s="14"/>
      <c r="Q1955" s="14"/>
      <c r="R1955" s="14"/>
      <c r="S1955" s="14"/>
      <c r="T1955" s="14"/>
      <c r="U1955" s="14"/>
      <c r="V1955" s="14"/>
      <c r="W1955" s="14"/>
      <c r="X1955" s="14"/>
      <c r="Y1955" s="14"/>
    </row>
    <row r="1956" spans="1:25" ht="15.75" x14ac:dyDescent="0.25">
      <c r="A1956" s="21"/>
      <c r="B1956" s="21"/>
      <c r="C1956" s="21"/>
      <c r="E1956" s="21"/>
      <c r="F1956" s="21"/>
      <c r="G1956" s="14"/>
      <c r="H1956" s="14"/>
      <c r="I1956" s="14"/>
      <c r="J1956" s="14"/>
      <c r="K1956" s="14"/>
      <c r="L1956" s="14"/>
      <c r="M1956" s="14"/>
      <c r="N1956" s="14"/>
      <c r="O1956" s="14"/>
      <c r="P1956" s="14"/>
      <c r="Q1956" s="14"/>
      <c r="R1956" s="14"/>
      <c r="S1956" s="14"/>
      <c r="T1956" s="14"/>
      <c r="U1956" s="14"/>
      <c r="V1956" s="14"/>
      <c r="W1956" s="14"/>
      <c r="X1956" s="14"/>
      <c r="Y1956" s="14"/>
    </row>
    <row r="1957" spans="1:25" ht="15.75" x14ac:dyDescent="0.25">
      <c r="A1957" s="21"/>
      <c r="B1957" s="21"/>
      <c r="C1957" s="21"/>
      <c r="E1957" s="21"/>
      <c r="F1957" s="21"/>
      <c r="G1957" s="14"/>
      <c r="H1957" s="14"/>
      <c r="I1957" s="14"/>
      <c r="J1957" s="14"/>
      <c r="K1957" s="14"/>
      <c r="L1957" s="14"/>
      <c r="M1957" s="14"/>
      <c r="N1957" s="14"/>
      <c r="O1957" s="14"/>
      <c r="P1957" s="14"/>
      <c r="Q1957" s="14"/>
      <c r="R1957" s="14"/>
      <c r="S1957" s="14"/>
      <c r="T1957" s="14"/>
      <c r="U1957" s="14"/>
      <c r="V1957" s="14"/>
      <c r="W1957" s="14"/>
      <c r="X1957" s="14"/>
      <c r="Y1957" s="14"/>
    </row>
    <row r="1958" spans="1:25" ht="15.75" x14ac:dyDescent="0.25">
      <c r="A1958" s="21"/>
      <c r="B1958" s="21"/>
      <c r="C1958" s="21"/>
      <c r="E1958" s="21"/>
      <c r="F1958" s="21"/>
      <c r="G1958" s="14"/>
      <c r="H1958" s="14"/>
      <c r="I1958" s="14"/>
      <c r="J1958" s="14"/>
      <c r="K1958" s="14"/>
      <c r="L1958" s="14"/>
      <c r="M1958" s="14"/>
      <c r="N1958" s="14"/>
      <c r="O1958" s="14"/>
      <c r="P1958" s="14"/>
      <c r="Q1958" s="14"/>
      <c r="R1958" s="14"/>
      <c r="S1958" s="14"/>
      <c r="T1958" s="14"/>
      <c r="U1958" s="14"/>
      <c r="V1958" s="14"/>
      <c r="W1958" s="14"/>
      <c r="X1958" s="14"/>
      <c r="Y1958" s="14"/>
    </row>
    <row r="1959" spans="1:25" ht="15.75" x14ac:dyDescent="0.25">
      <c r="A1959" s="21"/>
      <c r="B1959" s="21"/>
      <c r="C1959" s="21"/>
      <c r="E1959" s="21"/>
      <c r="F1959" s="21"/>
      <c r="G1959" s="14"/>
      <c r="H1959" s="14"/>
      <c r="I1959" s="14"/>
      <c r="J1959" s="14"/>
      <c r="K1959" s="14"/>
      <c r="L1959" s="14"/>
      <c r="M1959" s="14"/>
      <c r="N1959" s="14"/>
      <c r="O1959" s="14"/>
      <c r="P1959" s="14"/>
      <c r="Q1959" s="14"/>
      <c r="R1959" s="14"/>
      <c r="S1959" s="14"/>
      <c r="T1959" s="14"/>
      <c r="U1959" s="14"/>
      <c r="V1959" s="14"/>
      <c r="W1959" s="14"/>
      <c r="X1959" s="14"/>
      <c r="Y1959" s="14"/>
    </row>
    <row r="1960" spans="1:25" ht="15.75" x14ac:dyDescent="0.25">
      <c r="A1960" s="21"/>
      <c r="B1960" s="21"/>
      <c r="C1960" s="21"/>
      <c r="E1960" s="21"/>
      <c r="F1960" s="21"/>
      <c r="G1960" s="14"/>
      <c r="H1960" s="14"/>
      <c r="I1960" s="14"/>
      <c r="J1960" s="14"/>
      <c r="K1960" s="14"/>
      <c r="L1960" s="14"/>
      <c r="M1960" s="14"/>
      <c r="N1960" s="14"/>
      <c r="O1960" s="14"/>
      <c r="P1960" s="14"/>
      <c r="Q1960" s="14"/>
      <c r="R1960" s="14"/>
      <c r="S1960" s="14"/>
      <c r="T1960" s="14"/>
      <c r="U1960" s="14"/>
      <c r="V1960" s="14"/>
      <c r="W1960" s="14"/>
      <c r="X1960" s="14"/>
      <c r="Y1960" s="14"/>
    </row>
    <row r="1961" spans="1:25" ht="15.75" x14ac:dyDescent="0.25">
      <c r="A1961" s="21"/>
      <c r="B1961" s="21"/>
      <c r="C1961" s="21"/>
      <c r="E1961" s="21"/>
      <c r="F1961" s="21"/>
      <c r="G1961" s="14"/>
      <c r="H1961" s="14"/>
      <c r="I1961" s="14"/>
      <c r="J1961" s="14"/>
      <c r="K1961" s="14"/>
      <c r="L1961" s="14"/>
      <c r="M1961" s="14"/>
      <c r="N1961" s="14"/>
      <c r="O1961" s="14"/>
      <c r="P1961" s="14"/>
      <c r="Q1961" s="14"/>
      <c r="R1961" s="14"/>
      <c r="S1961" s="14"/>
      <c r="T1961" s="14"/>
      <c r="U1961" s="14"/>
      <c r="V1961" s="14"/>
      <c r="W1961" s="14"/>
      <c r="X1961" s="14"/>
      <c r="Y1961" s="14"/>
    </row>
    <row r="1962" spans="1:25" ht="15.75" x14ac:dyDescent="0.25">
      <c r="A1962" s="21"/>
      <c r="B1962" s="21"/>
      <c r="C1962" s="21"/>
      <c r="E1962" s="21"/>
      <c r="F1962" s="21"/>
      <c r="G1962" s="14"/>
      <c r="H1962" s="14"/>
      <c r="I1962" s="14"/>
      <c r="J1962" s="14"/>
      <c r="K1962" s="14"/>
      <c r="L1962" s="14"/>
      <c r="M1962" s="14"/>
      <c r="N1962" s="14"/>
      <c r="O1962" s="14"/>
      <c r="P1962" s="14"/>
      <c r="Q1962" s="14"/>
      <c r="R1962" s="14"/>
      <c r="S1962" s="14"/>
      <c r="T1962" s="14"/>
      <c r="U1962" s="14"/>
      <c r="V1962" s="14"/>
      <c r="W1962" s="14"/>
      <c r="X1962" s="14"/>
      <c r="Y1962" s="14"/>
    </row>
    <row r="1963" spans="1:25" ht="15.75" x14ac:dyDescent="0.25">
      <c r="A1963" s="21"/>
      <c r="B1963" s="21"/>
      <c r="C1963" s="21"/>
      <c r="E1963" s="21"/>
      <c r="F1963" s="21"/>
      <c r="G1963" s="14"/>
      <c r="H1963" s="14"/>
      <c r="I1963" s="14"/>
      <c r="J1963" s="14"/>
      <c r="K1963" s="14"/>
      <c r="L1963" s="14"/>
      <c r="M1963" s="14"/>
      <c r="N1963" s="14"/>
      <c r="O1963" s="14"/>
      <c r="P1963" s="14"/>
      <c r="Q1963" s="14"/>
      <c r="R1963" s="14"/>
      <c r="S1963" s="14"/>
      <c r="T1963" s="14"/>
      <c r="U1963" s="14"/>
      <c r="V1963" s="14"/>
      <c r="W1963" s="14"/>
      <c r="X1963" s="14"/>
      <c r="Y1963" s="14"/>
    </row>
    <row r="1964" spans="1:25" ht="15.75" x14ac:dyDescent="0.25">
      <c r="A1964" s="21"/>
      <c r="B1964" s="21"/>
      <c r="C1964" s="21"/>
      <c r="E1964" s="21"/>
      <c r="F1964" s="21"/>
      <c r="G1964" s="14"/>
      <c r="H1964" s="14"/>
      <c r="I1964" s="14"/>
      <c r="J1964" s="14"/>
      <c r="K1964" s="14"/>
      <c r="L1964" s="14"/>
      <c r="M1964" s="14"/>
      <c r="N1964" s="14"/>
      <c r="O1964" s="14"/>
      <c r="P1964" s="14"/>
      <c r="Q1964" s="14"/>
      <c r="R1964" s="14"/>
      <c r="S1964" s="14"/>
      <c r="T1964" s="14"/>
      <c r="U1964" s="14"/>
      <c r="V1964" s="14"/>
      <c r="W1964" s="14"/>
      <c r="X1964" s="14"/>
      <c r="Y1964" s="14"/>
    </row>
    <row r="1965" spans="1:25" ht="15.75" x14ac:dyDescent="0.25">
      <c r="A1965" s="21"/>
      <c r="B1965" s="21"/>
      <c r="C1965" s="21"/>
      <c r="E1965" s="21"/>
      <c r="F1965" s="21"/>
      <c r="G1965" s="14"/>
      <c r="H1965" s="14"/>
      <c r="I1965" s="14"/>
      <c r="J1965" s="14"/>
      <c r="K1965" s="14"/>
      <c r="L1965" s="14"/>
      <c r="M1965" s="14"/>
      <c r="N1965" s="14"/>
      <c r="O1965" s="14"/>
      <c r="P1965" s="14"/>
      <c r="Q1965" s="14"/>
      <c r="R1965" s="14"/>
      <c r="S1965" s="14"/>
      <c r="T1965" s="14"/>
      <c r="U1965" s="14"/>
      <c r="V1965" s="14"/>
      <c r="W1965" s="14"/>
      <c r="X1965" s="14"/>
      <c r="Y1965" s="14"/>
    </row>
    <row r="1966" spans="1:25" ht="15.75" x14ac:dyDescent="0.25">
      <c r="A1966" s="21"/>
      <c r="B1966" s="21"/>
      <c r="C1966" s="21"/>
      <c r="E1966" s="21"/>
      <c r="F1966" s="21"/>
      <c r="G1966" s="14"/>
      <c r="H1966" s="14"/>
      <c r="I1966" s="14"/>
      <c r="J1966" s="14"/>
      <c r="K1966" s="14"/>
      <c r="L1966" s="14"/>
      <c r="M1966" s="14"/>
      <c r="N1966" s="14"/>
      <c r="O1966" s="14"/>
      <c r="P1966" s="14"/>
      <c r="Q1966" s="14"/>
      <c r="R1966" s="14"/>
      <c r="S1966" s="14"/>
      <c r="T1966" s="14"/>
      <c r="U1966" s="14"/>
      <c r="V1966" s="14"/>
      <c r="W1966" s="14"/>
      <c r="X1966" s="14"/>
      <c r="Y1966" s="14"/>
    </row>
    <row r="1967" spans="1:25" ht="15.75" x14ac:dyDescent="0.25">
      <c r="A1967" s="21"/>
      <c r="B1967" s="21"/>
      <c r="C1967" s="21"/>
      <c r="E1967" s="21"/>
      <c r="F1967" s="21"/>
      <c r="G1967" s="14"/>
      <c r="H1967" s="14"/>
      <c r="I1967" s="14"/>
      <c r="J1967" s="14"/>
      <c r="K1967" s="14"/>
      <c r="L1967" s="14"/>
      <c r="M1967" s="14"/>
      <c r="N1967" s="14"/>
      <c r="O1967" s="14"/>
      <c r="P1967" s="14"/>
      <c r="Q1967" s="14"/>
      <c r="R1967" s="14"/>
      <c r="S1967" s="14"/>
      <c r="T1967" s="14"/>
      <c r="U1967" s="14"/>
      <c r="V1967" s="14"/>
      <c r="W1967" s="14"/>
      <c r="X1967" s="14"/>
      <c r="Y1967" s="14"/>
    </row>
    <row r="1968" spans="1:25" ht="15.75" x14ac:dyDescent="0.25">
      <c r="A1968" s="21"/>
      <c r="B1968" s="21"/>
      <c r="C1968" s="21"/>
      <c r="E1968" s="21"/>
      <c r="F1968" s="21"/>
      <c r="G1968" s="14"/>
      <c r="H1968" s="14"/>
      <c r="I1968" s="14"/>
      <c r="J1968" s="14"/>
      <c r="K1968" s="14"/>
      <c r="L1968" s="14"/>
      <c r="M1968" s="14"/>
      <c r="N1968" s="14"/>
      <c r="O1968" s="14"/>
      <c r="P1968" s="14"/>
      <c r="Q1968" s="14"/>
      <c r="R1968" s="14"/>
      <c r="S1968" s="14"/>
      <c r="T1968" s="14"/>
      <c r="U1968" s="14"/>
      <c r="V1968" s="14"/>
      <c r="W1968" s="14"/>
      <c r="X1968" s="14"/>
      <c r="Y1968" s="14"/>
    </row>
    <row r="1969" spans="1:25" ht="15.75" x14ac:dyDescent="0.25">
      <c r="A1969" s="21"/>
      <c r="B1969" s="21"/>
      <c r="C1969" s="21"/>
      <c r="E1969" s="21"/>
      <c r="F1969" s="21"/>
      <c r="G1969" s="14"/>
      <c r="H1969" s="14"/>
      <c r="I1969" s="14"/>
      <c r="J1969" s="14"/>
      <c r="K1969" s="14"/>
      <c r="L1969" s="14"/>
      <c r="M1969" s="14"/>
      <c r="N1969" s="14"/>
      <c r="O1969" s="14"/>
      <c r="P1969" s="14"/>
      <c r="Q1969" s="14"/>
      <c r="R1969" s="14"/>
      <c r="S1969" s="14"/>
      <c r="T1969" s="14"/>
      <c r="U1969" s="14"/>
      <c r="V1969" s="14"/>
      <c r="W1969" s="14"/>
      <c r="X1969" s="14"/>
      <c r="Y1969" s="14"/>
    </row>
    <row r="1970" spans="1:25" ht="15.75" x14ac:dyDescent="0.25">
      <c r="A1970" s="21"/>
      <c r="B1970" s="21"/>
      <c r="C1970" s="21"/>
      <c r="E1970" s="21"/>
      <c r="F1970" s="21"/>
      <c r="G1970" s="14"/>
      <c r="H1970" s="14"/>
      <c r="I1970" s="14"/>
      <c r="J1970" s="14"/>
      <c r="K1970" s="14"/>
      <c r="L1970" s="14"/>
      <c r="M1970" s="14"/>
      <c r="N1970" s="14"/>
      <c r="O1970" s="14"/>
      <c r="P1970" s="14"/>
      <c r="Q1970" s="14"/>
      <c r="R1970" s="14"/>
      <c r="S1970" s="14"/>
      <c r="T1970" s="14"/>
      <c r="U1970" s="14"/>
      <c r="V1970" s="14"/>
      <c r="W1970" s="14"/>
      <c r="X1970" s="14"/>
      <c r="Y1970" s="14"/>
    </row>
    <row r="1971" spans="1:25" ht="15.75" x14ac:dyDescent="0.25">
      <c r="A1971" s="21"/>
      <c r="B1971" s="21"/>
      <c r="C1971" s="21"/>
      <c r="E1971" s="21"/>
      <c r="F1971" s="21"/>
      <c r="G1971" s="14"/>
      <c r="H1971" s="14"/>
      <c r="I1971" s="14"/>
      <c r="J1971" s="14"/>
      <c r="K1971" s="14"/>
      <c r="L1971" s="14"/>
      <c r="M1971" s="14"/>
      <c r="N1971" s="14"/>
      <c r="O1971" s="14"/>
      <c r="P1971" s="14"/>
      <c r="Q1971" s="14"/>
      <c r="R1971" s="14"/>
      <c r="S1971" s="14"/>
      <c r="T1971" s="14"/>
      <c r="U1971" s="14"/>
      <c r="V1971" s="14"/>
      <c r="W1971" s="14"/>
      <c r="X1971" s="14"/>
      <c r="Y1971" s="14"/>
    </row>
    <row r="1972" spans="1:25" ht="15.75" x14ac:dyDescent="0.25">
      <c r="A1972" s="21"/>
      <c r="B1972" s="21"/>
      <c r="C1972" s="21"/>
      <c r="E1972" s="21"/>
      <c r="F1972" s="21"/>
      <c r="G1972" s="14"/>
      <c r="H1972" s="14"/>
      <c r="I1972" s="14"/>
      <c r="J1972" s="14"/>
      <c r="K1972" s="14"/>
      <c r="L1972" s="14"/>
      <c r="M1972" s="14"/>
      <c r="N1972" s="14"/>
      <c r="O1972" s="14"/>
      <c r="P1972" s="14"/>
      <c r="Q1972" s="14"/>
      <c r="R1972" s="14"/>
      <c r="S1972" s="14"/>
      <c r="T1972" s="14"/>
      <c r="U1972" s="14"/>
      <c r="V1972" s="14"/>
      <c r="W1972" s="14"/>
      <c r="X1972" s="14"/>
      <c r="Y1972" s="14"/>
    </row>
    <row r="1973" spans="1:25" ht="15.75" x14ac:dyDescent="0.25">
      <c r="A1973" s="21"/>
      <c r="B1973" s="21"/>
      <c r="C1973" s="21"/>
      <c r="E1973" s="21"/>
      <c r="F1973" s="21"/>
      <c r="G1973" s="14"/>
      <c r="H1973" s="14"/>
      <c r="I1973" s="14"/>
      <c r="J1973" s="14"/>
      <c r="K1973" s="14"/>
      <c r="L1973" s="14"/>
      <c r="M1973" s="14"/>
      <c r="N1973" s="14"/>
      <c r="O1973" s="14"/>
      <c r="P1973" s="14"/>
      <c r="Q1973" s="14"/>
      <c r="R1973" s="14"/>
      <c r="S1973" s="14"/>
      <c r="T1973" s="14"/>
      <c r="U1973" s="14"/>
      <c r="V1973" s="14"/>
      <c r="W1973" s="14"/>
      <c r="X1973" s="14"/>
      <c r="Y1973" s="14"/>
    </row>
    <row r="1974" spans="1:25" ht="15.75" x14ac:dyDescent="0.25">
      <c r="A1974" s="21"/>
      <c r="B1974" s="21"/>
      <c r="C1974" s="21"/>
      <c r="E1974" s="21"/>
      <c r="F1974" s="21"/>
      <c r="G1974" s="14"/>
      <c r="H1974" s="14"/>
      <c r="I1974" s="14"/>
      <c r="J1974" s="14"/>
      <c r="K1974" s="14"/>
      <c r="L1974" s="14"/>
      <c r="M1974" s="14"/>
      <c r="N1974" s="14"/>
      <c r="O1974" s="14"/>
      <c r="P1974" s="14"/>
      <c r="Q1974" s="14"/>
      <c r="R1974" s="14"/>
      <c r="S1974" s="14"/>
      <c r="T1974" s="14"/>
      <c r="U1974" s="14"/>
      <c r="V1974" s="14"/>
      <c r="W1974" s="14"/>
      <c r="X1974" s="14"/>
      <c r="Y1974" s="14"/>
    </row>
    <row r="1975" spans="1:25" ht="15.75" x14ac:dyDescent="0.25">
      <c r="A1975" s="21"/>
      <c r="B1975" s="21"/>
      <c r="C1975" s="21"/>
      <c r="E1975" s="21"/>
      <c r="F1975" s="21"/>
      <c r="G1975" s="14"/>
      <c r="H1975" s="14"/>
      <c r="I1975" s="14"/>
      <c r="J1975" s="14"/>
      <c r="K1975" s="14"/>
      <c r="L1975" s="14"/>
      <c r="M1975" s="14"/>
      <c r="N1975" s="14"/>
      <c r="O1975" s="14"/>
      <c r="P1975" s="14"/>
      <c r="Q1975" s="14"/>
      <c r="R1975" s="14"/>
      <c r="S1975" s="14"/>
      <c r="T1975" s="14"/>
      <c r="U1975" s="14"/>
      <c r="V1975" s="14"/>
      <c r="W1975" s="14"/>
      <c r="X1975" s="14"/>
      <c r="Y1975" s="14"/>
    </row>
    <row r="1976" spans="1:25" ht="15.75" x14ac:dyDescent="0.25">
      <c r="A1976" s="21"/>
      <c r="B1976" s="21"/>
      <c r="C1976" s="21"/>
      <c r="E1976" s="21"/>
      <c r="F1976" s="21"/>
      <c r="G1976" s="14"/>
      <c r="H1976" s="14"/>
      <c r="I1976" s="14"/>
      <c r="J1976" s="14"/>
      <c r="K1976" s="14"/>
      <c r="L1976" s="14"/>
      <c r="M1976" s="14"/>
      <c r="N1976" s="14"/>
      <c r="O1976" s="14"/>
      <c r="P1976" s="14"/>
      <c r="Q1976" s="14"/>
      <c r="R1976" s="14"/>
      <c r="S1976" s="14"/>
      <c r="T1976" s="14"/>
      <c r="U1976" s="14"/>
      <c r="V1976" s="14"/>
      <c r="W1976" s="14"/>
      <c r="X1976" s="14"/>
      <c r="Y1976" s="14"/>
    </row>
    <row r="1977" spans="1:25" ht="15.75" x14ac:dyDescent="0.25">
      <c r="A1977" s="21"/>
      <c r="B1977" s="21"/>
      <c r="C1977" s="21"/>
      <c r="E1977" s="21"/>
      <c r="F1977" s="21"/>
      <c r="G1977" s="14"/>
      <c r="H1977" s="14"/>
      <c r="I1977" s="14"/>
      <c r="J1977" s="14"/>
      <c r="K1977" s="14"/>
      <c r="L1977" s="14"/>
      <c r="M1977" s="14"/>
      <c r="N1977" s="14"/>
      <c r="O1977" s="14"/>
      <c r="P1977" s="14"/>
      <c r="Q1977" s="14"/>
      <c r="R1977" s="14"/>
      <c r="S1977" s="14"/>
      <c r="T1977" s="14"/>
      <c r="U1977" s="14"/>
      <c r="V1977" s="14"/>
      <c r="W1977" s="14"/>
      <c r="X1977" s="14"/>
      <c r="Y1977" s="14"/>
    </row>
    <row r="1978" spans="1:25" ht="15.75" x14ac:dyDescent="0.25">
      <c r="A1978" s="21"/>
      <c r="B1978" s="21"/>
      <c r="C1978" s="21"/>
      <c r="E1978" s="21"/>
      <c r="F1978" s="21"/>
      <c r="G1978" s="14"/>
      <c r="H1978" s="14"/>
      <c r="I1978" s="14"/>
      <c r="J1978" s="14"/>
      <c r="K1978" s="14"/>
      <c r="L1978" s="14"/>
      <c r="M1978" s="14"/>
      <c r="N1978" s="14"/>
      <c r="O1978" s="14"/>
      <c r="P1978" s="14"/>
      <c r="Q1978" s="14"/>
      <c r="R1978" s="14"/>
      <c r="S1978" s="14"/>
      <c r="T1978" s="14"/>
      <c r="U1978" s="14"/>
      <c r="V1978" s="14"/>
      <c r="W1978" s="14"/>
      <c r="X1978" s="14"/>
      <c r="Y1978" s="14"/>
    </row>
    <row r="1979" spans="1:25" ht="15.75" x14ac:dyDescent="0.25">
      <c r="A1979" s="21"/>
      <c r="B1979" s="21"/>
      <c r="C1979" s="21"/>
      <c r="E1979" s="21"/>
      <c r="F1979" s="21"/>
      <c r="G1979" s="14"/>
      <c r="H1979" s="14"/>
      <c r="I1979" s="14"/>
      <c r="J1979" s="14"/>
      <c r="K1979" s="14"/>
      <c r="L1979" s="14"/>
      <c r="M1979" s="14"/>
      <c r="N1979" s="14"/>
      <c r="O1979" s="14"/>
      <c r="P1979" s="14"/>
      <c r="Q1979" s="14"/>
      <c r="R1979" s="14"/>
      <c r="S1979" s="14"/>
      <c r="T1979" s="14"/>
      <c r="U1979" s="14"/>
      <c r="V1979" s="14"/>
      <c r="W1979" s="14"/>
      <c r="X1979" s="14"/>
      <c r="Y1979" s="14"/>
    </row>
    <row r="1980" spans="1:25" ht="15.75" x14ac:dyDescent="0.25">
      <c r="A1980" s="21"/>
      <c r="B1980" s="21"/>
      <c r="C1980" s="21"/>
      <c r="E1980" s="21"/>
      <c r="F1980" s="21"/>
      <c r="G1980" s="14"/>
      <c r="H1980" s="14"/>
      <c r="I1980" s="14"/>
      <c r="J1980" s="14"/>
      <c r="K1980" s="14"/>
      <c r="L1980" s="14"/>
      <c r="M1980" s="14"/>
      <c r="N1980" s="14"/>
      <c r="O1980" s="14"/>
      <c r="P1980" s="14"/>
      <c r="Q1980" s="14"/>
      <c r="R1980" s="14"/>
      <c r="S1980" s="14"/>
      <c r="T1980" s="14"/>
      <c r="U1980" s="14"/>
      <c r="V1980" s="14"/>
      <c r="W1980" s="14"/>
      <c r="X1980" s="14"/>
      <c r="Y1980" s="14"/>
    </row>
    <row r="1981" spans="1:25" ht="15.75" x14ac:dyDescent="0.25">
      <c r="A1981" s="21"/>
      <c r="B1981" s="21"/>
      <c r="C1981" s="21"/>
      <c r="E1981" s="21"/>
      <c r="F1981" s="21"/>
      <c r="G1981" s="14"/>
      <c r="H1981" s="14"/>
      <c r="I1981" s="14"/>
      <c r="J1981" s="14"/>
      <c r="K1981" s="14"/>
      <c r="L1981" s="14"/>
      <c r="M1981" s="14"/>
      <c r="N1981" s="14"/>
      <c r="O1981" s="14"/>
      <c r="P1981" s="14"/>
      <c r="Q1981" s="14"/>
      <c r="R1981" s="14"/>
      <c r="S1981" s="14"/>
      <c r="T1981" s="14"/>
      <c r="U1981" s="14"/>
      <c r="V1981" s="14"/>
      <c r="W1981" s="14"/>
      <c r="X1981" s="14"/>
      <c r="Y1981" s="14"/>
    </row>
    <row r="1982" spans="1:25" ht="15.75" x14ac:dyDescent="0.25">
      <c r="A1982" s="21"/>
      <c r="B1982" s="21"/>
      <c r="C1982" s="21"/>
      <c r="E1982" s="21"/>
      <c r="F1982" s="21"/>
      <c r="G1982" s="14"/>
      <c r="H1982" s="14"/>
      <c r="I1982" s="14"/>
      <c r="J1982" s="14"/>
      <c r="K1982" s="14"/>
      <c r="L1982" s="14"/>
      <c r="M1982" s="14"/>
      <c r="N1982" s="14"/>
      <c r="O1982" s="14"/>
      <c r="P1982" s="14"/>
      <c r="Q1982" s="14"/>
      <c r="R1982" s="14"/>
      <c r="S1982" s="14"/>
      <c r="T1982" s="14"/>
      <c r="U1982" s="14"/>
      <c r="V1982" s="14"/>
      <c r="W1982" s="14"/>
      <c r="X1982" s="14"/>
      <c r="Y1982" s="14"/>
    </row>
    <row r="1983" spans="1:25" ht="15.75" x14ac:dyDescent="0.25">
      <c r="A1983" s="21"/>
      <c r="B1983" s="21"/>
      <c r="C1983" s="21"/>
      <c r="E1983" s="21"/>
      <c r="F1983" s="21"/>
      <c r="G1983" s="14"/>
      <c r="H1983" s="14"/>
      <c r="I1983" s="14"/>
      <c r="J1983" s="14"/>
      <c r="K1983" s="14"/>
      <c r="L1983" s="14"/>
      <c r="M1983" s="14"/>
      <c r="N1983" s="14"/>
      <c r="O1983" s="14"/>
      <c r="P1983" s="14"/>
      <c r="Q1983" s="14"/>
      <c r="R1983" s="14"/>
      <c r="S1983" s="14"/>
      <c r="T1983" s="14"/>
      <c r="U1983" s="14"/>
      <c r="V1983" s="14"/>
      <c r="W1983" s="14"/>
      <c r="X1983" s="14"/>
      <c r="Y1983" s="14"/>
    </row>
    <row r="1984" spans="1:25" ht="15.75" x14ac:dyDescent="0.25">
      <c r="A1984" s="21"/>
      <c r="B1984" s="21"/>
      <c r="C1984" s="21"/>
      <c r="E1984" s="21"/>
      <c r="F1984" s="21"/>
      <c r="G1984" s="14"/>
      <c r="H1984" s="14"/>
      <c r="I1984" s="14"/>
      <c r="J1984" s="14"/>
      <c r="K1984" s="14"/>
      <c r="L1984" s="14"/>
      <c r="M1984" s="14"/>
      <c r="N1984" s="14"/>
      <c r="O1984" s="14"/>
      <c r="P1984" s="14"/>
      <c r="Q1984" s="14"/>
      <c r="R1984" s="14"/>
      <c r="S1984" s="14"/>
      <c r="T1984" s="14"/>
      <c r="U1984" s="14"/>
      <c r="V1984" s="14"/>
      <c r="W1984" s="14"/>
      <c r="X1984" s="14"/>
      <c r="Y1984" s="14"/>
    </row>
    <row r="1985" spans="1:25" ht="15.75" x14ac:dyDescent="0.25">
      <c r="A1985" s="21"/>
      <c r="B1985" s="21"/>
      <c r="C1985" s="21"/>
      <c r="E1985" s="21"/>
      <c r="F1985" s="21"/>
      <c r="G1985" s="14"/>
      <c r="H1985" s="14"/>
      <c r="I1985" s="14"/>
      <c r="J1985" s="14"/>
      <c r="K1985" s="14"/>
      <c r="L1985" s="14"/>
      <c r="M1985" s="14"/>
      <c r="N1985" s="14"/>
      <c r="O1985" s="14"/>
      <c r="P1985" s="14"/>
      <c r="Q1985" s="14"/>
      <c r="R1985" s="14"/>
      <c r="S1985" s="14"/>
      <c r="T1985" s="14"/>
      <c r="U1985" s="14"/>
      <c r="V1985" s="14"/>
      <c r="W1985" s="14"/>
      <c r="X1985" s="14"/>
      <c r="Y1985" s="14"/>
    </row>
    <row r="1986" spans="1:25" ht="15.75" x14ac:dyDescent="0.25">
      <c r="A1986" s="21"/>
      <c r="B1986" s="21"/>
      <c r="C1986" s="21"/>
      <c r="E1986" s="21"/>
      <c r="F1986" s="21"/>
      <c r="G1986" s="14"/>
      <c r="H1986" s="14"/>
      <c r="I1986" s="14"/>
      <c r="J1986" s="14"/>
      <c r="K1986" s="14"/>
      <c r="L1986" s="14"/>
      <c r="M1986" s="14"/>
      <c r="N1986" s="14"/>
      <c r="O1986" s="14"/>
      <c r="P1986" s="14"/>
      <c r="Q1986" s="14"/>
      <c r="R1986" s="14"/>
      <c r="S1986" s="14"/>
      <c r="T1986" s="14"/>
      <c r="U1986" s="14"/>
      <c r="V1986" s="14"/>
      <c r="W1986" s="14"/>
      <c r="X1986" s="14"/>
      <c r="Y1986" s="14"/>
    </row>
    <row r="1987" spans="1:25" ht="15.75" x14ac:dyDescent="0.25">
      <c r="A1987" s="21"/>
      <c r="B1987" s="21"/>
      <c r="C1987" s="21"/>
      <c r="E1987" s="21"/>
      <c r="F1987" s="21"/>
      <c r="G1987" s="14"/>
      <c r="H1987" s="14"/>
      <c r="I1987" s="14"/>
      <c r="J1987" s="14"/>
      <c r="K1987" s="14"/>
      <c r="L1987" s="14"/>
      <c r="M1987" s="14"/>
      <c r="N1987" s="14"/>
      <c r="O1987" s="14"/>
      <c r="P1987" s="14"/>
      <c r="Q1987" s="14"/>
      <c r="R1987" s="14"/>
      <c r="S1987" s="14"/>
      <c r="T1987" s="14"/>
      <c r="U1987" s="14"/>
      <c r="V1987" s="14"/>
      <c r="W1987" s="14"/>
      <c r="X1987" s="14"/>
      <c r="Y1987" s="14"/>
    </row>
    <row r="1988" spans="1:25" ht="15.75" x14ac:dyDescent="0.25">
      <c r="A1988" s="21"/>
      <c r="B1988" s="21"/>
      <c r="C1988" s="21"/>
      <c r="E1988" s="21"/>
      <c r="F1988" s="21"/>
      <c r="G1988" s="14"/>
      <c r="H1988" s="14"/>
      <c r="I1988" s="14"/>
      <c r="J1988" s="14"/>
      <c r="K1988" s="14"/>
      <c r="L1988" s="14"/>
      <c r="M1988" s="14"/>
      <c r="N1988" s="14"/>
      <c r="O1988" s="14"/>
      <c r="P1988" s="14"/>
      <c r="Q1988" s="14"/>
      <c r="R1988" s="14"/>
      <c r="S1988" s="14"/>
      <c r="T1988" s="14"/>
      <c r="U1988" s="14"/>
      <c r="V1988" s="14"/>
      <c r="W1988" s="14"/>
      <c r="X1988" s="14"/>
      <c r="Y1988" s="14"/>
    </row>
    <row r="1989" spans="1:25" ht="15.75" x14ac:dyDescent="0.25">
      <c r="A1989" s="21"/>
      <c r="B1989" s="21"/>
      <c r="C1989" s="21"/>
      <c r="E1989" s="21"/>
      <c r="F1989" s="21"/>
      <c r="G1989" s="14"/>
      <c r="H1989" s="14"/>
      <c r="I1989" s="14"/>
      <c r="J1989" s="14"/>
      <c r="K1989" s="14"/>
      <c r="L1989" s="14"/>
      <c r="M1989" s="14"/>
      <c r="N1989" s="14"/>
      <c r="O1989" s="14"/>
      <c r="P1989" s="14"/>
      <c r="Q1989" s="14"/>
      <c r="R1989" s="14"/>
      <c r="S1989" s="14"/>
      <c r="T1989" s="14"/>
      <c r="U1989" s="14"/>
      <c r="V1989" s="14"/>
      <c r="W1989" s="14"/>
      <c r="X1989" s="14"/>
      <c r="Y1989" s="14"/>
    </row>
    <row r="1990" spans="1:25" ht="15.75" x14ac:dyDescent="0.25">
      <c r="A1990" s="21"/>
      <c r="B1990" s="21"/>
      <c r="C1990" s="21"/>
      <c r="E1990" s="21"/>
      <c r="F1990" s="21"/>
      <c r="G1990" s="14"/>
      <c r="H1990" s="14"/>
      <c r="I1990" s="14"/>
      <c r="J1990" s="14"/>
      <c r="K1990" s="14"/>
      <c r="L1990" s="14"/>
      <c r="M1990" s="14"/>
      <c r="N1990" s="14"/>
      <c r="O1990" s="14"/>
      <c r="P1990" s="14"/>
      <c r="Q1990" s="14"/>
      <c r="R1990" s="14"/>
      <c r="S1990" s="14"/>
      <c r="T1990" s="14"/>
      <c r="U1990" s="14"/>
      <c r="V1990" s="14"/>
      <c r="W1990" s="14"/>
      <c r="X1990" s="14"/>
      <c r="Y1990" s="14"/>
    </row>
    <row r="1991" spans="1:25" ht="15.75" x14ac:dyDescent="0.25">
      <c r="A1991" s="21"/>
      <c r="B1991" s="21"/>
      <c r="C1991" s="21"/>
      <c r="E1991" s="21"/>
      <c r="F1991" s="21"/>
      <c r="G1991" s="14"/>
      <c r="H1991" s="14"/>
      <c r="I1991" s="14"/>
      <c r="J1991" s="14"/>
      <c r="K1991" s="14"/>
      <c r="L1991" s="14"/>
      <c r="M1991" s="14"/>
      <c r="N1991" s="14"/>
      <c r="O1991" s="14"/>
      <c r="P1991" s="14"/>
      <c r="Q1991" s="14"/>
      <c r="R1991" s="14"/>
      <c r="S1991" s="14"/>
      <c r="T1991" s="14"/>
      <c r="U1991" s="14"/>
      <c r="V1991" s="14"/>
      <c r="W1991" s="14"/>
      <c r="X1991" s="14"/>
      <c r="Y1991" s="14"/>
    </row>
    <row r="1992" spans="1:25" ht="15.75" x14ac:dyDescent="0.25">
      <c r="A1992" s="21"/>
      <c r="B1992" s="21"/>
      <c r="C1992" s="21"/>
      <c r="E1992" s="21"/>
      <c r="F1992" s="21"/>
      <c r="G1992" s="14"/>
      <c r="H1992" s="14"/>
      <c r="I1992" s="14"/>
      <c r="J1992" s="14"/>
      <c r="K1992" s="14"/>
      <c r="L1992" s="14"/>
      <c r="M1992" s="14"/>
      <c r="N1992" s="14"/>
      <c r="O1992" s="14"/>
      <c r="P1992" s="14"/>
      <c r="Q1992" s="14"/>
      <c r="R1992" s="14"/>
      <c r="S1992" s="14"/>
      <c r="T1992" s="14"/>
      <c r="U1992" s="14"/>
      <c r="V1992" s="14"/>
      <c r="W1992" s="14"/>
      <c r="X1992" s="14"/>
      <c r="Y1992" s="14"/>
    </row>
    <row r="1993" spans="1:25" ht="15.75" x14ac:dyDescent="0.25">
      <c r="A1993" s="21"/>
      <c r="B1993" s="21"/>
      <c r="C1993" s="21"/>
      <c r="E1993" s="21"/>
      <c r="F1993" s="21"/>
      <c r="G1993" s="14"/>
      <c r="H1993" s="14"/>
      <c r="I1993" s="14"/>
      <c r="J1993" s="14"/>
      <c r="K1993" s="14"/>
      <c r="L1993" s="14"/>
      <c r="M1993" s="14"/>
      <c r="N1993" s="14"/>
      <c r="O1993" s="14"/>
      <c r="P1993" s="14"/>
      <c r="Q1993" s="14"/>
      <c r="R1993" s="14"/>
      <c r="S1993" s="14"/>
      <c r="T1993" s="14"/>
      <c r="U1993" s="14"/>
      <c r="V1993" s="14"/>
      <c r="W1993" s="14"/>
      <c r="X1993" s="14"/>
      <c r="Y1993" s="14"/>
    </row>
    <row r="1994" spans="1:25" ht="15.75" x14ac:dyDescent="0.25">
      <c r="A1994" s="21"/>
      <c r="B1994" s="21"/>
      <c r="C1994" s="21"/>
      <c r="E1994" s="21"/>
      <c r="F1994" s="21"/>
      <c r="G1994" s="14"/>
      <c r="H1994" s="14"/>
      <c r="I1994" s="14"/>
      <c r="J1994" s="14"/>
      <c r="K1994" s="14"/>
      <c r="L1994" s="14"/>
      <c r="M1994" s="14"/>
      <c r="N1994" s="14"/>
      <c r="O1994" s="14"/>
      <c r="P1994" s="14"/>
      <c r="Q1994" s="14"/>
      <c r="R1994" s="14"/>
      <c r="S1994" s="14"/>
      <c r="T1994" s="14"/>
      <c r="U1994" s="14"/>
      <c r="V1994" s="14"/>
      <c r="W1994" s="14"/>
      <c r="X1994" s="14"/>
      <c r="Y1994" s="14"/>
    </row>
    <row r="1995" spans="1:25" ht="15.75" x14ac:dyDescent="0.25">
      <c r="A1995" s="21"/>
      <c r="B1995" s="21"/>
      <c r="C1995" s="21"/>
      <c r="E1995" s="21"/>
      <c r="F1995" s="21"/>
      <c r="G1995" s="14"/>
      <c r="H1995" s="14"/>
      <c r="I1995" s="14"/>
      <c r="J1995" s="14"/>
      <c r="K1995" s="14"/>
      <c r="L1995" s="14"/>
      <c r="M1995" s="14"/>
      <c r="N1995" s="14"/>
      <c r="O1995" s="14"/>
      <c r="P1995" s="14"/>
      <c r="Q1995" s="14"/>
      <c r="R1995" s="14"/>
      <c r="S1995" s="14"/>
      <c r="T1995" s="14"/>
      <c r="U1995" s="14"/>
      <c r="V1995" s="14"/>
      <c r="W1995" s="14"/>
      <c r="X1995" s="14"/>
      <c r="Y1995" s="14"/>
    </row>
    <row r="1996" spans="1:25" ht="15.75" x14ac:dyDescent="0.25">
      <c r="A1996" s="21"/>
      <c r="B1996" s="21"/>
      <c r="C1996" s="21"/>
      <c r="E1996" s="21"/>
      <c r="F1996" s="21"/>
      <c r="G1996" s="14"/>
      <c r="H1996" s="14"/>
      <c r="I1996" s="14"/>
      <c r="J1996" s="14"/>
      <c r="K1996" s="14"/>
      <c r="L1996" s="14"/>
      <c r="M1996" s="14"/>
      <c r="N1996" s="14"/>
      <c r="O1996" s="14"/>
      <c r="P1996" s="14"/>
      <c r="Q1996" s="14"/>
      <c r="R1996" s="14"/>
      <c r="S1996" s="14"/>
      <c r="T1996" s="14"/>
      <c r="U1996" s="14"/>
      <c r="V1996" s="14"/>
      <c r="W1996" s="14"/>
      <c r="X1996" s="14"/>
      <c r="Y1996" s="14"/>
    </row>
    <row r="1997" spans="1:25" ht="15.75" x14ac:dyDescent="0.25">
      <c r="A1997" s="21"/>
      <c r="B1997" s="21"/>
      <c r="C1997" s="21"/>
      <c r="E1997" s="21"/>
      <c r="F1997" s="21"/>
      <c r="G1997" s="14"/>
      <c r="H1997" s="14"/>
      <c r="I1997" s="14"/>
      <c r="J1997" s="14"/>
      <c r="K1997" s="14"/>
      <c r="L1997" s="14"/>
      <c r="M1997" s="14"/>
      <c r="N1997" s="14"/>
      <c r="O1997" s="14"/>
      <c r="P1997" s="14"/>
      <c r="Q1997" s="14"/>
      <c r="R1997" s="14"/>
      <c r="S1997" s="14"/>
      <c r="T1997" s="14"/>
      <c r="U1997" s="14"/>
      <c r="V1997" s="14"/>
      <c r="W1997" s="14"/>
      <c r="X1997" s="14"/>
      <c r="Y1997" s="14"/>
    </row>
    <row r="1998" spans="1:25" ht="15.75" x14ac:dyDescent="0.25">
      <c r="A1998" s="21"/>
      <c r="B1998" s="21"/>
      <c r="C1998" s="21"/>
      <c r="E1998" s="21"/>
      <c r="F1998" s="21"/>
      <c r="G1998" s="14"/>
      <c r="H1998" s="14"/>
      <c r="I1998" s="14"/>
      <c r="J1998" s="14"/>
      <c r="K1998" s="14"/>
      <c r="L1998" s="14"/>
      <c r="M1998" s="14"/>
      <c r="N1998" s="14"/>
      <c r="O1998" s="14"/>
      <c r="P1998" s="14"/>
      <c r="Q1998" s="14"/>
      <c r="R1998" s="14"/>
      <c r="S1998" s="14"/>
      <c r="T1998" s="14"/>
      <c r="U1998" s="14"/>
      <c r="V1998" s="14"/>
      <c r="W1998" s="14"/>
      <c r="X1998" s="14"/>
      <c r="Y1998" s="14"/>
    </row>
    <row r="1999" spans="1:25" ht="15.75" x14ac:dyDescent="0.25">
      <c r="A1999" s="21"/>
      <c r="B1999" s="21"/>
      <c r="C1999" s="21"/>
      <c r="E1999" s="21"/>
      <c r="F1999" s="21"/>
      <c r="G1999" s="14"/>
      <c r="H1999" s="14"/>
      <c r="I1999" s="14"/>
      <c r="J1999" s="14"/>
      <c r="K1999" s="14"/>
      <c r="L1999" s="14"/>
      <c r="M1999" s="14"/>
      <c r="N1999" s="14"/>
      <c r="O1999" s="14"/>
      <c r="P1999" s="14"/>
      <c r="Q1999" s="14"/>
      <c r="R1999" s="14"/>
      <c r="S1999" s="14"/>
      <c r="T1999" s="14"/>
      <c r="U1999" s="14"/>
      <c r="V1999" s="14"/>
      <c r="W1999" s="14"/>
      <c r="X1999" s="14"/>
      <c r="Y1999" s="14"/>
    </row>
    <row r="2000" spans="1:25" ht="15.75" x14ac:dyDescent="0.25">
      <c r="A2000" s="21"/>
      <c r="B2000" s="21"/>
      <c r="C2000" s="21"/>
      <c r="E2000" s="21"/>
      <c r="F2000" s="21"/>
      <c r="G2000" s="14"/>
      <c r="H2000" s="14"/>
      <c r="I2000" s="14"/>
      <c r="J2000" s="14"/>
      <c r="K2000" s="14"/>
      <c r="L2000" s="14"/>
      <c r="M2000" s="14"/>
      <c r="N2000" s="14"/>
      <c r="O2000" s="14"/>
      <c r="P2000" s="14"/>
      <c r="Q2000" s="14"/>
      <c r="R2000" s="14"/>
      <c r="S2000" s="14"/>
      <c r="T2000" s="14"/>
      <c r="U2000" s="14"/>
      <c r="V2000" s="14"/>
      <c r="W2000" s="14"/>
      <c r="X2000" s="14"/>
      <c r="Y2000" s="14"/>
    </row>
    <row r="2001" spans="1:25" ht="15.75" x14ac:dyDescent="0.25">
      <c r="A2001" s="21"/>
      <c r="B2001" s="21"/>
      <c r="C2001" s="21"/>
      <c r="E2001" s="21"/>
      <c r="F2001" s="21"/>
      <c r="G2001" s="14"/>
      <c r="H2001" s="14"/>
      <c r="I2001" s="14"/>
      <c r="J2001" s="14"/>
      <c r="K2001" s="14"/>
      <c r="L2001" s="14"/>
      <c r="M2001" s="14"/>
      <c r="N2001" s="14"/>
      <c r="O2001" s="14"/>
      <c r="P2001" s="14"/>
      <c r="Q2001" s="14"/>
      <c r="R2001" s="14"/>
      <c r="S2001" s="14"/>
      <c r="T2001" s="14"/>
      <c r="U2001" s="14"/>
      <c r="V2001" s="14"/>
      <c r="W2001" s="14"/>
      <c r="X2001" s="14"/>
      <c r="Y2001" s="14"/>
    </row>
    <row r="2002" spans="1:25" ht="15.75" x14ac:dyDescent="0.25">
      <c r="A2002" s="21"/>
      <c r="B2002" s="21"/>
      <c r="C2002" s="21"/>
      <c r="E2002" s="21"/>
      <c r="F2002" s="21"/>
      <c r="G2002" s="14"/>
      <c r="H2002" s="14"/>
      <c r="I2002" s="14"/>
      <c r="J2002" s="14"/>
      <c r="K2002" s="14"/>
      <c r="L2002" s="14"/>
      <c r="M2002" s="14"/>
      <c r="N2002" s="14"/>
      <c r="O2002" s="14"/>
      <c r="P2002" s="14"/>
      <c r="Q2002" s="14"/>
      <c r="R2002" s="14"/>
      <c r="S2002" s="14"/>
      <c r="T2002" s="14"/>
      <c r="U2002" s="14"/>
      <c r="V2002" s="14"/>
      <c r="W2002" s="14"/>
      <c r="X2002" s="14"/>
      <c r="Y2002" s="14"/>
    </row>
    <row r="2003" spans="1:25" ht="15.75" x14ac:dyDescent="0.25">
      <c r="A2003" s="21"/>
      <c r="B2003" s="21"/>
      <c r="C2003" s="21"/>
      <c r="E2003" s="21"/>
      <c r="F2003" s="21"/>
      <c r="G2003" s="14"/>
      <c r="H2003" s="14"/>
      <c r="I2003" s="14"/>
      <c r="J2003" s="14"/>
      <c r="K2003" s="14"/>
      <c r="L2003" s="14"/>
      <c r="M2003" s="14"/>
      <c r="N2003" s="14"/>
      <c r="O2003" s="14"/>
      <c r="P2003" s="14"/>
      <c r="Q2003" s="14"/>
      <c r="R2003" s="14"/>
      <c r="S2003" s="14"/>
      <c r="T2003" s="14"/>
      <c r="U2003" s="14"/>
      <c r="V2003" s="14"/>
      <c r="W2003" s="14"/>
      <c r="X2003" s="14"/>
      <c r="Y2003" s="14"/>
    </row>
    <row r="2004" spans="1:25" ht="15.75" x14ac:dyDescent="0.25">
      <c r="A2004" s="21"/>
      <c r="B2004" s="21"/>
      <c r="C2004" s="21"/>
      <c r="E2004" s="21"/>
      <c r="F2004" s="21"/>
      <c r="G2004" s="14"/>
      <c r="H2004" s="14"/>
      <c r="I2004" s="14"/>
      <c r="J2004" s="14"/>
      <c r="K2004" s="14"/>
      <c r="L2004" s="14"/>
      <c r="M2004" s="14"/>
      <c r="N2004" s="14"/>
      <c r="O2004" s="14"/>
      <c r="P2004" s="14"/>
      <c r="Q2004" s="14"/>
      <c r="R2004" s="14"/>
      <c r="S2004" s="14"/>
      <c r="T2004" s="14"/>
      <c r="U2004" s="14"/>
      <c r="V2004" s="14"/>
      <c r="W2004" s="14"/>
      <c r="X2004" s="14"/>
      <c r="Y2004" s="14"/>
    </row>
    <row r="2005" spans="1:25" ht="15.75" x14ac:dyDescent="0.25">
      <c r="A2005" s="21"/>
      <c r="B2005" s="21"/>
      <c r="C2005" s="21"/>
      <c r="E2005" s="21"/>
      <c r="F2005" s="21"/>
      <c r="G2005" s="14"/>
      <c r="H2005" s="14"/>
      <c r="I2005" s="14"/>
      <c r="J2005" s="14"/>
      <c r="K2005" s="14"/>
      <c r="L2005" s="14"/>
      <c r="M2005" s="14"/>
      <c r="N2005" s="14"/>
      <c r="O2005" s="14"/>
      <c r="P2005" s="14"/>
      <c r="Q2005" s="14"/>
      <c r="R2005" s="14"/>
      <c r="S2005" s="14"/>
      <c r="T2005" s="14"/>
      <c r="U2005" s="14"/>
      <c r="V2005" s="14"/>
      <c r="W2005" s="14"/>
      <c r="X2005" s="14"/>
      <c r="Y2005" s="14"/>
    </row>
    <row r="2006" spans="1:25" ht="15.75" x14ac:dyDescent="0.25">
      <c r="A2006" s="21"/>
      <c r="B2006" s="21"/>
      <c r="C2006" s="21"/>
      <c r="E2006" s="21"/>
      <c r="F2006" s="21"/>
      <c r="G2006" s="14"/>
      <c r="H2006" s="14"/>
      <c r="I2006" s="14"/>
      <c r="J2006" s="14"/>
      <c r="K2006" s="14"/>
      <c r="L2006" s="14"/>
      <c r="M2006" s="14"/>
      <c r="N2006" s="14"/>
      <c r="O2006" s="14"/>
      <c r="P2006" s="14"/>
      <c r="Q2006" s="14"/>
      <c r="R2006" s="14"/>
      <c r="S2006" s="14"/>
      <c r="T2006" s="14"/>
      <c r="U2006" s="14"/>
      <c r="V2006" s="14"/>
      <c r="W2006" s="14"/>
      <c r="X2006" s="14"/>
      <c r="Y2006" s="14"/>
    </row>
    <row r="2007" spans="1:25" ht="15.75" x14ac:dyDescent="0.25">
      <c r="A2007" s="21"/>
      <c r="B2007" s="21"/>
      <c r="C2007" s="21"/>
      <c r="E2007" s="21"/>
      <c r="F2007" s="21"/>
      <c r="G2007" s="14"/>
      <c r="H2007" s="14"/>
      <c r="I2007" s="14"/>
      <c r="J2007" s="14"/>
      <c r="K2007" s="14"/>
      <c r="L2007" s="14"/>
      <c r="M2007" s="14"/>
      <c r="N2007" s="14"/>
      <c r="O2007" s="14"/>
      <c r="P2007" s="14"/>
      <c r="Q2007" s="14"/>
      <c r="R2007" s="14"/>
      <c r="S2007" s="14"/>
      <c r="T2007" s="14"/>
      <c r="U2007" s="14"/>
      <c r="V2007" s="14"/>
      <c r="W2007" s="14"/>
      <c r="X2007" s="14"/>
      <c r="Y2007" s="14"/>
    </row>
    <row r="2008" spans="1:25" ht="15.75" x14ac:dyDescent="0.25">
      <c r="A2008" s="21"/>
      <c r="B2008" s="21"/>
      <c r="C2008" s="21"/>
      <c r="E2008" s="21"/>
      <c r="F2008" s="21"/>
      <c r="G2008" s="14"/>
      <c r="H2008" s="14"/>
      <c r="I2008" s="14"/>
      <c r="J2008" s="14"/>
      <c r="K2008" s="14"/>
      <c r="L2008" s="14"/>
      <c r="M2008" s="14"/>
      <c r="N2008" s="14"/>
      <c r="O2008" s="14"/>
      <c r="P2008" s="14"/>
      <c r="Q2008" s="14"/>
      <c r="R2008" s="14"/>
      <c r="S2008" s="14"/>
      <c r="T2008" s="14"/>
      <c r="U2008" s="14"/>
      <c r="V2008" s="14"/>
      <c r="W2008" s="14"/>
      <c r="X2008" s="14"/>
      <c r="Y2008" s="14"/>
    </row>
    <row r="2009" spans="1:25" ht="15.75" x14ac:dyDescent="0.25">
      <c r="A2009" s="21"/>
      <c r="B2009" s="21"/>
      <c r="C2009" s="21"/>
      <c r="E2009" s="21"/>
      <c r="F2009" s="21"/>
      <c r="G2009" s="14"/>
      <c r="H2009" s="14"/>
      <c r="I2009" s="14"/>
      <c r="J2009" s="14"/>
      <c r="K2009" s="14"/>
      <c r="L2009" s="14"/>
      <c r="M2009" s="14"/>
      <c r="N2009" s="14"/>
      <c r="O2009" s="14"/>
      <c r="P2009" s="14"/>
      <c r="Q2009" s="14"/>
      <c r="R2009" s="14"/>
      <c r="S2009" s="14"/>
      <c r="T2009" s="14"/>
      <c r="U2009" s="14"/>
      <c r="V2009" s="14"/>
      <c r="W2009" s="14"/>
      <c r="X2009" s="14"/>
      <c r="Y2009" s="14"/>
    </row>
    <row r="2010" spans="1:25" ht="15.75" x14ac:dyDescent="0.25">
      <c r="A2010" s="21"/>
      <c r="B2010" s="21"/>
      <c r="C2010" s="21"/>
      <c r="E2010" s="21"/>
      <c r="F2010" s="21"/>
      <c r="G2010" s="14"/>
      <c r="H2010" s="14"/>
      <c r="I2010" s="14"/>
      <c r="J2010" s="14"/>
      <c r="K2010" s="14"/>
      <c r="L2010" s="14"/>
      <c r="M2010" s="14"/>
      <c r="N2010" s="14"/>
      <c r="O2010" s="14"/>
      <c r="P2010" s="14"/>
      <c r="Q2010" s="14"/>
      <c r="R2010" s="14"/>
      <c r="S2010" s="14"/>
      <c r="T2010" s="14"/>
      <c r="U2010" s="14"/>
      <c r="V2010" s="14"/>
      <c r="W2010" s="14"/>
      <c r="X2010" s="14"/>
      <c r="Y2010" s="14"/>
    </row>
    <row r="2011" spans="1:25" ht="15.75" x14ac:dyDescent="0.25">
      <c r="A2011" s="21"/>
      <c r="B2011" s="21"/>
      <c r="C2011" s="21"/>
      <c r="E2011" s="21"/>
      <c r="F2011" s="21"/>
      <c r="G2011" s="14"/>
      <c r="H2011" s="14"/>
      <c r="I2011" s="14"/>
      <c r="J2011" s="14"/>
      <c r="K2011" s="14"/>
      <c r="L2011" s="14"/>
      <c r="M2011" s="14"/>
      <c r="N2011" s="14"/>
      <c r="O2011" s="14"/>
      <c r="P2011" s="14"/>
      <c r="Q2011" s="14"/>
      <c r="R2011" s="14"/>
      <c r="S2011" s="14"/>
      <c r="T2011" s="14"/>
      <c r="U2011" s="14"/>
      <c r="V2011" s="14"/>
      <c r="W2011" s="14"/>
      <c r="X2011" s="14"/>
      <c r="Y2011" s="14"/>
    </row>
    <row r="2012" spans="1:25" ht="15.75" x14ac:dyDescent="0.25">
      <c r="A2012" s="21"/>
      <c r="B2012" s="21"/>
      <c r="C2012" s="21"/>
      <c r="E2012" s="21"/>
      <c r="F2012" s="21"/>
      <c r="G2012" s="14"/>
      <c r="H2012" s="14"/>
      <c r="I2012" s="14"/>
      <c r="J2012" s="14"/>
      <c r="K2012" s="14"/>
      <c r="L2012" s="14"/>
      <c r="M2012" s="14"/>
      <c r="N2012" s="14"/>
      <c r="O2012" s="14"/>
      <c r="P2012" s="14"/>
      <c r="Q2012" s="14"/>
      <c r="R2012" s="14"/>
      <c r="S2012" s="14"/>
      <c r="T2012" s="14"/>
      <c r="U2012" s="14"/>
      <c r="V2012" s="14"/>
      <c r="W2012" s="14"/>
      <c r="X2012" s="14"/>
      <c r="Y2012" s="14"/>
    </row>
    <row r="2013" spans="1:25" ht="15.75" x14ac:dyDescent="0.25">
      <c r="A2013" s="21"/>
      <c r="B2013" s="21"/>
      <c r="C2013" s="21"/>
      <c r="E2013" s="21"/>
      <c r="F2013" s="21"/>
      <c r="G2013" s="14"/>
      <c r="H2013" s="14"/>
      <c r="I2013" s="14"/>
      <c r="J2013" s="14"/>
      <c r="K2013" s="14"/>
      <c r="L2013" s="14"/>
      <c r="M2013" s="14"/>
      <c r="N2013" s="14"/>
      <c r="O2013" s="14"/>
      <c r="P2013" s="14"/>
      <c r="Q2013" s="14"/>
      <c r="R2013" s="14"/>
      <c r="S2013" s="14"/>
      <c r="T2013" s="14"/>
      <c r="U2013" s="14"/>
      <c r="V2013" s="14"/>
      <c r="W2013" s="14"/>
      <c r="X2013" s="14"/>
      <c r="Y2013" s="14"/>
    </row>
    <row r="2014" spans="1:25" ht="15.75" x14ac:dyDescent="0.25">
      <c r="A2014" s="21"/>
      <c r="B2014" s="21"/>
      <c r="C2014" s="21"/>
      <c r="E2014" s="21"/>
      <c r="F2014" s="21"/>
      <c r="G2014" s="14"/>
      <c r="H2014" s="14"/>
      <c r="I2014" s="14"/>
      <c r="J2014" s="14"/>
      <c r="K2014" s="14"/>
      <c r="L2014" s="14"/>
      <c r="M2014" s="14"/>
      <c r="N2014" s="14"/>
      <c r="O2014" s="14"/>
      <c r="P2014" s="14"/>
      <c r="Q2014" s="14"/>
      <c r="R2014" s="14"/>
      <c r="S2014" s="14"/>
      <c r="T2014" s="14"/>
      <c r="U2014" s="14"/>
      <c r="V2014" s="14"/>
      <c r="W2014" s="14"/>
      <c r="X2014" s="14"/>
      <c r="Y2014" s="14"/>
    </row>
    <row r="2015" spans="1:25" ht="15.75" x14ac:dyDescent="0.25">
      <c r="A2015" s="21"/>
      <c r="B2015" s="21"/>
      <c r="C2015" s="21"/>
      <c r="E2015" s="21"/>
      <c r="F2015" s="21"/>
      <c r="G2015" s="14"/>
      <c r="H2015" s="14"/>
      <c r="I2015" s="14"/>
      <c r="J2015" s="14"/>
      <c r="K2015" s="14"/>
      <c r="L2015" s="14"/>
      <c r="M2015" s="14"/>
      <c r="N2015" s="14"/>
      <c r="O2015" s="14"/>
      <c r="P2015" s="14"/>
      <c r="Q2015" s="14"/>
      <c r="R2015" s="14"/>
      <c r="S2015" s="14"/>
      <c r="T2015" s="14"/>
      <c r="U2015" s="14"/>
      <c r="V2015" s="14"/>
      <c r="W2015" s="14"/>
      <c r="X2015" s="14"/>
      <c r="Y2015" s="14"/>
    </row>
    <row r="2016" spans="1:25" ht="15.75" x14ac:dyDescent="0.25">
      <c r="A2016" s="21"/>
      <c r="B2016" s="21"/>
      <c r="C2016" s="21"/>
      <c r="E2016" s="21"/>
      <c r="F2016" s="21"/>
      <c r="G2016" s="14"/>
      <c r="H2016" s="14"/>
      <c r="I2016" s="14"/>
      <c r="J2016" s="14"/>
      <c r="K2016" s="14"/>
      <c r="L2016" s="14"/>
      <c r="M2016" s="14"/>
      <c r="N2016" s="14"/>
      <c r="O2016" s="14"/>
      <c r="P2016" s="14"/>
      <c r="Q2016" s="14"/>
      <c r="R2016" s="14"/>
      <c r="S2016" s="14"/>
      <c r="T2016" s="14"/>
      <c r="U2016" s="14"/>
      <c r="V2016" s="14"/>
      <c r="W2016" s="14"/>
      <c r="X2016" s="14"/>
      <c r="Y2016" s="14"/>
    </row>
    <row r="2017" spans="1:25" ht="15.75" x14ac:dyDescent="0.25">
      <c r="A2017" s="21"/>
      <c r="B2017" s="21"/>
      <c r="C2017" s="21"/>
      <c r="E2017" s="21"/>
      <c r="F2017" s="21"/>
      <c r="G2017" s="14"/>
      <c r="H2017" s="14"/>
      <c r="I2017" s="14"/>
      <c r="J2017" s="14"/>
      <c r="K2017" s="14"/>
      <c r="L2017" s="14"/>
      <c r="M2017" s="14"/>
      <c r="N2017" s="14"/>
      <c r="O2017" s="14"/>
      <c r="P2017" s="14"/>
      <c r="Q2017" s="14"/>
      <c r="R2017" s="14"/>
      <c r="S2017" s="14"/>
      <c r="T2017" s="14"/>
      <c r="U2017" s="14"/>
      <c r="V2017" s="14"/>
      <c r="W2017" s="14"/>
      <c r="X2017" s="14"/>
      <c r="Y2017" s="14"/>
    </row>
    <row r="2018" spans="1:25" ht="15.75" x14ac:dyDescent="0.25">
      <c r="A2018" s="21"/>
      <c r="B2018" s="21"/>
      <c r="C2018" s="21"/>
      <c r="E2018" s="21"/>
      <c r="F2018" s="21"/>
      <c r="G2018" s="14"/>
      <c r="H2018" s="14"/>
      <c r="I2018" s="14"/>
      <c r="J2018" s="14"/>
      <c r="K2018" s="14"/>
      <c r="L2018" s="14"/>
      <c r="M2018" s="14"/>
      <c r="N2018" s="14"/>
      <c r="O2018" s="14"/>
      <c r="P2018" s="14"/>
      <c r="Q2018" s="14"/>
      <c r="R2018" s="14"/>
      <c r="S2018" s="14"/>
      <c r="T2018" s="14"/>
      <c r="U2018" s="14"/>
      <c r="V2018" s="14"/>
      <c r="W2018" s="14"/>
      <c r="X2018" s="14"/>
      <c r="Y2018" s="14"/>
    </row>
    <row r="2019" spans="1:25" ht="15.75" x14ac:dyDescent="0.25">
      <c r="A2019" s="21"/>
      <c r="B2019" s="21"/>
      <c r="C2019" s="21"/>
      <c r="E2019" s="21"/>
      <c r="F2019" s="21"/>
      <c r="G2019" s="14"/>
      <c r="H2019" s="14"/>
      <c r="I2019" s="14"/>
      <c r="J2019" s="14"/>
      <c r="K2019" s="14"/>
      <c r="L2019" s="14"/>
      <c r="M2019" s="14"/>
      <c r="N2019" s="14"/>
      <c r="O2019" s="14"/>
      <c r="P2019" s="14"/>
      <c r="Q2019" s="14"/>
      <c r="R2019" s="14"/>
      <c r="S2019" s="14"/>
      <c r="T2019" s="14"/>
      <c r="U2019" s="14"/>
      <c r="V2019" s="14"/>
      <c r="W2019" s="14"/>
      <c r="X2019" s="14"/>
      <c r="Y2019" s="14"/>
    </row>
    <row r="2020" spans="1:25" ht="15.75" x14ac:dyDescent="0.25">
      <c r="A2020" s="21"/>
      <c r="B2020" s="21"/>
      <c r="C2020" s="21"/>
      <c r="E2020" s="21"/>
      <c r="F2020" s="21"/>
      <c r="G2020" s="14"/>
      <c r="H2020" s="14"/>
      <c r="I2020" s="14"/>
      <c r="J2020" s="14"/>
      <c r="K2020" s="14"/>
      <c r="L2020" s="14"/>
      <c r="M2020" s="14"/>
      <c r="N2020" s="14"/>
      <c r="O2020" s="14"/>
      <c r="P2020" s="14"/>
      <c r="Q2020" s="14"/>
      <c r="R2020" s="14"/>
      <c r="S2020" s="14"/>
      <c r="T2020" s="14"/>
      <c r="U2020" s="14"/>
      <c r="V2020" s="14"/>
      <c r="W2020" s="14"/>
      <c r="X2020" s="14"/>
      <c r="Y2020" s="14"/>
    </row>
    <row r="2021" spans="1:25" ht="15.75" x14ac:dyDescent="0.25">
      <c r="A2021" s="21"/>
      <c r="B2021" s="21"/>
      <c r="C2021" s="21"/>
      <c r="E2021" s="21"/>
      <c r="F2021" s="21"/>
      <c r="G2021" s="14"/>
      <c r="H2021" s="14"/>
      <c r="I2021" s="14"/>
      <c r="J2021" s="14"/>
      <c r="K2021" s="14"/>
      <c r="L2021" s="14"/>
      <c r="M2021" s="14"/>
      <c r="N2021" s="14"/>
      <c r="O2021" s="14"/>
      <c r="P2021" s="14"/>
      <c r="Q2021" s="14"/>
      <c r="R2021" s="14"/>
      <c r="S2021" s="14"/>
      <c r="T2021" s="14"/>
      <c r="U2021" s="14"/>
      <c r="V2021" s="14"/>
      <c r="W2021" s="14"/>
      <c r="X2021" s="14"/>
      <c r="Y2021" s="14"/>
    </row>
    <row r="2022" spans="1:25" ht="15.75" x14ac:dyDescent="0.25">
      <c r="A2022" s="21"/>
      <c r="B2022" s="21"/>
      <c r="C2022" s="21"/>
      <c r="E2022" s="21"/>
      <c r="F2022" s="21"/>
      <c r="G2022" s="14"/>
      <c r="H2022" s="14"/>
      <c r="I2022" s="14"/>
      <c r="J2022" s="14"/>
      <c r="K2022" s="14"/>
      <c r="L2022" s="14"/>
      <c r="M2022" s="14"/>
      <c r="N2022" s="14"/>
      <c r="O2022" s="14"/>
      <c r="P2022" s="14"/>
      <c r="Q2022" s="14"/>
      <c r="R2022" s="14"/>
      <c r="S2022" s="14"/>
      <c r="T2022" s="14"/>
      <c r="U2022" s="14"/>
      <c r="V2022" s="14"/>
      <c r="W2022" s="14"/>
      <c r="X2022" s="14"/>
      <c r="Y2022" s="14"/>
    </row>
    <row r="2023" spans="1:25" ht="15.75" x14ac:dyDescent="0.25">
      <c r="A2023" s="21"/>
      <c r="B2023" s="21"/>
      <c r="C2023" s="21"/>
      <c r="E2023" s="21"/>
      <c r="F2023" s="21"/>
      <c r="G2023" s="14"/>
      <c r="H2023" s="14"/>
      <c r="I2023" s="14"/>
      <c r="J2023" s="14"/>
      <c r="K2023" s="14"/>
      <c r="L2023" s="14"/>
      <c r="M2023" s="14"/>
      <c r="N2023" s="14"/>
      <c r="O2023" s="14"/>
      <c r="P2023" s="14"/>
      <c r="Q2023" s="14"/>
      <c r="R2023" s="14"/>
      <c r="S2023" s="14"/>
      <c r="T2023" s="14"/>
      <c r="U2023" s="14"/>
      <c r="V2023" s="14"/>
      <c r="W2023" s="14"/>
      <c r="X2023" s="14"/>
      <c r="Y2023" s="14"/>
    </row>
    <row r="2024" spans="1:25" ht="15.75" x14ac:dyDescent="0.25">
      <c r="A2024" s="21"/>
      <c r="B2024" s="21"/>
      <c r="C2024" s="21"/>
      <c r="E2024" s="21"/>
      <c r="F2024" s="21"/>
      <c r="G2024" s="14"/>
      <c r="H2024" s="14"/>
      <c r="I2024" s="14"/>
      <c r="J2024" s="14"/>
      <c r="K2024" s="14"/>
      <c r="L2024" s="14"/>
      <c r="M2024" s="14"/>
      <c r="N2024" s="14"/>
      <c r="O2024" s="14"/>
      <c r="P2024" s="14"/>
      <c r="Q2024" s="14"/>
      <c r="R2024" s="14"/>
      <c r="S2024" s="14"/>
      <c r="T2024" s="14"/>
      <c r="U2024" s="14"/>
      <c r="V2024" s="14"/>
      <c r="W2024" s="14"/>
      <c r="X2024" s="14"/>
      <c r="Y2024" s="14"/>
    </row>
    <row r="2025" spans="1:25" ht="15.75" x14ac:dyDescent="0.25">
      <c r="A2025" s="21"/>
      <c r="B2025" s="21"/>
      <c r="C2025" s="21"/>
      <c r="E2025" s="21"/>
      <c r="F2025" s="21"/>
      <c r="G2025" s="14"/>
      <c r="H2025" s="14"/>
      <c r="I2025" s="14"/>
      <c r="J2025" s="14"/>
      <c r="K2025" s="14"/>
      <c r="L2025" s="14"/>
      <c r="M2025" s="14"/>
      <c r="N2025" s="14"/>
      <c r="O2025" s="14"/>
      <c r="P2025" s="14"/>
      <c r="Q2025" s="14"/>
      <c r="R2025" s="14"/>
      <c r="S2025" s="14"/>
      <c r="T2025" s="14"/>
      <c r="U2025" s="14"/>
      <c r="V2025" s="14"/>
      <c r="W2025" s="14"/>
      <c r="X2025" s="14"/>
      <c r="Y2025" s="14"/>
    </row>
    <row r="2026" spans="1:25" ht="15.75" x14ac:dyDescent="0.25">
      <c r="A2026" s="21"/>
      <c r="B2026" s="21"/>
      <c r="C2026" s="21"/>
      <c r="E2026" s="21"/>
      <c r="F2026" s="21"/>
      <c r="G2026" s="14"/>
      <c r="H2026" s="14"/>
      <c r="I2026" s="14"/>
      <c r="J2026" s="14"/>
      <c r="K2026" s="14"/>
      <c r="L2026" s="14"/>
      <c r="M2026" s="14"/>
      <c r="N2026" s="14"/>
      <c r="O2026" s="14"/>
      <c r="P2026" s="14"/>
      <c r="Q2026" s="14"/>
      <c r="R2026" s="14"/>
      <c r="S2026" s="14"/>
      <c r="T2026" s="14"/>
      <c r="U2026" s="14"/>
      <c r="V2026" s="14"/>
      <c r="W2026" s="14"/>
      <c r="X2026" s="14"/>
      <c r="Y2026" s="14"/>
    </row>
    <row r="2027" spans="1:25" ht="15.75" x14ac:dyDescent="0.25">
      <c r="A2027" s="21"/>
      <c r="B2027" s="21"/>
      <c r="C2027" s="21"/>
      <c r="E2027" s="21"/>
      <c r="F2027" s="21"/>
      <c r="G2027" s="14"/>
      <c r="H2027" s="14"/>
      <c r="I2027" s="14"/>
      <c r="J2027" s="14"/>
      <c r="K2027" s="14"/>
      <c r="L2027" s="14"/>
      <c r="M2027" s="14"/>
      <c r="N2027" s="14"/>
      <c r="O2027" s="14"/>
      <c r="P2027" s="14"/>
      <c r="Q2027" s="14"/>
      <c r="R2027" s="14"/>
      <c r="S2027" s="14"/>
      <c r="T2027" s="14"/>
      <c r="U2027" s="14"/>
      <c r="V2027" s="14"/>
      <c r="W2027" s="14"/>
      <c r="X2027" s="14"/>
      <c r="Y2027" s="14"/>
    </row>
    <row r="2028" spans="1:25" ht="15.75" x14ac:dyDescent="0.25">
      <c r="A2028" s="21"/>
      <c r="B2028" s="21"/>
      <c r="C2028" s="21"/>
      <c r="E2028" s="21"/>
      <c r="F2028" s="21"/>
      <c r="G2028" s="14"/>
      <c r="H2028" s="14"/>
      <c r="I2028" s="14"/>
      <c r="J2028" s="14"/>
      <c r="K2028" s="14"/>
      <c r="L2028" s="14"/>
      <c r="M2028" s="14"/>
      <c r="N2028" s="14"/>
      <c r="O2028" s="14"/>
      <c r="P2028" s="14"/>
      <c r="Q2028" s="14"/>
      <c r="R2028" s="14"/>
      <c r="S2028" s="14"/>
      <c r="T2028" s="14"/>
      <c r="U2028" s="14"/>
      <c r="V2028" s="14"/>
      <c r="W2028" s="14"/>
      <c r="X2028" s="14"/>
      <c r="Y2028" s="14"/>
    </row>
    <row r="2029" spans="1:25" ht="15.75" x14ac:dyDescent="0.25">
      <c r="A2029" s="21"/>
      <c r="B2029" s="21"/>
      <c r="C2029" s="21"/>
      <c r="E2029" s="21"/>
      <c r="F2029" s="21"/>
      <c r="G2029" s="14"/>
      <c r="H2029" s="14"/>
      <c r="I2029" s="14"/>
      <c r="J2029" s="14"/>
      <c r="K2029" s="14"/>
      <c r="L2029" s="14"/>
      <c r="M2029" s="14"/>
      <c r="N2029" s="14"/>
      <c r="O2029" s="14"/>
      <c r="P2029" s="14"/>
      <c r="Q2029" s="14"/>
      <c r="R2029" s="14"/>
      <c r="S2029" s="14"/>
      <c r="T2029" s="14"/>
      <c r="U2029" s="14"/>
      <c r="V2029" s="14"/>
      <c r="W2029" s="14"/>
      <c r="X2029" s="14"/>
      <c r="Y2029" s="14"/>
    </row>
    <row r="2030" spans="1:25" ht="15.75" x14ac:dyDescent="0.25">
      <c r="A2030" s="21"/>
      <c r="B2030" s="21"/>
      <c r="C2030" s="21"/>
      <c r="E2030" s="21"/>
      <c r="F2030" s="21"/>
      <c r="G2030" s="14"/>
      <c r="H2030" s="14"/>
      <c r="I2030" s="14"/>
      <c r="J2030" s="14"/>
      <c r="K2030" s="14"/>
      <c r="L2030" s="14"/>
      <c r="M2030" s="14"/>
      <c r="N2030" s="14"/>
      <c r="O2030" s="14"/>
      <c r="P2030" s="14"/>
      <c r="Q2030" s="14"/>
      <c r="R2030" s="14"/>
      <c r="S2030" s="14"/>
      <c r="T2030" s="14"/>
      <c r="U2030" s="14"/>
      <c r="V2030" s="14"/>
      <c r="W2030" s="14"/>
      <c r="X2030" s="14"/>
      <c r="Y2030" s="14"/>
    </row>
    <row r="2031" spans="1:25" ht="15.75" x14ac:dyDescent="0.25">
      <c r="A2031" s="21"/>
      <c r="B2031" s="21"/>
      <c r="C2031" s="21"/>
      <c r="E2031" s="21"/>
      <c r="F2031" s="21"/>
      <c r="G2031" s="14"/>
      <c r="H2031" s="14"/>
      <c r="I2031" s="14"/>
      <c r="J2031" s="14"/>
      <c r="K2031" s="14"/>
      <c r="L2031" s="14"/>
      <c r="M2031" s="14"/>
      <c r="N2031" s="14"/>
      <c r="O2031" s="14"/>
      <c r="P2031" s="14"/>
      <c r="Q2031" s="14"/>
      <c r="R2031" s="14"/>
      <c r="S2031" s="14"/>
      <c r="T2031" s="14"/>
      <c r="U2031" s="14"/>
      <c r="V2031" s="14"/>
      <c r="W2031" s="14"/>
      <c r="X2031" s="14"/>
      <c r="Y2031" s="14"/>
    </row>
    <row r="2032" spans="1:25" ht="15.75" x14ac:dyDescent="0.25">
      <c r="A2032" s="21"/>
      <c r="B2032" s="21"/>
      <c r="C2032" s="21"/>
      <c r="E2032" s="21"/>
      <c r="F2032" s="21"/>
      <c r="G2032" s="14"/>
      <c r="H2032" s="14"/>
      <c r="I2032" s="14"/>
      <c r="J2032" s="14"/>
      <c r="K2032" s="14"/>
      <c r="L2032" s="14"/>
      <c r="M2032" s="14"/>
      <c r="N2032" s="14"/>
      <c r="O2032" s="14"/>
      <c r="P2032" s="14"/>
      <c r="Q2032" s="14"/>
      <c r="R2032" s="14"/>
      <c r="S2032" s="14"/>
      <c r="T2032" s="14"/>
      <c r="U2032" s="14"/>
      <c r="V2032" s="14"/>
      <c r="W2032" s="14"/>
      <c r="X2032" s="14"/>
      <c r="Y2032" s="14"/>
    </row>
    <row r="2033" spans="1:25" ht="15.75" x14ac:dyDescent="0.25">
      <c r="A2033" s="21"/>
      <c r="B2033" s="21"/>
      <c r="C2033" s="21"/>
      <c r="E2033" s="21"/>
      <c r="F2033" s="21"/>
      <c r="G2033" s="14"/>
      <c r="H2033" s="14"/>
      <c r="I2033" s="14"/>
      <c r="J2033" s="14"/>
      <c r="K2033" s="14"/>
      <c r="L2033" s="14"/>
      <c r="M2033" s="14"/>
      <c r="N2033" s="14"/>
      <c r="O2033" s="14"/>
      <c r="P2033" s="14"/>
      <c r="Q2033" s="14"/>
      <c r="R2033" s="14"/>
      <c r="S2033" s="14"/>
      <c r="T2033" s="14"/>
      <c r="U2033" s="14"/>
      <c r="V2033" s="14"/>
      <c r="W2033" s="14"/>
      <c r="X2033" s="14"/>
      <c r="Y2033" s="14"/>
    </row>
    <row r="2034" spans="1:25" ht="15.75" x14ac:dyDescent="0.25">
      <c r="A2034" s="21"/>
      <c r="B2034" s="21"/>
      <c r="C2034" s="21"/>
      <c r="E2034" s="21"/>
      <c r="F2034" s="21"/>
      <c r="G2034" s="14"/>
      <c r="H2034" s="14"/>
      <c r="I2034" s="14"/>
      <c r="J2034" s="14"/>
      <c r="K2034" s="14"/>
      <c r="L2034" s="14"/>
      <c r="M2034" s="14"/>
      <c r="N2034" s="14"/>
      <c r="O2034" s="14"/>
      <c r="P2034" s="14"/>
      <c r="Q2034" s="14"/>
      <c r="R2034" s="14"/>
      <c r="S2034" s="14"/>
      <c r="T2034" s="14"/>
      <c r="U2034" s="14"/>
      <c r="V2034" s="14"/>
      <c r="W2034" s="14"/>
      <c r="X2034" s="14"/>
      <c r="Y2034" s="14"/>
    </row>
    <row r="2035" spans="1:25" ht="15.75" x14ac:dyDescent="0.25">
      <c r="A2035" s="21"/>
      <c r="B2035" s="21"/>
      <c r="C2035" s="21"/>
      <c r="E2035" s="21"/>
      <c r="F2035" s="21"/>
      <c r="G2035" s="14"/>
      <c r="H2035" s="14"/>
      <c r="I2035" s="14"/>
      <c r="J2035" s="14"/>
      <c r="K2035" s="14"/>
      <c r="L2035" s="14"/>
      <c r="M2035" s="14"/>
      <c r="N2035" s="14"/>
      <c r="O2035" s="14"/>
      <c r="P2035" s="14"/>
      <c r="Q2035" s="14"/>
      <c r="R2035" s="14"/>
      <c r="S2035" s="14"/>
      <c r="T2035" s="14"/>
      <c r="U2035" s="14"/>
      <c r="V2035" s="14"/>
      <c r="W2035" s="14"/>
      <c r="X2035" s="14"/>
      <c r="Y2035" s="14"/>
    </row>
    <row r="2036" spans="1:25" ht="15.75" x14ac:dyDescent="0.25">
      <c r="A2036" s="21"/>
      <c r="B2036" s="21"/>
      <c r="C2036" s="21"/>
      <c r="E2036" s="21"/>
      <c r="F2036" s="21"/>
      <c r="G2036" s="14"/>
      <c r="H2036" s="14"/>
      <c r="I2036" s="14"/>
      <c r="J2036" s="14"/>
      <c r="K2036" s="14"/>
      <c r="L2036" s="14"/>
      <c r="M2036" s="14"/>
      <c r="N2036" s="14"/>
      <c r="O2036" s="14"/>
      <c r="P2036" s="14"/>
      <c r="Q2036" s="14"/>
      <c r="R2036" s="14"/>
      <c r="S2036" s="14"/>
      <c r="T2036" s="14"/>
      <c r="U2036" s="14"/>
      <c r="V2036" s="14"/>
      <c r="W2036" s="14"/>
      <c r="X2036" s="14"/>
      <c r="Y2036" s="14"/>
    </row>
    <row r="2037" spans="1:25" ht="15.75" x14ac:dyDescent="0.25">
      <c r="A2037" s="21"/>
      <c r="B2037" s="21"/>
      <c r="C2037" s="21"/>
      <c r="E2037" s="21"/>
      <c r="F2037" s="21"/>
      <c r="G2037" s="14"/>
      <c r="H2037" s="14"/>
      <c r="I2037" s="14"/>
      <c r="J2037" s="14"/>
      <c r="K2037" s="14"/>
      <c r="L2037" s="14"/>
      <c r="M2037" s="14"/>
      <c r="N2037" s="14"/>
      <c r="O2037" s="14"/>
      <c r="P2037" s="14"/>
      <c r="Q2037" s="14"/>
      <c r="R2037" s="14"/>
      <c r="S2037" s="14"/>
      <c r="T2037" s="14"/>
      <c r="U2037" s="14"/>
      <c r="V2037" s="14"/>
      <c r="W2037" s="14"/>
      <c r="X2037" s="14"/>
      <c r="Y2037" s="14"/>
    </row>
    <row r="2038" spans="1:25" ht="15.75" x14ac:dyDescent="0.25">
      <c r="A2038" s="21"/>
      <c r="B2038" s="21"/>
      <c r="C2038" s="21"/>
      <c r="E2038" s="21"/>
      <c r="F2038" s="21"/>
      <c r="G2038" s="14"/>
      <c r="H2038" s="14"/>
      <c r="I2038" s="14"/>
      <c r="J2038" s="14"/>
      <c r="K2038" s="14"/>
      <c r="L2038" s="14"/>
      <c r="M2038" s="14"/>
      <c r="N2038" s="14"/>
      <c r="O2038" s="14"/>
      <c r="P2038" s="14"/>
      <c r="Q2038" s="14"/>
      <c r="R2038" s="14"/>
      <c r="S2038" s="14"/>
      <c r="T2038" s="14"/>
      <c r="U2038" s="14"/>
      <c r="V2038" s="14"/>
      <c r="W2038" s="14"/>
      <c r="X2038" s="14"/>
      <c r="Y2038" s="14"/>
    </row>
    <row r="2039" spans="1:25" ht="15.75" x14ac:dyDescent="0.25">
      <c r="A2039" s="21"/>
      <c r="B2039" s="21"/>
      <c r="C2039" s="21"/>
      <c r="E2039" s="21"/>
      <c r="F2039" s="21"/>
      <c r="G2039" s="14"/>
      <c r="H2039" s="14"/>
      <c r="I2039" s="14"/>
      <c r="J2039" s="14"/>
      <c r="K2039" s="14"/>
      <c r="L2039" s="14"/>
      <c r="M2039" s="14"/>
      <c r="N2039" s="14"/>
      <c r="O2039" s="14"/>
      <c r="P2039" s="14"/>
      <c r="Q2039" s="14"/>
      <c r="R2039" s="14"/>
      <c r="S2039" s="14"/>
      <c r="T2039" s="14"/>
      <c r="U2039" s="14"/>
      <c r="V2039" s="14"/>
      <c r="W2039" s="14"/>
      <c r="X2039" s="14"/>
      <c r="Y2039" s="14"/>
    </row>
    <row r="2040" spans="1:25" ht="15.75" x14ac:dyDescent="0.25">
      <c r="A2040" s="21"/>
      <c r="B2040" s="21"/>
      <c r="C2040" s="21"/>
      <c r="E2040" s="21"/>
      <c r="F2040" s="21"/>
      <c r="G2040" s="14"/>
      <c r="H2040" s="14"/>
      <c r="I2040" s="14"/>
      <c r="J2040" s="14"/>
      <c r="K2040" s="14"/>
      <c r="L2040" s="14"/>
      <c r="M2040" s="14"/>
      <c r="N2040" s="14"/>
      <c r="O2040" s="14"/>
      <c r="P2040" s="14"/>
      <c r="Q2040" s="14"/>
      <c r="R2040" s="14"/>
      <c r="S2040" s="14"/>
      <c r="T2040" s="14"/>
      <c r="U2040" s="14"/>
      <c r="V2040" s="14"/>
      <c r="W2040" s="14"/>
      <c r="X2040" s="14"/>
      <c r="Y2040" s="14"/>
    </row>
    <row r="2041" spans="1:25" ht="15.75" x14ac:dyDescent="0.25">
      <c r="A2041" s="21"/>
      <c r="B2041" s="21"/>
      <c r="C2041" s="21"/>
      <c r="E2041" s="21"/>
      <c r="F2041" s="21"/>
      <c r="G2041" s="14"/>
      <c r="H2041" s="14"/>
      <c r="I2041" s="14"/>
      <c r="J2041" s="14"/>
      <c r="K2041" s="14"/>
      <c r="L2041" s="14"/>
      <c r="M2041" s="14"/>
      <c r="N2041" s="14"/>
      <c r="O2041" s="14"/>
      <c r="P2041" s="14"/>
      <c r="Q2041" s="14"/>
      <c r="R2041" s="14"/>
      <c r="S2041" s="14"/>
      <c r="T2041" s="14"/>
      <c r="U2041" s="14"/>
      <c r="V2041" s="14"/>
      <c r="W2041" s="14"/>
      <c r="X2041" s="14"/>
      <c r="Y2041" s="14"/>
    </row>
    <row r="2042" spans="1:25" ht="15.75" x14ac:dyDescent="0.25">
      <c r="A2042" s="21"/>
      <c r="B2042" s="21"/>
      <c r="C2042" s="21"/>
      <c r="E2042" s="21"/>
      <c r="F2042" s="21"/>
      <c r="G2042" s="14"/>
      <c r="H2042" s="14"/>
      <c r="I2042" s="14"/>
      <c r="J2042" s="14"/>
      <c r="K2042" s="14"/>
      <c r="L2042" s="14"/>
      <c r="M2042" s="14"/>
      <c r="N2042" s="14"/>
      <c r="O2042" s="14"/>
      <c r="P2042" s="14"/>
      <c r="Q2042" s="14"/>
      <c r="R2042" s="14"/>
      <c r="S2042" s="14"/>
      <c r="T2042" s="14"/>
      <c r="U2042" s="14"/>
      <c r="V2042" s="14"/>
      <c r="W2042" s="14"/>
      <c r="X2042" s="14"/>
      <c r="Y2042" s="14"/>
    </row>
    <row r="2043" spans="1:25" ht="15.75" x14ac:dyDescent="0.25">
      <c r="A2043" s="21"/>
      <c r="B2043" s="21"/>
      <c r="C2043" s="21"/>
      <c r="E2043" s="21"/>
      <c r="F2043" s="21"/>
      <c r="G2043" s="14"/>
      <c r="H2043" s="14"/>
      <c r="I2043" s="14"/>
      <c r="J2043" s="14"/>
      <c r="K2043" s="14"/>
      <c r="L2043" s="14"/>
      <c r="M2043" s="14"/>
      <c r="N2043" s="14"/>
      <c r="O2043" s="14"/>
      <c r="P2043" s="14"/>
      <c r="Q2043" s="14"/>
      <c r="R2043" s="14"/>
      <c r="S2043" s="14"/>
      <c r="T2043" s="14"/>
      <c r="U2043" s="14"/>
      <c r="V2043" s="14"/>
      <c r="W2043" s="14"/>
      <c r="X2043" s="14"/>
      <c r="Y2043" s="14"/>
    </row>
    <row r="2044" spans="1:25" ht="15.75" x14ac:dyDescent="0.25">
      <c r="A2044" s="21"/>
      <c r="B2044" s="21"/>
      <c r="C2044" s="21"/>
      <c r="E2044" s="21"/>
      <c r="F2044" s="21"/>
      <c r="G2044" s="14"/>
      <c r="H2044" s="14"/>
      <c r="I2044" s="14"/>
      <c r="J2044" s="14"/>
      <c r="K2044" s="14"/>
      <c r="L2044" s="14"/>
      <c r="M2044" s="14"/>
      <c r="N2044" s="14"/>
      <c r="O2044" s="14"/>
      <c r="P2044" s="14"/>
      <c r="Q2044" s="14"/>
      <c r="R2044" s="14"/>
      <c r="S2044" s="14"/>
      <c r="T2044" s="14"/>
      <c r="U2044" s="14"/>
      <c r="V2044" s="14"/>
      <c r="W2044" s="14"/>
      <c r="X2044" s="14"/>
      <c r="Y2044" s="14"/>
    </row>
    <row r="2045" spans="1:25" ht="15.75" x14ac:dyDescent="0.25">
      <c r="A2045" s="21"/>
      <c r="B2045" s="21"/>
      <c r="C2045" s="21"/>
      <c r="E2045" s="21"/>
      <c r="F2045" s="21"/>
      <c r="G2045" s="14"/>
      <c r="H2045" s="14"/>
      <c r="I2045" s="14"/>
      <c r="J2045" s="14"/>
      <c r="K2045" s="14"/>
      <c r="L2045" s="14"/>
      <c r="M2045" s="14"/>
      <c r="N2045" s="14"/>
      <c r="O2045" s="14"/>
      <c r="P2045" s="14"/>
      <c r="Q2045" s="14"/>
      <c r="R2045" s="14"/>
      <c r="S2045" s="14"/>
      <c r="T2045" s="14"/>
      <c r="U2045" s="14"/>
      <c r="V2045" s="14"/>
      <c r="W2045" s="14"/>
      <c r="X2045" s="14"/>
      <c r="Y2045" s="14"/>
    </row>
    <row r="2046" spans="1:25" ht="15.75" x14ac:dyDescent="0.25">
      <c r="A2046" s="21"/>
      <c r="B2046" s="21"/>
      <c r="C2046" s="21"/>
      <c r="E2046" s="21"/>
      <c r="F2046" s="21"/>
      <c r="G2046" s="14"/>
      <c r="H2046" s="14"/>
      <c r="I2046" s="14"/>
      <c r="J2046" s="14"/>
      <c r="K2046" s="14"/>
      <c r="L2046" s="14"/>
      <c r="M2046" s="14"/>
      <c r="N2046" s="14"/>
      <c r="O2046" s="14"/>
      <c r="P2046" s="14"/>
      <c r="Q2046" s="14"/>
      <c r="R2046" s="14"/>
      <c r="S2046" s="14"/>
      <c r="T2046" s="14"/>
      <c r="U2046" s="14"/>
      <c r="V2046" s="14"/>
      <c r="W2046" s="14"/>
      <c r="X2046" s="14"/>
      <c r="Y2046" s="14"/>
    </row>
    <row r="2047" spans="1:25" ht="15.75" x14ac:dyDescent="0.25">
      <c r="A2047" s="21"/>
      <c r="B2047" s="21"/>
      <c r="C2047" s="21"/>
      <c r="E2047" s="21"/>
      <c r="F2047" s="21"/>
      <c r="G2047" s="14"/>
      <c r="H2047" s="14"/>
      <c r="I2047" s="14"/>
      <c r="J2047" s="14"/>
      <c r="K2047" s="14"/>
      <c r="L2047" s="14"/>
      <c r="M2047" s="14"/>
      <c r="N2047" s="14"/>
      <c r="O2047" s="14"/>
      <c r="P2047" s="14"/>
      <c r="Q2047" s="14"/>
      <c r="R2047" s="14"/>
      <c r="S2047" s="14"/>
      <c r="T2047" s="14"/>
      <c r="U2047" s="14"/>
      <c r="V2047" s="14"/>
      <c r="W2047" s="14"/>
      <c r="X2047" s="14"/>
      <c r="Y2047" s="14"/>
    </row>
    <row r="2048" spans="1:25" ht="15.75" x14ac:dyDescent="0.25">
      <c r="A2048" s="21"/>
      <c r="B2048" s="21"/>
      <c r="C2048" s="21"/>
      <c r="E2048" s="21"/>
      <c r="F2048" s="21"/>
      <c r="G2048" s="14"/>
      <c r="H2048" s="14"/>
      <c r="I2048" s="14"/>
      <c r="J2048" s="14"/>
      <c r="K2048" s="14"/>
      <c r="L2048" s="14"/>
      <c r="M2048" s="14"/>
      <c r="N2048" s="14"/>
      <c r="O2048" s="14"/>
      <c r="P2048" s="14"/>
      <c r="Q2048" s="14"/>
      <c r="R2048" s="14"/>
      <c r="S2048" s="14"/>
      <c r="T2048" s="14"/>
      <c r="U2048" s="14"/>
      <c r="V2048" s="14"/>
      <c r="W2048" s="14"/>
      <c r="X2048" s="14"/>
      <c r="Y2048" s="14"/>
    </row>
    <row r="2049" spans="1:25" ht="15.75" x14ac:dyDescent="0.25">
      <c r="A2049" s="21"/>
      <c r="B2049" s="21"/>
      <c r="C2049" s="21"/>
      <c r="E2049" s="21"/>
      <c r="F2049" s="21"/>
      <c r="G2049" s="14"/>
      <c r="H2049" s="14"/>
      <c r="I2049" s="14"/>
      <c r="J2049" s="14"/>
      <c r="K2049" s="14"/>
      <c r="L2049" s="14"/>
      <c r="M2049" s="14"/>
      <c r="N2049" s="14"/>
      <c r="O2049" s="14"/>
      <c r="P2049" s="14"/>
      <c r="Q2049" s="14"/>
      <c r="R2049" s="14"/>
      <c r="S2049" s="14"/>
      <c r="T2049" s="14"/>
      <c r="U2049" s="14"/>
      <c r="V2049" s="14"/>
      <c r="W2049" s="14"/>
      <c r="X2049" s="14"/>
      <c r="Y2049" s="14"/>
    </row>
    <row r="2050" spans="1:25" ht="15.75" x14ac:dyDescent="0.25">
      <c r="A2050" s="21"/>
      <c r="B2050" s="21"/>
      <c r="C2050" s="21"/>
      <c r="E2050" s="21"/>
      <c r="F2050" s="21"/>
      <c r="G2050" s="14"/>
      <c r="H2050" s="14"/>
      <c r="I2050" s="14"/>
      <c r="J2050" s="14"/>
      <c r="K2050" s="14"/>
      <c r="L2050" s="14"/>
      <c r="M2050" s="14"/>
      <c r="N2050" s="14"/>
      <c r="O2050" s="14"/>
      <c r="P2050" s="14"/>
      <c r="Q2050" s="14"/>
      <c r="R2050" s="14"/>
      <c r="S2050" s="14"/>
      <c r="T2050" s="14"/>
      <c r="U2050" s="14"/>
      <c r="V2050" s="14"/>
      <c r="W2050" s="14"/>
      <c r="X2050" s="14"/>
      <c r="Y2050" s="14"/>
    </row>
    <row r="2051" spans="1:25" ht="15.75" x14ac:dyDescent="0.25">
      <c r="A2051" s="21"/>
      <c r="B2051" s="21"/>
      <c r="C2051" s="21"/>
      <c r="E2051" s="21"/>
      <c r="F2051" s="21"/>
      <c r="G2051" s="14"/>
      <c r="H2051" s="14"/>
      <c r="I2051" s="14"/>
      <c r="J2051" s="14"/>
      <c r="K2051" s="14"/>
      <c r="L2051" s="14"/>
      <c r="M2051" s="14"/>
      <c r="N2051" s="14"/>
      <c r="O2051" s="14"/>
      <c r="P2051" s="14"/>
      <c r="Q2051" s="14"/>
      <c r="R2051" s="14"/>
      <c r="S2051" s="14"/>
      <c r="T2051" s="14"/>
      <c r="U2051" s="14"/>
      <c r="V2051" s="14"/>
      <c r="W2051" s="14"/>
      <c r="X2051" s="14"/>
      <c r="Y2051" s="14"/>
    </row>
    <row r="2052" spans="1:25" ht="15.75" x14ac:dyDescent="0.25">
      <c r="A2052" s="21"/>
      <c r="B2052" s="21"/>
      <c r="C2052" s="21"/>
      <c r="E2052" s="21"/>
      <c r="F2052" s="21"/>
      <c r="G2052" s="14"/>
      <c r="H2052" s="14"/>
      <c r="I2052" s="14"/>
      <c r="J2052" s="14"/>
      <c r="K2052" s="14"/>
      <c r="L2052" s="14"/>
      <c r="M2052" s="14"/>
      <c r="N2052" s="14"/>
      <c r="O2052" s="14"/>
      <c r="P2052" s="14"/>
      <c r="Q2052" s="14"/>
      <c r="R2052" s="14"/>
      <c r="S2052" s="14"/>
      <c r="T2052" s="14"/>
      <c r="U2052" s="14"/>
      <c r="V2052" s="14"/>
      <c r="W2052" s="14"/>
      <c r="X2052" s="14"/>
      <c r="Y2052" s="14"/>
    </row>
    <row r="2053" spans="1:25" ht="15.75" x14ac:dyDescent="0.25">
      <c r="A2053" s="21"/>
      <c r="B2053" s="21"/>
      <c r="C2053" s="21"/>
      <c r="E2053" s="21"/>
      <c r="F2053" s="21"/>
      <c r="G2053" s="14"/>
      <c r="H2053" s="14"/>
      <c r="I2053" s="14"/>
      <c r="J2053" s="14"/>
      <c r="K2053" s="14"/>
      <c r="L2053" s="14"/>
      <c r="M2053" s="14"/>
      <c r="N2053" s="14"/>
      <c r="O2053" s="14"/>
      <c r="P2053" s="14"/>
      <c r="Q2053" s="14"/>
      <c r="R2053" s="14"/>
      <c r="S2053" s="14"/>
      <c r="T2053" s="14"/>
      <c r="U2053" s="14"/>
      <c r="V2053" s="14"/>
      <c r="W2053" s="14"/>
      <c r="X2053" s="14"/>
      <c r="Y2053" s="14"/>
    </row>
    <row r="2054" spans="1:25" ht="15.75" x14ac:dyDescent="0.25">
      <c r="A2054" s="21"/>
      <c r="B2054" s="21"/>
      <c r="C2054" s="21"/>
      <c r="E2054" s="21"/>
      <c r="F2054" s="21"/>
      <c r="G2054" s="14"/>
      <c r="H2054" s="14"/>
      <c r="I2054" s="14"/>
      <c r="J2054" s="14"/>
      <c r="K2054" s="14"/>
      <c r="L2054" s="14"/>
      <c r="M2054" s="14"/>
      <c r="N2054" s="14"/>
      <c r="O2054" s="14"/>
      <c r="P2054" s="14"/>
      <c r="Q2054" s="14"/>
      <c r="R2054" s="14"/>
      <c r="S2054" s="14"/>
      <c r="T2054" s="14"/>
      <c r="U2054" s="14"/>
      <c r="V2054" s="14"/>
      <c r="W2054" s="14"/>
      <c r="X2054" s="14"/>
      <c r="Y2054" s="14"/>
    </row>
    <row r="2055" spans="1:25" ht="15.75" x14ac:dyDescent="0.25">
      <c r="A2055" s="21"/>
      <c r="B2055" s="21"/>
      <c r="C2055" s="21"/>
      <c r="E2055" s="21"/>
      <c r="F2055" s="21"/>
      <c r="G2055" s="14"/>
      <c r="H2055" s="14"/>
      <c r="I2055" s="14"/>
      <c r="J2055" s="14"/>
      <c r="K2055" s="14"/>
      <c r="L2055" s="14"/>
      <c r="M2055" s="14"/>
      <c r="N2055" s="14"/>
      <c r="O2055" s="14"/>
      <c r="P2055" s="14"/>
      <c r="Q2055" s="14"/>
      <c r="R2055" s="14"/>
      <c r="S2055" s="14"/>
      <c r="T2055" s="14"/>
      <c r="U2055" s="14"/>
      <c r="V2055" s="14"/>
      <c r="W2055" s="14"/>
      <c r="X2055" s="14"/>
      <c r="Y2055" s="14"/>
    </row>
    <row r="2056" spans="1:25" ht="15.75" x14ac:dyDescent="0.25">
      <c r="A2056" s="21"/>
      <c r="B2056" s="21"/>
      <c r="C2056" s="21"/>
      <c r="E2056" s="21"/>
      <c r="F2056" s="21"/>
      <c r="G2056" s="14"/>
      <c r="H2056" s="14"/>
      <c r="I2056" s="14"/>
      <c r="J2056" s="14"/>
      <c r="K2056" s="14"/>
      <c r="L2056" s="14"/>
      <c r="M2056" s="14"/>
      <c r="N2056" s="14"/>
      <c r="O2056" s="14"/>
      <c r="P2056" s="14"/>
      <c r="Q2056" s="14"/>
      <c r="R2056" s="14"/>
      <c r="S2056" s="14"/>
      <c r="T2056" s="14"/>
      <c r="U2056" s="14"/>
      <c r="V2056" s="14"/>
      <c r="W2056" s="14"/>
      <c r="X2056" s="14"/>
      <c r="Y2056" s="14"/>
    </row>
    <row r="2057" spans="1:25" ht="15.75" x14ac:dyDescent="0.25">
      <c r="A2057" s="21"/>
      <c r="B2057" s="21"/>
      <c r="C2057" s="21"/>
      <c r="E2057" s="21"/>
      <c r="F2057" s="21"/>
      <c r="G2057" s="14"/>
      <c r="H2057" s="14"/>
      <c r="I2057" s="14"/>
      <c r="J2057" s="14"/>
      <c r="K2057" s="14"/>
      <c r="L2057" s="14"/>
      <c r="M2057" s="14"/>
      <c r="N2057" s="14"/>
      <c r="O2057" s="14"/>
      <c r="P2057" s="14"/>
      <c r="Q2057" s="14"/>
      <c r="R2057" s="14"/>
      <c r="S2057" s="14"/>
      <c r="T2057" s="14"/>
      <c r="U2057" s="14"/>
      <c r="V2057" s="14"/>
      <c r="W2057" s="14"/>
      <c r="X2057" s="14"/>
      <c r="Y2057" s="14"/>
    </row>
    <row r="2058" spans="1:25" ht="15.75" x14ac:dyDescent="0.25">
      <c r="A2058" s="21"/>
      <c r="B2058" s="21"/>
      <c r="C2058" s="21"/>
      <c r="E2058" s="21"/>
      <c r="F2058" s="21"/>
      <c r="G2058" s="14"/>
      <c r="H2058" s="14"/>
      <c r="I2058" s="14"/>
      <c r="J2058" s="14"/>
      <c r="K2058" s="14"/>
      <c r="L2058" s="14"/>
      <c r="M2058" s="14"/>
      <c r="N2058" s="14"/>
      <c r="O2058" s="14"/>
      <c r="P2058" s="14"/>
      <c r="Q2058" s="14"/>
      <c r="R2058" s="14"/>
      <c r="S2058" s="14"/>
      <c r="T2058" s="14"/>
      <c r="U2058" s="14"/>
      <c r="V2058" s="14"/>
      <c r="W2058" s="14"/>
      <c r="X2058" s="14"/>
      <c r="Y2058" s="14"/>
    </row>
    <row r="2059" spans="1:25" ht="15.75" x14ac:dyDescent="0.25">
      <c r="A2059" s="21"/>
      <c r="B2059" s="21"/>
      <c r="C2059" s="21"/>
      <c r="E2059" s="21"/>
      <c r="F2059" s="21"/>
      <c r="G2059" s="14"/>
      <c r="H2059" s="14"/>
      <c r="I2059" s="14"/>
      <c r="J2059" s="14"/>
      <c r="K2059" s="14"/>
      <c r="L2059" s="14"/>
      <c r="M2059" s="14"/>
      <c r="N2059" s="14"/>
      <c r="O2059" s="14"/>
      <c r="P2059" s="14"/>
      <c r="Q2059" s="14"/>
      <c r="R2059" s="14"/>
      <c r="S2059" s="14"/>
      <c r="T2059" s="14"/>
      <c r="U2059" s="14"/>
      <c r="V2059" s="14"/>
      <c r="W2059" s="14"/>
      <c r="X2059" s="14"/>
      <c r="Y2059" s="14"/>
    </row>
    <row r="2060" spans="1:25" ht="15.75" x14ac:dyDescent="0.25">
      <c r="A2060" s="21"/>
      <c r="B2060" s="21"/>
      <c r="C2060" s="21"/>
      <c r="E2060" s="21"/>
      <c r="F2060" s="21"/>
      <c r="G2060" s="14"/>
      <c r="H2060" s="14"/>
      <c r="I2060" s="14"/>
      <c r="J2060" s="14"/>
      <c r="K2060" s="14"/>
      <c r="L2060" s="14"/>
      <c r="M2060" s="14"/>
      <c r="N2060" s="14"/>
      <c r="O2060" s="14"/>
      <c r="P2060" s="14"/>
      <c r="Q2060" s="14"/>
      <c r="R2060" s="14"/>
      <c r="S2060" s="14"/>
      <c r="T2060" s="14"/>
      <c r="U2060" s="14"/>
      <c r="V2060" s="14"/>
      <c r="W2060" s="14"/>
      <c r="X2060" s="14"/>
      <c r="Y2060" s="14"/>
    </row>
    <row r="2061" spans="1:25" ht="15.75" x14ac:dyDescent="0.25">
      <c r="A2061" s="21"/>
      <c r="B2061" s="21"/>
      <c r="C2061" s="21"/>
      <c r="E2061" s="21"/>
      <c r="F2061" s="21"/>
      <c r="G2061" s="14"/>
      <c r="H2061" s="14"/>
      <c r="I2061" s="14"/>
      <c r="J2061" s="14"/>
      <c r="K2061" s="14"/>
      <c r="L2061" s="14"/>
      <c r="M2061" s="14"/>
      <c r="N2061" s="14"/>
      <c r="O2061" s="14"/>
      <c r="P2061" s="14"/>
      <c r="Q2061" s="14"/>
      <c r="R2061" s="14"/>
      <c r="S2061" s="14"/>
      <c r="T2061" s="14"/>
      <c r="U2061" s="14"/>
      <c r="V2061" s="14"/>
      <c r="W2061" s="14"/>
      <c r="X2061" s="14"/>
      <c r="Y2061" s="14"/>
    </row>
    <row r="2062" spans="1:25" ht="15.75" x14ac:dyDescent="0.25">
      <c r="A2062" s="21"/>
      <c r="B2062" s="21"/>
      <c r="C2062" s="21"/>
      <c r="E2062" s="21"/>
      <c r="F2062" s="21"/>
      <c r="G2062" s="14"/>
      <c r="H2062" s="14"/>
      <c r="I2062" s="14"/>
      <c r="J2062" s="14"/>
      <c r="K2062" s="14"/>
      <c r="L2062" s="14"/>
      <c r="M2062" s="14"/>
      <c r="N2062" s="14"/>
      <c r="O2062" s="14"/>
      <c r="P2062" s="14"/>
      <c r="Q2062" s="14"/>
      <c r="R2062" s="14"/>
      <c r="S2062" s="14"/>
      <c r="T2062" s="14"/>
      <c r="U2062" s="14"/>
      <c r="V2062" s="14"/>
      <c r="W2062" s="14"/>
      <c r="X2062" s="14"/>
      <c r="Y2062" s="14"/>
    </row>
    <row r="2063" spans="1:25" ht="15.75" x14ac:dyDescent="0.25">
      <c r="A2063" s="21"/>
      <c r="B2063" s="21"/>
      <c r="C2063" s="21"/>
      <c r="E2063" s="21"/>
      <c r="F2063" s="21"/>
      <c r="G2063" s="14"/>
      <c r="H2063" s="14"/>
      <c r="I2063" s="14"/>
      <c r="J2063" s="14"/>
      <c r="K2063" s="14"/>
      <c r="L2063" s="14"/>
      <c r="M2063" s="14"/>
      <c r="N2063" s="14"/>
      <c r="O2063" s="14"/>
      <c r="P2063" s="14"/>
      <c r="Q2063" s="14"/>
      <c r="R2063" s="14"/>
      <c r="S2063" s="14"/>
      <c r="T2063" s="14"/>
      <c r="U2063" s="14"/>
      <c r="V2063" s="14"/>
      <c r="W2063" s="14"/>
      <c r="X2063" s="14"/>
      <c r="Y2063" s="14"/>
    </row>
    <row r="2064" spans="1:25" ht="15.75" x14ac:dyDescent="0.25">
      <c r="A2064" s="21"/>
      <c r="B2064" s="21"/>
      <c r="C2064" s="21"/>
      <c r="E2064" s="21"/>
      <c r="F2064" s="21"/>
      <c r="G2064" s="14"/>
      <c r="H2064" s="14"/>
      <c r="I2064" s="14"/>
      <c r="J2064" s="14"/>
      <c r="K2064" s="14"/>
      <c r="L2064" s="14"/>
      <c r="M2064" s="14"/>
      <c r="N2064" s="14"/>
      <c r="O2064" s="14"/>
      <c r="P2064" s="14"/>
      <c r="Q2064" s="14"/>
      <c r="R2064" s="14"/>
      <c r="S2064" s="14"/>
      <c r="T2064" s="14"/>
      <c r="U2064" s="14"/>
      <c r="V2064" s="14"/>
      <c r="W2064" s="14"/>
      <c r="X2064" s="14"/>
      <c r="Y2064" s="14"/>
    </row>
    <row r="2065" spans="1:25" ht="15.75" x14ac:dyDescent="0.25">
      <c r="A2065" s="21"/>
      <c r="B2065" s="21"/>
      <c r="C2065" s="21"/>
      <c r="E2065" s="21"/>
      <c r="F2065" s="21"/>
      <c r="G2065" s="14"/>
      <c r="H2065" s="14"/>
      <c r="I2065" s="14"/>
      <c r="J2065" s="14"/>
      <c r="K2065" s="14"/>
      <c r="L2065" s="14"/>
      <c r="M2065" s="14"/>
      <c r="N2065" s="14"/>
      <c r="O2065" s="14"/>
      <c r="P2065" s="14"/>
      <c r="Q2065" s="14"/>
      <c r="R2065" s="14"/>
      <c r="S2065" s="14"/>
      <c r="T2065" s="14"/>
      <c r="U2065" s="14"/>
      <c r="V2065" s="14"/>
      <c r="W2065" s="14"/>
      <c r="X2065" s="14"/>
      <c r="Y2065" s="14"/>
    </row>
    <row r="2066" spans="1:25" ht="15.75" x14ac:dyDescent="0.25">
      <c r="A2066" s="21"/>
      <c r="B2066" s="21"/>
      <c r="C2066" s="21"/>
      <c r="E2066" s="21"/>
      <c r="F2066" s="21"/>
      <c r="G2066" s="14"/>
      <c r="H2066" s="14"/>
      <c r="I2066" s="14"/>
      <c r="J2066" s="14"/>
      <c r="K2066" s="14"/>
      <c r="L2066" s="14"/>
      <c r="M2066" s="14"/>
      <c r="N2066" s="14"/>
      <c r="O2066" s="14"/>
      <c r="P2066" s="14"/>
      <c r="Q2066" s="14"/>
      <c r="R2066" s="14"/>
      <c r="S2066" s="14"/>
      <c r="T2066" s="14"/>
      <c r="U2066" s="14"/>
      <c r="V2066" s="14"/>
      <c r="W2066" s="14"/>
      <c r="X2066" s="14"/>
      <c r="Y2066" s="14"/>
    </row>
    <row r="2067" spans="1:25" ht="15.75" x14ac:dyDescent="0.25">
      <c r="A2067" s="21"/>
      <c r="B2067" s="21"/>
      <c r="C2067" s="21"/>
      <c r="E2067" s="21"/>
      <c r="F2067" s="21"/>
      <c r="G2067" s="14"/>
      <c r="H2067" s="14"/>
      <c r="I2067" s="14"/>
      <c r="J2067" s="14"/>
      <c r="K2067" s="14"/>
      <c r="L2067" s="14"/>
      <c r="M2067" s="14"/>
      <c r="N2067" s="14"/>
      <c r="O2067" s="14"/>
      <c r="P2067" s="14"/>
      <c r="Q2067" s="14"/>
      <c r="R2067" s="14"/>
      <c r="S2067" s="14"/>
      <c r="T2067" s="14"/>
      <c r="U2067" s="14"/>
      <c r="V2067" s="14"/>
      <c r="W2067" s="14"/>
      <c r="X2067" s="14"/>
      <c r="Y2067" s="14"/>
    </row>
    <row r="2068" spans="1:25" ht="15.75" x14ac:dyDescent="0.25">
      <c r="A2068" s="21"/>
      <c r="B2068" s="21"/>
      <c r="C2068" s="21"/>
      <c r="E2068" s="21"/>
      <c r="F2068" s="21"/>
      <c r="G2068" s="14"/>
      <c r="H2068" s="14"/>
      <c r="I2068" s="14"/>
      <c r="J2068" s="14"/>
      <c r="K2068" s="14"/>
      <c r="L2068" s="14"/>
      <c r="M2068" s="14"/>
      <c r="N2068" s="14"/>
      <c r="O2068" s="14"/>
      <c r="P2068" s="14"/>
      <c r="Q2068" s="14"/>
      <c r="R2068" s="14"/>
      <c r="S2068" s="14"/>
      <c r="T2068" s="14"/>
      <c r="U2068" s="14"/>
      <c r="V2068" s="14"/>
      <c r="W2068" s="14"/>
      <c r="X2068" s="14"/>
      <c r="Y2068" s="14"/>
    </row>
    <row r="2069" spans="1:25" ht="15.75" x14ac:dyDescent="0.25">
      <c r="A2069" s="21"/>
      <c r="B2069" s="21"/>
      <c r="C2069" s="21"/>
      <c r="E2069" s="21"/>
      <c r="F2069" s="21"/>
      <c r="G2069" s="14"/>
      <c r="H2069" s="14"/>
      <c r="I2069" s="14"/>
      <c r="J2069" s="14"/>
      <c r="K2069" s="14"/>
      <c r="L2069" s="14"/>
      <c r="M2069" s="14"/>
      <c r="N2069" s="14"/>
      <c r="O2069" s="14"/>
      <c r="P2069" s="14"/>
      <c r="Q2069" s="14"/>
      <c r="R2069" s="14"/>
      <c r="S2069" s="14"/>
      <c r="T2069" s="14"/>
      <c r="U2069" s="14"/>
      <c r="V2069" s="14"/>
      <c r="W2069" s="14"/>
      <c r="X2069" s="14"/>
      <c r="Y2069" s="14"/>
    </row>
    <row r="2070" spans="1:25" ht="15.75" x14ac:dyDescent="0.25">
      <c r="A2070" s="21"/>
      <c r="B2070" s="21"/>
      <c r="C2070" s="21"/>
      <c r="E2070" s="21"/>
      <c r="F2070" s="21"/>
      <c r="G2070" s="14"/>
      <c r="H2070" s="14"/>
      <c r="I2070" s="14"/>
      <c r="J2070" s="14"/>
      <c r="K2070" s="14"/>
      <c r="L2070" s="14"/>
      <c r="M2070" s="14"/>
      <c r="N2070" s="14"/>
      <c r="O2070" s="14"/>
      <c r="P2070" s="14"/>
      <c r="Q2070" s="14"/>
      <c r="R2070" s="14"/>
      <c r="S2070" s="14"/>
      <c r="T2070" s="14"/>
      <c r="U2070" s="14"/>
      <c r="V2070" s="14"/>
      <c r="W2070" s="14"/>
      <c r="X2070" s="14"/>
      <c r="Y2070" s="14"/>
    </row>
    <row r="2071" spans="1:25" ht="15.75" x14ac:dyDescent="0.25">
      <c r="A2071" s="21"/>
      <c r="B2071" s="21"/>
      <c r="C2071" s="21"/>
      <c r="E2071" s="21"/>
      <c r="F2071" s="21"/>
      <c r="G2071" s="14"/>
      <c r="H2071" s="14"/>
      <c r="I2071" s="14"/>
      <c r="J2071" s="14"/>
      <c r="K2071" s="14"/>
      <c r="L2071" s="14"/>
      <c r="M2071" s="14"/>
      <c r="N2071" s="14"/>
      <c r="O2071" s="14"/>
      <c r="P2071" s="14"/>
      <c r="Q2071" s="14"/>
      <c r="R2071" s="14"/>
      <c r="S2071" s="14"/>
      <c r="T2071" s="14"/>
      <c r="U2071" s="14"/>
      <c r="V2071" s="14"/>
      <c r="W2071" s="14"/>
      <c r="X2071" s="14"/>
      <c r="Y2071" s="14"/>
    </row>
    <row r="2072" spans="1:25" ht="15.75" x14ac:dyDescent="0.25">
      <c r="A2072" s="21"/>
      <c r="B2072" s="21"/>
      <c r="C2072" s="21"/>
      <c r="E2072" s="21"/>
      <c r="F2072" s="21"/>
      <c r="G2072" s="14"/>
      <c r="H2072" s="14"/>
      <c r="I2072" s="14"/>
      <c r="J2072" s="14"/>
      <c r="K2072" s="14"/>
      <c r="L2072" s="14"/>
      <c r="M2072" s="14"/>
      <c r="N2072" s="14"/>
      <c r="O2072" s="14"/>
      <c r="P2072" s="14"/>
      <c r="Q2072" s="14"/>
      <c r="R2072" s="14"/>
      <c r="S2072" s="14"/>
      <c r="T2072" s="14"/>
      <c r="U2072" s="14"/>
      <c r="V2072" s="14"/>
      <c r="W2072" s="14"/>
      <c r="X2072" s="14"/>
      <c r="Y2072" s="14"/>
    </row>
    <row r="2073" spans="1:25" ht="15.75" x14ac:dyDescent="0.25">
      <c r="A2073" s="21"/>
      <c r="B2073" s="21"/>
      <c r="C2073" s="21"/>
      <c r="E2073" s="21"/>
      <c r="F2073" s="21"/>
      <c r="G2073" s="14"/>
      <c r="H2073" s="14"/>
      <c r="I2073" s="14"/>
      <c r="J2073" s="14"/>
      <c r="K2073" s="14"/>
      <c r="L2073" s="14"/>
      <c r="M2073" s="14"/>
      <c r="N2073" s="14"/>
      <c r="O2073" s="14"/>
      <c r="P2073" s="14"/>
      <c r="Q2073" s="14"/>
      <c r="R2073" s="14"/>
      <c r="S2073" s="14"/>
      <c r="T2073" s="14"/>
      <c r="U2073" s="14"/>
      <c r="V2073" s="14"/>
      <c r="W2073" s="14"/>
      <c r="X2073" s="14"/>
      <c r="Y2073" s="14"/>
    </row>
    <row r="2074" spans="1:25" ht="15.75" x14ac:dyDescent="0.25">
      <c r="A2074" s="21"/>
      <c r="B2074" s="21"/>
      <c r="C2074" s="21"/>
      <c r="E2074" s="21"/>
      <c r="F2074" s="21"/>
      <c r="G2074" s="14"/>
      <c r="H2074" s="14"/>
      <c r="I2074" s="14"/>
      <c r="J2074" s="14"/>
      <c r="K2074" s="14"/>
      <c r="L2074" s="14"/>
      <c r="M2074" s="14"/>
      <c r="N2074" s="14"/>
      <c r="O2074" s="14"/>
      <c r="P2074" s="14"/>
      <c r="Q2074" s="14"/>
      <c r="R2074" s="14"/>
      <c r="S2074" s="14"/>
      <c r="T2074" s="14"/>
      <c r="U2074" s="14"/>
      <c r="V2074" s="14"/>
      <c r="W2074" s="14"/>
      <c r="X2074" s="14"/>
      <c r="Y2074" s="14"/>
    </row>
    <row r="2075" spans="1:25" ht="15.75" x14ac:dyDescent="0.25">
      <c r="A2075" s="21"/>
      <c r="B2075" s="21"/>
      <c r="C2075" s="21"/>
      <c r="E2075" s="21"/>
      <c r="F2075" s="21"/>
      <c r="G2075" s="14"/>
      <c r="H2075" s="14"/>
      <c r="I2075" s="14"/>
      <c r="J2075" s="14"/>
      <c r="K2075" s="14"/>
      <c r="L2075" s="14"/>
      <c r="M2075" s="14"/>
      <c r="N2075" s="14"/>
      <c r="O2075" s="14"/>
      <c r="P2075" s="14"/>
      <c r="Q2075" s="14"/>
      <c r="R2075" s="14"/>
      <c r="S2075" s="14"/>
      <c r="T2075" s="14"/>
      <c r="U2075" s="14"/>
      <c r="V2075" s="14"/>
      <c r="W2075" s="14"/>
      <c r="X2075" s="14"/>
      <c r="Y2075" s="14"/>
    </row>
    <row r="2076" spans="1:25" ht="15.75" x14ac:dyDescent="0.25">
      <c r="A2076" s="21"/>
      <c r="B2076" s="21"/>
      <c r="C2076" s="21"/>
      <c r="E2076" s="21"/>
      <c r="F2076" s="21"/>
      <c r="G2076" s="14"/>
      <c r="H2076" s="14"/>
      <c r="I2076" s="14"/>
      <c r="J2076" s="14"/>
      <c r="K2076" s="14"/>
      <c r="L2076" s="14"/>
      <c r="M2076" s="14"/>
      <c r="N2076" s="14"/>
      <c r="O2076" s="14"/>
      <c r="P2076" s="14"/>
      <c r="Q2076" s="14"/>
      <c r="R2076" s="14"/>
      <c r="S2076" s="14"/>
      <c r="T2076" s="14"/>
      <c r="U2076" s="14"/>
      <c r="V2076" s="14"/>
      <c r="W2076" s="14"/>
      <c r="X2076" s="14"/>
      <c r="Y2076" s="14"/>
    </row>
    <row r="2077" spans="1:25" ht="15.75" x14ac:dyDescent="0.25">
      <c r="A2077" s="21"/>
      <c r="B2077" s="21"/>
      <c r="C2077" s="21"/>
      <c r="E2077" s="21"/>
      <c r="F2077" s="21"/>
      <c r="G2077" s="14"/>
      <c r="H2077" s="14"/>
      <c r="I2077" s="14"/>
      <c r="J2077" s="14"/>
      <c r="K2077" s="14"/>
      <c r="L2077" s="14"/>
      <c r="M2077" s="14"/>
      <c r="N2077" s="14"/>
      <c r="O2077" s="14"/>
      <c r="P2077" s="14"/>
      <c r="Q2077" s="14"/>
      <c r="R2077" s="14"/>
      <c r="S2077" s="14"/>
      <c r="T2077" s="14"/>
      <c r="U2077" s="14"/>
      <c r="V2077" s="14"/>
      <c r="W2077" s="14"/>
      <c r="X2077" s="14"/>
      <c r="Y2077" s="14"/>
    </row>
    <row r="2078" spans="1:25" ht="15.75" x14ac:dyDescent="0.25">
      <c r="A2078" s="21"/>
      <c r="B2078" s="21"/>
      <c r="C2078" s="21"/>
      <c r="E2078" s="21"/>
      <c r="F2078" s="21"/>
      <c r="G2078" s="14"/>
      <c r="H2078" s="14"/>
      <c r="I2078" s="14"/>
      <c r="J2078" s="14"/>
      <c r="K2078" s="14"/>
      <c r="L2078" s="14"/>
      <c r="M2078" s="14"/>
      <c r="N2078" s="14"/>
      <c r="O2078" s="14"/>
      <c r="P2078" s="14"/>
      <c r="Q2078" s="14"/>
      <c r="R2078" s="14"/>
      <c r="S2078" s="14"/>
      <c r="T2078" s="14"/>
      <c r="U2078" s="14"/>
      <c r="V2078" s="14"/>
      <c r="W2078" s="14"/>
      <c r="X2078" s="14"/>
      <c r="Y2078" s="14"/>
    </row>
    <row r="2079" spans="1:25" ht="15.75" x14ac:dyDescent="0.25">
      <c r="A2079" s="21"/>
      <c r="B2079" s="21"/>
      <c r="C2079" s="21"/>
      <c r="E2079" s="21"/>
      <c r="F2079" s="21"/>
      <c r="G2079" s="14"/>
      <c r="H2079" s="14"/>
      <c r="I2079" s="14"/>
      <c r="J2079" s="14"/>
      <c r="K2079" s="14"/>
      <c r="L2079" s="14"/>
      <c r="M2079" s="14"/>
      <c r="N2079" s="14"/>
      <c r="O2079" s="14"/>
      <c r="P2079" s="14"/>
      <c r="Q2079" s="14"/>
      <c r="R2079" s="14"/>
      <c r="S2079" s="14"/>
      <c r="T2079" s="14"/>
      <c r="U2079" s="14"/>
      <c r="V2079" s="14"/>
      <c r="W2079" s="14"/>
      <c r="X2079" s="14"/>
      <c r="Y2079" s="14"/>
    </row>
    <row r="2080" spans="1:25" ht="15.75" x14ac:dyDescent="0.25">
      <c r="A2080" s="21"/>
      <c r="B2080" s="21"/>
      <c r="C2080" s="21"/>
      <c r="E2080" s="21"/>
      <c r="F2080" s="21"/>
      <c r="G2080" s="14"/>
      <c r="H2080" s="14"/>
      <c r="I2080" s="14"/>
      <c r="J2080" s="14"/>
      <c r="K2080" s="14"/>
      <c r="L2080" s="14"/>
      <c r="M2080" s="14"/>
      <c r="N2080" s="14"/>
      <c r="O2080" s="14"/>
      <c r="P2080" s="14"/>
      <c r="Q2080" s="14"/>
      <c r="R2080" s="14"/>
      <c r="S2080" s="14"/>
      <c r="T2080" s="14"/>
      <c r="U2080" s="14"/>
      <c r="V2080" s="14"/>
      <c r="W2080" s="14"/>
      <c r="X2080" s="14"/>
      <c r="Y2080" s="14"/>
    </row>
    <row r="2081" spans="1:25" ht="15.75" x14ac:dyDescent="0.25">
      <c r="A2081" s="21"/>
      <c r="B2081" s="21"/>
      <c r="C2081" s="21"/>
      <c r="E2081" s="21"/>
      <c r="F2081" s="21"/>
      <c r="G2081" s="14"/>
      <c r="H2081" s="14"/>
      <c r="I2081" s="14"/>
      <c r="J2081" s="14"/>
      <c r="K2081" s="14"/>
      <c r="L2081" s="14"/>
      <c r="M2081" s="14"/>
      <c r="N2081" s="14"/>
      <c r="O2081" s="14"/>
      <c r="P2081" s="14"/>
      <c r="Q2081" s="14"/>
      <c r="R2081" s="14"/>
      <c r="S2081" s="14"/>
      <c r="T2081" s="14"/>
      <c r="U2081" s="14"/>
      <c r="V2081" s="14"/>
      <c r="W2081" s="14"/>
      <c r="X2081" s="14"/>
      <c r="Y2081" s="14"/>
    </row>
    <row r="2082" spans="1:25" ht="15.75" x14ac:dyDescent="0.25">
      <c r="A2082" s="21"/>
      <c r="B2082" s="21"/>
      <c r="C2082" s="21"/>
      <c r="E2082" s="21"/>
      <c r="F2082" s="21"/>
      <c r="G2082" s="14"/>
      <c r="H2082" s="14"/>
      <c r="I2082" s="14"/>
      <c r="J2082" s="14"/>
      <c r="K2082" s="14"/>
      <c r="L2082" s="14"/>
      <c r="M2082" s="14"/>
      <c r="N2082" s="14"/>
      <c r="O2082" s="14"/>
      <c r="P2082" s="14"/>
      <c r="Q2082" s="14"/>
      <c r="R2082" s="14"/>
      <c r="S2082" s="14"/>
      <c r="T2082" s="14"/>
      <c r="U2082" s="14"/>
      <c r="V2082" s="14"/>
      <c r="W2082" s="14"/>
      <c r="X2082" s="14"/>
      <c r="Y2082" s="14"/>
    </row>
    <row r="2083" spans="1:25" ht="15.75" x14ac:dyDescent="0.25">
      <c r="A2083" s="21"/>
      <c r="B2083" s="21"/>
      <c r="C2083" s="21"/>
      <c r="E2083" s="21"/>
      <c r="F2083" s="21"/>
      <c r="G2083" s="14"/>
      <c r="H2083" s="14"/>
      <c r="I2083" s="14"/>
      <c r="J2083" s="14"/>
      <c r="K2083" s="14"/>
      <c r="L2083" s="14"/>
      <c r="M2083" s="14"/>
      <c r="N2083" s="14"/>
      <c r="O2083" s="14"/>
      <c r="P2083" s="14"/>
      <c r="Q2083" s="14"/>
      <c r="R2083" s="14"/>
      <c r="S2083" s="14"/>
      <c r="T2083" s="14"/>
      <c r="U2083" s="14"/>
      <c r="V2083" s="14"/>
      <c r="W2083" s="14"/>
      <c r="X2083" s="14"/>
      <c r="Y2083" s="14"/>
    </row>
    <row r="2084" spans="1:25" ht="15.75" x14ac:dyDescent="0.25">
      <c r="A2084" s="21"/>
      <c r="B2084" s="21"/>
      <c r="C2084" s="21"/>
      <c r="E2084" s="21"/>
      <c r="F2084" s="21"/>
      <c r="G2084" s="14"/>
      <c r="H2084" s="14"/>
      <c r="I2084" s="14"/>
      <c r="J2084" s="14"/>
      <c r="K2084" s="14"/>
      <c r="L2084" s="14"/>
      <c r="M2084" s="14"/>
      <c r="N2084" s="14"/>
      <c r="O2084" s="14"/>
      <c r="P2084" s="14"/>
      <c r="Q2084" s="14"/>
      <c r="R2084" s="14"/>
      <c r="S2084" s="14"/>
      <c r="T2084" s="14"/>
      <c r="U2084" s="14"/>
      <c r="V2084" s="14"/>
      <c r="W2084" s="14"/>
      <c r="X2084" s="14"/>
      <c r="Y2084" s="14"/>
    </row>
    <row r="2085" spans="1:25" ht="15.75" x14ac:dyDescent="0.25">
      <c r="A2085" s="21"/>
      <c r="B2085" s="21"/>
      <c r="C2085" s="21"/>
      <c r="E2085" s="21"/>
      <c r="F2085" s="21"/>
      <c r="G2085" s="14"/>
      <c r="H2085" s="14"/>
      <c r="I2085" s="14"/>
      <c r="J2085" s="14"/>
      <c r="K2085" s="14"/>
      <c r="L2085" s="14"/>
      <c r="M2085" s="14"/>
      <c r="N2085" s="14"/>
      <c r="O2085" s="14"/>
      <c r="P2085" s="14"/>
      <c r="Q2085" s="14"/>
      <c r="R2085" s="14"/>
      <c r="S2085" s="14"/>
      <c r="T2085" s="14"/>
      <c r="U2085" s="14"/>
      <c r="V2085" s="14"/>
      <c r="W2085" s="14"/>
      <c r="X2085" s="14"/>
      <c r="Y2085" s="14"/>
    </row>
    <row r="2086" spans="1:25" ht="15.75" x14ac:dyDescent="0.25">
      <c r="A2086" s="21"/>
      <c r="B2086" s="21"/>
      <c r="C2086" s="21"/>
      <c r="E2086" s="21"/>
      <c r="F2086" s="21"/>
      <c r="G2086" s="14"/>
      <c r="H2086" s="14"/>
      <c r="I2086" s="14"/>
      <c r="J2086" s="14"/>
      <c r="K2086" s="14"/>
      <c r="L2086" s="14"/>
      <c r="M2086" s="14"/>
      <c r="N2086" s="14"/>
      <c r="O2086" s="14"/>
      <c r="P2086" s="14"/>
      <c r="Q2086" s="14"/>
      <c r="R2086" s="14"/>
      <c r="S2086" s="14"/>
      <c r="T2086" s="14"/>
      <c r="U2086" s="14"/>
      <c r="V2086" s="14"/>
      <c r="W2086" s="14"/>
      <c r="X2086" s="14"/>
      <c r="Y2086" s="14"/>
    </row>
    <row r="2087" spans="1:25" ht="15.75" x14ac:dyDescent="0.25">
      <c r="A2087" s="21"/>
      <c r="B2087" s="21"/>
      <c r="C2087" s="21"/>
      <c r="E2087" s="21"/>
      <c r="F2087" s="21"/>
      <c r="G2087" s="14"/>
      <c r="H2087" s="14"/>
      <c r="I2087" s="14"/>
      <c r="J2087" s="14"/>
      <c r="K2087" s="14"/>
      <c r="L2087" s="14"/>
      <c r="M2087" s="14"/>
      <c r="N2087" s="14"/>
      <c r="O2087" s="14"/>
      <c r="P2087" s="14"/>
      <c r="Q2087" s="14"/>
      <c r="R2087" s="14"/>
      <c r="S2087" s="14"/>
      <c r="T2087" s="14"/>
      <c r="U2087" s="14"/>
      <c r="V2087" s="14"/>
      <c r="W2087" s="14"/>
      <c r="X2087" s="14"/>
      <c r="Y2087" s="14"/>
    </row>
    <row r="2088" spans="1:25" ht="15.75" x14ac:dyDescent="0.25">
      <c r="A2088" s="21"/>
      <c r="B2088" s="21"/>
      <c r="C2088" s="21"/>
      <c r="E2088" s="21"/>
      <c r="F2088" s="21"/>
      <c r="G2088" s="14"/>
      <c r="H2088" s="14"/>
      <c r="I2088" s="14"/>
      <c r="J2088" s="14"/>
      <c r="K2088" s="14"/>
      <c r="L2088" s="14"/>
      <c r="M2088" s="14"/>
      <c r="N2088" s="14"/>
      <c r="O2088" s="14"/>
      <c r="P2088" s="14"/>
      <c r="Q2088" s="14"/>
      <c r="R2088" s="14"/>
      <c r="S2088" s="14"/>
      <c r="T2088" s="14"/>
      <c r="U2088" s="14"/>
      <c r="V2088" s="14"/>
      <c r="W2088" s="14"/>
      <c r="X2088" s="14"/>
      <c r="Y2088" s="14"/>
    </row>
    <row r="2089" spans="1:25" ht="15.75" x14ac:dyDescent="0.25">
      <c r="A2089" s="21"/>
      <c r="B2089" s="21"/>
      <c r="C2089" s="21"/>
      <c r="E2089" s="21"/>
      <c r="F2089" s="21"/>
      <c r="G2089" s="14"/>
      <c r="H2089" s="14"/>
      <c r="I2089" s="14"/>
      <c r="J2089" s="14"/>
      <c r="K2089" s="14"/>
      <c r="L2089" s="14"/>
      <c r="M2089" s="14"/>
      <c r="N2089" s="14"/>
      <c r="O2089" s="14"/>
      <c r="P2089" s="14"/>
      <c r="Q2089" s="14"/>
      <c r="R2089" s="14"/>
      <c r="S2089" s="14"/>
      <c r="T2089" s="14"/>
      <c r="U2089" s="14"/>
      <c r="V2089" s="14"/>
      <c r="W2089" s="14"/>
      <c r="X2089" s="14"/>
      <c r="Y2089" s="14"/>
    </row>
    <row r="2090" spans="1:25" ht="15.75" x14ac:dyDescent="0.25">
      <c r="A2090" s="21"/>
      <c r="B2090" s="21"/>
      <c r="C2090" s="21"/>
      <c r="E2090" s="21"/>
      <c r="F2090" s="21"/>
      <c r="G2090" s="14"/>
      <c r="H2090" s="14"/>
      <c r="I2090" s="14"/>
      <c r="J2090" s="14"/>
      <c r="K2090" s="14"/>
      <c r="L2090" s="14"/>
      <c r="M2090" s="14"/>
      <c r="N2090" s="14"/>
      <c r="O2090" s="14"/>
      <c r="P2090" s="14"/>
      <c r="Q2090" s="14"/>
      <c r="R2090" s="14"/>
      <c r="S2090" s="14"/>
      <c r="T2090" s="14"/>
      <c r="U2090" s="14"/>
      <c r="V2090" s="14"/>
      <c r="W2090" s="14"/>
      <c r="X2090" s="14"/>
      <c r="Y2090" s="14"/>
    </row>
    <row r="2091" spans="1:25" ht="15.75" x14ac:dyDescent="0.25">
      <c r="A2091" s="21"/>
      <c r="B2091" s="21"/>
      <c r="C2091" s="21"/>
      <c r="E2091" s="21"/>
      <c r="F2091" s="21"/>
      <c r="G2091" s="14"/>
      <c r="H2091" s="14"/>
      <c r="I2091" s="14"/>
      <c r="J2091" s="14"/>
      <c r="K2091" s="14"/>
      <c r="L2091" s="14"/>
      <c r="M2091" s="14"/>
      <c r="N2091" s="14"/>
      <c r="O2091" s="14"/>
      <c r="P2091" s="14"/>
      <c r="Q2091" s="14"/>
      <c r="R2091" s="14"/>
      <c r="S2091" s="14"/>
      <c r="T2091" s="14"/>
      <c r="U2091" s="14"/>
      <c r="V2091" s="14"/>
      <c r="W2091" s="14"/>
      <c r="X2091" s="14"/>
      <c r="Y2091" s="14"/>
    </row>
    <row r="2092" spans="1:25" ht="15.75" x14ac:dyDescent="0.25">
      <c r="A2092" s="21"/>
      <c r="B2092" s="21"/>
      <c r="C2092" s="21"/>
      <c r="E2092" s="21"/>
      <c r="F2092" s="21"/>
      <c r="G2092" s="14"/>
      <c r="H2092" s="14"/>
      <c r="I2092" s="14"/>
      <c r="J2092" s="14"/>
      <c r="K2092" s="14"/>
      <c r="L2092" s="14"/>
      <c r="M2092" s="14"/>
      <c r="N2092" s="14"/>
      <c r="O2092" s="14"/>
      <c r="P2092" s="14"/>
      <c r="Q2092" s="14"/>
      <c r="R2092" s="14"/>
      <c r="S2092" s="14"/>
      <c r="T2092" s="14"/>
      <c r="U2092" s="14"/>
      <c r="V2092" s="14"/>
      <c r="W2092" s="14"/>
      <c r="X2092" s="14"/>
      <c r="Y2092" s="14"/>
    </row>
    <row r="2093" spans="1:25" ht="15.75" x14ac:dyDescent="0.25">
      <c r="A2093" s="21"/>
      <c r="B2093" s="21"/>
      <c r="C2093" s="21"/>
      <c r="E2093" s="21"/>
      <c r="F2093" s="21"/>
      <c r="G2093" s="14"/>
      <c r="H2093" s="14"/>
      <c r="I2093" s="14"/>
      <c r="J2093" s="14"/>
      <c r="K2093" s="14"/>
      <c r="L2093" s="14"/>
      <c r="M2093" s="14"/>
      <c r="N2093" s="14"/>
      <c r="O2093" s="14"/>
      <c r="P2093" s="14"/>
      <c r="Q2093" s="14"/>
      <c r="R2093" s="14"/>
      <c r="S2093" s="14"/>
      <c r="T2093" s="14"/>
      <c r="U2093" s="14"/>
      <c r="V2093" s="14"/>
      <c r="W2093" s="14"/>
      <c r="X2093" s="14"/>
      <c r="Y2093" s="14"/>
    </row>
    <row r="2094" spans="1:25" ht="15.75" x14ac:dyDescent="0.25">
      <c r="A2094" s="21"/>
      <c r="B2094" s="21"/>
      <c r="C2094" s="21"/>
      <c r="E2094" s="21"/>
      <c r="F2094" s="21"/>
      <c r="G2094" s="14"/>
      <c r="H2094" s="14"/>
      <c r="I2094" s="14"/>
      <c r="J2094" s="14"/>
      <c r="K2094" s="14"/>
      <c r="L2094" s="14"/>
      <c r="M2094" s="14"/>
      <c r="N2094" s="14"/>
      <c r="O2094" s="14"/>
      <c r="P2094" s="14"/>
      <c r="Q2094" s="14"/>
      <c r="R2094" s="14"/>
      <c r="S2094" s="14"/>
      <c r="T2094" s="14"/>
      <c r="U2094" s="14"/>
      <c r="V2094" s="14"/>
      <c r="W2094" s="14"/>
      <c r="X2094" s="14"/>
      <c r="Y2094" s="14"/>
    </row>
    <row r="2095" spans="1:25" ht="15.75" x14ac:dyDescent="0.25">
      <c r="A2095" s="21"/>
      <c r="B2095" s="21"/>
      <c r="C2095" s="21"/>
      <c r="E2095" s="21"/>
      <c r="F2095" s="21"/>
      <c r="G2095" s="14"/>
      <c r="H2095" s="14"/>
      <c r="I2095" s="14"/>
      <c r="J2095" s="14"/>
      <c r="K2095" s="14"/>
      <c r="L2095" s="14"/>
      <c r="M2095" s="14"/>
      <c r="N2095" s="14"/>
      <c r="O2095" s="14"/>
      <c r="P2095" s="14"/>
      <c r="Q2095" s="14"/>
      <c r="R2095" s="14"/>
      <c r="S2095" s="14"/>
      <c r="T2095" s="14"/>
      <c r="U2095" s="14"/>
      <c r="V2095" s="14"/>
      <c r="W2095" s="14"/>
      <c r="X2095" s="14"/>
      <c r="Y2095" s="14"/>
    </row>
    <row r="2096" spans="1:25" ht="15.75" x14ac:dyDescent="0.25">
      <c r="A2096" s="21"/>
      <c r="B2096" s="21"/>
      <c r="C2096" s="21"/>
      <c r="E2096" s="21"/>
      <c r="F2096" s="21"/>
      <c r="G2096" s="14"/>
      <c r="H2096" s="14"/>
      <c r="I2096" s="14"/>
      <c r="J2096" s="14"/>
      <c r="K2096" s="14"/>
      <c r="L2096" s="14"/>
      <c r="M2096" s="14"/>
      <c r="N2096" s="14"/>
      <c r="O2096" s="14"/>
      <c r="P2096" s="14"/>
      <c r="Q2096" s="14"/>
      <c r="R2096" s="14"/>
      <c r="S2096" s="14"/>
      <c r="T2096" s="14"/>
      <c r="U2096" s="14"/>
      <c r="V2096" s="14"/>
      <c r="W2096" s="14"/>
      <c r="X2096" s="14"/>
      <c r="Y2096" s="14"/>
    </row>
    <row r="2097" spans="1:25" ht="15.75" x14ac:dyDescent="0.25">
      <c r="A2097" s="21"/>
      <c r="B2097" s="21"/>
      <c r="C2097" s="21"/>
      <c r="E2097" s="21"/>
      <c r="F2097" s="21"/>
      <c r="G2097" s="14"/>
      <c r="H2097" s="14"/>
      <c r="I2097" s="14"/>
      <c r="J2097" s="14"/>
      <c r="K2097" s="14"/>
      <c r="L2097" s="14"/>
      <c r="M2097" s="14"/>
      <c r="N2097" s="14"/>
      <c r="O2097" s="14"/>
      <c r="P2097" s="14"/>
      <c r="Q2097" s="14"/>
      <c r="R2097" s="14"/>
      <c r="S2097" s="14"/>
      <c r="T2097" s="14"/>
      <c r="U2097" s="14"/>
      <c r="V2097" s="14"/>
      <c r="W2097" s="14"/>
      <c r="X2097" s="14"/>
      <c r="Y2097" s="14"/>
    </row>
    <row r="2098" spans="1:25" ht="15.75" x14ac:dyDescent="0.25">
      <c r="A2098" s="21"/>
      <c r="B2098" s="21"/>
      <c r="C2098" s="21"/>
      <c r="E2098" s="21"/>
      <c r="F2098" s="21"/>
      <c r="G2098" s="14"/>
      <c r="H2098" s="14"/>
      <c r="I2098" s="14"/>
      <c r="J2098" s="14"/>
      <c r="K2098" s="14"/>
      <c r="L2098" s="14"/>
      <c r="M2098" s="14"/>
      <c r="N2098" s="14"/>
      <c r="O2098" s="14"/>
      <c r="P2098" s="14"/>
      <c r="Q2098" s="14"/>
      <c r="R2098" s="14"/>
      <c r="S2098" s="14"/>
      <c r="T2098" s="14"/>
      <c r="U2098" s="14"/>
      <c r="V2098" s="14"/>
      <c r="W2098" s="14"/>
      <c r="X2098" s="14"/>
      <c r="Y2098" s="14"/>
    </row>
    <row r="2099" spans="1:25" ht="15.75" x14ac:dyDescent="0.25">
      <c r="A2099" s="21"/>
      <c r="B2099" s="21"/>
      <c r="C2099" s="21"/>
      <c r="E2099" s="21"/>
      <c r="F2099" s="21"/>
      <c r="G2099" s="14"/>
      <c r="H2099" s="14"/>
      <c r="I2099" s="14"/>
      <c r="J2099" s="14"/>
      <c r="K2099" s="14"/>
      <c r="L2099" s="14"/>
      <c r="M2099" s="14"/>
      <c r="N2099" s="14"/>
      <c r="O2099" s="14"/>
      <c r="P2099" s="14"/>
      <c r="Q2099" s="14"/>
      <c r="R2099" s="14"/>
      <c r="S2099" s="14"/>
      <c r="T2099" s="14"/>
      <c r="U2099" s="14"/>
      <c r="V2099" s="14"/>
      <c r="W2099" s="14"/>
      <c r="X2099" s="14"/>
      <c r="Y2099" s="14"/>
    </row>
    <row r="2100" spans="1:25" ht="15.75" x14ac:dyDescent="0.25">
      <c r="A2100" s="21"/>
      <c r="B2100" s="21"/>
      <c r="C2100" s="21"/>
      <c r="E2100" s="21"/>
      <c r="F2100" s="21"/>
      <c r="G2100" s="14"/>
      <c r="H2100" s="14"/>
      <c r="I2100" s="14"/>
      <c r="J2100" s="14"/>
      <c r="K2100" s="14"/>
      <c r="L2100" s="14"/>
      <c r="M2100" s="14"/>
      <c r="N2100" s="14"/>
      <c r="O2100" s="14"/>
      <c r="P2100" s="14"/>
      <c r="Q2100" s="14"/>
      <c r="R2100" s="14"/>
      <c r="S2100" s="14"/>
      <c r="T2100" s="14"/>
      <c r="U2100" s="14"/>
      <c r="V2100" s="14"/>
      <c r="W2100" s="14"/>
      <c r="X2100" s="14"/>
      <c r="Y2100" s="14"/>
    </row>
    <row r="2101" spans="1:25" ht="15.75" x14ac:dyDescent="0.25">
      <c r="A2101" s="21"/>
      <c r="B2101" s="21"/>
      <c r="C2101" s="21"/>
      <c r="E2101" s="21"/>
      <c r="F2101" s="21"/>
      <c r="G2101" s="14"/>
      <c r="H2101" s="14"/>
      <c r="I2101" s="14"/>
      <c r="J2101" s="14"/>
      <c r="K2101" s="14"/>
      <c r="L2101" s="14"/>
      <c r="M2101" s="14"/>
      <c r="N2101" s="14"/>
      <c r="O2101" s="14"/>
      <c r="P2101" s="14"/>
      <c r="Q2101" s="14"/>
      <c r="R2101" s="14"/>
      <c r="S2101" s="14"/>
      <c r="T2101" s="14"/>
      <c r="U2101" s="14"/>
      <c r="V2101" s="14"/>
      <c r="W2101" s="14"/>
      <c r="X2101" s="14"/>
      <c r="Y2101" s="14"/>
    </row>
    <row r="2102" spans="1:25" ht="15.75" x14ac:dyDescent="0.25">
      <c r="A2102" s="21"/>
      <c r="B2102" s="21"/>
      <c r="C2102" s="21"/>
      <c r="E2102" s="21"/>
      <c r="F2102" s="21"/>
      <c r="G2102" s="14"/>
      <c r="H2102" s="14"/>
      <c r="I2102" s="14"/>
      <c r="J2102" s="14"/>
      <c r="K2102" s="14"/>
      <c r="L2102" s="14"/>
      <c r="M2102" s="14"/>
      <c r="N2102" s="14"/>
      <c r="O2102" s="14"/>
      <c r="P2102" s="14"/>
      <c r="Q2102" s="14"/>
      <c r="R2102" s="14"/>
      <c r="S2102" s="14"/>
      <c r="T2102" s="14"/>
      <c r="U2102" s="14"/>
      <c r="V2102" s="14"/>
      <c r="W2102" s="14"/>
      <c r="X2102" s="14"/>
      <c r="Y2102" s="14"/>
    </row>
    <row r="2103" spans="1:25" ht="15.75" x14ac:dyDescent="0.25">
      <c r="A2103" s="21"/>
      <c r="B2103" s="21"/>
      <c r="C2103" s="21"/>
      <c r="E2103" s="21"/>
      <c r="F2103" s="21"/>
      <c r="G2103" s="14"/>
      <c r="H2103" s="14"/>
      <c r="I2103" s="14"/>
      <c r="J2103" s="14"/>
      <c r="K2103" s="14"/>
      <c r="L2103" s="14"/>
      <c r="M2103" s="14"/>
      <c r="N2103" s="14"/>
      <c r="O2103" s="14"/>
      <c r="P2103" s="14"/>
      <c r="Q2103" s="14"/>
      <c r="R2103" s="14"/>
      <c r="S2103" s="14"/>
      <c r="T2103" s="14"/>
      <c r="U2103" s="14"/>
      <c r="V2103" s="14"/>
      <c r="W2103" s="14"/>
      <c r="X2103" s="14"/>
      <c r="Y2103" s="14"/>
    </row>
    <row r="2104" spans="1:25" ht="15.75" x14ac:dyDescent="0.25">
      <c r="A2104" s="21"/>
      <c r="B2104" s="21"/>
      <c r="C2104" s="21"/>
      <c r="E2104" s="21"/>
      <c r="F2104" s="21"/>
      <c r="G2104" s="14"/>
      <c r="H2104" s="14"/>
      <c r="I2104" s="14"/>
      <c r="J2104" s="14"/>
      <c r="K2104" s="14"/>
      <c r="L2104" s="14"/>
      <c r="M2104" s="14"/>
      <c r="N2104" s="14"/>
      <c r="O2104" s="14"/>
      <c r="P2104" s="14"/>
      <c r="Q2104" s="14"/>
      <c r="R2104" s="14"/>
      <c r="S2104" s="14"/>
      <c r="T2104" s="14"/>
      <c r="U2104" s="14"/>
      <c r="V2104" s="14"/>
      <c r="W2104" s="14"/>
      <c r="X2104" s="14"/>
      <c r="Y2104" s="14"/>
    </row>
    <row r="2105" spans="1:25" ht="15.75" x14ac:dyDescent="0.25">
      <c r="A2105" s="21"/>
      <c r="B2105" s="21"/>
      <c r="C2105" s="21"/>
      <c r="E2105" s="21"/>
      <c r="F2105" s="21"/>
      <c r="G2105" s="14"/>
      <c r="H2105" s="14"/>
      <c r="I2105" s="14"/>
      <c r="J2105" s="14"/>
      <c r="K2105" s="14"/>
      <c r="L2105" s="14"/>
      <c r="M2105" s="14"/>
      <c r="N2105" s="14"/>
      <c r="O2105" s="14"/>
      <c r="P2105" s="14"/>
      <c r="Q2105" s="14"/>
      <c r="R2105" s="14"/>
      <c r="S2105" s="14"/>
      <c r="T2105" s="14"/>
      <c r="U2105" s="14"/>
      <c r="V2105" s="14"/>
      <c r="W2105" s="14"/>
      <c r="X2105" s="14"/>
      <c r="Y2105" s="14"/>
    </row>
    <row r="2106" spans="1:25" ht="15.75" x14ac:dyDescent="0.25">
      <c r="A2106" s="21"/>
      <c r="B2106" s="21"/>
      <c r="C2106" s="21"/>
      <c r="E2106" s="21"/>
      <c r="F2106" s="21"/>
      <c r="G2106" s="14"/>
      <c r="H2106" s="14"/>
      <c r="I2106" s="14"/>
      <c r="J2106" s="14"/>
      <c r="K2106" s="14"/>
      <c r="L2106" s="14"/>
      <c r="M2106" s="14"/>
      <c r="N2106" s="14"/>
      <c r="O2106" s="14"/>
      <c r="P2106" s="14"/>
      <c r="Q2106" s="14"/>
      <c r="R2106" s="14"/>
      <c r="S2106" s="14"/>
      <c r="T2106" s="14"/>
      <c r="U2106" s="14"/>
      <c r="V2106" s="14"/>
      <c r="W2106" s="14"/>
      <c r="X2106" s="14"/>
      <c r="Y2106" s="14"/>
    </row>
    <row r="2107" spans="1:25" ht="15.75" x14ac:dyDescent="0.25">
      <c r="A2107" s="21"/>
      <c r="B2107" s="21"/>
      <c r="C2107" s="21"/>
      <c r="E2107" s="21"/>
      <c r="F2107" s="21"/>
      <c r="G2107" s="14"/>
      <c r="H2107" s="14"/>
      <c r="I2107" s="14"/>
      <c r="J2107" s="14"/>
      <c r="K2107" s="14"/>
      <c r="L2107" s="14"/>
      <c r="M2107" s="14"/>
      <c r="N2107" s="14"/>
      <c r="O2107" s="14"/>
      <c r="P2107" s="14"/>
      <c r="Q2107" s="14"/>
      <c r="R2107" s="14"/>
      <c r="S2107" s="14"/>
      <c r="T2107" s="14"/>
      <c r="U2107" s="14"/>
      <c r="V2107" s="14"/>
      <c r="W2107" s="14"/>
      <c r="X2107" s="14"/>
      <c r="Y2107" s="14"/>
    </row>
    <row r="2108" spans="1:25" ht="15.75" x14ac:dyDescent="0.25">
      <c r="A2108" s="21"/>
      <c r="B2108" s="21"/>
      <c r="C2108" s="21"/>
      <c r="E2108" s="21"/>
      <c r="F2108" s="21"/>
      <c r="G2108" s="14"/>
      <c r="H2108" s="14"/>
      <c r="I2108" s="14"/>
      <c r="J2108" s="14"/>
      <c r="K2108" s="14"/>
      <c r="L2108" s="14"/>
      <c r="M2108" s="14"/>
      <c r="N2108" s="14"/>
      <c r="O2108" s="14"/>
      <c r="P2108" s="14"/>
      <c r="Q2108" s="14"/>
      <c r="R2108" s="14"/>
      <c r="S2108" s="14"/>
      <c r="T2108" s="14"/>
      <c r="U2108" s="14"/>
      <c r="V2108" s="14"/>
      <c r="W2108" s="14"/>
      <c r="X2108" s="14"/>
      <c r="Y2108" s="14"/>
    </row>
    <row r="2109" spans="1:25" ht="15.75" x14ac:dyDescent="0.25">
      <c r="A2109" s="21"/>
      <c r="B2109" s="21"/>
      <c r="C2109" s="21"/>
      <c r="E2109" s="21"/>
      <c r="F2109" s="21"/>
      <c r="G2109" s="14"/>
      <c r="H2109" s="14"/>
      <c r="I2109" s="14"/>
      <c r="J2109" s="14"/>
      <c r="K2109" s="14"/>
      <c r="L2109" s="14"/>
      <c r="M2109" s="14"/>
      <c r="N2109" s="14"/>
      <c r="O2109" s="14"/>
      <c r="P2109" s="14"/>
      <c r="Q2109" s="14"/>
      <c r="R2109" s="14"/>
      <c r="S2109" s="14"/>
      <c r="T2109" s="14"/>
      <c r="U2109" s="14"/>
      <c r="V2109" s="14"/>
      <c r="W2109" s="14"/>
      <c r="X2109" s="14"/>
      <c r="Y2109" s="14"/>
    </row>
    <row r="2110" spans="1:25" ht="15.75" x14ac:dyDescent="0.25">
      <c r="A2110" s="21"/>
      <c r="B2110" s="21"/>
      <c r="C2110" s="21"/>
      <c r="E2110" s="21"/>
      <c r="F2110" s="21"/>
      <c r="G2110" s="14"/>
      <c r="H2110" s="14"/>
      <c r="I2110" s="14"/>
      <c r="J2110" s="14"/>
      <c r="K2110" s="14"/>
      <c r="L2110" s="14"/>
      <c r="M2110" s="14"/>
      <c r="N2110" s="14"/>
      <c r="O2110" s="14"/>
      <c r="P2110" s="14"/>
      <c r="Q2110" s="14"/>
      <c r="R2110" s="14"/>
      <c r="S2110" s="14"/>
      <c r="T2110" s="14"/>
      <c r="U2110" s="14"/>
      <c r="V2110" s="14"/>
      <c r="W2110" s="14"/>
      <c r="X2110" s="14"/>
      <c r="Y2110" s="14"/>
    </row>
    <row r="2111" spans="1:25" ht="15.75" x14ac:dyDescent="0.25">
      <c r="A2111" s="21"/>
      <c r="B2111" s="21"/>
      <c r="C2111" s="21"/>
      <c r="E2111" s="21"/>
      <c r="F2111" s="21"/>
      <c r="G2111" s="14"/>
      <c r="H2111" s="14"/>
      <c r="I2111" s="14"/>
      <c r="J2111" s="14"/>
      <c r="K2111" s="14"/>
      <c r="L2111" s="14"/>
      <c r="M2111" s="14"/>
      <c r="N2111" s="14"/>
      <c r="O2111" s="14"/>
      <c r="P2111" s="14"/>
      <c r="Q2111" s="14"/>
      <c r="R2111" s="14"/>
      <c r="S2111" s="14"/>
      <c r="T2111" s="14"/>
      <c r="U2111" s="14"/>
      <c r="V2111" s="14"/>
      <c r="W2111" s="14"/>
      <c r="X2111" s="14"/>
      <c r="Y2111" s="14"/>
    </row>
    <row r="2112" spans="1:25" ht="15.75" x14ac:dyDescent="0.25">
      <c r="A2112" s="21"/>
      <c r="B2112" s="21"/>
      <c r="C2112" s="21"/>
      <c r="E2112" s="21"/>
      <c r="F2112" s="21"/>
      <c r="G2112" s="14"/>
      <c r="H2112" s="14"/>
      <c r="I2112" s="14"/>
      <c r="J2112" s="14"/>
      <c r="K2112" s="14"/>
      <c r="L2112" s="14"/>
      <c r="M2112" s="14"/>
      <c r="N2112" s="14"/>
      <c r="O2112" s="14"/>
      <c r="P2112" s="14"/>
      <c r="Q2112" s="14"/>
      <c r="R2112" s="14"/>
      <c r="S2112" s="14"/>
      <c r="T2112" s="14"/>
      <c r="U2112" s="14"/>
      <c r="V2112" s="14"/>
      <c r="W2112" s="14"/>
      <c r="X2112" s="14"/>
      <c r="Y2112" s="14"/>
    </row>
    <row r="2113" spans="1:25" ht="15.75" x14ac:dyDescent="0.25">
      <c r="A2113" s="21"/>
      <c r="B2113" s="21"/>
      <c r="C2113" s="21"/>
      <c r="E2113" s="21"/>
      <c r="F2113" s="21"/>
      <c r="G2113" s="14"/>
      <c r="H2113" s="14"/>
      <c r="I2113" s="14"/>
      <c r="J2113" s="14"/>
      <c r="K2113" s="14"/>
      <c r="L2113" s="14"/>
      <c r="M2113" s="14"/>
      <c r="N2113" s="14"/>
      <c r="O2113" s="14"/>
      <c r="P2113" s="14"/>
      <c r="Q2113" s="14"/>
      <c r="R2113" s="14"/>
      <c r="S2113" s="14"/>
      <c r="T2113" s="14"/>
      <c r="U2113" s="14"/>
      <c r="V2113" s="14"/>
      <c r="W2113" s="14"/>
      <c r="X2113" s="14"/>
      <c r="Y2113" s="14"/>
    </row>
    <row r="2114" spans="1:25" ht="15.75" x14ac:dyDescent="0.25">
      <c r="A2114" s="21"/>
      <c r="B2114" s="21"/>
      <c r="C2114" s="21"/>
      <c r="E2114" s="21"/>
      <c r="F2114" s="21"/>
      <c r="G2114" s="14"/>
      <c r="H2114" s="14"/>
      <c r="I2114" s="14"/>
      <c r="J2114" s="14"/>
      <c r="K2114" s="14"/>
      <c r="L2114" s="14"/>
      <c r="M2114" s="14"/>
      <c r="N2114" s="14"/>
      <c r="O2114" s="14"/>
      <c r="P2114" s="14"/>
      <c r="Q2114" s="14"/>
      <c r="R2114" s="14"/>
      <c r="S2114" s="14"/>
      <c r="T2114" s="14"/>
      <c r="U2114" s="14"/>
      <c r="V2114" s="14"/>
      <c r="W2114" s="14"/>
      <c r="X2114" s="14"/>
      <c r="Y2114" s="14"/>
    </row>
    <row r="2115" spans="1:25" ht="15.75" x14ac:dyDescent="0.25">
      <c r="A2115" s="21"/>
      <c r="B2115" s="21"/>
      <c r="C2115" s="21"/>
      <c r="E2115" s="21"/>
      <c r="F2115" s="21"/>
      <c r="G2115" s="14"/>
      <c r="H2115" s="14"/>
      <c r="I2115" s="14"/>
      <c r="J2115" s="14"/>
      <c r="K2115" s="14"/>
      <c r="L2115" s="14"/>
      <c r="M2115" s="14"/>
      <c r="N2115" s="14"/>
      <c r="O2115" s="14"/>
      <c r="P2115" s="14"/>
      <c r="Q2115" s="14"/>
      <c r="R2115" s="14"/>
      <c r="S2115" s="14"/>
      <c r="T2115" s="14"/>
      <c r="U2115" s="14"/>
      <c r="V2115" s="14"/>
      <c r="W2115" s="14"/>
      <c r="X2115" s="14"/>
      <c r="Y2115" s="14"/>
    </row>
    <row r="2116" spans="1:25" ht="15.75" x14ac:dyDescent="0.25">
      <c r="A2116" s="21"/>
      <c r="B2116" s="21"/>
      <c r="C2116" s="21"/>
      <c r="E2116" s="21"/>
      <c r="F2116" s="21"/>
      <c r="G2116" s="14"/>
      <c r="H2116" s="14"/>
      <c r="I2116" s="14"/>
      <c r="J2116" s="14"/>
      <c r="K2116" s="14"/>
      <c r="L2116" s="14"/>
      <c r="M2116" s="14"/>
      <c r="N2116" s="14"/>
      <c r="O2116" s="14"/>
      <c r="P2116" s="14"/>
      <c r="Q2116" s="14"/>
      <c r="R2116" s="14"/>
      <c r="S2116" s="14"/>
      <c r="T2116" s="14"/>
      <c r="U2116" s="14"/>
      <c r="V2116" s="14"/>
      <c r="W2116" s="14"/>
      <c r="X2116" s="14"/>
      <c r="Y2116" s="14"/>
    </row>
    <row r="2117" spans="1:25" ht="15.75" x14ac:dyDescent="0.25">
      <c r="A2117" s="21"/>
      <c r="B2117" s="21"/>
      <c r="C2117" s="21"/>
      <c r="E2117" s="21"/>
      <c r="F2117" s="21"/>
      <c r="G2117" s="14"/>
      <c r="H2117" s="14"/>
      <c r="I2117" s="14"/>
      <c r="J2117" s="14"/>
      <c r="K2117" s="14"/>
      <c r="L2117" s="14"/>
      <c r="M2117" s="14"/>
      <c r="N2117" s="14"/>
      <c r="O2117" s="14"/>
      <c r="P2117" s="14"/>
      <c r="Q2117" s="14"/>
      <c r="R2117" s="14"/>
      <c r="S2117" s="14"/>
      <c r="T2117" s="14"/>
      <c r="U2117" s="14"/>
      <c r="V2117" s="14"/>
      <c r="W2117" s="14"/>
      <c r="X2117" s="14"/>
      <c r="Y2117" s="14"/>
    </row>
    <row r="2118" spans="1:25" ht="15.75" x14ac:dyDescent="0.25">
      <c r="A2118" s="21"/>
      <c r="B2118" s="21"/>
      <c r="C2118" s="21"/>
      <c r="E2118" s="21"/>
      <c r="F2118" s="21"/>
      <c r="G2118" s="14"/>
      <c r="H2118" s="14"/>
      <c r="I2118" s="14"/>
      <c r="J2118" s="14"/>
      <c r="K2118" s="14"/>
      <c r="L2118" s="14"/>
      <c r="M2118" s="14"/>
      <c r="N2118" s="14"/>
      <c r="O2118" s="14"/>
      <c r="P2118" s="14"/>
      <c r="Q2118" s="14"/>
      <c r="R2118" s="14"/>
      <c r="S2118" s="14"/>
      <c r="T2118" s="14"/>
      <c r="U2118" s="14"/>
      <c r="V2118" s="14"/>
      <c r="W2118" s="14"/>
      <c r="X2118" s="14"/>
      <c r="Y2118" s="14"/>
    </row>
    <row r="2119" spans="1:25" ht="15.75" x14ac:dyDescent="0.25">
      <c r="A2119" s="21"/>
      <c r="B2119" s="21"/>
      <c r="C2119" s="21"/>
      <c r="E2119" s="21"/>
      <c r="F2119" s="21"/>
      <c r="G2119" s="14"/>
      <c r="H2119" s="14"/>
      <c r="I2119" s="14"/>
      <c r="J2119" s="14"/>
      <c r="K2119" s="14"/>
      <c r="L2119" s="14"/>
      <c r="M2119" s="14"/>
      <c r="N2119" s="14"/>
      <c r="O2119" s="14"/>
      <c r="P2119" s="14"/>
      <c r="Q2119" s="14"/>
      <c r="R2119" s="14"/>
      <c r="S2119" s="14"/>
      <c r="T2119" s="14"/>
      <c r="U2119" s="14"/>
      <c r="V2119" s="14"/>
      <c r="W2119" s="14"/>
      <c r="X2119" s="14"/>
      <c r="Y2119" s="14"/>
    </row>
    <row r="2120" spans="1:25" ht="15.75" x14ac:dyDescent="0.25">
      <c r="A2120" s="21"/>
      <c r="B2120" s="21"/>
      <c r="C2120" s="21"/>
      <c r="E2120" s="21"/>
      <c r="F2120" s="21"/>
      <c r="G2120" s="14"/>
      <c r="H2120" s="14"/>
      <c r="I2120" s="14"/>
      <c r="J2120" s="14"/>
      <c r="K2120" s="14"/>
      <c r="L2120" s="14"/>
      <c r="M2120" s="14"/>
      <c r="N2120" s="14"/>
      <c r="O2120" s="14"/>
      <c r="P2120" s="14"/>
      <c r="Q2120" s="14"/>
      <c r="R2120" s="14"/>
      <c r="S2120" s="14"/>
      <c r="T2120" s="14"/>
      <c r="U2120" s="14"/>
      <c r="V2120" s="14"/>
      <c r="W2120" s="14"/>
      <c r="X2120" s="14"/>
      <c r="Y2120" s="14"/>
    </row>
    <row r="2121" spans="1:25" ht="15.75" x14ac:dyDescent="0.25">
      <c r="A2121" s="21"/>
      <c r="B2121" s="21"/>
      <c r="C2121" s="21"/>
      <c r="E2121" s="21"/>
      <c r="F2121" s="21"/>
      <c r="G2121" s="14"/>
      <c r="H2121" s="14"/>
      <c r="I2121" s="14"/>
      <c r="J2121" s="14"/>
      <c r="K2121" s="14"/>
      <c r="L2121" s="14"/>
      <c r="M2121" s="14"/>
      <c r="N2121" s="14"/>
      <c r="O2121" s="14"/>
      <c r="P2121" s="14"/>
      <c r="Q2121" s="14"/>
      <c r="R2121" s="14"/>
      <c r="S2121" s="14"/>
      <c r="T2121" s="14"/>
      <c r="U2121" s="14"/>
      <c r="V2121" s="14"/>
      <c r="W2121" s="14"/>
      <c r="X2121" s="14"/>
      <c r="Y2121" s="14"/>
    </row>
    <row r="2122" spans="1:25" ht="15.75" x14ac:dyDescent="0.25">
      <c r="A2122" s="21"/>
      <c r="B2122" s="21"/>
      <c r="C2122" s="21"/>
      <c r="E2122" s="21"/>
      <c r="F2122" s="21"/>
      <c r="G2122" s="14"/>
      <c r="H2122" s="14"/>
      <c r="I2122" s="14"/>
      <c r="J2122" s="14"/>
      <c r="K2122" s="14"/>
      <c r="L2122" s="14"/>
      <c r="M2122" s="14"/>
      <c r="N2122" s="14"/>
      <c r="O2122" s="14"/>
      <c r="P2122" s="14"/>
      <c r="Q2122" s="14"/>
      <c r="R2122" s="14"/>
      <c r="S2122" s="14"/>
      <c r="T2122" s="14"/>
      <c r="U2122" s="14"/>
      <c r="V2122" s="14"/>
      <c r="W2122" s="14"/>
      <c r="X2122" s="14"/>
      <c r="Y2122" s="14"/>
    </row>
    <row r="2123" spans="1:25" ht="15.75" x14ac:dyDescent="0.25">
      <c r="A2123" s="21"/>
      <c r="B2123" s="21"/>
      <c r="C2123" s="21"/>
      <c r="E2123" s="21"/>
      <c r="F2123" s="21"/>
      <c r="G2123" s="14"/>
      <c r="H2123" s="14"/>
      <c r="I2123" s="14"/>
      <c r="J2123" s="14"/>
      <c r="K2123" s="14"/>
      <c r="L2123" s="14"/>
      <c r="M2123" s="14"/>
      <c r="N2123" s="14"/>
      <c r="O2123" s="14"/>
      <c r="P2123" s="14"/>
      <c r="Q2123" s="14"/>
      <c r="R2123" s="14"/>
      <c r="S2123" s="14"/>
      <c r="T2123" s="14"/>
      <c r="U2123" s="14"/>
      <c r="V2123" s="14"/>
      <c r="W2123" s="14"/>
      <c r="X2123" s="14"/>
      <c r="Y2123" s="14"/>
    </row>
    <row r="2124" spans="1:25" ht="15.75" x14ac:dyDescent="0.25">
      <c r="A2124" s="21"/>
      <c r="B2124" s="21"/>
      <c r="C2124" s="21"/>
      <c r="E2124" s="21"/>
      <c r="F2124" s="21"/>
      <c r="G2124" s="14"/>
      <c r="H2124" s="14"/>
      <c r="I2124" s="14"/>
      <c r="J2124" s="14"/>
      <c r="K2124" s="14"/>
      <c r="L2124" s="14"/>
      <c r="M2124" s="14"/>
      <c r="N2124" s="14"/>
      <c r="O2124" s="14"/>
      <c r="P2124" s="14"/>
      <c r="Q2124" s="14"/>
      <c r="R2124" s="14"/>
      <c r="S2124" s="14"/>
      <c r="T2124" s="14"/>
      <c r="U2124" s="14"/>
      <c r="V2124" s="14"/>
      <c r="W2124" s="14"/>
      <c r="X2124" s="14"/>
      <c r="Y2124" s="14"/>
    </row>
    <row r="2125" spans="1:25" ht="15.75" x14ac:dyDescent="0.25">
      <c r="A2125" s="21"/>
      <c r="B2125" s="21"/>
      <c r="C2125" s="21"/>
      <c r="E2125" s="21"/>
      <c r="F2125" s="21"/>
      <c r="G2125" s="14"/>
      <c r="H2125" s="14"/>
      <c r="I2125" s="14"/>
      <c r="J2125" s="14"/>
      <c r="K2125" s="14"/>
      <c r="L2125" s="14"/>
      <c r="M2125" s="14"/>
      <c r="N2125" s="14"/>
      <c r="O2125" s="14"/>
      <c r="P2125" s="14"/>
      <c r="Q2125" s="14"/>
      <c r="R2125" s="14"/>
      <c r="S2125" s="14"/>
      <c r="T2125" s="14"/>
      <c r="U2125" s="14"/>
      <c r="V2125" s="14"/>
      <c r="W2125" s="14"/>
      <c r="X2125" s="14"/>
      <c r="Y2125" s="14"/>
    </row>
    <row r="2126" spans="1:25" ht="15.75" x14ac:dyDescent="0.25">
      <c r="A2126" s="21"/>
      <c r="B2126" s="21"/>
      <c r="C2126" s="21"/>
      <c r="E2126" s="21"/>
      <c r="F2126" s="21"/>
      <c r="G2126" s="14"/>
      <c r="H2126" s="14"/>
      <c r="I2126" s="14"/>
      <c r="J2126" s="14"/>
      <c r="K2126" s="14"/>
      <c r="L2126" s="14"/>
      <c r="M2126" s="14"/>
      <c r="N2126" s="14"/>
      <c r="O2126" s="14"/>
      <c r="P2126" s="14"/>
      <c r="Q2126" s="14"/>
      <c r="R2126" s="14"/>
      <c r="S2126" s="14"/>
      <c r="T2126" s="14"/>
      <c r="U2126" s="14"/>
      <c r="V2126" s="14"/>
      <c r="W2126" s="14"/>
      <c r="X2126" s="14"/>
      <c r="Y2126" s="14"/>
    </row>
    <row r="2127" spans="1:25" ht="15.75" x14ac:dyDescent="0.25">
      <c r="A2127" s="21"/>
      <c r="B2127" s="21"/>
      <c r="C2127" s="21"/>
      <c r="E2127" s="21"/>
      <c r="F2127" s="21"/>
      <c r="G2127" s="14"/>
      <c r="H2127" s="14"/>
      <c r="I2127" s="14"/>
      <c r="J2127" s="14"/>
      <c r="K2127" s="14"/>
      <c r="L2127" s="14"/>
      <c r="M2127" s="14"/>
      <c r="N2127" s="14"/>
      <c r="O2127" s="14"/>
      <c r="P2127" s="14"/>
      <c r="Q2127" s="14"/>
      <c r="R2127" s="14"/>
      <c r="S2127" s="14"/>
      <c r="T2127" s="14"/>
      <c r="U2127" s="14"/>
      <c r="V2127" s="14"/>
      <c r="W2127" s="14"/>
      <c r="X2127" s="14"/>
      <c r="Y2127" s="14"/>
    </row>
    <row r="2128" spans="1:25" ht="15.75" x14ac:dyDescent="0.25">
      <c r="A2128" s="21"/>
      <c r="B2128" s="21"/>
      <c r="C2128" s="21"/>
      <c r="E2128" s="21"/>
      <c r="F2128" s="21"/>
      <c r="G2128" s="14"/>
      <c r="H2128" s="14"/>
      <c r="I2128" s="14"/>
      <c r="J2128" s="14"/>
      <c r="K2128" s="14"/>
      <c r="L2128" s="14"/>
      <c r="M2128" s="14"/>
      <c r="N2128" s="14"/>
      <c r="O2128" s="14"/>
      <c r="P2128" s="14"/>
      <c r="Q2128" s="14"/>
      <c r="R2128" s="14"/>
      <c r="S2128" s="14"/>
      <c r="T2128" s="14"/>
      <c r="U2128" s="14"/>
      <c r="V2128" s="14"/>
      <c r="W2128" s="14"/>
      <c r="X2128" s="14"/>
      <c r="Y2128" s="14"/>
    </row>
    <row r="2129" spans="1:25" ht="15.75" x14ac:dyDescent="0.25">
      <c r="A2129" s="21"/>
      <c r="B2129" s="21"/>
      <c r="C2129" s="21"/>
      <c r="E2129" s="21"/>
      <c r="F2129" s="21"/>
      <c r="G2129" s="14"/>
      <c r="H2129" s="14"/>
      <c r="I2129" s="14"/>
      <c r="J2129" s="14"/>
      <c r="K2129" s="14"/>
      <c r="L2129" s="14"/>
      <c r="M2129" s="14"/>
      <c r="N2129" s="14"/>
      <c r="O2129" s="14"/>
      <c r="P2129" s="14"/>
      <c r="Q2129" s="14"/>
      <c r="R2129" s="14"/>
      <c r="S2129" s="14"/>
      <c r="T2129" s="14"/>
      <c r="U2129" s="14"/>
      <c r="V2129" s="14"/>
      <c r="W2129" s="14"/>
      <c r="X2129" s="14"/>
      <c r="Y2129" s="14"/>
    </row>
    <row r="2130" spans="1:25" ht="15.75" x14ac:dyDescent="0.25">
      <c r="A2130" s="21"/>
      <c r="B2130" s="21"/>
      <c r="C2130" s="21"/>
      <c r="E2130" s="21"/>
      <c r="F2130" s="21"/>
      <c r="G2130" s="14"/>
      <c r="H2130" s="14"/>
      <c r="I2130" s="14"/>
      <c r="J2130" s="14"/>
      <c r="K2130" s="14"/>
      <c r="L2130" s="14"/>
      <c r="M2130" s="14"/>
      <c r="N2130" s="14"/>
      <c r="O2130" s="14"/>
      <c r="P2130" s="14"/>
      <c r="Q2130" s="14"/>
      <c r="R2130" s="14"/>
      <c r="S2130" s="14"/>
      <c r="T2130" s="14"/>
      <c r="U2130" s="14"/>
      <c r="V2130" s="14"/>
      <c r="W2130" s="14"/>
      <c r="X2130" s="14"/>
      <c r="Y2130" s="14"/>
    </row>
    <row r="2131" spans="1:25" ht="15.75" x14ac:dyDescent="0.25">
      <c r="A2131" s="21"/>
      <c r="B2131" s="21"/>
      <c r="C2131" s="21"/>
      <c r="E2131" s="21"/>
      <c r="F2131" s="21"/>
      <c r="G2131" s="14"/>
      <c r="H2131" s="14"/>
      <c r="I2131" s="14"/>
      <c r="J2131" s="14"/>
      <c r="K2131" s="14"/>
      <c r="L2131" s="14"/>
      <c r="M2131" s="14"/>
      <c r="N2131" s="14"/>
      <c r="O2131" s="14"/>
      <c r="P2131" s="14"/>
      <c r="Q2131" s="14"/>
      <c r="R2131" s="14"/>
      <c r="S2131" s="14"/>
      <c r="T2131" s="14"/>
      <c r="U2131" s="14"/>
      <c r="V2131" s="14"/>
      <c r="W2131" s="14"/>
      <c r="X2131" s="14"/>
      <c r="Y2131" s="14"/>
    </row>
    <row r="2132" spans="1:25" ht="15.75" x14ac:dyDescent="0.25">
      <c r="A2132" s="21"/>
      <c r="B2132" s="21"/>
      <c r="C2132" s="21"/>
      <c r="E2132" s="21"/>
      <c r="F2132" s="21"/>
      <c r="G2132" s="14"/>
      <c r="H2132" s="14"/>
      <c r="I2132" s="14"/>
      <c r="J2132" s="14"/>
      <c r="K2132" s="14"/>
      <c r="L2132" s="14"/>
      <c r="M2132" s="14"/>
      <c r="N2132" s="14"/>
      <c r="O2132" s="14"/>
      <c r="P2132" s="14"/>
      <c r="Q2132" s="14"/>
      <c r="R2132" s="14"/>
      <c r="S2132" s="14"/>
      <c r="T2132" s="14"/>
      <c r="U2132" s="14"/>
      <c r="V2132" s="14"/>
      <c r="W2132" s="14"/>
      <c r="X2132" s="14"/>
      <c r="Y2132" s="14"/>
    </row>
    <row r="2133" spans="1:25" ht="15.75" x14ac:dyDescent="0.25">
      <c r="A2133" s="21"/>
      <c r="B2133" s="21"/>
      <c r="C2133" s="21"/>
      <c r="E2133" s="21"/>
      <c r="F2133" s="21"/>
      <c r="G2133" s="14"/>
      <c r="H2133" s="14"/>
      <c r="I2133" s="14"/>
      <c r="J2133" s="14"/>
      <c r="K2133" s="14"/>
      <c r="L2133" s="14"/>
      <c r="M2133" s="14"/>
      <c r="N2133" s="14"/>
      <c r="O2133" s="14"/>
      <c r="P2133" s="14"/>
      <c r="Q2133" s="14"/>
      <c r="R2133" s="14"/>
      <c r="S2133" s="14"/>
      <c r="T2133" s="14"/>
      <c r="U2133" s="14"/>
      <c r="V2133" s="14"/>
      <c r="W2133" s="14"/>
      <c r="X2133" s="14"/>
      <c r="Y2133" s="14"/>
    </row>
    <row r="2134" spans="1:25" ht="15.75" x14ac:dyDescent="0.25">
      <c r="A2134" s="21"/>
      <c r="B2134" s="21"/>
      <c r="C2134" s="21"/>
      <c r="E2134" s="21"/>
      <c r="F2134" s="21"/>
      <c r="G2134" s="14"/>
      <c r="H2134" s="14"/>
      <c r="I2134" s="14"/>
      <c r="J2134" s="14"/>
      <c r="K2134" s="14"/>
      <c r="L2134" s="14"/>
      <c r="M2134" s="14"/>
      <c r="N2134" s="14"/>
      <c r="O2134" s="14"/>
      <c r="P2134" s="14"/>
      <c r="Q2134" s="14"/>
      <c r="R2134" s="14"/>
      <c r="S2134" s="14"/>
      <c r="T2134" s="14"/>
      <c r="U2134" s="14"/>
      <c r="V2134" s="14"/>
      <c r="W2134" s="14"/>
      <c r="X2134" s="14"/>
      <c r="Y2134" s="14"/>
    </row>
    <row r="2135" spans="1:25" ht="15.75" x14ac:dyDescent="0.25">
      <c r="A2135" s="21"/>
      <c r="B2135" s="21"/>
      <c r="C2135" s="21"/>
      <c r="E2135" s="21"/>
      <c r="F2135" s="21"/>
      <c r="G2135" s="14"/>
      <c r="H2135" s="14"/>
      <c r="I2135" s="14"/>
      <c r="J2135" s="14"/>
      <c r="K2135" s="14"/>
      <c r="L2135" s="14"/>
      <c r="M2135" s="14"/>
      <c r="N2135" s="14"/>
      <c r="O2135" s="14"/>
      <c r="P2135" s="14"/>
      <c r="Q2135" s="14"/>
      <c r="R2135" s="14"/>
      <c r="S2135" s="14"/>
      <c r="T2135" s="14"/>
      <c r="U2135" s="14"/>
      <c r="V2135" s="14"/>
      <c r="W2135" s="14"/>
      <c r="X2135" s="14"/>
      <c r="Y2135" s="14"/>
    </row>
    <row r="2136" spans="1:25" ht="15.75" x14ac:dyDescent="0.25">
      <c r="A2136" s="21"/>
      <c r="B2136" s="21"/>
      <c r="C2136" s="21"/>
      <c r="E2136" s="21"/>
      <c r="F2136" s="21"/>
      <c r="G2136" s="14"/>
      <c r="H2136" s="14"/>
      <c r="I2136" s="14"/>
      <c r="J2136" s="14"/>
      <c r="K2136" s="14"/>
      <c r="L2136" s="14"/>
      <c r="M2136" s="14"/>
      <c r="N2136" s="14"/>
      <c r="O2136" s="14"/>
      <c r="P2136" s="14"/>
      <c r="Q2136" s="14"/>
      <c r="R2136" s="14"/>
      <c r="S2136" s="14"/>
      <c r="T2136" s="14"/>
      <c r="U2136" s="14"/>
      <c r="V2136" s="14"/>
      <c r="W2136" s="14"/>
      <c r="X2136" s="14"/>
      <c r="Y2136" s="14"/>
    </row>
    <row r="2137" spans="1:25" ht="15.75" x14ac:dyDescent="0.25">
      <c r="A2137" s="21"/>
      <c r="B2137" s="21"/>
      <c r="C2137" s="21"/>
      <c r="E2137" s="21"/>
      <c r="F2137" s="21"/>
      <c r="G2137" s="14"/>
      <c r="H2137" s="14"/>
      <c r="I2137" s="14"/>
      <c r="J2137" s="14"/>
      <c r="K2137" s="14"/>
      <c r="L2137" s="14"/>
      <c r="M2137" s="14"/>
      <c r="N2137" s="14"/>
      <c r="O2137" s="14"/>
      <c r="P2137" s="14"/>
      <c r="Q2137" s="14"/>
      <c r="R2137" s="14"/>
      <c r="S2137" s="14"/>
      <c r="T2137" s="14"/>
      <c r="U2137" s="14"/>
      <c r="V2137" s="14"/>
      <c r="W2137" s="14"/>
      <c r="X2137" s="14"/>
      <c r="Y2137" s="14"/>
    </row>
    <row r="2138" spans="1:25" ht="15.75" x14ac:dyDescent="0.25">
      <c r="A2138" s="21"/>
      <c r="B2138" s="21"/>
      <c r="C2138" s="21"/>
      <c r="E2138" s="21"/>
      <c r="F2138" s="21"/>
      <c r="G2138" s="14"/>
      <c r="H2138" s="14"/>
      <c r="I2138" s="14"/>
      <c r="J2138" s="14"/>
      <c r="K2138" s="14"/>
      <c r="L2138" s="14"/>
      <c r="M2138" s="14"/>
      <c r="N2138" s="14"/>
      <c r="O2138" s="14"/>
      <c r="P2138" s="14"/>
      <c r="Q2138" s="14"/>
      <c r="R2138" s="14"/>
      <c r="S2138" s="14"/>
      <c r="T2138" s="14"/>
      <c r="U2138" s="14"/>
      <c r="V2138" s="14"/>
      <c r="W2138" s="14"/>
      <c r="X2138" s="14"/>
      <c r="Y2138" s="14"/>
    </row>
    <row r="2139" spans="1:25" ht="15.75" x14ac:dyDescent="0.25">
      <c r="A2139" s="21"/>
      <c r="B2139" s="21"/>
      <c r="C2139" s="21"/>
      <c r="E2139" s="21"/>
      <c r="F2139" s="21"/>
      <c r="G2139" s="14"/>
      <c r="H2139" s="14"/>
      <c r="I2139" s="14"/>
      <c r="J2139" s="14"/>
      <c r="K2139" s="14"/>
      <c r="L2139" s="14"/>
      <c r="M2139" s="14"/>
      <c r="N2139" s="14"/>
      <c r="O2139" s="14"/>
      <c r="P2139" s="14"/>
      <c r="Q2139" s="14"/>
      <c r="R2139" s="14"/>
      <c r="S2139" s="14"/>
      <c r="T2139" s="14"/>
      <c r="U2139" s="14"/>
      <c r="V2139" s="14"/>
      <c r="W2139" s="14"/>
      <c r="X2139" s="14"/>
      <c r="Y2139" s="14"/>
    </row>
    <row r="2140" spans="1:25" ht="15.75" x14ac:dyDescent="0.25">
      <c r="A2140" s="21"/>
      <c r="B2140" s="21"/>
      <c r="C2140" s="21"/>
      <c r="E2140" s="21"/>
      <c r="F2140" s="21"/>
      <c r="G2140" s="14"/>
      <c r="H2140" s="14"/>
      <c r="I2140" s="14"/>
      <c r="J2140" s="14"/>
      <c r="K2140" s="14"/>
      <c r="L2140" s="14"/>
      <c r="M2140" s="14"/>
      <c r="N2140" s="14"/>
      <c r="O2140" s="14"/>
      <c r="P2140" s="14"/>
      <c r="Q2140" s="14"/>
      <c r="R2140" s="14"/>
      <c r="S2140" s="14"/>
      <c r="T2140" s="14"/>
      <c r="U2140" s="14"/>
      <c r="V2140" s="14"/>
      <c r="W2140" s="14"/>
      <c r="X2140" s="14"/>
      <c r="Y2140" s="14"/>
    </row>
    <row r="2141" spans="1:25" ht="15.75" x14ac:dyDescent="0.25">
      <c r="A2141" s="21"/>
      <c r="B2141" s="21"/>
      <c r="C2141" s="21"/>
      <c r="E2141" s="21"/>
      <c r="F2141" s="21"/>
      <c r="G2141" s="14"/>
      <c r="H2141" s="14"/>
      <c r="I2141" s="14"/>
      <c r="J2141" s="14"/>
      <c r="K2141" s="14"/>
      <c r="L2141" s="14"/>
      <c r="M2141" s="14"/>
      <c r="N2141" s="14"/>
      <c r="O2141" s="14"/>
      <c r="P2141" s="14"/>
      <c r="Q2141" s="14"/>
      <c r="R2141" s="14"/>
      <c r="S2141" s="14"/>
      <c r="T2141" s="14"/>
      <c r="U2141" s="14"/>
      <c r="V2141" s="14"/>
      <c r="W2141" s="14"/>
      <c r="X2141" s="14"/>
      <c r="Y2141" s="14"/>
    </row>
    <row r="2142" spans="1:25" ht="15.75" x14ac:dyDescent="0.25">
      <c r="A2142" s="21"/>
      <c r="B2142" s="21"/>
      <c r="C2142" s="21"/>
      <c r="E2142" s="21"/>
      <c r="F2142" s="21"/>
      <c r="G2142" s="14"/>
      <c r="H2142" s="14"/>
      <c r="I2142" s="14"/>
      <c r="J2142" s="14"/>
      <c r="K2142" s="14"/>
      <c r="L2142" s="14"/>
      <c r="M2142" s="14"/>
      <c r="N2142" s="14"/>
      <c r="O2142" s="14"/>
      <c r="P2142" s="14"/>
      <c r="Q2142" s="14"/>
      <c r="R2142" s="14"/>
      <c r="S2142" s="14"/>
      <c r="T2142" s="14"/>
      <c r="U2142" s="14"/>
      <c r="V2142" s="14"/>
      <c r="W2142" s="14"/>
      <c r="X2142" s="14"/>
      <c r="Y2142" s="14"/>
    </row>
    <row r="2143" spans="1:25" ht="15.75" x14ac:dyDescent="0.25">
      <c r="A2143" s="21"/>
      <c r="B2143" s="21"/>
      <c r="C2143" s="21"/>
      <c r="E2143" s="21"/>
      <c r="F2143" s="21"/>
      <c r="G2143" s="14"/>
      <c r="H2143" s="14"/>
      <c r="I2143" s="14"/>
      <c r="J2143" s="14"/>
      <c r="K2143" s="14"/>
      <c r="L2143" s="14"/>
      <c r="M2143" s="14"/>
      <c r="N2143" s="14"/>
      <c r="O2143" s="14"/>
      <c r="P2143" s="14"/>
      <c r="Q2143" s="14"/>
      <c r="R2143" s="14"/>
      <c r="S2143" s="14"/>
      <c r="T2143" s="14"/>
      <c r="U2143" s="14"/>
      <c r="V2143" s="14"/>
      <c r="W2143" s="14"/>
      <c r="X2143" s="14"/>
      <c r="Y2143" s="14"/>
    </row>
    <row r="2144" spans="1:25" ht="15.75" x14ac:dyDescent="0.25">
      <c r="A2144" s="21"/>
      <c r="B2144" s="21"/>
      <c r="C2144" s="21"/>
      <c r="E2144" s="21"/>
      <c r="F2144" s="21"/>
      <c r="G2144" s="14"/>
      <c r="H2144" s="14"/>
      <c r="I2144" s="14"/>
      <c r="J2144" s="14"/>
      <c r="K2144" s="14"/>
      <c r="L2144" s="14"/>
      <c r="M2144" s="14"/>
      <c r="N2144" s="14"/>
      <c r="O2144" s="14"/>
      <c r="P2144" s="14"/>
      <c r="Q2144" s="14"/>
      <c r="R2144" s="14"/>
      <c r="S2144" s="14"/>
      <c r="T2144" s="14"/>
      <c r="U2144" s="14"/>
      <c r="V2144" s="14"/>
      <c r="W2144" s="14"/>
      <c r="X2144" s="14"/>
      <c r="Y2144" s="14"/>
    </row>
    <row r="2145" spans="1:25" ht="15.75" x14ac:dyDescent="0.25">
      <c r="A2145" s="21"/>
      <c r="B2145" s="21"/>
      <c r="C2145" s="21"/>
      <c r="E2145" s="21"/>
      <c r="F2145" s="21"/>
      <c r="G2145" s="14"/>
      <c r="H2145" s="14"/>
      <c r="I2145" s="14"/>
      <c r="J2145" s="14"/>
      <c r="K2145" s="14"/>
      <c r="L2145" s="14"/>
      <c r="M2145" s="14"/>
      <c r="N2145" s="14"/>
      <c r="O2145" s="14"/>
      <c r="P2145" s="14"/>
      <c r="Q2145" s="14"/>
      <c r="R2145" s="14"/>
      <c r="S2145" s="14"/>
      <c r="T2145" s="14"/>
      <c r="U2145" s="14"/>
      <c r="V2145" s="14"/>
      <c r="W2145" s="14"/>
      <c r="X2145" s="14"/>
      <c r="Y2145" s="14"/>
    </row>
    <row r="2146" spans="1:25" ht="15.75" x14ac:dyDescent="0.25">
      <c r="A2146" s="21"/>
      <c r="B2146" s="21"/>
      <c r="C2146" s="21"/>
      <c r="E2146" s="21"/>
      <c r="F2146" s="21"/>
      <c r="G2146" s="14"/>
      <c r="H2146" s="14"/>
      <c r="I2146" s="14"/>
      <c r="J2146" s="14"/>
      <c r="K2146" s="14"/>
      <c r="L2146" s="14"/>
      <c r="M2146" s="14"/>
      <c r="N2146" s="14"/>
      <c r="O2146" s="14"/>
      <c r="P2146" s="14"/>
      <c r="Q2146" s="14"/>
      <c r="R2146" s="14"/>
      <c r="S2146" s="14"/>
      <c r="T2146" s="14"/>
      <c r="U2146" s="14"/>
      <c r="V2146" s="14"/>
      <c r="W2146" s="14"/>
      <c r="X2146" s="14"/>
      <c r="Y2146" s="14"/>
    </row>
    <row r="2147" spans="1:25" ht="15.75" x14ac:dyDescent="0.25">
      <c r="A2147" s="21"/>
      <c r="B2147" s="21"/>
      <c r="C2147" s="21"/>
      <c r="E2147" s="21"/>
      <c r="F2147" s="21"/>
      <c r="G2147" s="14"/>
      <c r="H2147" s="14"/>
      <c r="I2147" s="14"/>
      <c r="J2147" s="14"/>
      <c r="K2147" s="14"/>
      <c r="L2147" s="14"/>
      <c r="M2147" s="14"/>
      <c r="N2147" s="14"/>
      <c r="O2147" s="14"/>
      <c r="P2147" s="14"/>
      <c r="Q2147" s="14"/>
      <c r="R2147" s="14"/>
      <c r="S2147" s="14"/>
      <c r="T2147" s="14"/>
      <c r="U2147" s="14"/>
      <c r="V2147" s="14"/>
      <c r="W2147" s="14"/>
      <c r="X2147" s="14"/>
      <c r="Y2147" s="14"/>
    </row>
    <row r="2148" spans="1:25" ht="15.75" x14ac:dyDescent="0.25">
      <c r="A2148" s="21"/>
      <c r="B2148" s="21"/>
      <c r="C2148" s="21"/>
      <c r="E2148" s="21"/>
      <c r="F2148" s="21"/>
      <c r="G2148" s="14"/>
      <c r="H2148" s="14"/>
      <c r="I2148" s="14"/>
      <c r="J2148" s="14"/>
      <c r="K2148" s="14"/>
      <c r="L2148" s="14"/>
      <c r="M2148" s="14"/>
      <c r="N2148" s="14"/>
      <c r="O2148" s="14"/>
      <c r="P2148" s="14"/>
      <c r="Q2148" s="14"/>
      <c r="R2148" s="14"/>
      <c r="S2148" s="14"/>
      <c r="T2148" s="14"/>
      <c r="U2148" s="14"/>
      <c r="V2148" s="14"/>
      <c r="W2148" s="14"/>
      <c r="X2148" s="14"/>
      <c r="Y2148" s="14"/>
    </row>
    <row r="2149" spans="1:25" ht="15.75" x14ac:dyDescent="0.25">
      <c r="A2149" s="21"/>
      <c r="B2149" s="21"/>
      <c r="C2149" s="21"/>
      <c r="E2149" s="21"/>
      <c r="F2149" s="21"/>
      <c r="G2149" s="14"/>
      <c r="H2149" s="14"/>
      <c r="I2149" s="14"/>
      <c r="J2149" s="14"/>
      <c r="K2149" s="14"/>
      <c r="L2149" s="14"/>
      <c r="M2149" s="14"/>
      <c r="N2149" s="14"/>
      <c r="O2149" s="14"/>
      <c r="P2149" s="14"/>
      <c r="Q2149" s="14"/>
      <c r="R2149" s="14"/>
      <c r="S2149" s="14"/>
      <c r="T2149" s="14"/>
      <c r="U2149" s="14"/>
      <c r="V2149" s="14"/>
      <c r="W2149" s="14"/>
      <c r="X2149" s="14"/>
      <c r="Y2149" s="14"/>
    </row>
    <row r="2150" spans="1:25" ht="15.75" x14ac:dyDescent="0.25">
      <c r="A2150" s="21"/>
      <c r="B2150" s="21"/>
      <c r="C2150" s="21"/>
      <c r="E2150" s="21"/>
      <c r="F2150" s="21"/>
      <c r="G2150" s="14"/>
      <c r="H2150" s="14"/>
      <c r="I2150" s="14"/>
      <c r="J2150" s="14"/>
      <c r="K2150" s="14"/>
      <c r="L2150" s="14"/>
      <c r="M2150" s="14"/>
      <c r="N2150" s="14"/>
      <c r="O2150" s="14"/>
      <c r="P2150" s="14"/>
      <c r="Q2150" s="14"/>
      <c r="R2150" s="14"/>
      <c r="S2150" s="14"/>
      <c r="T2150" s="14"/>
      <c r="U2150" s="14"/>
      <c r="V2150" s="14"/>
      <c r="W2150" s="14"/>
      <c r="X2150" s="14"/>
      <c r="Y2150" s="14"/>
    </row>
    <row r="2151" spans="1:25" ht="15.75" x14ac:dyDescent="0.25">
      <c r="A2151" s="21"/>
      <c r="B2151" s="21"/>
      <c r="C2151" s="21"/>
      <c r="E2151" s="21"/>
      <c r="F2151" s="21"/>
      <c r="G2151" s="14"/>
      <c r="H2151" s="14"/>
      <c r="I2151" s="14"/>
      <c r="J2151" s="14"/>
      <c r="K2151" s="14"/>
      <c r="L2151" s="14"/>
      <c r="M2151" s="14"/>
      <c r="N2151" s="14"/>
      <c r="O2151" s="14"/>
      <c r="P2151" s="14"/>
      <c r="Q2151" s="14"/>
      <c r="R2151" s="14"/>
      <c r="S2151" s="14"/>
      <c r="T2151" s="14"/>
      <c r="U2151" s="14"/>
      <c r="V2151" s="14"/>
      <c r="W2151" s="14"/>
      <c r="X2151" s="14"/>
      <c r="Y2151" s="14"/>
    </row>
    <row r="2152" spans="1:25" ht="15.75" x14ac:dyDescent="0.25">
      <c r="A2152" s="21"/>
      <c r="B2152" s="21"/>
      <c r="C2152" s="21"/>
      <c r="E2152" s="21"/>
      <c r="F2152" s="21"/>
      <c r="G2152" s="14"/>
      <c r="H2152" s="14"/>
      <c r="I2152" s="14"/>
      <c r="J2152" s="14"/>
      <c r="K2152" s="14"/>
      <c r="L2152" s="14"/>
      <c r="M2152" s="14"/>
      <c r="N2152" s="14"/>
      <c r="O2152" s="14"/>
      <c r="P2152" s="14"/>
      <c r="Q2152" s="14"/>
      <c r="R2152" s="14"/>
      <c r="S2152" s="14"/>
      <c r="T2152" s="14"/>
      <c r="U2152" s="14"/>
      <c r="V2152" s="14"/>
      <c r="W2152" s="14"/>
      <c r="X2152" s="14"/>
      <c r="Y2152" s="14"/>
    </row>
    <row r="2153" spans="1:25" ht="15.75" x14ac:dyDescent="0.25">
      <c r="A2153" s="21"/>
      <c r="B2153" s="21"/>
      <c r="C2153" s="21"/>
      <c r="E2153" s="21"/>
      <c r="F2153" s="21"/>
      <c r="G2153" s="14"/>
      <c r="H2153" s="14"/>
      <c r="I2153" s="14"/>
      <c r="J2153" s="14"/>
      <c r="K2153" s="14"/>
      <c r="L2153" s="14"/>
      <c r="M2153" s="14"/>
      <c r="N2153" s="14"/>
      <c r="O2153" s="14"/>
      <c r="P2153" s="14"/>
      <c r="Q2153" s="14"/>
      <c r="R2153" s="14"/>
      <c r="S2153" s="14"/>
      <c r="T2153" s="14"/>
      <c r="U2153" s="14"/>
      <c r="V2153" s="14"/>
      <c r="W2153" s="14"/>
      <c r="X2153" s="14"/>
      <c r="Y2153" s="14"/>
    </row>
    <row r="2154" spans="1:25" ht="15.75" x14ac:dyDescent="0.25">
      <c r="A2154" s="21"/>
      <c r="B2154" s="21"/>
      <c r="C2154" s="21"/>
      <c r="E2154" s="21"/>
      <c r="F2154" s="21"/>
      <c r="G2154" s="14"/>
      <c r="H2154" s="14"/>
      <c r="I2154" s="14"/>
      <c r="J2154" s="14"/>
      <c r="K2154" s="14"/>
      <c r="L2154" s="14"/>
      <c r="M2154" s="14"/>
      <c r="N2154" s="14"/>
      <c r="O2154" s="14"/>
      <c r="P2154" s="14"/>
      <c r="Q2154" s="14"/>
      <c r="R2154" s="14"/>
      <c r="S2154" s="14"/>
      <c r="T2154" s="14"/>
      <c r="U2154" s="14"/>
      <c r="V2154" s="14"/>
      <c r="W2154" s="14"/>
      <c r="X2154" s="14"/>
      <c r="Y2154" s="14"/>
    </row>
    <row r="2155" spans="1:25" ht="15.75" x14ac:dyDescent="0.25">
      <c r="A2155" s="21"/>
      <c r="B2155" s="21"/>
      <c r="C2155" s="21"/>
      <c r="E2155" s="21"/>
      <c r="F2155" s="21"/>
      <c r="G2155" s="14"/>
      <c r="H2155" s="14"/>
      <c r="I2155" s="14"/>
      <c r="J2155" s="14"/>
      <c r="K2155" s="14"/>
      <c r="L2155" s="14"/>
      <c r="M2155" s="14"/>
      <c r="N2155" s="14"/>
      <c r="O2155" s="14"/>
      <c r="P2155" s="14"/>
      <c r="Q2155" s="14"/>
      <c r="R2155" s="14"/>
      <c r="S2155" s="14"/>
      <c r="T2155" s="14"/>
      <c r="U2155" s="14"/>
      <c r="V2155" s="14"/>
      <c r="W2155" s="14"/>
      <c r="X2155" s="14"/>
      <c r="Y2155" s="14"/>
    </row>
    <row r="2156" spans="1:25" ht="15.75" x14ac:dyDescent="0.25">
      <c r="A2156" s="21"/>
      <c r="B2156" s="21"/>
      <c r="C2156" s="21"/>
      <c r="E2156" s="21"/>
      <c r="F2156" s="21"/>
      <c r="G2156" s="14"/>
      <c r="H2156" s="14"/>
      <c r="I2156" s="14"/>
      <c r="J2156" s="14"/>
      <c r="K2156" s="14"/>
      <c r="L2156" s="14"/>
      <c r="M2156" s="14"/>
      <c r="N2156" s="14"/>
      <c r="O2156" s="14"/>
      <c r="P2156" s="14"/>
      <c r="Q2156" s="14"/>
      <c r="R2156" s="14"/>
      <c r="S2156" s="14"/>
      <c r="T2156" s="14"/>
      <c r="U2156" s="14"/>
      <c r="V2156" s="14"/>
      <c r="W2156" s="14"/>
      <c r="X2156" s="14"/>
      <c r="Y2156" s="14"/>
    </row>
    <row r="2157" spans="1:25" ht="15.75" x14ac:dyDescent="0.25">
      <c r="A2157" s="21"/>
      <c r="B2157" s="21"/>
      <c r="C2157" s="21"/>
      <c r="E2157" s="21"/>
      <c r="F2157" s="21"/>
      <c r="G2157" s="14"/>
      <c r="H2157" s="14"/>
      <c r="I2157" s="14"/>
      <c r="J2157" s="14"/>
      <c r="K2157" s="14"/>
      <c r="L2157" s="14"/>
      <c r="M2157" s="14"/>
      <c r="N2157" s="14"/>
      <c r="O2157" s="14"/>
      <c r="P2157" s="14"/>
      <c r="Q2157" s="14"/>
      <c r="R2157" s="14"/>
      <c r="S2157" s="14"/>
      <c r="T2157" s="14"/>
      <c r="U2157" s="14"/>
      <c r="V2157" s="14"/>
      <c r="W2157" s="14"/>
      <c r="X2157" s="14"/>
      <c r="Y2157" s="14"/>
    </row>
    <row r="2158" spans="1:25" ht="15.75" x14ac:dyDescent="0.25">
      <c r="A2158" s="21"/>
      <c r="B2158" s="21"/>
      <c r="C2158" s="21"/>
      <c r="E2158" s="21"/>
      <c r="F2158" s="21"/>
      <c r="G2158" s="14"/>
      <c r="H2158" s="14"/>
      <c r="I2158" s="14"/>
      <c r="J2158" s="14"/>
      <c r="K2158" s="14"/>
      <c r="L2158" s="14"/>
      <c r="M2158" s="14"/>
      <c r="N2158" s="14"/>
      <c r="O2158" s="14"/>
      <c r="P2158" s="14"/>
      <c r="Q2158" s="14"/>
      <c r="R2158" s="14"/>
      <c r="S2158" s="14"/>
      <c r="T2158" s="14"/>
      <c r="U2158" s="14"/>
      <c r="V2158" s="14"/>
      <c r="W2158" s="14"/>
      <c r="X2158" s="14"/>
      <c r="Y2158" s="14"/>
    </row>
    <row r="2159" spans="1:25" ht="15.75" x14ac:dyDescent="0.25">
      <c r="A2159" s="21"/>
      <c r="B2159" s="21"/>
      <c r="C2159" s="21"/>
      <c r="E2159" s="21"/>
      <c r="F2159" s="21"/>
      <c r="G2159" s="14"/>
      <c r="H2159" s="14"/>
      <c r="I2159" s="14"/>
      <c r="J2159" s="14"/>
      <c r="K2159" s="14"/>
      <c r="L2159" s="14"/>
      <c r="M2159" s="14"/>
      <c r="N2159" s="14"/>
      <c r="O2159" s="14"/>
      <c r="P2159" s="14"/>
      <c r="Q2159" s="14"/>
      <c r="R2159" s="14"/>
      <c r="S2159" s="14"/>
      <c r="T2159" s="14"/>
      <c r="U2159" s="14"/>
      <c r="V2159" s="14"/>
      <c r="W2159" s="14"/>
      <c r="X2159" s="14"/>
      <c r="Y2159" s="14"/>
    </row>
    <row r="2160" spans="1:25" ht="15.75" x14ac:dyDescent="0.25">
      <c r="A2160" s="21"/>
      <c r="B2160" s="21"/>
      <c r="C2160" s="21"/>
      <c r="E2160" s="21"/>
      <c r="F2160" s="21"/>
      <c r="G2160" s="14"/>
      <c r="H2160" s="14"/>
      <c r="I2160" s="14"/>
      <c r="J2160" s="14"/>
      <c r="K2160" s="14"/>
      <c r="L2160" s="14"/>
      <c r="M2160" s="14"/>
      <c r="N2160" s="14"/>
      <c r="O2160" s="14"/>
      <c r="P2160" s="14"/>
      <c r="Q2160" s="14"/>
      <c r="R2160" s="14"/>
      <c r="S2160" s="14"/>
      <c r="T2160" s="14"/>
      <c r="U2160" s="14"/>
      <c r="V2160" s="14"/>
      <c r="W2160" s="14"/>
      <c r="X2160" s="14"/>
      <c r="Y2160" s="14"/>
    </row>
    <row r="2161" spans="1:25" ht="15.75" x14ac:dyDescent="0.25">
      <c r="A2161" s="21"/>
      <c r="B2161" s="21"/>
      <c r="C2161" s="21"/>
      <c r="E2161" s="21"/>
      <c r="F2161" s="21"/>
      <c r="G2161" s="14"/>
      <c r="H2161" s="14"/>
      <c r="I2161" s="14"/>
      <c r="J2161" s="14"/>
      <c r="K2161" s="14"/>
      <c r="L2161" s="14"/>
      <c r="M2161" s="14"/>
      <c r="N2161" s="14"/>
      <c r="O2161" s="14"/>
      <c r="P2161" s="14"/>
      <c r="Q2161" s="14"/>
      <c r="R2161" s="14"/>
      <c r="S2161" s="14"/>
      <c r="T2161" s="14"/>
      <c r="U2161" s="14"/>
      <c r="V2161" s="14"/>
      <c r="W2161" s="14"/>
      <c r="X2161" s="14"/>
      <c r="Y2161" s="14"/>
    </row>
    <row r="2162" spans="1:25" ht="15.75" x14ac:dyDescent="0.25">
      <c r="A2162" s="21"/>
      <c r="B2162" s="21"/>
      <c r="C2162" s="21"/>
      <c r="E2162" s="21"/>
      <c r="F2162" s="21"/>
      <c r="G2162" s="14"/>
      <c r="H2162" s="14"/>
      <c r="I2162" s="14"/>
      <c r="J2162" s="14"/>
      <c r="K2162" s="14"/>
      <c r="L2162" s="14"/>
      <c r="M2162" s="14"/>
      <c r="N2162" s="14"/>
      <c r="O2162" s="14"/>
      <c r="P2162" s="14"/>
      <c r="Q2162" s="14"/>
      <c r="R2162" s="14"/>
      <c r="S2162" s="14"/>
      <c r="T2162" s="14"/>
      <c r="U2162" s="14"/>
      <c r="V2162" s="14"/>
      <c r="W2162" s="14"/>
      <c r="X2162" s="14"/>
      <c r="Y2162" s="14"/>
    </row>
    <row r="2163" spans="1:25" ht="15.75" x14ac:dyDescent="0.25">
      <c r="A2163" s="21"/>
      <c r="B2163" s="21"/>
      <c r="C2163" s="21"/>
      <c r="E2163" s="21"/>
      <c r="F2163" s="21"/>
      <c r="G2163" s="14"/>
      <c r="H2163" s="14"/>
      <c r="I2163" s="14"/>
      <c r="J2163" s="14"/>
      <c r="K2163" s="14"/>
      <c r="L2163" s="14"/>
      <c r="M2163" s="14"/>
      <c r="N2163" s="14"/>
      <c r="O2163" s="14"/>
      <c r="P2163" s="14"/>
      <c r="Q2163" s="14"/>
      <c r="R2163" s="14"/>
      <c r="S2163" s="14"/>
      <c r="T2163" s="14"/>
      <c r="U2163" s="14"/>
      <c r="V2163" s="14"/>
      <c r="W2163" s="14"/>
      <c r="X2163" s="14"/>
      <c r="Y2163" s="14"/>
    </row>
    <row r="2164" spans="1:25" ht="15.75" x14ac:dyDescent="0.25">
      <c r="A2164" s="21"/>
      <c r="B2164" s="21"/>
      <c r="C2164" s="21"/>
      <c r="E2164" s="21"/>
      <c r="F2164" s="21"/>
      <c r="G2164" s="14"/>
      <c r="H2164" s="14"/>
      <c r="I2164" s="14"/>
      <c r="J2164" s="14"/>
      <c r="K2164" s="14"/>
      <c r="L2164" s="14"/>
      <c r="M2164" s="14"/>
      <c r="N2164" s="14"/>
      <c r="O2164" s="14"/>
      <c r="P2164" s="14"/>
      <c r="Q2164" s="14"/>
      <c r="R2164" s="14"/>
      <c r="S2164" s="14"/>
      <c r="T2164" s="14"/>
      <c r="U2164" s="14"/>
      <c r="V2164" s="14"/>
      <c r="W2164" s="14"/>
      <c r="X2164" s="14"/>
      <c r="Y2164" s="14"/>
    </row>
    <row r="2165" spans="1:25" ht="15.75" x14ac:dyDescent="0.25">
      <c r="A2165" s="21"/>
      <c r="B2165" s="21"/>
      <c r="C2165" s="21"/>
      <c r="E2165" s="21"/>
      <c r="F2165" s="21"/>
      <c r="G2165" s="14"/>
      <c r="H2165" s="14"/>
      <c r="I2165" s="14"/>
      <c r="J2165" s="14"/>
      <c r="K2165" s="14"/>
      <c r="L2165" s="14"/>
      <c r="M2165" s="14"/>
      <c r="N2165" s="14"/>
      <c r="O2165" s="14"/>
      <c r="P2165" s="14"/>
      <c r="Q2165" s="14"/>
      <c r="R2165" s="14"/>
      <c r="S2165" s="14"/>
      <c r="T2165" s="14"/>
      <c r="U2165" s="14"/>
      <c r="V2165" s="14"/>
      <c r="W2165" s="14"/>
      <c r="X2165" s="14"/>
      <c r="Y2165" s="14"/>
    </row>
    <row r="2166" spans="1:25" ht="15.75" x14ac:dyDescent="0.25">
      <c r="A2166" s="21"/>
      <c r="B2166" s="21"/>
      <c r="C2166" s="21"/>
      <c r="E2166" s="21"/>
      <c r="F2166" s="21"/>
      <c r="G2166" s="14"/>
      <c r="H2166" s="14"/>
      <c r="I2166" s="14"/>
      <c r="J2166" s="14"/>
      <c r="K2166" s="14"/>
      <c r="L2166" s="14"/>
      <c r="M2166" s="14"/>
      <c r="N2166" s="14"/>
      <c r="O2166" s="14"/>
      <c r="P2166" s="14"/>
      <c r="Q2166" s="14"/>
      <c r="R2166" s="14"/>
      <c r="S2166" s="14"/>
      <c r="T2166" s="14"/>
      <c r="U2166" s="14"/>
      <c r="V2166" s="14"/>
      <c r="W2166" s="14"/>
      <c r="X2166" s="14"/>
      <c r="Y2166" s="14"/>
    </row>
    <row r="2167" spans="1:25" ht="15.75" x14ac:dyDescent="0.25">
      <c r="A2167" s="21"/>
      <c r="B2167" s="21"/>
      <c r="C2167" s="21"/>
      <c r="E2167" s="21"/>
      <c r="F2167" s="21"/>
      <c r="G2167" s="14"/>
      <c r="H2167" s="14"/>
      <c r="I2167" s="14"/>
      <c r="J2167" s="14"/>
      <c r="K2167" s="14"/>
      <c r="L2167" s="14"/>
      <c r="M2167" s="14"/>
      <c r="N2167" s="14"/>
      <c r="O2167" s="14"/>
      <c r="P2167" s="14"/>
      <c r="Q2167" s="14"/>
      <c r="R2167" s="14"/>
      <c r="S2167" s="14"/>
      <c r="T2167" s="14"/>
      <c r="U2167" s="14"/>
      <c r="V2167" s="14"/>
      <c r="W2167" s="14"/>
      <c r="X2167" s="14"/>
      <c r="Y2167" s="14"/>
    </row>
    <row r="2168" spans="1:25" ht="15.75" x14ac:dyDescent="0.25">
      <c r="A2168" s="21"/>
      <c r="B2168" s="21"/>
      <c r="C2168" s="21"/>
      <c r="E2168" s="21"/>
      <c r="F2168" s="21"/>
      <c r="G2168" s="14"/>
      <c r="H2168" s="14"/>
      <c r="I2168" s="14"/>
      <c r="J2168" s="14"/>
      <c r="K2168" s="14"/>
      <c r="L2168" s="14"/>
      <c r="M2168" s="14"/>
      <c r="N2168" s="14"/>
      <c r="O2168" s="14"/>
      <c r="P2168" s="14"/>
      <c r="Q2168" s="14"/>
      <c r="R2168" s="14"/>
      <c r="S2168" s="14"/>
      <c r="T2168" s="14"/>
      <c r="U2168" s="14"/>
      <c r="V2168" s="14"/>
      <c r="W2168" s="14"/>
      <c r="X2168" s="14"/>
      <c r="Y2168" s="14"/>
    </row>
    <row r="2169" spans="1:25" ht="15.75" x14ac:dyDescent="0.25">
      <c r="A2169" s="21"/>
      <c r="B2169" s="21"/>
      <c r="C2169" s="21"/>
      <c r="E2169" s="21"/>
      <c r="F2169" s="21"/>
      <c r="G2169" s="14"/>
      <c r="H2169" s="14"/>
      <c r="I2169" s="14"/>
      <c r="J2169" s="14"/>
      <c r="K2169" s="14"/>
      <c r="L2169" s="14"/>
      <c r="M2169" s="14"/>
      <c r="N2169" s="14"/>
      <c r="O2169" s="14"/>
      <c r="P2169" s="14"/>
      <c r="Q2169" s="14"/>
      <c r="R2169" s="14"/>
      <c r="S2169" s="14"/>
      <c r="T2169" s="14"/>
      <c r="U2169" s="14"/>
      <c r="V2169" s="14"/>
      <c r="W2169" s="14"/>
      <c r="X2169" s="14"/>
      <c r="Y2169" s="14"/>
    </row>
    <row r="2170" spans="1:25" ht="15.75" x14ac:dyDescent="0.25">
      <c r="A2170" s="21"/>
      <c r="B2170" s="21"/>
      <c r="C2170" s="21"/>
      <c r="E2170" s="21"/>
      <c r="F2170" s="21"/>
      <c r="G2170" s="14"/>
      <c r="H2170" s="14"/>
      <c r="I2170" s="14"/>
      <c r="J2170" s="14"/>
      <c r="K2170" s="14"/>
      <c r="L2170" s="14"/>
      <c r="M2170" s="14"/>
      <c r="N2170" s="14"/>
      <c r="O2170" s="14"/>
      <c r="P2170" s="14"/>
      <c r="Q2170" s="14"/>
      <c r="R2170" s="14"/>
      <c r="S2170" s="14"/>
      <c r="T2170" s="14"/>
      <c r="U2170" s="14"/>
      <c r="V2170" s="14"/>
      <c r="W2170" s="14"/>
      <c r="X2170" s="14"/>
      <c r="Y2170" s="14"/>
    </row>
    <row r="2171" spans="1:25" ht="15.75" x14ac:dyDescent="0.25">
      <c r="A2171" s="21"/>
      <c r="B2171" s="21"/>
      <c r="C2171" s="21"/>
      <c r="E2171" s="21"/>
      <c r="F2171" s="21"/>
      <c r="G2171" s="14"/>
      <c r="H2171" s="14"/>
      <c r="I2171" s="14"/>
      <c r="J2171" s="14"/>
      <c r="K2171" s="14"/>
      <c r="L2171" s="14"/>
      <c r="M2171" s="14"/>
      <c r="N2171" s="14"/>
      <c r="O2171" s="14"/>
      <c r="P2171" s="14"/>
      <c r="Q2171" s="14"/>
      <c r="R2171" s="14"/>
      <c r="S2171" s="14"/>
      <c r="T2171" s="14"/>
      <c r="U2171" s="14"/>
      <c r="V2171" s="14"/>
      <c r="W2171" s="14"/>
      <c r="X2171" s="14"/>
      <c r="Y2171" s="14"/>
    </row>
    <row r="2172" spans="1:25" ht="15.75" x14ac:dyDescent="0.25">
      <c r="A2172" s="21"/>
      <c r="B2172" s="21"/>
      <c r="C2172" s="21"/>
      <c r="E2172" s="21"/>
      <c r="F2172" s="21"/>
      <c r="G2172" s="14"/>
      <c r="H2172" s="14"/>
      <c r="I2172" s="14"/>
      <c r="J2172" s="14"/>
      <c r="K2172" s="14"/>
      <c r="L2172" s="14"/>
      <c r="M2172" s="14"/>
      <c r="N2172" s="14"/>
      <c r="O2172" s="14"/>
      <c r="P2172" s="14"/>
      <c r="Q2172" s="14"/>
      <c r="R2172" s="14"/>
      <c r="S2172" s="14"/>
      <c r="T2172" s="14"/>
      <c r="U2172" s="14"/>
      <c r="V2172" s="14"/>
      <c r="W2172" s="14"/>
      <c r="X2172" s="14"/>
      <c r="Y2172" s="14"/>
    </row>
    <row r="2173" spans="1:25" ht="15.75" x14ac:dyDescent="0.25">
      <c r="A2173" s="21"/>
      <c r="B2173" s="21"/>
      <c r="C2173" s="21"/>
      <c r="E2173" s="21"/>
      <c r="F2173" s="21"/>
      <c r="G2173" s="14"/>
      <c r="H2173" s="14"/>
      <c r="I2173" s="14"/>
      <c r="J2173" s="14"/>
      <c r="K2173" s="14"/>
      <c r="L2173" s="14"/>
      <c r="M2173" s="14"/>
      <c r="N2173" s="14"/>
      <c r="O2173" s="14"/>
      <c r="P2173" s="14"/>
      <c r="Q2173" s="14"/>
      <c r="R2173" s="14"/>
      <c r="S2173" s="14"/>
      <c r="T2173" s="14"/>
      <c r="U2173" s="14"/>
      <c r="V2173" s="14"/>
      <c r="W2173" s="14"/>
      <c r="X2173" s="14"/>
      <c r="Y2173" s="14"/>
    </row>
    <row r="2174" spans="1:25" ht="15.75" x14ac:dyDescent="0.25">
      <c r="A2174" s="21"/>
      <c r="B2174" s="21"/>
      <c r="C2174" s="21"/>
      <c r="E2174" s="21"/>
      <c r="F2174" s="21"/>
      <c r="G2174" s="14"/>
      <c r="H2174" s="14"/>
      <c r="I2174" s="14"/>
      <c r="J2174" s="14"/>
      <c r="K2174" s="14"/>
      <c r="L2174" s="14"/>
      <c r="M2174" s="14"/>
      <c r="N2174" s="14"/>
      <c r="O2174" s="14"/>
      <c r="P2174" s="14"/>
      <c r="Q2174" s="14"/>
      <c r="R2174" s="14"/>
      <c r="S2174" s="14"/>
      <c r="T2174" s="14"/>
      <c r="U2174" s="14"/>
      <c r="V2174" s="14"/>
      <c r="W2174" s="14"/>
      <c r="X2174" s="14"/>
      <c r="Y2174" s="14"/>
    </row>
    <row r="2175" spans="1:25" ht="15.75" x14ac:dyDescent="0.25">
      <c r="A2175" s="21"/>
      <c r="B2175" s="21"/>
      <c r="C2175" s="21"/>
      <c r="E2175" s="21"/>
      <c r="F2175" s="21"/>
      <c r="G2175" s="14"/>
      <c r="H2175" s="14"/>
      <c r="I2175" s="14"/>
      <c r="J2175" s="14"/>
      <c r="K2175" s="14"/>
      <c r="L2175" s="14"/>
      <c r="M2175" s="14"/>
      <c r="N2175" s="14"/>
      <c r="O2175" s="14"/>
      <c r="P2175" s="14"/>
      <c r="Q2175" s="14"/>
      <c r="R2175" s="14"/>
      <c r="S2175" s="14"/>
      <c r="T2175" s="14"/>
      <c r="U2175" s="14"/>
      <c r="V2175" s="14"/>
      <c r="W2175" s="14"/>
      <c r="X2175" s="14"/>
      <c r="Y2175" s="14"/>
    </row>
    <row r="2176" spans="1:25" ht="15.75" x14ac:dyDescent="0.25">
      <c r="A2176" s="21"/>
      <c r="B2176" s="21"/>
      <c r="C2176" s="21"/>
      <c r="E2176" s="21"/>
      <c r="F2176" s="21"/>
      <c r="G2176" s="14"/>
      <c r="H2176" s="14"/>
      <c r="I2176" s="14"/>
      <c r="J2176" s="14"/>
      <c r="K2176" s="14"/>
      <c r="L2176" s="14"/>
      <c r="M2176" s="14"/>
      <c r="N2176" s="14"/>
      <c r="O2176" s="14"/>
      <c r="P2176" s="14"/>
      <c r="Q2176" s="14"/>
      <c r="R2176" s="14"/>
      <c r="S2176" s="14"/>
      <c r="T2176" s="14"/>
      <c r="U2176" s="14"/>
      <c r="V2176" s="14"/>
      <c r="W2176" s="14"/>
      <c r="X2176" s="14"/>
      <c r="Y2176" s="14"/>
    </row>
    <row r="2177" spans="1:25" ht="15.75" x14ac:dyDescent="0.25">
      <c r="A2177" s="21"/>
      <c r="B2177" s="21"/>
      <c r="C2177" s="21"/>
      <c r="E2177" s="21"/>
      <c r="F2177" s="21"/>
      <c r="G2177" s="14"/>
      <c r="H2177" s="14"/>
      <c r="I2177" s="14"/>
      <c r="J2177" s="14"/>
      <c r="K2177" s="14"/>
      <c r="L2177" s="14"/>
      <c r="M2177" s="14"/>
      <c r="N2177" s="14"/>
      <c r="O2177" s="14"/>
      <c r="P2177" s="14"/>
      <c r="Q2177" s="14"/>
      <c r="R2177" s="14"/>
      <c r="S2177" s="14"/>
      <c r="T2177" s="14"/>
      <c r="U2177" s="14"/>
      <c r="V2177" s="14"/>
      <c r="W2177" s="14"/>
      <c r="X2177" s="14"/>
      <c r="Y2177" s="14"/>
    </row>
    <row r="2178" spans="1:25" ht="15.75" x14ac:dyDescent="0.25">
      <c r="A2178" s="21"/>
      <c r="B2178" s="21"/>
      <c r="C2178" s="21"/>
      <c r="E2178" s="21"/>
      <c r="F2178" s="21"/>
      <c r="G2178" s="14"/>
      <c r="H2178" s="14"/>
      <c r="I2178" s="14"/>
      <c r="J2178" s="14"/>
      <c r="K2178" s="14"/>
      <c r="L2178" s="14"/>
      <c r="M2178" s="14"/>
      <c r="N2178" s="14"/>
      <c r="O2178" s="14"/>
      <c r="P2178" s="14"/>
      <c r="Q2178" s="14"/>
      <c r="R2178" s="14"/>
      <c r="S2178" s="14"/>
      <c r="T2178" s="14"/>
      <c r="U2178" s="14"/>
      <c r="V2178" s="14"/>
      <c r="W2178" s="14"/>
      <c r="X2178" s="14"/>
      <c r="Y2178" s="14"/>
    </row>
    <row r="2179" spans="1:25" ht="15.75" x14ac:dyDescent="0.25">
      <c r="A2179" s="21"/>
      <c r="B2179" s="21"/>
      <c r="C2179" s="21"/>
      <c r="E2179" s="21"/>
      <c r="F2179" s="21"/>
      <c r="G2179" s="14"/>
      <c r="H2179" s="14"/>
      <c r="I2179" s="14"/>
      <c r="J2179" s="14"/>
      <c r="K2179" s="14"/>
      <c r="L2179" s="14"/>
      <c r="M2179" s="14"/>
      <c r="N2179" s="14"/>
      <c r="O2179" s="14"/>
      <c r="P2179" s="14"/>
      <c r="Q2179" s="14"/>
      <c r="R2179" s="14"/>
      <c r="S2179" s="14"/>
      <c r="T2179" s="14"/>
      <c r="U2179" s="14"/>
      <c r="V2179" s="14"/>
      <c r="W2179" s="14"/>
      <c r="X2179" s="14"/>
      <c r="Y2179" s="14"/>
    </row>
    <row r="2180" spans="1:25" ht="15.75" x14ac:dyDescent="0.25">
      <c r="A2180" s="21"/>
      <c r="B2180" s="21"/>
      <c r="C2180" s="21"/>
      <c r="E2180" s="21"/>
      <c r="F2180" s="21"/>
      <c r="G2180" s="14"/>
      <c r="H2180" s="14"/>
      <c r="I2180" s="14"/>
      <c r="J2180" s="14"/>
      <c r="K2180" s="14"/>
      <c r="L2180" s="14"/>
      <c r="M2180" s="14"/>
      <c r="N2180" s="14"/>
      <c r="O2180" s="14"/>
      <c r="P2180" s="14"/>
      <c r="Q2180" s="14"/>
      <c r="R2180" s="14"/>
      <c r="S2180" s="14"/>
      <c r="T2180" s="14"/>
      <c r="U2180" s="14"/>
      <c r="V2180" s="14"/>
      <c r="W2180" s="14"/>
      <c r="X2180" s="14"/>
      <c r="Y2180" s="14"/>
    </row>
    <row r="2181" spans="1:25" ht="15.75" x14ac:dyDescent="0.25">
      <c r="A2181" s="21"/>
      <c r="B2181" s="21"/>
      <c r="C2181" s="21"/>
      <c r="E2181" s="21"/>
      <c r="F2181" s="21"/>
      <c r="G2181" s="14"/>
      <c r="H2181" s="14"/>
      <c r="I2181" s="14"/>
      <c r="J2181" s="14"/>
      <c r="K2181" s="14"/>
      <c r="L2181" s="14"/>
      <c r="M2181" s="14"/>
      <c r="N2181" s="14"/>
      <c r="O2181" s="14"/>
      <c r="P2181" s="14"/>
      <c r="Q2181" s="14"/>
      <c r="R2181" s="14"/>
      <c r="S2181" s="14"/>
      <c r="T2181" s="14"/>
      <c r="U2181" s="14"/>
      <c r="V2181" s="14"/>
      <c r="W2181" s="14"/>
      <c r="X2181" s="14"/>
      <c r="Y2181" s="14"/>
    </row>
    <row r="2182" spans="1:25" ht="15.75" x14ac:dyDescent="0.25">
      <c r="A2182" s="21"/>
      <c r="B2182" s="21"/>
      <c r="C2182" s="21"/>
      <c r="E2182" s="21"/>
      <c r="F2182" s="21"/>
      <c r="G2182" s="14"/>
      <c r="H2182" s="14"/>
      <c r="I2182" s="14"/>
      <c r="J2182" s="14"/>
      <c r="K2182" s="14"/>
      <c r="L2182" s="14"/>
      <c r="M2182" s="14"/>
      <c r="N2182" s="14"/>
      <c r="O2182" s="14"/>
      <c r="P2182" s="14"/>
      <c r="Q2182" s="14"/>
      <c r="R2182" s="14"/>
      <c r="S2182" s="14"/>
      <c r="T2182" s="14"/>
      <c r="U2182" s="14"/>
      <c r="V2182" s="14"/>
      <c r="W2182" s="14"/>
      <c r="X2182" s="14"/>
      <c r="Y2182" s="14"/>
    </row>
    <row r="2183" spans="1:25" ht="15.75" x14ac:dyDescent="0.25">
      <c r="A2183" s="21"/>
      <c r="B2183" s="21"/>
      <c r="C2183" s="21"/>
      <c r="E2183" s="21"/>
      <c r="F2183" s="21"/>
      <c r="G2183" s="14"/>
      <c r="H2183" s="14"/>
      <c r="I2183" s="14"/>
      <c r="J2183" s="14"/>
      <c r="K2183" s="14"/>
      <c r="L2183" s="14"/>
      <c r="M2183" s="14"/>
      <c r="N2183" s="14"/>
      <c r="O2183" s="14"/>
      <c r="P2183" s="14"/>
      <c r="Q2183" s="14"/>
      <c r="R2183" s="14"/>
      <c r="S2183" s="14"/>
      <c r="T2183" s="14"/>
      <c r="U2183" s="14"/>
      <c r="V2183" s="14"/>
      <c r="W2183" s="14"/>
      <c r="X2183" s="14"/>
      <c r="Y2183" s="14"/>
    </row>
    <row r="2184" spans="1:25" ht="15.75" x14ac:dyDescent="0.25">
      <c r="A2184" s="21"/>
      <c r="B2184" s="21"/>
      <c r="C2184" s="21"/>
      <c r="E2184" s="21"/>
      <c r="F2184" s="21"/>
      <c r="G2184" s="14"/>
      <c r="H2184" s="14"/>
      <c r="I2184" s="14"/>
      <c r="J2184" s="14"/>
      <c r="K2184" s="14"/>
      <c r="L2184" s="14"/>
      <c r="M2184" s="14"/>
      <c r="N2184" s="14"/>
      <c r="O2184" s="14"/>
      <c r="P2184" s="14"/>
      <c r="Q2184" s="14"/>
      <c r="R2184" s="14"/>
      <c r="S2184" s="14"/>
      <c r="T2184" s="14"/>
      <c r="U2184" s="14"/>
      <c r="V2184" s="14"/>
      <c r="W2184" s="14"/>
      <c r="X2184" s="14"/>
      <c r="Y2184" s="14"/>
    </row>
    <row r="2185" spans="1:25" ht="15.75" x14ac:dyDescent="0.25">
      <c r="A2185" s="21"/>
      <c r="B2185" s="21"/>
      <c r="C2185" s="21"/>
      <c r="E2185" s="21"/>
      <c r="F2185" s="21"/>
      <c r="G2185" s="14"/>
      <c r="H2185" s="14"/>
      <c r="I2185" s="14"/>
      <c r="J2185" s="14"/>
      <c r="K2185" s="14"/>
      <c r="L2185" s="14"/>
      <c r="M2185" s="14"/>
      <c r="N2185" s="14"/>
      <c r="O2185" s="14"/>
      <c r="P2185" s="14"/>
      <c r="Q2185" s="14"/>
      <c r="R2185" s="14"/>
      <c r="S2185" s="14"/>
      <c r="T2185" s="14"/>
      <c r="U2185" s="14"/>
      <c r="V2185" s="14"/>
      <c r="W2185" s="14"/>
      <c r="X2185" s="14"/>
      <c r="Y2185" s="14"/>
    </row>
    <row r="2186" spans="1:25" ht="15.75" x14ac:dyDescent="0.25">
      <c r="A2186" s="21"/>
      <c r="B2186" s="21"/>
      <c r="C2186" s="21"/>
      <c r="E2186" s="21"/>
      <c r="F2186" s="21"/>
      <c r="G2186" s="14"/>
      <c r="H2186" s="14"/>
      <c r="I2186" s="14"/>
      <c r="J2186" s="14"/>
      <c r="K2186" s="14"/>
      <c r="L2186" s="14"/>
      <c r="M2186" s="14"/>
      <c r="N2186" s="14"/>
      <c r="O2186" s="14"/>
      <c r="P2186" s="14"/>
      <c r="Q2186" s="14"/>
      <c r="R2186" s="14"/>
      <c r="S2186" s="14"/>
      <c r="T2186" s="14"/>
      <c r="U2186" s="14"/>
      <c r="V2186" s="14"/>
      <c r="W2186" s="14"/>
      <c r="X2186" s="14"/>
      <c r="Y2186" s="14"/>
    </row>
    <row r="2187" spans="1:25" ht="15.75" x14ac:dyDescent="0.25">
      <c r="A2187" s="21"/>
      <c r="B2187" s="21"/>
      <c r="C2187" s="21"/>
      <c r="E2187" s="21"/>
      <c r="F2187" s="21"/>
      <c r="G2187" s="14"/>
      <c r="H2187" s="14"/>
      <c r="I2187" s="14"/>
      <c r="J2187" s="14"/>
      <c r="K2187" s="14"/>
      <c r="L2187" s="14"/>
      <c r="M2187" s="14"/>
      <c r="N2187" s="14"/>
      <c r="O2187" s="14"/>
      <c r="P2187" s="14"/>
      <c r="Q2187" s="14"/>
      <c r="R2187" s="14"/>
      <c r="S2187" s="14"/>
      <c r="T2187" s="14"/>
      <c r="U2187" s="14"/>
      <c r="V2187" s="14"/>
      <c r="W2187" s="14"/>
      <c r="X2187" s="14"/>
      <c r="Y2187" s="14"/>
    </row>
    <row r="2188" spans="1:25" ht="15.75" x14ac:dyDescent="0.25">
      <c r="A2188" s="21"/>
      <c r="B2188" s="21"/>
      <c r="C2188" s="21"/>
      <c r="E2188" s="21"/>
      <c r="F2188" s="21"/>
      <c r="G2188" s="14"/>
      <c r="H2188" s="14"/>
      <c r="I2188" s="14"/>
      <c r="J2188" s="14"/>
      <c r="K2188" s="14"/>
      <c r="L2188" s="14"/>
      <c r="M2188" s="14"/>
      <c r="N2188" s="14"/>
      <c r="O2188" s="14"/>
      <c r="P2188" s="14"/>
      <c r="Q2188" s="14"/>
      <c r="R2188" s="14"/>
      <c r="S2188" s="14"/>
      <c r="T2188" s="14"/>
      <c r="U2188" s="14"/>
      <c r="V2188" s="14"/>
      <c r="W2188" s="14"/>
      <c r="X2188" s="14"/>
      <c r="Y2188" s="14"/>
    </row>
    <row r="2189" spans="1:25" ht="15.75" x14ac:dyDescent="0.25">
      <c r="A2189" s="21"/>
      <c r="B2189" s="21"/>
      <c r="C2189" s="21"/>
      <c r="E2189" s="21"/>
      <c r="F2189" s="21"/>
      <c r="G2189" s="14"/>
      <c r="H2189" s="14"/>
      <c r="I2189" s="14"/>
      <c r="J2189" s="14"/>
      <c r="K2189" s="14"/>
      <c r="L2189" s="14"/>
      <c r="M2189" s="14"/>
      <c r="N2189" s="14"/>
      <c r="O2189" s="14"/>
      <c r="P2189" s="14"/>
      <c r="Q2189" s="14"/>
      <c r="R2189" s="14"/>
      <c r="S2189" s="14"/>
      <c r="T2189" s="14"/>
      <c r="U2189" s="14"/>
      <c r="V2189" s="14"/>
      <c r="W2189" s="14"/>
      <c r="X2189" s="14"/>
      <c r="Y2189" s="14"/>
    </row>
    <row r="2190" spans="1:25" ht="15.75" x14ac:dyDescent="0.25">
      <c r="A2190" s="21"/>
      <c r="B2190" s="21"/>
      <c r="C2190" s="21"/>
      <c r="E2190" s="21"/>
      <c r="F2190" s="21"/>
      <c r="G2190" s="14"/>
      <c r="H2190" s="14"/>
      <c r="I2190" s="14"/>
      <c r="J2190" s="14"/>
      <c r="K2190" s="14"/>
      <c r="L2190" s="14"/>
      <c r="M2190" s="14"/>
      <c r="N2190" s="14"/>
      <c r="O2190" s="14"/>
      <c r="P2190" s="14"/>
      <c r="Q2190" s="14"/>
      <c r="R2190" s="14"/>
      <c r="S2190" s="14"/>
      <c r="T2190" s="14"/>
      <c r="U2190" s="14"/>
      <c r="V2190" s="14"/>
      <c r="W2190" s="14"/>
      <c r="X2190" s="14"/>
      <c r="Y2190" s="14"/>
    </row>
    <row r="2191" spans="1:25" ht="15.75" x14ac:dyDescent="0.25">
      <c r="A2191" s="21"/>
      <c r="B2191" s="21"/>
      <c r="C2191" s="21"/>
      <c r="E2191" s="21"/>
      <c r="F2191" s="21"/>
      <c r="G2191" s="14"/>
      <c r="H2191" s="14"/>
      <c r="I2191" s="14"/>
      <c r="J2191" s="14"/>
      <c r="K2191" s="14"/>
      <c r="L2191" s="14"/>
      <c r="M2191" s="14"/>
      <c r="N2191" s="14"/>
      <c r="O2191" s="14"/>
      <c r="P2191" s="14"/>
      <c r="Q2191" s="14"/>
      <c r="R2191" s="14"/>
      <c r="S2191" s="14"/>
      <c r="T2191" s="14"/>
      <c r="U2191" s="14"/>
      <c r="V2191" s="14"/>
      <c r="W2191" s="14"/>
      <c r="X2191" s="14"/>
      <c r="Y2191" s="14"/>
    </row>
    <row r="2192" spans="1:25" ht="15.75" x14ac:dyDescent="0.25">
      <c r="A2192" s="21"/>
      <c r="B2192" s="21"/>
      <c r="C2192" s="21"/>
      <c r="E2192" s="21"/>
      <c r="F2192" s="21"/>
      <c r="G2192" s="14"/>
      <c r="H2192" s="14"/>
      <c r="I2192" s="14"/>
      <c r="J2192" s="14"/>
      <c r="K2192" s="14"/>
      <c r="L2192" s="14"/>
      <c r="M2192" s="14"/>
      <c r="N2192" s="14"/>
      <c r="O2192" s="14"/>
      <c r="P2192" s="14"/>
      <c r="Q2192" s="14"/>
      <c r="R2192" s="14"/>
      <c r="S2192" s="14"/>
      <c r="T2192" s="14"/>
      <c r="U2192" s="14"/>
      <c r="V2192" s="14"/>
      <c r="W2192" s="14"/>
      <c r="X2192" s="14"/>
      <c r="Y2192" s="14"/>
    </row>
    <row r="2193" spans="1:25" ht="15.75" x14ac:dyDescent="0.25">
      <c r="A2193" s="21"/>
      <c r="B2193" s="21"/>
      <c r="C2193" s="21"/>
      <c r="E2193" s="21"/>
      <c r="F2193" s="21"/>
      <c r="G2193" s="14"/>
      <c r="H2193" s="14"/>
      <c r="I2193" s="14"/>
      <c r="J2193" s="14"/>
      <c r="K2193" s="14"/>
      <c r="L2193" s="14"/>
      <c r="M2193" s="14"/>
      <c r="N2193" s="14"/>
      <c r="O2193" s="14"/>
      <c r="P2193" s="14"/>
      <c r="Q2193" s="14"/>
      <c r="R2193" s="14"/>
      <c r="S2193" s="14"/>
      <c r="T2193" s="14"/>
      <c r="U2193" s="14"/>
      <c r="V2193" s="14"/>
      <c r="W2193" s="14"/>
      <c r="X2193" s="14"/>
      <c r="Y2193" s="14"/>
    </row>
    <row r="2194" spans="1:25" ht="15.75" x14ac:dyDescent="0.25">
      <c r="A2194" s="21"/>
      <c r="B2194" s="21"/>
      <c r="C2194" s="21"/>
      <c r="E2194" s="21"/>
      <c r="F2194" s="21"/>
      <c r="G2194" s="14"/>
      <c r="H2194" s="14"/>
      <c r="I2194" s="14"/>
      <c r="J2194" s="14"/>
      <c r="K2194" s="14"/>
      <c r="L2194" s="14"/>
      <c r="M2194" s="14"/>
      <c r="N2194" s="14"/>
      <c r="O2194" s="14"/>
      <c r="P2194" s="14"/>
      <c r="Q2194" s="14"/>
      <c r="R2194" s="14"/>
      <c r="S2194" s="14"/>
      <c r="T2194" s="14"/>
      <c r="U2194" s="14"/>
      <c r="V2194" s="14"/>
      <c r="W2194" s="14"/>
      <c r="X2194" s="14"/>
      <c r="Y2194" s="14"/>
    </row>
    <row r="2195" spans="1:25" ht="15.75" x14ac:dyDescent="0.25">
      <c r="A2195" s="21"/>
      <c r="B2195" s="21"/>
      <c r="C2195" s="21"/>
      <c r="E2195" s="21"/>
      <c r="F2195" s="21"/>
      <c r="G2195" s="14"/>
      <c r="H2195" s="14"/>
      <c r="I2195" s="14"/>
      <c r="J2195" s="14"/>
      <c r="K2195" s="14"/>
      <c r="L2195" s="14"/>
      <c r="M2195" s="14"/>
      <c r="N2195" s="14"/>
      <c r="O2195" s="14"/>
      <c r="P2195" s="14"/>
      <c r="Q2195" s="14"/>
      <c r="R2195" s="14"/>
      <c r="S2195" s="14"/>
      <c r="T2195" s="14"/>
      <c r="U2195" s="14"/>
      <c r="V2195" s="14"/>
      <c r="W2195" s="14"/>
      <c r="X2195" s="14"/>
      <c r="Y2195" s="14"/>
    </row>
    <row r="2196" spans="1:25" ht="15.75" x14ac:dyDescent="0.25">
      <c r="A2196" s="21"/>
      <c r="B2196" s="21"/>
      <c r="C2196" s="21"/>
      <c r="E2196" s="21"/>
      <c r="F2196" s="21"/>
      <c r="G2196" s="14"/>
      <c r="H2196" s="14"/>
      <c r="I2196" s="14"/>
      <c r="J2196" s="14"/>
      <c r="K2196" s="14"/>
      <c r="L2196" s="14"/>
      <c r="M2196" s="14"/>
      <c r="N2196" s="14"/>
      <c r="O2196" s="14"/>
      <c r="P2196" s="14"/>
      <c r="Q2196" s="14"/>
      <c r="R2196" s="14"/>
      <c r="S2196" s="14"/>
      <c r="T2196" s="14"/>
      <c r="U2196" s="14"/>
      <c r="V2196" s="14"/>
      <c r="W2196" s="14"/>
      <c r="X2196" s="14"/>
      <c r="Y2196" s="14"/>
    </row>
    <row r="2197" spans="1:25" ht="15.75" x14ac:dyDescent="0.25">
      <c r="A2197" s="21"/>
      <c r="B2197" s="21"/>
      <c r="C2197" s="21"/>
      <c r="E2197" s="21"/>
      <c r="F2197" s="21"/>
      <c r="G2197" s="14"/>
      <c r="H2197" s="14"/>
      <c r="I2197" s="14"/>
      <c r="J2197" s="14"/>
      <c r="K2197" s="14"/>
      <c r="L2197" s="14"/>
      <c r="M2197" s="14"/>
      <c r="N2197" s="14"/>
      <c r="O2197" s="14"/>
      <c r="P2197" s="14"/>
      <c r="Q2197" s="14"/>
      <c r="R2197" s="14"/>
      <c r="S2197" s="14"/>
      <c r="T2197" s="14"/>
      <c r="U2197" s="14"/>
      <c r="V2197" s="14"/>
      <c r="W2197" s="14"/>
      <c r="X2197" s="14"/>
      <c r="Y2197" s="14"/>
    </row>
    <row r="2198" spans="1:25" ht="15.75" x14ac:dyDescent="0.25">
      <c r="A2198" s="21"/>
      <c r="B2198" s="21"/>
      <c r="C2198" s="21"/>
      <c r="E2198" s="21"/>
      <c r="F2198" s="21"/>
      <c r="G2198" s="14"/>
      <c r="H2198" s="14"/>
      <c r="I2198" s="14"/>
      <c r="J2198" s="14"/>
      <c r="K2198" s="14"/>
      <c r="L2198" s="14"/>
      <c r="M2198" s="14"/>
      <c r="N2198" s="14"/>
      <c r="O2198" s="14"/>
      <c r="P2198" s="14"/>
      <c r="Q2198" s="14"/>
      <c r="R2198" s="14"/>
      <c r="S2198" s="14"/>
      <c r="T2198" s="14"/>
      <c r="U2198" s="14"/>
      <c r="V2198" s="14"/>
      <c r="W2198" s="14"/>
      <c r="X2198" s="14"/>
      <c r="Y2198" s="14"/>
    </row>
    <row r="2199" spans="1:25" ht="15.75" x14ac:dyDescent="0.25">
      <c r="A2199" s="21"/>
      <c r="B2199" s="21"/>
      <c r="C2199" s="21"/>
      <c r="E2199" s="21"/>
      <c r="F2199" s="21"/>
      <c r="G2199" s="14"/>
      <c r="H2199" s="14"/>
      <c r="I2199" s="14"/>
      <c r="J2199" s="14"/>
      <c r="K2199" s="14"/>
      <c r="L2199" s="14"/>
      <c r="M2199" s="14"/>
      <c r="N2199" s="14"/>
      <c r="O2199" s="14"/>
      <c r="P2199" s="14"/>
      <c r="Q2199" s="14"/>
      <c r="R2199" s="14"/>
      <c r="S2199" s="14"/>
      <c r="T2199" s="14"/>
      <c r="U2199" s="14"/>
      <c r="V2199" s="14"/>
      <c r="W2199" s="14"/>
      <c r="X2199" s="14"/>
      <c r="Y2199" s="14"/>
    </row>
    <row r="2200" spans="1:25" ht="15.75" x14ac:dyDescent="0.25">
      <c r="A2200" s="21"/>
      <c r="B2200" s="21"/>
      <c r="C2200" s="21"/>
      <c r="E2200" s="21"/>
      <c r="F2200" s="21"/>
      <c r="G2200" s="14"/>
      <c r="H2200" s="14"/>
      <c r="I2200" s="14"/>
      <c r="J2200" s="14"/>
      <c r="K2200" s="14"/>
      <c r="L2200" s="14"/>
      <c r="M2200" s="14"/>
      <c r="N2200" s="14"/>
      <c r="O2200" s="14"/>
      <c r="P2200" s="14"/>
      <c r="Q2200" s="14"/>
      <c r="R2200" s="14"/>
      <c r="S2200" s="14"/>
      <c r="T2200" s="14"/>
      <c r="U2200" s="14"/>
      <c r="V2200" s="14"/>
      <c r="W2200" s="14"/>
      <c r="X2200" s="14"/>
      <c r="Y2200" s="14"/>
    </row>
    <row r="2201" spans="1:25" ht="15.75" x14ac:dyDescent="0.25">
      <c r="A2201" s="21"/>
      <c r="B2201" s="21"/>
      <c r="C2201" s="21"/>
      <c r="E2201" s="21"/>
      <c r="F2201" s="21"/>
      <c r="G2201" s="14"/>
      <c r="H2201" s="14"/>
      <c r="I2201" s="14"/>
      <c r="J2201" s="14"/>
      <c r="K2201" s="14"/>
      <c r="L2201" s="14"/>
      <c r="M2201" s="14"/>
      <c r="N2201" s="14"/>
      <c r="O2201" s="14"/>
      <c r="P2201" s="14"/>
      <c r="Q2201" s="14"/>
      <c r="R2201" s="14"/>
      <c r="S2201" s="14"/>
      <c r="T2201" s="14"/>
      <c r="U2201" s="14"/>
      <c r="V2201" s="14"/>
      <c r="W2201" s="14"/>
      <c r="X2201" s="14"/>
      <c r="Y2201" s="14"/>
    </row>
    <row r="2202" spans="1:25" ht="15.75" x14ac:dyDescent="0.25">
      <c r="A2202" s="21"/>
      <c r="B2202" s="21"/>
      <c r="C2202" s="21"/>
      <c r="E2202" s="21"/>
      <c r="F2202" s="21"/>
      <c r="G2202" s="14"/>
      <c r="H2202" s="14"/>
      <c r="I2202" s="14"/>
      <c r="J2202" s="14"/>
      <c r="K2202" s="14"/>
      <c r="L2202" s="14"/>
      <c r="M2202" s="14"/>
      <c r="N2202" s="14"/>
      <c r="O2202" s="14"/>
      <c r="P2202" s="14"/>
      <c r="Q2202" s="14"/>
      <c r="R2202" s="14"/>
      <c r="S2202" s="14"/>
      <c r="T2202" s="14"/>
      <c r="U2202" s="14"/>
      <c r="V2202" s="14"/>
      <c r="W2202" s="14"/>
      <c r="X2202" s="14"/>
      <c r="Y2202" s="14"/>
    </row>
    <row r="2203" spans="1:25" ht="15.75" x14ac:dyDescent="0.25">
      <c r="A2203" s="21"/>
      <c r="B2203" s="21"/>
      <c r="C2203" s="21"/>
      <c r="E2203" s="21"/>
      <c r="F2203" s="21"/>
      <c r="G2203" s="14"/>
      <c r="H2203" s="14"/>
      <c r="I2203" s="14"/>
      <c r="J2203" s="14"/>
      <c r="K2203" s="14"/>
      <c r="L2203" s="14"/>
      <c r="M2203" s="14"/>
      <c r="N2203" s="14"/>
      <c r="O2203" s="14"/>
      <c r="P2203" s="14"/>
      <c r="Q2203" s="14"/>
      <c r="R2203" s="14"/>
      <c r="S2203" s="14"/>
      <c r="T2203" s="14"/>
      <c r="U2203" s="14"/>
      <c r="V2203" s="14"/>
      <c r="W2203" s="14"/>
      <c r="X2203" s="14"/>
      <c r="Y2203" s="14"/>
    </row>
    <row r="2204" spans="1:25" ht="15.75" x14ac:dyDescent="0.25">
      <c r="A2204" s="21"/>
      <c r="B2204" s="21"/>
      <c r="C2204" s="21"/>
      <c r="E2204" s="21"/>
      <c r="F2204" s="21"/>
      <c r="G2204" s="14"/>
      <c r="H2204" s="14"/>
      <c r="I2204" s="14"/>
      <c r="J2204" s="14"/>
      <c r="K2204" s="14"/>
      <c r="L2204" s="14"/>
      <c r="M2204" s="14"/>
      <c r="N2204" s="14"/>
      <c r="O2204" s="14"/>
      <c r="P2204" s="14"/>
      <c r="Q2204" s="14"/>
      <c r="R2204" s="14"/>
      <c r="S2204" s="14"/>
      <c r="T2204" s="14"/>
      <c r="U2204" s="14"/>
      <c r="V2204" s="14"/>
      <c r="W2204" s="14"/>
      <c r="X2204" s="14"/>
      <c r="Y2204" s="14"/>
    </row>
    <row r="2205" spans="1:25" ht="15.75" x14ac:dyDescent="0.25">
      <c r="A2205" s="21"/>
      <c r="B2205" s="21"/>
      <c r="C2205" s="21"/>
      <c r="E2205" s="21"/>
      <c r="F2205" s="21"/>
      <c r="G2205" s="14"/>
      <c r="H2205" s="14"/>
      <c r="I2205" s="14"/>
      <c r="J2205" s="14"/>
      <c r="K2205" s="14"/>
      <c r="L2205" s="14"/>
      <c r="M2205" s="14"/>
      <c r="N2205" s="14"/>
      <c r="O2205" s="14"/>
      <c r="P2205" s="14"/>
      <c r="Q2205" s="14"/>
      <c r="R2205" s="14"/>
      <c r="S2205" s="14"/>
      <c r="T2205" s="14"/>
      <c r="U2205" s="14"/>
      <c r="V2205" s="14"/>
      <c r="W2205" s="14"/>
      <c r="X2205" s="14"/>
      <c r="Y2205" s="14"/>
    </row>
    <row r="2206" spans="1:25" ht="15.75" x14ac:dyDescent="0.25">
      <c r="A2206" s="21"/>
      <c r="B2206" s="21"/>
      <c r="C2206" s="21"/>
      <c r="E2206" s="21"/>
      <c r="F2206" s="21"/>
      <c r="G2206" s="14"/>
      <c r="H2206" s="14"/>
      <c r="I2206" s="14"/>
      <c r="J2206" s="14"/>
      <c r="K2206" s="14"/>
      <c r="L2206" s="14"/>
      <c r="M2206" s="14"/>
      <c r="N2206" s="14"/>
      <c r="O2206" s="14"/>
      <c r="P2206" s="14"/>
      <c r="Q2206" s="14"/>
      <c r="R2206" s="14"/>
      <c r="S2206" s="14"/>
      <c r="T2206" s="14"/>
      <c r="U2206" s="14"/>
      <c r="V2206" s="14"/>
      <c r="W2206" s="14"/>
      <c r="X2206" s="14"/>
      <c r="Y2206" s="14"/>
    </row>
    <row r="2207" spans="1:25" ht="15.75" x14ac:dyDescent="0.25">
      <c r="A2207" s="21"/>
      <c r="B2207" s="21"/>
      <c r="C2207" s="21"/>
      <c r="E2207" s="21"/>
      <c r="F2207" s="21"/>
      <c r="G2207" s="14"/>
      <c r="H2207" s="14"/>
      <c r="I2207" s="14"/>
      <c r="J2207" s="14"/>
      <c r="K2207" s="14"/>
      <c r="L2207" s="14"/>
      <c r="M2207" s="14"/>
      <c r="N2207" s="14"/>
      <c r="O2207" s="14"/>
      <c r="P2207" s="14"/>
      <c r="Q2207" s="14"/>
      <c r="R2207" s="14"/>
      <c r="S2207" s="14"/>
      <c r="T2207" s="14"/>
      <c r="U2207" s="14"/>
      <c r="V2207" s="14"/>
      <c r="W2207" s="14"/>
      <c r="X2207" s="14"/>
      <c r="Y2207" s="14"/>
    </row>
    <row r="2208" spans="1:25" ht="15.75" x14ac:dyDescent="0.25">
      <c r="A2208" s="21"/>
      <c r="B2208" s="21"/>
      <c r="C2208" s="21"/>
      <c r="E2208" s="21"/>
      <c r="F2208" s="21"/>
      <c r="G2208" s="14"/>
      <c r="H2208" s="14"/>
      <c r="I2208" s="14"/>
      <c r="J2208" s="14"/>
      <c r="K2208" s="14"/>
      <c r="L2208" s="14"/>
      <c r="M2208" s="14"/>
      <c r="N2208" s="14"/>
      <c r="O2208" s="14"/>
      <c r="P2208" s="14"/>
      <c r="Q2208" s="14"/>
      <c r="R2208" s="14"/>
      <c r="S2208" s="14"/>
      <c r="T2208" s="14"/>
      <c r="U2208" s="14"/>
      <c r="V2208" s="14"/>
      <c r="W2208" s="14"/>
      <c r="X2208" s="14"/>
      <c r="Y2208" s="14"/>
    </row>
    <row r="2209" spans="1:25" ht="15.75" x14ac:dyDescent="0.25">
      <c r="A2209" s="21"/>
      <c r="B2209" s="21"/>
      <c r="C2209" s="21"/>
      <c r="E2209" s="21"/>
      <c r="F2209" s="21"/>
      <c r="G2209" s="14"/>
      <c r="H2209" s="14"/>
      <c r="I2209" s="14"/>
      <c r="J2209" s="14"/>
      <c r="K2209" s="14"/>
      <c r="L2209" s="14"/>
      <c r="M2209" s="14"/>
      <c r="N2209" s="14"/>
      <c r="O2209" s="14"/>
      <c r="P2209" s="14"/>
      <c r="Q2209" s="14"/>
      <c r="R2209" s="14"/>
      <c r="S2209" s="14"/>
      <c r="T2209" s="14"/>
      <c r="U2209" s="14"/>
      <c r="V2209" s="14"/>
      <c r="W2209" s="14"/>
      <c r="X2209" s="14"/>
      <c r="Y2209" s="14"/>
    </row>
    <row r="2210" spans="1:25" ht="15.75" x14ac:dyDescent="0.25">
      <c r="A2210" s="21"/>
      <c r="B2210" s="21"/>
      <c r="C2210" s="21"/>
      <c r="E2210" s="21"/>
      <c r="F2210" s="21"/>
      <c r="G2210" s="14"/>
      <c r="H2210" s="14"/>
      <c r="I2210" s="14"/>
      <c r="J2210" s="14"/>
      <c r="K2210" s="14"/>
      <c r="L2210" s="14"/>
      <c r="M2210" s="14"/>
      <c r="N2210" s="14"/>
      <c r="O2210" s="14"/>
      <c r="P2210" s="14"/>
      <c r="Q2210" s="14"/>
      <c r="R2210" s="14"/>
      <c r="S2210" s="14"/>
      <c r="T2210" s="14"/>
      <c r="U2210" s="14"/>
      <c r="V2210" s="14"/>
      <c r="W2210" s="14"/>
      <c r="X2210" s="14"/>
      <c r="Y2210" s="14"/>
    </row>
    <row r="2211" spans="1:25" ht="15.75" x14ac:dyDescent="0.25">
      <c r="A2211" s="21"/>
      <c r="B2211" s="21"/>
      <c r="C2211" s="21"/>
      <c r="E2211" s="21"/>
      <c r="F2211" s="21"/>
      <c r="G2211" s="14"/>
      <c r="H2211" s="14"/>
      <c r="I2211" s="14"/>
      <c r="J2211" s="14"/>
      <c r="K2211" s="14"/>
      <c r="L2211" s="14"/>
      <c r="M2211" s="14"/>
      <c r="N2211" s="14"/>
      <c r="O2211" s="14"/>
      <c r="P2211" s="14"/>
      <c r="Q2211" s="14"/>
      <c r="R2211" s="14"/>
      <c r="S2211" s="14"/>
      <c r="T2211" s="14"/>
      <c r="U2211" s="14"/>
      <c r="V2211" s="14"/>
      <c r="W2211" s="14"/>
      <c r="X2211" s="14"/>
      <c r="Y2211" s="14"/>
    </row>
    <row r="2212" spans="1:25" ht="15.75" x14ac:dyDescent="0.25">
      <c r="A2212" s="21"/>
      <c r="B2212" s="21"/>
      <c r="C2212" s="21"/>
      <c r="E2212" s="21"/>
      <c r="F2212" s="21"/>
      <c r="G2212" s="14"/>
      <c r="H2212" s="14"/>
      <c r="I2212" s="14"/>
      <c r="J2212" s="14"/>
      <c r="K2212" s="14"/>
      <c r="L2212" s="14"/>
      <c r="M2212" s="14"/>
      <c r="N2212" s="14"/>
      <c r="O2212" s="14"/>
      <c r="P2212" s="14"/>
      <c r="Q2212" s="14"/>
      <c r="R2212" s="14"/>
      <c r="S2212" s="14"/>
      <c r="T2212" s="14"/>
      <c r="U2212" s="14"/>
      <c r="V2212" s="14"/>
      <c r="W2212" s="14"/>
      <c r="X2212" s="14"/>
      <c r="Y2212" s="14"/>
    </row>
    <row r="2213" spans="1:25" ht="15.75" x14ac:dyDescent="0.25">
      <c r="A2213" s="21"/>
      <c r="B2213" s="21"/>
      <c r="C2213" s="21"/>
      <c r="E2213" s="21"/>
      <c r="F2213" s="21"/>
      <c r="G2213" s="14"/>
      <c r="H2213" s="14"/>
      <c r="I2213" s="14"/>
      <c r="J2213" s="14"/>
      <c r="K2213" s="14"/>
      <c r="L2213" s="14"/>
      <c r="M2213" s="14"/>
      <c r="N2213" s="14"/>
      <c r="O2213" s="14"/>
      <c r="P2213" s="14"/>
      <c r="Q2213" s="14"/>
      <c r="R2213" s="14"/>
      <c r="S2213" s="14"/>
      <c r="T2213" s="14"/>
      <c r="U2213" s="14"/>
      <c r="V2213" s="14"/>
      <c r="W2213" s="14"/>
      <c r="X2213" s="14"/>
      <c r="Y2213" s="14"/>
    </row>
    <row r="2214" spans="1:25" ht="15.75" x14ac:dyDescent="0.25">
      <c r="A2214" s="21"/>
      <c r="B2214" s="21"/>
      <c r="C2214" s="21"/>
      <c r="E2214" s="21"/>
      <c r="F2214" s="21"/>
      <c r="G2214" s="14"/>
      <c r="H2214" s="14"/>
      <c r="I2214" s="14"/>
      <c r="J2214" s="14"/>
      <c r="K2214" s="14"/>
      <c r="L2214" s="14"/>
      <c r="M2214" s="14"/>
      <c r="N2214" s="14"/>
      <c r="O2214" s="14"/>
      <c r="P2214" s="14"/>
      <c r="Q2214" s="14"/>
      <c r="R2214" s="14"/>
      <c r="S2214" s="14"/>
      <c r="T2214" s="14"/>
      <c r="U2214" s="14"/>
      <c r="V2214" s="14"/>
      <c r="W2214" s="14"/>
      <c r="X2214" s="14"/>
      <c r="Y2214" s="14"/>
    </row>
    <row r="2215" spans="1:25" ht="15.75" x14ac:dyDescent="0.25">
      <c r="A2215" s="21"/>
      <c r="B2215" s="21"/>
      <c r="C2215" s="21"/>
      <c r="E2215" s="21"/>
      <c r="F2215" s="21"/>
      <c r="G2215" s="14"/>
      <c r="H2215" s="14"/>
      <c r="I2215" s="14"/>
      <c r="J2215" s="14"/>
      <c r="K2215" s="14"/>
      <c r="L2215" s="14"/>
      <c r="M2215" s="14"/>
      <c r="N2215" s="14"/>
      <c r="O2215" s="14"/>
      <c r="P2215" s="14"/>
      <c r="Q2215" s="14"/>
      <c r="R2215" s="14"/>
      <c r="S2215" s="14"/>
      <c r="T2215" s="14"/>
      <c r="U2215" s="14"/>
      <c r="V2215" s="14"/>
      <c r="W2215" s="14"/>
      <c r="X2215" s="14"/>
      <c r="Y2215" s="14"/>
    </row>
    <row r="2216" spans="1:25" ht="15.75" x14ac:dyDescent="0.25">
      <c r="A2216" s="21"/>
      <c r="B2216" s="21"/>
      <c r="C2216" s="21"/>
      <c r="E2216" s="21"/>
      <c r="F2216" s="21"/>
      <c r="G2216" s="14"/>
      <c r="H2216" s="14"/>
      <c r="I2216" s="14"/>
      <c r="J2216" s="14"/>
      <c r="K2216" s="14"/>
      <c r="L2216" s="14"/>
      <c r="M2216" s="14"/>
      <c r="N2216" s="14"/>
      <c r="O2216" s="14"/>
      <c r="P2216" s="14"/>
      <c r="Q2216" s="14"/>
      <c r="R2216" s="14"/>
      <c r="S2216" s="14"/>
      <c r="T2216" s="14"/>
      <c r="U2216" s="14"/>
      <c r="V2216" s="14"/>
      <c r="W2216" s="14"/>
      <c r="X2216" s="14"/>
      <c r="Y2216" s="14"/>
    </row>
    <row r="2217" spans="1:25" ht="15.75" x14ac:dyDescent="0.25">
      <c r="A2217" s="21"/>
      <c r="B2217" s="21"/>
      <c r="C2217" s="21"/>
      <c r="E2217" s="21"/>
      <c r="F2217" s="21"/>
      <c r="G2217" s="14"/>
      <c r="H2217" s="14"/>
      <c r="I2217" s="14"/>
      <c r="J2217" s="14"/>
      <c r="K2217" s="14"/>
      <c r="L2217" s="14"/>
      <c r="M2217" s="14"/>
      <c r="N2217" s="14"/>
      <c r="O2217" s="14"/>
      <c r="P2217" s="14"/>
      <c r="Q2217" s="14"/>
      <c r="R2217" s="14"/>
      <c r="S2217" s="14"/>
      <c r="T2217" s="14"/>
      <c r="U2217" s="14"/>
      <c r="V2217" s="14"/>
      <c r="W2217" s="14"/>
      <c r="X2217" s="14"/>
      <c r="Y2217" s="14"/>
    </row>
    <row r="2218" spans="1:25" ht="15.75" x14ac:dyDescent="0.25">
      <c r="A2218" s="21"/>
      <c r="B2218" s="21"/>
      <c r="C2218" s="21"/>
      <c r="E2218" s="21"/>
      <c r="F2218" s="21"/>
      <c r="G2218" s="14"/>
      <c r="H2218" s="14"/>
      <c r="I2218" s="14"/>
      <c r="J2218" s="14"/>
      <c r="K2218" s="14"/>
      <c r="L2218" s="14"/>
      <c r="M2218" s="14"/>
      <c r="N2218" s="14"/>
      <c r="O2218" s="14"/>
      <c r="P2218" s="14"/>
      <c r="Q2218" s="14"/>
      <c r="R2218" s="14"/>
      <c r="S2218" s="14"/>
      <c r="T2218" s="14"/>
      <c r="U2218" s="14"/>
      <c r="V2218" s="14"/>
      <c r="W2218" s="14"/>
      <c r="X2218" s="14"/>
      <c r="Y2218" s="14"/>
    </row>
    <row r="2219" spans="1:25" ht="15.75" x14ac:dyDescent="0.25">
      <c r="A2219" s="21"/>
      <c r="B2219" s="21"/>
      <c r="C2219" s="21"/>
      <c r="E2219" s="21"/>
      <c r="F2219" s="21"/>
      <c r="G2219" s="14"/>
      <c r="H2219" s="14"/>
      <c r="I2219" s="14"/>
      <c r="J2219" s="14"/>
      <c r="K2219" s="14"/>
      <c r="L2219" s="14"/>
      <c r="M2219" s="14"/>
      <c r="N2219" s="14"/>
      <c r="O2219" s="14"/>
      <c r="P2219" s="14"/>
      <c r="Q2219" s="14"/>
      <c r="R2219" s="14"/>
      <c r="S2219" s="14"/>
      <c r="T2219" s="14"/>
      <c r="U2219" s="14"/>
      <c r="V2219" s="14"/>
      <c r="W2219" s="14"/>
      <c r="X2219" s="14"/>
      <c r="Y2219" s="14"/>
    </row>
    <row r="2220" spans="1:25" ht="15.75" x14ac:dyDescent="0.25">
      <c r="A2220" s="21"/>
      <c r="B2220" s="21"/>
      <c r="C2220" s="21"/>
      <c r="E2220" s="21"/>
      <c r="F2220" s="21"/>
      <c r="G2220" s="14"/>
      <c r="H2220" s="14"/>
      <c r="I2220" s="14"/>
      <c r="J2220" s="14"/>
      <c r="K2220" s="14"/>
      <c r="L2220" s="14"/>
      <c r="M2220" s="14"/>
      <c r="N2220" s="14"/>
      <c r="O2220" s="14"/>
      <c r="P2220" s="14"/>
      <c r="Q2220" s="14"/>
      <c r="R2220" s="14"/>
      <c r="S2220" s="14"/>
      <c r="T2220" s="14"/>
      <c r="U2220" s="14"/>
      <c r="V2220" s="14"/>
      <c r="W2220" s="14"/>
      <c r="X2220" s="14"/>
      <c r="Y2220" s="14"/>
    </row>
    <row r="2221" spans="1:25" ht="15.75" x14ac:dyDescent="0.25">
      <c r="A2221" s="21"/>
      <c r="B2221" s="21"/>
      <c r="C2221" s="21"/>
      <c r="E2221" s="21"/>
      <c r="F2221" s="21"/>
      <c r="G2221" s="14"/>
      <c r="H2221" s="14"/>
      <c r="I2221" s="14"/>
      <c r="J2221" s="14"/>
      <c r="K2221" s="14"/>
      <c r="L2221" s="14"/>
      <c r="M2221" s="14"/>
      <c r="N2221" s="14"/>
      <c r="O2221" s="14"/>
      <c r="P2221" s="14"/>
      <c r="Q2221" s="14"/>
      <c r="R2221" s="14"/>
      <c r="S2221" s="14"/>
      <c r="T2221" s="14"/>
      <c r="U2221" s="14"/>
      <c r="V2221" s="14"/>
      <c r="W2221" s="14"/>
      <c r="X2221" s="14"/>
      <c r="Y2221" s="14"/>
    </row>
    <row r="2222" spans="1:25" ht="15.75" x14ac:dyDescent="0.25">
      <c r="A2222" s="21"/>
      <c r="B2222" s="21"/>
      <c r="C2222" s="21"/>
      <c r="E2222" s="21"/>
      <c r="F2222" s="21"/>
      <c r="G2222" s="14"/>
      <c r="H2222" s="14"/>
      <c r="I2222" s="14"/>
      <c r="J2222" s="14"/>
      <c r="K2222" s="14"/>
      <c r="L2222" s="14"/>
      <c r="M2222" s="14"/>
      <c r="N2222" s="14"/>
      <c r="O2222" s="14"/>
      <c r="P2222" s="14"/>
      <c r="Q2222" s="14"/>
      <c r="R2222" s="14"/>
      <c r="S2222" s="14"/>
      <c r="T2222" s="14"/>
      <c r="U2222" s="14"/>
      <c r="V2222" s="14"/>
      <c r="W2222" s="14"/>
      <c r="X2222" s="14"/>
      <c r="Y2222" s="14"/>
    </row>
    <row r="2223" spans="1:25" ht="15.75" x14ac:dyDescent="0.25">
      <c r="A2223" s="21"/>
      <c r="B2223" s="21"/>
      <c r="C2223" s="21"/>
      <c r="E2223" s="21"/>
      <c r="F2223" s="21"/>
      <c r="G2223" s="14"/>
      <c r="H2223" s="14"/>
      <c r="I2223" s="14"/>
      <c r="J2223" s="14"/>
      <c r="K2223" s="14"/>
      <c r="L2223" s="14"/>
      <c r="M2223" s="14"/>
      <c r="N2223" s="14"/>
      <c r="O2223" s="14"/>
      <c r="P2223" s="14"/>
      <c r="Q2223" s="14"/>
      <c r="R2223" s="14"/>
      <c r="S2223" s="14"/>
      <c r="T2223" s="14"/>
      <c r="U2223" s="14"/>
      <c r="V2223" s="14"/>
      <c r="W2223" s="14"/>
      <c r="X2223" s="14"/>
      <c r="Y2223" s="14"/>
    </row>
    <row r="2224" spans="1:25" ht="15.75" x14ac:dyDescent="0.25">
      <c r="A2224" s="21"/>
      <c r="B2224" s="21"/>
      <c r="C2224" s="21"/>
      <c r="E2224" s="21"/>
      <c r="F2224" s="21"/>
      <c r="G2224" s="14"/>
      <c r="H2224" s="14"/>
      <c r="I2224" s="14"/>
      <c r="J2224" s="14"/>
      <c r="K2224" s="14"/>
      <c r="L2224" s="14"/>
      <c r="M2224" s="14"/>
      <c r="N2224" s="14"/>
      <c r="O2224" s="14"/>
      <c r="P2224" s="14"/>
      <c r="Q2224" s="14"/>
      <c r="R2224" s="14"/>
      <c r="S2224" s="14"/>
      <c r="T2224" s="14"/>
      <c r="U2224" s="14"/>
      <c r="V2224" s="14"/>
      <c r="W2224" s="14"/>
      <c r="X2224" s="14"/>
      <c r="Y2224" s="14"/>
    </row>
    <row r="2225" spans="1:25" ht="15.75" x14ac:dyDescent="0.25">
      <c r="A2225" s="21"/>
      <c r="B2225" s="21"/>
      <c r="C2225" s="21"/>
      <c r="E2225" s="21"/>
      <c r="F2225" s="21"/>
      <c r="G2225" s="14"/>
      <c r="H2225" s="14"/>
      <c r="I2225" s="14"/>
      <c r="J2225" s="14"/>
      <c r="K2225" s="14"/>
      <c r="L2225" s="14"/>
      <c r="M2225" s="14"/>
      <c r="N2225" s="14"/>
      <c r="O2225" s="14"/>
      <c r="P2225" s="14"/>
      <c r="Q2225" s="14"/>
      <c r="R2225" s="14"/>
      <c r="S2225" s="14"/>
      <c r="T2225" s="14"/>
      <c r="U2225" s="14"/>
      <c r="V2225" s="14"/>
      <c r="W2225" s="14"/>
      <c r="X2225" s="14"/>
      <c r="Y2225" s="14"/>
    </row>
    <row r="2226" spans="1:25" ht="15.75" x14ac:dyDescent="0.25">
      <c r="A2226" s="21"/>
      <c r="B2226" s="21"/>
      <c r="C2226" s="21"/>
      <c r="E2226" s="21"/>
      <c r="F2226" s="21"/>
      <c r="G2226" s="14"/>
      <c r="H2226" s="14"/>
      <c r="I2226" s="14"/>
      <c r="J2226" s="14"/>
      <c r="K2226" s="14"/>
      <c r="L2226" s="14"/>
      <c r="M2226" s="14"/>
      <c r="N2226" s="14"/>
      <c r="O2226" s="14"/>
      <c r="P2226" s="14"/>
      <c r="Q2226" s="14"/>
      <c r="R2226" s="14"/>
      <c r="S2226" s="14"/>
      <c r="T2226" s="14"/>
      <c r="U2226" s="14"/>
      <c r="V2226" s="14"/>
      <c r="W2226" s="14"/>
      <c r="X2226" s="14"/>
      <c r="Y2226" s="14"/>
    </row>
    <row r="2227" spans="1:25" ht="15.75" x14ac:dyDescent="0.25">
      <c r="A2227" s="21"/>
      <c r="B2227" s="21"/>
      <c r="C2227" s="21"/>
      <c r="E2227" s="21"/>
      <c r="F2227" s="21"/>
      <c r="G2227" s="14"/>
      <c r="H2227" s="14"/>
      <c r="I2227" s="14"/>
      <c r="J2227" s="14"/>
      <c r="K2227" s="14"/>
      <c r="L2227" s="14"/>
      <c r="M2227" s="14"/>
      <c r="N2227" s="14"/>
      <c r="O2227" s="14"/>
      <c r="P2227" s="14"/>
      <c r="Q2227" s="14"/>
      <c r="R2227" s="14"/>
      <c r="S2227" s="14"/>
      <c r="T2227" s="14"/>
      <c r="U2227" s="14"/>
      <c r="V2227" s="14"/>
      <c r="W2227" s="14"/>
      <c r="X2227" s="14"/>
      <c r="Y2227" s="14"/>
    </row>
    <row r="2228" spans="1:25" ht="15.75" x14ac:dyDescent="0.25">
      <c r="A2228" s="21"/>
      <c r="B2228" s="21"/>
      <c r="C2228" s="21"/>
      <c r="E2228" s="21"/>
      <c r="F2228" s="21"/>
      <c r="G2228" s="14"/>
      <c r="H2228" s="14"/>
      <c r="I2228" s="14"/>
      <c r="J2228" s="14"/>
      <c r="K2228" s="14"/>
      <c r="L2228" s="14"/>
      <c r="M2228" s="14"/>
      <c r="N2228" s="14"/>
      <c r="O2228" s="14"/>
      <c r="P2228" s="14"/>
      <c r="Q2228" s="14"/>
      <c r="R2228" s="14"/>
      <c r="S2228" s="14"/>
      <c r="T2228" s="14"/>
      <c r="U2228" s="14"/>
      <c r="V2228" s="14"/>
      <c r="W2228" s="14"/>
      <c r="X2228" s="14"/>
      <c r="Y2228" s="14"/>
    </row>
    <row r="2229" spans="1:25" ht="15.75" x14ac:dyDescent="0.25">
      <c r="A2229" s="21"/>
      <c r="B2229" s="21"/>
      <c r="C2229" s="21"/>
      <c r="E2229" s="21"/>
      <c r="F2229" s="21"/>
      <c r="G2229" s="14"/>
      <c r="H2229" s="14"/>
      <c r="I2229" s="14"/>
      <c r="J2229" s="14"/>
      <c r="K2229" s="14"/>
      <c r="L2229" s="14"/>
      <c r="M2229" s="14"/>
      <c r="N2229" s="14"/>
      <c r="O2229" s="14"/>
      <c r="P2229" s="14"/>
      <c r="Q2229" s="14"/>
      <c r="R2229" s="14"/>
      <c r="S2229" s="14"/>
      <c r="T2229" s="14"/>
      <c r="U2229" s="14"/>
      <c r="V2229" s="14"/>
      <c r="W2229" s="14"/>
      <c r="X2229" s="14"/>
      <c r="Y2229" s="14"/>
    </row>
    <row r="2230" spans="1:25" ht="15.75" x14ac:dyDescent="0.25">
      <c r="A2230" s="21"/>
      <c r="B2230" s="21"/>
      <c r="C2230" s="21"/>
      <c r="E2230" s="21"/>
      <c r="F2230" s="21"/>
      <c r="G2230" s="14"/>
      <c r="H2230" s="14"/>
      <c r="I2230" s="14"/>
      <c r="J2230" s="14"/>
      <c r="K2230" s="14"/>
      <c r="L2230" s="14"/>
      <c r="M2230" s="14"/>
      <c r="N2230" s="14"/>
      <c r="O2230" s="14"/>
      <c r="P2230" s="14"/>
      <c r="Q2230" s="14"/>
      <c r="R2230" s="14"/>
      <c r="S2230" s="14"/>
      <c r="T2230" s="14"/>
      <c r="U2230" s="14"/>
      <c r="V2230" s="14"/>
      <c r="W2230" s="14"/>
      <c r="X2230" s="14"/>
      <c r="Y2230" s="14"/>
    </row>
    <row r="2231" spans="1:25" ht="15.75" x14ac:dyDescent="0.25">
      <c r="A2231" s="21"/>
      <c r="B2231" s="21"/>
      <c r="C2231" s="21"/>
      <c r="E2231" s="21"/>
      <c r="F2231" s="21"/>
      <c r="G2231" s="14"/>
      <c r="H2231" s="14"/>
      <c r="I2231" s="14"/>
      <c r="J2231" s="14"/>
      <c r="K2231" s="14"/>
      <c r="L2231" s="14"/>
      <c r="M2231" s="14"/>
      <c r="N2231" s="14"/>
      <c r="O2231" s="14"/>
      <c r="P2231" s="14"/>
      <c r="Q2231" s="14"/>
      <c r="R2231" s="14"/>
      <c r="S2231" s="14"/>
      <c r="T2231" s="14"/>
      <c r="U2231" s="14"/>
      <c r="V2231" s="14"/>
      <c r="W2231" s="14"/>
      <c r="X2231" s="14"/>
      <c r="Y2231" s="14"/>
    </row>
    <row r="2232" spans="1:25" ht="15.75" x14ac:dyDescent="0.25">
      <c r="A2232" s="21"/>
      <c r="B2232" s="21"/>
      <c r="C2232" s="21"/>
      <c r="E2232" s="21"/>
      <c r="F2232" s="21"/>
      <c r="G2232" s="14"/>
      <c r="H2232" s="14"/>
      <c r="I2232" s="14"/>
      <c r="J2232" s="14"/>
      <c r="K2232" s="14"/>
      <c r="L2232" s="14"/>
      <c r="M2232" s="14"/>
      <c r="N2232" s="14"/>
      <c r="O2232" s="14"/>
      <c r="P2232" s="14"/>
      <c r="Q2232" s="14"/>
      <c r="R2232" s="14"/>
      <c r="S2232" s="14"/>
      <c r="T2232" s="14"/>
      <c r="U2232" s="14"/>
      <c r="V2232" s="14"/>
      <c r="W2232" s="14"/>
      <c r="X2232" s="14"/>
      <c r="Y2232" s="14"/>
    </row>
    <row r="2233" spans="1:25" ht="15.75" x14ac:dyDescent="0.25">
      <c r="A2233" s="21"/>
      <c r="B2233" s="21"/>
      <c r="C2233" s="21"/>
      <c r="E2233" s="21"/>
      <c r="F2233" s="21"/>
      <c r="G2233" s="14"/>
      <c r="H2233" s="14"/>
      <c r="I2233" s="14"/>
      <c r="J2233" s="14"/>
      <c r="K2233" s="14"/>
      <c r="L2233" s="14"/>
      <c r="M2233" s="14"/>
      <c r="N2233" s="14"/>
      <c r="O2233" s="14"/>
      <c r="P2233" s="14"/>
      <c r="Q2233" s="14"/>
      <c r="R2233" s="14"/>
      <c r="S2233" s="14"/>
      <c r="T2233" s="14"/>
      <c r="U2233" s="14"/>
      <c r="V2233" s="14"/>
      <c r="W2233" s="14"/>
      <c r="X2233" s="14"/>
      <c r="Y2233" s="14"/>
    </row>
    <row r="2234" spans="1:25" ht="15.75" x14ac:dyDescent="0.25">
      <c r="A2234" s="21"/>
      <c r="B2234" s="21"/>
      <c r="C2234" s="21"/>
      <c r="E2234" s="21"/>
      <c r="F2234" s="21"/>
      <c r="G2234" s="14"/>
      <c r="H2234" s="14"/>
      <c r="I2234" s="14"/>
      <c r="J2234" s="14"/>
      <c r="K2234" s="14"/>
      <c r="L2234" s="14"/>
      <c r="M2234" s="14"/>
      <c r="N2234" s="14"/>
      <c r="O2234" s="14"/>
      <c r="P2234" s="14"/>
      <c r="Q2234" s="14"/>
      <c r="R2234" s="14"/>
      <c r="S2234" s="14"/>
      <c r="T2234" s="14"/>
      <c r="U2234" s="14"/>
      <c r="V2234" s="14"/>
      <c r="W2234" s="14"/>
      <c r="X2234" s="14"/>
      <c r="Y2234" s="14"/>
    </row>
    <row r="2235" spans="1:25" ht="15.75" x14ac:dyDescent="0.25">
      <c r="A2235" s="21"/>
      <c r="B2235" s="21"/>
      <c r="C2235" s="21"/>
      <c r="E2235" s="21"/>
      <c r="F2235" s="21"/>
      <c r="G2235" s="14"/>
      <c r="H2235" s="14"/>
      <c r="I2235" s="14"/>
      <c r="J2235" s="14"/>
      <c r="K2235" s="14"/>
      <c r="L2235" s="14"/>
      <c r="M2235" s="14"/>
      <c r="N2235" s="14"/>
      <c r="O2235" s="14"/>
      <c r="P2235" s="14"/>
      <c r="Q2235" s="14"/>
      <c r="R2235" s="14"/>
      <c r="S2235" s="14"/>
      <c r="T2235" s="14"/>
      <c r="U2235" s="14"/>
      <c r="V2235" s="14"/>
      <c r="W2235" s="14"/>
      <c r="X2235" s="14"/>
      <c r="Y2235" s="14"/>
    </row>
    <row r="2236" spans="1:25" ht="15.75" x14ac:dyDescent="0.25">
      <c r="A2236" s="21"/>
      <c r="B2236" s="21"/>
      <c r="C2236" s="21"/>
      <c r="E2236" s="21"/>
      <c r="F2236" s="21"/>
      <c r="G2236" s="14"/>
      <c r="H2236" s="14"/>
      <c r="I2236" s="14"/>
      <c r="J2236" s="14"/>
      <c r="K2236" s="14"/>
      <c r="L2236" s="14"/>
      <c r="M2236" s="14"/>
      <c r="N2236" s="14"/>
      <c r="O2236" s="14"/>
      <c r="P2236" s="14"/>
      <c r="Q2236" s="14"/>
      <c r="R2236" s="14"/>
      <c r="S2236" s="14"/>
      <c r="T2236" s="14"/>
      <c r="U2236" s="14"/>
      <c r="V2236" s="14"/>
      <c r="W2236" s="14"/>
      <c r="X2236" s="14"/>
      <c r="Y2236" s="14"/>
    </row>
    <row r="2237" spans="1:25" ht="15.75" x14ac:dyDescent="0.25">
      <c r="A2237" s="21"/>
      <c r="B2237" s="21"/>
      <c r="C2237" s="21"/>
      <c r="E2237" s="21"/>
      <c r="F2237" s="21"/>
      <c r="G2237" s="14"/>
      <c r="H2237" s="14"/>
      <c r="I2237" s="14"/>
      <c r="J2237" s="14"/>
      <c r="K2237" s="14"/>
      <c r="L2237" s="14"/>
      <c r="M2237" s="14"/>
      <c r="N2237" s="14"/>
      <c r="O2237" s="14"/>
      <c r="P2237" s="14"/>
      <c r="Q2237" s="14"/>
      <c r="R2237" s="14"/>
      <c r="S2237" s="14"/>
      <c r="T2237" s="14"/>
      <c r="U2237" s="14"/>
      <c r="V2237" s="14"/>
      <c r="W2237" s="14"/>
      <c r="X2237" s="14"/>
      <c r="Y2237" s="14"/>
    </row>
    <row r="2238" spans="1:25" ht="15.75" x14ac:dyDescent="0.25">
      <c r="A2238" s="21"/>
      <c r="B2238" s="21"/>
      <c r="C2238" s="21"/>
      <c r="E2238" s="21"/>
      <c r="F2238" s="21"/>
      <c r="G2238" s="14"/>
      <c r="H2238" s="14"/>
      <c r="I2238" s="14"/>
      <c r="J2238" s="14"/>
      <c r="K2238" s="14"/>
      <c r="L2238" s="14"/>
      <c r="M2238" s="14"/>
      <c r="N2238" s="14"/>
      <c r="O2238" s="14"/>
      <c r="P2238" s="14"/>
      <c r="Q2238" s="14"/>
      <c r="R2238" s="14"/>
      <c r="S2238" s="14"/>
      <c r="T2238" s="14"/>
      <c r="U2238" s="14"/>
      <c r="V2238" s="14"/>
      <c r="W2238" s="14"/>
      <c r="X2238" s="14"/>
      <c r="Y2238" s="14"/>
    </row>
    <row r="2239" spans="1:25" ht="15.75" x14ac:dyDescent="0.25">
      <c r="A2239" s="21"/>
      <c r="B2239" s="21"/>
      <c r="C2239" s="21"/>
      <c r="E2239" s="21"/>
      <c r="F2239" s="21"/>
      <c r="G2239" s="14"/>
      <c r="H2239" s="14"/>
      <c r="I2239" s="14"/>
      <c r="J2239" s="14"/>
      <c r="K2239" s="14"/>
      <c r="L2239" s="14"/>
      <c r="M2239" s="14"/>
      <c r="N2239" s="14"/>
      <c r="O2239" s="14"/>
      <c r="P2239" s="14"/>
      <c r="Q2239" s="14"/>
      <c r="R2239" s="14"/>
      <c r="S2239" s="14"/>
      <c r="T2239" s="14"/>
      <c r="U2239" s="14"/>
      <c r="V2239" s="14"/>
      <c r="W2239" s="14"/>
      <c r="X2239" s="14"/>
      <c r="Y2239" s="14"/>
    </row>
    <row r="2240" spans="1:25" ht="15.75" x14ac:dyDescent="0.25">
      <c r="A2240" s="21"/>
      <c r="B2240" s="21"/>
      <c r="C2240" s="21"/>
      <c r="E2240" s="21"/>
      <c r="F2240" s="21"/>
      <c r="G2240" s="14"/>
      <c r="H2240" s="14"/>
      <c r="I2240" s="14"/>
      <c r="J2240" s="14"/>
      <c r="K2240" s="14"/>
      <c r="L2240" s="14"/>
      <c r="M2240" s="14"/>
      <c r="N2240" s="14"/>
      <c r="O2240" s="14"/>
      <c r="P2240" s="14"/>
      <c r="Q2240" s="14"/>
      <c r="R2240" s="14"/>
      <c r="S2240" s="14"/>
      <c r="T2240" s="14"/>
      <c r="U2240" s="14"/>
      <c r="V2240" s="14"/>
      <c r="W2240" s="14"/>
      <c r="X2240" s="14"/>
      <c r="Y2240" s="14"/>
    </row>
    <row r="2241" spans="1:25" ht="15.75" x14ac:dyDescent="0.25">
      <c r="A2241" s="21"/>
      <c r="B2241" s="21"/>
      <c r="C2241" s="21"/>
      <c r="E2241" s="21"/>
      <c r="F2241" s="21"/>
      <c r="G2241" s="14"/>
      <c r="H2241" s="14"/>
      <c r="I2241" s="14"/>
      <c r="J2241" s="14"/>
      <c r="K2241" s="14"/>
      <c r="L2241" s="14"/>
      <c r="M2241" s="14"/>
      <c r="N2241" s="14"/>
      <c r="O2241" s="14"/>
      <c r="P2241" s="14"/>
      <c r="Q2241" s="14"/>
      <c r="R2241" s="14"/>
      <c r="S2241" s="14"/>
      <c r="T2241" s="14"/>
      <c r="U2241" s="14"/>
      <c r="V2241" s="14"/>
      <c r="W2241" s="14"/>
      <c r="X2241" s="14"/>
      <c r="Y2241" s="14"/>
    </row>
    <row r="2242" spans="1:25" ht="15.75" x14ac:dyDescent="0.25">
      <c r="A2242" s="21"/>
      <c r="B2242" s="21"/>
      <c r="C2242" s="21"/>
      <c r="E2242" s="21"/>
      <c r="F2242" s="21"/>
      <c r="G2242" s="14"/>
      <c r="H2242" s="14"/>
      <c r="I2242" s="14"/>
      <c r="J2242" s="14"/>
      <c r="K2242" s="14"/>
      <c r="L2242" s="14"/>
      <c r="M2242" s="14"/>
      <c r="N2242" s="14"/>
      <c r="O2242" s="14"/>
      <c r="P2242" s="14"/>
      <c r="Q2242" s="14"/>
      <c r="R2242" s="14"/>
      <c r="S2242" s="14"/>
      <c r="T2242" s="14"/>
      <c r="U2242" s="14"/>
      <c r="V2242" s="14"/>
      <c r="W2242" s="14"/>
      <c r="X2242" s="14"/>
      <c r="Y2242" s="14"/>
    </row>
    <row r="2243" spans="1:25" ht="15.75" x14ac:dyDescent="0.25">
      <c r="A2243" s="21"/>
      <c r="B2243" s="21"/>
      <c r="C2243" s="21"/>
      <c r="E2243" s="21"/>
      <c r="F2243" s="21"/>
      <c r="G2243" s="14"/>
      <c r="H2243" s="14"/>
      <c r="I2243" s="14"/>
      <c r="J2243" s="14"/>
      <c r="K2243" s="14"/>
      <c r="L2243" s="14"/>
      <c r="M2243" s="14"/>
      <c r="N2243" s="14"/>
      <c r="O2243" s="14"/>
      <c r="P2243" s="14"/>
      <c r="Q2243" s="14"/>
      <c r="R2243" s="14"/>
      <c r="S2243" s="14"/>
      <c r="T2243" s="14"/>
      <c r="U2243" s="14"/>
      <c r="V2243" s="14"/>
      <c r="W2243" s="14"/>
      <c r="X2243" s="14"/>
      <c r="Y2243" s="14"/>
    </row>
    <row r="2244" spans="1:25" ht="15.75" x14ac:dyDescent="0.25">
      <c r="A2244" s="21"/>
      <c r="B2244" s="21"/>
      <c r="C2244" s="21"/>
      <c r="E2244" s="21"/>
      <c r="F2244" s="21"/>
      <c r="G2244" s="14"/>
      <c r="H2244" s="14"/>
      <c r="I2244" s="14"/>
      <c r="J2244" s="14"/>
      <c r="K2244" s="14"/>
      <c r="L2244" s="14"/>
      <c r="M2244" s="14"/>
      <c r="N2244" s="14"/>
      <c r="O2244" s="14"/>
      <c r="P2244" s="14"/>
      <c r="Q2244" s="14"/>
      <c r="R2244" s="14"/>
      <c r="S2244" s="14"/>
      <c r="T2244" s="14"/>
      <c r="U2244" s="14"/>
      <c r="V2244" s="14"/>
      <c r="W2244" s="14"/>
      <c r="X2244" s="14"/>
      <c r="Y2244" s="14"/>
    </row>
    <row r="2245" spans="1:25" ht="15.75" x14ac:dyDescent="0.25">
      <c r="A2245" s="21"/>
      <c r="B2245" s="21"/>
      <c r="C2245" s="21"/>
      <c r="E2245" s="21"/>
      <c r="F2245" s="21"/>
      <c r="G2245" s="14"/>
      <c r="H2245" s="14"/>
      <c r="I2245" s="14"/>
      <c r="J2245" s="14"/>
      <c r="K2245" s="14"/>
      <c r="L2245" s="14"/>
      <c r="M2245" s="14"/>
      <c r="N2245" s="14"/>
      <c r="O2245" s="14"/>
      <c r="P2245" s="14"/>
      <c r="Q2245" s="14"/>
      <c r="R2245" s="14"/>
      <c r="S2245" s="14"/>
      <c r="T2245" s="14"/>
      <c r="U2245" s="14"/>
      <c r="V2245" s="14"/>
      <c r="W2245" s="14"/>
      <c r="X2245" s="14"/>
      <c r="Y2245" s="14"/>
    </row>
    <row r="2246" spans="1:25" ht="15.75" x14ac:dyDescent="0.25">
      <c r="A2246" s="21"/>
      <c r="B2246" s="21"/>
      <c r="C2246" s="21"/>
      <c r="E2246" s="21"/>
      <c r="F2246" s="21"/>
      <c r="G2246" s="14"/>
      <c r="H2246" s="14"/>
      <c r="I2246" s="14"/>
      <c r="J2246" s="14"/>
      <c r="K2246" s="14"/>
      <c r="L2246" s="14"/>
      <c r="M2246" s="14"/>
      <c r="N2246" s="14"/>
      <c r="O2246" s="14"/>
      <c r="P2246" s="14"/>
      <c r="Q2246" s="14"/>
      <c r="R2246" s="14"/>
      <c r="S2246" s="14"/>
      <c r="T2246" s="14"/>
      <c r="U2246" s="14"/>
      <c r="V2246" s="14"/>
      <c r="W2246" s="14"/>
      <c r="X2246" s="14"/>
      <c r="Y2246" s="14"/>
    </row>
    <row r="2247" spans="1:25" ht="15.75" x14ac:dyDescent="0.25">
      <c r="A2247" s="21"/>
      <c r="B2247" s="21"/>
      <c r="C2247" s="21"/>
      <c r="E2247" s="21"/>
      <c r="F2247" s="21"/>
      <c r="G2247" s="14"/>
      <c r="H2247" s="14"/>
      <c r="I2247" s="14"/>
      <c r="J2247" s="14"/>
      <c r="K2247" s="14"/>
      <c r="L2247" s="14"/>
      <c r="M2247" s="14"/>
      <c r="N2247" s="14"/>
      <c r="O2247" s="14"/>
      <c r="P2247" s="14"/>
      <c r="Q2247" s="14"/>
      <c r="R2247" s="14"/>
      <c r="S2247" s="14"/>
      <c r="T2247" s="14"/>
      <c r="U2247" s="14"/>
      <c r="V2247" s="14"/>
      <c r="W2247" s="14"/>
      <c r="X2247" s="14"/>
      <c r="Y2247" s="14"/>
    </row>
    <row r="2248" spans="1:25" ht="15.75" x14ac:dyDescent="0.25">
      <c r="A2248" s="21"/>
      <c r="B2248" s="21"/>
      <c r="C2248" s="21"/>
      <c r="E2248" s="21"/>
      <c r="F2248" s="21"/>
      <c r="G2248" s="14"/>
      <c r="H2248" s="14"/>
      <c r="I2248" s="14"/>
      <c r="J2248" s="14"/>
      <c r="K2248" s="14"/>
      <c r="L2248" s="14"/>
      <c r="M2248" s="14"/>
      <c r="N2248" s="14"/>
      <c r="O2248" s="14"/>
      <c r="P2248" s="14"/>
      <c r="Q2248" s="14"/>
      <c r="R2248" s="14"/>
      <c r="S2248" s="14"/>
      <c r="T2248" s="14"/>
      <c r="U2248" s="14"/>
      <c r="V2248" s="14"/>
      <c r="W2248" s="14"/>
      <c r="X2248" s="14"/>
      <c r="Y2248" s="14"/>
    </row>
    <row r="2249" spans="1:25" ht="15.75" x14ac:dyDescent="0.25">
      <c r="A2249" s="21"/>
      <c r="B2249" s="21"/>
      <c r="C2249" s="21"/>
      <c r="E2249" s="21"/>
      <c r="F2249" s="21"/>
      <c r="G2249" s="14"/>
      <c r="H2249" s="14"/>
      <c r="I2249" s="14"/>
      <c r="J2249" s="14"/>
      <c r="K2249" s="14"/>
      <c r="L2249" s="14"/>
      <c r="M2249" s="14"/>
      <c r="N2249" s="14"/>
      <c r="O2249" s="14"/>
      <c r="P2249" s="14"/>
      <c r="Q2249" s="14"/>
      <c r="R2249" s="14"/>
      <c r="S2249" s="14"/>
      <c r="T2249" s="14"/>
      <c r="U2249" s="14"/>
      <c r="V2249" s="14"/>
      <c r="W2249" s="14"/>
      <c r="X2249" s="14"/>
      <c r="Y2249" s="14"/>
    </row>
    <row r="2250" spans="1:25" ht="15.75" x14ac:dyDescent="0.25">
      <c r="A2250" s="21"/>
      <c r="B2250" s="21"/>
      <c r="C2250" s="21"/>
      <c r="E2250" s="21"/>
      <c r="F2250" s="21"/>
      <c r="G2250" s="14"/>
      <c r="H2250" s="14"/>
      <c r="I2250" s="14"/>
      <c r="J2250" s="14"/>
      <c r="K2250" s="14"/>
      <c r="L2250" s="14"/>
      <c r="M2250" s="14"/>
      <c r="N2250" s="14"/>
      <c r="O2250" s="14"/>
      <c r="P2250" s="14"/>
      <c r="Q2250" s="14"/>
      <c r="R2250" s="14"/>
      <c r="S2250" s="14"/>
      <c r="T2250" s="14"/>
      <c r="U2250" s="14"/>
      <c r="V2250" s="14"/>
      <c r="W2250" s="14"/>
      <c r="X2250" s="14"/>
      <c r="Y2250" s="14"/>
    </row>
    <row r="2251" spans="1:25" ht="15.75" x14ac:dyDescent="0.25">
      <c r="A2251" s="21"/>
      <c r="B2251" s="21"/>
      <c r="C2251" s="21"/>
      <c r="E2251" s="21"/>
      <c r="F2251" s="21"/>
      <c r="G2251" s="14"/>
      <c r="H2251" s="14"/>
      <c r="I2251" s="14"/>
      <c r="J2251" s="14"/>
      <c r="K2251" s="14"/>
      <c r="L2251" s="14"/>
      <c r="M2251" s="14"/>
      <c r="N2251" s="14"/>
      <c r="O2251" s="14"/>
      <c r="P2251" s="14"/>
      <c r="Q2251" s="14"/>
      <c r="R2251" s="14"/>
      <c r="S2251" s="14"/>
      <c r="T2251" s="14"/>
      <c r="U2251" s="14"/>
      <c r="V2251" s="14"/>
      <c r="W2251" s="14"/>
      <c r="X2251" s="14"/>
      <c r="Y2251" s="14"/>
    </row>
    <row r="2252" spans="1:25" ht="15.75" x14ac:dyDescent="0.25">
      <c r="A2252" s="21"/>
      <c r="B2252" s="21"/>
      <c r="C2252" s="21"/>
      <c r="E2252" s="21"/>
      <c r="F2252" s="21"/>
      <c r="G2252" s="14"/>
      <c r="H2252" s="14"/>
      <c r="I2252" s="14"/>
      <c r="J2252" s="14"/>
      <c r="K2252" s="14"/>
      <c r="L2252" s="14"/>
      <c r="M2252" s="14"/>
      <c r="N2252" s="14"/>
      <c r="O2252" s="14"/>
      <c r="P2252" s="14"/>
      <c r="Q2252" s="14"/>
      <c r="R2252" s="14"/>
      <c r="S2252" s="14"/>
      <c r="T2252" s="14"/>
      <c r="U2252" s="14"/>
      <c r="V2252" s="14"/>
      <c r="W2252" s="14"/>
      <c r="X2252" s="14"/>
      <c r="Y2252" s="14"/>
    </row>
    <row r="2253" spans="1:25" ht="15.75" x14ac:dyDescent="0.25">
      <c r="A2253" s="21"/>
      <c r="B2253" s="21"/>
      <c r="C2253" s="21"/>
      <c r="E2253" s="21"/>
      <c r="F2253" s="21"/>
      <c r="G2253" s="14"/>
      <c r="H2253" s="14"/>
      <c r="I2253" s="14"/>
      <c r="J2253" s="14"/>
      <c r="K2253" s="14"/>
      <c r="L2253" s="14"/>
      <c r="M2253" s="14"/>
      <c r="N2253" s="14"/>
      <c r="O2253" s="14"/>
      <c r="P2253" s="14"/>
      <c r="Q2253" s="14"/>
      <c r="R2253" s="14"/>
      <c r="S2253" s="14"/>
      <c r="T2253" s="14"/>
      <c r="U2253" s="14"/>
      <c r="V2253" s="14"/>
      <c r="W2253" s="14"/>
      <c r="X2253" s="14"/>
      <c r="Y2253" s="14"/>
    </row>
    <row r="2254" spans="1:25" ht="15.75" x14ac:dyDescent="0.25">
      <c r="A2254" s="21"/>
      <c r="B2254" s="21"/>
      <c r="C2254" s="21"/>
      <c r="E2254" s="21"/>
      <c r="F2254" s="21"/>
      <c r="G2254" s="14"/>
      <c r="H2254" s="14"/>
      <c r="I2254" s="14"/>
      <c r="J2254" s="14"/>
      <c r="K2254" s="14"/>
      <c r="L2254" s="14"/>
      <c r="M2254" s="14"/>
      <c r="N2254" s="14"/>
      <c r="O2254" s="14"/>
      <c r="P2254" s="14"/>
      <c r="Q2254" s="14"/>
      <c r="R2254" s="14"/>
      <c r="S2254" s="14"/>
      <c r="T2254" s="14"/>
      <c r="U2254" s="14"/>
      <c r="V2254" s="14"/>
      <c r="W2254" s="14"/>
      <c r="X2254" s="14"/>
      <c r="Y2254" s="14"/>
    </row>
    <row r="2255" spans="1:25" ht="15.75" x14ac:dyDescent="0.25">
      <c r="A2255" s="21"/>
      <c r="B2255" s="21"/>
      <c r="C2255" s="21"/>
      <c r="E2255" s="21"/>
      <c r="F2255" s="21"/>
      <c r="G2255" s="14"/>
      <c r="H2255" s="14"/>
      <c r="I2255" s="14"/>
      <c r="J2255" s="14"/>
      <c r="K2255" s="14"/>
      <c r="L2255" s="14"/>
      <c r="M2255" s="14"/>
      <c r="N2255" s="14"/>
      <c r="O2255" s="14"/>
      <c r="P2255" s="14"/>
      <c r="Q2255" s="14"/>
      <c r="R2255" s="14"/>
      <c r="S2255" s="14"/>
      <c r="T2255" s="14"/>
      <c r="U2255" s="14"/>
      <c r="V2255" s="14"/>
      <c r="W2255" s="14"/>
      <c r="X2255" s="14"/>
      <c r="Y2255" s="14"/>
    </row>
    <row r="2256" spans="1:25" ht="15.75" x14ac:dyDescent="0.25">
      <c r="A2256" s="21"/>
      <c r="B2256" s="21"/>
      <c r="C2256" s="21"/>
      <c r="E2256" s="21"/>
      <c r="F2256" s="21"/>
      <c r="G2256" s="14"/>
      <c r="H2256" s="14"/>
      <c r="I2256" s="14"/>
      <c r="J2256" s="14"/>
      <c r="K2256" s="14"/>
      <c r="L2256" s="14"/>
      <c r="M2256" s="14"/>
      <c r="N2256" s="14"/>
      <c r="O2256" s="14"/>
      <c r="P2256" s="14"/>
      <c r="Q2256" s="14"/>
      <c r="R2256" s="14"/>
      <c r="S2256" s="14"/>
      <c r="T2256" s="14"/>
      <c r="U2256" s="14"/>
      <c r="V2256" s="14"/>
      <c r="W2256" s="14"/>
      <c r="X2256" s="14"/>
      <c r="Y2256" s="14"/>
    </row>
    <row r="2257" spans="1:25" ht="15.75" x14ac:dyDescent="0.25">
      <c r="A2257" s="21"/>
      <c r="B2257" s="21"/>
      <c r="C2257" s="21"/>
      <c r="E2257" s="21"/>
      <c r="F2257" s="21"/>
      <c r="G2257" s="14"/>
      <c r="H2257" s="14"/>
      <c r="I2257" s="14"/>
      <c r="J2257" s="14"/>
      <c r="K2257" s="14"/>
      <c r="L2257" s="14"/>
      <c r="M2257" s="14"/>
      <c r="N2257" s="14"/>
      <c r="O2257" s="14"/>
      <c r="P2257" s="14"/>
      <c r="Q2257" s="14"/>
      <c r="R2257" s="14"/>
      <c r="S2257" s="14"/>
      <c r="T2257" s="14"/>
      <c r="U2257" s="14"/>
      <c r="V2257" s="14"/>
      <c r="W2257" s="14"/>
      <c r="X2257" s="14"/>
      <c r="Y2257" s="14"/>
    </row>
    <row r="2258" spans="1:25" ht="15.75" x14ac:dyDescent="0.25">
      <c r="A2258" s="21"/>
      <c r="B2258" s="21"/>
      <c r="C2258" s="21"/>
      <c r="E2258" s="21"/>
      <c r="F2258" s="21"/>
      <c r="G2258" s="14"/>
      <c r="H2258" s="14"/>
      <c r="I2258" s="14"/>
      <c r="J2258" s="14"/>
      <c r="K2258" s="14"/>
      <c r="L2258" s="14"/>
      <c r="M2258" s="14"/>
      <c r="N2258" s="14"/>
      <c r="O2258" s="14"/>
      <c r="P2258" s="14"/>
      <c r="Q2258" s="14"/>
      <c r="R2258" s="14"/>
      <c r="S2258" s="14"/>
      <c r="T2258" s="14"/>
      <c r="U2258" s="14"/>
      <c r="V2258" s="14"/>
      <c r="W2258" s="14"/>
      <c r="X2258" s="14"/>
      <c r="Y2258" s="14"/>
    </row>
    <row r="2259" spans="1:25" ht="15.75" x14ac:dyDescent="0.25">
      <c r="A2259" s="21"/>
      <c r="B2259" s="21"/>
      <c r="C2259" s="21"/>
      <c r="E2259" s="21"/>
      <c r="F2259" s="21"/>
      <c r="G2259" s="14"/>
      <c r="H2259" s="14"/>
      <c r="I2259" s="14"/>
      <c r="J2259" s="14"/>
      <c r="K2259" s="14"/>
      <c r="L2259" s="14"/>
      <c r="M2259" s="14"/>
      <c r="N2259" s="14"/>
      <c r="O2259" s="14"/>
      <c r="P2259" s="14"/>
      <c r="Q2259" s="14"/>
      <c r="R2259" s="14"/>
      <c r="S2259" s="14"/>
      <c r="T2259" s="14"/>
      <c r="U2259" s="14"/>
      <c r="V2259" s="14"/>
      <c r="W2259" s="14"/>
      <c r="X2259" s="14"/>
      <c r="Y2259" s="14"/>
    </row>
    <row r="2260" spans="1:25" ht="15.75" x14ac:dyDescent="0.25">
      <c r="A2260" s="21"/>
      <c r="B2260" s="21"/>
      <c r="C2260" s="21"/>
      <c r="E2260" s="21"/>
      <c r="F2260" s="21"/>
      <c r="G2260" s="14"/>
      <c r="H2260" s="14"/>
      <c r="I2260" s="14"/>
      <c r="J2260" s="14"/>
      <c r="K2260" s="14"/>
      <c r="L2260" s="14"/>
      <c r="M2260" s="14"/>
      <c r="N2260" s="14"/>
      <c r="O2260" s="14"/>
      <c r="P2260" s="14"/>
      <c r="Q2260" s="14"/>
      <c r="R2260" s="14"/>
      <c r="S2260" s="14"/>
      <c r="T2260" s="14"/>
      <c r="U2260" s="14"/>
      <c r="V2260" s="14"/>
      <c r="W2260" s="14"/>
      <c r="X2260" s="14"/>
      <c r="Y2260" s="14"/>
    </row>
    <row r="2261" spans="1:25" ht="15.75" x14ac:dyDescent="0.25">
      <c r="A2261" s="21"/>
      <c r="B2261" s="21"/>
      <c r="C2261" s="21"/>
      <c r="E2261" s="21"/>
      <c r="F2261" s="21"/>
      <c r="G2261" s="14"/>
      <c r="H2261" s="14"/>
      <c r="I2261" s="14"/>
      <c r="J2261" s="14"/>
      <c r="K2261" s="14"/>
      <c r="L2261" s="14"/>
      <c r="M2261" s="14"/>
      <c r="N2261" s="14"/>
      <c r="O2261" s="14"/>
      <c r="P2261" s="14"/>
      <c r="Q2261" s="14"/>
      <c r="R2261" s="14"/>
      <c r="S2261" s="14"/>
      <c r="T2261" s="14"/>
      <c r="U2261" s="14"/>
      <c r="V2261" s="14"/>
      <c r="W2261" s="14"/>
      <c r="X2261" s="14"/>
      <c r="Y2261" s="14"/>
    </row>
    <row r="2262" spans="1:25" ht="15.75" x14ac:dyDescent="0.25">
      <c r="A2262" s="21"/>
      <c r="B2262" s="21"/>
      <c r="C2262" s="21"/>
      <c r="E2262" s="21"/>
      <c r="F2262" s="21"/>
      <c r="G2262" s="14"/>
      <c r="H2262" s="14"/>
      <c r="I2262" s="14"/>
      <c r="J2262" s="14"/>
      <c r="K2262" s="14"/>
      <c r="L2262" s="14"/>
      <c r="M2262" s="14"/>
      <c r="N2262" s="14"/>
      <c r="O2262" s="14"/>
      <c r="P2262" s="14"/>
      <c r="Q2262" s="14"/>
      <c r="R2262" s="14"/>
      <c r="S2262" s="14"/>
      <c r="T2262" s="14"/>
      <c r="U2262" s="14"/>
      <c r="V2262" s="14"/>
      <c r="W2262" s="14"/>
      <c r="X2262" s="14"/>
      <c r="Y2262" s="14"/>
    </row>
    <row r="2263" spans="1:25" ht="15.75" x14ac:dyDescent="0.25">
      <c r="A2263" s="21"/>
      <c r="B2263" s="21"/>
      <c r="C2263" s="21"/>
      <c r="E2263" s="21"/>
      <c r="F2263" s="21"/>
      <c r="G2263" s="14"/>
      <c r="H2263" s="14"/>
      <c r="I2263" s="14"/>
      <c r="J2263" s="14"/>
      <c r="K2263" s="14"/>
      <c r="L2263" s="14"/>
      <c r="M2263" s="14"/>
      <c r="N2263" s="14"/>
      <c r="O2263" s="14"/>
      <c r="P2263" s="14"/>
      <c r="Q2263" s="14"/>
      <c r="R2263" s="14"/>
      <c r="S2263" s="14"/>
      <c r="T2263" s="14"/>
      <c r="U2263" s="14"/>
      <c r="V2263" s="14"/>
      <c r="W2263" s="14"/>
      <c r="X2263" s="14"/>
      <c r="Y2263" s="14"/>
    </row>
    <row r="2264" spans="1:25" ht="15.75" x14ac:dyDescent="0.25">
      <c r="A2264" s="21"/>
      <c r="B2264" s="21"/>
      <c r="C2264" s="21"/>
      <c r="E2264" s="21"/>
      <c r="F2264" s="21"/>
      <c r="G2264" s="14"/>
      <c r="H2264" s="14"/>
      <c r="I2264" s="14"/>
      <c r="J2264" s="14"/>
      <c r="K2264" s="14"/>
      <c r="L2264" s="14"/>
      <c r="M2264" s="14"/>
      <c r="N2264" s="14"/>
      <c r="O2264" s="14"/>
      <c r="P2264" s="14"/>
      <c r="Q2264" s="14"/>
      <c r="R2264" s="14"/>
      <c r="S2264" s="14"/>
      <c r="T2264" s="14"/>
      <c r="U2264" s="14"/>
      <c r="V2264" s="14"/>
      <c r="W2264" s="14"/>
      <c r="X2264" s="14"/>
      <c r="Y2264" s="14"/>
    </row>
    <row r="2265" spans="1:25" ht="15.75" x14ac:dyDescent="0.25">
      <c r="A2265" s="21"/>
      <c r="B2265" s="21"/>
      <c r="C2265" s="21"/>
      <c r="E2265" s="21"/>
      <c r="F2265" s="21"/>
      <c r="G2265" s="14"/>
      <c r="H2265" s="14"/>
      <c r="I2265" s="14"/>
      <c r="J2265" s="14"/>
      <c r="K2265" s="14"/>
      <c r="L2265" s="14"/>
      <c r="M2265" s="14"/>
      <c r="N2265" s="14"/>
      <c r="O2265" s="14"/>
      <c r="P2265" s="14"/>
      <c r="Q2265" s="14"/>
      <c r="R2265" s="14"/>
      <c r="S2265" s="14"/>
      <c r="T2265" s="14"/>
      <c r="U2265" s="14"/>
      <c r="V2265" s="14"/>
      <c r="W2265" s="14"/>
      <c r="X2265" s="14"/>
      <c r="Y2265" s="14"/>
    </row>
    <row r="2266" spans="1:25" ht="15.75" x14ac:dyDescent="0.25">
      <c r="A2266" s="21"/>
      <c r="B2266" s="21"/>
      <c r="C2266" s="21"/>
      <c r="E2266" s="21"/>
      <c r="F2266" s="21"/>
      <c r="G2266" s="14"/>
      <c r="H2266" s="14"/>
      <c r="I2266" s="14"/>
      <c r="J2266" s="14"/>
      <c r="K2266" s="14"/>
      <c r="L2266" s="14"/>
      <c r="M2266" s="14"/>
      <c r="N2266" s="14"/>
      <c r="O2266" s="14"/>
      <c r="P2266" s="14"/>
      <c r="Q2266" s="14"/>
      <c r="R2266" s="14"/>
      <c r="S2266" s="14"/>
      <c r="T2266" s="14"/>
      <c r="U2266" s="14"/>
      <c r="V2266" s="14"/>
      <c r="W2266" s="14"/>
      <c r="X2266" s="14"/>
      <c r="Y2266" s="14"/>
    </row>
    <row r="2267" spans="1:25" ht="15.75" x14ac:dyDescent="0.25">
      <c r="A2267" s="21"/>
      <c r="B2267" s="21"/>
      <c r="C2267" s="21"/>
      <c r="E2267" s="21"/>
      <c r="F2267" s="21"/>
      <c r="G2267" s="14"/>
      <c r="H2267" s="14"/>
      <c r="I2267" s="14"/>
      <c r="J2267" s="14"/>
      <c r="K2267" s="14"/>
      <c r="L2267" s="14"/>
      <c r="M2267" s="14"/>
      <c r="N2267" s="14"/>
      <c r="O2267" s="14"/>
      <c r="P2267" s="14"/>
      <c r="Q2267" s="14"/>
      <c r="R2267" s="14"/>
      <c r="S2267" s="14"/>
      <c r="T2267" s="14"/>
      <c r="U2267" s="14"/>
      <c r="V2267" s="14"/>
      <c r="W2267" s="14"/>
      <c r="X2267" s="14"/>
      <c r="Y2267" s="14"/>
    </row>
    <row r="2268" spans="1:25" ht="15.75" x14ac:dyDescent="0.25">
      <c r="A2268" s="21"/>
      <c r="B2268" s="21"/>
      <c r="C2268" s="21"/>
      <c r="E2268" s="21"/>
      <c r="F2268" s="21"/>
      <c r="G2268" s="14"/>
      <c r="H2268" s="14"/>
      <c r="I2268" s="14"/>
      <c r="J2268" s="14"/>
      <c r="K2268" s="14"/>
      <c r="L2268" s="14"/>
      <c r="M2268" s="14"/>
      <c r="N2268" s="14"/>
      <c r="O2268" s="14"/>
      <c r="P2268" s="14"/>
      <c r="Q2268" s="14"/>
      <c r="R2268" s="14"/>
      <c r="S2268" s="14"/>
      <c r="T2268" s="14"/>
      <c r="U2268" s="14"/>
      <c r="V2268" s="14"/>
      <c r="W2268" s="14"/>
      <c r="X2268" s="14"/>
      <c r="Y2268" s="14"/>
    </row>
    <row r="2269" spans="1:25" ht="15.75" x14ac:dyDescent="0.25">
      <c r="A2269" s="21"/>
      <c r="B2269" s="21"/>
      <c r="C2269" s="21"/>
      <c r="E2269" s="21"/>
      <c r="F2269" s="21"/>
      <c r="G2269" s="14"/>
      <c r="H2269" s="14"/>
      <c r="I2269" s="14"/>
      <c r="J2269" s="14"/>
      <c r="K2269" s="14"/>
      <c r="L2269" s="14"/>
      <c r="M2269" s="14"/>
      <c r="N2269" s="14"/>
      <c r="O2269" s="14"/>
      <c r="P2269" s="14"/>
      <c r="Q2269" s="14"/>
      <c r="R2269" s="14"/>
      <c r="S2269" s="14"/>
      <c r="T2269" s="14"/>
      <c r="U2269" s="14"/>
      <c r="V2269" s="14"/>
      <c r="W2269" s="14"/>
      <c r="X2269" s="14"/>
      <c r="Y2269" s="14"/>
    </row>
    <row r="2270" spans="1:25" ht="15.75" x14ac:dyDescent="0.25">
      <c r="A2270" s="21"/>
      <c r="B2270" s="21"/>
      <c r="C2270" s="21"/>
      <c r="E2270" s="21"/>
      <c r="F2270" s="21"/>
      <c r="G2270" s="14"/>
      <c r="H2270" s="14"/>
      <c r="I2270" s="14"/>
      <c r="J2270" s="14"/>
      <c r="K2270" s="14"/>
      <c r="L2270" s="14"/>
      <c r="M2270" s="14"/>
      <c r="N2270" s="14"/>
      <c r="O2270" s="14"/>
      <c r="P2270" s="14"/>
      <c r="Q2270" s="14"/>
      <c r="R2270" s="14"/>
      <c r="S2270" s="14"/>
      <c r="T2270" s="14"/>
      <c r="U2270" s="14"/>
      <c r="V2270" s="14"/>
      <c r="W2270" s="14"/>
      <c r="X2270" s="14"/>
      <c r="Y2270" s="14"/>
    </row>
    <row r="2271" spans="1:25" ht="15.75" x14ac:dyDescent="0.25">
      <c r="A2271" s="21"/>
      <c r="B2271" s="21"/>
      <c r="C2271" s="21"/>
      <c r="E2271" s="21"/>
      <c r="F2271" s="21"/>
      <c r="G2271" s="14"/>
      <c r="H2271" s="14"/>
      <c r="I2271" s="14"/>
      <c r="J2271" s="14"/>
      <c r="K2271" s="14"/>
      <c r="L2271" s="14"/>
      <c r="M2271" s="14"/>
      <c r="N2271" s="14"/>
      <c r="O2271" s="14"/>
      <c r="P2271" s="14"/>
      <c r="Q2271" s="14"/>
      <c r="R2271" s="14"/>
      <c r="S2271" s="14"/>
      <c r="T2271" s="14"/>
      <c r="U2271" s="14"/>
      <c r="V2271" s="14"/>
      <c r="W2271" s="14"/>
      <c r="X2271" s="14"/>
      <c r="Y2271" s="14"/>
    </row>
    <row r="2272" spans="1:25" ht="15.75" x14ac:dyDescent="0.25">
      <c r="A2272" s="21"/>
      <c r="B2272" s="21"/>
      <c r="C2272" s="21"/>
      <c r="E2272" s="21"/>
      <c r="F2272" s="21"/>
      <c r="G2272" s="14"/>
      <c r="H2272" s="14"/>
      <c r="I2272" s="14"/>
      <c r="J2272" s="14"/>
      <c r="K2272" s="14"/>
      <c r="L2272" s="14"/>
      <c r="M2272" s="14"/>
      <c r="N2272" s="14"/>
      <c r="O2272" s="14"/>
      <c r="P2272" s="14"/>
      <c r="Q2272" s="14"/>
      <c r="R2272" s="14"/>
      <c r="S2272" s="14"/>
      <c r="T2272" s="14"/>
      <c r="U2272" s="14"/>
      <c r="V2272" s="14"/>
      <c r="W2272" s="14"/>
      <c r="X2272" s="14"/>
      <c r="Y2272" s="14"/>
    </row>
    <row r="2273" spans="1:25" ht="15.75" x14ac:dyDescent="0.25">
      <c r="A2273" s="21"/>
      <c r="B2273" s="21"/>
      <c r="C2273" s="21"/>
      <c r="E2273" s="21"/>
      <c r="F2273" s="21"/>
      <c r="G2273" s="14"/>
      <c r="H2273" s="14"/>
      <c r="I2273" s="14"/>
      <c r="J2273" s="14"/>
      <c r="K2273" s="14"/>
      <c r="L2273" s="14"/>
      <c r="M2273" s="14"/>
      <c r="N2273" s="14"/>
      <c r="O2273" s="14"/>
      <c r="P2273" s="14"/>
      <c r="Q2273" s="14"/>
      <c r="R2273" s="14"/>
      <c r="S2273" s="14"/>
      <c r="T2273" s="14"/>
      <c r="U2273" s="14"/>
      <c r="V2273" s="14"/>
      <c r="W2273" s="14"/>
      <c r="X2273" s="14"/>
      <c r="Y2273" s="14"/>
    </row>
    <row r="2274" spans="1:25" ht="15.75" x14ac:dyDescent="0.25">
      <c r="A2274" s="21"/>
      <c r="B2274" s="21"/>
      <c r="C2274" s="21"/>
      <c r="E2274" s="21"/>
      <c r="F2274" s="21"/>
      <c r="G2274" s="14"/>
      <c r="H2274" s="14"/>
      <c r="I2274" s="14"/>
      <c r="J2274" s="14"/>
      <c r="K2274" s="14"/>
      <c r="L2274" s="14"/>
      <c r="M2274" s="14"/>
      <c r="N2274" s="14"/>
      <c r="O2274" s="14"/>
      <c r="P2274" s="14"/>
      <c r="Q2274" s="14"/>
      <c r="R2274" s="14"/>
      <c r="S2274" s="14"/>
      <c r="T2274" s="14"/>
      <c r="U2274" s="14"/>
      <c r="V2274" s="14"/>
      <c r="W2274" s="14"/>
      <c r="X2274" s="14"/>
      <c r="Y2274" s="14"/>
    </row>
    <row r="2275" spans="1:25" ht="15.75" x14ac:dyDescent="0.25">
      <c r="A2275" s="21"/>
      <c r="B2275" s="21"/>
      <c r="C2275" s="21"/>
      <c r="E2275" s="21"/>
      <c r="F2275" s="21"/>
      <c r="G2275" s="14"/>
      <c r="H2275" s="14"/>
      <c r="I2275" s="14"/>
      <c r="J2275" s="14"/>
      <c r="K2275" s="14"/>
      <c r="L2275" s="14"/>
      <c r="M2275" s="14"/>
      <c r="N2275" s="14"/>
      <c r="O2275" s="14"/>
      <c r="P2275" s="14"/>
      <c r="Q2275" s="14"/>
      <c r="R2275" s="14"/>
      <c r="S2275" s="14"/>
      <c r="T2275" s="14"/>
      <c r="U2275" s="14"/>
      <c r="V2275" s="14"/>
      <c r="W2275" s="14"/>
      <c r="X2275" s="14"/>
      <c r="Y2275" s="14"/>
    </row>
    <row r="2276" spans="1:25" ht="15.75" x14ac:dyDescent="0.25">
      <c r="A2276" s="21"/>
      <c r="B2276" s="21"/>
      <c r="C2276" s="21"/>
      <c r="E2276" s="21"/>
      <c r="F2276" s="21"/>
      <c r="G2276" s="14"/>
      <c r="H2276" s="14"/>
      <c r="I2276" s="14"/>
      <c r="J2276" s="14"/>
      <c r="K2276" s="14"/>
      <c r="L2276" s="14"/>
      <c r="M2276" s="14"/>
      <c r="N2276" s="14"/>
      <c r="O2276" s="14"/>
      <c r="P2276" s="14"/>
      <c r="Q2276" s="14"/>
      <c r="R2276" s="14"/>
      <c r="S2276" s="14"/>
      <c r="T2276" s="14"/>
      <c r="U2276" s="14"/>
      <c r="V2276" s="14"/>
      <c r="W2276" s="14"/>
      <c r="X2276" s="14"/>
      <c r="Y2276" s="14"/>
    </row>
    <row r="2277" spans="1:25" ht="15.75" x14ac:dyDescent="0.25">
      <c r="A2277" s="21"/>
      <c r="B2277" s="21"/>
      <c r="C2277" s="21"/>
      <c r="E2277" s="21"/>
      <c r="F2277" s="21"/>
      <c r="G2277" s="14"/>
      <c r="H2277" s="14"/>
      <c r="I2277" s="14"/>
      <c r="J2277" s="14"/>
      <c r="K2277" s="14"/>
      <c r="L2277" s="14"/>
      <c r="M2277" s="14"/>
      <c r="N2277" s="14"/>
      <c r="O2277" s="14"/>
      <c r="P2277" s="14"/>
      <c r="Q2277" s="14"/>
      <c r="R2277" s="14"/>
      <c r="S2277" s="14"/>
      <c r="T2277" s="14"/>
      <c r="U2277" s="14"/>
      <c r="V2277" s="14"/>
      <c r="W2277" s="14"/>
      <c r="X2277" s="14"/>
      <c r="Y2277" s="14"/>
    </row>
    <row r="2278" spans="1:25" ht="15.75" x14ac:dyDescent="0.25">
      <c r="A2278" s="21"/>
      <c r="B2278" s="21"/>
      <c r="C2278" s="21"/>
      <c r="E2278" s="21"/>
      <c r="F2278" s="21"/>
      <c r="G2278" s="14"/>
      <c r="H2278" s="14"/>
      <c r="I2278" s="14"/>
      <c r="J2278" s="14"/>
      <c r="K2278" s="14"/>
      <c r="L2278" s="14"/>
      <c r="M2278" s="14"/>
      <c r="N2278" s="14"/>
      <c r="O2278" s="14"/>
      <c r="P2278" s="14"/>
      <c r="Q2278" s="14"/>
      <c r="R2278" s="14"/>
      <c r="S2278" s="14"/>
      <c r="T2278" s="14"/>
      <c r="U2278" s="14"/>
      <c r="V2278" s="14"/>
      <c r="W2278" s="14"/>
      <c r="X2278" s="14"/>
      <c r="Y2278" s="14"/>
    </row>
    <row r="2279" spans="1:25" ht="15.75" x14ac:dyDescent="0.25">
      <c r="A2279" s="21"/>
      <c r="B2279" s="21"/>
      <c r="C2279" s="21"/>
      <c r="E2279" s="21"/>
      <c r="F2279" s="21"/>
      <c r="G2279" s="14"/>
      <c r="H2279" s="14"/>
      <c r="I2279" s="14"/>
      <c r="J2279" s="14"/>
      <c r="K2279" s="14"/>
      <c r="L2279" s="14"/>
      <c r="M2279" s="14"/>
      <c r="N2279" s="14"/>
      <c r="O2279" s="14"/>
      <c r="P2279" s="14"/>
      <c r="Q2279" s="14"/>
      <c r="R2279" s="14"/>
      <c r="S2279" s="14"/>
      <c r="T2279" s="14"/>
      <c r="U2279" s="14"/>
      <c r="V2279" s="14"/>
      <c r="W2279" s="14"/>
      <c r="X2279" s="14"/>
      <c r="Y2279" s="14"/>
    </row>
    <row r="2280" spans="1:25" ht="15.75" x14ac:dyDescent="0.25">
      <c r="A2280" s="21"/>
      <c r="B2280" s="21"/>
      <c r="C2280" s="21"/>
      <c r="E2280" s="21"/>
      <c r="F2280" s="21"/>
      <c r="G2280" s="14"/>
      <c r="H2280" s="14"/>
      <c r="I2280" s="14"/>
      <c r="J2280" s="14"/>
      <c r="K2280" s="14"/>
      <c r="L2280" s="14"/>
      <c r="M2280" s="14"/>
      <c r="N2280" s="14"/>
      <c r="O2280" s="14"/>
      <c r="P2280" s="14"/>
      <c r="Q2280" s="14"/>
      <c r="R2280" s="14"/>
      <c r="S2280" s="14"/>
      <c r="T2280" s="14"/>
      <c r="U2280" s="14"/>
      <c r="V2280" s="14"/>
      <c r="W2280" s="14"/>
      <c r="X2280" s="14"/>
      <c r="Y2280" s="14"/>
    </row>
    <row r="2281" spans="1:25" ht="15.75" x14ac:dyDescent="0.25">
      <c r="A2281" s="21"/>
      <c r="B2281" s="21"/>
      <c r="C2281" s="21"/>
      <c r="E2281" s="21"/>
      <c r="F2281" s="21"/>
      <c r="G2281" s="14"/>
      <c r="H2281" s="14"/>
      <c r="I2281" s="14"/>
      <c r="J2281" s="14"/>
      <c r="K2281" s="14"/>
      <c r="L2281" s="14"/>
      <c r="M2281" s="14"/>
      <c r="N2281" s="14"/>
      <c r="O2281" s="14"/>
      <c r="P2281" s="14"/>
      <c r="Q2281" s="14"/>
      <c r="R2281" s="14"/>
      <c r="S2281" s="14"/>
      <c r="T2281" s="14"/>
      <c r="U2281" s="14"/>
      <c r="V2281" s="14"/>
      <c r="W2281" s="14"/>
      <c r="X2281" s="14"/>
      <c r="Y2281" s="14"/>
    </row>
    <row r="2282" spans="1:25" ht="15.75" x14ac:dyDescent="0.25">
      <c r="A2282" s="21"/>
      <c r="B2282" s="21"/>
      <c r="C2282" s="21"/>
      <c r="E2282" s="21"/>
      <c r="F2282" s="21"/>
      <c r="G2282" s="14"/>
      <c r="H2282" s="14"/>
      <c r="I2282" s="14"/>
      <c r="J2282" s="14"/>
      <c r="K2282" s="14"/>
      <c r="L2282" s="14"/>
      <c r="M2282" s="14"/>
      <c r="N2282" s="14"/>
      <c r="O2282" s="14"/>
      <c r="P2282" s="14"/>
      <c r="Q2282" s="14"/>
      <c r="R2282" s="14"/>
      <c r="S2282" s="14"/>
      <c r="T2282" s="14"/>
      <c r="U2282" s="14"/>
      <c r="V2282" s="14"/>
      <c r="W2282" s="14"/>
      <c r="X2282" s="14"/>
      <c r="Y2282" s="14"/>
    </row>
    <row r="2283" spans="1:25" ht="15.75" x14ac:dyDescent="0.25">
      <c r="A2283" s="21"/>
      <c r="B2283" s="21"/>
      <c r="C2283" s="21"/>
      <c r="E2283" s="21"/>
      <c r="F2283" s="21"/>
      <c r="G2283" s="14"/>
      <c r="H2283" s="14"/>
      <c r="I2283" s="14"/>
      <c r="J2283" s="14"/>
      <c r="K2283" s="14"/>
      <c r="L2283" s="14"/>
      <c r="M2283" s="14"/>
      <c r="N2283" s="14"/>
      <c r="O2283" s="14"/>
      <c r="P2283" s="14"/>
      <c r="Q2283" s="14"/>
      <c r="R2283" s="14"/>
      <c r="S2283" s="14"/>
      <c r="T2283" s="14"/>
      <c r="U2283" s="14"/>
      <c r="V2283" s="14"/>
      <c r="W2283" s="14"/>
      <c r="X2283" s="14"/>
      <c r="Y2283" s="14"/>
    </row>
    <row r="2284" spans="1:25" ht="15.75" x14ac:dyDescent="0.25">
      <c r="A2284" s="21"/>
      <c r="B2284" s="21"/>
      <c r="C2284" s="21"/>
      <c r="E2284" s="21"/>
      <c r="F2284" s="21"/>
      <c r="G2284" s="14"/>
      <c r="H2284" s="14"/>
      <c r="I2284" s="14"/>
      <c r="J2284" s="14"/>
      <c r="K2284" s="14"/>
      <c r="L2284" s="14"/>
      <c r="M2284" s="14"/>
      <c r="N2284" s="14"/>
      <c r="O2284" s="14"/>
      <c r="P2284" s="14"/>
      <c r="Q2284" s="14"/>
      <c r="R2284" s="14"/>
      <c r="S2284" s="14"/>
      <c r="T2284" s="14"/>
      <c r="U2284" s="14"/>
      <c r="V2284" s="14"/>
      <c r="W2284" s="14"/>
      <c r="X2284" s="14"/>
      <c r="Y2284" s="14"/>
    </row>
    <row r="2285" spans="1:25" ht="15.75" x14ac:dyDescent="0.25">
      <c r="A2285" s="21"/>
      <c r="B2285" s="21"/>
      <c r="C2285" s="21"/>
      <c r="E2285" s="21"/>
      <c r="F2285" s="21"/>
      <c r="G2285" s="14"/>
      <c r="H2285" s="14"/>
      <c r="I2285" s="14"/>
      <c r="J2285" s="14"/>
      <c r="K2285" s="14"/>
      <c r="L2285" s="14"/>
      <c r="M2285" s="14"/>
      <c r="N2285" s="14"/>
      <c r="O2285" s="14"/>
      <c r="P2285" s="14"/>
      <c r="Q2285" s="14"/>
      <c r="R2285" s="14"/>
      <c r="S2285" s="14"/>
      <c r="T2285" s="14"/>
      <c r="U2285" s="14"/>
      <c r="V2285" s="14"/>
      <c r="W2285" s="14"/>
      <c r="X2285" s="14"/>
      <c r="Y2285" s="14"/>
    </row>
    <row r="2286" spans="1:25" ht="15.75" x14ac:dyDescent="0.25">
      <c r="A2286" s="21"/>
      <c r="B2286" s="21"/>
      <c r="C2286" s="21"/>
      <c r="E2286" s="21"/>
      <c r="F2286" s="21"/>
      <c r="G2286" s="14"/>
      <c r="H2286" s="14"/>
      <c r="I2286" s="14"/>
      <c r="J2286" s="14"/>
      <c r="K2286" s="14"/>
      <c r="L2286" s="14"/>
      <c r="M2286" s="14"/>
      <c r="N2286" s="14"/>
      <c r="O2286" s="14"/>
      <c r="P2286" s="14"/>
      <c r="Q2286" s="14"/>
      <c r="R2286" s="14"/>
      <c r="S2286" s="14"/>
      <c r="T2286" s="14"/>
      <c r="U2286" s="14"/>
      <c r="V2286" s="14"/>
      <c r="W2286" s="14"/>
      <c r="X2286" s="14"/>
      <c r="Y2286" s="14"/>
    </row>
    <row r="2287" spans="1:25" ht="15.75" x14ac:dyDescent="0.25">
      <c r="A2287" s="21"/>
      <c r="B2287" s="21"/>
      <c r="C2287" s="21"/>
      <c r="E2287" s="21"/>
      <c r="F2287" s="21"/>
      <c r="G2287" s="14"/>
      <c r="H2287" s="14"/>
      <c r="I2287" s="14"/>
      <c r="J2287" s="14"/>
      <c r="K2287" s="14"/>
      <c r="L2287" s="14"/>
      <c r="M2287" s="14"/>
      <c r="N2287" s="14"/>
      <c r="O2287" s="14"/>
      <c r="P2287" s="14"/>
      <c r="Q2287" s="14"/>
      <c r="R2287" s="14"/>
      <c r="S2287" s="14"/>
      <c r="T2287" s="14"/>
      <c r="U2287" s="14"/>
      <c r="V2287" s="14"/>
      <c r="W2287" s="14"/>
      <c r="X2287" s="14"/>
      <c r="Y2287" s="14"/>
    </row>
    <row r="2288" spans="1:25" ht="15.75" x14ac:dyDescent="0.25">
      <c r="A2288" s="21"/>
      <c r="B2288" s="21"/>
      <c r="C2288" s="21"/>
      <c r="E2288" s="21"/>
      <c r="F2288" s="21"/>
      <c r="G2288" s="14"/>
      <c r="H2288" s="14"/>
      <c r="I2288" s="14"/>
      <c r="J2288" s="14"/>
      <c r="K2288" s="14"/>
      <c r="L2288" s="14"/>
      <c r="M2288" s="14"/>
      <c r="N2288" s="14"/>
      <c r="O2288" s="14"/>
      <c r="P2288" s="14"/>
      <c r="Q2288" s="14"/>
      <c r="R2288" s="14"/>
      <c r="S2288" s="14"/>
      <c r="T2288" s="14"/>
      <c r="U2288" s="14"/>
      <c r="V2288" s="14"/>
      <c r="W2288" s="14"/>
      <c r="X2288" s="14"/>
      <c r="Y2288" s="14"/>
    </row>
    <row r="2289" spans="1:25" ht="15.75" x14ac:dyDescent="0.25">
      <c r="A2289" s="21"/>
      <c r="B2289" s="21"/>
      <c r="C2289" s="21"/>
      <c r="E2289" s="21"/>
      <c r="F2289" s="21"/>
      <c r="G2289" s="14"/>
      <c r="H2289" s="14"/>
      <c r="I2289" s="14"/>
      <c r="J2289" s="14"/>
      <c r="K2289" s="14"/>
      <c r="L2289" s="14"/>
      <c r="M2289" s="14"/>
      <c r="N2289" s="14"/>
      <c r="O2289" s="14"/>
      <c r="P2289" s="14"/>
      <c r="Q2289" s="14"/>
      <c r="R2289" s="14"/>
      <c r="S2289" s="14"/>
      <c r="T2289" s="14"/>
      <c r="U2289" s="14"/>
      <c r="V2289" s="14"/>
      <c r="W2289" s="14"/>
      <c r="X2289" s="14"/>
      <c r="Y2289" s="14"/>
    </row>
    <row r="2290" spans="1:25" ht="15.75" x14ac:dyDescent="0.25">
      <c r="A2290" s="21"/>
      <c r="B2290" s="21"/>
      <c r="C2290" s="21"/>
      <c r="E2290" s="21"/>
      <c r="F2290" s="21"/>
      <c r="G2290" s="14"/>
      <c r="H2290" s="14"/>
      <c r="I2290" s="14"/>
      <c r="J2290" s="14"/>
      <c r="K2290" s="14"/>
      <c r="L2290" s="14"/>
      <c r="M2290" s="14"/>
      <c r="N2290" s="14"/>
      <c r="O2290" s="14"/>
      <c r="P2290" s="14"/>
      <c r="Q2290" s="14"/>
      <c r="R2290" s="14"/>
      <c r="S2290" s="14"/>
      <c r="T2290" s="14"/>
      <c r="U2290" s="14"/>
      <c r="V2290" s="14"/>
      <c r="W2290" s="14"/>
      <c r="X2290" s="14"/>
      <c r="Y2290" s="14"/>
    </row>
    <row r="2291" spans="1:25" ht="15.75" x14ac:dyDescent="0.25">
      <c r="A2291" s="21"/>
      <c r="B2291" s="21"/>
      <c r="C2291" s="21"/>
      <c r="E2291" s="21"/>
      <c r="F2291" s="21"/>
      <c r="G2291" s="14"/>
      <c r="H2291" s="14"/>
      <c r="I2291" s="14"/>
      <c r="J2291" s="14"/>
      <c r="K2291" s="14"/>
      <c r="L2291" s="14"/>
      <c r="M2291" s="14"/>
      <c r="N2291" s="14"/>
      <c r="O2291" s="14"/>
      <c r="P2291" s="14"/>
      <c r="Q2291" s="14"/>
      <c r="R2291" s="14"/>
      <c r="S2291" s="14"/>
      <c r="T2291" s="14"/>
      <c r="U2291" s="14"/>
      <c r="V2291" s="14"/>
      <c r="W2291" s="14"/>
      <c r="X2291" s="14"/>
      <c r="Y2291" s="14"/>
    </row>
    <row r="2292" spans="1:25" ht="15.75" x14ac:dyDescent="0.25">
      <c r="A2292" s="21"/>
      <c r="B2292" s="21"/>
      <c r="C2292" s="21"/>
      <c r="E2292" s="21"/>
      <c r="F2292" s="21"/>
      <c r="G2292" s="14"/>
      <c r="H2292" s="14"/>
      <c r="I2292" s="14"/>
      <c r="J2292" s="14"/>
      <c r="K2292" s="14"/>
      <c r="L2292" s="14"/>
      <c r="M2292" s="14"/>
      <c r="N2292" s="14"/>
      <c r="O2292" s="14"/>
      <c r="P2292" s="14"/>
      <c r="Q2292" s="14"/>
      <c r="R2292" s="14"/>
      <c r="S2292" s="14"/>
      <c r="T2292" s="14"/>
      <c r="U2292" s="14"/>
      <c r="V2292" s="14"/>
      <c r="W2292" s="14"/>
      <c r="X2292" s="14"/>
      <c r="Y2292" s="14"/>
    </row>
    <row r="2293" spans="1:25" ht="15.75" x14ac:dyDescent="0.25">
      <c r="A2293" s="21"/>
      <c r="B2293" s="21"/>
      <c r="C2293" s="21"/>
      <c r="E2293" s="21"/>
      <c r="F2293" s="21"/>
      <c r="G2293" s="14"/>
      <c r="H2293" s="14"/>
      <c r="I2293" s="14"/>
      <c r="J2293" s="14"/>
      <c r="K2293" s="14"/>
      <c r="L2293" s="14"/>
      <c r="M2293" s="14"/>
      <c r="N2293" s="14"/>
      <c r="O2293" s="14"/>
      <c r="P2293" s="14"/>
      <c r="Q2293" s="14"/>
      <c r="R2293" s="14"/>
      <c r="S2293" s="14"/>
      <c r="T2293" s="14"/>
      <c r="U2293" s="14"/>
      <c r="V2293" s="14"/>
      <c r="W2293" s="14"/>
      <c r="X2293" s="14"/>
      <c r="Y2293" s="14"/>
    </row>
    <row r="2294" spans="1:25" ht="15.75" x14ac:dyDescent="0.25">
      <c r="A2294" s="21"/>
      <c r="B2294" s="21"/>
      <c r="C2294" s="21"/>
      <c r="E2294" s="21"/>
      <c r="F2294" s="21"/>
      <c r="G2294" s="14"/>
      <c r="H2294" s="14"/>
      <c r="I2294" s="14"/>
      <c r="J2294" s="14"/>
      <c r="K2294" s="14"/>
      <c r="L2294" s="14"/>
      <c r="M2294" s="14"/>
      <c r="N2294" s="14"/>
      <c r="O2294" s="14"/>
      <c r="P2294" s="14"/>
      <c r="Q2294" s="14"/>
      <c r="R2294" s="14"/>
      <c r="S2294" s="14"/>
      <c r="T2294" s="14"/>
      <c r="U2294" s="14"/>
      <c r="V2294" s="14"/>
      <c r="W2294" s="14"/>
      <c r="X2294" s="14"/>
      <c r="Y2294" s="14"/>
    </row>
    <row r="2295" spans="1:25" ht="15.75" x14ac:dyDescent="0.25">
      <c r="A2295" s="21"/>
      <c r="B2295" s="21"/>
      <c r="C2295" s="21"/>
      <c r="E2295" s="21"/>
      <c r="F2295" s="21"/>
      <c r="G2295" s="14"/>
      <c r="H2295" s="14"/>
      <c r="I2295" s="14"/>
      <c r="J2295" s="14"/>
      <c r="K2295" s="14"/>
      <c r="L2295" s="14"/>
      <c r="M2295" s="14"/>
      <c r="N2295" s="14"/>
      <c r="O2295" s="14"/>
      <c r="P2295" s="14"/>
      <c r="Q2295" s="14"/>
      <c r="R2295" s="14"/>
      <c r="S2295" s="14"/>
      <c r="T2295" s="14"/>
      <c r="U2295" s="14"/>
      <c r="V2295" s="14"/>
      <c r="W2295" s="14"/>
      <c r="X2295" s="14"/>
      <c r="Y2295" s="14"/>
    </row>
    <row r="2296" spans="1:25" ht="15.75" x14ac:dyDescent="0.25">
      <c r="A2296" s="21"/>
      <c r="B2296" s="21"/>
      <c r="C2296" s="21"/>
      <c r="E2296" s="21"/>
      <c r="F2296" s="21"/>
      <c r="G2296" s="14"/>
      <c r="H2296" s="14"/>
      <c r="I2296" s="14"/>
      <c r="J2296" s="14"/>
      <c r="K2296" s="14"/>
      <c r="L2296" s="14"/>
      <c r="M2296" s="14"/>
      <c r="N2296" s="14"/>
      <c r="O2296" s="14"/>
      <c r="P2296" s="14"/>
      <c r="Q2296" s="14"/>
      <c r="R2296" s="14"/>
      <c r="S2296" s="14"/>
      <c r="T2296" s="14"/>
      <c r="U2296" s="14"/>
      <c r="V2296" s="14"/>
      <c r="W2296" s="14"/>
      <c r="X2296" s="14"/>
      <c r="Y2296" s="14"/>
    </row>
    <row r="2297" spans="1:25" ht="15.75" x14ac:dyDescent="0.25">
      <c r="A2297" s="21"/>
      <c r="B2297" s="21"/>
      <c r="C2297" s="21"/>
      <c r="E2297" s="21"/>
      <c r="F2297" s="21"/>
      <c r="G2297" s="14"/>
      <c r="H2297" s="14"/>
      <c r="I2297" s="14"/>
      <c r="J2297" s="14"/>
      <c r="K2297" s="14"/>
      <c r="L2297" s="14"/>
      <c r="M2297" s="14"/>
      <c r="N2297" s="14"/>
      <c r="O2297" s="14"/>
      <c r="P2297" s="14"/>
      <c r="Q2297" s="14"/>
      <c r="R2297" s="14"/>
      <c r="S2297" s="14"/>
      <c r="T2297" s="14"/>
      <c r="U2297" s="14"/>
      <c r="V2297" s="14"/>
      <c r="W2297" s="14"/>
      <c r="X2297" s="14"/>
      <c r="Y2297" s="14"/>
    </row>
    <row r="2298" spans="1:25" ht="15.75" x14ac:dyDescent="0.25">
      <c r="A2298" s="21"/>
      <c r="B2298" s="21"/>
      <c r="C2298" s="21"/>
      <c r="E2298" s="21"/>
      <c r="F2298" s="21"/>
      <c r="G2298" s="14"/>
      <c r="H2298" s="14"/>
      <c r="I2298" s="14"/>
      <c r="J2298" s="14"/>
      <c r="K2298" s="14"/>
      <c r="L2298" s="14"/>
      <c r="M2298" s="14"/>
      <c r="N2298" s="14"/>
      <c r="O2298" s="14"/>
      <c r="P2298" s="14"/>
      <c r="Q2298" s="14"/>
      <c r="R2298" s="14"/>
      <c r="S2298" s="14"/>
      <c r="T2298" s="14"/>
      <c r="U2298" s="14"/>
      <c r="V2298" s="14"/>
      <c r="W2298" s="14"/>
      <c r="X2298" s="14"/>
      <c r="Y2298" s="14"/>
    </row>
    <row r="2299" spans="1:25" ht="15.75" x14ac:dyDescent="0.25">
      <c r="A2299" s="21"/>
      <c r="B2299" s="21"/>
      <c r="C2299" s="21"/>
      <c r="E2299" s="21"/>
      <c r="F2299" s="21"/>
      <c r="G2299" s="14"/>
      <c r="H2299" s="14"/>
      <c r="I2299" s="14"/>
      <c r="J2299" s="14"/>
      <c r="K2299" s="14"/>
      <c r="L2299" s="14"/>
      <c r="M2299" s="14"/>
      <c r="N2299" s="14"/>
      <c r="O2299" s="14"/>
      <c r="P2299" s="14"/>
      <c r="Q2299" s="14"/>
      <c r="R2299" s="14"/>
      <c r="S2299" s="14"/>
      <c r="T2299" s="14"/>
      <c r="U2299" s="14"/>
      <c r="V2299" s="14"/>
      <c r="W2299" s="14"/>
      <c r="X2299" s="14"/>
      <c r="Y2299" s="14"/>
    </row>
    <row r="2300" spans="1:25" ht="15.75" x14ac:dyDescent="0.25">
      <c r="A2300" s="21"/>
      <c r="B2300" s="21"/>
      <c r="C2300" s="21"/>
      <c r="E2300" s="21"/>
      <c r="F2300" s="21"/>
      <c r="G2300" s="14"/>
      <c r="H2300" s="14"/>
      <c r="I2300" s="14"/>
      <c r="J2300" s="14"/>
      <c r="K2300" s="14"/>
      <c r="L2300" s="14"/>
      <c r="M2300" s="14"/>
      <c r="N2300" s="14"/>
      <c r="O2300" s="14"/>
      <c r="P2300" s="14"/>
      <c r="Q2300" s="14"/>
      <c r="R2300" s="14"/>
      <c r="S2300" s="14"/>
      <c r="T2300" s="14"/>
      <c r="U2300" s="14"/>
      <c r="V2300" s="14"/>
      <c r="W2300" s="14"/>
      <c r="X2300" s="14"/>
      <c r="Y2300" s="14"/>
    </row>
    <row r="2301" spans="1:25" ht="15.75" x14ac:dyDescent="0.25">
      <c r="A2301" s="21"/>
      <c r="B2301" s="21"/>
      <c r="C2301" s="21"/>
      <c r="E2301" s="21"/>
      <c r="F2301" s="21"/>
      <c r="G2301" s="14"/>
      <c r="H2301" s="14"/>
      <c r="I2301" s="14"/>
      <c r="J2301" s="14"/>
      <c r="K2301" s="14"/>
      <c r="L2301" s="14"/>
      <c r="M2301" s="14"/>
      <c r="N2301" s="14"/>
      <c r="O2301" s="14"/>
      <c r="P2301" s="14"/>
      <c r="Q2301" s="14"/>
      <c r="R2301" s="14"/>
      <c r="S2301" s="14"/>
      <c r="T2301" s="14"/>
      <c r="U2301" s="14"/>
      <c r="V2301" s="14"/>
      <c r="W2301" s="14"/>
      <c r="X2301" s="14"/>
      <c r="Y2301" s="14"/>
    </row>
    <row r="2302" spans="1:25" ht="15.75" x14ac:dyDescent="0.25">
      <c r="A2302" s="21"/>
      <c r="B2302" s="21"/>
      <c r="C2302" s="21"/>
      <c r="E2302" s="21"/>
      <c r="F2302" s="21"/>
      <c r="G2302" s="14"/>
      <c r="H2302" s="14"/>
      <c r="I2302" s="14"/>
      <c r="J2302" s="14"/>
      <c r="K2302" s="14"/>
      <c r="L2302" s="14"/>
      <c r="M2302" s="14"/>
      <c r="N2302" s="14"/>
      <c r="O2302" s="14"/>
      <c r="P2302" s="14"/>
      <c r="Q2302" s="14"/>
      <c r="R2302" s="14"/>
      <c r="S2302" s="14"/>
      <c r="T2302" s="14"/>
      <c r="U2302" s="14"/>
      <c r="V2302" s="14"/>
      <c r="W2302" s="14"/>
      <c r="X2302" s="14"/>
      <c r="Y2302" s="14"/>
    </row>
    <row r="2303" spans="1:25" ht="15.75" x14ac:dyDescent="0.25">
      <c r="A2303" s="21"/>
      <c r="B2303" s="21"/>
      <c r="C2303" s="21"/>
      <c r="E2303" s="21"/>
      <c r="F2303" s="21"/>
      <c r="G2303" s="14"/>
      <c r="H2303" s="14"/>
      <c r="I2303" s="14"/>
      <c r="J2303" s="14"/>
      <c r="K2303" s="14"/>
      <c r="L2303" s="14"/>
      <c r="M2303" s="14"/>
      <c r="N2303" s="14"/>
      <c r="O2303" s="14"/>
      <c r="P2303" s="14"/>
      <c r="Q2303" s="14"/>
      <c r="R2303" s="14"/>
      <c r="S2303" s="14"/>
      <c r="T2303" s="14"/>
      <c r="U2303" s="14"/>
      <c r="V2303" s="14"/>
      <c r="W2303" s="14"/>
      <c r="X2303" s="14"/>
      <c r="Y2303" s="14"/>
    </row>
    <row r="2304" spans="1:25" ht="15.75" x14ac:dyDescent="0.25">
      <c r="A2304" s="21"/>
      <c r="B2304" s="21"/>
      <c r="C2304" s="21"/>
      <c r="E2304" s="21"/>
      <c r="F2304" s="21"/>
      <c r="G2304" s="14"/>
      <c r="H2304" s="14"/>
      <c r="I2304" s="14"/>
      <c r="J2304" s="14"/>
      <c r="K2304" s="14"/>
      <c r="L2304" s="14"/>
      <c r="M2304" s="14"/>
      <c r="N2304" s="14"/>
      <c r="O2304" s="14"/>
      <c r="P2304" s="14"/>
      <c r="Q2304" s="14"/>
      <c r="R2304" s="14"/>
      <c r="S2304" s="14"/>
      <c r="T2304" s="14"/>
      <c r="U2304" s="14"/>
      <c r="V2304" s="14"/>
      <c r="W2304" s="14"/>
      <c r="X2304" s="14"/>
      <c r="Y2304" s="14"/>
    </row>
    <row r="2305" spans="1:25" ht="15.75" x14ac:dyDescent="0.25">
      <c r="A2305" s="21"/>
      <c r="B2305" s="21"/>
      <c r="C2305" s="21"/>
      <c r="E2305" s="21"/>
      <c r="F2305" s="21"/>
      <c r="G2305" s="14"/>
      <c r="H2305" s="14"/>
      <c r="I2305" s="14"/>
      <c r="J2305" s="14"/>
      <c r="K2305" s="14"/>
      <c r="L2305" s="14"/>
      <c r="M2305" s="14"/>
      <c r="N2305" s="14"/>
      <c r="O2305" s="14"/>
      <c r="P2305" s="14"/>
      <c r="Q2305" s="14"/>
      <c r="R2305" s="14"/>
      <c r="S2305" s="14"/>
      <c r="T2305" s="14"/>
      <c r="U2305" s="14"/>
      <c r="V2305" s="14"/>
      <c r="W2305" s="14"/>
      <c r="X2305" s="14"/>
      <c r="Y2305" s="14"/>
    </row>
    <row r="2306" spans="1:25" ht="15.75" x14ac:dyDescent="0.25">
      <c r="A2306" s="21"/>
      <c r="B2306" s="21"/>
      <c r="C2306" s="21"/>
      <c r="E2306" s="21"/>
      <c r="F2306" s="21"/>
      <c r="G2306" s="14"/>
      <c r="H2306" s="14"/>
      <c r="I2306" s="14"/>
      <c r="J2306" s="14"/>
      <c r="K2306" s="14"/>
      <c r="L2306" s="14"/>
      <c r="M2306" s="14"/>
      <c r="N2306" s="14"/>
      <c r="O2306" s="14"/>
      <c r="P2306" s="14"/>
      <c r="Q2306" s="14"/>
      <c r="R2306" s="14"/>
      <c r="S2306" s="14"/>
      <c r="T2306" s="14"/>
      <c r="U2306" s="14"/>
      <c r="V2306" s="14"/>
      <c r="W2306" s="14"/>
      <c r="X2306" s="14"/>
      <c r="Y2306" s="14"/>
    </row>
    <row r="2307" spans="1:25" ht="15.75" x14ac:dyDescent="0.25">
      <c r="A2307" s="21"/>
      <c r="B2307" s="21"/>
      <c r="C2307" s="21"/>
      <c r="E2307" s="21"/>
      <c r="F2307" s="21"/>
      <c r="G2307" s="14"/>
      <c r="H2307" s="14"/>
      <c r="I2307" s="14"/>
      <c r="J2307" s="14"/>
      <c r="K2307" s="14"/>
      <c r="L2307" s="14"/>
      <c r="M2307" s="14"/>
      <c r="N2307" s="14"/>
      <c r="O2307" s="14"/>
      <c r="P2307" s="14"/>
      <c r="Q2307" s="14"/>
      <c r="R2307" s="14"/>
      <c r="S2307" s="14"/>
      <c r="T2307" s="14"/>
      <c r="U2307" s="14"/>
      <c r="V2307" s="14"/>
      <c r="W2307" s="14"/>
      <c r="X2307" s="14"/>
      <c r="Y2307" s="14"/>
    </row>
    <row r="2308" spans="1:25" ht="15.75" x14ac:dyDescent="0.25">
      <c r="A2308" s="21"/>
      <c r="B2308" s="21"/>
      <c r="C2308" s="21"/>
      <c r="E2308" s="21"/>
      <c r="F2308" s="21"/>
      <c r="G2308" s="14"/>
      <c r="H2308" s="14"/>
      <c r="I2308" s="14"/>
      <c r="J2308" s="14"/>
      <c r="K2308" s="14"/>
      <c r="L2308" s="14"/>
      <c r="M2308" s="14"/>
      <c r="N2308" s="14"/>
      <c r="O2308" s="14"/>
      <c r="P2308" s="14"/>
      <c r="Q2308" s="14"/>
      <c r="R2308" s="14"/>
      <c r="S2308" s="14"/>
      <c r="T2308" s="14"/>
      <c r="U2308" s="14"/>
      <c r="V2308" s="14"/>
      <c r="W2308" s="14"/>
      <c r="X2308" s="14"/>
      <c r="Y2308" s="14"/>
    </row>
    <row r="2309" spans="1:25" ht="15.75" x14ac:dyDescent="0.25">
      <c r="A2309" s="21"/>
      <c r="B2309" s="21"/>
      <c r="C2309" s="21"/>
      <c r="E2309" s="21"/>
      <c r="F2309" s="21"/>
      <c r="G2309" s="14"/>
      <c r="H2309" s="14"/>
      <c r="I2309" s="14"/>
      <c r="J2309" s="14"/>
      <c r="K2309" s="14"/>
      <c r="L2309" s="14"/>
      <c r="M2309" s="14"/>
      <c r="N2309" s="14"/>
      <c r="O2309" s="14"/>
      <c r="P2309" s="14"/>
      <c r="Q2309" s="14"/>
      <c r="R2309" s="14"/>
      <c r="S2309" s="14"/>
      <c r="T2309" s="14"/>
      <c r="U2309" s="14"/>
      <c r="V2309" s="14"/>
      <c r="W2309" s="14"/>
      <c r="X2309" s="14"/>
      <c r="Y2309" s="14"/>
    </row>
    <row r="2310" spans="1:25" ht="15.75" x14ac:dyDescent="0.25">
      <c r="A2310" s="21"/>
      <c r="B2310" s="21"/>
      <c r="C2310" s="21"/>
      <c r="E2310" s="21"/>
      <c r="F2310" s="21"/>
      <c r="G2310" s="14"/>
      <c r="H2310" s="14"/>
      <c r="I2310" s="14"/>
      <c r="J2310" s="14"/>
      <c r="K2310" s="14"/>
      <c r="L2310" s="14"/>
      <c r="M2310" s="14"/>
      <c r="N2310" s="14"/>
      <c r="O2310" s="14"/>
      <c r="P2310" s="14"/>
      <c r="Q2310" s="14"/>
      <c r="R2310" s="14"/>
      <c r="S2310" s="14"/>
      <c r="T2310" s="14"/>
      <c r="U2310" s="14"/>
      <c r="V2310" s="14"/>
      <c r="W2310" s="14"/>
      <c r="X2310" s="14"/>
      <c r="Y2310" s="14"/>
    </row>
    <row r="2311" spans="1:25" ht="15.75" x14ac:dyDescent="0.25">
      <c r="A2311" s="21"/>
      <c r="B2311" s="21"/>
      <c r="C2311" s="21"/>
      <c r="E2311" s="21"/>
      <c r="F2311" s="21"/>
      <c r="G2311" s="14"/>
      <c r="H2311" s="14"/>
      <c r="I2311" s="14"/>
      <c r="J2311" s="14"/>
      <c r="K2311" s="14"/>
      <c r="L2311" s="14"/>
      <c r="M2311" s="14"/>
      <c r="N2311" s="14"/>
      <c r="O2311" s="14"/>
      <c r="P2311" s="14"/>
      <c r="Q2311" s="14"/>
      <c r="R2311" s="14"/>
      <c r="S2311" s="14"/>
      <c r="T2311" s="14"/>
      <c r="U2311" s="14"/>
      <c r="V2311" s="14"/>
      <c r="W2311" s="14"/>
      <c r="X2311" s="14"/>
      <c r="Y2311" s="14"/>
    </row>
    <row r="2312" spans="1:25" ht="15.75" x14ac:dyDescent="0.25">
      <c r="A2312" s="21"/>
      <c r="B2312" s="21"/>
      <c r="C2312" s="21"/>
      <c r="E2312" s="21"/>
      <c r="F2312" s="21"/>
      <c r="G2312" s="14"/>
      <c r="H2312" s="14"/>
      <c r="I2312" s="14"/>
      <c r="J2312" s="14"/>
      <c r="K2312" s="14"/>
      <c r="L2312" s="14"/>
      <c r="M2312" s="14"/>
      <c r="N2312" s="14"/>
      <c r="O2312" s="14"/>
      <c r="P2312" s="14"/>
      <c r="Q2312" s="14"/>
      <c r="R2312" s="14"/>
      <c r="S2312" s="14"/>
      <c r="T2312" s="14"/>
      <c r="U2312" s="14"/>
      <c r="V2312" s="14"/>
      <c r="W2312" s="14"/>
      <c r="X2312" s="14"/>
      <c r="Y2312" s="14"/>
    </row>
    <row r="2313" spans="1:25" ht="15.75" x14ac:dyDescent="0.25">
      <c r="A2313" s="21"/>
      <c r="B2313" s="21"/>
      <c r="C2313" s="21"/>
      <c r="E2313" s="21"/>
      <c r="F2313" s="21"/>
      <c r="G2313" s="14"/>
      <c r="H2313" s="14"/>
      <c r="I2313" s="14"/>
      <c r="J2313" s="14"/>
      <c r="K2313" s="14"/>
      <c r="L2313" s="14"/>
      <c r="M2313" s="14"/>
      <c r="N2313" s="14"/>
      <c r="O2313" s="14"/>
      <c r="P2313" s="14"/>
      <c r="Q2313" s="14"/>
      <c r="R2313" s="14"/>
      <c r="S2313" s="14"/>
      <c r="T2313" s="14"/>
      <c r="U2313" s="14"/>
      <c r="V2313" s="14"/>
      <c r="W2313" s="14"/>
      <c r="X2313" s="14"/>
      <c r="Y2313" s="14"/>
    </row>
    <row r="2314" spans="1:25" ht="15.75" x14ac:dyDescent="0.25">
      <c r="A2314" s="21"/>
      <c r="B2314" s="21"/>
      <c r="C2314" s="21"/>
      <c r="E2314" s="21"/>
      <c r="F2314" s="21"/>
      <c r="G2314" s="14"/>
      <c r="H2314" s="14"/>
      <c r="I2314" s="14"/>
      <c r="J2314" s="14"/>
      <c r="K2314" s="14"/>
      <c r="L2314" s="14"/>
      <c r="M2314" s="14"/>
      <c r="N2314" s="14"/>
      <c r="O2314" s="14"/>
      <c r="P2314" s="14"/>
      <c r="Q2314" s="14"/>
      <c r="R2314" s="14"/>
      <c r="S2314" s="14"/>
      <c r="T2314" s="14"/>
      <c r="U2314" s="14"/>
      <c r="V2314" s="14"/>
      <c r="W2314" s="14"/>
      <c r="X2314" s="14"/>
      <c r="Y2314" s="14"/>
    </row>
    <row r="2315" spans="1:25" ht="15.75" x14ac:dyDescent="0.25">
      <c r="A2315" s="21"/>
      <c r="B2315" s="21"/>
      <c r="C2315" s="21"/>
      <c r="E2315" s="21"/>
      <c r="F2315" s="21"/>
      <c r="G2315" s="14"/>
      <c r="H2315" s="14"/>
      <c r="I2315" s="14"/>
      <c r="J2315" s="14"/>
      <c r="K2315" s="14"/>
      <c r="L2315" s="14"/>
      <c r="M2315" s="14"/>
      <c r="N2315" s="14"/>
      <c r="O2315" s="14"/>
      <c r="P2315" s="14"/>
      <c r="Q2315" s="14"/>
      <c r="R2315" s="14"/>
      <c r="S2315" s="14"/>
      <c r="T2315" s="14"/>
      <c r="U2315" s="14"/>
      <c r="V2315" s="14"/>
      <c r="W2315" s="14"/>
      <c r="X2315" s="14"/>
      <c r="Y2315" s="14"/>
    </row>
    <row r="2316" spans="1:25" ht="15.75" x14ac:dyDescent="0.25">
      <c r="A2316" s="21"/>
      <c r="B2316" s="21"/>
      <c r="C2316" s="21"/>
      <c r="E2316" s="21"/>
      <c r="F2316" s="21"/>
      <c r="G2316" s="14"/>
      <c r="H2316" s="14"/>
      <c r="I2316" s="14"/>
      <c r="J2316" s="14"/>
      <c r="K2316" s="14"/>
      <c r="L2316" s="14"/>
      <c r="M2316" s="14"/>
      <c r="N2316" s="14"/>
      <c r="O2316" s="14"/>
      <c r="P2316" s="14"/>
      <c r="Q2316" s="14"/>
      <c r="R2316" s="14"/>
      <c r="S2316" s="14"/>
      <c r="T2316" s="14"/>
      <c r="U2316" s="14"/>
      <c r="V2316" s="14"/>
      <c r="W2316" s="14"/>
      <c r="X2316" s="14"/>
      <c r="Y2316" s="14"/>
    </row>
    <row r="2317" spans="1:25" ht="15.75" x14ac:dyDescent="0.25">
      <c r="A2317" s="21"/>
      <c r="B2317" s="21"/>
      <c r="C2317" s="21"/>
      <c r="E2317" s="21"/>
      <c r="F2317" s="21"/>
      <c r="G2317" s="14"/>
      <c r="H2317" s="14"/>
      <c r="I2317" s="14"/>
      <c r="J2317" s="14"/>
      <c r="K2317" s="14"/>
      <c r="L2317" s="14"/>
      <c r="M2317" s="14"/>
      <c r="N2317" s="14"/>
      <c r="O2317" s="14"/>
      <c r="P2317" s="14"/>
      <c r="Q2317" s="14"/>
      <c r="R2317" s="14"/>
      <c r="S2317" s="14"/>
      <c r="T2317" s="14"/>
      <c r="U2317" s="14"/>
      <c r="V2317" s="14"/>
      <c r="W2317" s="14"/>
      <c r="X2317" s="14"/>
      <c r="Y2317" s="14"/>
    </row>
    <row r="2318" spans="1:25" ht="15.75" x14ac:dyDescent="0.25">
      <c r="A2318" s="21"/>
      <c r="B2318" s="21"/>
      <c r="C2318" s="21"/>
      <c r="E2318" s="21"/>
      <c r="F2318" s="21"/>
      <c r="G2318" s="14"/>
      <c r="H2318" s="14"/>
      <c r="I2318" s="14"/>
      <c r="J2318" s="14"/>
      <c r="K2318" s="14"/>
      <c r="L2318" s="14"/>
      <c r="M2318" s="14"/>
      <c r="N2318" s="14"/>
      <c r="O2318" s="14"/>
      <c r="P2318" s="14"/>
      <c r="Q2318" s="14"/>
      <c r="R2318" s="14"/>
      <c r="S2318" s="14"/>
      <c r="T2318" s="14"/>
      <c r="U2318" s="14"/>
      <c r="V2318" s="14"/>
      <c r="W2318" s="14"/>
      <c r="X2318" s="14"/>
      <c r="Y2318" s="14"/>
    </row>
    <row r="2319" spans="1:25" ht="15.75" x14ac:dyDescent="0.25">
      <c r="A2319" s="21"/>
      <c r="B2319" s="21"/>
      <c r="C2319" s="21"/>
      <c r="E2319" s="21"/>
      <c r="F2319" s="21"/>
      <c r="G2319" s="14"/>
      <c r="H2319" s="14"/>
      <c r="I2319" s="14"/>
      <c r="J2319" s="14"/>
      <c r="K2319" s="14"/>
      <c r="L2319" s="14"/>
      <c r="M2319" s="14"/>
      <c r="N2319" s="14"/>
      <c r="O2319" s="14"/>
      <c r="P2319" s="14"/>
      <c r="Q2319" s="14"/>
      <c r="R2319" s="14"/>
      <c r="S2319" s="14"/>
      <c r="T2319" s="14"/>
      <c r="U2319" s="14"/>
      <c r="V2319" s="14"/>
      <c r="W2319" s="14"/>
      <c r="X2319" s="14"/>
      <c r="Y2319" s="14"/>
    </row>
    <row r="2320" spans="1:25" ht="15.75" x14ac:dyDescent="0.25">
      <c r="A2320" s="21"/>
      <c r="B2320" s="21"/>
      <c r="C2320" s="21"/>
      <c r="E2320" s="21"/>
      <c r="F2320" s="21"/>
      <c r="G2320" s="14"/>
      <c r="H2320" s="14"/>
      <c r="I2320" s="14"/>
      <c r="J2320" s="14"/>
      <c r="K2320" s="14"/>
      <c r="L2320" s="14"/>
      <c r="M2320" s="14"/>
      <c r="N2320" s="14"/>
      <c r="O2320" s="14"/>
      <c r="P2320" s="14"/>
      <c r="Q2320" s="14"/>
      <c r="R2320" s="14"/>
      <c r="S2320" s="14"/>
      <c r="T2320" s="14"/>
      <c r="U2320" s="14"/>
      <c r="V2320" s="14"/>
      <c r="W2320" s="14"/>
      <c r="X2320" s="14"/>
      <c r="Y2320" s="14"/>
    </row>
    <row r="2321" spans="1:25" ht="15.75" x14ac:dyDescent="0.25">
      <c r="A2321" s="21"/>
      <c r="B2321" s="21"/>
      <c r="C2321" s="21"/>
      <c r="E2321" s="21"/>
      <c r="F2321" s="21"/>
      <c r="G2321" s="14"/>
      <c r="H2321" s="14"/>
      <c r="I2321" s="14"/>
      <c r="J2321" s="14"/>
      <c r="K2321" s="14"/>
      <c r="L2321" s="14"/>
      <c r="M2321" s="14"/>
      <c r="N2321" s="14"/>
      <c r="O2321" s="14"/>
      <c r="P2321" s="14"/>
      <c r="Q2321" s="14"/>
      <c r="R2321" s="14"/>
      <c r="S2321" s="14"/>
      <c r="T2321" s="14"/>
      <c r="U2321" s="14"/>
      <c r="V2321" s="14"/>
      <c r="W2321" s="14"/>
      <c r="X2321" s="14"/>
      <c r="Y2321" s="14"/>
    </row>
    <row r="2322" spans="1:25" ht="15.75" x14ac:dyDescent="0.25">
      <c r="A2322" s="21"/>
      <c r="B2322" s="21"/>
      <c r="C2322" s="21"/>
      <c r="E2322" s="21"/>
      <c r="F2322" s="21"/>
      <c r="G2322" s="14"/>
      <c r="H2322" s="14"/>
      <c r="I2322" s="14"/>
      <c r="J2322" s="14"/>
      <c r="K2322" s="14"/>
      <c r="L2322" s="14"/>
      <c r="M2322" s="14"/>
      <c r="N2322" s="14"/>
      <c r="O2322" s="14"/>
      <c r="P2322" s="14"/>
      <c r="Q2322" s="14"/>
      <c r="R2322" s="14"/>
      <c r="S2322" s="14"/>
      <c r="T2322" s="14"/>
      <c r="U2322" s="14"/>
      <c r="V2322" s="14"/>
      <c r="W2322" s="14"/>
      <c r="X2322" s="14"/>
      <c r="Y2322" s="14"/>
    </row>
    <row r="2323" spans="1:25" ht="15.75" x14ac:dyDescent="0.25">
      <c r="A2323" s="21"/>
      <c r="B2323" s="21"/>
      <c r="C2323" s="21"/>
      <c r="E2323" s="21"/>
      <c r="F2323" s="21"/>
      <c r="G2323" s="14"/>
      <c r="H2323" s="14"/>
      <c r="I2323" s="14"/>
      <c r="J2323" s="14"/>
      <c r="K2323" s="14"/>
      <c r="L2323" s="14"/>
      <c r="M2323" s="14"/>
      <c r="N2323" s="14"/>
      <c r="O2323" s="14"/>
      <c r="P2323" s="14"/>
      <c r="Q2323" s="14"/>
      <c r="R2323" s="14"/>
      <c r="S2323" s="14"/>
      <c r="T2323" s="14"/>
      <c r="U2323" s="14"/>
      <c r="V2323" s="14"/>
      <c r="W2323" s="14"/>
      <c r="X2323" s="14"/>
      <c r="Y2323" s="14"/>
    </row>
    <row r="2324" spans="1:25" ht="15.75" x14ac:dyDescent="0.25">
      <c r="A2324" s="21"/>
      <c r="B2324" s="21"/>
      <c r="C2324" s="21"/>
      <c r="E2324" s="21"/>
      <c r="F2324" s="21"/>
      <c r="G2324" s="14"/>
      <c r="H2324" s="14"/>
      <c r="I2324" s="14"/>
      <c r="J2324" s="14"/>
      <c r="K2324" s="14"/>
      <c r="L2324" s="14"/>
      <c r="M2324" s="14"/>
      <c r="N2324" s="14"/>
      <c r="O2324" s="14"/>
      <c r="P2324" s="14"/>
      <c r="Q2324" s="14"/>
      <c r="R2324" s="14"/>
      <c r="S2324" s="14"/>
      <c r="T2324" s="14"/>
      <c r="U2324" s="14"/>
      <c r="V2324" s="14"/>
      <c r="W2324" s="14"/>
      <c r="X2324" s="14"/>
      <c r="Y2324" s="14"/>
    </row>
    <row r="2325" spans="1:25" ht="15.75" x14ac:dyDescent="0.25">
      <c r="A2325" s="21"/>
      <c r="B2325" s="21"/>
      <c r="C2325" s="21"/>
      <c r="E2325" s="21"/>
      <c r="F2325" s="21"/>
      <c r="G2325" s="14"/>
      <c r="H2325" s="14"/>
      <c r="I2325" s="14"/>
      <c r="J2325" s="14"/>
      <c r="K2325" s="14"/>
      <c r="L2325" s="14"/>
      <c r="M2325" s="14"/>
      <c r="N2325" s="14"/>
      <c r="O2325" s="14"/>
      <c r="P2325" s="14"/>
      <c r="Q2325" s="14"/>
      <c r="R2325" s="14"/>
      <c r="S2325" s="14"/>
      <c r="T2325" s="14"/>
      <c r="U2325" s="14"/>
      <c r="V2325" s="14"/>
      <c r="W2325" s="14"/>
      <c r="X2325" s="14"/>
      <c r="Y2325" s="14"/>
    </row>
    <row r="2326" spans="1:25" ht="15.75" x14ac:dyDescent="0.25">
      <c r="A2326" s="21"/>
      <c r="B2326" s="21"/>
      <c r="C2326" s="21"/>
      <c r="E2326" s="21"/>
      <c r="F2326" s="21"/>
      <c r="G2326" s="14"/>
      <c r="H2326" s="14"/>
      <c r="I2326" s="14"/>
      <c r="J2326" s="14"/>
      <c r="K2326" s="14"/>
      <c r="L2326" s="14"/>
      <c r="M2326" s="14"/>
      <c r="N2326" s="14"/>
      <c r="O2326" s="14"/>
      <c r="P2326" s="14"/>
      <c r="Q2326" s="14"/>
      <c r="R2326" s="14"/>
      <c r="S2326" s="14"/>
      <c r="T2326" s="14"/>
      <c r="U2326" s="14"/>
      <c r="V2326" s="14"/>
      <c r="W2326" s="14"/>
      <c r="X2326" s="14"/>
      <c r="Y2326" s="14"/>
    </row>
    <row r="2327" spans="1:25" ht="15.75" x14ac:dyDescent="0.25">
      <c r="A2327" s="21"/>
      <c r="B2327" s="21"/>
      <c r="C2327" s="21"/>
      <c r="E2327" s="21"/>
      <c r="F2327" s="21"/>
      <c r="G2327" s="14"/>
      <c r="H2327" s="14"/>
      <c r="I2327" s="14"/>
      <c r="J2327" s="14"/>
      <c r="K2327" s="14"/>
      <c r="L2327" s="14"/>
      <c r="M2327" s="14"/>
      <c r="N2327" s="14"/>
      <c r="O2327" s="14"/>
      <c r="P2327" s="14"/>
      <c r="Q2327" s="14"/>
      <c r="R2327" s="14"/>
      <c r="S2327" s="14"/>
      <c r="T2327" s="14"/>
      <c r="U2327" s="14"/>
      <c r="V2327" s="14"/>
      <c r="W2327" s="14"/>
      <c r="X2327" s="14"/>
      <c r="Y2327" s="14"/>
    </row>
    <row r="2328" spans="1:25" ht="15.75" x14ac:dyDescent="0.25">
      <c r="A2328" s="21"/>
      <c r="B2328" s="21"/>
      <c r="C2328" s="21"/>
      <c r="E2328" s="21"/>
      <c r="F2328" s="21"/>
      <c r="G2328" s="14"/>
      <c r="H2328" s="14"/>
      <c r="I2328" s="14"/>
      <c r="J2328" s="14"/>
      <c r="K2328" s="14"/>
      <c r="L2328" s="14"/>
      <c r="M2328" s="14"/>
      <c r="N2328" s="14"/>
      <c r="O2328" s="14"/>
      <c r="P2328" s="14"/>
      <c r="Q2328" s="14"/>
      <c r="R2328" s="14"/>
      <c r="S2328" s="14"/>
      <c r="T2328" s="14"/>
      <c r="U2328" s="14"/>
      <c r="V2328" s="14"/>
      <c r="W2328" s="14"/>
      <c r="X2328" s="14"/>
      <c r="Y2328" s="14"/>
    </row>
    <row r="2329" spans="1:25" ht="15.75" x14ac:dyDescent="0.25">
      <c r="A2329" s="21"/>
      <c r="B2329" s="21"/>
      <c r="C2329" s="21"/>
      <c r="E2329" s="21"/>
      <c r="F2329" s="21"/>
      <c r="G2329" s="14"/>
      <c r="H2329" s="14"/>
      <c r="I2329" s="14"/>
      <c r="J2329" s="14"/>
      <c r="K2329" s="14"/>
      <c r="L2329" s="14"/>
      <c r="M2329" s="14"/>
      <c r="N2329" s="14"/>
      <c r="O2329" s="14"/>
      <c r="P2329" s="14"/>
      <c r="Q2329" s="14"/>
      <c r="R2329" s="14"/>
      <c r="S2329" s="14"/>
      <c r="T2329" s="14"/>
      <c r="U2329" s="14"/>
      <c r="V2329" s="14"/>
      <c r="W2329" s="14"/>
      <c r="X2329" s="14"/>
      <c r="Y2329" s="14"/>
    </row>
    <row r="2330" spans="1:25" ht="15.75" x14ac:dyDescent="0.25">
      <c r="A2330" s="21"/>
      <c r="B2330" s="21"/>
      <c r="C2330" s="21"/>
      <c r="E2330" s="21"/>
      <c r="F2330" s="21"/>
      <c r="G2330" s="14"/>
      <c r="H2330" s="14"/>
      <c r="I2330" s="14"/>
      <c r="J2330" s="14"/>
      <c r="K2330" s="14"/>
      <c r="L2330" s="14"/>
      <c r="M2330" s="14"/>
      <c r="N2330" s="14"/>
      <c r="O2330" s="14"/>
      <c r="P2330" s="14"/>
      <c r="Q2330" s="14"/>
      <c r="R2330" s="14"/>
      <c r="S2330" s="14"/>
      <c r="T2330" s="14"/>
      <c r="U2330" s="14"/>
      <c r="V2330" s="14"/>
      <c r="W2330" s="14"/>
      <c r="X2330" s="14"/>
      <c r="Y2330" s="14"/>
    </row>
    <row r="2331" spans="1:25" ht="15.75" x14ac:dyDescent="0.25">
      <c r="A2331" s="21"/>
      <c r="B2331" s="21"/>
      <c r="C2331" s="21"/>
      <c r="E2331" s="21"/>
      <c r="F2331" s="21"/>
      <c r="G2331" s="14"/>
      <c r="H2331" s="14"/>
      <c r="I2331" s="14"/>
      <c r="J2331" s="14"/>
      <c r="K2331" s="14"/>
      <c r="L2331" s="14"/>
      <c r="M2331" s="14"/>
      <c r="N2331" s="14"/>
      <c r="O2331" s="14"/>
      <c r="P2331" s="14"/>
      <c r="Q2331" s="14"/>
      <c r="R2331" s="14"/>
      <c r="S2331" s="14"/>
      <c r="T2331" s="14"/>
      <c r="U2331" s="14"/>
      <c r="V2331" s="14"/>
      <c r="W2331" s="14"/>
      <c r="X2331" s="14"/>
      <c r="Y2331" s="14"/>
    </row>
    <row r="2332" spans="1:25" ht="15.75" x14ac:dyDescent="0.25">
      <c r="A2332" s="21"/>
      <c r="B2332" s="21"/>
      <c r="C2332" s="21"/>
      <c r="E2332" s="21"/>
      <c r="F2332" s="21"/>
      <c r="G2332" s="14"/>
      <c r="H2332" s="14"/>
      <c r="I2332" s="14"/>
      <c r="J2332" s="14"/>
      <c r="K2332" s="14"/>
      <c r="L2332" s="14"/>
      <c r="M2332" s="14"/>
      <c r="N2332" s="14"/>
      <c r="O2332" s="14"/>
      <c r="P2332" s="14"/>
      <c r="Q2332" s="14"/>
      <c r="R2332" s="14"/>
      <c r="S2332" s="14"/>
      <c r="T2332" s="14"/>
      <c r="U2332" s="14"/>
      <c r="V2332" s="14"/>
      <c r="W2332" s="14"/>
      <c r="X2332" s="14"/>
      <c r="Y2332" s="14"/>
    </row>
    <row r="2333" spans="1:25" ht="15.75" x14ac:dyDescent="0.25">
      <c r="A2333" s="21"/>
      <c r="B2333" s="21"/>
      <c r="C2333" s="21"/>
      <c r="E2333" s="21"/>
      <c r="F2333" s="21"/>
      <c r="G2333" s="14"/>
      <c r="H2333" s="14"/>
      <c r="I2333" s="14"/>
      <c r="J2333" s="14"/>
      <c r="K2333" s="14"/>
      <c r="L2333" s="14"/>
      <c r="M2333" s="14"/>
      <c r="N2333" s="14"/>
      <c r="O2333" s="14"/>
      <c r="P2333" s="14"/>
      <c r="Q2333" s="14"/>
      <c r="R2333" s="14"/>
      <c r="S2333" s="14"/>
      <c r="T2333" s="14"/>
      <c r="U2333" s="14"/>
      <c r="V2333" s="14"/>
      <c r="W2333" s="14"/>
      <c r="X2333" s="14"/>
      <c r="Y2333" s="14"/>
    </row>
    <row r="2334" spans="1:25" ht="15.75" x14ac:dyDescent="0.25">
      <c r="A2334" s="21"/>
      <c r="B2334" s="21"/>
      <c r="C2334" s="21"/>
      <c r="E2334" s="21"/>
      <c r="F2334" s="21"/>
      <c r="G2334" s="14"/>
      <c r="H2334" s="14"/>
      <c r="I2334" s="14"/>
      <c r="J2334" s="14"/>
      <c r="K2334" s="14"/>
      <c r="L2334" s="14"/>
      <c r="M2334" s="14"/>
      <c r="N2334" s="14"/>
      <c r="O2334" s="14"/>
      <c r="P2334" s="14"/>
      <c r="Q2334" s="14"/>
      <c r="R2334" s="14"/>
      <c r="S2334" s="14"/>
      <c r="T2334" s="14"/>
      <c r="U2334" s="14"/>
      <c r="V2334" s="14"/>
      <c r="W2334" s="14"/>
      <c r="X2334" s="14"/>
      <c r="Y2334" s="14"/>
    </row>
    <row r="2335" spans="1:25" ht="15.75" x14ac:dyDescent="0.25">
      <c r="A2335" s="21"/>
      <c r="B2335" s="21"/>
      <c r="C2335" s="21"/>
      <c r="E2335" s="21"/>
      <c r="F2335" s="21"/>
      <c r="G2335" s="14"/>
      <c r="H2335" s="14"/>
      <c r="I2335" s="14"/>
      <c r="J2335" s="14"/>
      <c r="K2335" s="14"/>
      <c r="L2335" s="14"/>
      <c r="M2335" s="14"/>
      <c r="N2335" s="14"/>
      <c r="O2335" s="14"/>
      <c r="P2335" s="14"/>
      <c r="Q2335" s="14"/>
      <c r="R2335" s="14"/>
      <c r="S2335" s="14"/>
      <c r="T2335" s="14"/>
      <c r="U2335" s="14"/>
      <c r="V2335" s="14"/>
      <c r="W2335" s="14"/>
      <c r="X2335" s="14"/>
      <c r="Y2335" s="14"/>
    </row>
    <row r="2336" spans="1:25" ht="15.75" x14ac:dyDescent="0.25">
      <c r="A2336" s="21"/>
      <c r="B2336" s="21"/>
      <c r="C2336" s="21"/>
      <c r="E2336" s="21"/>
      <c r="F2336" s="21"/>
      <c r="G2336" s="14"/>
      <c r="H2336" s="14"/>
      <c r="I2336" s="14"/>
      <c r="J2336" s="14"/>
      <c r="K2336" s="14"/>
      <c r="L2336" s="14"/>
      <c r="M2336" s="14"/>
      <c r="N2336" s="14"/>
      <c r="O2336" s="14"/>
      <c r="P2336" s="14"/>
      <c r="Q2336" s="14"/>
      <c r="R2336" s="14"/>
      <c r="S2336" s="14"/>
      <c r="T2336" s="14"/>
      <c r="U2336" s="14"/>
      <c r="V2336" s="14"/>
      <c r="W2336" s="14"/>
      <c r="X2336" s="14"/>
      <c r="Y2336" s="14"/>
    </row>
    <row r="2337" spans="1:25" ht="15.75" x14ac:dyDescent="0.25">
      <c r="A2337" s="21"/>
      <c r="B2337" s="21"/>
      <c r="C2337" s="21"/>
      <c r="E2337" s="21"/>
      <c r="F2337" s="21"/>
      <c r="G2337" s="14"/>
      <c r="H2337" s="14"/>
      <c r="I2337" s="14"/>
      <c r="J2337" s="14"/>
      <c r="K2337" s="14"/>
      <c r="L2337" s="14"/>
      <c r="M2337" s="14"/>
      <c r="N2337" s="14"/>
      <c r="O2337" s="14"/>
      <c r="P2337" s="14"/>
      <c r="Q2337" s="14"/>
      <c r="R2337" s="14"/>
      <c r="S2337" s="14"/>
      <c r="T2337" s="14"/>
      <c r="U2337" s="14"/>
      <c r="V2337" s="14"/>
      <c r="W2337" s="14"/>
      <c r="X2337" s="14"/>
      <c r="Y2337" s="14"/>
    </row>
    <row r="2338" spans="1:25" ht="15.75" x14ac:dyDescent="0.25">
      <c r="A2338" s="21"/>
      <c r="B2338" s="21"/>
      <c r="C2338" s="21"/>
      <c r="E2338" s="21"/>
      <c r="F2338" s="21"/>
      <c r="G2338" s="14"/>
      <c r="H2338" s="14"/>
      <c r="I2338" s="14"/>
      <c r="J2338" s="14"/>
      <c r="K2338" s="14"/>
      <c r="L2338" s="14"/>
      <c r="M2338" s="14"/>
      <c r="N2338" s="14"/>
      <c r="O2338" s="14"/>
      <c r="P2338" s="14"/>
      <c r="Q2338" s="14"/>
      <c r="R2338" s="14"/>
      <c r="S2338" s="14"/>
      <c r="T2338" s="14"/>
      <c r="U2338" s="14"/>
      <c r="V2338" s="14"/>
      <c r="W2338" s="14"/>
      <c r="X2338" s="14"/>
      <c r="Y2338" s="14"/>
    </row>
    <row r="2339" spans="1:25" ht="15.75" x14ac:dyDescent="0.25">
      <c r="A2339" s="21"/>
      <c r="B2339" s="21"/>
      <c r="C2339" s="21"/>
      <c r="E2339" s="21"/>
      <c r="F2339" s="21"/>
      <c r="G2339" s="14"/>
      <c r="H2339" s="14"/>
      <c r="I2339" s="14"/>
      <c r="J2339" s="14"/>
      <c r="K2339" s="14"/>
      <c r="L2339" s="14"/>
      <c r="M2339" s="14"/>
      <c r="N2339" s="14"/>
      <c r="O2339" s="14"/>
      <c r="P2339" s="14"/>
      <c r="Q2339" s="14"/>
      <c r="R2339" s="14"/>
      <c r="S2339" s="14"/>
      <c r="T2339" s="14"/>
      <c r="U2339" s="14"/>
      <c r="V2339" s="14"/>
      <c r="W2339" s="14"/>
      <c r="X2339" s="14"/>
      <c r="Y2339" s="14"/>
    </row>
    <row r="2340" spans="1:25" ht="15.75" x14ac:dyDescent="0.25">
      <c r="A2340" s="21"/>
      <c r="B2340" s="21"/>
      <c r="C2340" s="21"/>
      <c r="E2340" s="21"/>
      <c r="F2340" s="21"/>
      <c r="G2340" s="14"/>
      <c r="H2340" s="14"/>
      <c r="I2340" s="14"/>
      <c r="J2340" s="14"/>
      <c r="K2340" s="14"/>
      <c r="L2340" s="14"/>
      <c r="M2340" s="14"/>
      <c r="N2340" s="14"/>
      <c r="O2340" s="14"/>
      <c r="P2340" s="14"/>
      <c r="Q2340" s="14"/>
      <c r="R2340" s="14"/>
      <c r="S2340" s="14"/>
      <c r="T2340" s="14"/>
      <c r="U2340" s="14"/>
      <c r="V2340" s="14"/>
      <c r="W2340" s="14"/>
      <c r="X2340" s="14"/>
      <c r="Y2340" s="14"/>
    </row>
    <row r="2341" spans="1:25" ht="15.75" x14ac:dyDescent="0.25">
      <c r="A2341" s="21"/>
      <c r="B2341" s="21"/>
      <c r="C2341" s="21"/>
      <c r="E2341" s="21"/>
      <c r="F2341" s="21"/>
      <c r="G2341" s="14"/>
      <c r="H2341" s="14"/>
      <c r="I2341" s="14"/>
      <c r="J2341" s="14"/>
      <c r="K2341" s="14"/>
      <c r="L2341" s="14"/>
      <c r="M2341" s="14"/>
      <c r="N2341" s="14"/>
      <c r="O2341" s="14"/>
      <c r="P2341" s="14"/>
      <c r="Q2341" s="14"/>
      <c r="R2341" s="14"/>
      <c r="S2341" s="14"/>
      <c r="T2341" s="14"/>
      <c r="U2341" s="14"/>
      <c r="V2341" s="14"/>
      <c r="W2341" s="14"/>
      <c r="X2341" s="14"/>
      <c r="Y2341" s="14"/>
    </row>
    <row r="2342" spans="1:25" ht="15.75" x14ac:dyDescent="0.25">
      <c r="A2342" s="21"/>
      <c r="B2342" s="21"/>
      <c r="C2342" s="21"/>
      <c r="E2342" s="21"/>
      <c r="F2342" s="21"/>
      <c r="G2342" s="14"/>
      <c r="H2342" s="14"/>
      <c r="I2342" s="14"/>
      <c r="J2342" s="14"/>
      <c r="K2342" s="14"/>
      <c r="L2342" s="14"/>
      <c r="M2342" s="14"/>
      <c r="N2342" s="14"/>
      <c r="O2342" s="14"/>
      <c r="P2342" s="14"/>
      <c r="Q2342" s="14"/>
      <c r="R2342" s="14"/>
      <c r="S2342" s="14"/>
      <c r="T2342" s="14"/>
      <c r="U2342" s="14"/>
      <c r="V2342" s="14"/>
      <c r="W2342" s="14"/>
      <c r="X2342" s="14"/>
      <c r="Y2342" s="14"/>
    </row>
    <row r="2343" spans="1:25" ht="15.75" x14ac:dyDescent="0.25">
      <c r="A2343" s="21"/>
      <c r="B2343" s="21"/>
      <c r="C2343" s="21"/>
      <c r="E2343" s="21"/>
      <c r="F2343" s="21"/>
      <c r="G2343" s="14"/>
      <c r="H2343" s="14"/>
      <c r="I2343" s="14"/>
      <c r="J2343" s="14"/>
      <c r="K2343" s="14"/>
      <c r="L2343" s="14"/>
      <c r="M2343" s="14"/>
      <c r="N2343" s="14"/>
      <c r="O2343" s="14"/>
      <c r="P2343" s="14"/>
      <c r="Q2343" s="14"/>
      <c r="R2343" s="14"/>
      <c r="S2343" s="14"/>
      <c r="T2343" s="14"/>
      <c r="U2343" s="14"/>
      <c r="V2343" s="14"/>
      <c r="W2343" s="14"/>
      <c r="X2343" s="14"/>
      <c r="Y2343" s="14"/>
    </row>
    <row r="2344" spans="1:25" ht="15.75" x14ac:dyDescent="0.25">
      <c r="A2344" s="21"/>
      <c r="B2344" s="21"/>
      <c r="C2344" s="21"/>
      <c r="E2344" s="21"/>
      <c r="F2344" s="21"/>
      <c r="G2344" s="14"/>
      <c r="H2344" s="14"/>
      <c r="I2344" s="14"/>
      <c r="J2344" s="14"/>
      <c r="K2344" s="14"/>
      <c r="L2344" s="14"/>
      <c r="M2344" s="14"/>
      <c r="N2344" s="14"/>
      <c r="O2344" s="14"/>
      <c r="P2344" s="14"/>
      <c r="Q2344" s="14"/>
      <c r="R2344" s="14"/>
      <c r="S2344" s="14"/>
      <c r="T2344" s="14"/>
      <c r="U2344" s="14"/>
      <c r="V2344" s="14"/>
      <c r="W2344" s="14"/>
      <c r="X2344" s="14"/>
      <c r="Y2344" s="14"/>
    </row>
    <row r="2345" spans="1:25" ht="15.75" x14ac:dyDescent="0.25">
      <c r="A2345" s="21"/>
      <c r="B2345" s="21"/>
      <c r="C2345" s="21"/>
      <c r="E2345" s="21"/>
      <c r="F2345" s="21"/>
      <c r="G2345" s="14"/>
      <c r="H2345" s="14"/>
      <c r="I2345" s="14"/>
      <c r="J2345" s="14"/>
      <c r="K2345" s="14"/>
      <c r="L2345" s="14"/>
      <c r="M2345" s="14"/>
      <c r="N2345" s="14"/>
      <c r="O2345" s="14"/>
      <c r="P2345" s="14"/>
      <c r="Q2345" s="14"/>
      <c r="R2345" s="14"/>
      <c r="S2345" s="14"/>
      <c r="T2345" s="14"/>
      <c r="U2345" s="14"/>
      <c r="V2345" s="14"/>
      <c r="W2345" s="14"/>
      <c r="X2345" s="14"/>
      <c r="Y2345" s="14"/>
    </row>
    <row r="2346" spans="1:25" ht="15.75" x14ac:dyDescent="0.25">
      <c r="A2346" s="21"/>
      <c r="B2346" s="21"/>
      <c r="C2346" s="21"/>
      <c r="E2346" s="21"/>
      <c r="F2346" s="21"/>
      <c r="G2346" s="14"/>
      <c r="H2346" s="14"/>
      <c r="I2346" s="14"/>
      <c r="J2346" s="14"/>
      <c r="K2346" s="14"/>
      <c r="L2346" s="14"/>
      <c r="M2346" s="14"/>
      <c r="N2346" s="14"/>
      <c r="O2346" s="14"/>
      <c r="P2346" s="14"/>
      <c r="Q2346" s="14"/>
      <c r="R2346" s="14"/>
      <c r="S2346" s="14"/>
      <c r="T2346" s="14"/>
      <c r="U2346" s="14"/>
      <c r="V2346" s="14"/>
      <c r="W2346" s="14"/>
      <c r="X2346" s="14"/>
      <c r="Y2346" s="14"/>
    </row>
    <row r="2347" spans="1:25" ht="15.75" x14ac:dyDescent="0.25">
      <c r="A2347" s="21"/>
      <c r="B2347" s="21"/>
      <c r="C2347" s="21"/>
      <c r="E2347" s="21"/>
      <c r="F2347" s="21"/>
      <c r="G2347" s="14"/>
      <c r="H2347" s="14"/>
      <c r="I2347" s="14"/>
      <c r="J2347" s="14"/>
      <c r="K2347" s="14"/>
      <c r="L2347" s="14"/>
      <c r="M2347" s="14"/>
      <c r="N2347" s="14"/>
      <c r="O2347" s="14"/>
      <c r="P2347" s="14"/>
      <c r="Q2347" s="14"/>
      <c r="R2347" s="14"/>
      <c r="S2347" s="14"/>
      <c r="T2347" s="14"/>
      <c r="U2347" s="14"/>
      <c r="V2347" s="14"/>
      <c r="W2347" s="14"/>
      <c r="X2347" s="14"/>
      <c r="Y2347" s="14"/>
    </row>
    <row r="2348" spans="1:25" ht="15.75" x14ac:dyDescent="0.25">
      <c r="A2348" s="21"/>
      <c r="B2348" s="21"/>
      <c r="C2348" s="21"/>
      <c r="E2348" s="21"/>
      <c r="F2348" s="21"/>
      <c r="G2348" s="14"/>
      <c r="H2348" s="14"/>
      <c r="I2348" s="14"/>
      <c r="J2348" s="14"/>
      <c r="K2348" s="14"/>
      <c r="L2348" s="14"/>
      <c r="M2348" s="14"/>
      <c r="N2348" s="14"/>
      <c r="O2348" s="14"/>
      <c r="P2348" s="14"/>
      <c r="Q2348" s="14"/>
      <c r="R2348" s="14"/>
      <c r="S2348" s="14"/>
      <c r="T2348" s="14"/>
      <c r="U2348" s="14"/>
      <c r="V2348" s="14"/>
      <c r="W2348" s="14"/>
      <c r="X2348" s="14"/>
      <c r="Y2348" s="14"/>
    </row>
    <row r="2349" spans="1:25" ht="15.75" x14ac:dyDescent="0.25">
      <c r="A2349" s="21"/>
      <c r="B2349" s="21"/>
      <c r="C2349" s="21"/>
      <c r="E2349" s="21"/>
      <c r="F2349" s="21"/>
      <c r="G2349" s="14"/>
      <c r="H2349" s="14"/>
      <c r="I2349" s="14"/>
      <c r="J2349" s="14"/>
      <c r="K2349" s="14"/>
      <c r="L2349" s="14"/>
      <c r="M2349" s="14"/>
      <c r="N2349" s="14"/>
      <c r="O2349" s="14"/>
      <c r="P2349" s="14"/>
      <c r="Q2349" s="14"/>
      <c r="R2349" s="14"/>
      <c r="S2349" s="14"/>
      <c r="T2349" s="14"/>
      <c r="U2349" s="14"/>
      <c r="V2349" s="14"/>
      <c r="W2349" s="14"/>
      <c r="X2349" s="14"/>
      <c r="Y2349" s="14"/>
    </row>
    <row r="2350" spans="1:25" ht="15.75" x14ac:dyDescent="0.25">
      <c r="A2350" s="21"/>
      <c r="B2350" s="21"/>
      <c r="C2350" s="21"/>
      <c r="E2350" s="21"/>
      <c r="F2350" s="21"/>
      <c r="G2350" s="14"/>
      <c r="H2350" s="14"/>
      <c r="I2350" s="14"/>
      <c r="J2350" s="14"/>
      <c r="K2350" s="14"/>
      <c r="L2350" s="14"/>
      <c r="M2350" s="14"/>
      <c r="N2350" s="14"/>
      <c r="O2350" s="14"/>
      <c r="P2350" s="14"/>
      <c r="Q2350" s="14"/>
      <c r="R2350" s="14"/>
      <c r="S2350" s="14"/>
      <c r="T2350" s="14"/>
      <c r="U2350" s="14"/>
      <c r="V2350" s="14"/>
      <c r="W2350" s="14"/>
      <c r="X2350" s="14"/>
      <c r="Y2350" s="14"/>
    </row>
    <row r="2351" spans="1:25" ht="15.75" x14ac:dyDescent="0.25">
      <c r="A2351" s="21"/>
      <c r="B2351" s="21"/>
      <c r="C2351" s="21"/>
      <c r="E2351" s="21"/>
      <c r="F2351" s="21"/>
      <c r="G2351" s="14"/>
      <c r="H2351" s="14"/>
      <c r="I2351" s="14"/>
      <c r="J2351" s="14"/>
      <c r="K2351" s="14"/>
      <c r="L2351" s="14"/>
      <c r="M2351" s="14"/>
      <c r="N2351" s="14"/>
      <c r="O2351" s="14"/>
      <c r="P2351" s="14"/>
      <c r="Q2351" s="14"/>
      <c r="R2351" s="14"/>
      <c r="S2351" s="14"/>
      <c r="T2351" s="14"/>
      <c r="U2351" s="14"/>
      <c r="V2351" s="14"/>
      <c r="W2351" s="14"/>
      <c r="X2351" s="14"/>
      <c r="Y2351" s="14"/>
    </row>
    <row r="2352" spans="1:25" ht="15.75" x14ac:dyDescent="0.25">
      <c r="A2352" s="21"/>
      <c r="B2352" s="21"/>
      <c r="C2352" s="21"/>
      <c r="E2352" s="21"/>
      <c r="F2352" s="21"/>
      <c r="G2352" s="14"/>
      <c r="H2352" s="14"/>
      <c r="I2352" s="14"/>
      <c r="J2352" s="14"/>
      <c r="K2352" s="14"/>
      <c r="L2352" s="14"/>
      <c r="M2352" s="14"/>
      <c r="N2352" s="14"/>
      <c r="O2352" s="14"/>
      <c r="P2352" s="14"/>
      <c r="Q2352" s="14"/>
      <c r="R2352" s="14"/>
      <c r="S2352" s="14"/>
      <c r="T2352" s="14"/>
      <c r="U2352" s="14"/>
      <c r="V2352" s="14"/>
      <c r="W2352" s="14"/>
      <c r="X2352" s="14"/>
      <c r="Y2352" s="14"/>
    </row>
    <row r="2353" spans="1:25" ht="15.75" x14ac:dyDescent="0.25">
      <c r="A2353" s="21"/>
      <c r="B2353" s="21"/>
      <c r="C2353" s="21"/>
      <c r="E2353" s="21"/>
      <c r="F2353" s="21"/>
      <c r="G2353" s="14"/>
      <c r="H2353" s="14"/>
      <c r="I2353" s="14"/>
      <c r="J2353" s="14"/>
      <c r="K2353" s="14"/>
      <c r="L2353" s="14"/>
      <c r="M2353" s="14"/>
      <c r="N2353" s="14"/>
      <c r="O2353" s="14"/>
      <c r="P2353" s="14"/>
      <c r="Q2353" s="14"/>
      <c r="R2353" s="14"/>
      <c r="S2353" s="14"/>
      <c r="T2353" s="14"/>
      <c r="U2353" s="14"/>
      <c r="V2353" s="14"/>
      <c r="W2353" s="14"/>
      <c r="X2353" s="14"/>
      <c r="Y2353" s="14"/>
    </row>
    <row r="2354" spans="1:25" ht="15.75" x14ac:dyDescent="0.25">
      <c r="A2354" s="21"/>
      <c r="B2354" s="21"/>
      <c r="C2354" s="21"/>
      <c r="E2354" s="21"/>
      <c r="F2354" s="21"/>
      <c r="G2354" s="14"/>
      <c r="H2354" s="14"/>
      <c r="I2354" s="14"/>
      <c r="J2354" s="14"/>
      <c r="K2354" s="14"/>
      <c r="L2354" s="14"/>
      <c r="M2354" s="14"/>
      <c r="N2354" s="14"/>
      <c r="O2354" s="14"/>
      <c r="P2354" s="14"/>
      <c r="Q2354" s="14"/>
      <c r="R2354" s="14"/>
      <c r="S2354" s="14"/>
      <c r="T2354" s="14"/>
      <c r="U2354" s="14"/>
      <c r="V2354" s="14"/>
      <c r="W2354" s="14"/>
      <c r="X2354" s="14"/>
      <c r="Y2354" s="14"/>
    </row>
    <row r="2355" spans="1:25" ht="15.75" x14ac:dyDescent="0.25">
      <c r="A2355" s="21"/>
      <c r="B2355" s="21"/>
      <c r="C2355" s="21"/>
      <c r="E2355" s="21"/>
      <c r="F2355" s="21"/>
      <c r="G2355" s="14"/>
      <c r="H2355" s="14"/>
      <c r="I2355" s="14"/>
      <c r="J2355" s="14"/>
      <c r="K2355" s="14"/>
      <c r="L2355" s="14"/>
      <c r="M2355" s="14"/>
      <c r="N2355" s="14"/>
      <c r="O2355" s="14"/>
      <c r="P2355" s="14"/>
      <c r="Q2355" s="14"/>
      <c r="R2355" s="14"/>
      <c r="S2355" s="14"/>
      <c r="T2355" s="14"/>
      <c r="U2355" s="14"/>
      <c r="V2355" s="14"/>
      <c r="W2355" s="14"/>
      <c r="X2355" s="14"/>
      <c r="Y2355" s="14"/>
    </row>
    <row r="2356" spans="1:25" ht="15.75" x14ac:dyDescent="0.25">
      <c r="A2356" s="21"/>
      <c r="B2356" s="21"/>
      <c r="C2356" s="21"/>
      <c r="E2356" s="21"/>
      <c r="F2356" s="21"/>
      <c r="G2356" s="14"/>
      <c r="H2356" s="14"/>
      <c r="I2356" s="14"/>
      <c r="J2356" s="14"/>
      <c r="K2356" s="14"/>
      <c r="L2356" s="14"/>
      <c r="M2356" s="14"/>
      <c r="N2356" s="14"/>
      <c r="O2356" s="14"/>
      <c r="P2356" s="14"/>
      <c r="Q2356" s="14"/>
      <c r="R2356" s="14"/>
      <c r="S2356" s="14"/>
      <c r="T2356" s="14"/>
      <c r="U2356" s="14"/>
      <c r="V2356" s="14"/>
      <c r="W2356" s="14"/>
      <c r="X2356" s="14"/>
      <c r="Y2356" s="14"/>
    </row>
    <row r="2357" spans="1:25" ht="15.75" x14ac:dyDescent="0.25">
      <c r="A2357" s="21"/>
      <c r="B2357" s="21"/>
      <c r="C2357" s="21"/>
      <c r="E2357" s="21"/>
      <c r="F2357" s="21"/>
      <c r="G2357" s="14"/>
      <c r="H2357" s="14"/>
      <c r="I2357" s="14"/>
      <c r="J2357" s="14"/>
      <c r="K2357" s="14"/>
      <c r="L2357" s="14"/>
      <c r="M2357" s="14"/>
      <c r="N2357" s="14"/>
      <c r="O2357" s="14"/>
      <c r="P2357" s="14"/>
      <c r="Q2357" s="14"/>
      <c r="R2357" s="14"/>
      <c r="S2357" s="14"/>
      <c r="T2357" s="14"/>
      <c r="U2357" s="14"/>
      <c r="V2357" s="14"/>
      <c r="W2357" s="14"/>
      <c r="X2357" s="14"/>
      <c r="Y2357" s="14"/>
    </row>
    <row r="2358" spans="1:25" ht="15.75" x14ac:dyDescent="0.25">
      <c r="A2358" s="21"/>
      <c r="B2358" s="21"/>
      <c r="C2358" s="21"/>
      <c r="E2358" s="21"/>
      <c r="F2358" s="21"/>
      <c r="G2358" s="14"/>
      <c r="H2358" s="14"/>
      <c r="I2358" s="14"/>
      <c r="J2358" s="14"/>
      <c r="K2358" s="14"/>
      <c r="L2358" s="14"/>
      <c r="M2358" s="14"/>
      <c r="N2358" s="14"/>
      <c r="O2358" s="14"/>
      <c r="P2358" s="14"/>
      <c r="Q2358" s="14"/>
      <c r="R2358" s="14"/>
      <c r="S2358" s="14"/>
      <c r="T2358" s="14"/>
      <c r="U2358" s="14"/>
      <c r="V2358" s="14"/>
      <c r="W2358" s="14"/>
      <c r="X2358" s="14"/>
      <c r="Y2358" s="14"/>
    </row>
    <row r="2359" spans="1:25" ht="15.75" x14ac:dyDescent="0.25">
      <c r="A2359" s="21"/>
      <c r="B2359" s="21"/>
      <c r="C2359" s="21"/>
      <c r="E2359" s="21"/>
      <c r="F2359" s="21"/>
      <c r="G2359" s="14"/>
      <c r="H2359" s="14"/>
      <c r="I2359" s="14"/>
      <c r="J2359" s="14"/>
      <c r="K2359" s="14"/>
      <c r="L2359" s="14"/>
      <c r="M2359" s="14"/>
      <c r="N2359" s="14"/>
      <c r="O2359" s="14"/>
      <c r="P2359" s="14"/>
      <c r="Q2359" s="14"/>
      <c r="R2359" s="14"/>
      <c r="S2359" s="14"/>
      <c r="T2359" s="14"/>
      <c r="U2359" s="14"/>
      <c r="V2359" s="14"/>
      <c r="W2359" s="14"/>
      <c r="X2359" s="14"/>
      <c r="Y2359" s="14"/>
    </row>
    <row r="2360" spans="1:25" ht="15.75" x14ac:dyDescent="0.25">
      <c r="A2360" s="21"/>
      <c r="B2360" s="21"/>
      <c r="C2360" s="21"/>
      <c r="E2360" s="21"/>
      <c r="F2360" s="21"/>
      <c r="G2360" s="14"/>
      <c r="H2360" s="14"/>
      <c r="I2360" s="14"/>
      <c r="J2360" s="14"/>
      <c r="K2360" s="14"/>
      <c r="L2360" s="14"/>
      <c r="M2360" s="14"/>
      <c r="N2360" s="14"/>
      <c r="O2360" s="14"/>
      <c r="P2360" s="14"/>
      <c r="Q2360" s="14"/>
      <c r="R2360" s="14"/>
      <c r="S2360" s="14"/>
      <c r="T2360" s="14"/>
      <c r="U2360" s="14"/>
      <c r="V2360" s="14"/>
      <c r="W2360" s="14"/>
      <c r="X2360" s="14"/>
      <c r="Y2360" s="14"/>
    </row>
    <row r="2361" spans="1:25" ht="15.75" x14ac:dyDescent="0.25">
      <c r="A2361" s="21"/>
      <c r="B2361" s="21"/>
      <c r="C2361" s="21"/>
      <c r="E2361" s="21"/>
      <c r="F2361" s="21"/>
      <c r="G2361" s="14"/>
      <c r="H2361" s="14"/>
      <c r="I2361" s="14"/>
      <c r="J2361" s="14"/>
      <c r="K2361" s="14"/>
      <c r="L2361" s="14"/>
      <c r="M2361" s="14"/>
      <c r="N2361" s="14"/>
      <c r="O2361" s="14"/>
      <c r="P2361" s="14"/>
      <c r="Q2361" s="14"/>
      <c r="R2361" s="14"/>
      <c r="S2361" s="14"/>
      <c r="T2361" s="14"/>
      <c r="U2361" s="14"/>
      <c r="V2361" s="14"/>
      <c r="W2361" s="14"/>
      <c r="X2361" s="14"/>
      <c r="Y2361" s="14"/>
    </row>
    <row r="2362" spans="1:25" ht="15.75" x14ac:dyDescent="0.25">
      <c r="A2362" s="21"/>
      <c r="B2362" s="21"/>
      <c r="C2362" s="21"/>
      <c r="E2362" s="21"/>
      <c r="F2362" s="21"/>
      <c r="G2362" s="14"/>
      <c r="H2362" s="14"/>
      <c r="I2362" s="14"/>
      <c r="J2362" s="14"/>
      <c r="K2362" s="14"/>
      <c r="L2362" s="14"/>
      <c r="M2362" s="14"/>
      <c r="N2362" s="14"/>
      <c r="O2362" s="14"/>
      <c r="P2362" s="14"/>
      <c r="Q2362" s="14"/>
      <c r="R2362" s="14"/>
      <c r="S2362" s="14"/>
      <c r="T2362" s="14"/>
      <c r="U2362" s="14"/>
      <c r="V2362" s="14"/>
      <c r="W2362" s="14"/>
      <c r="X2362" s="14"/>
      <c r="Y2362" s="14"/>
    </row>
    <row r="2363" spans="1:25" ht="15.75" x14ac:dyDescent="0.25">
      <c r="A2363" s="21"/>
      <c r="B2363" s="21"/>
      <c r="C2363" s="21"/>
      <c r="E2363" s="21"/>
      <c r="F2363" s="21"/>
      <c r="G2363" s="14"/>
      <c r="H2363" s="14"/>
      <c r="I2363" s="14"/>
      <c r="J2363" s="14"/>
      <c r="K2363" s="14"/>
      <c r="L2363" s="14"/>
      <c r="M2363" s="14"/>
      <c r="N2363" s="14"/>
      <c r="O2363" s="14"/>
      <c r="P2363" s="14"/>
      <c r="Q2363" s="14"/>
      <c r="R2363" s="14"/>
      <c r="S2363" s="14"/>
      <c r="T2363" s="14"/>
      <c r="U2363" s="14"/>
      <c r="V2363" s="14"/>
      <c r="W2363" s="14"/>
      <c r="X2363" s="14"/>
      <c r="Y2363" s="14"/>
    </row>
    <row r="2364" spans="1:25" ht="15.75" x14ac:dyDescent="0.25">
      <c r="A2364" s="21"/>
      <c r="B2364" s="21"/>
      <c r="C2364" s="21"/>
      <c r="E2364" s="21"/>
      <c r="F2364" s="21"/>
      <c r="G2364" s="14"/>
      <c r="H2364" s="14"/>
      <c r="I2364" s="14"/>
      <c r="J2364" s="14"/>
      <c r="K2364" s="14"/>
      <c r="L2364" s="14"/>
      <c r="M2364" s="14"/>
      <c r="N2364" s="14"/>
      <c r="O2364" s="14"/>
      <c r="P2364" s="14"/>
      <c r="Q2364" s="14"/>
      <c r="R2364" s="14"/>
      <c r="S2364" s="14"/>
      <c r="T2364" s="14"/>
      <c r="U2364" s="14"/>
      <c r="V2364" s="14"/>
      <c r="W2364" s="14"/>
      <c r="X2364" s="14"/>
      <c r="Y2364" s="14"/>
    </row>
    <row r="2365" spans="1:25" ht="15.75" x14ac:dyDescent="0.25">
      <c r="A2365" s="21"/>
      <c r="B2365" s="21"/>
      <c r="C2365" s="21"/>
      <c r="E2365" s="21"/>
      <c r="F2365" s="21"/>
      <c r="G2365" s="14"/>
      <c r="H2365" s="14"/>
      <c r="I2365" s="14"/>
      <c r="J2365" s="14"/>
      <c r="K2365" s="14"/>
      <c r="L2365" s="14"/>
      <c r="M2365" s="14"/>
      <c r="N2365" s="14"/>
      <c r="O2365" s="14"/>
      <c r="P2365" s="14"/>
      <c r="Q2365" s="14"/>
      <c r="R2365" s="14"/>
      <c r="S2365" s="14"/>
      <c r="T2365" s="14"/>
      <c r="U2365" s="14"/>
      <c r="V2365" s="14"/>
      <c r="W2365" s="14"/>
      <c r="X2365" s="14"/>
      <c r="Y2365" s="14"/>
    </row>
    <row r="2366" spans="1:25" ht="15.75" x14ac:dyDescent="0.25">
      <c r="A2366" s="21"/>
      <c r="B2366" s="21"/>
      <c r="C2366" s="21"/>
      <c r="E2366" s="21"/>
      <c r="F2366" s="21"/>
      <c r="G2366" s="14"/>
      <c r="H2366" s="14"/>
      <c r="I2366" s="14"/>
      <c r="J2366" s="14"/>
      <c r="K2366" s="14"/>
      <c r="L2366" s="14"/>
      <c r="M2366" s="14"/>
      <c r="N2366" s="14"/>
      <c r="O2366" s="14"/>
      <c r="P2366" s="14"/>
      <c r="Q2366" s="14"/>
      <c r="R2366" s="14"/>
      <c r="S2366" s="14"/>
      <c r="T2366" s="14"/>
      <c r="U2366" s="14"/>
      <c r="V2366" s="14"/>
      <c r="W2366" s="14"/>
      <c r="X2366" s="14"/>
      <c r="Y2366" s="14"/>
    </row>
    <row r="2367" spans="1:25" ht="15.75" x14ac:dyDescent="0.25">
      <c r="A2367" s="21"/>
      <c r="B2367" s="21"/>
      <c r="C2367" s="21"/>
      <c r="E2367" s="21"/>
      <c r="F2367" s="21"/>
      <c r="G2367" s="14"/>
      <c r="H2367" s="14"/>
      <c r="I2367" s="14"/>
      <c r="J2367" s="14"/>
      <c r="K2367" s="14"/>
      <c r="L2367" s="14"/>
      <c r="M2367" s="14"/>
      <c r="N2367" s="14"/>
      <c r="O2367" s="14"/>
      <c r="P2367" s="14"/>
      <c r="Q2367" s="14"/>
      <c r="R2367" s="14"/>
      <c r="S2367" s="14"/>
      <c r="T2367" s="14"/>
      <c r="U2367" s="14"/>
      <c r="V2367" s="14"/>
      <c r="W2367" s="14"/>
      <c r="X2367" s="14"/>
      <c r="Y2367" s="14"/>
    </row>
    <row r="2368" spans="1:25" ht="15.75" x14ac:dyDescent="0.25">
      <c r="A2368" s="21"/>
      <c r="B2368" s="21"/>
      <c r="C2368" s="21"/>
      <c r="E2368" s="21"/>
      <c r="F2368" s="21"/>
      <c r="G2368" s="14"/>
      <c r="H2368" s="14"/>
      <c r="I2368" s="14"/>
      <c r="J2368" s="14"/>
      <c r="K2368" s="14"/>
      <c r="L2368" s="14"/>
      <c r="M2368" s="14"/>
      <c r="N2368" s="14"/>
      <c r="O2368" s="14"/>
      <c r="P2368" s="14"/>
      <c r="Q2368" s="14"/>
      <c r="R2368" s="14"/>
      <c r="S2368" s="14"/>
      <c r="T2368" s="14"/>
      <c r="U2368" s="14"/>
      <c r="V2368" s="14"/>
      <c r="W2368" s="14"/>
      <c r="X2368" s="14"/>
      <c r="Y2368" s="14"/>
    </row>
    <row r="2369" spans="1:25" ht="15.75" x14ac:dyDescent="0.25">
      <c r="A2369" s="21"/>
      <c r="B2369" s="21"/>
      <c r="C2369" s="21"/>
      <c r="E2369" s="21"/>
      <c r="F2369" s="21"/>
      <c r="G2369" s="14"/>
      <c r="H2369" s="14"/>
      <c r="I2369" s="14"/>
      <c r="J2369" s="14"/>
      <c r="K2369" s="14"/>
      <c r="L2369" s="14"/>
      <c r="M2369" s="14"/>
      <c r="N2369" s="14"/>
      <c r="O2369" s="14"/>
      <c r="P2369" s="14"/>
      <c r="Q2369" s="14"/>
      <c r="R2369" s="14"/>
      <c r="S2369" s="14"/>
      <c r="T2369" s="14"/>
      <c r="U2369" s="14"/>
      <c r="V2369" s="14"/>
      <c r="W2369" s="14"/>
      <c r="X2369" s="14"/>
      <c r="Y2369" s="14"/>
    </row>
    <row r="2370" spans="1:25" ht="15.75" x14ac:dyDescent="0.25">
      <c r="A2370" s="21"/>
      <c r="B2370" s="21"/>
      <c r="C2370" s="21"/>
      <c r="E2370" s="21"/>
      <c r="F2370" s="21"/>
      <c r="G2370" s="14"/>
      <c r="H2370" s="14"/>
      <c r="I2370" s="14"/>
      <c r="J2370" s="14"/>
      <c r="K2370" s="14"/>
      <c r="L2370" s="14"/>
      <c r="M2370" s="14"/>
      <c r="N2370" s="14"/>
      <c r="O2370" s="14"/>
      <c r="P2370" s="14"/>
      <c r="Q2370" s="14"/>
      <c r="R2370" s="14"/>
      <c r="S2370" s="14"/>
      <c r="T2370" s="14"/>
      <c r="U2370" s="14"/>
      <c r="V2370" s="14"/>
      <c r="W2370" s="14"/>
      <c r="X2370" s="14"/>
      <c r="Y2370" s="14"/>
    </row>
    <row r="2371" spans="1:25" ht="15.75" x14ac:dyDescent="0.25">
      <c r="A2371" s="21"/>
      <c r="B2371" s="21"/>
      <c r="C2371" s="21"/>
      <c r="E2371" s="21"/>
      <c r="F2371" s="21"/>
      <c r="G2371" s="14"/>
      <c r="H2371" s="14"/>
      <c r="I2371" s="14"/>
      <c r="J2371" s="14"/>
      <c r="K2371" s="14"/>
      <c r="L2371" s="14"/>
      <c r="M2371" s="14"/>
      <c r="N2371" s="14"/>
      <c r="O2371" s="14"/>
      <c r="P2371" s="14"/>
      <c r="Q2371" s="14"/>
      <c r="R2371" s="14"/>
      <c r="S2371" s="14"/>
      <c r="T2371" s="14"/>
      <c r="U2371" s="14"/>
      <c r="V2371" s="14"/>
      <c r="W2371" s="14"/>
      <c r="X2371" s="14"/>
      <c r="Y2371" s="14"/>
    </row>
    <row r="2372" spans="1:25" ht="15.75" x14ac:dyDescent="0.25">
      <c r="A2372" s="21"/>
      <c r="B2372" s="21"/>
      <c r="C2372" s="21"/>
      <c r="E2372" s="21"/>
      <c r="F2372" s="21"/>
      <c r="G2372" s="14"/>
      <c r="H2372" s="14"/>
      <c r="I2372" s="14"/>
      <c r="J2372" s="14"/>
      <c r="K2372" s="14"/>
      <c r="L2372" s="14"/>
      <c r="M2372" s="14"/>
      <c r="N2372" s="14"/>
      <c r="O2372" s="14"/>
      <c r="P2372" s="14"/>
      <c r="Q2372" s="14"/>
      <c r="R2372" s="14"/>
      <c r="S2372" s="14"/>
      <c r="T2372" s="14"/>
      <c r="U2372" s="14"/>
      <c r="V2372" s="14"/>
      <c r="W2372" s="14"/>
      <c r="X2372" s="14"/>
      <c r="Y2372" s="14"/>
    </row>
    <row r="2373" spans="1:25" ht="15.75" x14ac:dyDescent="0.25">
      <c r="A2373" s="21"/>
      <c r="B2373" s="21"/>
      <c r="C2373" s="21"/>
      <c r="E2373" s="21"/>
      <c r="F2373" s="21"/>
      <c r="G2373" s="14"/>
      <c r="H2373" s="14"/>
      <c r="I2373" s="14"/>
      <c r="J2373" s="14"/>
      <c r="K2373" s="14"/>
      <c r="L2373" s="14"/>
      <c r="M2373" s="14"/>
      <c r="N2373" s="14"/>
      <c r="O2373" s="14"/>
      <c r="P2373" s="14"/>
      <c r="Q2373" s="14"/>
      <c r="R2373" s="14"/>
      <c r="S2373" s="14"/>
      <c r="T2373" s="14"/>
      <c r="U2373" s="14"/>
      <c r="V2373" s="14"/>
      <c r="W2373" s="14"/>
      <c r="X2373" s="14"/>
      <c r="Y2373" s="14"/>
    </row>
    <row r="2374" spans="1:25" ht="15.75" x14ac:dyDescent="0.25">
      <c r="A2374" s="21"/>
      <c r="B2374" s="21"/>
      <c r="C2374" s="21"/>
      <c r="E2374" s="21"/>
      <c r="F2374" s="21"/>
      <c r="G2374" s="14"/>
      <c r="H2374" s="14"/>
      <c r="I2374" s="14"/>
      <c r="J2374" s="14"/>
      <c r="K2374" s="14"/>
      <c r="L2374" s="14"/>
      <c r="M2374" s="14"/>
      <c r="N2374" s="14"/>
      <c r="O2374" s="14"/>
      <c r="P2374" s="14"/>
      <c r="Q2374" s="14"/>
      <c r="R2374" s="14"/>
      <c r="S2374" s="14"/>
      <c r="T2374" s="14"/>
      <c r="U2374" s="14"/>
      <c r="V2374" s="14"/>
      <c r="W2374" s="14"/>
      <c r="X2374" s="14"/>
      <c r="Y2374" s="14"/>
    </row>
    <row r="2375" spans="1:25" ht="15.75" x14ac:dyDescent="0.25">
      <c r="A2375" s="21"/>
      <c r="B2375" s="21"/>
      <c r="C2375" s="21"/>
      <c r="E2375" s="21"/>
      <c r="F2375" s="21"/>
      <c r="G2375" s="14"/>
      <c r="H2375" s="14"/>
      <c r="I2375" s="14"/>
      <c r="J2375" s="14"/>
      <c r="K2375" s="14"/>
      <c r="L2375" s="14"/>
      <c r="M2375" s="14"/>
      <c r="N2375" s="14"/>
      <c r="O2375" s="14"/>
      <c r="P2375" s="14"/>
      <c r="Q2375" s="14"/>
      <c r="R2375" s="14"/>
      <c r="S2375" s="14"/>
      <c r="T2375" s="14"/>
      <c r="U2375" s="14"/>
      <c r="V2375" s="14"/>
      <c r="W2375" s="14"/>
      <c r="X2375" s="14"/>
      <c r="Y2375" s="14"/>
    </row>
    <row r="2376" spans="1:25" ht="15.75" x14ac:dyDescent="0.25">
      <c r="A2376" s="21"/>
      <c r="B2376" s="21"/>
      <c r="C2376" s="21"/>
      <c r="E2376" s="21"/>
      <c r="F2376" s="21"/>
      <c r="G2376" s="14"/>
      <c r="H2376" s="14"/>
      <c r="I2376" s="14"/>
      <c r="J2376" s="14"/>
      <c r="K2376" s="14"/>
      <c r="L2376" s="14"/>
      <c r="M2376" s="14"/>
      <c r="N2376" s="14"/>
      <c r="O2376" s="14"/>
      <c r="P2376" s="14"/>
      <c r="Q2376" s="14"/>
      <c r="R2376" s="14"/>
      <c r="S2376" s="14"/>
      <c r="T2376" s="14"/>
      <c r="U2376" s="14"/>
      <c r="V2376" s="14"/>
      <c r="W2376" s="14"/>
      <c r="X2376" s="14"/>
      <c r="Y2376" s="14"/>
    </row>
    <row r="2377" spans="1:25" ht="15.75" x14ac:dyDescent="0.25">
      <c r="A2377" s="21"/>
      <c r="B2377" s="21"/>
      <c r="C2377" s="21"/>
      <c r="E2377" s="21"/>
      <c r="F2377" s="21"/>
      <c r="G2377" s="14"/>
      <c r="H2377" s="14"/>
      <c r="I2377" s="14"/>
      <c r="J2377" s="14"/>
      <c r="K2377" s="14"/>
      <c r="L2377" s="14"/>
      <c r="M2377" s="14"/>
      <c r="N2377" s="14"/>
      <c r="O2377" s="14"/>
      <c r="P2377" s="14"/>
      <c r="Q2377" s="14"/>
      <c r="R2377" s="14"/>
      <c r="S2377" s="14"/>
      <c r="T2377" s="14"/>
      <c r="U2377" s="14"/>
      <c r="V2377" s="14"/>
      <c r="W2377" s="14"/>
      <c r="X2377" s="14"/>
      <c r="Y2377" s="14"/>
    </row>
    <row r="2378" spans="1:25" ht="15.75" x14ac:dyDescent="0.25">
      <c r="A2378" s="21"/>
      <c r="B2378" s="21"/>
      <c r="C2378" s="21"/>
      <c r="E2378" s="21"/>
      <c r="F2378" s="21"/>
      <c r="G2378" s="14"/>
      <c r="H2378" s="14"/>
      <c r="I2378" s="14"/>
      <c r="J2378" s="14"/>
      <c r="K2378" s="14"/>
      <c r="L2378" s="14"/>
      <c r="M2378" s="14"/>
      <c r="N2378" s="14"/>
      <c r="O2378" s="14"/>
      <c r="P2378" s="14"/>
      <c r="Q2378" s="14"/>
      <c r="R2378" s="14"/>
      <c r="S2378" s="14"/>
      <c r="T2378" s="14"/>
      <c r="U2378" s="14"/>
      <c r="V2378" s="14"/>
      <c r="W2378" s="14"/>
      <c r="X2378" s="14"/>
      <c r="Y2378" s="14"/>
    </row>
    <row r="2379" spans="1:25" ht="15.75" x14ac:dyDescent="0.25">
      <c r="A2379" s="21"/>
      <c r="B2379" s="21"/>
      <c r="C2379" s="21"/>
      <c r="E2379" s="21"/>
      <c r="F2379" s="21"/>
      <c r="G2379" s="14"/>
      <c r="H2379" s="14"/>
      <c r="I2379" s="14"/>
      <c r="J2379" s="14"/>
      <c r="K2379" s="14"/>
      <c r="L2379" s="14"/>
      <c r="M2379" s="14"/>
      <c r="N2379" s="14"/>
      <c r="O2379" s="14"/>
      <c r="P2379" s="14"/>
      <c r="Q2379" s="14"/>
      <c r="R2379" s="14"/>
      <c r="S2379" s="14"/>
      <c r="T2379" s="14"/>
      <c r="U2379" s="14"/>
      <c r="V2379" s="14"/>
      <c r="W2379" s="14"/>
      <c r="X2379" s="14"/>
      <c r="Y2379" s="14"/>
    </row>
    <row r="2380" spans="1:25" ht="15.75" x14ac:dyDescent="0.25">
      <c r="A2380" s="21"/>
      <c r="B2380" s="21"/>
      <c r="C2380" s="21"/>
      <c r="E2380" s="21"/>
      <c r="F2380" s="21"/>
      <c r="G2380" s="14"/>
      <c r="H2380" s="14"/>
      <c r="I2380" s="14"/>
      <c r="J2380" s="14"/>
      <c r="K2380" s="14"/>
      <c r="L2380" s="14"/>
      <c r="M2380" s="14"/>
      <c r="N2380" s="14"/>
      <c r="O2380" s="14"/>
      <c r="P2380" s="14"/>
      <c r="Q2380" s="14"/>
      <c r="R2380" s="14"/>
      <c r="S2380" s="14"/>
      <c r="T2380" s="14"/>
      <c r="U2380" s="14"/>
      <c r="V2380" s="14"/>
      <c r="W2380" s="14"/>
      <c r="X2380" s="14"/>
      <c r="Y2380" s="14"/>
    </row>
    <row r="2381" spans="1:25" ht="15.75" x14ac:dyDescent="0.25">
      <c r="A2381" s="21"/>
      <c r="B2381" s="21"/>
      <c r="C2381" s="21"/>
      <c r="E2381" s="21"/>
      <c r="F2381" s="21"/>
      <c r="G2381" s="14"/>
      <c r="H2381" s="14"/>
      <c r="I2381" s="14"/>
      <c r="J2381" s="14"/>
      <c r="K2381" s="14"/>
      <c r="L2381" s="14"/>
      <c r="M2381" s="14"/>
      <c r="N2381" s="14"/>
      <c r="O2381" s="14"/>
      <c r="P2381" s="14"/>
      <c r="Q2381" s="14"/>
      <c r="R2381" s="14"/>
      <c r="S2381" s="14"/>
      <c r="T2381" s="14"/>
      <c r="U2381" s="14"/>
      <c r="V2381" s="14"/>
      <c r="W2381" s="14"/>
      <c r="X2381" s="14"/>
      <c r="Y2381" s="14"/>
    </row>
    <row r="2382" spans="1:25" ht="15.75" x14ac:dyDescent="0.25">
      <c r="A2382" s="21"/>
      <c r="B2382" s="21"/>
      <c r="C2382" s="21"/>
      <c r="E2382" s="21"/>
      <c r="F2382" s="21"/>
      <c r="G2382" s="14"/>
      <c r="H2382" s="14"/>
      <c r="I2382" s="14"/>
      <c r="J2382" s="14"/>
      <c r="K2382" s="14"/>
      <c r="L2382" s="14"/>
      <c r="M2382" s="14"/>
      <c r="N2382" s="14"/>
      <c r="O2382" s="14"/>
      <c r="P2382" s="14"/>
      <c r="Q2382" s="14"/>
      <c r="R2382" s="14"/>
      <c r="S2382" s="14"/>
      <c r="T2382" s="14"/>
      <c r="U2382" s="14"/>
      <c r="V2382" s="14"/>
      <c r="W2382" s="14"/>
      <c r="X2382" s="14"/>
      <c r="Y2382" s="14"/>
    </row>
    <row r="2383" spans="1:25" ht="15.75" x14ac:dyDescent="0.25">
      <c r="A2383" s="21"/>
      <c r="B2383" s="21"/>
      <c r="C2383" s="21"/>
      <c r="E2383" s="21"/>
      <c r="F2383" s="21"/>
      <c r="G2383" s="14"/>
      <c r="H2383" s="14"/>
      <c r="I2383" s="14"/>
      <c r="J2383" s="14"/>
      <c r="K2383" s="14"/>
      <c r="L2383" s="14"/>
      <c r="M2383" s="14"/>
      <c r="N2383" s="14"/>
      <c r="O2383" s="14"/>
      <c r="P2383" s="14"/>
      <c r="Q2383" s="14"/>
      <c r="R2383" s="14"/>
      <c r="S2383" s="14"/>
      <c r="T2383" s="14"/>
      <c r="U2383" s="14"/>
      <c r="V2383" s="14"/>
      <c r="W2383" s="14"/>
      <c r="X2383" s="14"/>
      <c r="Y2383" s="14"/>
    </row>
    <row r="2384" spans="1:25" ht="15.75" x14ac:dyDescent="0.25">
      <c r="A2384" s="21"/>
      <c r="B2384" s="21"/>
      <c r="C2384" s="21"/>
      <c r="E2384" s="21"/>
      <c r="F2384" s="21"/>
      <c r="G2384" s="14"/>
      <c r="H2384" s="14"/>
      <c r="I2384" s="14"/>
      <c r="J2384" s="14"/>
      <c r="K2384" s="14"/>
      <c r="L2384" s="14"/>
      <c r="M2384" s="14"/>
      <c r="N2384" s="14"/>
      <c r="O2384" s="14"/>
      <c r="P2384" s="14"/>
      <c r="Q2384" s="14"/>
      <c r="R2384" s="14"/>
      <c r="S2384" s="14"/>
      <c r="T2384" s="14"/>
      <c r="U2384" s="14"/>
      <c r="V2384" s="14"/>
      <c r="W2384" s="14"/>
      <c r="X2384" s="14"/>
      <c r="Y2384" s="14"/>
    </row>
    <row r="2385" spans="1:25" ht="15.75" x14ac:dyDescent="0.25">
      <c r="A2385" s="21"/>
      <c r="B2385" s="21"/>
      <c r="C2385" s="21"/>
      <c r="E2385" s="21"/>
      <c r="F2385" s="21"/>
      <c r="G2385" s="14"/>
      <c r="H2385" s="14"/>
      <c r="I2385" s="14"/>
      <c r="J2385" s="14"/>
      <c r="K2385" s="14"/>
      <c r="L2385" s="14"/>
      <c r="M2385" s="14"/>
      <c r="N2385" s="14"/>
      <c r="O2385" s="14"/>
      <c r="P2385" s="14"/>
      <c r="Q2385" s="14"/>
      <c r="R2385" s="14"/>
      <c r="S2385" s="14"/>
      <c r="T2385" s="14"/>
      <c r="U2385" s="14"/>
      <c r="V2385" s="14"/>
      <c r="W2385" s="14"/>
      <c r="X2385" s="14"/>
      <c r="Y2385" s="14"/>
    </row>
    <row r="2386" spans="1:25" ht="15.75" x14ac:dyDescent="0.25">
      <c r="A2386" s="21"/>
      <c r="B2386" s="21"/>
      <c r="C2386" s="21"/>
      <c r="E2386" s="21"/>
      <c r="F2386" s="21"/>
      <c r="G2386" s="14"/>
      <c r="H2386" s="14"/>
      <c r="I2386" s="14"/>
      <c r="J2386" s="14"/>
      <c r="K2386" s="14"/>
      <c r="L2386" s="14"/>
      <c r="M2386" s="14"/>
      <c r="N2386" s="14"/>
      <c r="O2386" s="14"/>
      <c r="P2386" s="14"/>
      <c r="Q2386" s="14"/>
      <c r="R2386" s="14"/>
      <c r="S2386" s="14"/>
      <c r="T2386" s="14"/>
      <c r="U2386" s="14"/>
      <c r="V2386" s="14"/>
      <c r="W2386" s="14"/>
      <c r="X2386" s="14"/>
      <c r="Y2386" s="14"/>
    </row>
    <row r="2387" spans="1:25" ht="15.75" x14ac:dyDescent="0.25">
      <c r="A2387" s="21"/>
      <c r="B2387" s="21"/>
      <c r="C2387" s="21"/>
      <c r="E2387" s="21"/>
      <c r="F2387" s="21"/>
      <c r="G2387" s="14"/>
      <c r="H2387" s="14"/>
      <c r="I2387" s="14"/>
      <c r="J2387" s="14"/>
      <c r="K2387" s="14"/>
      <c r="L2387" s="14"/>
      <c r="M2387" s="14"/>
      <c r="N2387" s="14"/>
      <c r="O2387" s="14"/>
      <c r="P2387" s="14"/>
      <c r="Q2387" s="14"/>
      <c r="R2387" s="14"/>
      <c r="S2387" s="14"/>
      <c r="T2387" s="14"/>
      <c r="U2387" s="14"/>
      <c r="V2387" s="14"/>
      <c r="W2387" s="14"/>
      <c r="X2387" s="14"/>
      <c r="Y2387" s="14"/>
    </row>
    <row r="2388" spans="1:25" ht="15.75" x14ac:dyDescent="0.25">
      <c r="A2388" s="21"/>
      <c r="B2388" s="21"/>
      <c r="C2388" s="21"/>
      <c r="E2388" s="21"/>
      <c r="F2388" s="21"/>
      <c r="G2388" s="14"/>
      <c r="H2388" s="14"/>
      <c r="I2388" s="14"/>
      <c r="J2388" s="14"/>
      <c r="K2388" s="14"/>
      <c r="L2388" s="14"/>
      <c r="M2388" s="14"/>
      <c r="N2388" s="14"/>
      <c r="O2388" s="14"/>
      <c r="P2388" s="14"/>
      <c r="Q2388" s="14"/>
      <c r="R2388" s="14"/>
      <c r="S2388" s="14"/>
      <c r="T2388" s="14"/>
      <c r="U2388" s="14"/>
      <c r="V2388" s="14"/>
      <c r="W2388" s="14"/>
      <c r="X2388" s="14"/>
      <c r="Y2388" s="14"/>
    </row>
    <row r="2389" spans="1:25" ht="15.75" x14ac:dyDescent="0.25">
      <c r="A2389" s="21"/>
      <c r="B2389" s="21"/>
      <c r="C2389" s="21"/>
      <c r="E2389" s="21"/>
      <c r="F2389" s="21"/>
      <c r="G2389" s="14"/>
      <c r="H2389" s="14"/>
      <c r="I2389" s="14"/>
      <c r="J2389" s="14"/>
      <c r="K2389" s="14"/>
      <c r="L2389" s="14"/>
      <c r="M2389" s="14"/>
      <c r="N2389" s="14"/>
      <c r="O2389" s="14"/>
      <c r="P2389" s="14"/>
      <c r="Q2389" s="14"/>
      <c r="R2389" s="14"/>
      <c r="S2389" s="14"/>
      <c r="T2389" s="14"/>
      <c r="U2389" s="14"/>
      <c r="V2389" s="14"/>
      <c r="W2389" s="14"/>
      <c r="X2389" s="14"/>
      <c r="Y2389" s="14"/>
    </row>
    <row r="2390" spans="1:25" ht="15.75" x14ac:dyDescent="0.25">
      <c r="A2390" s="21"/>
      <c r="B2390" s="21"/>
      <c r="C2390" s="21"/>
      <c r="E2390" s="21"/>
      <c r="F2390" s="21"/>
      <c r="G2390" s="14"/>
      <c r="H2390" s="14"/>
      <c r="I2390" s="14"/>
      <c r="J2390" s="14"/>
      <c r="K2390" s="14"/>
      <c r="L2390" s="14"/>
      <c r="M2390" s="14"/>
      <c r="N2390" s="14"/>
      <c r="O2390" s="14"/>
      <c r="P2390" s="14"/>
      <c r="Q2390" s="14"/>
      <c r="R2390" s="14"/>
      <c r="S2390" s="14"/>
      <c r="T2390" s="14"/>
      <c r="U2390" s="14"/>
      <c r="V2390" s="14"/>
      <c r="W2390" s="14"/>
      <c r="X2390" s="14"/>
      <c r="Y2390" s="14"/>
    </row>
    <row r="2391" spans="1:25" ht="15.75" x14ac:dyDescent="0.25">
      <c r="A2391" s="21"/>
      <c r="B2391" s="21"/>
      <c r="C2391" s="21"/>
      <c r="E2391" s="21"/>
      <c r="F2391" s="21"/>
      <c r="G2391" s="14"/>
      <c r="H2391" s="14"/>
      <c r="I2391" s="14"/>
      <c r="J2391" s="14"/>
      <c r="K2391" s="14"/>
      <c r="L2391" s="14"/>
      <c r="M2391" s="14"/>
      <c r="N2391" s="14"/>
      <c r="O2391" s="14"/>
      <c r="P2391" s="14"/>
      <c r="Q2391" s="14"/>
      <c r="R2391" s="14"/>
      <c r="S2391" s="14"/>
      <c r="T2391" s="14"/>
      <c r="U2391" s="14"/>
      <c r="V2391" s="14"/>
      <c r="W2391" s="14"/>
      <c r="X2391" s="14"/>
      <c r="Y2391" s="14"/>
    </row>
    <row r="2392" spans="1:25" ht="15.75" x14ac:dyDescent="0.25">
      <c r="A2392" s="21"/>
      <c r="B2392" s="21"/>
      <c r="C2392" s="21"/>
      <c r="E2392" s="21"/>
      <c r="F2392" s="21"/>
      <c r="G2392" s="14"/>
      <c r="H2392" s="14"/>
      <c r="I2392" s="14"/>
      <c r="J2392" s="14"/>
      <c r="K2392" s="14"/>
      <c r="L2392" s="14"/>
      <c r="M2392" s="14"/>
      <c r="N2392" s="14"/>
      <c r="O2392" s="14"/>
      <c r="P2392" s="14"/>
      <c r="Q2392" s="14"/>
      <c r="R2392" s="14"/>
      <c r="S2392" s="14"/>
      <c r="T2392" s="14"/>
      <c r="U2392" s="14"/>
      <c r="V2392" s="14"/>
      <c r="W2392" s="14"/>
      <c r="X2392" s="14"/>
      <c r="Y2392" s="14"/>
    </row>
    <row r="2393" spans="1:25" ht="15.75" x14ac:dyDescent="0.25">
      <c r="A2393" s="21"/>
      <c r="B2393" s="21"/>
      <c r="C2393" s="21"/>
      <c r="E2393" s="21"/>
      <c r="F2393" s="21"/>
      <c r="G2393" s="14"/>
      <c r="H2393" s="14"/>
      <c r="I2393" s="14"/>
      <c r="J2393" s="14"/>
      <c r="K2393" s="14"/>
      <c r="L2393" s="14"/>
      <c r="M2393" s="14"/>
      <c r="N2393" s="14"/>
      <c r="O2393" s="14"/>
      <c r="P2393" s="14"/>
      <c r="Q2393" s="14"/>
      <c r="R2393" s="14"/>
      <c r="S2393" s="14"/>
      <c r="T2393" s="14"/>
      <c r="U2393" s="14"/>
      <c r="V2393" s="14"/>
      <c r="W2393" s="14"/>
      <c r="X2393" s="14"/>
      <c r="Y2393" s="14"/>
    </row>
    <row r="2394" spans="1:25" ht="15.75" x14ac:dyDescent="0.25">
      <c r="A2394" s="21"/>
      <c r="B2394" s="21"/>
      <c r="C2394" s="21"/>
      <c r="E2394" s="21"/>
      <c r="F2394" s="21"/>
      <c r="G2394" s="14"/>
      <c r="H2394" s="14"/>
      <c r="I2394" s="14"/>
      <c r="J2394" s="14"/>
      <c r="K2394" s="14"/>
      <c r="L2394" s="14"/>
      <c r="M2394" s="14"/>
      <c r="N2394" s="14"/>
      <c r="O2394" s="14"/>
      <c r="P2394" s="14"/>
      <c r="Q2394" s="14"/>
      <c r="R2394" s="14"/>
      <c r="S2394" s="14"/>
      <c r="T2394" s="14"/>
      <c r="U2394" s="14"/>
      <c r="V2394" s="14"/>
      <c r="W2394" s="14"/>
      <c r="X2394" s="14"/>
      <c r="Y2394" s="14"/>
    </row>
    <row r="2395" spans="1:25" ht="15.75" x14ac:dyDescent="0.25">
      <c r="A2395" s="21"/>
      <c r="B2395" s="21"/>
      <c r="C2395" s="21"/>
      <c r="E2395" s="21"/>
      <c r="F2395" s="21"/>
      <c r="G2395" s="14"/>
      <c r="H2395" s="14"/>
      <c r="I2395" s="14"/>
      <c r="J2395" s="14"/>
      <c r="K2395" s="14"/>
      <c r="L2395" s="14"/>
      <c r="M2395" s="14"/>
      <c r="N2395" s="14"/>
      <c r="O2395" s="14"/>
      <c r="P2395" s="14"/>
      <c r="Q2395" s="14"/>
      <c r="R2395" s="14"/>
      <c r="S2395" s="14"/>
      <c r="T2395" s="14"/>
      <c r="U2395" s="14"/>
      <c r="V2395" s="14"/>
      <c r="W2395" s="14"/>
      <c r="X2395" s="14"/>
      <c r="Y2395" s="14"/>
    </row>
    <row r="2396" spans="1:25" ht="15.75" x14ac:dyDescent="0.25">
      <c r="A2396" s="21"/>
      <c r="B2396" s="21"/>
      <c r="C2396" s="21"/>
      <c r="E2396" s="21"/>
      <c r="F2396" s="21"/>
      <c r="G2396" s="14"/>
      <c r="H2396" s="14"/>
      <c r="I2396" s="14"/>
      <c r="J2396" s="14"/>
      <c r="K2396" s="14"/>
      <c r="L2396" s="14"/>
      <c r="M2396" s="14"/>
      <c r="N2396" s="14"/>
      <c r="O2396" s="14"/>
      <c r="P2396" s="14"/>
      <c r="Q2396" s="14"/>
      <c r="R2396" s="14"/>
      <c r="S2396" s="14"/>
      <c r="T2396" s="14"/>
      <c r="U2396" s="14"/>
      <c r="V2396" s="14"/>
      <c r="W2396" s="14"/>
      <c r="X2396" s="14"/>
      <c r="Y2396" s="14"/>
    </row>
    <row r="2397" spans="1:25" ht="15.75" x14ac:dyDescent="0.25">
      <c r="A2397" s="21"/>
      <c r="B2397" s="21"/>
      <c r="C2397" s="21"/>
      <c r="E2397" s="21"/>
      <c r="F2397" s="21"/>
      <c r="G2397" s="14"/>
      <c r="H2397" s="14"/>
      <c r="I2397" s="14"/>
      <c r="J2397" s="14"/>
      <c r="K2397" s="14"/>
      <c r="L2397" s="14"/>
      <c r="M2397" s="14"/>
      <c r="N2397" s="14"/>
      <c r="O2397" s="14"/>
      <c r="P2397" s="14"/>
      <c r="Q2397" s="14"/>
      <c r="R2397" s="14"/>
      <c r="S2397" s="14"/>
      <c r="T2397" s="14"/>
      <c r="U2397" s="14"/>
      <c r="V2397" s="14"/>
      <c r="W2397" s="14"/>
      <c r="X2397" s="14"/>
      <c r="Y2397" s="14"/>
    </row>
    <row r="2398" spans="1:25" ht="15.75" x14ac:dyDescent="0.25">
      <c r="A2398" s="21"/>
      <c r="B2398" s="21"/>
      <c r="C2398" s="21"/>
      <c r="E2398" s="21"/>
      <c r="F2398" s="21"/>
      <c r="G2398" s="14"/>
      <c r="H2398" s="14"/>
      <c r="I2398" s="14"/>
      <c r="J2398" s="14"/>
      <c r="K2398" s="14"/>
      <c r="L2398" s="14"/>
      <c r="M2398" s="14"/>
      <c r="N2398" s="14"/>
      <c r="O2398" s="14"/>
      <c r="P2398" s="14"/>
      <c r="Q2398" s="14"/>
      <c r="R2398" s="14"/>
      <c r="S2398" s="14"/>
      <c r="T2398" s="14"/>
      <c r="U2398" s="14"/>
      <c r="V2398" s="14"/>
      <c r="W2398" s="14"/>
      <c r="X2398" s="14"/>
      <c r="Y2398" s="14"/>
    </row>
    <row r="2399" spans="1:25" ht="15.75" x14ac:dyDescent="0.25">
      <c r="A2399" s="21"/>
      <c r="B2399" s="21"/>
      <c r="C2399" s="21"/>
      <c r="E2399" s="21"/>
      <c r="F2399" s="21"/>
      <c r="G2399" s="14"/>
      <c r="H2399" s="14"/>
      <c r="I2399" s="14"/>
      <c r="J2399" s="14"/>
      <c r="K2399" s="14"/>
      <c r="L2399" s="14"/>
      <c r="M2399" s="14"/>
      <c r="N2399" s="14"/>
      <c r="O2399" s="14"/>
      <c r="P2399" s="14"/>
      <c r="Q2399" s="14"/>
      <c r="R2399" s="14"/>
      <c r="S2399" s="14"/>
      <c r="T2399" s="14"/>
      <c r="U2399" s="14"/>
      <c r="V2399" s="14"/>
      <c r="W2399" s="14"/>
      <c r="X2399" s="14"/>
      <c r="Y2399" s="14"/>
    </row>
    <row r="2400" spans="1:25" ht="15.75" x14ac:dyDescent="0.25">
      <c r="A2400" s="21"/>
      <c r="B2400" s="21"/>
      <c r="C2400" s="21"/>
      <c r="E2400" s="21"/>
      <c r="F2400" s="21"/>
      <c r="G2400" s="14"/>
      <c r="H2400" s="14"/>
      <c r="I2400" s="14"/>
      <c r="J2400" s="14"/>
      <c r="K2400" s="14"/>
      <c r="L2400" s="14"/>
      <c r="M2400" s="14"/>
      <c r="N2400" s="14"/>
      <c r="O2400" s="14"/>
      <c r="P2400" s="14"/>
      <c r="Q2400" s="14"/>
      <c r="R2400" s="14"/>
      <c r="S2400" s="14"/>
      <c r="T2400" s="14"/>
      <c r="U2400" s="14"/>
      <c r="V2400" s="14"/>
      <c r="W2400" s="14"/>
      <c r="X2400" s="14"/>
      <c r="Y2400" s="14"/>
    </row>
    <row r="2401" spans="1:25" ht="15.75" x14ac:dyDescent="0.25">
      <c r="A2401" s="21"/>
      <c r="B2401" s="21"/>
      <c r="C2401" s="21"/>
      <c r="E2401" s="21"/>
      <c r="F2401" s="21"/>
      <c r="G2401" s="14"/>
      <c r="H2401" s="14"/>
      <c r="I2401" s="14"/>
      <c r="J2401" s="14"/>
      <c r="K2401" s="14"/>
      <c r="L2401" s="14"/>
      <c r="M2401" s="14"/>
      <c r="N2401" s="14"/>
      <c r="O2401" s="14"/>
      <c r="P2401" s="14"/>
      <c r="Q2401" s="14"/>
      <c r="R2401" s="14"/>
      <c r="S2401" s="14"/>
      <c r="T2401" s="14"/>
      <c r="U2401" s="14"/>
      <c r="V2401" s="14"/>
      <c r="W2401" s="14"/>
      <c r="X2401" s="14"/>
      <c r="Y2401" s="14"/>
    </row>
    <row r="2402" spans="1:25" ht="15.75" x14ac:dyDescent="0.25">
      <c r="A2402" s="21"/>
      <c r="B2402" s="21"/>
      <c r="C2402" s="21"/>
      <c r="E2402" s="21"/>
      <c r="F2402" s="21"/>
      <c r="G2402" s="14"/>
      <c r="H2402" s="14"/>
      <c r="I2402" s="14"/>
      <c r="J2402" s="14"/>
      <c r="K2402" s="14"/>
      <c r="L2402" s="14"/>
      <c r="M2402" s="14"/>
      <c r="N2402" s="14"/>
      <c r="O2402" s="14"/>
      <c r="P2402" s="14"/>
      <c r="Q2402" s="14"/>
      <c r="R2402" s="14"/>
      <c r="S2402" s="14"/>
      <c r="T2402" s="14"/>
      <c r="U2402" s="14"/>
      <c r="V2402" s="14"/>
      <c r="W2402" s="14"/>
      <c r="X2402" s="14"/>
      <c r="Y2402" s="14"/>
    </row>
    <row r="2403" spans="1:25" ht="15.75" x14ac:dyDescent="0.25">
      <c r="A2403" s="21"/>
      <c r="B2403" s="21"/>
      <c r="C2403" s="21"/>
      <c r="E2403" s="21"/>
      <c r="F2403" s="21"/>
      <c r="G2403" s="14"/>
      <c r="H2403" s="14"/>
      <c r="I2403" s="14"/>
      <c r="J2403" s="14"/>
      <c r="K2403" s="14"/>
      <c r="L2403" s="14"/>
      <c r="M2403" s="14"/>
      <c r="N2403" s="14"/>
      <c r="O2403" s="14"/>
      <c r="P2403" s="14"/>
      <c r="Q2403" s="14"/>
      <c r="R2403" s="14"/>
      <c r="S2403" s="14"/>
      <c r="T2403" s="14"/>
      <c r="U2403" s="14"/>
      <c r="V2403" s="14"/>
      <c r="W2403" s="14"/>
      <c r="X2403" s="14"/>
      <c r="Y2403" s="14"/>
    </row>
    <row r="2404" spans="1:25" ht="15.75" x14ac:dyDescent="0.25">
      <c r="A2404" s="21"/>
      <c r="B2404" s="21"/>
      <c r="C2404" s="21"/>
      <c r="E2404" s="21"/>
      <c r="F2404" s="21"/>
      <c r="G2404" s="14"/>
      <c r="H2404" s="14"/>
      <c r="I2404" s="14"/>
      <c r="J2404" s="14"/>
      <c r="K2404" s="14"/>
      <c r="L2404" s="14"/>
      <c r="M2404" s="14"/>
      <c r="N2404" s="14"/>
      <c r="O2404" s="14"/>
      <c r="P2404" s="14"/>
      <c r="Q2404" s="14"/>
      <c r="R2404" s="14"/>
      <c r="S2404" s="14"/>
      <c r="T2404" s="14"/>
      <c r="U2404" s="14"/>
      <c r="V2404" s="14"/>
      <c r="W2404" s="14"/>
      <c r="X2404" s="14"/>
      <c r="Y2404" s="14"/>
    </row>
    <row r="2405" spans="1:25" ht="15.75" x14ac:dyDescent="0.25">
      <c r="A2405" s="21"/>
      <c r="B2405" s="21"/>
      <c r="C2405" s="21"/>
      <c r="E2405" s="21"/>
      <c r="F2405" s="21"/>
      <c r="G2405" s="14"/>
      <c r="H2405" s="14"/>
      <c r="I2405" s="14"/>
      <c r="J2405" s="14"/>
      <c r="K2405" s="14"/>
      <c r="L2405" s="14"/>
      <c r="M2405" s="14"/>
      <c r="N2405" s="14"/>
      <c r="O2405" s="14"/>
      <c r="P2405" s="14"/>
      <c r="Q2405" s="14"/>
      <c r="R2405" s="14"/>
      <c r="S2405" s="14"/>
      <c r="T2405" s="14"/>
      <c r="U2405" s="14"/>
      <c r="V2405" s="14"/>
      <c r="W2405" s="14"/>
      <c r="X2405" s="14"/>
      <c r="Y2405" s="14"/>
    </row>
    <row r="2406" spans="1:25" ht="15.75" x14ac:dyDescent="0.25">
      <c r="A2406" s="21"/>
      <c r="B2406" s="21"/>
      <c r="C2406" s="21"/>
      <c r="E2406" s="21"/>
      <c r="F2406" s="21"/>
      <c r="G2406" s="14"/>
      <c r="H2406" s="14"/>
      <c r="I2406" s="14"/>
      <c r="J2406" s="14"/>
      <c r="K2406" s="14"/>
      <c r="L2406" s="14"/>
      <c r="M2406" s="14"/>
      <c r="N2406" s="14"/>
      <c r="O2406" s="14"/>
      <c r="P2406" s="14"/>
      <c r="Q2406" s="14"/>
      <c r="R2406" s="14"/>
      <c r="S2406" s="14"/>
      <c r="T2406" s="14"/>
      <c r="U2406" s="14"/>
      <c r="V2406" s="14"/>
      <c r="W2406" s="14"/>
      <c r="X2406" s="14"/>
      <c r="Y2406" s="14"/>
    </row>
    <row r="2407" spans="1:25" ht="15.75" x14ac:dyDescent="0.25">
      <c r="A2407" s="21"/>
      <c r="B2407" s="21"/>
      <c r="C2407" s="21"/>
      <c r="E2407" s="21"/>
      <c r="F2407" s="21"/>
      <c r="G2407" s="14"/>
      <c r="H2407" s="14"/>
      <c r="I2407" s="14"/>
      <c r="J2407" s="14"/>
      <c r="K2407" s="14"/>
      <c r="L2407" s="14"/>
      <c r="M2407" s="14"/>
      <c r="N2407" s="14"/>
      <c r="O2407" s="14"/>
      <c r="P2407" s="14"/>
      <c r="Q2407" s="14"/>
      <c r="R2407" s="14"/>
      <c r="S2407" s="14"/>
      <c r="T2407" s="14"/>
      <c r="U2407" s="14"/>
      <c r="V2407" s="14"/>
      <c r="W2407" s="14"/>
      <c r="X2407" s="14"/>
      <c r="Y2407" s="14"/>
    </row>
    <row r="2408" spans="1:25" ht="15.75" x14ac:dyDescent="0.25">
      <c r="A2408" s="21"/>
      <c r="B2408" s="21"/>
      <c r="C2408" s="21"/>
      <c r="E2408" s="21"/>
      <c r="F2408" s="21"/>
      <c r="G2408" s="14"/>
      <c r="H2408" s="14"/>
      <c r="I2408" s="14"/>
      <c r="J2408" s="14"/>
      <c r="K2408" s="14"/>
      <c r="L2408" s="14"/>
      <c r="M2408" s="14"/>
      <c r="N2408" s="14"/>
      <c r="O2408" s="14"/>
      <c r="P2408" s="14"/>
      <c r="Q2408" s="14"/>
      <c r="R2408" s="14"/>
      <c r="S2408" s="14"/>
      <c r="T2408" s="14"/>
      <c r="U2408" s="14"/>
      <c r="V2408" s="14"/>
      <c r="W2408" s="14"/>
      <c r="X2408" s="14"/>
      <c r="Y2408" s="14"/>
    </row>
    <row r="2409" spans="1:25" ht="15.75" x14ac:dyDescent="0.25">
      <c r="A2409" s="21"/>
      <c r="B2409" s="21"/>
      <c r="C2409" s="21"/>
      <c r="E2409" s="21"/>
      <c r="F2409" s="21"/>
      <c r="G2409" s="14"/>
      <c r="H2409" s="14"/>
      <c r="I2409" s="14"/>
      <c r="J2409" s="14"/>
      <c r="K2409" s="14"/>
      <c r="L2409" s="14"/>
      <c r="M2409" s="14"/>
      <c r="N2409" s="14"/>
      <c r="O2409" s="14"/>
      <c r="P2409" s="14"/>
      <c r="Q2409" s="14"/>
      <c r="R2409" s="14"/>
      <c r="S2409" s="14"/>
      <c r="T2409" s="14"/>
      <c r="U2409" s="14"/>
      <c r="V2409" s="14"/>
      <c r="W2409" s="14"/>
      <c r="X2409" s="14"/>
      <c r="Y2409" s="14"/>
    </row>
    <row r="2410" spans="1:25" ht="15.75" x14ac:dyDescent="0.25">
      <c r="A2410" s="21"/>
      <c r="B2410" s="21"/>
      <c r="C2410" s="21"/>
      <c r="E2410" s="21"/>
      <c r="F2410" s="21"/>
      <c r="G2410" s="14"/>
      <c r="H2410" s="14"/>
      <c r="I2410" s="14"/>
      <c r="J2410" s="14"/>
      <c r="K2410" s="14"/>
      <c r="L2410" s="14"/>
      <c r="M2410" s="14"/>
      <c r="N2410" s="14"/>
      <c r="O2410" s="14"/>
      <c r="P2410" s="14"/>
      <c r="Q2410" s="14"/>
      <c r="R2410" s="14"/>
      <c r="S2410" s="14"/>
      <c r="T2410" s="14"/>
      <c r="U2410" s="14"/>
      <c r="V2410" s="14"/>
      <c r="W2410" s="14"/>
      <c r="X2410" s="14"/>
      <c r="Y2410" s="14"/>
    </row>
    <row r="2411" spans="1:25" ht="15.75" x14ac:dyDescent="0.25">
      <c r="A2411" s="21"/>
      <c r="B2411" s="21"/>
      <c r="C2411" s="21"/>
      <c r="E2411" s="21"/>
      <c r="F2411" s="21"/>
      <c r="G2411" s="14"/>
      <c r="H2411" s="14"/>
      <c r="I2411" s="14"/>
      <c r="J2411" s="14"/>
      <c r="K2411" s="14"/>
      <c r="L2411" s="14"/>
      <c r="M2411" s="14"/>
      <c r="N2411" s="14"/>
      <c r="O2411" s="14"/>
      <c r="P2411" s="14"/>
      <c r="Q2411" s="14"/>
      <c r="R2411" s="14"/>
      <c r="S2411" s="14"/>
      <c r="T2411" s="14"/>
      <c r="U2411" s="14"/>
      <c r="V2411" s="14"/>
      <c r="W2411" s="14"/>
      <c r="X2411" s="14"/>
      <c r="Y2411" s="14"/>
    </row>
    <row r="2412" spans="1:25" ht="15.75" x14ac:dyDescent="0.25">
      <c r="A2412" s="21"/>
      <c r="B2412" s="21"/>
      <c r="C2412" s="21"/>
      <c r="E2412" s="21"/>
      <c r="F2412" s="21"/>
      <c r="G2412" s="14"/>
      <c r="H2412" s="14"/>
      <c r="I2412" s="14"/>
      <c r="J2412" s="14"/>
      <c r="K2412" s="14"/>
      <c r="L2412" s="14"/>
      <c r="M2412" s="14"/>
      <c r="N2412" s="14"/>
      <c r="O2412" s="14"/>
      <c r="P2412" s="14"/>
      <c r="Q2412" s="14"/>
      <c r="R2412" s="14"/>
      <c r="S2412" s="14"/>
      <c r="T2412" s="14"/>
      <c r="U2412" s="14"/>
      <c r="V2412" s="14"/>
      <c r="W2412" s="14"/>
      <c r="X2412" s="14"/>
      <c r="Y2412" s="14"/>
    </row>
    <row r="2413" spans="1:25" ht="15.75" x14ac:dyDescent="0.25">
      <c r="A2413" s="21"/>
      <c r="B2413" s="21"/>
      <c r="C2413" s="21"/>
      <c r="E2413" s="21"/>
      <c r="F2413" s="21"/>
      <c r="G2413" s="14"/>
      <c r="H2413" s="14"/>
      <c r="I2413" s="14"/>
      <c r="J2413" s="14"/>
      <c r="K2413" s="14"/>
      <c r="L2413" s="14"/>
      <c r="M2413" s="14"/>
      <c r="N2413" s="14"/>
      <c r="O2413" s="14"/>
      <c r="P2413" s="14"/>
      <c r="Q2413" s="14"/>
      <c r="R2413" s="14"/>
      <c r="S2413" s="14"/>
      <c r="T2413" s="14"/>
      <c r="U2413" s="14"/>
      <c r="V2413" s="14"/>
      <c r="W2413" s="14"/>
      <c r="X2413" s="14"/>
      <c r="Y2413" s="14"/>
    </row>
    <row r="2414" spans="1:25" ht="15.75" x14ac:dyDescent="0.25">
      <c r="A2414" s="21"/>
      <c r="B2414" s="21"/>
      <c r="C2414" s="21"/>
      <c r="E2414" s="21"/>
      <c r="F2414" s="21"/>
      <c r="G2414" s="14"/>
      <c r="H2414" s="14"/>
      <c r="I2414" s="14"/>
      <c r="J2414" s="14"/>
      <c r="K2414" s="14"/>
      <c r="L2414" s="14"/>
      <c r="M2414" s="14"/>
      <c r="N2414" s="14"/>
      <c r="O2414" s="14"/>
      <c r="P2414" s="14"/>
      <c r="Q2414" s="14"/>
      <c r="R2414" s="14"/>
      <c r="S2414" s="14"/>
      <c r="T2414" s="14"/>
      <c r="U2414" s="14"/>
      <c r="V2414" s="14"/>
      <c r="W2414" s="14"/>
      <c r="X2414" s="14"/>
      <c r="Y2414" s="14"/>
    </row>
    <row r="2415" spans="1:25" ht="15.75" x14ac:dyDescent="0.25">
      <c r="A2415" s="21"/>
      <c r="B2415" s="21"/>
      <c r="C2415" s="21"/>
      <c r="E2415" s="21"/>
      <c r="F2415" s="21"/>
      <c r="G2415" s="14"/>
      <c r="H2415" s="14"/>
      <c r="I2415" s="14"/>
      <c r="J2415" s="14"/>
      <c r="K2415" s="14"/>
      <c r="L2415" s="14"/>
      <c r="M2415" s="14"/>
      <c r="N2415" s="14"/>
      <c r="O2415" s="14"/>
      <c r="P2415" s="14"/>
      <c r="Q2415" s="14"/>
      <c r="R2415" s="14"/>
      <c r="S2415" s="14"/>
      <c r="T2415" s="14"/>
      <c r="U2415" s="14"/>
      <c r="V2415" s="14"/>
      <c r="W2415" s="14"/>
      <c r="X2415" s="14"/>
      <c r="Y2415" s="14"/>
    </row>
    <row r="2416" spans="1:25" ht="15.75" x14ac:dyDescent="0.25">
      <c r="A2416" s="21"/>
      <c r="B2416" s="21"/>
      <c r="C2416" s="21"/>
      <c r="E2416" s="21"/>
      <c r="F2416" s="21"/>
      <c r="G2416" s="14"/>
      <c r="H2416" s="14"/>
      <c r="I2416" s="14"/>
      <c r="J2416" s="14"/>
      <c r="K2416" s="14"/>
      <c r="L2416" s="14"/>
      <c r="M2416" s="14"/>
      <c r="N2416" s="14"/>
      <c r="O2416" s="14"/>
      <c r="P2416" s="14"/>
      <c r="Q2416" s="14"/>
      <c r="R2416" s="14"/>
      <c r="S2416" s="14"/>
      <c r="T2416" s="14"/>
      <c r="U2416" s="14"/>
      <c r="V2416" s="14"/>
      <c r="W2416" s="14"/>
      <c r="X2416" s="14"/>
      <c r="Y2416" s="14"/>
    </row>
    <row r="2417" spans="1:25" ht="15.75" x14ac:dyDescent="0.25">
      <c r="A2417" s="21"/>
      <c r="B2417" s="21"/>
      <c r="C2417" s="21"/>
      <c r="E2417" s="21"/>
      <c r="F2417" s="21"/>
      <c r="G2417" s="14"/>
      <c r="H2417" s="14"/>
      <c r="I2417" s="14"/>
      <c r="J2417" s="14"/>
      <c r="K2417" s="14"/>
      <c r="L2417" s="14"/>
      <c r="M2417" s="14"/>
      <c r="N2417" s="14"/>
      <c r="O2417" s="14"/>
      <c r="P2417" s="14"/>
      <c r="Q2417" s="14"/>
      <c r="R2417" s="14"/>
      <c r="S2417" s="14"/>
      <c r="T2417" s="14"/>
      <c r="U2417" s="14"/>
      <c r="V2417" s="14"/>
      <c r="W2417" s="14"/>
      <c r="X2417" s="14"/>
      <c r="Y2417" s="14"/>
    </row>
    <row r="2418" spans="1:25" ht="15.75" x14ac:dyDescent="0.25">
      <c r="A2418" s="21"/>
      <c r="B2418" s="21"/>
      <c r="C2418" s="21"/>
      <c r="E2418" s="21"/>
      <c r="F2418" s="21"/>
      <c r="G2418" s="14"/>
      <c r="H2418" s="14"/>
      <c r="I2418" s="14"/>
      <c r="J2418" s="14"/>
      <c r="K2418" s="14"/>
      <c r="L2418" s="14"/>
      <c r="M2418" s="14"/>
      <c r="N2418" s="14"/>
      <c r="O2418" s="14"/>
      <c r="P2418" s="14"/>
      <c r="Q2418" s="14"/>
      <c r="R2418" s="14"/>
      <c r="S2418" s="14"/>
      <c r="T2418" s="14"/>
      <c r="U2418" s="14"/>
      <c r="V2418" s="14"/>
      <c r="W2418" s="14"/>
      <c r="X2418" s="14"/>
      <c r="Y2418" s="14"/>
    </row>
    <row r="2419" spans="1:25" ht="15.75" x14ac:dyDescent="0.25">
      <c r="A2419" s="21"/>
      <c r="B2419" s="21"/>
      <c r="C2419" s="21"/>
      <c r="E2419" s="21"/>
      <c r="F2419" s="21"/>
      <c r="G2419" s="14"/>
      <c r="H2419" s="14"/>
      <c r="I2419" s="14"/>
      <c r="J2419" s="14"/>
      <c r="K2419" s="14"/>
      <c r="L2419" s="14"/>
      <c r="M2419" s="14"/>
      <c r="N2419" s="14"/>
      <c r="O2419" s="14"/>
      <c r="P2419" s="14"/>
      <c r="Q2419" s="14"/>
      <c r="R2419" s="14"/>
      <c r="S2419" s="14"/>
      <c r="T2419" s="14"/>
      <c r="U2419" s="14"/>
      <c r="V2419" s="14"/>
      <c r="W2419" s="14"/>
      <c r="X2419" s="14"/>
      <c r="Y2419" s="14"/>
    </row>
    <row r="2420" spans="1:25" ht="15.75" x14ac:dyDescent="0.25">
      <c r="A2420" s="21"/>
      <c r="B2420" s="21"/>
      <c r="C2420" s="21"/>
      <c r="E2420" s="21"/>
      <c r="F2420" s="21"/>
      <c r="G2420" s="14"/>
      <c r="H2420" s="14"/>
      <c r="I2420" s="14"/>
      <c r="J2420" s="14"/>
      <c r="K2420" s="14"/>
      <c r="L2420" s="14"/>
      <c r="M2420" s="14"/>
      <c r="N2420" s="14"/>
      <c r="O2420" s="14"/>
      <c r="P2420" s="14"/>
      <c r="Q2420" s="14"/>
      <c r="R2420" s="14"/>
      <c r="S2420" s="14"/>
      <c r="T2420" s="14"/>
      <c r="U2420" s="14"/>
      <c r="V2420" s="14"/>
      <c r="W2420" s="14"/>
      <c r="X2420" s="14"/>
      <c r="Y2420" s="14"/>
    </row>
    <row r="2421" spans="1:25" ht="15.75" x14ac:dyDescent="0.25">
      <c r="A2421" s="21"/>
      <c r="B2421" s="21"/>
      <c r="C2421" s="21"/>
      <c r="E2421" s="21"/>
      <c r="F2421" s="21"/>
      <c r="G2421" s="14"/>
      <c r="H2421" s="14"/>
      <c r="I2421" s="14"/>
      <c r="J2421" s="14"/>
      <c r="K2421" s="14"/>
      <c r="L2421" s="14"/>
      <c r="M2421" s="14"/>
      <c r="N2421" s="14"/>
      <c r="O2421" s="14"/>
      <c r="P2421" s="14"/>
      <c r="Q2421" s="14"/>
      <c r="R2421" s="14"/>
      <c r="S2421" s="14"/>
      <c r="T2421" s="14"/>
      <c r="U2421" s="14"/>
      <c r="V2421" s="14"/>
      <c r="W2421" s="14"/>
      <c r="X2421" s="14"/>
      <c r="Y2421" s="14"/>
    </row>
    <row r="2422" spans="1:25" ht="15.75" x14ac:dyDescent="0.25">
      <c r="A2422" s="21"/>
      <c r="B2422" s="21"/>
      <c r="C2422" s="21"/>
      <c r="E2422" s="21"/>
      <c r="F2422" s="21"/>
      <c r="G2422" s="14"/>
      <c r="H2422" s="14"/>
      <c r="I2422" s="14"/>
      <c r="J2422" s="14"/>
      <c r="K2422" s="14"/>
      <c r="L2422" s="14"/>
      <c r="M2422" s="14"/>
      <c r="N2422" s="14"/>
      <c r="O2422" s="14"/>
      <c r="P2422" s="14"/>
      <c r="Q2422" s="14"/>
      <c r="R2422" s="14"/>
      <c r="S2422" s="14"/>
      <c r="T2422" s="14"/>
      <c r="U2422" s="14"/>
      <c r="V2422" s="14"/>
      <c r="W2422" s="14"/>
      <c r="X2422" s="14"/>
      <c r="Y2422" s="14"/>
    </row>
    <row r="2423" spans="1:25" ht="15.75" x14ac:dyDescent="0.25">
      <c r="A2423" s="21"/>
      <c r="B2423" s="21"/>
      <c r="C2423" s="21"/>
      <c r="E2423" s="21"/>
      <c r="F2423" s="21"/>
      <c r="G2423" s="14"/>
      <c r="H2423" s="14"/>
      <c r="I2423" s="14"/>
      <c r="J2423" s="14"/>
      <c r="K2423" s="14"/>
      <c r="L2423" s="14"/>
      <c r="M2423" s="14"/>
      <c r="N2423" s="14"/>
      <c r="O2423" s="14"/>
      <c r="P2423" s="14"/>
      <c r="Q2423" s="14"/>
      <c r="R2423" s="14"/>
      <c r="S2423" s="14"/>
      <c r="T2423" s="14"/>
      <c r="U2423" s="14"/>
      <c r="V2423" s="14"/>
      <c r="W2423" s="14"/>
      <c r="X2423" s="14"/>
      <c r="Y2423" s="14"/>
    </row>
    <row r="2424" spans="1:25" ht="15.75" x14ac:dyDescent="0.25">
      <c r="A2424" s="21"/>
      <c r="B2424" s="21"/>
      <c r="C2424" s="21"/>
      <c r="E2424" s="21"/>
      <c r="F2424" s="21"/>
      <c r="G2424" s="14"/>
      <c r="H2424" s="14"/>
      <c r="I2424" s="14"/>
      <c r="J2424" s="14"/>
      <c r="K2424" s="14"/>
      <c r="L2424" s="14"/>
      <c r="M2424" s="14"/>
      <c r="N2424" s="14"/>
      <c r="O2424" s="14"/>
      <c r="P2424" s="14"/>
      <c r="Q2424" s="14"/>
      <c r="R2424" s="14"/>
      <c r="S2424" s="14"/>
      <c r="T2424" s="14"/>
      <c r="U2424" s="14"/>
      <c r="V2424" s="14"/>
      <c r="W2424" s="14"/>
      <c r="X2424" s="14"/>
      <c r="Y2424" s="14"/>
    </row>
    <row r="2425" spans="1:25" ht="15.75" x14ac:dyDescent="0.25">
      <c r="A2425" s="21"/>
      <c r="B2425" s="21"/>
      <c r="C2425" s="21"/>
      <c r="E2425" s="21"/>
      <c r="F2425" s="21"/>
      <c r="G2425" s="14"/>
      <c r="H2425" s="14"/>
      <c r="I2425" s="14"/>
      <c r="J2425" s="14"/>
      <c r="K2425" s="14"/>
      <c r="L2425" s="14"/>
      <c r="M2425" s="14"/>
      <c r="N2425" s="14"/>
      <c r="O2425" s="14"/>
      <c r="P2425" s="14"/>
      <c r="Q2425" s="14"/>
      <c r="R2425" s="14"/>
      <c r="S2425" s="14"/>
      <c r="T2425" s="14"/>
      <c r="U2425" s="14"/>
      <c r="V2425" s="14"/>
      <c r="W2425" s="14"/>
      <c r="X2425" s="14"/>
      <c r="Y2425" s="14"/>
    </row>
    <row r="2426" spans="1:25" ht="15.75" x14ac:dyDescent="0.25">
      <c r="A2426" s="21"/>
      <c r="B2426" s="21"/>
      <c r="C2426" s="21"/>
      <c r="E2426" s="21"/>
      <c r="F2426" s="21"/>
      <c r="G2426" s="14"/>
      <c r="H2426" s="14"/>
      <c r="I2426" s="14"/>
      <c r="J2426" s="14"/>
      <c r="K2426" s="14"/>
      <c r="L2426" s="14"/>
      <c r="M2426" s="14"/>
      <c r="N2426" s="14"/>
      <c r="O2426" s="14"/>
      <c r="P2426" s="14"/>
      <c r="Q2426" s="14"/>
      <c r="R2426" s="14"/>
      <c r="S2426" s="14"/>
      <c r="T2426" s="14"/>
      <c r="U2426" s="14"/>
      <c r="V2426" s="14"/>
      <c r="W2426" s="14"/>
      <c r="X2426" s="14"/>
      <c r="Y2426" s="14"/>
    </row>
    <row r="2427" spans="1:25" ht="15.75" x14ac:dyDescent="0.25">
      <c r="A2427" s="21"/>
      <c r="B2427" s="21"/>
      <c r="C2427" s="21"/>
      <c r="E2427" s="21"/>
      <c r="F2427" s="21"/>
      <c r="G2427" s="14"/>
      <c r="H2427" s="14"/>
      <c r="I2427" s="14"/>
      <c r="J2427" s="14"/>
      <c r="K2427" s="14"/>
      <c r="L2427" s="14"/>
      <c r="M2427" s="14"/>
      <c r="N2427" s="14"/>
      <c r="O2427" s="14"/>
      <c r="P2427" s="14"/>
      <c r="Q2427" s="14"/>
      <c r="R2427" s="14"/>
      <c r="S2427" s="14"/>
      <c r="T2427" s="14"/>
      <c r="U2427" s="14"/>
      <c r="V2427" s="14"/>
      <c r="W2427" s="14"/>
      <c r="X2427" s="14"/>
      <c r="Y2427" s="14"/>
    </row>
    <row r="2428" spans="1:25" ht="15.75" x14ac:dyDescent="0.25">
      <c r="A2428" s="21"/>
      <c r="B2428" s="21"/>
      <c r="C2428" s="21"/>
      <c r="E2428" s="21"/>
      <c r="F2428" s="21"/>
      <c r="G2428" s="14"/>
      <c r="H2428" s="14"/>
      <c r="I2428" s="14"/>
      <c r="J2428" s="14"/>
      <c r="K2428" s="14"/>
      <c r="L2428" s="14"/>
      <c r="M2428" s="14"/>
      <c r="N2428" s="14"/>
      <c r="O2428" s="14"/>
      <c r="P2428" s="14"/>
      <c r="Q2428" s="14"/>
      <c r="R2428" s="14"/>
      <c r="S2428" s="14"/>
      <c r="T2428" s="14"/>
      <c r="U2428" s="14"/>
      <c r="V2428" s="14"/>
      <c r="W2428" s="14"/>
      <c r="X2428" s="14"/>
      <c r="Y2428" s="14"/>
    </row>
    <row r="2429" spans="1:25" ht="15.75" x14ac:dyDescent="0.25">
      <c r="A2429" s="21"/>
      <c r="B2429" s="21"/>
      <c r="C2429" s="21"/>
      <c r="E2429" s="21"/>
      <c r="F2429" s="21"/>
      <c r="G2429" s="14"/>
      <c r="H2429" s="14"/>
      <c r="I2429" s="14"/>
      <c r="J2429" s="14"/>
      <c r="K2429" s="14"/>
      <c r="L2429" s="14"/>
      <c r="M2429" s="14"/>
      <c r="N2429" s="14"/>
      <c r="O2429" s="14"/>
      <c r="P2429" s="14"/>
      <c r="Q2429" s="14"/>
      <c r="R2429" s="14"/>
      <c r="S2429" s="14"/>
      <c r="T2429" s="14"/>
      <c r="U2429" s="14"/>
      <c r="V2429" s="14"/>
      <c r="W2429" s="14"/>
      <c r="X2429" s="14"/>
      <c r="Y2429" s="14"/>
    </row>
    <row r="2430" spans="1:25" ht="15.75" x14ac:dyDescent="0.25">
      <c r="A2430" s="21"/>
      <c r="B2430" s="21"/>
      <c r="C2430" s="21"/>
      <c r="E2430" s="21"/>
      <c r="F2430" s="21"/>
      <c r="G2430" s="14"/>
      <c r="H2430" s="14"/>
      <c r="I2430" s="14"/>
      <c r="J2430" s="14"/>
      <c r="K2430" s="14"/>
      <c r="L2430" s="14"/>
      <c r="M2430" s="14"/>
      <c r="N2430" s="14"/>
      <c r="O2430" s="14"/>
      <c r="P2430" s="14"/>
      <c r="Q2430" s="14"/>
      <c r="R2430" s="14"/>
      <c r="S2430" s="14"/>
      <c r="T2430" s="14"/>
      <c r="U2430" s="14"/>
      <c r="V2430" s="14"/>
      <c r="W2430" s="14"/>
      <c r="X2430" s="14"/>
      <c r="Y2430" s="14"/>
    </row>
    <row r="2431" spans="1:25" ht="15.75" x14ac:dyDescent="0.25">
      <c r="A2431" s="21"/>
      <c r="B2431" s="21"/>
      <c r="C2431" s="21"/>
      <c r="E2431" s="21"/>
      <c r="F2431" s="21"/>
      <c r="G2431" s="14"/>
      <c r="H2431" s="14"/>
      <c r="I2431" s="14"/>
      <c r="J2431" s="14"/>
      <c r="K2431" s="14"/>
      <c r="L2431" s="14"/>
      <c r="M2431" s="14"/>
      <c r="N2431" s="14"/>
      <c r="O2431" s="14"/>
      <c r="P2431" s="14"/>
      <c r="Q2431" s="14"/>
      <c r="R2431" s="14"/>
      <c r="S2431" s="14"/>
      <c r="T2431" s="14"/>
      <c r="U2431" s="14"/>
      <c r="V2431" s="14"/>
      <c r="W2431" s="14"/>
      <c r="X2431" s="14"/>
      <c r="Y2431" s="14"/>
    </row>
    <row r="2432" spans="1:25" ht="15.75" x14ac:dyDescent="0.25">
      <c r="A2432" s="21"/>
      <c r="B2432" s="21"/>
      <c r="C2432" s="21"/>
      <c r="E2432" s="21"/>
      <c r="F2432" s="21"/>
      <c r="G2432" s="14"/>
      <c r="H2432" s="14"/>
      <c r="I2432" s="14"/>
      <c r="J2432" s="14"/>
      <c r="K2432" s="14"/>
      <c r="L2432" s="14"/>
      <c r="M2432" s="14"/>
      <c r="N2432" s="14"/>
      <c r="O2432" s="14"/>
      <c r="P2432" s="14"/>
      <c r="Q2432" s="14"/>
      <c r="R2432" s="14"/>
      <c r="S2432" s="14"/>
      <c r="T2432" s="14"/>
      <c r="U2432" s="14"/>
      <c r="V2432" s="14"/>
      <c r="W2432" s="14"/>
      <c r="X2432" s="14"/>
      <c r="Y2432" s="14"/>
    </row>
    <row r="2433" spans="1:25" ht="15.75" x14ac:dyDescent="0.25">
      <c r="A2433" s="21"/>
      <c r="B2433" s="21"/>
      <c r="C2433" s="21"/>
      <c r="E2433" s="21"/>
      <c r="F2433" s="21"/>
      <c r="G2433" s="14"/>
      <c r="H2433" s="14"/>
      <c r="I2433" s="14"/>
      <c r="J2433" s="14"/>
      <c r="K2433" s="14"/>
      <c r="L2433" s="14"/>
      <c r="M2433" s="14"/>
      <c r="N2433" s="14"/>
      <c r="O2433" s="14"/>
      <c r="P2433" s="14"/>
      <c r="Q2433" s="14"/>
      <c r="R2433" s="14"/>
      <c r="S2433" s="14"/>
      <c r="T2433" s="14"/>
      <c r="U2433" s="14"/>
      <c r="V2433" s="14"/>
      <c r="W2433" s="14"/>
      <c r="X2433" s="14"/>
      <c r="Y2433" s="14"/>
    </row>
    <row r="2434" spans="1:25" ht="15.75" x14ac:dyDescent="0.25">
      <c r="A2434" s="21"/>
      <c r="B2434" s="21"/>
      <c r="C2434" s="21"/>
      <c r="E2434" s="21"/>
      <c r="F2434" s="21"/>
      <c r="G2434" s="14"/>
      <c r="H2434" s="14"/>
      <c r="I2434" s="14"/>
      <c r="J2434" s="14"/>
      <c r="K2434" s="14"/>
      <c r="L2434" s="14"/>
      <c r="M2434" s="14"/>
      <c r="N2434" s="14"/>
      <c r="O2434" s="14"/>
      <c r="P2434" s="14"/>
      <c r="Q2434" s="14"/>
      <c r="R2434" s="14"/>
      <c r="S2434" s="14"/>
      <c r="T2434" s="14"/>
      <c r="U2434" s="14"/>
      <c r="V2434" s="14"/>
      <c r="W2434" s="14"/>
      <c r="X2434" s="14"/>
      <c r="Y2434" s="14"/>
    </row>
    <row r="2435" spans="1:25" ht="15.75" x14ac:dyDescent="0.25">
      <c r="A2435" s="21"/>
      <c r="B2435" s="21"/>
      <c r="C2435" s="21"/>
      <c r="E2435" s="21"/>
      <c r="F2435" s="21"/>
      <c r="G2435" s="14"/>
      <c r="H2435" s="14"/>
      <c r="I2435" s="14"/>
      <c r="J2435" s="14"/>
      <c r="K2435" s="14"/>
      <c r="L2435" s="14"/>
      <c r="M2435" s="14"/>
      <c r="N2435" s="14"/>
      <c r="O2435" s="14"/>
      <c r="P2435" s="14"/>
      <c r="Q2435" s="14"/>
      <c r="R2435" s="14"/>
      <c r="S2435" s="14"/>
      <c r="T2435" s="14"/>
      <c r="U2435" s="14"/>
      <c r="V2435" s="14"/>
      <c r="W2435" s="14"/>
      <c r="X2435" s="14"/>
      <c r="Y2435" s="14"/>
    </row>
    <row r="2436" spans="1:25" ht="15.75" x14ac:dyDescent="0.25">
      <c r="A2436" s="21"/>
      <c r="B2436" s="21"/>
      <c r="C2436" s="21"/>
      <c r="E2436" s="21"/>
      <c r="F2436" s="21"/>
      <c r="G2436" s="14"/>
      <c r="H2436" s="14"/>
      <c r="I2436" s="14"/>
      <c r="J2436" s="14"/>
      <c r="K2436" s="14"/>
      <c r="L2436" s="14"/>
      <c r="M2436" s="14"/>
      <c r="N2436" s="14"/>
      <c r="O2436" s="14"/>
      <c r="P2436" s="14"/>
      <c r="Q2436" s="14"/>
      <c r="R2436" s="14"/>
      <c r="S2436" s="14"/>
      <c r="T2436" s="14"/>
      <c r="U2436" s="14"/>
      <c r="V2436" s="14"/>
      <c r="W2436" s="14"/>
      <c r="X2436" s="14"/>
      <c r="Y2436" s="14"/>
    </row>
    <row r="2437" spans="1:25" ht="15.75" x14ac:dyDescent="0.25">
      <c r="A2437" s="21"/>
      <c r="B2437" s="21"/>
      <c r="C2437" s="21"/>
      <c r="E2437" s="21"/>
      <c r="F2437" s="21"/>
      <c r="G2437" s="14"/>
      <c r="H2437" s="14"/>
      <c r="I2437" s="14"/>
      <c r="J2437" s="14"/>
      <c r="K2437" s="14"/>
      <c r="L2437" s="14"/>
      <c r="M2437" s="14"/>
      <c r="N2437" s="14"/>
      <c r="O2437" s="14"/>
      <c r="P2437" s="14"/>
      <c r="Q2437" s="14"/>
      <c r="R2437" s="14"/>
      <c r="S2437" s="14"/>
      <c r="T2437" s="14"/>
      <c r="U2437" s="14"/>
      <c r="V2437" s="14"/>
      <c r="W2437" s="14"/>
      <c r="X2437" s="14"/>
      <c r="Y2437" s="14"/>
    </row>
    <row r="2438" spans="1:25" ht="15.75" x14ac:dyDescent="0.25">
      <c r="A2438" s="21"/>
      <c r="B2438" s="21"/>
      <c r="C2438" s="21"/>
      <c r="E2438" s="21"/>
      <c r="F2438" s="21"/>
      <c r="G2438" s="14"/>
      <c r="H2438" s="14"/>
      <c r="I2438" s="14"/>
      <c r="J2438" s="14"/>
      <c r="K2438" s="14"/>
      <c r="L2438" s="14"/>
      <c r="M2438" s="14"/>
      <c r="N2438" s="14"/>
      <c r="O2438" s="14"/>
      <c r="P2438" s="14"/>
      <c r="Q2438" s="14"/>
      <c r="R2438" s="14"/>
      <c r="S2438" s="14"/>
      <c r="T2438" s="14"/>
      <c r="U2438" s="14"/>
      <c r="V2438" s="14"/>
      <c r="W2438" s="14"/>
      <c r="X2438" s="14"/>
      <c r="Y2438" s="14"/>
    </row>
    <row r="2439" spans="1:25" ht="15.75" x14ac:dyDescent="0.25">
      <c r="A2439" s="21"/>
      <c r="B2439" s="21"/>
      <c r="C2439" s="21"/>
      <c r="E2439" s="21"/>
      <c r="F2439" s="21"/>
      <c r="G2439" s="14"/>
      <c r="H2439" s="14"/>
      <c r="I2439" s="14"/>
      <c r="J2439" s="14"/>
      <c r="K2439" s="14"/>
      <c r="L2439" s="14"/>
      <c r="M2439" s="14"/>
      <c r="N2439" s="14"/>
      <c r="O2439" s="14"/>
      <c r="P2439" s="14"/>
      <c r="Q2439" s="14"/>
      <c r="R2439" s="14"/>
      <c r="S2439" s="14"/>
      <c r="T2439" s="14"/>
      <c r="U2439" s="14"/>
      <c r="V2439" s="14"/>
      <c r="W2439" s="14"/>
      <c r="X2439" s="14"/>
      <c r="Y2439" s="14"/>
    </row>
    <row r="2440" spans="1:25" ht="15.75" x14ac:dyDescent="0.25">
      <c r="A2440" s="21"/>
      <c r="B2440" s="21"/>
      <c r="C2440" s="21"/>
      <c r="E2440" s="21"/>
      <c r="F2440" s="21"/>
      <c r="G2440" s="14"/>
      <c r="H2440" s="14"/>
      <c r="I2440" s="14"/>
      <c r="J2440" s="14"/>
      <c r="K2440" s="14"/>
      <c r="L2440" s="14"/>
      <c r="M2440" s="14"/>
      <c r="N2440" s="14"/>
      <c r="O2440" s="14"/>
      <c r="P2440" s="14"/>
      <c r="Q2440" s="14"/>
      <c r="R2440" s="14"/>
      <c r="S2440" s="14"/>
      <c r="T2440" s="14"/>
      <c r="U2440" s="14"/>
      <c r="V2440" s="14"/>
      <c r="W2440" s="14"/>
      <c r="X2440" s="14"/>
      <c r="Y2440" s="14"/>
    </row>
    <row r="2441" spans="1:25" ht="15.75" x14ac:dyDescent="0.25">
      <c r="A2441" s="21"/>
      <c r="B2441" s="21"/>
      <c r="C2441" s="21"/>
      <c r="E2441" s="21"/>
      <c r="F2441" s="21"/>
      <c r="G2441" s="14"/>
      <c r="H2441" s="14"/>
      <c r="I2441" s="14"/>
      <c r="J2441" s="14"/>
      <c r="K2441" s="14"/>
      <c r="L2441" s="14"/>
      <c r="M2441" s="14"/>
      <c r="N2441" s="14"/>
      <c r="O2441" s="14"/>
      <c r="P2441" s="14"/>
      <c r="Q2441" s="14"/>
      <c r="R2441" s="14"/>
      <c r="S2441" s="14"/>
      <c r="T2441" s="14"/>
      <c r="U2441" s="14"/>
      <c r="V2441" s="14"/>
      <c r="W2441" s="14"/>
      <c r="X2441" s="14"/>
      <c r="Y2441" s="14"/>
    </row>
    <row r="2442" spans="1:25" ht="15.75" x14ac:dyDescent="0.25">
      <c r="A2442" s="21"/>
      <c r="B2442" s="21"/>
      <c r="C2442" s="21"/>
      <c r="E2442" s="21"/>
      <c r="F2442" s="21"/>
      <c r="G2442" s="14"/>
      <c r="H2442" s="14"/>
      <c r="I2442" s="14"/>
      <c r="J2442" s="14"/>
      <c r="K2442" s="14"/>
      <c r="L2442" s="14"/>
      <c r="M2442" s="14"/>
      <c r="N2442" s="14"/>
      <c r="O2442" s="14"/>
      <c r="P2442" s="14"/>
      <c r="Q2442" s="14"/>
      <c r="R2442" s="14"/>
      <c r="S2442" s="14"/>
      <c r="T2442" s="14"/>
      <c r="U2442" s="14"/>
      <c r="V2442" s="14"/>
      <c r="W2442" s="14"/>
      <c r="X2442" s="14"/>
      <c r="Y2442" s="14"/>
    </row>
    <row r="2443" spans="1:25" ht="15.75" x14ac:dyDescent="0.25">
      <c r="A2443" s="21"/>
      <c r="B2443" s="21"/>
      <c r="C2443" s="21"/>
      <c r="E2443" s="21"/>
      <c r="F2443" s="21"/>
      <c r="G2443" s="14"/>
      <c r="H2443" s="14"/>
      <c r="I2443" s="14"/>
      <c r="J2443" s="14"/>
      <c r="K2443" s="14"/>
      <c r="L2443" s="14"/>
      <c r="M2443" s="14"/>
      <c r="N2443" s="14"/>
      <c r="O2443" s="14"/>
      <c r="P2443" s="14"/>
      <c r="Q2443" s="14"/>
      <c r="R2443" s="14"/>
      <c r="S2443" s="14"/>
      <c r="T2443" s="14"/>
      <c r="U2443" s="14"/>
      <c r="V2443" s="14"/>
      <c r="W2443" s="14"/>
      <c r="X2443" s="14"/>
      <c r="Y2443" s="14"/>
    </row>
    <row r="2444" spans="1:25" ht="15.75" x14ac:dyDescent="0.25">
      <c r="A2444" s="21"/>
      <c r="B2444" s="21"/>
      <c r="C2444" s="21"/>
      <c r="E2444" s="21"/>
      <c r="F2444" s="21"/>
      <c r="G2444" s="14"/>
      <c r="H2444" s="14"/>
      <c r="I2444" s="14"/>
      <c r="J2444" s="14"/>
      <c r="K2444" s="14"/>
      <c r="L2444" s="14"/>
      <c r="M2444" s="14"/>
      <c r="N2444" s="14"/>
      <c r="O2444" s="14"/>
      <c r="P2444" s="14"/>
      <c r="Q2444" s="14"/>
      <c r="R2444" s="14"/>
      <c r="S2444" s="14"/>
      <c r="T2444" s="14"/>
      <c r="U2444" s="14"/>
      <c r="V2444" s="14"/>
      <c r="W2444" s="14"/>
      <c r="X2444" s="14"/>
      <c r="Y2444" s="14"/>
    </row>
    <row r="2445" spans="1:25" ht="15.75" x14ac:dyDescent="0.25">
      <c r="A2445" s="21"/>
      <c r="B2445" s="21"/>
      <c r="C2445" s="21"/>
      <c r="E2445" s="21"/>
      <c r="F2445" s="21"/>
      <c r="G2445" s="14"/>
      <c r="H2445" s="14"/>
      <c r="I2445" s="14"/>
      <c r="J2445" s="14"/>
      <c r="K2445" s="14"/>
      <c r="L2445" s="14"/>
      <c r="M2445" s="14"/>
      <c r="N2445" s="14"/>
      <c r="O2445" s="14"/>
      <c r="P2445" s="14"/>
      <c r="Q2445" s="14"/>
      <c r="R2445" s="14"/>
      <c r="S2445" s="14"/>
      <c r="T2445" s="14"/>
      <c r="U2445" s="14"/>
      <c r="V2445" s="14"/>
      <c r="W2445" s="14"/>
      <c r="X2445" s="14"/>
      <c r="Y2445" s="14"/>
    </row>
    <row r="2446" spans="1:25" ht="15.75" x14ac:dyDescent="0.25">
      <c r="A2446" s="21"/>
      <c r="B2446" s="21"/>
      <c r="C2446" s="21"/>
      <c r="E2446" s="21"/>
      <c r="F2446" s="21"/>
      <c r="G2446" s="14"/>
      <c r="H2446" s="14"/>
      <c r="I2446" s="14"/>
      <c r="J2446" s="14"/>
      <c r="K2446" s="14"/>
      <c r="L2446" s="14"/>
      <c r="M2446" s="14"/>
      <c r="N2446" s="14"/>
      <c r="O2446" s="14"/>
      <c r="P2446" s="14"/>
      <c r="Q2446" s="14"/>
      <c r="R2446" s="14"/>
      <c r="S2446" s="14"/>
      <c r="T2446" s="14"/>
      <c r="U2446" s="14"/>
      <c r="V2446" s="14"/>
      <c r="W2446" s="14"/>
      <c r="X2446" s="14"/>
      <c r="Y2446" s="14"/>
    </row>
    <row r="2447" spans="1:25" ht="15.75" x14ac:dyDescent="0.25">
      <c r="A2447" s="21"/>
      <c r="B2447" s="21"/>
      <c r="C2447" s="21"/>
      <c r="E2447" s="21"/>
      <c r="F2447" s="21"/>
      <c r="G2447" s="14"/>
      <c r="H2447" s="14"/>
      <c r="I2447" s="14"/>
      <c r="J2447" s="14"/>
      <c r="K2447" s="14"/>
      <c r="L2447" s="14"/>
      <c r="M2447" s="14"/>
      <c r="N2447" s="14"/>
      <c r="O2447" s="14"/>
      <c r="P2447" s="14"/>
      <c r="Q2447" s="14"/>
      <c r="R2447" s="14"/>
      <c r="S2447" s="14"/>
      <c r="T2447" s="14"/>
      <c r="U2447" s="14"/>
      <c r="V2447" s="14"/>
      <c r="W2447" s="14"/>
      <c r="X2447" s="14"/>
      <c r="Y2447" s="14"/>
    </row>
    <row r="2448" spans="1:25" ht="15.75" x14ac:dyDescent="0.25">
      <c r="A2448" s="21"/>
      <c r="B2448" s="21"/>
      <c r="C2448" s="21"/>
      <c r="E2448" s="21"/>
      <c r="F2448" s="21"/>
      <c r="G2448" s="14"/>
      <c r="H2448" s="14"/>
      <c r="I2448" s="14"/>
      <c r="J2448" s="14"/>
      <c r="K2448" s="14"/>
      <c r="L2448" s="14"/>
      <c r="M2448" s="14"/>
      <c r="N2448" s="14"/>
      <c r="O2448" s="14"/>
      <c r="P2448" s="14"/>
      <c r="Q2448" s="14"/>
      <c r="R2448" s="14"/>
      <c r="S2448" s="14"/>
      <c r="T2448" s="14"/>
      <c r="U2448" s="14"/>
      <c r="V2448" s="14"/>
      <c r="W2448" s="14"/>
      <c r="X2448" s="14"/>
      <c r="Y2448" s="14"/>
    </row>
    <row r="2449" spans="1:25" ht="15.75" x14ac:dyDescent="0.25">
      <c r="A2449" s="21"/>
      <c r="B2449" s="21"/>
      <c r="C2449" s="21"/>
      <c r="E2449" s="21"/>
      <c r="F2449" s="21"/>
      <c r="G2449" s="14"/>
      <c r="H2449" s="14"/>
      <c r="I2449" s="14"/>
      <c r="J2449" s="14"/>
      <c r="K2449" s="14"/>
      <c r="L2449" s="14"/>
      <c r="M2449" s="14"/>
      <c r="N2449" s="14"/>
      <c r="O2449" s="14"/>
      <c r="P2449" s="14"/>
      <c r="Q2449" s="14"/>
      <c r="R2449" s="14"/>
      <c r="S2449" s="14"/>
      <c r="T2449" s="14"/>
      <c r="U2449" s="14"/>
      <c r="V2449" s="14"/>
      <c r="W2449" s="14"/>
      <c r="X2449" s="14"/>
      <c r="Y2449" s="14"/>
    </row>
    <row r="2450" spans="1:25" ht="15.75" x14ac:dyDescent="0.25">
      <c r="A2450" s="21"/>
      <c r="B2450" s="21"/>
      <c r="C2450" s="21"/>
      <c r="E2450" s="21"/>
      <c r="F2450" s="21"/>
      <c r="G2450" s="14"/>
      <c r="H2450" s="14"/>
      <c r="I2450" s="14"/>
      <c r="J2450" s="14"/>
      <c r="K2450" s="14"/>
      <c r="L2450" s="14"/>
      <c r="M2450" s="14"/>
      <c r="N2450" s="14"/>
      <c r="O2450" s="14"/>
      <c r="P2450" s="14"/>
      <c r="Q2450" s="14"/>
      <c r="R2450" s="14"/>
      <c r="S2450" s="14"/>
      <c r="T2450" s="14"/>
      <c r="U2450" s="14"/>
      <c r="V2450" s="14"/>
      <c r="W2450" s="14"/>
      <c r="X2450" s="14"/>
      <c r="Y2450" s="14"/>
    </row>
    <row r="2451" spans="1:25" ht="15.75" x14ac:dyDescent="0.25">
      <c r="A2451" s="21"/>
      <c r="B2451" s="21"/>
      <c r="C2451" s="21"/>
      <c r="E2451" s="21"/>
      <c r="F2451" s="21"/>
      <c r="G2451" s="14"/>
      <c r="H2451" s="14"/>
      <c r="I2451" s="14"/>
      <c r="J2451" s="14"/>
      <c r="K2451" s="14"/>
      <c r="L2451" s="14"/>
      <c r="M2451" s="14"/>
      <c r="N2451" s="14"/>
      <c r="O2451" s="14"/>
      <c r="P2451" s="14"/>
      <c r="Q2451" s="14"/>
      <c r="R2451" s="14"/>
      <c r="S2451" s="14"/>
      <c r="T2451" s="14"/>
      <c r="U2451" s="14"/>
      <c r="V2451" s="14"/>
      <c r="W2451" s="14"/>
      <c r="X2451" s="14"/>
      <c r="Y2451" s="14"/>
    </row>
    <row r="2452" spans="1:25" ht="15.75" x14ac:dyDescent="0.25">
      <c r="A2452" s="21"/>
      <c r="B2452" s="21"/>
      <c r="C2452" s="21"/>
      <c r="E2452" s="21"/>
      <c r="F2452" s="21"/>
      <c r="G2452" s="14"/>
      <c r="H2452" s="14"/>
      <c r="I2452" s="14"/>
      <c r="J2452" s="14"/>
      <c r="K2452" s="14"/>
      <c r="L2452" s="14"/>
      <c r="M2452" s="14"/>
      <c r="N2452" s="14"/>
      <c r="O2452" s="14"/>
      <c r="P2452" s="14"/>
      <c r="Q2452" s="14"/>
      <c r="R2452" s="14"/>
      <c r="S2452" s="14"/>
      <c r="T2452" s="14"/>
      <c r="U2452" s="14"/>
      <c r="V2452" s="14"/>
      <c r="W2452" s="14"/>
      <c r="X2452" s="14"/>
      <c r="Y2452" s="14"/>
    </row>
    <row r="2453" spans="1:25" ht="15.75" x14ac:dyDescent="0.25">
      <c r="A2453" s="21"/>
      <c r="B2453" s="21"/>
      <c r="C2453" s="21"/>
      <c r="E2453" s="21"/>
      <c r="F2453" s="21"/>
      <c r="G2453" s="14"/>
      <c r="H2453" s="14"/>
      <c r="I2453" s="14"/>
      <c r="J2453" s="14"/>
      <c r="K2453" s="14"/>
      <c r="L2453" s="14"/>
      <c r="M2453" s="14"/>
      <c r="N2453" s="14"/>
      <c r="O2453" s="14"/>
      <c r="P2453" s="14"/>
      <c r="Q2453" s="14"/>
      <c r="R2453" s="14"/>
      <c r="S2453" s="14"/>
      <c r="T2453" s="14"/>
      <c r="U2453" s="14"/>
      <c r="V2453" s="14"/>
      <c r="W2453" s="14"/>
      <c r="X2453" s="14"/>
      <c r="Y2453" s="14"/>
    </row>
    <row r="2454" spans="1:25" ht="15.75" x14ac:dyDescent="0.25">
      <c r="A2454" s="21"/>
      <c r="B2454" s="21"/>
      <c r="C2454" s="21"/>
      <c r="E2454" s="21"/>
      <c r="F2454" s="21"/>
      <c r="G2454" s="14"/>
      <c r="H2454" s="14"/>
      <c r="I2454" s="14"/>
      <c r="J2454" s="14"/>
      <c r="K2454" s="14"/>
      <c r="L2454" s="14"/>
      <c r="M2454" s="14"/>
      <c r="N2454" s="14"/>
      <c r="O2454" s="14"/>
      <c r="P2454" s="14"/>
      <c r="Q2454" s="14"/>
      <c r="R2454" s="14"/>
      <c r="S2454" s="14"/>
      <c r="T2454" s="14"/>
      <c r="U2454" s="14"/>
      <c r="V2454" s="14"/>
      <c r="W2454" s="14"/>
      <c r="X2454" s="14"/>
      <c r="Y2454" s="14"/>
    </row>
    <row r="2455" spans="1:25" ht="15.75" x14ac:dyDescent="0.25">
      <c r="A2455" s="21"/>
      <c r="B2455" s="21"/>
      <c r="C2455" s="21"/>
      <c r="E2455" s="21"/>
      <c r="F2455" s="21"/>
      <c r="G2455" s="14"/>
      <c r="H2455" s="14"/>
      <c r="I2455" s="14"/>
      <c r="J2455" s="14"/>
      <c r="K2455" s="14"/>
      <c r="L2455" s="14"/>
      <c r="M2455" s="14"/>
      <c r="N2455" s="14"/>
      <c r="O2455" s="14"/>
      <c r="P2455" s="14"/>
      <c r="Q2455" s="14"/>
      <c r="R2455" s="14"/>
      <c r="S2455" s="14"/>
      <c r="T2455" s="14"/>
      <c r="U2455" s="14"/>
      <c r="V2455" s="14"/>
      <c r="W2455" s="14"/>
      <c r="X2455" s="14"/>
      <c r="Y2455" s="14"/>
    </row>
    <row r="2456" spans="1:25" ht="15.75" x14ac:dyDescent="0.25">
      <c r="A2456" s="21"/>
      <c r="B2456" s="21"/>
      <c r="C2456" s="21"/>
      <c r="E2456" s="21"/>
      <c r="F2456" s="21"/>
      <c r="G2456" s="14"/>
      <c r="H2456" s="14"/>
      <c r="I2456" s="14"/>
      <c r="J2456" s="14"/>
      <c r="K2456" s="14"/>
      <c r="L2456" s="14"/>
      <c r="M2456" s="14"/>
      <c r="N2456" s="14"/>
      <c r="O2456" s="14"/>
      <c r="P2456" s="14"/>
      <c r="Q2456" s="14"/>
      <c r="R2456" s="14"/>
      <c r="S2456" s="14"/>
      <c r="T2456" s="14"/>
      <c r="U2456" s="14"/>
      <c r="V2456" s="14"/>
      <c r="W2456" s="14"/>
      <c r="X2456" s="14"/>
      <c r="Y2456" s="14"/>
    </row>
    <row r="2457" spans="1:25" ht="15.75" x14ac:dyDescent="0.25">
      <c r="A2457" s="21"/>
      <c r="B2457" s="21"/>
      <c r="C2457" s="21"/>
      <c r="E2457" s="21"/>
      <c r="F2457" s="21"/>
      <c r="G2457" s="14"/>
      <c r="H2457" s="14"/>
      <c r="I2457" s="14"/>
      <c r="J2457" s="14"/>
      <c r="K2457" s="14"/>
      <c r="L2457" s="14"/>
      <c r="M2457" s="14"/>
      <c r="N2457" s="14"/>
      <c r="O2457" s="14"/>
      <c r="P2457" s="14"/>
      <c r="Q2457" s="14"/>
      <c r="R2457" s="14"/>
      <c r="S2457" s="14"/>
      <c r="T2457" s="14"/>
      <c r="U2457" s="14"/>
      <c r="V2457" s="14"/>
      <c r="W2457" s="14"/>
      <c r="X2457" s="14"/>
      <c r="Y2457" s="14"/>
    </row>
    <row r="2458" spans="1:25" ht="15.75" x14ac:dyDescent="0.25">
      <c r="A2458" s="21"/>
      <c r="B2458" s="21"/>
      <c r="C2458" s="21"/>
      <c r="E2458" s="21"/>
      <c r="F2458" s="21"/>
      <c r="G2458" s="14"/>
      <c r="H2458" s="14"/>
      <c r="I2458" s="14"/>
      <c r="J2458" s="14"/>
      <c r="K2458" s="14"/>
      <c r="L2458" s="14"/>
      <c r="M2458" s="14"/>
      <c r="N2458" s="14"/>
      <c r="O2458" s="14"/>
      <c r="P2458" s="14"/>
      <c r="Q2458" s="14"/>
      <c r="R2458" s="14"/>
      <c r="S2458" s="14"/>
      <c r="T2458" s="14"/>
      <c r="U2458" s="14"/>
      <c r="V2458" s="14"/>
      <c r="W2458" s="14"/>
      <c r="X2458" s="14"/>
      <c r="Y2458" s="14"/>
    </row>
    <row r="2459" spans="1:25" ht="15.75" x14ac:dyDescent="0.25">
      <c r="A2459" s="21"/>
      <c r="B2459" s="21"/>
      <c r="C2459" s="21"/>
      <c r="E2459" s="21"/>
      <c r="F2459" s="21"/>
      <c r="G2459" s="14"/>
      <c r="H2459" s="14"/>
      <c r="I2459" s="14"/>
      <c r="J2459" s="14"/>
      <c r="K2459" s="14"/>
      <c r="L2459" s="14"/>
      <c r="M2459" s="14"/>
      <c r="N2459" s="14"/>
      <c r="O2459" s="14"/>
      <c r="P2459" s="14"/>
      <c r="Q2459" s="14"/>
      <c r="R2459" s="14"/>
      <c r="S2459" s="14"/>
      <c r="T2459" s="14"/>
      <c r="U2459" s="14"/>
      <c r="V2459" s="14"/>
      <c r="W2459" s="14"/>
      <c r="X2459" s="14"/>
      <c r="Y2459" s="14"/>
    </row>
    <row r="2460" spans="1:25" ht="15.75" x14ac:dyDescent="0.25">
      <c r="A2460" s="21"/>
      <c r="B2460" s="21"/>
      <c r="C2460" s="21"/>
      <c r="E2460" s="21"/>
      <c r="F2460" s="21"/>
      <c r="G2460" s="14"/>
      <c r="H2460" s="14"/>
      <c r="I2460" s="14"/>
      <c r="J2460" s="14"/>
      <c r="K2460" s="14"/>
      <c r="L2460" s="14"/>
      <c r="M2460" s="14"/>
      <c r="N2460" s="14"/>
      <c r="O2460" s="14"/>
      <c r="P2460" s="14"/>
      <c r="Q2460" s="14"/>
      <c r="R2460" s="14"/>
      <c r="S2460" s="14"/>
      <c r="T2460" s="14"/>
      <c r="U2460" s="14"/>
      <c r="V2460" s="14"/>
      <c r="W2460" s="14"/>
      <c r="X2460" s="14"/>
      <c r="Y2460" s="14"/>
    </row>
    <row r="2461" spans="1:25" ht="15.75" x14ac:dyDescent="0.25">
      <c r="A2461" s="21"/>
      <c r="B2461" s="21"/>
      <c r="C2461" s="21"/>
      <c r="E2461" s="21"/>
      <c r="F2461" s="21"/>
      <c r="G2461" s="14"/>
      <c r="H2461" s="14"/>
      <c r="I2461" s="14"/>
      <c r="J2461" s="14"/>
      <c r="K2461" s="14"/>
      <c r="L2461" s="14"/>
      <c r="M2461" s="14"/>
      <c r="N2461" s="14"/>
      <c r="O2461" s="14"/>
      <c r="P2461" s="14"/>
      <c r="Q2461" s="14"/>
      <c r="R2461" s="14"/>
      <c r="S2461" s="14"/>
      <c r="T2461" s="14"/>
      <c r="U2461" s="14"/>
      <c r="V2461" s="14"/>
      <c r="W2461" s="14"/>
      <c r="X2461" s="14"/>
      <c r="Y2461" s="14"/>
    </row>
    <row r="2462" spans="1:25" ht="15.75" x14ac:dyDescent="0.25">
      <c r="A2462" s="21"/>
      <c r="B2462" s="21"/>
      <c r="C2462" s="21"/>
      <c r="E2462" s="21"/>
      <c r="F2462" s="21"/>
      <c r="G2462" s="14"/>
      <c r="H2462" s="14"/>
      <c r="I2462" s="14"/>
      <c r="J2462" s="14"/>
      <c r="K2462" s="14"/>
      <c r="L2462" s="14"/>
      <c r="M2462" s="14"/>
      <c r="N2462" s="14"/>
      <c r="O2462" s="14"/>
      <c r="P2462" s="14"/>
      <c r="Q2462" s="14"/>
      <c r="R2462" s="14"/>
      <c r="S2462" s="14"/>
      <c r="T2462" s="14"/>
      <c r="U2462" s="14"/>
      <c r="V2462" s="14"/>
      <c r="W2462" s="14"/>
      <c r="X2462" s="14"/>
      <c r="Y2462" s="14"/>
    </row>
    <row r="2463" spans="1:25" ht="15.75" x14ac:dyDescent="0.25">
      <c r="A2463" s="21"/>
      <c r="B2463" s="21"/>
      <c r="C2463" s="21"/>
      <c r="E2463" s="21"/>
      <c r="F2463" s="21"/>
      <c r="G2463" s="14"/>
      <c r="H2463" s="14"/>
      <c r="I2463" s="14"/>
      <c r="J2463" s="14"/>
      <c r="K2463" s="14"/>
      <c r="L2463" s="14"/>
      <c r="M2463" s="14"/>
      <c r="N2463" s="14"/>
      <c r="O2463" s="14"/>
      <c r="P2463" s="14"/>
      <c r="Q2463" s="14"/>
      <c r="R2463" s="14"/>
      <c r="S2463" s="14"/>
      <c r="T2463" s="14"/>
      <c r="U2463" s="14"/>
      <c r="V2463" s="14"/>
      <c r="W2463" s="14"/>
      <c r="X2463" s="14"/>
      <c r="Y2463" s="14"/>
    </row>
    <row r="2464" spans="1:25" ht="15.75" x14ac:dyDescent="0.25">
      <c r="A2464" s="21"/>
      <c r="B2464" s="21"/>
      <c r="C2464" s="21"/>
      <c r="E2464" s="21"/>
      <c r="F2464" s="21"/>
      <c r="G2464" s="14"/>
      <c r="H2464" s="14"/>
      <c r="I2464" s="14"/>
      <c r="J2464" s="14"/>
      <c r="K2464" s="14"/>
      <c r="L2464" s="14"/>
      <c r="M2464" s="14"/>
      <c r="N2464" s="14"/>
      <c r="O2464" s="14"/>
      <c r="P2464" s="14"/>
      <c r="Q2464" s="14"/>
      <c r="R2464" s="14"/>
      <c r="S2464" s="14"/>
      <c r="T2464" s="14"/>
      <c r="U2464" s="14"/>
      <c r="V2464" s="14"/>
      <c r="W2464" s="14"/>
      <c r="X2464" s="14"/>
      <c r="Y2464" s="14"/>
    </row>
    <row r="2465" spans="1:25" ht="15.75" x14ac:dyDescent="0.25">
      <c r="A2465" s="21"/>
      <c r="B2465" s="21"/>
      <c r="C2465" s="21"/>
      <c r="E2465" s="21"/>
      <c r="F2465" s="21"/>
      <c r="G2465" s="14"/>
      <c r="H2465" s="14"/>
      <c r="I2465" s="14"/>
      <c r="J2465" s="14"/>
      <c r="K2465" s="14"/>
      <c r="L2465" s="14"/>
      <c r="M2465" s="14"/>
      <c r="N2465" s="14"/>
      <c r="O2465" s="14"/>
      <c r="P2465" s="14"/>
      <c r="Q2465" s="14"/>
      <c r="R2465" s="14"/>
      <c r="S2465" s="14"/>
      <c r="T2465" s="14"/>
      <c r="U2465" s="14"/>
      <c r="V2465" s="14"/>
      <c r="W2465" s="14"/>
      <c r="X2465" s="14"/>
      <c r="Y2465" s="14"/>
    </row>
    <row r="2466" spans="1:25" ht="15.75" x14ac:dyDescent="0.25">
      <c r="A2466" s="21"/>
      <c r="B2466" s="21"/>
      <c r="C2466" s="21"/>
      <c r="E2466" s="21"/>
      <c r="F2466" s="21"/>
      <c r="G2466" s="14"/>
      <c r="H2466" s="14"/>
      <c r="I2466" s="14"/>
      <c r="J2466" s="14"/>
      <c r="K2466" s="14"/>
      <c r="L2466" s="14"/>
      <c r="M2466" s="14"/>
      <c r="N2466" s="14"/>
      <c r="O2466" s="14"/>
      <c r="P2466" s="14"/>
      <c r="Q2466" s="14"/>
      <c r="R2466" s="14"/>
      <c r="S2466" s="14"/>
      <c r="T2466" s="14"/>
      <c r="U2466" s="14"/>
      <c r="V2466" s="14"/>
      <c r="W2466" s="14"/>
      <c r="X2466" s="14"/>
      <c r="Y2466" s="14"/>
    </row>
    <row r="2467" spans="1:25" ht="15.75" x14ac:dyDescent="0.25">
      <c r="A2467" s="21"/>
      <c r="B2467" s="21"/>
      <c r="C2467" s="21"/>
      <c r="E2467" s="21"/>
      <c r="F2467" s="21"/>
      <c r="G2467" s="14"/>
      <c r="H2467" s="14"/>
      <c r="I2467" s="14"/>
      <c r="J2467" s="14"/>
      <c r="K2467" s="14"/>
      <c r="L2467" s="14"/>
      <c r="M2467" s="14"/>
      <c r="N2467" s="14"/>
      <c r="O2467" s="14"/>
      <c r="P2467" s="14"/>
      <c r="Q2467" s="14"/>
      <c r="R2467" s="14"/>
      <c r="S2467" s="14"/>
      <c r="T2467" s="14"/>
      <c r="U2467" s="14"/>
      <c r="V2467" s="14"/>
      <c r="W2467" s="14"/>
      <c r="X2467" s="14"/>
      <c r="Y2467" s="14"/>
    </row>
    <row r="2468" spans="1:25" ht="15.75" x14ac:dyDescent="0.25">
      <c r="A2468" s="21"/>
      <c r="B2468" s="21"/>
      <c r="C2468" s="21"/>
      <c r="E2468" s="21"/>
      <c r="F2468" s="21"/>
      <c r="G2468" s="14"/>
      <c r="H2468" s="14"/>
      <c r="I2468" s="14"/>
      <c r="J2468" s="14"/>
      <c r="K2468" s="14"/>
      <c r="L2468" s="14"/>
      <c r="M2468" s="14"/>
      <c r="N2468" s="14"/>
      <c r="O2468" s="14"/>
      <c r="P2468" s="14"/>
      <c r="Q2468" s="14"/>
      <c r="R2468" s="14"/>
      <c r="S2468" s="14"/>
      <c r="T2468" s="14"/>
      <c r="U2468" s="14"/>
      <c r="V2468" s="14"/>
      <c r="W2468" s="14"/>
      <c r="X2468" s="14"/>
      <c r="Y2468" s="14"/>
    </row>
    <row r="2469" spans="1:25" ht="15.75" x14ac:dyDescent="0.25">
      <c r="A2469" s="21"/>
      <c r="B2469" s="21"/>
      <c r="C2469" s="21"/>
      <c r="E2469" s="21"/>
      <c r="F2469" s="21"/>
      <c r="G2469" s="14"/>
      <c r="H2469" s="14"/>
      <c r="I2469" s="14"/>
      <c r="J2469" s="14"/>
      <c r="K2469" s="14"/>
      <c r="L2469" s="14"/>
      <c r="M2469" s="14"/>
      <c r="N2469" s="14"/>
      <c r="O2469" s="14"/>
      <c r="P2469" s="14"/>
      <c r="Q2469" s="14"/>
      <c r="R2469" s="14"/>
      <c r="S2469" s="14"/>
      <c r="T2469" s="14"/>
      <c r="U2469" s="14"/>
      <c r="V2469" s="14"/>
      <c r="W2469" s="14"/>
      <c r="X2469" s="14"/>
      <c r="Y2469" s="14"/>
    </row>
    <row r="2470" spans="1:25" ht="15.75" x14ac:dyDescent="0.25">
      <c r="A2470" s="21"/>
      <c r="B2470" s="21"/>
      <c r="C2470" s="21"/>
      <c r="E2470" s="21"/>
      <c r="F2470" s="21"/>
      <c r="G2470" s="14"/>
      <c r="H2470" s="14"/>
      <c r="I2470" s="14"/>
      <c r="J2470" s="14"/>
      <c r="K2470" s="14"/>
      <c r="L2470" s="14"/>
      <c r="M2470" s="14"/>
      <c r="N2470" s="14"/>
      <c r="O2470" s="14"/>
      <c r="P2470" s="14"/>
      <c r="Q2470" s="14"/>
      <c r="R2470" s="14"/>
      <c r="S2470" s="14"/>
      <c r="T2470" s="14"/>
      <c r="U2470" s="14"/>
      <c r="V2470" s="14"/>
      <c r="W2470" s="14"/>
      <c r="X2470" s="14"/>
      <c r="Y2470" s="14"/>
    </row>
    <row r="2471" spans="1:25" ht="15.75" x14ac:dyDescent="0.25">
      <c r="A2471" s="21"/>
      <c r="B2471" s="21"/>
      <c r="C2471" s="21"/>
      <c r="E2471" s="21"/>
      <c r="F2471" s="21"/>
      <c r="G2471" s="14"/>
      <c r="H2471" s="14"/>
      <c r="I2471" s="14"/>
      <c r="J2471" s="14"/>
      <c r="K2471" s="14"/>
      <c r="L2471" s="14"/>
      <c r="M2471" s="14"/>
      <c r="N2471" s="14"/>
      <c r="O2471" s="14"/>
      <c r="P2471" s="14"/>
      <c r="Q2471" s="14"/>
      <c r="R2471" s="14"/>
      <c r="S2471" s="14"/>
      <c r="T2471" s="14"/>
      <c r="U2471" s="14"/>
      <c r="V2471" s="14"/>
      <c r="W2471" s="14"/>
      <c r="X2471" s="14"/>
      <c r="Y2471" s="14"/>
    </row>
    <row r="2472" spans="1:25" ht="15.75" x14ac:dyDescent="0.25">
      <c r="A2472" s="21"/>
      <c r="B2472" s="21"/>
      <c r="C2472" s="21"/>
      <c r="E2472" s="21"/>
      <c r="F2472" s="21"/>
      <c r="G2472" s="14"/>
      <c r="H2472" s="14"/>
      <c r="I2472" s="14"/>
      <c r="J2472" s="14"/>
      <c r="K2472" s="14"/>
      <c r="L2472" s="14"/>
      <c r="M2472" s="14"/>
      <c r="N2472" s="14"/>
      <c r="O2472" s="14"/>
      <c r="P2472" s="14"/>
      <c r="Q2472" s="14"/>
      <c r="R2472" s="14"/>
      <c r="S2472" s="14"/>
      <c r="T2472" s="14"/>
      <c r="U2472" s="14"/>
      <c r="V2472" s="14"/>
      <c r="W2472" s="14"/>
      <c r="X2472" s="14"/>
      <c r="Y2472" s="14"/>
    </row>
    <row r="2473" spans="1:25" ht="15.75" x14ac:dyDescent="0.25">
      <c r="A2473" s="21"/>
      <c r="B2473" s="21"/>
      <c r="C2473" s="21"/>
      <c r="E2473" s="21"/>
      <c r="F2473" s="21"/>
      <c r="G2473" s="14"/>
      <c r="H2473" s="14"/>
      <c r="I2473" s="14"/>
      <c r="J2473" s="14"/>
      <c r="K2473" s="14"/>
      <c r="L2473" s="14"/>
      <c r="M2473" s="14"/>
      <c r="N2473" s="14"/>
      <c r="O2473" s="14"/>
      <c r="P2473" s="14"/>
      <c r="Q2473" s="14"/>
      <c r="R2473" s="14"/>
      <c r="S2473" s="14"/>
      <c r="T2473" s="14"/>
      <c r="U2473" s="14"/>
      <c r="V2473" s="14"/>
      <c r="W2473" s="14"/>
      <c r="X2473" s="14"/>
      <c r="Y2473" s="14"/>
    </row>
    <row r="2474" spans="1:25" ht="15.75" x14ac:dyDescent="0.25">
      <c r="A2474" s="21"/>
      <c r="B2474" s="21"/>
      <c r="C2474" s="21"/>
      <c r="E2474" s="21"/>
      <c r="F2474" s="21"/>
      <c r="G2474" s="14"/>
      <c r="H2474" s="14"/>
      <c r="I2474" s="14"/>
      <c r="J2474" s="14"/>
      <c r="K2474" s="14"/>
      <c r="L2474" s="14"/>
      <c r="M2474" s="14"/>
      <c r="N2474" s="14"/>
      <c r="O2474" s="14"/>
      <c r="P2474" s="14"/>
      <c r="Q2474" s="14"/>
      <c r="R2474" s="14"/>
      <c r="S2474" s="14"/>
      <c r="T2474" s="14"/>
      <c r="U2474" s="14"/>
      <c r="V2474" s="14"/>
      <c r="W2474" s="14"/>
      <c r="X2474" s="14"/>
      <c r="Y2474" s="14"/>
    </row>
    <row r="2475" spans="1:25" ht="15.75" x14ac:dyDescent="0.25">
      <c r="A2475" s="21"/>
      <c r="B2475" s="21"/>
      <c r="C2475" s="21"/>
      <c r="E2475" s="21"/>
      <c r="F2475" s="21"/>
      <c r="G2475" s="14"/>
      <c r="H2475" s="14"/>
      <c r="I2475" s="14"/>
      <c r="J2475" s="14"/>
      <c r="K2475" s="14"/>
      <c r="L2475" s="14"/>
      <c r="M2475" s="14"/>
      <c r="N2475" s="14"/>
      <c r="O2475" s="14"/>
      <c r="P2475" s="14"/>
      <c r="Q2475" s="14"/>
      <c r="R2475" s="14"/>
      <c r="S2475" s="14"/>
      <c r="T2475" s="14"/>
      <c r="U2475" s="14"/>
      <c r="V2475" s="14"/>
      <c r="W2475" s="14"/>
      <c r="X2475" s="14"/>
      <c r="Y2475" s="14"/>
    </row>
    <row r="2476" spans="1:25" ht="15.75" x14ac:dyDescent="0.25">
      <c r="A2476" s="21"/>
      <c r="B2476" s="21"/>
      <c r="C2476" s="21"/>
      <c r="E2476" s="21"/>
      <c r="F2476" s="21"/>
      <c r="G2476" s="14"/>
      <c r="H2476" s="14"/>
      <c r="I2476" s="14"/>
      <c r="J2476" s="14"/>
      <c r="K2476" s="14"/>
      <c r="L2476" s="14"/>
      <c r="M2476" s="14"/>
      <c r="N2476" s="14"/>
      <c r="O2476" s="14"/>
      <c r="P2476" s="14"/>
      <c r="Q2476" s="14"/>
      <c r="R2476" s="14"/>
      <c r="S2476" s="14"/>
      <c r="T2476" s="14"/>
      <c r="U2476" s="14"/>
      <c r="V2476" s="14"/>
      <c r="W2476" s="14"/>
      <c r="X2476" s="14"/>
      <c r="Y2476" s="14"/>
    </row>
    <row r="2477" spans="1:25" ht="15.75" x14ac:dyDescent="0.25">
      <c r="A2477" s="21"/>
      <c r="B2477" s="21"/>
      <c r="C2477" s="21"/>
      <c r="E2477" s="21"/>
      <c r="F2477" s="21"/>
      <c r="G2477" s="14"/>
      <c r="H2477" s="14"/>
      <c r="I2477" s="14"/>
      <c r="J2477" s="14"/>
      <c r="K2477" s="14"/>
      <c r="L2477" s="14"/>
      <c r="M2477" s="14"/>
      <c r="N2477" s="14"/>
      <c r="O2477" s="14"/>
      <c r="P2477" s="14"/>
      <c r="Q2477" s="14"/>
      <c r="R2477" s="14"/>
      <c r="S2477" s="14"/>
      <c r="T2477" s="14"/>
      <c r="U2477" s="14"/>
      <c r="V2477" s="14"/>
      <c r="W2477" s="14"/>
      <c r="X2477" s="14"/>
      <c r="Y2477" s="14"/>
    </row>
    <row r="2478" spans="1:25" ht="15.75" x14ac:dyDescent="0.25">
      <c r="A2478" s="21"/>
      <c r="B2478" s="21"/>
      <c r="C2478" s="21"/>
      <c r="E2478" s="21"/>
      <c r="F2478" s="21"/>
      <c r="G2478" s="14"/>
      <c r="H2478" s="14"/>
      <c r="I2478" s="14"/>
      <c r="J2478" s="14"/>
      <c r="K2478" s="14"/>
      <c r="L2478" s="14"/>
      <c r="M2478" s="14"/>
      <c r="N2478" s="14"/>
      <c r="O2478" s="14"/>
      <c r="P2478" s="14"/>
      <c r="Q2478" s="14"/>
      <c r="R2478" s="14"/>
      <c r="S2478" s="14"/>
      <c r="T2478" s="14"/>
      <c r="U2478" s="14"/>
      <c r="V2478" s="14"/>
      <c r="W2478" s="14"/>
      <c r="X2478" s="14"/>
      <c r="Y2478" s="14"/>
    </row>
    <row r="2479" spans="1:25" ht="15.75" x14ac:dyDescent="0.25">
      <c r="A2479" s="21"/>
      <c r="B2479" s="21"/>
      <c r="C2479" s="21"/>
      <c r="E2479" s="21"/>
      <c r="F2479" s="21"/>
      <c r="G2479" s="14"/>
      <c r="H2479" s="14"/>
      <c r="I2479" s="14"/>
      <c r="J2479" s="14"/>
      <c r="K2479" s="14"/>
      <c r="L2479" s="14"/>
      <c r="M2479" s="14"/>
      <c r="N2479" s="14"/>
      <c r="O2479" s="14"/>
      <c r="P2479" s="14"/>
      <c r="Q2479" s="14"/>
      <c r="R2479" s="14"/>
      <c r="S2479" s="14"/>
      <c r="T2479" s="14"/>
      <c r="U2479" s="14"/>
      <c r="V2479" s="14"/>
      <c r="W2479" s="14"/>
      <c r="X2479" s="14"/>
      <c r="Y2479" s="14"/>
    </row>
    <row r="2480" spans="1:25" ht="15.75" x14ac:dyDescent="0.25">
      <c r="A2480" s="21"/>
      <c r="B2480" s="21"/>
      <c r="C2480" s="21"/>
      <c r="E2480" s="21"/>
      <c r="F2480" s="21"/>
      <c r="G2480" s="14"/>
      <c r="H2480" s="14"/>
      <c r="I2480" s="14"/>
      <c r="J2480" s="14"/>
      <c r="K2480" s="14"/>
      <c r="L2480" s="14"/>
      <c r="M2480" s="14"/>
      <c r="N2480" s="14"/>
      <c r="O2480" s="14"/>
      <c r="P2480" s="14"/>
      <c r="Q2480" s="14"/>
      <c r="R2480" s="14"/>
      <c r="S2480" s="14"/>
      <c r="T2480" s="14"/>
      <c r="U2480" s="14"/>
      <c r="V2480" s="14"/>
      <c r="W2480" s="14"/>
      <c r="X2480" s="14"/>
      <c r="Y2480" s="14"/>
    </row>
    <row r="2481" spans="1:25" ht="15.75" x14ac:dyDescent="0.25">
      <c r="A2481" s="21"/>
      <c r="B2481" s="21"/>
      <c r="C2481" s="21"/>
      <c r="E2481" s="21"/>
      <c r="F2481" s="21"/>
      <c r="G2481" s="14"/>
      <c r="H2481" s="14"/>
      <c r="I2481" s="14"/>
      <c r="J2481" s="14"/>
      <c r="K2481" s="14"/>
      <c r="L2481" s="14"/>
      <c r="M2481" s="14"/>
      <c r="N2481" s="14"/>
      <c r="O2481" s="14"/>
      <c r="P2481" s="14"/>
      <c r="Q2481" s="14"/>
      <c r="R2481" s="14"/>
      <c r="S2481" s="14"/>
      <c r="T2481" s="14"/>
      <c r="U2481" s="14"/>
      <c r="V2481" s="14"/>
      <c r="W2481" s="14"/>
      <c r="X2481" s="14"/>
      <c r="Y2481" s="14"/>
    </row>
    <row r="2482" spans="1:25" ht="15.75" x14ac:dyDescent="0.25">
      <c r="A2482" s="21"/>
      <c r="B2482" s="21"/>
      <c r="C2482" s="21"/>
      <c r="E2482" s="21"/>
      <c r="F2482" s="21"/>
      <c r="G2482" s="14"/>
      <c r="H2482" s="14"/>
      <c r="I2482" s="14"/>
      <c r="J2482" s="14"/>
      <c r="K2482" s="14"/>
      <c r="L2482" s="14"/>
      <c r="M2482" s="14"/>
      <c r="N2482" s="14"/>
      <c r="O2482" s="14"/>
      <c r="P2482" s="14"/>
      <c r="Q2482" s="14"/>
      <c r="R2482" s="14"/>
      <c r="S2482" s="14"/>
      <c r="T2482" s="14"/>
      <c r="U2482" s="14"/>
      <c r="V2482" s="14"/>
      <c r="W2482" s="14"/>
      <c r="X2482" s="14"/>
      <c r="Y2482" s="14"/>
    </row>
    <row r="2483" spans="1:25" ht="15.75" x14ac:dyDescent="0.25">
      <c r="A2483" s="21"/>
      <c r="B2483" s="21"/>
      <c r="C2483" s="21"/>
      <c r="E2483" s="21"/>
      <c r="F2483" s="21"/>
      <c r="G2483" s="14"/>
      <c r="H2483" s="14"/>
      <c r="I2483" s="14"/>
      <c r="J2483" s="14"/>
      <c r="K2483" s="14"/>
      <c r="L2483" s="14"/>
      <c r="M2483" s="14"/>
      <c r="N2483" s="14"/>
      <c r="O2483" s="14"/>
      <c r="P2483" s="14"/>
      <c r="Q2483" s="14"/>
      <c r="R2483" s="14"/>
      <c r="S2483" s="14"/>
      <c r="T2483" s="14"/>
      <c r="U2483" s="14"/>
      <c r="V2483" s="14"/>
      <c r="W2483" s="14"/>
      <c r="X2483" s="14"/>
      <c r="Y2483" s="14"/>
    </row>
    <row r="2484" spans="1:25" ht="15.75" x14ac:dyDescent="0.25">
      <c r="A2484" s="21"/>
      <c r="B2484" s="21"/>
      <c r="C2484" s="21"/>
      <c r="E2484" s="21"/>
      <c r="F2484" s="21"/>
      <c r="G2484" s="14"/>
      <c r="H2484" s="14"/>
      <c r="I2484" s="14"/>
      <c r="J2484" s="14"/>
      <c r="K2484" s="14"/>
      <c r="L2484" s="14"/>
      <c r="M2484" s="14"/>
      <c r="N2484" s="14"/>
      <c r="O2484" s="14"/>
      <c r="P2484" s="14"/>
      <c r="Q2484" s="14"/>
      <c r="R2484" s="14"/>
      <c r="S2484" s="14"/>
      <c r="T2484" s="14"/>
      <c r="U2484" s="14"/>
      <c r="V2484" s="14"/>
      <c r="W2484" s="14"/>
      <c r="X2484" s="14"/>
      <c r="Y2484" s="14"/>
    </row>
    <row r="2485" spans="1:25" ht="15.75" x14ac:dyDescent="0.25">
      <c r="A2485" s="21"/>
      <c r="B2485" s="21"/>
      <c r="C2485" s="21"/>
      <c r="E2485" s="21"/>
      <c r="F2485" s="21"/>
      <c r="G2485" s="14"/>
      <c r="H2485" s="14"/>
      <c r="I2485" s="14"/>
      <c r="J2485" s="14"/>
      <c r="K2485" s="14"/>
      <c r="L2485" s="14"/>
      <c r="M2485" s="14"/>
      <c r="N2485" s="14"/>
      <c r="O2485" s="14"/>
      <c r="P2485" s="14"/>
      <c r="Q2485" s="14"/>
      <c r="R2485" s="14"/>
      <c r="S2485" s="14"/>
      <c r="T2485" s="14"/>
      <c r="U2485" s="14"/>
      <c r="V2485" s="14"/>
      <c r="W2485" s="14"/>
      <c r="X2485" s="14"/>
      <c r="Y2485" s="14"/>
    </row>
    <row r="2486" spans="1:25" ht="15.75" x14ac:dyDescent="0.25">
      <c r="A2486" s="21"/>
      <c r="B2486" s="21"/>
      <c r="C2486" s="21"/>
      <c r="E2486" s="21"/>
      <c r="F2486" s="21"/>
      <c r="G2486" s="14"/>
      <c r="H2486" s="14"/>
      <c r="I2486" s="14"/>
      <c r="J2486" s="14"/>
      <c r="K2486" s="14"/>
      <c r="L2486" s="14"/>
      <c r="M2486" s="14"/>
      <c r="N2486" s="14"/>
      <c r="O2486" s="14"/>
      <c r="P2486" s="14"/>
      <c r="Q2486" s="14"/>
      <c r="R2486" s="14"/>
      <c r="S2486" s="14"/>
      <c r="T2486" s="14"/>
      <c r="U2486" s="14"/>
      <c r="V2486" s="14"/>
      <c r="W2486" s="14"/>
      <c r="X2486" s="14"/>
      <c r="Y2486" s="14"/>
    </row>
    <row r="2487" spans="1:25" ht="15.75" x14ac:dyDescent="0.25">
      <c r="A2487" s="21"/>
      <c r="B2487" s="21"/>
      <c r="C2487" s="21"/>
      <c r="E2487" s="21"/>
      <c r="F2487" s="21"/>
      <c r="G2487" s="14"/>
      <c r="H2487" s="14"/>
      <c r="I2487" s="14"/>
      <c r="J2487" s="14"/>
      <c r="K2487" s="14"/>
      <c r="L2487" s="14"/>
      <c r="M2487" s="14"/>
      <c r="N2487" s="14"/>
      <c r="O2487" s="14"/>
      <c r="P2487" s="14"/>
      <c r="Q2487" s="14"/>
      <c r="R2487" s="14"/>
      <c r="S2487" s="14"/>
      <c r="T2487" s="14"/>
      <c r="U2487" s="14"/>
      <c r="V2487" s="14"/>
      <c r="W2487" s="14"/>
      <c r="X2487" s="14"/>
      <c r="Y2487" s="14"/>
    </row>
    <row r="2488" spans="1:25" ht="15.75" x14ac:dyDescent="0.25">
      <c r="A2488" s="21"/>
      <c r="B2488" s="21"/>
      <c r="C2488" s="21"/>
      <c r="E2488" s="21"/>
      <c r="F2488" s="21"/>
      <c r="G2488" s="14"/>
      <c r="H2488" s="14"/>
      <c r="I2488" s="14"/>
      <c r="J2488" s="14"/>
      <c r="K2488" s="14"/>
      <c r="L2488" s="14"/>
      <c r="M2488" s="14"/>
      <c r="N2488" s="14"/>
      <c r="O2488" s="14"/>
      <c r="P2488" s="14"/>
      <c r="Q2488" s="14"/>
      <c r="R2488" s="14"/>
      <c r="S2488" s="14"/>
      <c r="T2488" s="14"/>
      <c r="U2488" s="14"/>
      <c r="V2488" s="14"/>
      <c r="W2488" s="14"/>
      <c r="X2488" s="14"/>
      <c r="Y2488" s="14"/>
    </row>
    <row r="2489" spans="1:25" ht="15.75" x14ac:dyDescent="0.25">
      <c r="A2489" s="21"/>
      <c r="B2489" s="21"/>
      <c r="C2489" s="21"/>
      <c r="E2489" s="21"/>
      <c r="F2489" s="21"/>
      <c r="G2489" s="14"/>
      <c r="H2489" s="14"/>
      <c r="I2489" s="14"/>
      <c r="J2489" s="14"/>
      <c r="K2489" s="14"/>
      <c r="L2489" s="14"/>
      <c r="M2489" s="14"/>
      <c r="N2489" s="14"/>
      <c r="O2489" s="14"/>
      <c r="P2489" s="14"/>
      <c r="Q2489" s="14"/>
      <c r="R2489" s="14"/>
      <c r="S2489" s="14"/>
      <c r="T2489" s="14"/>
      <c r="U2489" s="14"/>
      <c r="V2489" s="14"/>
      <c r="W2489" s="14"/>
      <c r="X2489" s="14"/>
      <c r="Y2489" s="14"/>
    </row>
    <row r="2490" spans="1:25" ht="15.75" x14ac:dyDescent="0.25">
      <c r="A2490" s="21"/>
      <c r="B2490" s="21"/>
      <c r="C2490" s="21"/>
      <c r="E2490" s="21"/>
      <c r="F2490" s="21"/>
      <c r="G2490" s="14"/>
      <c r="H2490" s="14"/>
      <c r="I2490" s="14"/>
      <c r="J2490" s="14"/>
      <c r="K2490" s="14"/>
      <c r="L2490" s="14"/>
      <c r="M2490" s="14"/>
      <c r="N2490" s="14"/>
      <c r="O2490" s="14"/>
      <c r="P2490" s="14"/>
      <c r="Q2490" s="14"/>
      <c r="R2490" s="14"/>
      <c r="S2490" s="14"/>
      <c r="T2490" s="14"/>
      <c r="U2490" s="14"/>
      <c r="V2490" s="14"/>
      <c r="W2490" s="14"/>
      <c r="X2490" s="14"/>
      <c r="Y2490" s="14"/>
    </row>
    <row r="2491" spans="1:25" ht="15.75" x14ac:dyDescent="0.25">
      <c r="A2491" s="21"/>
      <c r="B2491" s="21"/>
      <c r="C2491" s="21"/>
      <c r="E2491" s="21"/>
      <c r="F2491" s="21"/>
      <c r="G2491" s="14"/>
      <c r="H2491" s="14"/>
      <c r="I2491" s="14"/>
      <c r="J2491" s="14"/>
      <c r="K2491" s="14"/>
      <c r="L2491" s="14"/>
      <c r="M2491" s="14"/>
      <c r="N2491" s="14"/>
      <c r="O2491" s="14"/>
      <c r="P2491" s="14"/>
      <c r="Q2491" s="14"/>
      <c r="R2491" s="14"/>
      <c r="S2491" s="14"/>
      <c r="T2491" s="14"/>
      <c r="U2491" s="14"/>
      <c r="V2491" s="14"/>
      <c r="W2491" s="14"/>
      <c r="X2491" s="14"/>
      <c r="Y2491" s="14"/>
    </row>
    <row r="2492" spans="1:25" ht="15.75" x14ac:dyDescent="0.25">
      <c r="A2492" s="21"/>
      <c r="B2492" s="21"/>
      <c r="C2492" s="21"/>
      <c r="E2492" s="21"/>
      <c r="F2492" s="21"/>
      <c r="G2492" s="14"/>
      <c r="H2492" s="14"/>
      <c r="I2492" s="14"/>
      <c r="J2492" s="14"/>
      <c r="K2492" s="14"/>
      <c r="L2492" s="14"/>
      <c r="M2492" s="14"/>
      <c r="N2492" s="14"/>
      <c r="O2492" s="14"/>
      <c r="P2492" s="14"/>
      <c r="Q2492" s="14"/>
      <c r="R2492" s="14"/>
      <c r="S2492" s="14"/>
      <c r="T2492" s="14"/>
      <c r="U2492" s="14"/>
      <c r="V2492" s="14"/>
      <c r="W2492" s="14"/>
      <c r="X2492" s="14"/>
      <c r="Y2492" s="14"/>
    </row>
    <row r="2493" spans="1:25" ht="15.75" x14ac:dyDescent="0.25">
      <c r="A2493" s="21"/>
      <c r="B2493" s="21"/>
      <c r="C2493" s="21"/>
      <c r="E2493" s="21"/>
      <c r="F2493" s="21"/>
      <c r="G2493" s="14"/>
      <c r="H2493" s="14"/>
      <c r="I2493" s="14"/>
      <c r="J2493" s="14"/>
      <c r="K2493" s="14"/>
      <c r="L2493" s="14"/>
      <c r="M2493" s="14"/>
      <c r="N2493" s="14"/>
      <c r="O2493" s="14"/>
      <c r="P2493" s="14"/>
      <c r="Q2493" s="14"/>
      <c r="R2493" s="14"/>
      <c r="S2493" s="14"/>
      <c r="T2493" s="14"/>
      <c r="U2493" s="14"/>
      <c r="V2493" s="14"/>
      <c r="W2493" s="14"/>
      <c r="X2493" s="14"/>
      <c r="Y2493" s="14"/>
    </row>
    <row r="2494" spans="1:25" ht="15.75" x14ac:dyDescent="0.25">
      <c r="A2494" s="21"/>
      <c r="B2494" s="21"/>
      <c r="C2494" s="21"/>
      <c r="E2494" s="21"/>
      <c r="F2494" s="21"/>
      <c r="G2494" s="14"/>
      <c r="H2494" s="14"/>
      <c r="I2494" s="14"/>
      <c r="J2494" s="14"/>
      <c r="K2494" s="14"/>
      <c r="L2494" s="14"/>
      <c r="M2494" s="14"/>
      <c r="N2494" s="14"/>
      <c r="O2494" s="14"/>
      <c r="P2494" s="14"/>
      <c r="Q2494" s="14"/>
      <c r="R2494" s="14"/>
      <c r="S2494" s="14"/>
      <c r="T2494" s="14"/>
      <c r="U2494" s="14"/>
      <c r="V2494" s="14"/>
      <c r="W2494" s="14"/>
      <c r="X2494" s="14"/>
      <c r="Y2494" s="14"/>
    </row>
    <row r="2495" spans="1:25" ht="15.75" x14ac:dyDescent="0.25">
      <c r="A2495" s="21"/>
      <c r="B2495" s="21"/>
      <c r="C2495" s="21"/>
      <c r="E2495" s="21"/>
      <c r="F2495" s="21"/>
      <c r="G2495" s="14"/>
      <c r="H2495" s="14"/>
      <c r="I2495" s="14"/>
      <c r="J2495" s="14"/>
      <c r="K2495" s="14"/>
      <c r="L2495" s="14"/>
      <c r="M2495" s="14"/>
      <c r="N2495" s="14"/>
      <c r="O2495" s="14"/>
      <c r="P2495" s="14"/>
      <c r="Q2495" s="14"/>
      <c r="R2495" s="14"/>
      <c r="S2495" s="14"/>
      <c r="T2495" s="14"/>
      <c r="U2495" s="14"/>
      <c r="V2495" s="14"/>
      <c r="W2495" s="14"/>
      <c r="X2495" s="14"/>
      <c r="Y2495" s="14"/>
    </row>
    <row r="2496" spans="1:25" ht="15.75" x14ac:dyDescent="0.25">
      <c r="A2496" s="21"/>
      <c r="B2496" s="21"/>
      <c r="C2496" s="21"/>
      <c r="E2496" s="21"/>
      <c r="F2496" s="21"/>
      <c r="G2496" s="14"/>
      <c r="H2496" s="14"/>
      <c r="I2496" s="14"/>
      <c r="J2496" s="14"/>
      <c r="K2496" s="14"/>
      <c r="L2496" s="14"/>
      <c r="M2496" s="14"/>
      <c r="N2496" s="14"/>
      <c r="O2496" s="14"/>
      <c r="P2496" s="14"/>
      <c r="Q2496" s="14"/>
      <c r="R2496" s="14"/>
      <c r="S2496" s="14"/>
      <c r="T2496" s="14"/>
      <c r="U2496" s="14"/>
      <c r="V2496" s="14"/>
      <c r="W2496" s="14"/>
      <c r="X2496" s="14"/>
      <c r="Y2496" s="14"/>
    </row>
    <row r="2497" spans="1:25" ht="15.75" x14ac:dyDescent="0.25">
      <c r="A2497" s="21"/>
      <c r="B2497" s="21"/>
      <c r="C2497" s="21"/>
      <c r="E2497" s="21"/>
      <c r="F2497" s="21"/>
      <c r="G2497" s="14"/>
      <c r="H2497" s="14"/>
      <c r="I2497" s="14"/>
      <c r="J2497" s="14"/>
      <c r="K2497" s="14"/>
      <c r="L2497" s="14"/>
      <c r="M2497" s="14"/>
      <c r="N2497" s="14"/>
      <c r="O2497" s="14"/>
      <c r="P2497" s="14"/>
      <c r="Q2497" s="14"/>
      <c r="R2497" s="14"/>
      <c r="S2497" s="14"/>
      <c r="T2497" s="14"/>
      <c r="U2497" s="14"/>
      <c r="V2497" s="14"/>
      <c r="W2497" s="14"/>
      <c r="X2497" s="14"/>
      <c r="Y2497" s="14"/>
    </row>
    <row r="2498" spans="1:25" ht="15.75" x14ac:dyDescent="0.25">
      <c r="A2498" s="21"/>
      <c r="B2498" s="21"/>
      <c r="C2498" s="21"/>
      <c r="E2498" s="21"/>
      <c r="F2498" s="21"/>
      <c r="G2498" s="14"/>
      <c r="H2498" s="14"/>
      <c r="I2498" s="14"/>
      <c r="J2498" s="14"/>
      <c r="K2498" s="14"/>
      <c r="L2498" s="14"/>
      <c r="M2498" s="14"/>
      <c r="N2498" s="14"/>
      <c r="O2498" s="14"/>
      <c r="P2498" s="14"/>
      <c r="Q2498" s="14"/>
      <c r="R2498" s="14"/>
      <c r="S2498" s="14"/>
      <c r="T2498" s="14"/>
      <c r="U2498" s="14"/>
      <c r="V2498" s="14"/>
      <c r="W2498" s="14"/>
      <c r="X2498" s="14"/>
      <c r="Y2498" s="14"/>
    </row>
    <row r="2499" spans="1:25" ht="15.75" x14ac:dyDescent="0.25">
      <c r="A2499" s="21"/>
      <c r="B2499" s="21"/>
      <c r="C2499" s="21"/>
      <c r="E2499" s="21"/>
      <c r="F2499" s="21"/>
      <c r="G2499" s="14"/>
      <c r="H2499" s="14"/>
      <c r="I2499" s="14"/>
      <c r="J2499" s="14"/>
      <c r="K2499" s="14"/>
      <c r="L2499" s="14"/>
      <c r="M2499" s="14"/>
      <c r="N2499" s="14"/>
      <c r="O2499" s="14"/>
      <c r="P2499" s="14"/>
      <c r="Q2499" s="14"/>
      <c r="R2499" s="14"/>
      <c r="S2499" s="14"/>
      <c r="T2499" s="14"/>
      <c r="U2499" s="14"/>
      <c r="V2499" s="14"/>
      <c r="W2499" s="14"/>
      <c r="X2499" s="14"/>
      <c r="Y2499" s="14"/>
    </row>
    <row r="2500" spans="1:25" ht="15.75" x14ac:dyDescent="0.25">
      <c r="A2500" s="21"/>
      <c r="B2500" s="21"/>
      <c r="C2500" s="21"/>
      <c r="E2500" s="21"/>
      <c r="F2500" s="21"/>
      <c r="G2500" s="14"/>
      <c r="H2500" s="14"/>
      <c r="I2500" s="14"/>
      <c r="J2500" s="14"/>
      <c r="K2500" s="14"/>
      <c r="L2500" s="14"/>
      <c r="M2500" s="14"/>
      <c r="N2500" s="14"/>
      <c r="O2500" s="14"/>
      <c r="P2500" s="14"/>
      <c r="Q2500" s="14"/>
      <c r="R2500" s="14"/>
      <c r="S2500" s="14"/>
      <c r="T2500" s="14"/>
      <c r="U2500" s="14"/>
      <c r="V2500" s="14"/>
      <c r="W2500" s="14"/>
      <c r="X2500" s="14"/>
      <c r="Y2500" s="14"/>
    </row>
    <row r="2501" spans="1:25" ht="15.75" x14ac:dyDescent="0.25">
      <c r="A2501" s="21"/>
      <c r="B2501" s="21"/>
      <c r="C2501" s="21"/>
      <c r="E2501" s="21"/>
      <c r="F2501" s="21"/>
      <c r="G2501" s="14"/>
      <c r="H2501" s="14"/>
      <c r="I2501" s="14"/>
      <c r="J2501" s="14"/>
      <c r="K2501" s="14"/>
      <c r="L2501" s="14"/>
      <c r="M2501" s="14"/>
      <c r="N2501" s="14"/>
      <c r="O2501" s="14"/>
      <c r="P2501" s="14"/>
      <c r="Q2501" s="14"/>
      <c r="R2501" s="14"/>
      <c r="S2501" s="14"/>
      <c r="T2501" s="14"/>
      <c r="U2501" s="14"/>
      <c r="V2501" s="14"/>
      <c r="W2501" s="14"/>
      <c r="X2501" s="14"/>
      <c r="Y2501" s="14"/>
    </row>
    <row r="2502" spans="1:25" ht="15.75" x14ac:dyDescent="0.25">
      <c r="A2502" s="21"/>
      <c r="B2502" s="21"/>
      <c r="C2502" s="21"/>
      <c r="E2502" s="21"/>
      <c r="F2502" s="21"/>
      <c r="G2502" s="14"/>
      <c r="H2502" s="14"/>
      <c r="I2502" s="14"/>
      <c r="J2502" s="14"/>
      <c r="K2502" s="14"/>
      <c r="L2502" s="14"/>
      <c r="M2502" s="14"/>
      <c r="N2502" s="14"/>
      <c r="O2502" s="14"/>
      <c r="P2502" s="14"/>
      <c r="Q2502" s="14"/>
      <c r="R2502" s="14"/>
      <c r="S2502" s="14"/>
      <c r="T2502" s="14"/>
      <c r="U2502" s="14"/>
      <c r="V2502" s="14"/>
      <c r="W2502" s="14"/>
      <c r="X2502" s="14"/>
      <c r="Y2502" s="14"/>
    </row>
    <row r="2503" spans="1:25" ht="15.75" x14ac:dyDescent="0.25">
      <c r="A2503" s="21"/>
      <c r="B2503" s="21"/>
      <c r="C2503" s="21"/>
      <c r="E2503" s="21"/>
      <c r="F2503" s="21"/>
      <c r="G2503" s="14"/>
      <c r="H2503" s="14"/>
      <c r="I2503" s="14"/>
      <c r="J2503" s="14"/>
      <c r="K2503" s="14"/>
      <c r="L2503" s="14"/>
      <c r="M2503" s="14"/>
      <c r="N2503" s="14"/>
      <c r="O2503" s="14"/>
      <c r="P2503" s="14"/>
      <c r="Q2503" s="14"/>
      <c r="R2503" s="14"/>
      <c r="S2503" s="14"/>
      <c r="T2503" s="14"/>
      <c r="U2503" s="14"/>
      <c r="V2503" s="14"/>
      <c r="W2503" s="14"/>
      <c r="X2503" s="14"/>
      <c r="Y2503" s="14"/>
    </row>
    <row r="2504" spans="1:25" ht="15.75" x14ac:dyDescent="0.25">
      <c r="A2504" s="21"/>
      <c r="B2504" s="21"/>
      <c r="C2504" s="21"/>
      <c r="E2504" s="21"/>
      <c r="F2504" s="21"/>
      <c r="G2504" s="14"/>
      <c r="H2504" s="14"/>
      <c r="I2504" s="14"/>
      <c r="J2504" s="14"/>
      <c r="K2504" s="14"/>
      <c r="L2504" s="14"/>
      <c r="M2504" s="14"/>
      <c r="N2504" s="14"/>
      <c r="O2504" s="14"/>
      <c r="P2504" s="14"/>
      <c r="Q2504" s="14"/>
      <c r="R2504" s="14"/>
      <c r="S2504" s="14"/>
      <c r="T2504" s="14"/>
      <c r="U2504" s="14"/>
      <c r="V2504" s="14"/>
      <c r="W2504" s="14"/>
      <c r="X2504" s="14"/>
      <c r="Y2504" s="14"/>
    </row>
    <row r="2505" spans="1:25" ht="15.75" x14ac:dyDescent="0.25">
      <c r="A2505" s="21"/>
      <c r="B2505" s="21"/>
      <c r="C2505" s="21"/>
      <c r="E2505" s="21"/>
      <c r="F2505" s="21"/>
      <c r="G2505" s="14"/>
      <c r="H2505" s="14"/>
      <c r="I2505" s="14"/>
      <c r="J2505" s="14"/>
      <c r="K2505" s="14"/>
      <c r="L2505" s="14"/>
      <c r="M2505" s="14"/>
      <c r="N2505" s="14"/>
      <c r="O2505" s="14"/>
      <c r="P2505" s="14"/>
      <c r="Q2505" s="14"/>
      <c r="R2505" s="14"/>
      <c r="S2505" s="14"/>
      <c r="T2505" s="14"/>
      <c r="U2505" s="14"/>
      <c r="V2505" s="14"/>
      <c r="W2505" s="14"/>
      <c r="X2505" s="14"/>
      <c r="Y2505" s="14"/>
    </row>
    <row r="2506" spans="1:25" ht="15.75" x14ac:dyDescent="0.25">
      <c r="A2506" s="21"/>
      <c r="B2506" s="21"/>
      <c r="C2506" s="21"/>
      <c r="E2506" s="21"/>
      <c r="F2506" s="21"/>
      <c r="G2506" s="14"/>
      <c r="H2506" s="14"/>
      <c r="I2506" s="14"/>
      <c r="J2506" s="14"/>
      <c r="K2506" s="14"/>
      <c r="L2506" s="14"/>
      <c r="M2506" s="14"/>
      <c r="N2506" s="14"/>
      <c r="O2506" s="14"/>
      <c r="P2506" s="14"/>
      <c r="Q2506" s="14"/>
      <c r="R2506" s="14"/>
      <c r="S2506" s="14"/>
      <c r="T2506" s="14"/>
      <c r="U2506" s="14"/>
      <c r="V2506" s="14"/>
      <c r="W2506" s="14"/>
      <c r="X2506" s="14"/>
      <c r="Y2506" s="14"/>
    </row>
    <row r="2507" spans="1:25" ht="15.75" x14ac:dyDescent="0.25">
      <c r="A2507" s="21"/>
      <c r="B2507" s="21"/>
      <c r="C2507" s="21"/>
      <c r="E2507" s="21"/>
      <c r="F2507" s="21"/>
      <c r="G2507" s="14"/>
      <c r="H2507" s="14"/>
      <c r="I2507" s="14"/>
      <c r="J2507" s="14"/>
      <c r="K2507" s="14"/>
      <c r="L2507" s="14"/>
      <c r="M2507" s="14"/>
      <c r="N2507" s="14"/>
      <c r="O2507" s="14"/>
      <c r="P2507" s="14"/>
      <c r="Q2507" s="14"/>
      <c r="R2507" s="14"/>
      <c r="S2507" s="14"/>
      <c r="T2507" s="14"/>
      <c r="U2507" s="14"/>
      <c r="V2507" s="14"/>
      <c r="W2507" s="14"/>
      <c r="X2507" s="14"/>
      <c r="Y2507" s="14"/>
    </row>
    <row r="2508" spans="1:25" ht="15.75" x14ac:dyDescent="0.25">
      <c r="A2508" s="21"/>
      <c r="B2508" s="21"/>
      <c r="C2508" s="21"/>
      <c r="E2508" s="21"/>
      <c r="F2508" s="21"/>
      <c r="G2508" s="14"/>
      <c r="H2508" s="14"/>
      <c r="I2508" s="14"/>
      <c r="J2508" s="14"/>
      <c r="K2508" s="14"/>
      <c r="L2508" s="14"/>
      <c r="M2508" s="14"/>
      <c r="N2508" s="14"/>
      <c r="O2508" s="14"/>
      <c r="P2508" s="14"/>
      <c r="Q2508" s="14"/>
      <c r="R2508" s="14"/>
      <c r="S2508" s="14"/>
      <c r="T2508" s="14"/>
      <c r="U2508" s="14"/>
      <c r="V2508" s="14"/>
      <c r="W2508" s="14"/>
      <c r="X2508" s="14"/>
      <c r="Y2508" s="14"/>
    </row>
    <row r="2509" spans="1:25" ht="15.75" x14ac:dyDescent="0.25">
      <c r="A2509" s="21"/>
      <c r="B2509" s="21"/>
      <c r="C2509" s="21"/>
      <c r="E2509" s="21"/>
      <c r="F2509" s="21"/>
      <c r="G2509" s="14"/>
      <c r="H2509" s="14"/>
      <c r="I2509" s="14"/>
      <c r="J2509" s="14"/>
      <c r="K2509" s="14"/>
      <c r="L2509" s="14"/>
      <c r="M2509" s="14"/>
      <c r="N2509" s="14"/>
      <c r="O2509" s="14"/>
      <c r="P2509" s="14"/>
      <c r="Q2509" s="14"/>
      <c r="R2509" s="14"/>
      <c r="S2509" s="14"/>
      <c r="T2509" s="14"/>
      <c r="U2509" s="14"/>
      <c r="V2509" s="14"/>
      <c r="W2509" s="14"/>
      <c r="X2509" s="14"/>
      <c r="Y2509" s="14"/>
    </row>
    <row r="2510" spans="1:25" ht="15.75" x14ac:dyDescent="0.25">
      <c r="A2510" s="21"/>
      <c r="B2510" s="21"/>
      <c r="C2510" s="21"/>
      <c r="E2510" s="21"/>
      <c r="F2510" s="21"/>
      <c r="G2510" s="14"/>
      <c r="H2510" s="14"/>
      <c r="I2510" s="14"/>
      <c r="J2510" s="14"/>
      <c r="K2510" s="14"/>
      <c r="L2510" s="14"/>
      <c r="M2510" s="14"/>
      <c r="N2510" s="14"/>
      <c r="O2510" s="14"/>
      <c r="P2510" s="14"/>
      <c r="Q2510" s="14"/>
      <c r="R2510" s="14"/>
      <c r="S2510" s="14"/>
      <c r="T2510" s="14"/>
      <c r="U2510" s="14"/>
      <c r="V2510" s="14"/>
      <c r="W2510" s="14"/>
      <c r="X2510" s="14"/>
      <c r="Y2510" s="14"/>
    </row>
    <row r="2511" spans="1:25" ht="15.75" x14ac:dyDescent="0.25">
      <c r="A2511" s="21"/>
      <c r="B2511" s="21"/>
      <c r="C2511" s="21"/>
      <c r="E2511" s="21"/>
      <c r="F2511" s="21"/>
      <c r="G2511" s="14"/>
      <c r="H2511" s="14"/>
      <c r="I2511" s="14"/>
      <c r="J2511" s="14"/>
      <c r="K2511" s="14"/>
      <c r="L2511" s="14"/>
      <c r="M2511" s="14"/>
      <c r="N2511" s="14"/>
      <c r="O2511" s="14"/>
      <c r="P2511" s="14"/>
      <c r="Q2511" s="14"/>
      <c r="R2511" s="14"/>
      <c r="S2511" s="14"/>
      <c r="T2511" s="14"/>
      <c r="U2511" s="14"/>
      <c r="V2511" s="14"/>
      <c r="W2511" s="14"/>
      <c r="X2511" s="14"/>
      <c r="Y2511" s="14"/>
    </row>
    <row r="2512" spans="1:25" ht="15.75" x14ac:dyDescent="0.25">
      <c r="A2512" s="21"/>
      <c r="B2512" s="21"/>
      <c r="C2512" s="21"/>
      <c r="E2512" s="21"/>
      <c r="F2512" s="21"/>
      <c r="G2512" s="14"/>
      <c r="H2512" s="14"/>
      <c r="I2512" s="14"/>
      <c r="J2512" s="14"/>
      <c r="K2512" s="14"/>
      <c r="L2512" s="14"/>
      <c r="M2512" s="14"/>
      <c r="N2512" s="14"/>
      <c r="O2512" s="14"/>
      <c r="P2512" s="14"/>
      <c r="Q2512" s="14"/>
      <c r="R2512" s="14"/>
      <c r="S2512" s="14"/>
      <c r="T2512" s="14"/>
      <c r="U2512" s="14"/>
      <c r="V2512" s="14"/>
      <c r="W2512" s="14"/>
      <c r="X2512" s="14"/>
      <c r="Y2512" s="14"/>
    </row>
    <row r="2513" spans="1:25" ht="15.75" x14ac:dyDescent="0.25">
      <c r="A2513" s="21"/>
      <c r="B2513" s="21"/>
      <c r="C2513" s="21"/>
      <c r="E2513" s="21"/>
      <c r="F2513" s="21"/>
      <c r="G2513" s="14"/>
      <c r="H2513" s="14"/>
      <c r="I2513" s="14"/>
      <c r="J2513" s="14"/>
      <c r="K2513" s="14"/>
      <c r="L2513" s="14"/>
      <c r="M2513" s="14"/>
      <c r="N2513" s="14"/>
      <c r="O2513" s="14"/>
      <c r="P2513" s="14"/>
      <c r="Q2513" s="14"/>
      <c r="R2513" s="14"/>
      <c r="S2513" s="14"/>
      <c r="T2513" s="14"/>
      <c r="U2513" s="14"/>
      <c r="V2513" s="14"/>
      <c r="W2513" s="14"/>
      <c r="X2513" s="14"/>
      <c r="Y2513" s="14"/>
    </row>
    <row r="2514" spans="1:25" ht="15.75" x14ac:dyDescent="0.25">
      <c r="A2514" s="21"/>
      <c r="B2514" s="21"/>
      <c r="C2514" s="21"/>
      <c r="E2514" s="21"/>
      <c r="F2514" s="21"/>
      <c r="G2514" s="14"/>
      <c r="H2514" s="14"/>
      <c r="I2514" s="14"/>
      <c r="J2514" s="14"/>
      <c r="K2514" s="14"/>
      <c r="L2514" s="14"/>
      <c r="M2514" s="14"/>
      <c r="N2514" s="14"/>
      <c r="O2514" s="14"/>
      <c r="P2514" s="14"/>
      <c r="Q2514" s="14"/>
      <c r="R2514" s="14"/>
      <c r="S2514" s="14"/>
      <c r="T2514" s="14"/>
      <c r="U2514" s="14"/>
      <c r="V2514" s="14"/>
      <c r="W2514" s="14"/>
      <c r="X2514" s="14"/>
      <c r="Y2514" s="14"/>
    </row>
    <row r="2515" spans="1:25" ht="15.75" x14ac:dyDescent="0.25">
      <c r="A2515" s="21"/>
      <c r="B2515" s="21"/>
      <c r="C2515" s="21"/>
      <c r="E2515" s="21"/>
      <c r="F2515" s="21"/>
      <c r="G2515" s="14"/>
      <c r="H2515" s="14"/>
      <c r="I2515" s="14"/>
      <c r="J2515" s="14"/>
      <c r="K2515" s="14"/>
      <c r="L2515" s="14"/>
      <c r="M2515" s="14"/>
      <c r="N2515" s="14"/>
      <c r="O2515" s="14"/>
      <c r="P2515" s="14"/>
      <c r="Q2515" s="14"/>
      <c r="R2515" s="14"/>
      <c r="S2515" s="14"/>
      <c r="T2515" s="14"/>
      <c r="U2515" s="14"/>
      <c r="V2515" s="14"/>
      <c r="W2515" s="14"/>
      <c r="X2515" s="14"/>
      <c r="Y2515" s="14"/>
    </row>
    <row r="2516" spans="1:25" ht="15.75" x14ac:dyDescent="0.25">
      <c r="A2516" s="21"/>
      <c r="B2516" s="21"/>
      <c r="C2516" s="21"/>
      <c r="E2516" s="21"/>
      <c r="F2516" s="21"/>
      <c r="G2516" s="14"/>
      <c r="H2516" s="14"/>
      <c r="I2516" s="14"/>
      <c r="J2516" s="14"/>
      <c r="K2516" s="14"/>
      <c r="L2516" s="14"/>
      <c r="M2516" s="14"/>
      <c r="N2516" s="14"/>
      <c r="O2516" s="14"/>
      <c r="P2516" s="14"/>
      <c r="Q2516" s="14"/>
      <c r="R2516" s="14"/>
      <c r="S2516" s="14"/>
      <c r="T2516" s="14"/>
      <c r="U2516" s="14"/>
      <c r="V2516" s="14"/>
      <c r="W2516" s="14"/>
      <c r="X2516" s="14"/>
      <c r="Y2516" s="14"/>
    </row>
    <row r="2517" spans="1:25" ht="15.75" x14ac:dyDescent="0.25">
      <c r="A2517" s="21"/>
      <c r="B2517" s="21"/>
      <c r="C2517" s="21"/>
      <c r="E2517" s="21"/>
      <c r="F2517" s="21"/>
      <c r="G2517" s="14"/>
      <c r="H2517" s="14"/>
      <c r="I2517" s="14"/>
      <c r="J2517" s="14"/>
      <c r="K2517" s="14"/>
      <c r="L2517" s="14"/>
      <c r="M2517" s="14"/>
      <c r="N2517" s="14"/>
      <c r="O2517" s="14"/>
      <c r="P2517" s="14"/>
      <c r="Q2517" s="14"/>
      <c r="R2517" s="14"/>
      <c r="S2517" s="14"/>
      <c r="T2517" s="14"/>
      <c r="U2517" s="14"/>
      <c r="V2517" s="14"/>
      <c r="W2517" s="14"/>
      <c r="X2517" s="14"/>
      <c r="Y2517" s="14"/>
    </row>
    <row r="2518" spans="1:25" ht="15.75" x14ac:dyDescent="0.25">
      <c r="A2518" s="21"/>
      <c r="B2518" s="21"/>
      <c r="C2518" s="21"/>
      <c r="E2518" s="21"/>
      <c r="F2518" s="21"/>
      <c r="G2518" s="14"/>
      <c r="H2518" s="14"/>
      <c r="I2518" s="14"/>
      <c r="J2518" s="14"/>
      <c r="K2518" s="14"/>
      <c r="L2518" s="14"/>
      <c r="M2518" s="14"/>
      <c r="N2518" s="14"/>
      <c r="O2518" s="14"/>
      <c r="P2518" s="14"/>
      <c r="Q2518" s="14"/>
      <c r="R2518" s="14"/>
      <c r="S2518" s="14"/>
      <c r="T2518" s="14"/>
      <c r="U2518" s="14"/>
      <c r="V2518" s="14"/>
      <c r="W2518" s="14"/>
      <c r="X2518" s="14"/>
      <c r="Y2518" s="14"/>
    </row>
    <row r="2519" spans="1:25" ht="15.75" x14ac:dyDescent="0.25">
      <c r="A2519" s="21"/>
      <c r="B2519" s="21"/>
      <c r="C2519" s="21"/>
      <c r="E2519" s="21"/>
      <c r="F2519" s="21"/>
      <c r="G2519" s="14"/>
      <c r="H2519" s="14"/>
      <c r="I2519" s="14"/>
      <c r="J2519" s="14"/>
      <c r="K2519" s="14"/>
      <c r="L2519" s="14"/>
      <c r="M2519" s="14"/>
      <c r="N2519" s="14"/>
      <c r="O2519" s="14"/>
      <c r="P2519" s="14"/>
      <c r="Q2519" s="14"/>
      <c r="R2519" s="14"/>
      <c r="S2519" s="14"/>
      <c r="T2519" s="14"/>
      <c r="U2519" s="14"/>
      <c r="V2519" s="14"/>
      <c r="W2519" s="14"/>
      <c r="X2519" s="14"/>
      <c r="Y2519" s="14"/>
    </row>
    <row r="2520" spans="1:25" ht="15.75" x14ac:dyDescent="0.25">
      <c r="A2520" s="21"/>
      <c r="B2520" s="21"/>
      <c r="C2520" s="21"/>
      <c r="E2520" s="21"/>
      <c r="F2520" s="21"/>
      <c r="G2520" s="14"/>
      <c r="H2520" s="14"/>
      <c r="I2520" s="14"/>
      <c r="J2520" s="14"/>
      <c r="K2520" s="14"/>
      <c r="L2520" s="14"/>
      <c r="M2520" s="14"/>
      <c r="N2520" s="14"/>
      <c r="O2520" s="14"/>
      <c r="P2520" s="14"/>
      <c r="Q2520" s="14"/>
      <c r="R2520" s="14"/>
      <c r="S2520" s="14"/>
      <c r="T2520" s="14"/>
      <c r="U2520" s="14"/>
      <c r="V2520" s="14"/>
      <c r="W2520" s="14"/>
      <c r="X2520" s="14"/>
      <c r="Y2520" s="14"/>
    </row>
    <row r="2521" spans="1:25" ht="15.75" x14ac:dyDescent="0.25">
      <c r="A2521" s="21"/>
      <c r="B2521" s="21"/>
      <c r="C2521" s="21"/>
      <c r="E2521" s="21"/>
      <c r="F2521" s="21"/>
      <c r="G2521" s="14"/>
      <c r="H2521" s="14"/>
      <c r="I2521" s="14"/>
      <c r="J2521" s="14"/>
      <c r="K2521" s="14"/>
      <c r="L2521" s="14"/>
      <c r="M2521" s="14"/>
      <c r="N2521" s="14"/>
      <c r="O2521" s="14"/>
      <c r="P2521" s="14"/>
      <c r="Q2521" s="14"/>
      <c r="R2521" s="14"/>
      <c r="S2521" s="14"/>
      <c r="T2521" s="14"/>
      <c r="U2521" s="14"/>
      <c r="V2521" s="14"/>
      <c r="W2521" s="14"/>
      <c r="X2521" s="14"/>
      <c r="Y2521" s="14"/>
    </row>
    <row r="2522" spans="1:25" ht="15.75" x14ac:dyDescent="0.25">
      <c r="A2522" s="21"/>
      <c r="B2522" s="21"/>
      <c r="C2522" s="21"/>
      <c r="E2522" s="21"/>
      <c r="F2522" s="21"/>
      <c r="G2522" s="14"/>
      <c r="H2522" s="14"/>
      <c r="I2522" s="14"/>
      <c r="J2522" s="14"/>
      <c r="K2522" s="14"/>
      <c r="L2522" s="14"/>
      <c r="M2522" s="14"/>
      <c r="N2522" s="14"/>
      <c r="O2522" s="14"/>
      <c r="P2522" s="14"/>
      <c r="Q2522" s="14"/>
      <c r="R2522" s="14"/>
      <c r="S2522" s="14"/>
      <c r="T2522" s="14"/>
      <c r="U2522" s="14"/>
      <c r="V2522" s="14"/>
      <c r="W2522" s="14"/>
      <c r="X2522" s="14"/>
      <c r="Y2522" s="14"/>
    </row>
    <row r="2523" spans="1:25" ht="15.75" x14ac:dyDescent="0.25">
      <c r="A2523" s="21"/>
      <c r="B2523" s="21"/>
      <c r="C2523" s="21"/>
      <c r="E2523" s="21"/>
      <c r="F2523" s="21"/>
      <c r="G2523" s="14"/>
      <c r="H2523" s="14"/>
      <c r="I2523" s="14"/>
      <c r="J2523" s="14"/>
      <c r="K2523" s="14"/>
      <c r="L2523" s="14"/>
      <c r="M2523" s="14"/>
      <c r="N2523" s="14"/>
      <c r="O2523" s="14"/>
      <c r="P2523" s="14"/>
      <c r="Q2523" s="14"/>
      <c r="R2523" s="14"/>
      <c r="S2523" s="14"/>
      <c r="T2523" s="14"/>
      <c r="U2523" s="14"/>
      <c r="V2523" s="14"/>
      <c r="W2523" s="14"/>
      <c r="X2523" s="14"/>
      <c r="Y2523" s="14"/>
    </row>
    <row r="2524" spans="1:25" ht="15.75" x14ac:dyDescent="0.25">
      <c r="A2524" s="21"/>
      <c r="B2524" s="21"/>
      <c r="C2524" s="21"/>
      <c r="E2524" s="21"/>
      <c r="F2524" s="21"/>
      <c r="G2524" s="14"/>
      <c r="H2524" s="14"/>
      <c r="I2524" s="14"/>
      <c r="J2524" s="14"/>
      <c r="K2524" s="14"/>
      <c r="L2524" s="14"/>
      <c r="M2524" s="14"/>
      <c r="N2524" s="14"/>
      <c r="O2524" s="14"/>
      <c r="P2524" s="14"/>
      <c r="Q2524" s="14"/>
      <c r="R2524" s="14"/>
      <c r="S2524" s="14"/>
      <c r="T2524" s="14"/>
      <c r="U2524" s="14"/>
      <c r="V2524" s="14"/>
      <c r="W2524" s="14"/>
      <c r="X2524" s="14"/>
      <c r="Y2524" s="14"/>
    </row>
    <row r="2525" spans="1:25" ht="15.75" x14ac:dyDescent="0.25">
      <c r="A2525" s="21"/>
      <c r="B2525" s="21"/>
      <c r="C2525" s="21"/>
      <c r="E2525" s="21"/>
      <c r="F2525" s="21"/>
      <c r="G2525" s="14"/>
      <c r="H2525" s="14"/>
      <c r="I2525" s="14"/>
      <c r="J2525" s="14"/>
      <c r="K2525" s="14"/>
      <c r="L2525" s="14"/>
      <c r="M2525" s="14"/>
      <c r="N2525" s="14"/>
      <c r="O2525" s="14"/>
      <c r="P2525" s="14"/>
      <c r="Q2525" s="14"/>
      <c r="R2525" s="14"/>
      <c r="S2525" s="14"/>
      <c r="T2525" s="14"/>
      <c r="U2525" s="14"/>
      <c r="V2525" s="14"/>
      <c r="W2525" s="14"/>
      <c r="X2525" s="14"/>
      <c r="Y2525" s="14"/>
    </row>
    <row r="2526" spans="1:25" ht="15.75" x14ac:dyDescent="0.25">
      <c r="A2526" s="21"/>
      <c r="B2526" s="21"/>
      <c r="C2526" s="21"/>
      <c r="E2526" s="21"/>
      <c r="F2526" s="21"/>
      <c r="G2526" s="14"/>
      <c r="H2526" s="14"/>
      <c r="I2526" s="14"/>
      <c r="J2526" s="14"/>
      <c r="K2526" s="14"/>
      <c r="L2526" s="14"/>
      <c r="M2526" s="14"/>
      <c r="N2526" s="14"/>
      <c r="O2526" s="14"/>
      <c r="P2526" s="14"/>
      <c r="Q2526" s="14"/>
      <c r="R2526" s="14"/>
      <c r="S2526" s="14"/>
      <c r="T2526" s="14"/>
      <c r="U2526" s="14"/>
      <c r="V2526" s="14"/>
      <c r="W2526" s="14"/>
      <c r="X2526" s="14"/>
      <c r="Y2526" s="14"/>
    </row>
    <row r="2527" spans="1:25" ht="15.75" x14ac:dyDescent="0.25">
      <c r="A2527" s="21"/>
      <c r="B2527" s="21"/>
      <c r="C2527" s="21"/>
      <c r="E2527" s="21"/>
      <c r="F2527" s="21"/>
      <c r="G2527" s="14"/>
      <c r="H2527" s="14"/>
      <c r="I2527" s="14"/>
      <c r="J2527" s="14"/>
      <c r="K2527" s="14"/>
      <c r="L2527" s="14"/>
      <c r="M2527" s="14"/>
      <c r="N2527" s="14"/>
      <c r="O2527" s="14"/>
      <c r="P2527" s="14"/>
      <c r="Q2527" s="14"/>
      <c r="R2527" s="14"/>
      <c r="S2527" s="14"/>
      <c r="T2527" s="14"/>
      <c r="U2527" s="14"/>
      <c r="V2527" s="14"/>
      <c r="W2527" s="14"/>
      <c r="X2527" s="14"/>
      <c r="Y2527" s="14"/>
    </row>
    <row r="2528" spans="1:25" ht="15.75" x14ac:dyDescent="0.25">
      <c r="A2528" s="21"/>
      <c r="B2528" s="21"/>
      <c r="C2528" s="21"/>
      <c r="E2528" s="21"/>
      <c r="F2528" s="21"/>
      <c r="G2528" s="14"/>
      <c r="H2528" s="14"/>
      <c r="I2528" s="14"/>
      <c r="J2528" s="14"/>
      <c r="K2528" s="14"/>
      <c r="L2528" s="14"/>
      <c r="M2528" s="14"/>
      <c r="N2528" s="14"/>
      <c r="O2528" s="14"/>
      <c r="P2528" s="14"/>
      <c r="Q2528" s="14"/>
      <c r="R2528" s="14"/>
      <c r="S2528" s="14"/>
      <c r="T2528" s="14"/>
      <c r="U2528" s="14"/>
      <c r="V2528" s="14"/>
      <c r="W2528" s="14"/>
      <c r="X2528" s="14"/>
      <c r="Y2528" s="14"/>
    </row>
    <row r="2529" spans="1:25" ht="15.75" x14ac:dyDescent="0.25">
      <c r="A2529" s="21"/>
      <c r="B2529" s="21"/>
      <c r="C2529" s="21"/>
      <c r="E2529" s="21"/>
      <c r="F2529" s="21"/>
      <c r="G2529" s="14"/>
      <c r="H2529" s="14"/>
      <c r="I2529" s="14"/>
      <c r="J2529" s="14"/>
      <c r="K2529" s="14"/>
      <c r="L2529" s="14"/>
      <c r="M2529" s="14"/>
      <c r="N2529" s="14"/>
      <c r="O2529" s="14"/>
      <c r="P2529" s="14"/>
      <c r="Q2529" s="14"/>
      <c r="R2529" s="14"/>
      <c r="S2529" s="14"/>
      <c r="T2529" s="14"/>
      <c r="U2529" s="14"/>
      <c r="V2529" s="14"/>
      <c r="W2529" s="14"/>
      <c r="X2529" s="14"/>
      <c r="Y2529" s="14"/>
    </row>
    <row r="2530" spans="1:25" ht="15.75" x14ac:dyDescent="0.25">
      <c r="A2530" s="21"/>
      <c r="B2530" s="21"/>
      <c r="C2530" s="21"/>
      <c r="E2530" s="21"/>
      <c r="F2530" s="21"/>
      <c r="G2530" s="14"/>
      <c r="H2530" s="14"/>
      <c r="I2530" s="14"/>
      <c r="J2530" s="14"/>
      <c r="K2530" s="14"/>
      <c r="L2530" s="14"/>
      <c r="M2530" s="14"/>
      <c r="N2530" s="14"/>
      <c r="O2530" s="14"/>
      <c r="P2530" s="14"/>
      <c r="Q2530" s="14"/>
      <c r="R2530" s="14"/>
      <c r="S2530" s="14"/>
      <c r="T2530" s="14"/>
      <c r="U2530" s="14"/>
      <c r="V2530" s="14"/>
      <c r="W2530" s="14"/>
      <c r="X2530" s="14"/>
      <c r="Y2530" s="14"/>
    </row>
    <row r="2531" spans="1:25" ht="15.75" x14ac:dyDescent="0.25">
      <c r="A2531" s="21"/>
      <c r="B2531" s="21"/>
      <c r="C2531" s="21"/>
      <c r="E2531" s="21"/>
      <c r="F2531" s="21"/>
      <c r="G2531" s="14"/>
      <c r="H2531" s="14"/>
      <c r="I2531" s="14"/>
      <c r="J2531" s="14"/>
      <c r="K2531" s="14"/>
      <c r="L2531" s="14"/>
      <c r="M2531" s="14"/>
      <c r="N2531" s="14"/>
      <c r="O2531" s="14"/>
      <c r="P2531" s="14"/>
      <c r="Q2531" s="14"/>
      <c r="R2531" s="14"/>
      <c r="S2531" s="14"/>
      <c r="T2531" s="14"/>
      <c r="U2531" s="14"/>
      <c r="V2531" s="14"/>
      <c r="W2531" s="14"/>
      <c r="X2531" s="14"/>
      <c r="Y2531" s="14"/>
    </row>
    <row r="2532" spans="1:25" ht="15.75" x14ac:dyDescent="0.25">
      <c r="A2532" s="21"/>
      <c r="B2532" s="21"/>
      <c r="C2532" s="21"/>
      <c r="E2532" s="21"/>
      <c r="F2532" s="21"/>
      <c r="G2532" s="14"/>
      <c r="H2532" s="14"/>
      <c r="I2532" s="14"/>
      <c r="J2532" s="14"/>
      <c r="K2532" s="14"/>
      <c r="L2532" s="14"/>
      <c r="M2532" s="14"/>
      <c r="N2532" s="14"/>
      <c r="O2532" s="14"/>
      <c r="P2532" s="14"/>
      <c r="Q2532" s="14"/>
      <c r="R2532" s="14"/>
      <c r="S2532" s="14"/>
      <c r="T2532" s="14"/>
      <c r="U2532" s="14"/>
      <c r="V2532" s="14"/>
      <c r="W2532" s="14"/>
      <c r="X2532" s="14"/>
      <c r="Y2532" s="14"/>
    </row>
    <row r="2533" spans="1:25" ht="15.75" x14ac:dyDescent="0.25">
      <c r="A2533" s="21"/>
      <c r="B2533" s="21"/>
      <c r="C2533" s="21"/>
      <c r="E2533" s="21"/>
      <c r="F2533" s="21"/>
      <c r="G2533" s="14"/>
      <c r="H2533" s="14"/>
      <c r="I2533" s="14"/>
      <c r="J2533" s="14"/>
      <c r="K2533" s="14"/>
      <c r="L2533" s="14"/>
      <c r="M2533" s="14"/>
      <c r="N2533" s="14"/>
      <c r="O2533" s="14"/>
      <c r="P2533" s="14"/>
      <c r="Q2533" s="14"/>
      <c r="R2533" s="14"/>
      <c r="S2533" s="14"/>
      <c r="T2533" s="14"/>
      <c r="U2533" s="14"/>
      <c r="V2533" s="14"/>
      <c r="W2533" s="14"/>
      <c r="X2533" s="14"/>
      <c r="Y2533" s="14"/>
    </row>
    <row r="2534" spans="1:25" ht="15.75" x14ac:dyDescent="0.25">
      <c r="A2534" s="21"/>
      <c r="B2534" s="21"/>
      <c r="C2534" s="21"/>
      <c r="E2534" s="21"/>
      <c r="F2534" s="21"/>
      <c r="G2534" s="14"/>
      <c r="H2534" s="14"/>
      <c r="I2534" s="14"/>
      <c r="J2534" s="14"/>
      <c r="K2534" s="14"/>
      <c r="L2534" s="14"/>
      <c r="M2534" s="14"/>
      <c r="N2534" s="14"/>
      <c r="O2534" s="14"/>
      <c r="P2534" s="14"/>
      <c r="Q2534" s="14"/>
      <c r="R2534" s="14"/>
      <c r="S2534" s="14"/>
      <c r="T2534" s="14"/>
      <c r="U2534" s="14"/>
      <c r="V2534" s="14"/>
      <c r="W2534" s="14"/>
      <c r="X2534" s="14"/>
      <c r="Y2534" s="14"/>
    </row>
    <row r="2535" spans="1:25" ht="15.75" x14ac:dyDescent="0.25">
      <c r="A2535" s="21"/>
      <c r="B2535" s="21"/>
      <c r="C2535" s="21"/>
      <c r="E2535" s="21"/>
      <c r="F2535" s="21"/>
      <c r="G2535" s="14"/>
      <c r="H2535" s="14"/>
      <c r="I2535" s="14"/>
      <c r="J2535" s="14"/>
      <c r="K2535" s="14"/>
      <c r="L2535" s="14"/>
      <c r="M2535" s="14"/>
      <c r="N2535" s="14"/>
      <c r="O2535" s="14"/>
      <c r="P2535" s="14"/>
      <c r="Q2535" s="14"/>
      <c r="R2535" s="14"/>
      <c r="S2535" s="14"/>
      <c r="T2535" s="14"/>
      <c r="U2535" s="14"/>
      <c r="V2535" s="14"/>
      <c r="W2535" s="14"/>
      <c r="X2535" s="14"/>
      <c r="Y2535" s="14"/>
    </row>
    <row r="2536" spans="1:25" ht="15.75" x14ac:dyDescent="0.25">
      <c r="A2536" s="21"/>
      <c r="B2536" s="21"/>
      <c r="C2536" s="21"/>
      <c r="E2536" s="21"/>
      <c r="F2536" s="21"/>
      <c r="G2536" s="14"/>
      <c r="H2536" s="14"/>
      <c r="I2536" s="14"/>
      <c r="J2536" s="14"/>
      <c r="K2536" s="14"/>
      <c r="L2536" s="14"/>
      <c r="M2536" s="14"/>
      <c r="N2536" s="14"/>
      <c r="O2536" s="14"/>
      <c r="P2536" s="14"/>
      <c r="Q2536" s="14"/>
      <c r="R2536" s="14"/>
      <c r="S2536" s="14"/>
      <c r="T2536" s="14"/>
      <c r="U2536" s="14"/>
      <c r="V2536" s="14"/>
      <c r="W2536" s="14"/>
      <c r="X2536" s="14"/>
      <c r="Y2536" s="14"/>
    </row>
    <row r="2537" spans="1:25" ht="15.75" x14ac:dyDescent="0.25">
      <c r="A2537" s="21"/>
      <c r="B2537" s="21"/>
      <c r="C2537" s="21"/>
      <c r="E2537" s="21"/>
      <c r="F2537" s="21"/>
      <c r="G2537" s="14"/>
      <c r="H2537" s="14"/>
      <c r="I2537" s="14"/>
      <c r="J2537" s="14"/>
      <c r="K2537" s="14"/>
      <c r="L2537" s="14"/>
      <c r="M2537" s="14"/>
      <c r="N2537" s="14"/>
      <c r="O2537" s="14"/>
      <c r="P2537" s="14"/>
      <c r="Q2537" s="14"/>
      <c r="R2537" s="14"/>
      <c r="S2537" s="14"/>
      <c r="T2537" s="14"/>
      <c r="U2537" s="14"/>
      <c r="V2537" s="14"/>
      <c r="W2537" s="14"/>
      <c r="X2537" s="14"/>
      <c r="Y2537" s="14"/>
    </row>
    <row r="2538" spans="1:25" ht="15.75" x14ac:dyDescent="0.25">
      <c r="A2538" s="21"/>
      <c r="B2538" s="21"/>
      <c r="C2538" s="21"/>
      <c r="E2538" s="21"/>
      <c r="F2538" s="21"/>
      <c r="G2538" s="14"/>
      <c r="H2538" s="14"/>
      <c r="I2538" s="14"/>
      <c r="J2538" s="14"/>
      <c r="K2538" s="14"/>
      <c r="L2538" s="14"/>
      <c r="M2538" s="14"/>
      <c r="N2538" s="14"/>
      <c r="O2538" s="14"/>
      <c r="P2538" s="14"/>
      <c r="Q2538" s="14"/>
      <c r="R2538" s="14"/>
      <c r="S2538" s="14"/>
      <c r="T2538" s="14"/>
      <c r="U2538" s="14"/>
      <c r="V2538" s="14"/>
      <c r="W2538" s="14"/>
      <c r="X2538" s="14"/>
      <c r="Y2538" s="14"/>
    </row>
    <row r="2539" spans="1:25" ht="15.75" x14ac:dyDescent="0.25">
      <c r="A2539" s="21"/>
      <c r="B2539" s="21"/>
      <c r="C2539" s="21"/>
      <c r="E2539" s="21"/>
      <c r="F2539" s="21"/>
      <c r="G2539" s="14"/>
      <c r="H2539" s="14"/>
      <c r="I2539" s="14"/>
      <c r="J2539" s="14"/>
      <c r="K2539" s="14"/>
      <c r="L2539" s="14"/>
      <c r="M2539" s="14"/>
      <c r="N2539" s="14"/>
      <c r="O2539" s="14"/>
      <c r="P2539" s="14"/>
      <c r="Q2539" s="14"/>
      <c r="R2539" s="14"/>
      <c r="S2539" s="14"/>
      <c r="T2539" s="14"/>
      <c r="U2539" s="14"/>
      <c r="V2539" s="14"/>
      <c r="W2539" s="14"/>
      <c r="X2539" s="14"/>
      <c r="Y2539" s="14"/>
    </row>
    <row r="2540" spans="1:25" ht="15.75" x14ac:dyDescent="0.25">
      <c r="A2540" s="21"/>
      <c r="B2540" s="21"/>
      <c r="C2540" s="21"/>
      <c r="E2540" s="21"/>
      <c r="F2540" s="21"/>
      <c r="G2540" s="14"/>
      <c r="H2540" s="14"/>
      <c r="I2540" s="14"/>
      <c r="J2540" s="14"/>
      <c r="K2540" s="14"/>
      <c r="L2540" s="14"/>
      <c r="M2540" s="14"/>
      <c r="N2540" s="14"/>
      <c r="O2540" s="14"/>
      <c r="P2540" s="14"/>
      <c r="Q2540" s="14"/>
      <c r="R2540" s="14"/>
      <c r="S2540" s="14"/>
      <c r="T2540" s="14"/>
      <c r="U2540" s="14"/>
      <c r="V2540" s="14"/>
      <c r="W2540" s="14"/>
      <c r="X2540" s="14"/>
      <c r="Y2540" s="14"/>
    </row>
    <row r="2541" spans="1:25" ht="15.75" x14ac:dyDescent="0.25">
      <c r="A2541" s="21"/>
      <c r="B2541" s="21"/>
      <c r="C2541" s="21"/>
      <c r="E2541" s="21"/>
      <c r="F2541" s="21"/>
      <c r="G2541" s="14"/>
      <c r="H2541" s="14"/>
      <c r="I2541" s="14"/>
      <c r="J2541" s="14"/>
      <c r="K2541" s="14"/>
      <c r="L2541" s="14"/>
      <c r="M2541" s="14"/>
      <c r="N2541" s="14"/>
      <c r="O2541" s="14"/>
      <c r="P2541" s="14"/>
      <c r="Q2541" s="14"/>
      <c r="R2541" s="14"/>
      <c r="S2541" s="14"/>
      <c r="T2541" s="14"/>
      <c r="U2541" s="14"/>
      <c r="V2541" s="14"/>
      <c r="W2541" s="14"/>
      <c r="X2541" s="14"/>
      <c r="Y2541" s="14"/>
    </row>
    <row r="2542" spans="1:25" ht="15.75" x14ac:dyDescent="0.25">
      <c r="A2542" s="21"/>
      <c r="B2542" s="21"/>
      <c r="C2542" s="21"/>
      <c r="E2542" s="21"/>
      <c r="F2542" s="21"/>
      <c r="G2542" s="14"/>
      <c r="H2542" s="14"/>
      <c r="I2542" s="14"/>
      <c r="J2542" s="14"/>
      <c r="K2542" s="14"/>
      <c r="L2542" s="14"/>
      <c r="M2542" s="14"/>
      <c r="N2542" s="14"/>
      <c r="O2542" s="14"/>
      <c r="P2542" s="14"/>
      <c r="Q2542" s="14"/>
      <c r="R2542" s="14"/>
      <c r="S2542" s="14"/>
      <c r="T2542" s="14"/>
      <c r="U2542" s="14"/>
      <c r="V2542" s="14"/>
      <c r="W2542" s="14"/>
      <c r="X2542" s="14"/>
      <c r="Y2542" s="14"/>
    </row>
    <row r="2543" spans="1:25" ht="15.75" x14ac:dyDescent="0.25">
      <c r="A2543" s="21"/>
      <c r="B2543" s="21"/>
      <c r="C2543" s="21"/>
      <c r="E2543" s="21"/>
      <c r="F2543" s="21"/>
      <c r="G2543" s="14"/>
      <c r="H2543" s="14"/>
      <c r="I2543" s="14"/>
      <c r="J2543" s="14"/>
      <c r="K2543" s="14"/>
      <c r="L2543" s="14"/>
      <c r="M2543" s="14"/>
      <c r="N2543" s="14"/>
      <c r="O2543" s="14"/>
      <c r="P2543" s="14"/>
      <c r="Q2543" s="14"/>
      <c r="R2543" s="14"/>
      <c r="S2543" s="14"/>
      <c r="T2543" s="14"/>
      <c r="U2543" s="14"/>
      <c r="V2543" s="14"/>
      <c r="W2543" s="14"/>
      <c r="X2543" s="14"/>
      <c r="Y2543" s="14"/>
    </row>
    <row r="2544" spans="1:25" ht="15.75" x14ac:dyDescent="0.25">
      <c r="A2544" s="21"/>
      <c r="B2544" s="21"/>
      <c r="C2544" s="21"/>
      <c r="E2544" s="21"/>
      <c r="F2544" s="21"/>
      <c r="G2544" s="14"/>
      <c r="H2544" s="14"/>
      <c r="I2544" s="14"/>
      <c r="J2544" s="14"/>
      <c r="K2544" s="14"/>
      <c r="L2544" s="14"/>
      <c r="M2544" s="14"/>
      <c r="N2544" s="14"/>
      <c r="O2544" s="14"/>
      <c r="P2544" s="14"/>
      <c r="Q2544" s="14"/>
      <c r="R2544" s="14"/>
      <c r="S2544" s="14"/>
      <c r="T2544" s="14"/>
      <c r="U2544" s="14"/>
      <c r="V2544" s="14"/>
      <c r="W2544" s="14"/>
      <c r="X2544" s="14"/>
      <c r="Y2544" s="14"/>
    </row>
    <row r="2545" spans="1:25" ht="15.75" x14ac:dyDescent="0.25">
      <c r="A2545" s="21"/>
      <c r="B2545" s="21"/>
      <c r="C2545" s="21"/>
      <c r="E2545" s="21"/>
      <c r="F2545" s="21"/>
      <c r="G2545" s="14"/>
      <c r="H2545" s="14"/>
      <c r="I2545" s="14"/>
      <c r="J2545" s="14"/>
      <c r="K2545" s="14"/>
      <c r="L2545" s="14"/>
      <c r="M2545" s="14"/>
      <c r="N2545" s="14"/>
      <c r="O2545" s="14"/>
      <c r="P2545" s="14"/>
      <c r="Q2545" s="14"/>
      <c r="R2545" s="14"/>
      <c r="S2545" s="14"/>
      <c r="T2545" s="14"/>
      <c r="U2545" s="14"/>
      <c r="V2545" s="14"/>
      <c r="W2545" s="14"/>
      <c r="X2545" s="14"/>
      <c r="Y2545" s="14"/>
    </row>
    <row r="2546" spans="1:25" ht="15.75" x14ac:dyDescent="0.25">
      <c r="A2546" s="21"/>
      <c r="B2546" s="21"/>
      <c r="C2546" s="21"/>
      <c r="E2546" s="21"/>
      <c r="F2546" s="21"/>
      <c r="G2546" s="14"/>
      <c r="H2546" s="14"/>
      <c r="I2546" s="14"/>
      <c r="J2546" s="14"/>
      <c r="K2546" s="14"/>
      <c r="L2546" s="14"/>
      <c r="M2546" s="14"/>
      <c r="N2546" s="14"/>
      <c r="O2546" s="14"/>
      <c r="P2546" s="14"/>
      <c r="Q2546" s="14"/>
      <c r="R2546" s="14"/>
      <c r="S2546" s="14"/>
      <c r="T2546" s="14"/>
      <c r="U2546" s="14"/>
      <c r="V2546" s="14"/>
      <c r="W2546" s="14"/>
      <c r="X2546" s="14"/>
      <c r="Y2546" s="14"/>
    </row>
    <row r="2547" spans="1:25" ht="15.75" x14ac:dyDescent="0.25">
      <c r="A2547" s="21"/>
      <c r="B2547" s="21"/>
      <c r="C2547" s="21"/>
      <c r="E2547" s="21"/>
      <c r="F2547" s="21"/>
      <c r="G2547" s="14"/>
      <c r="H2547" s="14"/>
      <c r="I2547" s="14"/>
      <c r="J2547" s="14"/>
      <c r="K2547" s="14"/>
      <c r="L2547" s="14"/>
      <c r="M2547" s="14"/>
      <c r="N2547" s="14"/>
      <c r="O2547" s="14"/>
      <c r="P2547" s="14"/>
      <c r="Q2547" s="14"/>
      <c r="R2547" s="14"/>
      <c r="S2547" s="14"/>
      <c r="T2547" s="14"/>
      <c r="U2547" s="14"/>
      <c r="V2547" s="14"/>
      <c r="W2547" s="14"/>
      <c r="X2547" s="14"/>
      <c r="Y2547" s="14"/>
    </row>
    <row r="2548" spans="1:25" ht="15.75" x14ac:dyDescent="0.25">
      <c r="A2548" s="21"/>
      <c r="B2548" s="21"/>
      <c r="C2548" s="21"/>
      <c r="E2548" s="21"/>
      <c r="F2548" s="21"/>
      <c r="G2548" s="14"/>
      <c r="H2548" s="14"/>
      <c r="I2548" s="14"/>
      <c r="J2548" s="14"/>
      <c r="K2548" s="14"/>
      <c r="L2548" s="14"/>
      <c r="M2548" s="14"/>
      <c r="N2548" s="14"/>
      <c r="O2548" s="14"/>
      <c r="P2548" s="14"/>
      <c r="Q2548" s="14"/>
      <c r="R2548" s="14"/>
      <c r="S2548" s="14"/>
      <c r="T2548" s="14"/>
      <c r="U2548" s="14"/>
      <c r="V2548" s="14"/>
      <c r="W2548" s="14"/>
      <c r="X2548" s="14"/>
      <c r="Y2548" s="14"/>
    </row>
    <row r="2549" spans="1:25" ht="15.75" x14ac:dyDescent="0.25">
      <c r="A2549" s="21"/>
      <c r="B2549" s="21"/>
      <c r="C2549" s="21"/>
      <c r="E2549" s="21"/>
      <c r="F2549" s="21"/>
      <c r="G2549" s="14"/>
      <c r="H2549" s="14"/>
      <c r="I2549" s="14"/>
      <c r="J2549" s="14"/>
      <c r="K2549" s="14"/>
      <c r="L2549" s="14"/>
      <c r="M2549" s="14"/>
      <c r="N2549" s="14"/>
      <c r="O2549" s="14"/>
      <c r="P2549" s="14"/>
      <c r="Q2549" s="14"/>
      <c r="R2549" s="14"/>
      <c r="S2549" s="14"/>
      <c r="T2549" s="14"/>
      <c r="U2549" s="14"/>
      <c r="V2549" s="14"/>
      <c r="W2549" s="14"/>
      <c r="X2549" s="14"/>
      <c r="Y2549" s="14"/>
    </row>
    <row r="2550" spans="1:25" ht="15.75" x14ac:dyDescent="0.25">
      <c r="A2550" s="21"/>
      <c r="B2550" s="21"/>
      <c r="C2550" s="21"/>
      <c r="E2550" s="21"/>
      <c r="F2550" s="21"/>
      <c r="G2550" s="14"/>
      <c r="H2550" s="14"/>
      <c r="I2550" s="14"/>
      <c r="J2550" s="14"/>
      <c r="K2550" s="14"/>
      <c r="L2550" s="14"/>
      <c r="M2550" s="14"/>
      <c r="N2550" s="14"/>
      <c r="O2550" s="14"/>
      <c r="P2550" s="14"/>
      <c r="Q2550" s="14"/>
      <c r="R2550" s="14"/>
      <c r="S2550" s="14"/>
      <c r="T2550" s="14"/>
      <c r="U2550" s="14"/>
      <c r="V2550" s="14"/>
      <c r="W2550" s="14"/>
      <c r="X2550" s="14"/>
      <c r="Y2550" s="14"/>
    </row>
    <row r="2551" spans="1:25" ht="15.75" x14ac:dyDescent="0.25">
      <c r="A2551" s="21"/>
      <c r="B2551" s="21"/>
      <c r="C2551" s="21"/>
      <c r="E2551" s="21"/>
      <c r="F2551" s="21"/>
      <c r="G2551" s="14"/>
      <c r="H2551" s="14"/>
      <c r="I2551" s="14"/>
      <c r="J2551" s="14"/>
      <c r="K2551" s="14"/>
      <c r="L2551" s="14"/>
      <c r="M2551" s="14"/>
      <c r="N2551" s="14"/>
      <c r="O2551" s="14"/>
      <c r="P2551" s="14"/>
      <c r="Q2551" s="14"/>
      <c r="R2551" s="14"/>
      <c r="S2551" s="14"/>
      <c r="T2551" s="14"/>
      <c r="U2551" s="14"/>
      <c r="V2551" s="14"/>
      <c r="W2551" s="14"/>
      <c r="X2551" s="14"/>
      <c r="Y2551" s="14"/>
    </row>
    <row r="2552" spans="1:25" ht="15.75" x14ac:dyDescent="0.25">
      <c r="A2552" s="21"/>
      <c r="B2552" s="21"/>
      <c r="C2552" s="21"/>
      <c r="E2552" s="21"/>
      <c r="F2552" s="21"/>
      <c r="G2552" s="14"/>
      <c r="H2552" s="14"/>
      <c r="I2552" s="14"/>
      <c r="J2552" s="14"/>
      <c r="K2552" s="14"/>
      <c r="L2552" s="14"/>
      <c r="M2552" s="14"/>
      <c r="N2552" s="14"/>
      <c r="O2552" s="14"/>
      <c r="P2552" s="14"/>
      <c r="Q2552" s="14"/>
      <c r="R2552" s="14"/>
      <c r="S2552" s="14"/>
      <c r="T2552" s="14"/>
      <c r="U2552" s="14"/>
      <c r="V2552" s="14"/>
      <c r="W2552" s="14"/>
      <c r="X2552" s="14"/>
      <c r="Y2552" s="14"/>
    </row>
    <row r="2553" spans="1:25" ht="15.75" x14ac:dyDescent="0.25">
      <c r="A2553" s="21"/>
      <c r="B2553" s="21"/>
      <c r="C2553" s="21"/>
      <c r="E2553" s="21"/>
      <c r="F2553" s="21"/>
      <c r="G2553" s="14"/>
      <c r="H2553" s="14"/>
      <c r="I2553" s="14"/>
      <c r="J2553" s="14"/>
      <c r="K2553" s="14"/>
      <c r="L2553" s="14"/>
      <c r="M2553" s="14"/>
      <c r="N2553" s="14"/>
      <c r="O2553" s="14"/>
      <c r="P2553" s="14"/>
      <c r="Q2553" s="14"/>
      <c r="R2553" s="14"/>
      <c r="S2553" s="14"/>
      <c r="T2553" s="14"/>
      <c r="U2553" s="14"/>
      <c r="V2553" s="14"/>
      <c r="W2553" s="14"/>
      <c r="X2553" s="14"/>
      <c r="Y2553" s="14"/>
    </row>
    <row r="2554" spans="1:25" ht="15.75" x14ac:dyDescent="0.25">
      <c r="A2554" s="21"/>
      <c r="B2554" s="21"/>
      <c r="C2554" s="21"/>
      <c r="E2554" s="21"/>
      <c r="F2554" s="21"/>
      <c r="G2554" s="14"/>
      <c r="H2554" s="14"/>
      <c r="I2554" s="14"/>
      <c r="J2554" s="14"/>
      <c r="K2554" s="14"/>
      <c r="L2554" s="14"/>
      <c r="M2554" s="14"/>
      <c r="N2554" s="14"/>
      <c r="O2554" s="14"/>
      <c r="P2554" s="14"/>
      <c r="Q2554" s="14"/>
      <c r="R2554" s="14"/>
      <c r="S2554" s="14"/>
      <c r="T2554" s="14"/>
      <c r="U2554" s="14"/>
      <c r="V2554" s="14"/>
      <c r="W2554" s="14"/>
      <c r="X2554" s="14"/>
      <c r="Y2554" s="14"/>
    </row>
    <row r="2555" spans="1:25" ht="15.75" x14ac:dyDescent="0.25">
      <c r="A2555" s="21"/>
      <c r="B2555" s="21"/>
      <c r="C2555" s="21"/>
      <c r="E2555" s="21"/>
      <c r="F2555" s="21"/>
      <c r="G2555" s="14"/>
      <c r="H2555" s="14"/>
      <c r="I2555" s="14"/>
      <c r="J2555" s="14"/>
      <c r="K2555" s="14"/>
      <c r="L2555" s="14"/>
      <c r="M2555" s="14"/>
      <c r="N2555" s="14"/>
      <c r="O2555" s="14"/>
      <c r="P2555" s="14"/>
      <c r="Q2555" s="14"/>
      <c r="R2555" s="14"/>
      <c r="S2555" s="14"/>
      <c r="T2555" s="14"/>
      <c r="U2555" s="14"/>
      <c r="V2555" s="14"/>
      <c r="W2555" s="14"/>
      <c r="X2555" s="14"/>
      <c r="Y2555" s="14"/>
    </row>
    <row r="2556" spans="1:25" ht="15.75" x14ac:dyDescent="0.25">
      <c r="A2556" s="21"/>
      <c r="B2556" s="21"/>
      <c r="C2556" s="21"/>
      <c r="E2556" s="21"/>
      <c r="F2556" s="21"/>
      <c r="G2556" s="14"/>
      <c r="H2556" s="14"/>
      <c r="I2556" s="14"/>
      <c r="J2556" s="14"/>
      <c r="K2556" s="14"/>
      <c r="L2556" s="14"/>
      <c r="M2556" s="14"/>
      <c r="N2556" s="14"/>
      <c r="O2556" s="14"/>
      <c r="P2556" s="14"/>
      <c r="Q2556" s="14"/>
      <c r="R2556" s="14"/>
      <c r="S2556" s="14"/>
      <c r="T2556" s="14"/>
      <c r="U2556" s="14"/>
      <c r="V2556" s="14"/>
      <c r="W2556" s="14"/>
      <c r="X2556" s="14"/>
      <c r="Y2556" s="14"/>
    </row>
    <row r="2557" spans="1:25" ht="15.75" x14ac:dyDescent="0.25">
      <c r="A2557" s="21"/>
      <c r="B2557" s="21"/>
      <c r="C2557" s="21"/>
      <c r="E2557" s="21"/>
      <c r="F2557" s="21"/>
      <c r="G2557" s="14"/>
      <c r="H2557" s="14"/>
      <c r="I2557" s="14"/>
      <c r="J2557" s="14"/>
      <c r="K2557" s="14"/>
      <c r="L2557" s="14"/>
      <c r="M2557" s="14"/>
      <c r="N2557" s="14"/>
      <c r="O2557" s="14"/>
      <c r="P2557" s="14"/>
      <c r="Q2557" s="14"/>
      <c r="R2557" s="14"/>
      <c r="S2557" s="14"/>
      <c r="T2557" s="14"/>
      <c r="U2557" s="14"/>
      <c r="V2557" s="14"/>
      <c r="W2557" s="14"/>
      <c r="X2557" s="14"/>
      <c r="Y2557" s="14"/>
    </row>
    <row r="2558" spans="1:25" ht="15.75" x14ac:dyDescent="0.25">
      <c r="A2558" s="21"/>
      <c r="B2558" s="21"/>
      <c r="C2558" s="21"/>
      <c r="E2558" s="21"/>
      <c r="F2558" s="21"/>
      <c r="G2558" s="14"/>
      <c r="H2558" s="14"/>
      <c r="I2558" s="14"/>
      <c r="J2558" s="14"/>
      <c r="K2558" s="14"/>
      <c r="L2558" s="14"/>
      <c r="M2558" s="14"/>
      <c r="N2558" s="14"/>
      <c r="O2558" s="14"/>
      <c r="P2558" s="14"/>
      <c r="Q2558" s="14"/>
      <c r="R2558" s="14"/>
      <c r="S2558" s="14"/>
      <c r="T2558" s="14"/>
      <c r="U2558" s="14"/>
      <c r="V2558" s="14"/>
      <c r="W2558" s="14"/>
      <c r="X2558" s="14"/>
      <c r="Y2558" s="14"/>
    </row>
    <row r="2559" spans="1:25" ht="15.75" x14ac:dyDescent="0.25">
      <c r="A2559" s="21"/>
      <c r="B2559" s="21"/>
      <c r="C2559" s="21"/>
      <c r="E2559" s="21"/>
      <c r="F2559" s="21"/>
      <c r="G2559" s="14"/>
      <c r="H2559" s="14"/>
      <c r="I2559" s="14"/>
      <c r="J2559" s="14"/>
      <c r="K2559" s="14"/>
      <c r="L2559" s="14"/>
      <c r="M2559" s="14"/>
      <c r="N2559" s="14"/>
      <c r="O2559" s="14"/>
      <c r="P2559" s="14"/>
      <c r="Q2559" s="14"/>
      <c r="R2559" s="14"/>
      <c r="S2559" s="14"/>
      <c r="T2559" s="14"/>
      <c r="U2559" s="14"/>
      <c r="V2559" s="14"/>
      <c r="W2559" s="14"/>
      <c r="X2559" s="14"/>
      <c r="Y2559" s="14"/>
    </row>
    <row r="2560" spans="1:25" ht="15.75" x14ac:dyDescent="0.25">
      <c r="A2560" s="21"/>
      <c r="B2560" s="21"/>
      <c r="C2560" s="21"/>
      <c r="E2560" s="21"/>
      <c r="F2560" s="21"/>
      <c r="G2560" s="14"/>
      <c r="H2560" s="14"/>
      <c r="I2560" s="14"/>
      <c r="J2560" s="14"/>
      <c r="K2560" s="14"/>
      <c r="L2560" s="14"/>
      <c r="M2560" s="14"/>
      <c r="N2560" s="14"/>
      <c r="O2560" s="14"/>
      <c r="P2560" s="14"/>
      <c r="Q2560" s="14"/>
      <c r="R2560" s="14"/>
      <c r="S2560" s="14"/>
      <c r="T2560" s="14"/>
      <c r="U2560" s="14"/>
      <c r="V2560" s="14"/>
      <c r="W2560" s="14"/>
      <c r="X2560" s="14"/>
      <c r="Y2560" s="14"/>
    </row>
    <row r="2561" spans="1:25" ht="15.75" x14ac:dyDescent="0.25">
      <c r="A2561" s="21"/>
      <c r="B2561" s="21"/>
      <c r="C2561" s="21"/>
      <c r="E2561" s="21"/>
      <c r="F2561" s="21"/>
      <c r="G2561" s="14"/>
      <c r="H2561" s="14"/>
      <c r="I2561" s="14"/>
      <c r="J2561" s="14"/>
      <c r="K2561" s="14"/>
      <c r="L2561" s="14"/>
      <c r="M2561" s="14"/>
      <c r="N2561" s="14"/>
      <c r="O2561" s="14"/>
      <c r="P2561" s="14"/>
      <c r="Q2561" s="14"/>
      <c r="R2561" s="14"/>
      <c r="S2561" s="14"/>
      <c r="T2561" s="14"/>
      <c r="U2561" s="14"/>
      <c r="V2561" s="14"/>
      <c r="W2561" s="14"/>
      <c r="X2561" s="14"/>
      <c r="Y2561" s="14"/>
    </row>
    <row r="2562" spans="1:25" ht="15.75" x14ac:dyDescent="0.25">
      <c r="A2562" s="21"/>
      <c r="B2562" s="21"/>
      <c r="C2562" s="21"/>
      <c r="E2562" s="21"/>
      <c r="F2562" s="21"/>
      <c r="G2562" s="14"/>
      <c r="H2562" s="14"/>
      <c r="I2562" s="14"/>
      <c r="J2562" s="14"/>
      <c r="K2562" s="14"/>
      <c r="L2562" s="14"/>
      <c r="M2562" s="14"/>
      <c r="N2562" s="14"/>
      <c r="O2562" s="14"/>
      <c r="P2562" s="14"/>
      <c r="Q2562" s="14"/>
      <c r="R2562" s="14"/>
      <c r="S2562" s="14"/>
      <c r="T2562" s="14"/>
      <c r="U2562" s="14"/>
      <c r="V2562" s="14"/>
      <c r="W2562" s="14"/>
      <c r="X2562" s="14"/>
      <c r="Y2562" s="14"/>
    </row>
    <row r="2563" spans="1:25" ht="15.75" x14ac:dyDescent="0.25">
      <c r="A2563" s="21"/>
      <c r="B2563" s="21"/>
      <c r="C2563" s="21"/>
      <c r="E2563" s="21"/>
      <c r="F2563" s="21"/>
      <c r="G2563" s="14"/>
      <c r="H2563" s="14"/>
      <c r="I2563" s="14"/>
      <c r="J2563" s="14"/>
      <c r="K2563" s="14"/>
      <c r="L2563" s="14"/>
      <c r="M2563" s="14"/>
      <c r="N2563" s="14"/>
      <c r="O2563" s="14"/>
      <c r="P2563" s="14"/>
      <c r="Q2563" s="14"/>
      <c r="R2563" s="14"/>
      <c r="S2563" s="14"/>
      <c r="T2563" s="14"/>
      <c r="U2563" s="14"/>
      <c r="V2563" s="14"/>
      <c r="W2563" s="14"/>
      <c r="X2563" s="14"/>
      <c r="Y2563" s="14"/>
    </row>
    <row r="2564" spans="1:25" ht="15.75" x14ac:dyDescent="0.25">
      <c r="A2564" s="21"/>
      <c r="B2564" s="21"/>
      <c r="C2564" s="21"/>
      <c r="E2564" s="21"/>
      <c r="F2564" s="21"/>
      <c r="G2564" s="14"/>
      <c r="H2564" s="14"/>
      <c r="I2564" s="14"/>
      <c r="J2564" s="14"/>
      <c r="K2564" s="14"/>
      <c r="L2564" s="14"/>
      <c r="M2564" s="14"/>
      <c r="N2564" s="14"/>
      <c r="O2564" s="14"/>
      <c r="P2564" s="14"/>
      <c r="Q2564" s="14"/>
      <c r="R2564" s="14"/>
      <c r="S2564" s="14"/>
      <c r="T2564" s="14"/>
      <c r="U2564" s="14"/>
      <c r="V2564" s="14"/>
      <c r="W2564" s="14"/>
      <c r="X2564" s="14"/>
      <c r="Y2564" s="14"/>
    </row>
    <row r="2565" spans="1:25" ht="15.75" x14ac:dyDescent="0.25">
      <c r="A2565" s="21"/>
      <c r="B2565" s="21"/>
      <c r="C2565" s="21"/>
      <c r="E2565" s="21"/>
      <c r="F2565" s="21"/>
      <c r="G2565" s="14"/>
      <c r="H2565" s="14"/>
      <c r="I2565" s="14"/>
      <c r="J2565" s="14"/>
      <c r="K2565" s="14"/>
      <c r="L2565" s="14"/>
      <c r="M2565" s="14"/>
      <c r="N2565" s="14"/>
      <c r="O2565" s="14"/>
      <c r="P2565" s="14"/>
      <c r="Q2565" s="14"/>
      <c r="R2565" s="14"/>
      <c r="S2565" s="14"/>
      <c r="T2565" s="14"/>
      <c r="U2565" s="14"/>
      <c r="V2565" s="14"/>
      <c r="W2565" s="14"/>
      <c r="X2565" s="14"/>
      <c r="Y2565" s="14"/>
    </row>
    <row r="2566" spans="1:25" ht="15.75" x14ac:dyDescent="0.25">
      <c r="A2566" s="21"/>
      <c r="B2566" s="21"/>
      <c r="C2566" s="21"/>
      <c r="E2566" s="21"/>
      <c r="F2566" s="21"/>
      <c r="G2566" s="14"/>
      <c r="H2566" s="14"/>
      <c r="I2566" s="14"/>
      <c r="J2566" s="14"/>
      <c r="K2566" s="14"/>
      <c r="L2566" s="14"/>
      <c r="M2566" s="14"/>
      <c r="N2566" s="14"/>
      <c r="O2566" s="14"/>
      <c r="P2566" s="14"/>
      <c r="Q2566" s="14"/>
      <c r="R2566" s="14"/>
      <c r="S2566" s="14"/>
      <c r="T2566" s="14"/>
      <c r="U2566" s="14"/>
      <c r="V2566" s="14"/>
      <c r="W2566" s="14"/>
      <c r="X2566" s="14"/>
      <c r="Y2566" s="14"/>
    </row>
    <row r="2567" spans="1:25" ht="15.75" x14ac:dyDescent="0.25">
      <c r="A2567" s="21"/>
      <c r="B2567" s="21"/>
      <c r="C2567" s="21"/>
      <c r="E2567" s="21"/>
      <c r="F2567" s="21"/>
      <c r="G2567" s="14"/>
      <c r="H2567" s="14"/>
      <c r="I2567" s="14"/>
      <c r="J2567" s="14"/>
      <c r="K2567" s="14"/>
      <c r="L2567" s="14"/>
      <c r="M2567" s="14"/>
      <c r="N2567" s="14"/>
      <c r="O2567" s="14"/>
      <c r="P2567" s="14"/>
      <c r="Q2567" s="14"/>
      <c r="R2567" s="14"/>
      <c r="S2567" s="14"/>
      <c r="T2567" s="14"/>
      <c r="U2567" s="14"/>
      <c r="V2567" s="14"/>
      <c r="W2567" s="14"/>
      <c r="X2567" s="14"/>
      <c r="Y2567" s="14"/>
    </row>
    <row r="2568" spans="1:25" ht="15.75" x14ac:dyDescent="0.25">
      <c r="A2568" s="21"/>
      <c r="B2568" s="21"/>
      <c r="C2568" s="21"/>
      <c r="E2568" s="21"/>
      <c r="F2568" s="21"/>
      <c r="G2568" s="14"/>
      <c r="H2568" s="14"/>
      <c r="I2568" s="14"/>
      <c r="J2568" s="14"/>
      <c r="K2568" s="14"/>
      <c r="L2568" s="14"/>
      <c r="M2568" s="14"/>
      <c r="N2568" s="14"/>
      <c r="O2568" s="14"/>
      <c r="P2568" s="14"/>
      <c r="Q2568" s="14"/>
      <c r="R2568" s="14"/>
      <c r="S2568" s="14"/>
      <c r="T2568" s="14"/>
      <c r="U2568" s="14"/>
      <c r="V2568" s="14"/>
      <c r="W2568" s="14"/>
      <c r="X2568" s="14"/>
      <c r="Y2568" s="14"/>
    </row>
    <row r="2569" spans="1:25" ht="15.75" x14ac:dyDescent="0.25">
      <c r="A2569" s="21"/>
      <c r="B2569" s="21"/>
      <c r="C2569" s="21"/>
      <c r="E2569" s="21"/>
      <c r="F2569" s="21"/>
      <c r="G2569" s="14"/>
      <c r="H2569" s="14"/>
      <c r="I2569" s="14"/>
      <c r="J2569" s="14"/>
      <c r="K2569" s="14"/>
      <c r="L2569" s="14"/>
      <c r="M2569" s="14"/>
      <c r="N2569" s="14"/>
      <c r="O2569" s="14"/>
      <c r="P2569" s="14"/>
      <c r="Q2569" s="14"/>
      <c r="R2569" s="14"/>
      <c r="S2569" s="14"/>
      <c r="T2569" s="14"/>
      <c r="U2569" s="14"/>
      <c r="V2569" s="14"/>
      <c r="W2569" s="14"/>
      <c r="X2569" s="14"/>
      <c r="Y2569" s="14"/>
    </row>
    <row r="2570" spans="1:25" ht="15.75" x14ac:dyDescent="0.25">
      <c r="A2570" s="21"/>
      <c r="B2570" s="21"/>
      <c r="C2570" s="21"/>
      <c r="E2570" s="21"/>
      <c r="F2570" s="21"/>
      <c r="G2570" s="14"/>
      <c r="H2570" s="14"/>
      <c r="I2570" s="14"/>
      <c r="J2570" s="14"/>
      <c r="K2570" s="14"/>
      <c r="L2570" s="14"/>
      <c r="M2570" s="14"/>
      <c r="N2570" s="14"/>
      <c r="O2570" s="14"/>
      <c r="P2570" s="14"/>
      <c r="Q2570" s="14"/>
      <c r="R2570" s="14"/>
      <c r="S2570" s="14"/>
      <c r="T2570" s="14"/>
      <c r="U2570" s="14"/>
      <c r="V2570" s="14"/>
      <c r="W2570" s="14"/>
      <c r="X2570" s="14"/>
      <c r="Y2570" s="14"/>
    </row>
    <row r="2571" spans="1:25" ht="15.75" x14ac:dyDescent="0.25">
      <c r="A2571" s="21"/>
      <c r="B2571" s="21"/>
      <c r="C2571" s="21"/>
      <c r="E2571" s="21"/>
      <c r="F2571" s="21"/>
      <c r="G2571" s="14"/>
      <c r="H2571" s="14"/>
      <c r="I2571" s="14"/>
      <c r="J2571" s="14"/>
      <c r="K2571" s="14"/>
      <c r="L2571" s="14"/>
      <c r="M2571" s="14"/>
      <c r="N2571" s="14"/>
      <c r="O2571" s="14"/>
      <c r="P2571" s="14"/>
      <c r="Q2571" s="14"/>
      <c r="R2571" s="14"/>
      <c r="S2571" s="14"/>
      <c r="T2571" s="14"/>
      <c r="U2571" s="14"/>
      <c r="V2571" s="14"/>
      <c r="W2571" s="14"/>
      <c r="X2571" s="14"/>
      <c r="Y2571" s="14"/>
    </row>
    <row r="2572" spans="1:25" ht="15.75" x14ac:dyDescent="0.25">
      <c r="A2572" s="21"/>
      <c r="B2572" s="21"/>
      <c r="C2572" s="21"/>
      <c r="E2572" s="21"/>
      <c r="F2572" s="21"/>
      <c r="G2572" s="14"/>
      <c r="H2572" s="14"/>
      <c r="I2572" s="14"/>
      <c r="J2572" s="14"/>
      <c r="K2572" s="14"/>
      <c r="L2572" s="14"/>
      <c r="M2572" s="14"/>
      <c r="N2572" s="14"/>
      <c r="O2572" s="14"/>
      <c r="P2572" s="14"/>
      <c r="Q2572" s="14"/>
      <c r="R2572" s="14"/>
      <c r="S2572" s="14"/>
      <c r="T2572" s="14"/>
      <c r="U2572" s="14"/>
      <c r="V2572" s="14"/>
      <c r="W2572" s="14"/>
      <c r="X2572" s="14"/>
      <c r="Y2572" s="14"/>
    </row>
    <row r="2573" spans="1:25" ht="15.75" x14ac:dyDescent="0.25">
      <c r="A2573" s="21"/>
      <c r="B2573" s="21"/>
      <c r="C2573" s="21"/>
      <c r="E2573" s="21"/>
      <c r="F2573" s="21"/>
      <c r="G2573" s="14"/>
      <c r="H2573" s="14"/>
      <c r="I2573" s="14"/>
      <c r="J2573" s="14"/>
      <c r="K2573" s="14"/>
      <c r="L2573" s="14"/>
      <c r="M2573" s="14"/>
      <c r="N2573" s="14"/>
      <c r="O2573" s="14"/>
      <c r="P2573" s="14"/>
      <c r="Q2573" s="14"/>
      <c r="R2573" s="14"/>
      <c r="S2573" s="14"/>
      <c r="T2573" s="14"/>
      <c r="U2573" s="14"/>
      <c r="V2573" s="14"/>
      <c r="W2573" s="14"/>
      <c r="X2573" s="14"/>
      <c r="Y2573" s="14"/>
    </row>
    <row r="2574" spans="1:25" ht="15.75" x14ac:dyDescent="0.25">
      <c r="A2574" s="21"/>
      <c r="B2574" s="21"/>
      <c r="C2574" s="21"/>
      <c r="E2574" s="21"/>
      <c r="F2574" s="21"/>
      <c r="G2574" s="14"/>
      <c r="H2574" s="14"/>
      <c r="I2574" s="14"/>
      <c r="J2574" s="14"/>
      <c r="K2574" s="14"/>
      <c r="L2574" s="14"/>
      <c r="M2574" s="14"/>
      <c r="N2574" s="14"/>
      <c r="O2574" s="14"/>
      <c r="P2574" s="14"/>
      <c r="Q2574" s="14"/>
      <c r="R2574" s="14"/>
      <c r="S2574" s="14"/>
      <c r="T2574" s="14"/>
      <c r="U2574" s="14"/>
      <c r="V2574" s="14"/>
      <c r="W2574" s="14"/>
      <c r="X2574" s="14"/>
      <c r="Y2574" s="14"/>
    </row>
    <row r="2575" spans="1:25" ht="15.75" x14ac:dyDescent="0.25">
      <c r="A2575" s="21"/>
      <c r="B2575" s="21"/>
      <c r="C2575" s="21"/>
      <c r="E2575" s="21"/>
      <c r="F2575" s="21"/>
      <c r="G2575" s="14"/>
      <c r="H2575" s="14"/>
      <c r="I2575" s="14"/>
      <c r="J2575" s="14"/>
      <c r="K2575" s="14"/>
      <c r="L2575" s="14"/>
      <c r="M2575" s="14"/>
      <c r="N2575" s="14"/>
      <c r="O2575" s="14"/>
      <c r="P2575" s="14"/>
      <c r="Q2575" s="14"/>
      <c r="R2575" s="14"/>
      <c r="S2575" s="14"/>
      <c r="T2575" s="14"/>
      <c r="U2575" s="14"/>
      <c r="V2575" s="14"/>
      <c r="W2575" s="14"/>
      <c r="X2575" s="14"/>
      <c r="Y2575" s="14"/>
    </row>
    <row r="2576" spans="1:25" ht="15.75" x14ac:dyDescent="0.25">
      <c r="A2576" s="21"/>
      <c r="B2576" s="21"/>
      <c r="C2576" s="21"/>
      <c r="E2576" s="21"/>
      <c r="F2576" s="21"/>
      <c r="G2576" s="14"/>
      <c r="H2576" s="14"/>
      <c r="I2576" s="14"/>
      <c r="J2576" s="14"/>
      <c r="K2576" s="14"/>
      <c r="L2576" s="14"/>
      <c r="M2576" s="14"/>
      <c r="N2576" s="14"/>
      <c r="O2576" s="14"/>
      <c r="P2576" s="14"/>
      <c r="Q2576" s="14"/>
      <c r="R2576" s="14"/>
      <c r="S2576" s="14"/>
      <c r="T2576" s="14"/>
      <c r="U2576" s="14"/>
      <c r="V2576" s="14"/>
      <c r="W2576" s="14"/>
      <c r="X2576" s="14"/>
      <c r="Y2576" s="14"/>
    </row>
    <row r="2577" spans="1:25" ht="15.75" x14ac:dyDescent="0.25">
      <c r="A2577" s="21"/>
      <c r="B2577" s="21"/>
      <c r="C2577" s="21"/>
      <c r="E2577" s="21"/>
      <c r="F2577" s="21"/>
      <c r="G2577" s="14"/>
      <c r="H2577" s="14"/>
      <c r="I2577" s="14"/>
      <c r="J2577" s="14"/>
      <c r="K2577" s="14"/>
      <c r="L2577" s="14"/>
      <c r="M2577" s="14"/>
      <c r="N2577" s="14"/>
      <c r="O2577" s="14"/>
      <c r="P2577" s="14"/>
      <c r="Q2577" s="14"/>
      <c r="R2577" s="14"/>
      <c r="S2577" s="14"/>
      <c r="T2577" s="14"/>
      <c r="U2577" s="14"/>
      <c r="V2577" s="14"/>
      <c r="W2577" s="14"/>
      <c r="X2577" s="14"/>
      <c r="Y2577" s="14"/>
    </row>
    <row r="2578" spans="1:25" ht="15.75" x14ac:dyDescent="0.25">
      <c r="A2578" s="21"/>
      <c r="B2578" s="21"/>
      <c r="C2578" s="21"/>
      <c r="E2578" s="21"/>
      <c r="F2578" s="21"/>
      <c r="G2578" s="14"/>
      <c r="H2578" s="14"/>
      <c r="I2578" s="14"/>
      <c r="J2578" s="14"/>
      <c r="K2578" s="14"/>
      <c r="L2578" s="14"/>
      <c r="M2578" s="14"/>
      <c r="N2578" s="14"/>
      <c r="O2578" s="14"/>
      <c r="P2578" s="14"/>
      <c r="Q2578" s="14"/>
      <c r="R2578" s="14"/>
      <c r="S2578" s="14"/>
      <c r="T2578" s="14"/>
      <c r="U2578" s="14"/>
      <c r="V2578" s="14"/>
      <c r="W2578" s="14"/>
      <c r="X2578" s="14"/>
      <c r="Y2578" s="14"/>
    </row>
    <row r="2579" spans="1:25" ht="15.75" x14ac:dyDescent="0.25">
      <c r="A2579" s="21"/>
      <c r="B2579" s="21"/>
      <c r="C2579" s="21"/>
      <c r="E2579" s="21"/>
      <c r="F2579" s="21"/>
      <c r="G2579" s="14"/>
      <c r="H2579" s="14"/>
      <c r="I2579" s="14"/>
      <c r="J2579" s="14"/>
      <c r="K2579" s="14"/>
      <c r="L2579" s="14"/>
      <c r="M2579" s="14"/>
      <c r="N2579" s="14"/>
      <c r="O2579" s="14"/>
      <c r="P2579" s="14"/>
      <c r="Q2579" s="14"/>
      <c r="R2579" s="14"/>
      <c r="S2579" s="14"/>
      <c r="T2579" s="14"/>
      <c r="U2579" s="14"/>
      <c r="V2579" s="14"/>
      <c r="W2579" s="14"/>
      <c r="X2579" s="14"/>
      <c r="Y2579" s="14"/>
    </row>
    <row r="2580" spans="1:25" ht="15.75" x14ac:dyDescent="0.25">
      <c r="A2580" s="21"/>
      <c r="B2580" s="21"/>
      <c r="C2580" s="21"/>
      <c r="E2580" s="21"/>
      <c r="F2580" s="21"/>
      <c r="G2580" s="14"/>
      <c r="H2580" s="14"/>
      <c r="I2580" s="14"/>
      <c r="J2580" s="14"/>
      <c r="K2580" s="14"/>
      <c r="L2580" s="14"/>
      <c r="M2580" s="14"/>
      <c r="N2580" s="14"/>
      <c r="O2580" s="14"/>
      <c r="P2580" s="14"/>
      <c r="Q2580" s="14"/>
      <c r="R2580" s="14"/>
      <c r="S2580" s="14"/>
      <c r="T2580" s="14"/>
      <c r="U2580" s="14"/>
      <c r="V2580" s="14"/>
      <c r="W2580" s="14"/>
      <c r="X2580" s="14"/>
      <c r="Y2580" s="14"/>
    </row>
    <row r="2581" spans="1:25" ht="15.75" x14ac:dyDescent="0.25">
      <c r="A2581" s="21"/>
      <c r="B2581" s="21"/>
      <c r="C2581" s="21"/>
      <c r="E2581" s="21"/>
      <c r="F2581" s="21"/>
      <c r="G2581" s="14"/>
      <c r="H2581" s="14"/>
      <c r="I2581" s="14"/>
      <c r="J2581" s="14"/>
      <c r="K2581" s="14"/>
      <c r="L2581" s="14"/>
      <c r="M2581" s="14"/>
      <c r="N2581" s="14"/>
      <c r="O2581" s="14"/>
      <c r="P2581" s="14"/>
      <c r="Q2581" s="14"/>
      <c r="R2581" s="14"/>
      <c r="S2581" s="14"/>
      <c r="T2581" s="14"/>
      <c r="U2581" s="14"/>
      <c r="V2581" s="14"/>
      <c r="W2581" s="14"/>
      <c r="X2581" s="14"/>
      <c r="Y2581" s="14"/>
    </row>
    <row r="2582" spans="1:25" ht="15.75" x14ac:dyDescent="0.25">
      <c r="A2582" s="21"/>
      <c r="B2582" s="21"/>
      <c r="C2582" s="21"/>
      <c r="E2582" s="21"/>
      <c r="F2582" s="21"/>
      <c r="G2582" s="14"/>
      <c r="H2582" s="14"/>
      <c r="I2582" s="14"/>
      <c r="J2582" s="14"/>
      <c r="K2582" s="14"/>
      <c r="L2582" s="14"/>
      <c r="M2582" s="14"/>
      <c r="N2582" s="14"/>
      <c r="O2582" s="14"/>
      <c r="P2582" s="14"/>
      <c r="Q2582" s="14"/>
      <c r="R2582" s="14"/>
      <c r="S2582" s="14"/>
      <c r="T2582" s="14"/>
      <c r="U2582" s="14"/>
      <c r="V2582" s="14"/>
      <c r="W2582" s="14"/>
      <c r="X2582" s="14"/>
      <c r="Y2582" s="14"/>
    </row>
    <row r="2583" spans="1:25" ht="15.75" x14ac:dyDescent="0.25">
      <c r="A2583" s="21"/>
      <c r="B2583" s="21"/>
      <c r="C2583" s="21"/>
      <c r="E2583" s="21"/>
      <c r="F2583" s="21"/>
      <c r="G2583" s="14"/>
      <c r="H2583" s="14"/>
      <c r="I2583" s="14"/>
      <c r="J2583" s="14"/>
      <c r="K2583" s="14"/>
      <c r="L2583" s="14"/>
      <c r="M2583" s="14"/>
      <c r="N2583" s="14"/>
      <c r="O2583" s="14"/>
      <c r="P2583" s="14"/>
      <c r="Q2583" s="14"/>
      <c r="R2583" s="14"/>
      <c r="S2583" s="14"/>
      <c r="T2583" s="14"/>
      <c r="U2583" s="14"/>
      <c r="V2583" s="14"/>
      <c r="W2583" s="14"/>
      <c r="X2583" s="14"/>
      <c r="Y2583" s="14"/>
    </row>
    <row r="2584" spans="1:25" ht="15.75" x14ac:dyDescent="0.25">
      <c r="A2584" s="21"/>
      <c r="B2584" s="21"/>
      <c r="C2584" s="21"/>
      <c r="E2584" s="21"/>
      <c r="F2584" s="21"/>
      <c r="G2584" s="14"/>
      <c r="H2584" s="14"/>
      <c r="I2584" s="14"/>
      <c r="J2584" s="14"/>
      <c r="K2584" s="14"/>
      <c r="L2584" s="14"/>
      <c r="M2584" s="14"/>
      <c r="N2584" s="14"/>
      <c r="O2584" s="14"/>
      <c r="P2584" s="14"/>
      <c r="Q2584" s="14"/>
      <c r="R2584" s="14"/>
      <c r="S2584" s="14"/>
      <c r="T2584" s="14"/>
      <c r="U2584" s="14"/>
      <c r="V2584" s="14"/>
      <c r="W2584" s="14"/>
      <c r="X2584" s="14"/>
      <c r="Y2584" s="14"/>
    </row>
    <row r="2585" spans="1:25" ht="15.75" x14ac:dyDescent="0.25">
      <c r="A2585" s="21"/>
      <c r="B2585" s="21"/>
      <c r="C2585" s="21"/>
      <c r="E2585" s="21"/>
      <c r="F2585" s="21"/>
      <c r="G2585" s="14"/>
      <c r="H2585" s="14"/>
      <c r="I2585" s="14"/>
      <c r="J2585" s="14"/>
      <c r="K2585" s="14"/>
      <c r="L2585" s="14"/>
      <c r="M2585" s="14"/>
      <c r="N2585" s="14"/>
      <c r="O2585" s="14"/>
      <c r="P2585" s="14"/>
      <c r="Q2585" s="14"/>
      <c r="R2585" s="14"/>
      <c r="S2585" s="14"/>
      <c r="T2585" s="14"/>
      <c r="U2585" s="14"/>
      <c r="V2585" s="14"/>
      <c r="W2585" s="14"/>
      <c r="X2585" s="14"/>
      <c r="Y2585" s="14"/>
    </row>
    <row r="2586" spans="1:25" ht="15.75" x14ac:dyDescent="0.25">
      <c r="A2586" s="21"/>
      <c r="B2586" s="21"/>
      <c r="C2586" s="21"/>
      <c r="E2586" s="21"/>
      <c r="F2586" s="21"/>
      <c r="G2586" s="14"/>
      <c r="H2586" s="14"/>
      <c r="I2586" s="14"/>
      <c r="J2586" s="14"/>
      <c r="K2586" s="14"/>
      <c r="L2586" s="14"/>
      <c r="M2586" s="14"/>
      <c r="N2586" s="14"/>
      <c r="O2586" s="14"/>
      <c r="P2586" s="14"/>
      <c r="Q2586" s="14"/>
      <c r="R2586" s="14"/>
      <c r="S2586" s="14"/>
      <c r="T2586" s="14"/>
      <c r="U2586" s="14"/>
      <c r="V2586" s="14"/>
      <c r="W2586" s="14"/>
      <c r="X2586" s="14"/>
      <c r="Y2586" s="14"/>
    </row>
    <row r="2587" spans="1:25" ht="15.75" x14ac:dyDescent="0.25">
      <c r="A2587" s="21"/>
      <c r="B2587" s="21"/>
      <c r="C2587" s="21"/>
      <c r="E2587" s="21"/>
      <c r="F2587" s="21"/>
      <c r="G2587" s="14"/>
      <c r="H2587" s="14"/>
      <c r="I2587" s="14"/>
      <c r="J2587" s="14"/>
      <c r="K2587" s="14"/>
      <c r="L2587" s="14"/>
      <c r="M2587" s="14"/>
      <c r="N2587" s="14"/>
      <c r="O2587" s="14"/>
      <c r="P2587" s="14"/>
      <c r="Q2587" s="14"/>
      <c r="R2587" s="14"/>
      <c r="S2587" s="14"/>
      <c r="T2587" s="14"/>
      <c r="U2587" s="14"/>
      <c r="V2587" s="14"/>
      <c r="W2587" s="14"/>
      <c r="X2587" s="14"/>
      <c r="Y2587" s="14"/>
    </row>
    <row r="2588" spans="1:25" ht="15.75" x14ac:dyDescent="0.25">
      <c r="A2588" s="21"/>
      <c r="B2588" s="21"/>
      <c r="C2588" s="21"/>
      <c r="E2588" s="21"/>
      <c r="F2588" s="21"/>
      <c r="G2588" s="14"/>
      <c r="H2588" s="14"/>
      <c r="I2588" s="14"/>
      <c r="J2588" s="14"/>
      <c r="K2588" s="14"/>
      <c r="L2588" s="14"/>
      <c r="M2588" s="14"/>
      <c r="N2588" s="14"/>
      <c r="O2588" s="14"/>
      <c r="P2588" s="14"/>
      <c r="Q2588" s="14"/>
      <c r="R2588" s="14"/>
      <c r="S2588" s="14"/>
      <c r="T2588" s="14"/>
      <c r="U2588" s="14"/>
      <c r="V2588" s="14"/>
      <c r="W2588" s="14"/>
      <c r="X2588" s="14"/>
      <c r="Y2588" s="14"/>
    </row>
    <row r="2589" spans="1:25" ht="15.75" x14ac:dyDescent="0.25">
      <c r="A2589" s="21"/>
      <c r="B2589" s="21"/>
      <c r="C2589" s="21"/>
      <c r="E2589" s="21"/>
      <c r="F2589" s="21"/>
      <c r="G2589" s="14"/>
      <c r="H2589" s="14"/>
      <c r="I2589" s="14"/>
      <c r="J2589" s="14"/>
      <c r="K2589" s="14"/>
      <c r="L2589" s="14"/>
      <c r="M2589" s="14"/>
      <c r="N2589" s="14"/>
      <c r="O2589" s="14"/>
      <c r="P2589" s="14"/>
      <c r="Q2589" s="14"/>
      <c r="R2589" s="14"/>
      <c r="S2589" s="14"/>
      <c r="T2589" s="14"/>
      <c r="U2589" s="14"/>
      <c r="V2589" s="14"/>
      <c r="W2589" s="14"/>
      <c r="X2589" s="14"/>
      <c r="Y2589" s="14"/>
    </row>
    <row r="2590" spans="1:25" ht="15.75" x14ac:dyDescent="0.25">
      <c r="A2590" s="21"/>
      <c r="B2590" s="21"/>
      <c r="C2590" s="21"/>
      <c r="E2590" s="21"/>
      <c r="F2590" s="21"/>
      <c r="G2590" s="14"/>
      <c r="H2590" s="14"/>
      <c r="I2590" s="14"/>
      <c r="J2590" s="14"/>
      <c r="K2590" s="14"/>
      <c r="L2590" s="14"/>
      <c r="M2590" s="14"/>
      <c r="N2590" s="14"/>
      <c r="O2590" s="14"/>
      <c r="P2590" s="14"/>
      <c r="Q2590" s="14"/>
      <c r="R2590" s="14"/>
      <c r="S2590" s="14"/>
      <c r="T2590" s="14"/>
      <c r="U2590" s="14"/>
      <c r="V2590" s="14"/>
      <c r="W2590" s="14"/>
      <c r="X2590" s="14"/>
      <c r="Y2590" s="14"/>
    </row>
    <row r="2591" spans="1:25" ht="15.75" x14ac:dyDescent="0.25">
      <c r="A2591" s="21"/>
      <c r="B2591" s="21"/>
      <c r="C2591" s="21"/>
      <c r="E2591" s="21"/>
      <c r="F2591" s="21"/>
      <c r="G2591" s="14"/>
      <c r="H2591" s="14"/>
      <c r="I2591" s="14"/>
      <c r="J2591" s="14"/>
      <c r="K2591" s="14"/>
      <c r="L2591" s="14"/>
      <c r="M2591" s="14"/>
      <c r="N2591" s="14"/>
      <c r="O2591" s="14"/>
      <c r="P2591" s="14"/>
      <c r="Q2591" s="14"/>
      <c r="R2591" s="14"/>
      <c r="S2591" s="14"/>
      <c r="T2591" s="14"/>
      <c r="U2591" s="14"/>
      <c r="V2591" s="14"/>
      <c r="W2591" s="14"/>
      <c r="X2591" s="14"/>
      <c r="Y2591" s="14"/>
    </row>
    <row r="2592" spans="1:25" ht="15.75" x14ac:dyDescent="0.25">
      <c r="A2592" s="21"/>
      <c r="B2592" s="21"/>
      <c r="C2592" s="21"/>
      <c r="E2592" s="21"/>
      <c r="F2592" s="21"/>
      <c r="G2592" s="14"/>
      <c r="H2592" s="14"/>
      <c r="I2592" s="14"/>
      <c r="J2592" s="14"/>
      <c r="K2592" s="14"/>
      <c r="L2592" s="14"/>
      <c r="M2592" s="14"/>
      <c r="N2592" s="14"/>
      <c r="O2592" s="14"/>
      <c r="P2592" s="14"/>
      <c r="Q2592" s="14"/>
      <c r="R2592" s="14"/>
      <c r="S2592" s="14"/>
      <c r="T2592" s="14"/>
      <c r="U2592" s="14"/>
      <c r="V2592" s="14"/>
      <c r="W2592" s="14"/>
      <c r="X2592" s="14"/>
      <c r="Y2592" s="14"/>
    </row>
    <row r="2593" spans="1:25" ht="15.75" x14ac:dyDescent="0.25">
      <c r="A2593" s="21"/>
      <c r="B2593" s="21"/>
      <c r="C2593" s="21"/>
      <c r="E2593" s="21"/>
      <c r="F2593" s="21"/>
      <c r="G2593" s="14"/>
      <c r="H2593" s="14"/>
      <c r="I2593" s="14"/>
      <c r="J2593" s="14"/>
      <c r="K2593" s="14"/>
      <c r="L2593" s="14"/>
      <c r="M2593" s="14"/>
      <c r="N2593" s="14"/>
      <c r="O2593" s="14"/>
      <c r="P2593" s="14"/>
      <c r="Q2593" s="14"/>
      <c r="R2593" s="14"/>
      <c r="S2593" s="14"/>
      <c r="T2593" s="14"/>
      <c r="U2593" s="14"/>
      <c r="V2593" s="14"/>
      <c r="W2593" s="14"/>
      <c r="X2593" s="14"/>
      <c r="Y2593" s="14"/>
    </row>
    <row r="2594" spans="1:25" ht="15.75" x14ac:dyDescent="0.25">
      <c r="A2594" s="21"/>
      <c r="B2594" s="21"/>
      <c r="C2594" s="21"/>
      <c r="E2594" s="21"/>
      <c r="F2594" s="21"/>
      <c r="G2594" s="14"/>
      <c r="H2594" s="14"/>
      <c r="I2594" s="14"/>
      <c r="J2594" s="14"/>
      <c r="K2594" s="14"/>
      <c r="L2594" s="14"/>
      <c r="M2594" s="14"/>
      <c r="N2594" s="14"/>
      <c r="O2594" s="14"/>
      <c r="P2594" s="14"/>
      <c r="Q2594" s="14"/>
      <c r="R2594" s="14"/>
      <c r="S2594" s="14"/>
      <c r="T2594" s="14"/>
      <c r="U2594" s="14"/>
      <c r="V2594" s="14"/>
      <c r="W2594" s="14"/>
      <c r="X2594" s="14"/>
      <c r="Y2594" s="14"/>
    </row>
    <row r="2595" spans="1:25" ht="15.75" x14ac:dyDescent="0.25">
      <c r="A2595" s="21"/>
      <c r="B2595" s="21"/>
      <c r="C2595" s="21"/>
      <c r="E2595" s="21"/>
      <c r="F2595" s="21"/>
      <c r="G2595" s="14"/>
      <c r="H2595" s="14"/>
      <c r="I2595" s="14"/>
      <c r="J2595" s="14"/>
      <c r="K2595" s="14"/>
      <c r="L2595" s="14"/>
      <c r="M2595" s="14"/>
      <c r="N2595" s="14"/>
      <c r="O2595" s="14"/>
      <c r="P2595" s="14"/>
      <c r="Q2595" s="14"/>
      <c r="R2595" s="14"/>
      <c r="S2595" s="14"/>
      <c r="T2595" s="14"/>
      <c r="U2595" s="14"/>
      <c r="V2595" s="14"/>
      <c r="W2595" s="14"/>
      <c r="X2595" s="14"/>
      <c r="Y2595" s="14"/>
    </row>
    <row r="2596" spans="1:25" ht="15.75" x14ac:dyDescent="0.25">
      <c r="A2596" s="21"/>
      <c r="B2596" s="21"/>
      <c r="C2596" s="21"/>
      <c r="E2596" s="21"/>
      <c r="F2596" s="21"/>
      <c r="G2596" s="14"/>
      <c r="H2596" s="14"/>
      <c r="I2596" s="14"/>
      <c r="J2596" s="14"/>
      <c r="K2596" s="14"/>
      <c r="L2596" s="14"/>
      <c r="M2596" s="14"/>
      <c r="N2596" s="14"/>
      <c r="O2596" s="14"/>
      <c r="P2596" s="14"/>
      <c r="Q2596" s="14"/>
      <c r="R2596" s="14"/>
      <c r="S2596" s="14"/>
      <c r="T2596" s="14"/>
      <c r="U2596" s="14"/>
      <c r="V2596" s="14"/>
      <c r="W2596" s="14"/>
      <c r="X2596" s="14"/>
      <c r="Y2596" s="14"/>
    </row>
    <row r="2597" spans="1:25" ht="15.75" x14ac:dyDescent="0.25">
      <c r="A2597" s="21"/>
      <c r="B2597" s="21"/>
      <c r="C2597" s="21"/>
      <c r="E2597" s="21"/>
      <c r="F2597" s="21"/>
      <c r="G2597" s="14"/>
      <c r="H2597" s="14"/>
      <c r="I2597" s="14"/>
      <c r="J2597" s="14"/>
      <c r="K2597" s="14"/>
      <c r="L2597" s="14"/>
      <c r="M2597" s="14"/>
      <c r="N2597" s="14"/>
      <c r="O2597" s="14"/>
      <c r="P2597" s="14"/>
      <c r="Q2597" s="14"/>
      <c r="R2597" s="14"/>
      <c r="S2597" s="14"/>
      <c r="T2597" s="14"/>
      <c r="U2597" s="14"/>
      <c r="V2597" s="14"/>
      <c r="W2597" s="14"/>
      <c r="X2597" s="14"/>
      <c r="Y2597" s="14"/>
    </row>
    <row r="2598" spans="1:25" ht="15.75" x14ac:dyDescent="0.25">
      <c r="A2598" s="21"/>
      <c r="B2598" s="21"/>
      <c r="C2598" s="21"/>
      <c r="E2598" s="21"/>
      <c r="F2598" s="21"/>
      <c r="G2598" s="14"/>
      <c r="H2598" s="14"/>
      <c r="I2598" s="14"/>
      <c r="J2598" s="14"/>
      <c r="K2598" s="14"/>
      <c r="L2598" s="14"/>
      <c r="M2598" s="14"/>
      <c r="N2598" s="14"/>
      <c r="O2598" s="14"/>
      <c r="P2598" s="14"/>
      <c r="Q2598" s="14"/>
      <c r="R2598" s="14"/>
      <c r="S2598" s="14"/>
      <c r="T2598" s="14"/>
      <c r="U2598" s="14"/>
      <c r="V2598" s="14"/>
      <c r="W2598" s="14"/>
      <c r="X2598" s="14"/>
      <c r="Y2598" s="14"/>
    </row>
    <row r="2599" spans="1:25" ht="15.75" x14ac:dyDescent="0.25">
      <c r="A2599" s="21"/>
      <c r="B2599" s="21"/>
      <c r="C2599" s="21"/>
      <c r="E2599" s="21"/>
      <c r="F2599" s="21"/>
      <c r="G2599" s="14"/>
      <c r="H2599" s="14"/>
      <c r="I2599" s="14"/>
      <c r="J2599" s="14"/>
      <c r="K2599" s="14"/>
      <c r="L2599" s="14"/>
      <c r="M2599" s="14"/>
      <c r="N2599" s="14"/>
      <c r="O2599" s="14"/>
      <c r="P2599" s="14"/>
      <c r="Q2599" s="14"/>
      <c r="R2599" s="14"/>
      <c r="S2599" s="14"/>
      <c r="T2599" s="14"/>
      <c r="U2599" s="14"/>
      <c r="V2599" s="14"/>
      <c r="W2599" s="14"/>
      <c r="X2599" s="14"/>
      <c r="Y2599" s="14"/>
    </row>
    <row r="2600" spans="1:25" ht="15.75" x14ac:dyDescent="0.25">
      <c r="A2600" s="21"/>
      <c r="B2600" s="21"/>
      <c r="C2600" s="21"/>
      <c r="E2600" s="21"/>
      <c r="F2600" s="21"/>
      <c r="G2600" s="14"/>
      <c r="H2600" s="14"/>
      <c r="I2600" s="14"/>
      <c r="J2600" s="14"/>
      <c r="K2600" s="14"/>
      <c r="L2600" s="14"/>
      <c r="M2600" s="14"/>
      <c r="N2600" s="14"/>
      <c r="O2600" s="14"/>
      <c r="P2600" s="14"/>
      <c r="Q2600" s="14"/>
      <c r="R2600" s="14"/>
      <c r="S2600" s="14"/>
      <c r="T2600" s="14"/>
      <c r="U2600" s="14"/>
      <c r="V2600" s="14"/>
      <c r="W2600" s="14"/>
      <c r="X2600" s="14"/>
      <c r="Y2600" s="14"/>
    </row>
    <row r="2601" spans="1:25" ht="15.75" x14ac:dyDescent="0.25">
      <c r="A2601" s="21"/>
      <c r="B2601" s="21"/>
      <c r="C2601" s="21"/>
      <c r="E2601" s="21"/>
      <c r="F2601" s="21"/>
      <c r="G2601" s="14"/>
      <c r="H2601" s="14"/>
      <c r="I2601" s="14"/>
      <c r="J2601" s="14"/>
      <c r="K2601" s="14"/>
      <c r="L2601" s="14"/>
      <c r="M2601" s="14"/>
      <c r="N2601" s="14"/>
      <c r="O2601" s="14"/>
      <c r="P2601" s="14"/>
      <c r="Q2601" s="14"/>
      <c r="R2601" s="14"/>
      <c r="S2601" s="14"/>
      <c r="T2601" s="14"/>
      <c r="U2601" s="14"/>
      <c r="V2601" s="14"/>
      <c r="W2601" s="14"/>
      <c r="X2601" s="14"/>
      <c r="Y2601" s="14"/>
    </row>
    <row r="2602" spans="1:25" ht="15.75" x14ac:dyDescent="0.25">
      <c r="A2602" s="21"/>
      <c r="B2602" s="21"/>
      <c r="C2602" s="21"/>
      <c r="E2602" s="21"/>
      <c r="F2602" s="21"/>
      <c r="G2602" s="14"/>
      <c r="H2602" s="14"/>
      <c r="I2602" s="14"/>
      <c r="J2602" s="14"/>
      <c r="K2602" s="14"/>
      <c r="L2602" s="14"/>
      <c r="M2602" s="14"/>
      <c r="N2602" s="14"/>
      <c r="O2602" s="14"/>
      <c r="P2602" s="14"/>
      <c r="Q2602" s="14"/>
      <c r="R2602" s="14"/>
      <c r="S2602" s="14"/>
      <c r="T2602" s="14"/>
      <c r="U2602" s="14"/>
      <c r="V2602" s="14"/>
      <c r="W2602" s="14"/>
      <c r="X2602" s="14"/>
      <c r="Y2602" s="14"/>
    </row>
    <row r="2603" spans="1:25" ht="15.75" x14ac:dyDescent="0.25">
      <c r="A2603" s="21"/>
      <c r="B2603" s="21"/>
      <c r="C2603" s="21"/>
      <c r="E2603" s="21"/>
      <c r="F2603" s="21"/>
      <c r="G2603" s="14"/>
      <c r="H2603" s="14"/>
      <c r="I2603" s="14"/>
      <c r="J2603" s="14"/>
      <c r="K2603" s="14"/>
      <c r="L2603" s="14"/>
      <c r="M2603" s="14"/>
      <c r="N2603" s="14"/>
      <c r="O2603" s="14"/>
      <c r="P2603" s="14"/>
      <c r="Q2603" s="14"/>
      <c r="R2603" s="14"/>
      <c r="S2603" s="14"/>
      <c r="T2603" s="14"/>
      <c r="U2603" s="14"/>
      <c r="V2603" s="14"/>
      <c r="W2603" s="14"/>
      <c r="X2603" s="14"/>
      <c r="Y2603" s="14"/>
    </row>
    <row r="2604" spans="1:25" ht="15.75" x14ac:dyDescent="0.25">
      <c r="A2604" s="21"/>
      <c r="B2604" s="21"/>
      <c r="C2604" s="21"/>
      <c r="E2604" s="21"/>
      <c r="F2604" s="21"/>
      <c r="G2604" s="14"/>
      <c r="H2604" s="14"/>
      <c r="I2604" s="14"/>
      <c r="J2604" s="14"/>
      <c r="K2604" s="14"/>
      <c r="L2604" s="14"/>
      <c r="M2604" s="14"/>
      <c r="N2604" s="14"/>
      <c r="O2604" s="14"/>
      <c r="P2604" s="14"/>
      <c r="Q2604" s="14"/>
      <c r="R2604" s="14"/>
      <c r="S2604" s="14"/>
      <c r="T2604" s="14"/>
      <c r="U2604" s="14"/>
      <c r="V2604" s="14"/>
      <c r="W2604" s="14"/>
      <c r="X2604" s="14"/>
      <c r="Y2604" s="14"/>
    </row>
    <row r="2605" spans="1:25" ht="15.75" x14ac:dyDescent="0.25">
      <c r="A2605" s="21"/>
      <c r="B2605" s="21"/>
      <c r="C2605" s="21"/>
      <c r="E2605" s="21"/>
      <c r="F2605" s="21"/>
      <c r="G2605" s="14"/>
      <c r="H2605" s="14"/>
      <c r="I2605" s="14"/>
      <c r="J2605" s="14"/>
      <c r="K2605" s="14"/>
      <c r="L2605" s="14"/>
      <c r="M2605" s="14"/>
      <c r="N2605" s="14"/>
      <c r="O2605" s="14"/>
      <c r="P2605" s="14"/>
      <c r="Q2605" s="14"/>
      <c r="R2605" s="14"/>
      <c r="S2605" s="14"/>
      <c r="T2605" s="14"/>
      <c r="U2605" s="14"/>
      <c r="V2605" s="14"/>
      <c r="W2605" s="14"/>
      <c r="X2605" s="14"/>
      <c r="Y2605" s="14"/>
    </row>
    <row r="2606" spans="1:25" ht="15.75" x14ac:dyDescent="0.25">
      <c r="A2606" s="21"/>
      <c r="B2606" s="21"/>
      <c r="C2606" s="21"/>
      <c r="E2606" s="21"/>
      <c r="F2606" s="21"/>
      <c r="G2606" s="14"/>
      <c r="H2606" s="14"/>
      <c r="I2606" s="14"/>
      <c r="J2606" s="14"/>
      <c r="K2606" s="14"/>
      <c r="L2606" s="14"/>
      <c r="M2606" s="14"/>
      <c r="N2606" s="14"/>
      <c r="O2606" s="14"/>
      <c r="P2606" s="14"/>
      <c r="Q2606" s="14"/>
      <c r="R2606" s="14"/>
      <c r="S2606" s="14"/>
      <c r="T2606" s="14"/>
      <c r="U2606" s="14"/>
      <c r="V2606" s="14"/>
      <c r="W2606" s="14"/>
      <c r="X2606" s="14"/>
      <c r="Y2606" s="14"/>
    </row>
    <row r="2607" spans="1:25" ht="15.75" x14ac:dyDescent="0.25">
      <c r="A2607" s="21"/>
      <c r="B2607" s="21"/>
      <c r="C2607" s="21"/>
      <c r="E2607" s="21"/>
      <c r="F2607" s="21"/>
      <c r="G2607" s="14"/>
      <c r="H2607" s="14"/>
      <c r="I2607" s="14"/>
      <c r="J2607" s="14"/>
      <c r="K2607" s="14"/>
      <c r="L2607" s="14"/>
      <c r="M2607" s="14"/>
      <c r="N2607" s="14"/>
      <c r="O2607" s="14"/>
      <c r="P2607" s="14"/>
      <c r="Q2607" s="14"/>
      <c r="R2607" s="14"/>
      <c r="S2607" s="14"/>
      <c r="T2607" s="14"/>
      <c r="U2607" s="14"/>
      <c r="V2607" s="14"/>
      <c r="W2607" s="14"/>
      <c r="X2607" s="14"/>
      <c r="Y2607" s="14"/>
    </row>
    <row r="2608" spans="1:25" ht="15.75" x14ac:dyDescent="0.25">
      <c r="A2608" s="21"/>
      <c r="B2608" s="21"/>
      <c r="C2608" s="21"/>
      <c r="E2608" s="21"/>
      <c r="F2608" s="21"/>
      <c r="G2608" s="14"/>
      <c r="H2608" s="14"/>
      <c r="I2608" s="14"/>
      <c r="J2608" s="14"/>
      <c r="K2608" s="14"/>
      <c r="L2608" s="14"/>
      <c r="M2608" s="14"/>
      <c r="N2608" s="14"/>
      <c r="O2608" s="14"/>
      <c r="P2608" s="14"/>
      <c r="Q2608" s="14"/>
      <c r="R2608" s="14"/>
      <c r="S2608" s="14"/>
      <c r="T2608" s="14"/>
      <c r="U2608" s="14"/>
      <c r="V2608" s="14"/>
      <c r="W2608" s="14"/>
      <c r="X2608" s="14"/>
      <c r="Y2608" s="14"/>
    </row>
    <row r="2609" spans="1:25" ht="15.75" x14ac:dyDescent="0.25">
      <c r="A2609" s="21"/>
      <c r="B2609" s="21"/>
      <c r="C2609" s="21"/>
      <c r="E2609" s="21"/>
      <c r="F2609" s="21"/>
      <c r="G2609" s="14"/>
      <c r="H2609" s="14"/>
      <c r="I2609" s="14"/>
      <c r="J2609" s="14"/>
      <c r="K2609" s="14"/>
      <c r="L2609" s="14"/>
      <c r="M2609" s="14"/>
      <c r="N2609" s="14"/>
      <c r="O2609" s="14"/>
      <c r="P2609" s="14"/>
      <c r="Q2609" s="14"/>
      <c r="R2609" s="14"/>
      <c r="S2609" s="14"/>
      <c r="T2609" s="14"/>
      <c r="U2609" s="14"/>
      <c r="V2609" s="14"/>
      <c r="W2609" s="14"/>
      <c r="X2609" s="14"/>
      <c r="Y2609" s="14"/>
    </row>
    <row r="2610" spans="1:25" ht="15.75" x14ac:dyDescent="0.25">
      <c r="A2610" s="21"/>
      <c r="B2610" s="21"/>
      <c r="C2610" s="21"/>
      <c r="E2610" s="21"/>
      <c r="F2610" s="21"/>
      <c r="G2610" s="14"/>
      <c r="H2610" s="14"/>
      <c r="I2610" s="14"/>
      <c r="J2610" s="14"/>
      <c r="K2610" s="14"/>
      <c r="L2610" s="14"/>
      <c r="M2610" s="14"/>
      <c r="N2610" s="14"/>
      <c r="O2610" s="14"/>
      <c r="P2610" s="14"/>
      <c r="Q2610" s="14"/>
      <c r="R2610" s="14"/>
      <c r="S2610" s="14"/>
      <c r="T2610" s="14"/>
      <c r="U2610" s="14"/>
      <c r="V2610" s="14"/>
      <c r="W2610" s="14"/>
      <c r="X2610" s="14"/>
      <c r="Y2610" s="14"/>
    </row>
    <row r="2611" spans="1:25" ht="15.75" x14ac:dyDescent="0.25">
      <c r="A2611" s="21"/>
      <c r="B2611" s="21"/>
      <c r="C2611" s="21"/>
      <c r="E2611" s="21"/>
      <c r="F2611" s="21"/>
      <c r="G2611" s="14"/>
      <c r="H2611" s="14"/>
      <c r="I2611" s="14"/>
      <c r="J2611" s="14"/>
      <c r="K2611" s="14"/>
      <c r="L2611" s="14"/>
      <c r="M2611" s="14"/>
      <c r="N2611" s="14"/>
      <c r="O2611" s="14"/>
      <c r="P2611" s="14"/>
      <c r="Q2611" s="14"/>
      <c r="R2611" s="14"/>
      <c r="S2611" s="14"/>
      <c r="T2611" s="14"/>
      <c r="U2611" s="14"/>
      <c r="V2611" s="14"/>
      <c r="W2611" s="14"/>
      <c r="X2611" s="14"/>
      <c r="Y2611" s="14"/>
    </row>
    <row r="2612" spans="1:25" ht="15.75" x14ac:dyDescent="0.25">
      <c r="A2612" s="21"/>
      <c r="B2612" s="21"/>
      <c r="C2612" s="21"/>
      <c r="E2612" s="21"/>
      <c r="F2612" s="21"/>
      <c r="G2612" s="14"/>
      <c r="H2612" s="14"/>
      <c r="I2612" s="14"/>
      <c r="J2612" s="14"/>
      <c r="K2612" s="14"/>
      <c r="L2612" s="14"/>
      <c r="M2612" s="14"/>
      <c r="N2612" s="14"/>
      <c r="O2612" s="14"/>
      <c r="P2612" s="14"/>
      <c r="Q2612" s="14"/>
      <c r="R2612" s="14"/>
      <c r="S2612" s="14"/>
      <c r="T2612" s="14"/>
      <c r="U2612" s="14"/>
      <c r="V2612" s="14"/>
      <c r="W2612" s="14"/>
      <c r="X2612" s="14"/>
      <c r="Y2612" s="14"/>
    </row>
    <row r="2613" spans="1:25" ht="15.75" x14ac:dyDescent="0.25">
      <c r="A2613" s="21"/>
      <c r="B2613" s="21"/>
      <c r="C2613" s="21"/>
      <c r="E2613" s="21"/>
      <c r="F2613" s="21"/>
      <c r="G2613" s="14"/>
      <c r="H2613" s="14"/>
      <c r="I2613" s="14"/>
      <c r="J2613" s="14"/>
      <c r="K2613" s="14"/>
      <c r="L2613" s="14"/>
      <c r="M2613" s="14"/>
      <c r="N2613" s="14"/>
      <c r="O2613" s="14"/>
      <c r="P2613" s="14"/>
      <c r="Q2613" s="14"/>
      <c r="R2613" s="14"/>
      <c r="S2613" s="14"/>
      <c r="T2613" s="14"/>
      <c r="U2613" s="14"/>
      <c r="V2613" s="14"/>
      <c r="W2613" s="14"/>
      <c r="X2613" s="14"/>
      <c r="Y2613" s="14"/>
    </row>
    <row r="2614" spans="1:25" ht="15.75" x14ac:dyDescent="0.25">
      <c r="A2614" s="21"/>
      <c r="B2614" s="21"/>
      <c r="C2614" s="21"/>
      <c r="E2614" s="21"/>
      <c r="F2614" s="21"/>
      <c r="G2614" s="14"/>
      <c r="H2614" s="14"/>
      <c r="I2614" s="14"/>
      <c r="J2614" s="14"/>
      <c r="K2614" s="14"/>
      <c r="L2614" s="14"/>
      <c r="M2614" s="14"/>
      <c r="N2614" s="14"/>
      <c r="O2614" s="14"/>
      <c r="P2614" s="14"/>
      <c r="Q2614" s="14"/>
      <c r="R2614" s="14"/>
      <c r="S2614" s="14"/>
      <c r="T2614" s="14"/>
      <c r="U2614" s="14"/>
      <c r="V2614" s="14"/>
      <c r="W2614" s="14"/>
      <c r="X2614" s="14"/>
      <c r="Y2614" s="14"/>
    </row>
    <row r="2615" spans="1:25" ht="15.75" x14ac:dyDescent="0.25">
      <c r="A2615" s="21"/>
      <c r="B2615" s="21"/>
      <c r="C2615" s="21"/>
      <c r="E2615" s="21"/>
      <c r="F2615" s="21"/>
      <c r="G2615" s="14"/>
      <c r="H2615" s="14"/>
      <c r="I2615" s="14"/>
      <c r="J2615" s="14"/>
      <c r="K2615" s="14"/>
      <c r="L2615" s="14"/>
      <c r="M2615" s="14"/>
      <c r="N2615" s="14"/>
      <c r="O2615" s="14"/>
      <c r="P2615" s="14"/>
      <c r="Q2615" s="14"/>
      <c r="R2615" s="14"/>
      <c r="S2615" s="14"/>
      <c r="T2615" s="14"/>
      <c r="U2615" s="14"/>
      <c r="V2615" s="14"/>
      <c r="W2615" s="14"/>
      <c r="X2615" s="14"/>
      <c r="Y2615" s="14"/>
    </row>
    <row r="2616" spans="1:25" ht="15.75" x14ac:dyDescent="0.25">
      <c r="A2616" s="21"/>
      <c r="B2616" s="21"/>
      <c r="C2616" s="21"/>
      <c r="E2616" s="21"/>
      <c r="F2616" s="21"/>
      <c r="G2616" s="14"/>
      <c r="H2616" s="14"/>
      <c r="I2616" s="14"/>
      <c r="J2616" s="14"/>
      <c r="K2616" s="14"/>
      <c r="L2616" s="14"/>
      <c r="M2616" s="14"/>
      <c r="N2616" s="14"/>
      <c r="O2616" s="14"/>
      <c r="P2616" s="14"/>
      <c r="Q2616" s="14"/>
      <c r="R2616" s="14"/>
      <c r="S2616" s="14"/>
      <c r="T2616" s="14"/>
      <c r="U2616" s="14"/>
      <c r="V2616" s="14"/>
      <c r="W2616" s="14"/>
      <c r="X2616" s="14"/>
      <c r="Y2616" s="14"/>
    </row>
    <row r="2617" spans="1:25" ht="15.75" x14ac:dyDescent="0.25">
      <c r="A2617" s="21"/>
      <c r="B2617" s="21"/>
      <c r="C2617" s="21"/>
      <c r="E2617" s="21"/>
      <c r="F2617" s="21"/>
      <c r="G2617" s="14"/>
      <c r="H2617" s="14"/>
      <c r="I2617" s="14"/>
      <c r="J2617" s="14"/>
      <c r="K2617" s="14"/>
      <c r="L2617" s="14"/>
      <c r="M2617" s="14"/>
      <c r="N2617" s="14"/>
      <c r="O2617" s="14"/>
      <c r="P2617" s="14"/>
      <c r="Q2617" s="14"/>
      <c r="R2617" s="14"/>
      <c r="S2617" s="14"/>
      <c r="T2617" s="14"/>
      <c r="U2617" s="14"/>
      <c r="V2617" s="14"/>
      <c r="W2617" s="14"/>
      <c r="X2617" s="14"/>
      <c r="Y2617" s="14"/>
    </row>
    <row r="2618" spans="1:25" ht="15.75" x14ac:dyDescent="0.25">
      <c r="A2618" s="21"/>
      <c r="B2618" s="21"/>
      <c r="C2618" s="21"/>
      <c r="E2618" s="21"/>
      <c r="F2618" s="21"/>
      <c r="G2618" s="14"/>
      <c r="H2618" s="14"/>
      <c r="I2618" s="14"/>
      <c r="J2618" s="14"/>
      <c r="K2618" s="14"/>
      <c r="L2618" s="14"/>
      <c r="M2618" s="14"/>
      <c r="N2618" s="14"/>
      <c r="O2618" s="14"/>
      <c r="P2618" s="14"/>
      <c r="Q2618" s="14"/>
      <c r="R2618" s="14"/>
      <c r="S2618" s="14"/>
      <c r="T2618" s="14"/>
      <c r="U2618" s="14"/>
      <c r="V2618" s="14"/>
      <c r="W2618" s="14"/>
      <c r="X2618" s="14"/>
      <c r="Y2618" s="14"/>
    </row>
    <row r="2619" spans="1:25" ht="15.75" x14ac:dyDescent="0.25">
      <c r="A2619" s="21"/>
      <c r="B2619" s="21"/>
      <c r="C2619" s="21"/>
      <c r="E2619" s="21"/>
      <c r="F2619" s="21"/>
      <c r="G2619" s="14"/>
      <c r="H2619" s="14"/>
      <c r="I2619" s="14"/>
      <c r="J2619" s="14"/>
      <c r="K2619" s="14"/>
      <c r="L2619" s="14"/>
      <c r="M2619" s="14"/>
      <c r="N2619" s="14"/>
      <c r="O2619" s="14"/>
      <c r="P2619" s="14"/>
      <c r="Q2619" s="14"/>
      <c r="R2619" s="14"/>
      <c r="S2619" s="14"/>
      <c r="T2619" s="14"/>
      <c r="U2619" s="14"/>
      <c r="V2619" s="14"/>
      <c r="W2619" s="14"/>
      <c r="X2619" s="14"/>
      <c r="Y2619" s="14"/>
    </row>
    <row r="2620" spans="1:25" ht="15.75" x14ac:dyDescent="0.25">
      <c r="A2620" s="21"/>
      <c r="B2620" s="21"/>
      <c r="C2620" s="21"/>
      <c r="E2620" s="21"/>
      <c r="F2620" s="21"/>
      <c r="G2620" s="14"/>
      <c r="H2620" s="14"/>
      <c r="I2620" s="14"/>
      <c r="J2620" s="14"/>
      <c r="K2620" s="14"/>
      <c r="L2620" s="14"/>
      <c r="M2620" s="14"/>
      <c r="N2620" s="14"/>
      <c r="O2620" s="14"/>
      <c r="P2620" s="14"/>
      <c r="Q2620" s="14"/>
      <c r="R2620" s="14"/>
      <c r="S2620" s="14"/>
      <c r="T2620" s="14"/>
      <c r="U2620" s="14"/>
      <c r="V2620" s="14"/>
      <c r="W2620" s="14"/>
      <c r="X2620" s="14"/>
      <c r="Y2620" s="14"/>
    </row>
    <row r="2621" spans="1:25" ht="15.75" x14ac:dyDescent="0.25">
      <c r="A2621" s="21"/>
      <c r="B2621" s="21"/>
      <c r="C2621" s="21"/>
      <c r="E2621" s="21"/>
      <c r="F2621" s="21"/>
      <c r="G2621" s="14"/>
      <c r="H2621" s="14"/>
      <c r="I2621" s="14"/>
      <c r="J2621" s="14"/>
      <c r="K2621" s="14"/>
      <c r="L2621" s="14"/>
      <c r="M2621" s="14"/>
      <c r="N2621" s="14"/>
      <c r="O2621" s="14"/>
      <c r="P2621" s="14"/>
      <c r="Q2621" s="14"/>
      <c r="R2621" s="14"/>
      <c r="S2621" s="14"/>
      <c r="T2621" s="14"/>
      <c r="U2621" s="14"/>
      <c r="V2621" s="14"/>
      <c r="W2621" s="14"/>
      <c r="X2621" s="14"/>
      <c r="Y2621" s="14"/>
    </row>
    <row r="2622" spans="1:25" ht="15.75" x14ac:dyDescent="0.25">
      <c r="A2622" s="21"/>
      <c r="B2622" s="21"/>
      <c r="C2622" s="21"/>
      <c r="E2622" s="21"/>
      <c r="F2622" s="21"/>
      <c r="G2622" s="14"/>
      <c r="H2622" s="14"/>
      <c r="I2622" s="14"/>
      <c r="J2622" s="14"/>
      <c r="K2622" s="14"/>
      <c r="L2622" s="14"/>
      <c r="M2622" s="14"/>
      <c r="N2622" s="14"/>
      <c r="O2622" s="14"/>
      <c r="P2622" s="14"/>
      <c r="Q2622" s="14"/>
      <c r="R2622" s="14"/>
      <c r="S2622" s="14"/>
      <c r="T2622" s="14"/>
      <c r="U2622" s="14"/>
      <c r="V2622" s="14"/>
      <c r="W2622" s="14"/>
      <c r="X2622" s="14"/>
      <c r="Y2622" s="14"/>
    </row>
    <row r="2623" spans="1:25" ht="15.75" x14ac:dyDescent="0.25">
      <c r="A2623" s="21"/>
      <c r="B2623" s="21"/>
      <c r="C2623" s="21"/>
      <c r="E2623" s="21"/>
      <c r="F2623" s="21"/>
      <c r="G2623" s="14"/>
      <c r="H2623" s="14"/>
      <c r="I2623" s="14"/>
      <c r="J2623" s="14"/>
      <c r="K2623" s="14"/>
      <c r="L2623" s="14"/>
      <c r="M2623" s="14"/>
      <c r="N2623" s="14"/>
      <c r="O2623" s="14"/>
      <c r="P2623" s="14"/>
      <c r="Q2623" s="14"/>
      <c r="R2623" s="14"/>
      <c r="S2623" s="14"/>
      <c r="T2623" s="14"/>
      <c r="U2623" s="14"/>
      <c r="V2623" s="14"/>
      <c r="W2623" s="14"/>
      <c r="X2623" s="14"/>
      <c r="Y2623" s="14"/>
    </row>
    <row r="2624" spans="1:25" ht="15.75" x14ac:dyDescent="0.25">
      <c r="A2624" s="21"/>
      <c r="B2624" s="21"/>
      <c r="C2624" s="21"/>
      <c r="E2624" s="21"/>
      <c r="F2624" s="21"/>
      <c r="G2624" s="14"/>
      <c r="H2624" s="14"/>
      <c r="I2624" s="14"/>
      <c r="J2624" s="14"/>
      <c r="K2624" s="14"/>
      <c r="L2624" s="14"/>
      <c r="M2624" s="14"/>
      <c r="N2624" s="14"/>
      <c r="O2624" s="14"/>
      <c r="P2624" s="14"/>
      <c r="Q2624" s="14"/>
      <c r="R2624" s="14"/>
      <c r="S2624" s="14"/>
      <c r="T2624" s="14"/>
      <c r="U2624" s="14"/>
      <c r="V2624" s="14"/>
      <c r="W2624" s="14"/>
      <c r="X2624" s="14"/>
      <c r="Y2624" s="14"/>
    </row>
    <row r="2625" spans="1:25" ht="15.75" x14ac:dyDescent="0.25">
      <c r="A2625" s="21"/>
      <c r="B2625" s="21"/>
      <c r="C2625" s="21"/>
      <c r="E2625" s="21"/>
      <c r="F2625" s="21"/>
      <c r="G2625" s="14"/>
      <c r="H2625" s="14"/>
      <c r="I2625" s="14"/>
      <c r="J2625" s="14"/>
      <c r="K2625" s="14"/>
      <c r="L2625" s="14"/>
      <c r="M2625" s="14"/>
      <c r="N2625" s="14"/>
      <c r="O2625" s="14"/>
      <c r="P2625" s="14"/>
      <c r="Q2625" s="14"/>
      <c r="R2625" s="14"/>
      <c r="S2625" s="14"/>
      <c r="T2625" s="14"/>
      <c r="U2625" s="14"/>
      <c r="V2625" s="14"/>
      <c r="W2625" s="14"/>
      <c r="X2625" s="14"/>
      <c r="Y2625" s="14"/>
    </row>
    <row r="2626" spans="1:25" ht="15.75" x14ac:dyDescent="0.25">
      <c r="A2626" s="21"/>
      <c r="B2626" s="21"/>
      <c r="C2626" s="21"/>
      <c r="E2626" s="21"/>
      <c r="F2626" s="21"/>
      <c r="G2626" s="14"/>
      <c r="H2626" s="14"/>
      <c r="I2626" s="14"/>
      <c r="J2626" s="14"/>
      <c r="K2626" s="14"/>
      <c r="L2626" s="14"/>
      <c r="M2626" s="14"/>
      <c r="N2626" s="14"/>
      <c r="O2626" s="14"/>
      <c r="P2626" s="14"/>
      <c r="Q2626" s="14"/>
      <c r="R2626" s="14"/>
      <c r="S2626" s="14"/>
      <c r="T2626" s="14"/>
      <c r="U2626" s="14"/>
      <c r="V2626" s="14"/>
      <c r="W2626" s="14"/>
      <c r="X2626" s="14"/>
      <c r="Y2626" s="14"/>
    </row>
    <row r="2627" spans="1:25" ht="15.75" x14ac:dyDescent="0.25">
      <c r="A2627" s="21"/>
      <c r="B2627" s="21"/>
      <c r="C2627" s="21"/>
      <c r="E2627" s="21"/>
      <c r="F2627" s="21"/>
      <c r="G2627" s="14"/>
      <c r="H2627" s="14"/>
      <c r="I2627" s="14"/>
      <c r="J2627" s="14"/>
      <c r="K2627" s="14"/>
      <c r="L2627" s="14"/>
      <c r="M2627" s="14"/>
      <c r="N2627" s="14"/>
      <c r="O2627" s="14"/>
      <c r="P2627" s="14"/>
      <c r="Q2627" s="14"/>
      <c r="R2627" s="14"/>
      <c r="S2627" s="14"/>
      <c r="T2627" s="14"/>
      <c r="U2627" s="14"/>
      <c r="V2627" s="14"/>
      <c r="W2627" s="14"/>
      <c r="X2627" s="14"/>
      <c r="Y2627" s="14"/>
    </row>
    <row r="2628" spans="1:25" ht="15.75" x14ac:dyDescent="0.25">
      <c r="A2628" s="21"/>
      <c r="B2628" s="21"/>
      <c r="C2628" s="21"/>
      <c r="E2628" s="21"/>
      <c r="F2628" s="21"/>
      <c r="G2628" s="14"/>
      <c r="H2628" s="14"/>
      <c r="I2628" s="14"/>
      <c r="J2628" s="14"/>
      <c r="K2628" s="14"/>
      <c r="L2628" s="14"/>
      <c r="M2628" s="14"/>
      <c r="N2628" s="14"/>
      <c r="O2628" s="14"/>
      <c r="P2628" s="14"/>
      <c r="Q2628" s="14"/>
      <c r="R2628" s="14"/>
      <c r="S2628" s="14"/>
      <c r="T2628" s="14"/>
      <c r="U2628" s="14"/>
      <c r="V2628" s="14"/>
      <c r="W2628" s="14"/>
      <c r="X2628" s="14"/>
      <c r="Y2628" s="14"/>
    </row>
    <row r="2629" spans="1:25" ht="15.75" x14ac:dyDescent="0.25">
      <c r="A2629" s="21"/>
      <c r="B2629" s="21"/>
      <c r="C2629" s="21"/>
      <c r="E2629" s="21"/>
      <c r="F2629" s="21"/>
      <c r="G2629" s="14"/>
      <c r="H2629" s="14"/>
      <c r="I2629" s="14"/>
      <c r="J2629" s="14"/>
      <c r="K2629" s="14"/>
      <c r="L2629" s="14"/>
      <c r="M2629" s="14"/>
      <c r="N2629" s="14"/>
      <c r="O2629" s="14"/>
      <c r="P2629" s="14"/>
      <c r="Q2629" s="14"/>
      <c r="R2629" s="14"/>
      <c r="S2629" s="14"/>
      <c r="T2629" s="14"/>
      <c r="U2629" s="14"/>
      <c r="V2629" s="14"/>
      <c r="W2629" s="14"/>
      <c r="X2629" s="14"/>
      <c r="Y2629" s="14"/>
    </row>
    <row r="2630" spans="1:25" ht="15.75" x14ac:dyDescent="0.25">
      <c r="A2630" s="21"/>
      <c r="B2630" s="21"/>
      <c r="C2630" s="21"/>
      <c r="E2630" s="21"/>
      <c r="F2630" s="21"/>
      <c r="G2630" s="14"/>
      <c r="H2630" s="14"/>
      <c r="I2630" s="14"/>
      <c r="J2630" s="14"/>
      <c r="K2630" s="14"/>
      <c r="L2630" s="14"/>
      <c r="M2630" s="14"/>
      <c r="N2630" s="14"/>
      <c r="O2630" s="14"/>
      <c r="P2630" s="14"/>
      <c r="Q2630" s="14"/>
      <c r="R2630" s="14"/>
      <c r="S2630" s="14"/>
      <c r="T2630" s="14"/>
      <c r="U2630" s="14"/>
      <c r="V2630" s="14"/>
      <c r="W2630" s="14"/>
      <c r="X2630" s="14"/>
      <c r="Y2630" s="14"/>
    </row>
    <row r="2631" spans="1:25" ht="15.75" x14ac:dyDescent="0.25">
      <c r="A2631" s="21"/>
      <c r="B2631" s="21"/>
      <c r="C2631" s="21"/>
      <c r="E2631" s="21"/>
      <c r="F2631" s="21"/>
      <c r="G2631" s="14"/>
      <c r="H2631" s="14"/>
      <c r="I2631" s="14"/>
      <c r="J2631" s="14"/>
      <c r="K2631" s="14"/>
      <c r="L2631" s="14"/>
      <c r="M2631" s="14"/>
      <c r="N2631" s="14"/>
      <c r="O2631" s="14"/>
      <c r="P2631" s="14"/>
      <c r="Q2631" s="14"/>
      <c r="R2631" s="14"/>
      <c r="S2631" s="14"/>
      <c r="T2631" s="14"/>
      <c r="U2631" s="14"/>
      <c r="V2631" s="14"/>
      <c r="W2631" s="14"/>
      <c r="X2631" s="14"/>
      <c r="Y2631" s="14"/>
    </row>
    <row r="2632" spans="1:25" ht="15.75" x14ac:dyDescent="0.25">
      <c r="A2632" s="21"/>
      <c r="B2632" s="21"/>
      <c r="C2632" s="21"/>
      <c r="E2632" s="21"/>
      <c r="F2632" s="21"/>
      <c r="G2632" s="14"/>
      <c r="H2632" s="14"/>
      <c r="I2632" s="14"/>
      <c r="J2632" s="14"/>
      <c r="K2632" s="14"/>
      <c r="L2632" s="14"/>
      <c r="M2632" s="14"/>
      <c r="N2632" s="14"/>
      <c r="O2632" s="14"/>
      <c r="P2632" s="14"/>
      <c r="Q2632" s="14"/>
      <c r="R2632" s="14"/>
      <c r="S2632" s="14"/>
      <c r="T2632" s="14"/>
      <c r="U2632" s="14"/>
      <c r="V2632" s="14"/>
      <c r="W2632" s="14"/>
      <c r="X2632" s="14"/>
      <c r="Y2632" s="14"/>
    </row>
    <row r="2633" spans="1:25" ht="15.75" x14ac:dyDescent="0.25">
      <c r="A2633" s="21"/>
      <c r="B2633" s="21"/>
      <c r="C2633" s="21"/>
      <c r="E2633" s="21"/>
      <c r="F2633" s="21"/>
      <c r="G2633" s="14"/>
      <c r="H2633" s="14"/>
      <c r="I2633" s="14"/>
      <c r="J2633" s="14"/>
      <c r="K2633" s="14"/>
      <c r="L2633" s="14"/>
      <c r="M2633" s="14"/>
      <c r="N2633" s="14"/>
      <c r="O2633" s="14"/>
      <c r="P2633" s="14"/>
      <c r="Q2633" s="14"/>
      <c r="R2633" s="14"/>
      <c r="S2633" s="14"/>
      <c r="T2633" s="14"/>
      <c r="U2633" s="14"/>
      <c r="V2633" s="14"/>
      <c r="W2633" s="14"/>
      <c r="X2633" s="14"/>
      <c r="Y2633" s="14"/>
    </row>
    <row r="2634" spans="1:25" ht="15.75" x14ac:dyDescent="0.25">
      <c r="A2634" s="21"/>
      <c r="B2634" s="21"/>
      <c r="C2634" s="21"/>
      <c r="E2634" s="21"/>
      <c r="F2634" s="21"/>
      <c r="G2634" s="14"/>
      <c r="H2634" s="14"/>
      <c r="I2634" s="14"/>
      <c r="J2634" s="14"/>
      <c r="K2634" s="14"/>
      <c r="L2634" s="14"/>
      <c r="M2634" s="14"/>
      <c r="N2634" s="14"/>
      <c r="O2634" s="14"/>
      <c r="P2634" s="14"/>
      <c r="Q2634" s="14"/>
      <c r="R2634" s="14"/>
      <c r="S2634" s="14"/>
      <c r="T2634" s="14"/>
      <c r="U2634" s="14"/>
      <c r="V2634" s="14"/>
      <c r="W2634" s="14"/>
      <c r="X2634" s="14"/>
      <c r="Y2634" s="14"/>
    </row>
    <row r="2635" spans="1:25" ht="15.75" x14ac:dyDescent="0.25">
      <c r="A2635" s="21"/>
      <c r="B2635" s="21"/>
      <c r="C2635" s="21"/>
      <c r="E2635" s="21"/>
      <c r="F2635" s="21"/>
      <c r="G2635" s="14"/>
      <c r="H2635" s="14"/>
      <c r="I2635" s="14"/>
      <c r="J2635" s="14"/>
      <c r="K2635" s="14"/>
      <c r="L2635" s="14"/>
      <c r="M2635" s="14"/>
      <c r="N2635" s="14"/>
      <c r="O2635" s="14"/>
      <c r="P2635" s="14"/>
      <c r="Q2635" s="14"/>
      <c r="R2635" s="14"/>
      <c r="S2635" s="14"/>
      <c r="T2635" s="14"/>
      <c r="U2635" s="14"/>
      <c r="V2635" s="14"/>
      <c r="W2635" s="14"/>
      <c r="X2635" s="14"/>
      <c r="Y2635" s="14"/>
    </row>
    <row r="2636" spans="1:25" ht="15.75" x14ac:dyDescent="0.25">
      <c r="A2636" s="21"/>
      <c r="B2636" s="21"/>
      <c r="C2636" s="21"/>
      <c r="E2636" s="21"/>
      <c r="F2636" s="21"/>
      <c r="G2636" s="14"/>
      <c r="H2636" s="14"/>
      <c r="I2636" s="14"/>
      <c r="J2636" s="14"/>
      <c r="K2636" s="14"/>
      <c r="L2636" s="14"/>
      <c r="M2636" s="14"/>
      <c r="N2636" s="14"/>
      <c r="O2636" s="14"/>
      <c r="P2636" s="14"/>
      <c r="Q2636" s="14"/>
      <c r="R2636" s="14"/>
      <c r="S2636" s="14"/>
      <c r="T2636" s="14"/>
      <c r="U2636" s="14"/>
      <c r="V2636" s="14"/>
      <c r="W2636" s="14"/>
      <c r="X2636" s="14"/>
      <c r="Y2636" s="14"/>
    </row>
    <row r="2637" spans="1:25" ht="15.75" x14ac:dyDescent="0.25">
      <c r="A2637" s="21"/>
      <c r="B2637" s="21"/>
      <c r="C2637" s="21"/>
      <c r="E2637" s="21"/>
      <c r="F2637" s="21"/>
      <c r="G2637" s="14"/>
      <c r="H2637" s="14"/>
      <c r="I2637" s="14"/>
      <c r="J2637" s="14"/>
      <c r="K2637" s="14"/>
      <c r="L2637" s="14"/>
      <c r="M2637" s="14"/>
      <c r="N2637" s="14"/>
      <c r="O2637" s="14"/>
      <c r="P2637" s="14"/>
      <c r="Q2637" s="14"/>
      <c r="R2637" s="14"/>
      <c r="S2637" s="14"/>
      <c r="T2637" s="14"/>
      <c r="U2637" s="14"/>
      <c r="V2637" s="14"/>
      <c r="W2637" s="14"/>
      <c r="X2637" s="14"/>
      <c r="Y2637" s="14"/>
    </row>
    <row r="2638" spans="1:25" ht="15.75" x14ac:dyDescent="0.25">
      <c r="A2638" s="21"/>
      <c r="B2638" s="21"/>
      <c r="C2638" s="21"/>
      <c r="E2638" s="21"/>
      <c r="F2638" s="21"/>
      <c r="G2638" s="14"/>
      <c r="H2638" s="14"/>
      <c r="I2638" s="14"/>
      <c r="J2638" s="14"/>
      <c r="K2638" s="14"/>
      <c r="L2638" s="14"/>
      <c r="M2638" s="14"/>
      <c r="N2638" s="14"/>
      <c r="O2638" s="14"/>
      <c r="P2638" s="14"/>
      <c r="Q2638" s="14"/>
      <c r="R2638" s="14"/>
      <c r="S2638" s="14"/>
      <c r="T2638" s="14"/>
      <c r="U2638" s="14"/>
      <c r="V2638" s="14"/>
      <c r="W2638" s="14"/>
      <c r="X2638" s="14"/>
      <c r="Y2638" s="14"/>
    </row>
    <row r="2639" spans="1:25" ht="15.75" x14ac:dyDescent="0.25">
      <c r="A2639" s="21"/>
      <c r="B2639" s="21"/>
      <c r="C2639" s="21"/>
      <c r="E2639" s="21"/>
      <c r="F2639" s="21"/>
      <c r="G2639" s="14"/>
      <c r="H2639" s="14"/>
      <c r="I2639" s="14"/>
      <c r="J2639" s="14"/>
      <c r="K2639" s="14"/>
      <c r="L2639" s="14"/>
      <c r="M2639" s="14"/>
      <c r="N2639" s="14"/>
      <c r="O2639" s="14"/>
      <c r="P2639" s="14"/>
      <c r="Q2639" s="14"/>
      <c r="R2639" s="14"/>
      <c r="S2639" s="14"/>
      <c r="T2639" s="14"/>
      <c r="U2639" s="14"/>
      <c r="V2639" s="14"/>
      <c r="W2639" s="14"/>
      <c r="X2639" s="14"/>
      <c r="Y2639" s="14"/>
    </row>
    <row r="2640" spans="1:25" ht="15.75" x14ac:dyDescent="0.25">
      <c r="A2640" s="21"/>
      <c r="B2640" s="21"/>
      <c r="C2640" s="21"/>
      <c r="E2640" s="21"/>
      <c r="F2640" s="21"/>
      <c r="G2640" s="14"/>
      <c r="H2640" s="14"/>
      <c r="I2640" s="14"/>
      <c r="J2640" s="14"/>
      <c r="K2640" s="14"/>
      <c r="L2640" s="14"/>
      <c r="M2640" s="14"/>
      <c r="N2640" s="14"/>
      <c r="O2640" s="14"/>
      <c r="P2640" s="14"/>
      <c r="Q2640" s="14"/>
      <c r="R2640" s="14"/>
      <c r="S2640" s="14"/>
      <c r="T2640" s="14"/>
      <c r="U2640" s="14"/>
      <c r="V2640" s="14"/>
      <c r="W2640" s="14"/>
      <c r="X2640" s="14"/>
      <c r="Y2640" s="14"/>
    </row>
    <row r="2641" spans="1:25" ht="15.75" x14ac:dyDescent="0.25">
      <c r="A2641" s="21"/>
      <c r="B2641" s="21"/>
      <c r="C2641" s="21"/>
      <c r="E2641" s="21"/>
      <c r="F2641" s="21"/>
      <c r="G2641" s="14"/>
      <c r="H2641" s="14"/>
      <c r="I2641" s="14"/>
      <c r="J2641" s="14"/>
      <c r="K2641" s="14"/>
      <c r="L2641" s="14"/>
      <c r="M2641" s="14"/>
      <c r="N2641" s="14"/>
      <c r="O2641" s="14"/>
      <c r="P2641" s="14"/>
      <c r="Q2641" s="14"/>
      <c r="R2641" s="14"/>
      <c r="S2641" s="14"/>
      <c r="T2641" s="14"/>
      <c r="U2641" s="14"/>
      <c r="V2641" s="14"/>
      <c r="W2641" s="14"/>
      <c r="X2641" s="14"/>
      <c r="Y2641" s="14"/>
    </row>
    <row r="2642" spans="1:25" ht="15.75" x14ac:dyDescent="0.25">
      <c r="A2642" s="21"/>
      <c r="B2642" s="21"/>
      <c r="C2642" s="21"/>
      <c r="E2642" s="21"/>
      <c r="F2642" s="21"/>
      <c r="G2642" s="14"/>
      <c r="H2642" s="14"/>
      <c r="I2642" s="14"/>
      <c r="J2642" s="14"/>
      <c r="K2642" s="14"/>
      <c r="L2642" s="14"/>
      <c r="M2642" s="14"/>
      <c r="N2642" s="14"/>
      <c r="O2642" s="14"/>
      <c r="P2642" s="14"/>
      <c r="Q2642" s="14"/>
      <c r="R2642" s="14"/>
      <c r="S2642" s="14"/>
      <c r="T2642" s="14"/>
      <c r="U2642" s="14"/>
      <c r="V2642" s="14"/>
      <c r="W2642" s="14"/>
      <c r="X2642" s="14"/>
      <c r="Y2642" s="14"/>
    </row>
    <row r="2643" spans="1:25" ht="15.75" x14ac:dyDescent="0.25">
      <c r="A2643" s="21"/>
      <c r="B2643" s="21"/>
      <c r="C2643" s="21"/>
      <c r="E2643" s="21"/>
      <c r="F2643" s="21"/>
      <c r="G2643" s="14"/>
      <c r="H2643" s="14"/>
      <c r="I2643" s="14"/>
      <c r="J2643" s="14"/>
      <c r="K2643" s="14"/>
      <c r="L2643" s="14"/>
      <c r="M2643" s="14"/>
      <c r="N2643" s="14"/>
      <c r="O2643" s="14"/>
      <c r="P2643" s="14"/>
      <c r="Q2643" s="14"/>
      <c r="R2643" s="14"/>
      <c r="S2643" s="14"/>
      <c r="T2643" s="14"/>
      <c r="U2643" s="14"/>
      <c r="V2643" s="14"/>
      <c r="W2643" s="14"/>
      <c r="X2643" s="14"/>
      <c r="Y2643" s="14"/>
    </row>
    <row r="2644" spans="1:25" ht="15.75" x14ac:dyDescent="0.25">
      <c r="A2644" s="21"/>
      <c r="B2644" s="21"/>
      <c r="C2644" s="21"/>
      <c r="E2644" s="21"/>
      <c r="F2644" s="21"/>
      <c r="G2644" s="14"/>
      <c r="H2644" s="14"/>
      <c r="I2644" s="14"/>
      <c r="J2644" s="14"/>
      <c r="K2644" s="14"/>
      <c r="L2644" s="14"/>
      <c r="M2644" s="14"/>
      <c r="N2644" s="14"/>
      <c r="O2644" s="14"/>
      <c r="P2644" s="14"/>
      <c r="Q2644" s="14"/>
      <c r="R2644" s="14"/>
      <c r="S2644" s="14"/>
      <c r="T2644" s="14"/>
      <c r="U2644" s="14"/>
      <c r="V2644" s="14"/>
      <c r="W2644" s="14"/>
      <c r="X2644" s="14"/>
      <c r="Y2644" s="14"/>
    </row>
    <row r="2645" spans="1:25" ht="15.75" x14ac:dyDescent="0.25">
      <c r="A2645" s="21"/>
      <c r="B2645" s="21"/>
      <c r="C2645" s="21"/>
      <c r="E2645" s="21"/>
      <c r="F2645" s="21"/>
      <c r="G2645" s="14"/>
      <c r="H2645" s="14"/>
      <c r="I2645" s="14"/>
      <c r="J2645" s="14"/>
      <c r="K2645" s="14"/>
      <c r="L2645" s="14"/>
      <c r="M2645" s="14"/>
      <c r="N2645" s="14"/>
      <c r="O2645" s="14"/>
      <c r="P2645" s="14"/>
      <c r="Q2645" s="14"/>
      <c r="R2645" s="14"/>
      <c r="S2645" s="14"/>
      <c r="T2645" s="14"/>
      <c r="U2645" s="14"/>
      <c r="V2645" s="14"/>
      <c r="W2645" s="14"/>
      <c r="X2645" s="14"/>
      <c r="Y2645" s="14"/>
    </row>
    <row r="2646" spans="1:25" ht="15.75" x14ac:dyDescent="0.25">
      <c r="A2646" s="21"/>
      <c r="B2646" s="21"/>
      <c r="C2646" s="21"/>
      <c r="E2646" s="21"/>
      <c r="F2646" s="21"/>
      <c r="G2646" s="14"/>
      <c r="H2646" s="14"/>
      <c r="I2646" s="14"/>
      <c r="J2646" s="14"/>
      <c r="K2646" s="14"/>
      <c r="L2646" s="14"/>
      <c r="M2646" s="14"/>
      <c r="N2646" s="14"/>
      <c r="O2646" s="14"/>
      <c r="P2646" s="14"/>
      <c r="Q2646" s="14"/>
      <c r="R2646" s="14"/>
      <c r="S2646" s="14"/>
      <c r="T2646" s="14"/>
      <c r="U2646" s="14"/>
      <c r="V2646" s="14"/>
      <c r="W2646" s="14"/>
      <c r="X2646" s="14"/>
      <c r="Y2646" s="14"/>
    </row>
    <row r="2647" spans="1:25" ht="15.75" x14ac:dyDescent="0.25">
      <c r="A2647" s="21"/>
      <c r="B2647" s="21"/>
      <c r="C2647" s="21"/>
      <c r="E2647" s="21"/>
      <c r="F2647" s="21"/>
      <c r="G2647" s="14"/>
      <c r="H2647" s="14"/>
      <c r="I2647" s="14"/>
      <c r="J2647" s="14"/>
      <c r="K2647" s="14"/>
      <c r="L2647" s="14"/>
      <c r="M2647" s="14"/>
      <c r="N2647" s="14"/>
      <c r="O2647" s="14"/>
      <c r="P2647" s="14"/>
      <c r="Q2647" s="14"/>
      <c r="R2647" s="14"/>
      <c r="S2647" s="14"/>
      <c r="T2647" s="14"/>
      <c r="U2647" s="14"/>
      <c r="V2647" s="14"/>
      <c r="W2647" s="14"/>
      <c r="X2647" s="14"/>
      <c r="Y2647" s="14"/>
    </row>
    <row r="2648" spans="1:25" ht="15.75" x14ac:dyDescent="0.25">
      <c r="A2648" s="21"/>
      <c r="B2648" s="21"/>
      <c r="C2648" s="21"/>
      <c r="E2648" s="21"/>
      <c r="F2648" s="21"/>
      <c r="G2648" s="14"/>
      <c r="H2648" s="14"/>
      <c r="I2648" s="14"/>
      <c r="J2648" s="14"/>
      <c r="K2648" s="14"/>
      <c r="L2648" s="14"/>
      <c r="M2648" s="14"/>
      <c r="N2648" s="14"/>
      <c r="O2648" s="14"/>
      <c r="P2648" s="14"/>
      <c r="Q2648" s="14"/>
      <c r="R2648" s="14"/>
      <c r="S2648" s="14"/>
      <c r="T2648" s="14"/>
      <c r="U2648" s="14"/>
      <c r="V2648" s="14"/>
      <c r="W2648" s="14"/>
      <c r="X2648" s="14"/>
      <c r="Y2648" s="14"/>
    </row>
    <row r="2649" spans="1:25" ht="15.75" x14ac:dyDescent="0.25">
      <c r="A2649" s="21"/>
      <c r="B2649" s="21"/>
      <c r="C2649" s="21"/>
      <c r="E2649" s="21"/>
      <c r="F2649" s="21"/>
      <c r="G2649" s="14"/>
      <c r="H2649" s="14"/>
      <c r="I2649" s="14"/>
      <c r="J2649" s="14"/>
      <c r="K2649" s="14"/>
      <c r="L2649" s="14"/>
      <c r="M2649" s="14"/>
      <c r="N2649" s="14"/>
      <c r="O2649" s="14"/>
      <c r="P2649" s="14"/>
      <c r="Q2649" s="14"/>
      <c r="R2649" s="14"/>
      <c r="S2649" s="14"/>
      <c r="T2649" s="14"/>
      <c r="U2649" s="14"/>
      <c r="V2649" s="14"/>
      <c r="W2649" s="14"/>
      <c r="X2649" s="14"/>
      <c r="Y2649" s="14"/>
    </row>
    <row r="2650" spans="1:25" ht="15.75" x14ac:dyDescent="0.25">
      <c r="A2650" s="21"/>
      <c r="B2650" s="21"/>
      <c r="C2650" s="21"/>
      <c r="E2650" s="21"/>
      <c r="F2650" s="21"/>
      <c r="G2650" s="14"/>
      <c r="H2650" s="14"/>
      <c r="I2650" s="14"/>
      <c r="J2650" s="14"/>
      <c r="K2650" s="14"/>
      <c r="L2650" s="14"/>
      <c r="M2650" s="14"/>
      <c r="N2650" s="14"/>
      <c r="O2650" s="14"/>
      <c r="P2650" s="14"/>
      <c r="Q2650" s="14"/>
      <c r="R2650" s="14"/>
      <c r="S2650" s="14"/>
      <c r="T2650" s="14"/>
      <c r="U2650" s="14"/>
      <c r="V2650" s="14"/>
      <c r="W2650" s="14"/>
      <c r="X2650" s="14"/>
      <c r="Y2650" s="14"/>
    </row>
    <row r="2651" spans="1:25" ht="15.75" x14ac:dyDescent="0.25">
      <c r="A2651" s="21"/>
      <c r="B2651" s="21"/>
      <c r="C2651" s="21"/>
      <c r="E2651" s="21"/>
      <c r="F2651" s="21"/>
      <c r="G2651" s="14"/>
      <c r="H2651" s="14"/>
      <c r="I2651" s="14"/>
      <c r="J2651" s="14"/>
      <c r="K2651" s="14"/>
      <c r="L2651" s="14"/>
      <c r="M2651" s="14"/>
      <c r="N2651" s="14"/>
      <c r="O2651" s="14"/>
      <c r="P2651" s="14"/>
      <c r="Q2651" s="14"/>
      <c r="R2651" s="14"/>
      <c r="S2651" s="14"/>
      <c r="T2651" s="14"/>
      <c r="U2651" s="14"/>
      <c r="V2651" s="14"/>
      <c r="W2651" s="14"/>
      <c r="X2651" s="14"/>
      <c r="Y2651" s="14"/>
    </row>
    <row r="2652" spans="1:25" ht="15.75" x14ac:dyDescent="0.25">
      <c r="A2652" s="21"/>
      <c r="B2652" s="21"/>
      <c r="C2652" s="21"/>
      <c r="E2652" s="21"/>
      <c r="F2652" s="21"/>
      <c r="G2652" s="14"/>
      <c r="H2652" s="14"/>
      <c r="I2652" s="14"/>
      <c r="J2652" s="14"/>
      <c r="K2652" s="14"/>
      <c r="L2652" s="14"/>
      <c r="M2652" s="14"/>
      <c r="N2652" s="14"/>
      <c r="O2652" s="14"/>
      <c r="P2652" s="14"/>
      <c r="Q2652" s="14"/>
      <c r="R2652" s="14"/>
      <c r="S2652" s="14"/>
      <c r="T2652" s="14"/>
      <c r="U2652" s="14"/>
      <c r="V2652" s="14"/>
      <c r="W2652" s="14"/>
      <c r="X2652" s="14"/>
      <c r="Y2652" s="14"/>
    </row>
    <row r="2653" spans="1:25" ht="15.75" x14ac:dyDescent="0.25">
      <c r="A2653" s="21"/>
      <c r="B2653" s="21"/>
      <c r="C2653" s="21"/>
      <c r="E2653" s="21"/>
      <c r="F2653" s="21"/>
      <c r="G2653" s="14"/>
      <c r="H2653" s="14"/>
      <c r="I2653" s="14"/>
      <c r="J2653" s="14"/>
      <c r="K2653" s="14"/>
      <c r="L2653" s="14"/>
      <c r="M2653" s="14"/>
      <c r="N2653" s="14"/>
      <c r="O2653" s="14"/>
      <c r="P2653" s="14"/>
      <c r="Q2653" s="14"/>
      <c r="R2653" s="14"/>
      <c r="S2653" s="14"/>
      <c r="T2653" s="14"/>
      <c r="U2653" s="14"/>
      <c r="V2653" s="14"/>
      <c r="W2653" s="14"/>
      <c r="X2653" s="14"/>
      <c r="Y2653" s="14"/>
    </row>
    <row r="2654" spans="1:25" ht="15.75" x14ac:dyDescent="0.25">
      <c r="A2654" s="21"/>
      <c r="B2654" s="21"/>
      <c r="C2654" s="21"/>
      <c r="E2654" s="21"/>
      <c r="F2654" s="21"/>
      <c r="G2654" s="14"/>
      <c r="H2654" s="14"/>
      <c r="I2654" s="14"/>
      <c r="J2654" s="14"/>
      <c r="K2654" s="14"/>
      <c r="L2654" s="14"/>
      <c r="M2654" s="14"/>
      <c r="N2654" s="14"/>
      <c r="O2654" s="14"/>
      <c r="P2654" s="14"/>
      <c r="Q2654" s="14"/>
      <c r="R2654" s="14"/>
      <c r="S2654" s="14"/>
      <c r="T2654" s="14"/>
      <c r="U2654" s="14"/>
      <c r="V2654" s="14"/>
      <c r="W2654" s="14"/>
      <c r="X2654" s="14"/>
      <c r="Y2654" s="14"/>
    </row>
    <row r="2655" spans="1:25" ht="15.75" x14ac:dyDescent="0.25">
      <c r="A2655" s="21"/>
      <c r="B2655" s="21"/>
      <c r="C2655" s="21"/>
      <c r="E2655" s="21"/>
      <c r="F2655" s="21"/>
      <c r="G2655" s="14"/>
      <c r="H2655" s="14"/>
      <c r="I2655" s="14"/>
      <c r="J2655" s="14"/>
      <c r="K2655" s="14"/>
      <c r="L2655" s="14"/>
      <c r="M2655" s="14"/>
      <c r="N2655" s="14"/>
      <c r="O2655" s="14"/>
      <c r="P2655" s="14"/>
      <c r="Q2655" s="14"/>
      <c r="R2655" s="14"/>
      <c r="S2655" s="14"/>
      <c r="T2655" s="14"/>
      <c r="U2655" s="14"/>
      <c r="V2655" s="14"/>
      <c r="W2655" s="14"/>
      <c r="X2655" s="14"/>
      <c r="Y2655" s="14"/>
    </row>
    <row r="2656" spans="1:25" ht="15.75" x14ac:dyDescent="0.25">
      <c r="A2656" s="21"/>
      <c r="B2656" s="21"/>
      <c r="C2656" s="21"/>
      <c r="E2656" s="21"/>
      <c r="F2656" s="21"/>
      <c r="G2656" s="14"/>
      <c r="H2656" s="14"/>
      <c r="I2656" s="14"/>
      <c r="J2656" s="14"/>
      <c r="K2656" s="14"/>
      <c r="L2656" s="14"/>
      <c r="M2656" s="14"/>
      <c r="N2656" s="14"/>
      <c r="O2656" s="14"/>
      <c r="P2656" s="14"/>
      <c r="Q2656" s="14"/>
      <c r="R2656" s="14"/>
      <c r="S2656" s="14"/>
      <c r="T2656" s="14"/>
      <c r="U2656" s="14"/>
      <c r="V2656" s="14"/>
      <c r="W2656" s="14"/>
      <c r="X2656" s="14"/>
      <c r="Y2656" s="14"/>
    </row>
    <row r="2657" spans="1:25" ht="15.75" x14ac:dyDescent="0.25">
      <c r="A2657" s="21"/>
      <c r="B2657" s="21"/>
      <c r="C2657" s="21"/>
      <c r="E2657" s="21"/>
      <c r="F2657" s="21"/>
      <c r="G2657" s="14"/>
      <c r="H2657" s="14"/>
      <c r="I2657" s="14"/>
      <c r="J2657" s="14"/>
      <c r="K2657" s="14"/>
      <c r="L2657" s="14"/>
      <c r="M2657" s="14"/>
      <c r="N2657" s="14"/>
      <c r="O2657" s="14"/>
      <c r="P2657" s="14"/>
      <c r="Q2657" s="14"/>
      <c r="R2657" s="14"/>
      <c r="S2657" s="14"/>
      <c r="T2657" s="14"/>
      <c r="U2657" s="14"/>
      <c r="V2657" s="14"/>
      <c r="W2657" s="14"/>
      <c r="X2657" s="14"/>
      <c r="Y2657" s="14"/>
    </row>
    <row r="2658" spans="1:25" ht="15.75" x14ac:dyDescent="0.25">
      <c r="A2658" s="21"/>
      <c r="B2658" s="21"/>
      <c r="C2658" s="21"/>
      <c r="E2658" s="21"/>
      <c r="F2658" s="21"/>
      <c r="G2658" s="14"/>
      <c r="H2658" s="14"/>
      <c r="I2658" s="14"/>
      <c r="J2658" s="14"/>
      <c r="K2658" s="14"/>
      <c r="L2658" s="14"/>
      <c r="M2658" s="14"/>
      <c r="N2658" s="14"/>
      <c r="O2658" s="14"/>
      <c r="P2658" s="14"/>
      <c r="Q2658" s="14"/>
      <c r="R2658" s="14"/>
      <c r="S2658" s="14"/>
      <c r="T2658" s="14"/>
      <c r="U2658" s="14"/>
      <c r="V2658" s="14"/>
      <c r="W2658" s="14"/>
      <c r="X2658" s="14"/>
      <c r="Y2658" s="14"/>
    </row>
    <row r="2659" spans="1:25" ht="15.75" x14ac:dyDescent="0.25">
      <c r="A2659" s="21"/>
      <c r="B2659" s="21"/>
      <c r="C2659" s="21"/>
      <c r="E2659" s="21"/>
      <c r="F2659" s="21"/>
      <c r="G2659" s="14"/>
      <c r="H2659" s="14"/>
      <c r="I2659" s="14"/>
      <c r="J2659" s="14"/>
      <c r="K2659" s="14"/>
      <c r="L2659" s="14"/>
      <c r="M2659" s="14"/>
      <c r="N2659" s="14"/>
      <c r="O2659" s="14"/>
      <c r="P2659" s="14"/>
      <c r="Q2659" s="14"/>
      <c r="R2659" s="14"/>
      <c r="S2659" s="14"/>
      <c r="T2659" s="14"/>
      <c r="U2659" s="14"/>
      <c r="V2659" s="14"/>
      <c r="W2659" s="14"/>
      <c r="X2659" s="14"/>
      <c r="Y2659" s="14"/>
    </row>
    <row r="2660" spans="1:25" ht="15.75" x14ac:dyDescent="0.25">
      <c r="A2660" s="21"/>
      <c r="B2660" s="21"/>
      <c r="C2660" s="21"/>
      <c r="E2660" s="21"/>
      <c r="F2660" s="21"/>
      <c r="G2660" s="14"/>
      <c r="H2660" s="14"/>
      <c r="I2660" s="14"/>
      <c r="J2660" s="14"/>
      <c r="K2660" s="14"/>
      <c r="L2660" s="14"/>
      <c r="M2660" s="14"/>
      <c r="N2660" s="14"/>
      <c r="O2660" s="14"/>
      <c r="P2660" s="14"/>
      <c r="Q2660" s="14"/>
      <c r="R2660" s="14"/>
      <c r="S2660" s="14"/>
      <c r="T2660" s="14"/>
      <c r="U2660" s="14"/>
      <c r="V2660" s="14"/>
      <c r="W2660" s="14"/>
      <c r="X2660" s="14"/>
      <c r="Y2660" s="14"/>
    </row>
    <row r="2661" spans="1:25" ht="15.75" x14ac:dyDescent="0.25">
      <c r="A2661" s="21"/>
      <c r="B2661" s="21"/>
      <c r="C2661" s="21"/>
      <c r="E2661" s="21"/>
      <c r="F2661" s="21"/>
      <c r="G2661" s="14"/>
      <c r="H2661" s="14"/>
      <c r="I2661" s="14"/>
      <c r="J2661" s="14"/>
      <c r="K2661" s="14"/>
      <c r="L2661" s="14"/>
      <c r="M2661" s="14"/>
      <c r="N2661" s="14"/>
      <c r="O2661" s="14"/>
      <c r="P2661" s="14"/>
      <c r="Q2661" s="14"/>
      <c r="R2661" s="14"/>
      <c r="S2661" s="14"/>
      <c r="T2661" s="14"/>
      <c r="U2661" s="14"/>
      <c r="V2661" s="14"/>
      <c r="W2661" s="14"/>
      <c r="X2661" s="14"/>
      <c r="Y2661" s="14"/>
    </row>
    <row r="2662" spans="1:25" ht="15.75" x14ac:dyDescent="0.25">
      <c r="A2662" s="21"/>
      <c r="B2662" s="21"/>
      <c r="C2662" s="21"/>
      <c r="E2662" s="21"/>
      <c r="F2662" s="21"/>
      <c r="G2662" s="14"/>
      <c r="H2662" s="14"/>
      <c r="I2662" s="14"/>
      <c r="J2662" s="14"/>
      <c r="K2662" s="14"/>
      <c r="L2662" s="14"/>
      <c r="M2662" s="14"/>
      <c r="N2662" s="14"/>
      <c r="O2662" s="14"/>
      <c r="P2662" s="14"/>
      <c r="Q2662" s="14"/>
      <c r="R2662" s="14"/>
      <c r="S2662" s="14"/>
      <c r="T2662" s="14"/>
      <c r="U2662" s="14"/>
      <c r="V2662" s="14"/>
      <c r="W2662" s="14"/>
      <c r="X2662" s="14"/>
      <c r="Y2662" s="14"/>
    </row>
    <row r="2663" spans="1:25" ht="15.75" x14ac:dyDescent="0.25">
      <c r="A2663" s="21"/>
      <c r="B2663" s="21"/>
      <c r="C2663" s="21"/>
      <c r="E2663" s="21"/>
      <c r="F2663" s="21"/>
      <c r="G2663" s="14"/>
      <c r="H2663" s="14"/>
      <c r="I2663" s="14"/>
      <c r="J2663" s="14"/>
      <c r="K2663" s="14"/>
      <c r="L2663" s="14"/>
      <c r="M2663" s="14"/>
      <c r="N2663" s="14"/>
      <c r="O2663" s="14"/>
      <c r="P2663" s="14"/>
      <c r="Q2663" s="14"/>
      <c r="R2663" s="14"/>
      <c r="S2663" s="14"/>
      <c r="T2663" s="14"/>
      <c r="U2663" s="14"/>
      <c r="V2663" s="14"/>
      <c r="W2663" s="14"/>
      <c r="X2663" s="14"/>
      <c r="Y2663" s="14"/>
    </row>
    <row r="2664" spans="1:25" ht="15.75" x14ac:dyDescent="0.25">
      <c r="A2664" s="21"/>
      <c r="B2664" s="21"/>
      <c r="C2664" s="21"/>
      <c r="E2664" s="21"/>
      <c r="F2664" s="21"/>
      <c r="G2664" s="14"/>
      <c r="H2664" s="14"/>
      <c r="I2664" s="14"/>
      <c r="J2664" s="14"/>
      <c r="K2664" s="14"/>
      <c r="L2664" s="14"/>
      <c r="M2664" s="14"/>
      <c r="N2664" s="14"/>
      <c r="O2664" s="14"/>
      <c r="P2664" s="14"/>
      <c r="Q2664" s="14"/>
      <c r="R2664" s="14"/>
      <c r="S2664" s="14"/>
      <c r="T2664" s="14"/>
      <c r="U2664" s="14"/>
      <c r="V2664" s="14"/>
      <c r="W2664" s="14"/>
      <c r="X2664" s="14"/>
      <c r="Y2664" s="14"/>
    </row>
    <row r="2665" spans="1:25" ht="15.75" x14ac:dyDescent="0.25">
      <c r="A2665" s="21"/>
      <c r="B2665" s="21"/>
      <c r="C2665" s="21"/>
      <c r="E2665" s="21"/>
      <c r="F2665" s="21"/>
      <c r="G2665" s="14"/>
      <c r="H2665" s="14"/>
      <c r="I2665" s="14"/>
      <c r="J2665" s="14"/>
      <c r="K2665" s="14"/>
      <c r="L2665" s="14"/>
      <c r="M2665" s="14"/>
      <c r="N2665" s="14"/>
      <c r="O2665" s="14"/>
      <c r="P2665" s="14"/>
      <c r="Q2665" s="14"/>
      <c r="R2665" s="14"/>
      <c r="S2665" s="14"/>
      <c r="T2665" s="14"/>
      <c r="U2665" s="14"/>
      <c r="V2665" s="14"/>
      <c r="W2665" s="14"/>
      <c r="X2665" s="14"/>
      <c r="Y2665" s="14"/>
    </row>
    <row r="2666" spans="1:25" ht="15.75" x14ac:dyDescent="0.25">
      <c r="A2666" s="21"/>
      <c r="B2666" s="21"/>
      <c r="C2666" s="21"/>
      <c r="E2666" s="21"/>
      <c r="F2666" s="21"/>
      <c r="G2666" s="14"/>
      <c r="H2666" s="14"/>
      <c r="I2666" s="14"/>
      <c r="J2666" s="14"/>
      <c r="K2666" s="14"/>
      <c r="L2666" s="14"/>
      <c r="M2666" s="14"/>
      <c r="N2666" s="14"/>
      <c r="O2666" s="14"/>
      <c r="P2666" s="14"/>
      <c r="Q2666" s="14"/>
      <c r="R2666" s="14"/>
      <c r="S2666" s="14"/>
      <c r="T2666" s="14"/>
      <c r="U2666" s="14"/>
      <c r="V2666" s="14"/>
      <c r="W2666" s="14"/>
      <c r="X2666" s="14"/>
      <c r="Y2666" s="14"/>
    </row>
    <row r="2667" spans="1:25" ht="15.75" x14ac:dyDescent="0.25">
      <c r="A2667" s="21"/>
      <c r="B2667" s="21"/>
      <c r="C2667" s="21"/>
      <c r="E2667" s="21"/>
      <c r="F2667" s="21"/>
      <c r="G2667" s="14"/>
      <c r="H2667" s="14"/>
      <c r="I2667" s="14"/>
      <c r="J2667" s="14"/>
      <c r="K2667" s="14"/>
      <c r="L2667" s="14"/>
      <c r="M2667" s="14"/>
      <c r="N2667" s="14"/>
      <c r="O2667" s="14"/>
      <c r="P2667" s="14"/>
      <c r="Q2667" s="14"/>
      <c r="R2667" s="14"/>
      <c r="S2667" s="14"/>
      <c r="T2667" s="14"/>
      <c r="U2667" s="14"/>
      <c r="V2667" s="14"/>
      <c r="W2667" s="14"/>
      <c r="X2667" s="14"/>
      <c r="Y2667" s="14"/>
    </row>
    <row r="2668" spans="1:25" ht="15.75" x14ac:dyDescent="0.25">
      <c r="A2668" s="21"/>
      <c r="B2668" s="21"/>
      <c r="C2668" s="21"/>
      <c r="E2668" s="21"/>
      <c r="F2668" s="21"/>
      <c r="G2668" s="14"/>
      <c r="H2668" s="14"/>
      <c r="I2668" s="14"/>
      <c r="J2668" s="14"/>
      <c r="K2668" s="14"/>
      <c r="L2668" s="14"/>
      <c r="M2668" s="14"/>
      <c r="N2668" s="14"/>
      <c r="O2668" s="14"/>
      <c r="P2668" s="14"/>
      <c r="Q2668" s="14"/>
      <c r="R2668" s="14"/>
      <c r="S2668" s="14"/>
      <c r="T2668" s="14"/>
      <c r="U2668" s="14"/>
      <c r="V2668" s="14"/>
      <c r="W2668" s="14"/>
      <c r="X2668" s="14"/>
      <c r="Y2668" s="14"/>
    </row>
    <row r="2669" spans="1:25" ht="15.75" x14ac:dyDescent="0.25">
      <c r="A2669" s="21"/>
      <c r="B2669" s="21"/>
      <c r="C2669" s="21"/>
      <c r="E2669" s="21"/>
      <c r="F2669" s="21"/>
      <c r="G2669" s="14"/>
      <c r="H2669" s="14"/>
      <c r="I2669" s="14"/>
      <c r="J2669" s="14"/>
      <c r="K2669" s="14"/>
      <c r="L2669" s="14"/>
      <c r="M2669" s="14"/>
      <c r="N2669" s="14"/>
      <c r="O2669" s="14"/>
      <c r="P2669" s="14"/>
      <c r="Q2669" s="14"/>
      <c r="R2669" s="14"/>
      <c r="S2669" s="14"/>
      <c r="T2669" s="14"/>
      <c r="U2669" s="14"/>
      <c r="V2669" s="14"/>
      <c r="W2669" s="14"/>
      <c r="X2669" s="14"/>
      <c r="Y2669" s="14"/>
    </row>
    <row r="2670" spans="1:25" ht="15.75" x14ac:dyDescent="0.25">
      <c r="A2670" s="21"/>
      <c r="B2670" s="21"/>
      <c r="C2670" s="21"/>
      <c r="E2670" s="21"/>
      <c r="F2670" s="21"/>
      <c r="G2670" s="14"/>
      <c r="H2670" s="14"/>
      <c r="I2670" s="14"/>
      <c r="J2670" s="14"/>
      <c r="K2670" s="14"/>
      <c r="L2670" s="14"/>
      <c r="M2670" s="14"/>
      <c r="N2670" s="14"/>
      <c r="O2670" s="14"/>
      <c r="P2670" s="14"/>
      <c r="Q2670" s="14"/>
      <c r="R2670" s="14"/>
      <c r="S2670" s="14"/>
      <c r="T2670" s="14"/>
      <c r="U2670" s="14"/>
      <c r="V2670" s="14"/>
      <c r="W2670" s="14"/>
      <c r="X2670" s="14"/>
      <c r="Y2670" s="14"/>
    </row>
    <row r="2671" spans="1:25" ht="15.75" x14ac:dyDescent="0.25">
      <c r="A2671" s="21"/>
      <c r="B2671" s="21"/>
      <c r="C2671" s="21"/>
      <c r="E2671" s="21"/>
      <c r="F2671" s="21"/>
      <c r="G2671" s="14"/>
      <c r="H2671" s="14"/>
      <c r="I2671" s="14"/>
      <c r="J2671" s="14"/>
      <c r="K2671" s="14"/>
      <c r="L2671" s="14"/>
      <c r="M2671" s="14"/>
      <c r="N2671" s="14"/>
      <c r="O2671" s="14"/>
      <c r="P2671" s="14"/>
      <c r="Q2671" s="14"/>
      <c r="R2671" s="14"/>
      <c r="S2671" s="14"/>
      <c r="T2671" s="14"/>
      <c r="U2671" s="14"/>
      <c r="V2671" s="14"/>
      <c r="W2671" s="14"/>
      <c r="X2671" s="14"/>
      <c r="Y2671" s="14"/>
    </row>
    <row r="2672" spans="1:25" ht="15.75" x14ac:dyDescent="0.25">
      <c r="A2672" s="21"/>
      <c r="B2672" s="21"/>
      <c r="C2672" s="21"/>
      <c r="E2672" s="21"/>
      <c r="F2672" s="21"/>
      <c r="G2672" s="14"/>
      <c r="H2672" s="14"/>
      <c r="I2672" s="14"/>
      <c r="J2672" s="14"/>
      <c r="K2672" s="14"/>
      <c r="L2672" s="14"/>
      <c r="M2672" s="14"/>
      <c r="N2672" s="14"/>
      <c r="O2672" s="14"/>
      <c r="P2672" s="14"/>
      <c r="Q2672" s="14"/>
      <c r="R2672" s="14"/>
      <c r="S2672" s="14"/>
      <c r="T2672" s="14"/>
      <c r="U2672" s="14"/>
      <c r="V2672" s="14"/>
      <c r="W2672" s="14"/>
      <c r="X2672" s="14"/>
      <c r="Y2672" s="14"/>
    </row>
    <row r="2673" spans="1:25" ht="15.75" x14ac:dyDescent="0.25">
      <c r="A2673" s="21"/>
      <c r="B2673" s="21"/>
      <c r="C2673" s="21"/>
      <c r="E2673" s="21"/>
      <c r="F2673" s="21"/>
      <c r="G2673" s="14"/>
      <c r="H2673" s="14"/>
      <c r="I2673" s="14"/>
      <c r="J2673" s="14"/>
      <c r="K2673" s="14"/>
      <c r="L2673" s="14"/>
      <c r="M2673" s="14"/>
      <c r="N2673" s="14"/>
      <c r="O2673" s="14"/>
      <c r="P2673" s="14"/>
      <c r="Q2673" s="14"/>
      <c r="R2673" s="14"/>
      <c r="S2673" s="14"/>
      <c r="T2673" s="14"/>
      <c r="U2673" s="14"/>
      <c r="V2673" s="14"/>
      <c r="W2673" s="14"/>
      <c r="X2673" s="14"/>
      <c r="Y2673" s="14"/>
    </row>
    <row r="2674" spans="1:25" ht="15.75" x14ac:dyDescent="0.25">
      <c r="A2674" s="21"/>
      <c r="B2674" s="21"/>
      <c r="C2674" s="21"/>
      <c r="E2674" s="21"/>
      <c r="F2674" s="21"/>
      <c r="G2674" s="14"/>
      <c r="H2674" s="14"/>
      <c r="I2674" s="14"/>
      <c r="J2674" s="14"/>
      <c r="K2674" s="14"/>
      <c r="L2674" s="14"/>
      <c r="M2674" s="14"/>
      <c r="N2674" s="14"/>
      <c r="O2674" s="14"/>
      <c r="P2674" s="14"/>
      <c r="Q2674" s="14"/>
      <c r="R2674" s="14"/>
      <c r="S2674" s="14"/>
      <c r="T2674" s="14"/>
      <c r="U2674" s="14"/>
      <c r="V2674" s="14"/>
      <c r="W2674" s="14"/>
      <c r="X2674" s="14"/>
      <c r="Y2674" s="14"/>
    </row>
    <row r="2675" spans="1:25" ht="15.75" x14ac:dyDescent="0.25">
      <c r="A2675" s="21"/>
      <c r="B2675" s="21"/>
      <c r="C2675" s="21"/>
      <c r="E2675" s="21"/>
      <c r="F2675" s="21"/>
      <c r="G2675" s="14"/>
      <c r="H2675" s="14"/>
      <c r="I2675" s="14"/>
      <c r="J2675" s="14"/>
      <c r="K2675" s="14"/>
      <c r="L2675" s="14"/>
      <c r="M2675" s="14"/>
      <c r="N2675" s="14"/>
      <c r="O2675" s="14"/>
      <c r="P2675" s="14"/>
      <c r="Q2675" s="14"/>
      <c r="R2675" s="14"/>
      <c r="S2675" s="14"/>
      <c r="T2675" s="14"/>
      <c r="U2675" s="14"/>
      <c r="V2675" s="14"/>
      <c r="W2675" s="14"/>
      <c r="X2675" s="14"/>
      <c r="Y2675" s="14"/>
    </row>
    <row r="2676" spans="1:25" ht="15.75" x14ac:dyDescent="0.25">
      <c r="A2676" s="21"/>
      <c r="B2676" s="21"/>
      <c r="C2676" s="21"/>
      <c r="E2676" s="21"/>
      <c r="F2676" s="21"/>
      <c r="G2676" s="14"/>
      <c r="H2676" s="14"/>
      <c r="I2676" s="14"/>
      <c r="J2676" s="14"/>
      <c r="K2676" s="14"/>
      <c r="L2676" s="14"/>
      <c r="M2676" s="14"/>
      <c r="N2676" s="14"/>
      <c r="O2676" s="14"/>
      <c r="P2676" s="14"/>
      <c r="Q2676" s="14"/>
      <c r="R2676" s="14"/>
      <c r="S2676" s="14"/>
      <c r="T2676" s="14"/>
      <c r="U2676" s="14"/>
      <c r="V2676" s="14"/>
      <c r="W2676" s="14"/>
      <c r="X2676" s="14"/>
      <c r="Y2676" s="14"/>
    </row>
    <row r="2677" spans="1:25" ht="15.75" x14ac:dyDescent="0.25">
      <c r="A2677" s="21"/>
      <c r="B2677" s="21"/>
      <c r="C2677" s="21"/>
      <c r="E2677" s="21"/>
      <c r="F2677" s="21"/>
      <c r="G2677" s="14"/>
      <c r="H2677" s="14"/>
      <c r="I2677" s="14"/>
      <c r="J2677" s="14"/>
      <c r="K2677" s="14"/>
      <c r="L2677" s="14"/>
      <c r="M2677" s="14"/>
      <c r="N2677" s="14"/>
      <c r="O2677" s="14"/>
      <c r="P2677" s="14"/>
      <c r="Q2677" s="14"/>
      <c r="R2677" s="14"/>
      <c r="S2677" s="14"/>
      <c r="T2677" s="14"/>
      <c r="U2677" s="14"/>
      <c r="V2677" s="14"/>
      <c r="W2677" s="14"/>
      <c r="X2677" s="14"/>
      <c r="Y2677" s="14"/>
    </row>
    <row r="2678" spans="1:25" ht="15.75" x14ac:dyDescent="0.25">
      <c r="A2678" s="21"/>
      <c r="B2678" s="21"/>
      <c r="C2678" s="21"/>
      <c r="E2678" s="21"/>
      <c r="F2678" s="21"/>
      <c r="G2678" s="14"/>
      <c r="H2678" s="14"/>
      <c r="I2678" s="14"/>
      <c r="J2678" s="14"/>
      <c r="K2678" s="14"/>
      <c r="L2678" s="14"/>
      <c r="M2678" s="14"/>
      <c r="N2678" s="14"/>
      <c r="O2678" s="14"/>
      <c r="P2678" s="14"/>
      <c r="Q2678" s="14"/>
      <c r="R2678" s="14"/>
      <c r="S2678" s="14"/>
      <c r="T2678" s="14"/>
      <c r="U2678" s="14"/>
      <c r="V2678" s="14"/>
      <c r="W2678" s="14"/>
      <c r="X2678" s="14"/>
      <c r="Y2678" s="14"/>
    </row>
    <row r="2679" spans="1:25" ht="15.75" x14ac:dyDescent="0.25">
      <c r="A2679" s="21"/>
      <c r="B2679" s="21"/>
      <c r="C2679" s="21"/>
      <c r="E2679" s="21"/>
      <c r="F2679" s="21"/>
      <c r="G2679" s="14"/>
      <c r="H2679" s="14"/>
      <c r="I2679" s="14"/>
      <c r="J2679" s="14"/>
      <c r="K2679" s="14"/>
      <c r="L2679" s="14"/>
      <c r="M2679" s="14"/>
      <c r="N2679" s="14"/>
      <c r="O2679" s="14"/>
      <c r="P2679" s="14"/>
      <c r="Q2679" s="14"/>
      <c r="R2679" s="14"/>
      <c r="S2679" s="14"/>
      <c r="T2679" s="14"/>
      <c r="U2679" s="14"/>
      <c r="V2679" s="14"/>
      <c r="W2679" s="14"/>
      <c r="X2679" s="14"/>
      <c r="Y2679" s="14"/>
    </row>
    <row r="2680" spans="1:25" ht="15.75" x14ac:dyDescent="0.25">
      <c r="A2680" s="21"/>
      <c r="B2680" s="21"/>
      <c r="C2680" s="21"/>
      <c r="E2680" s="21"/>
      <c r="F2680" s="21"/>
      <c r="G2680" s="14"/>
      <c r="H2680" s="14"/>
      <c r="I2680" s="14"/>
      <c r="J2680" s="14"/>
      <c r="K2680" s="14"/>
      <c r="L2680" s="14"/>
      <c r="M2680" s="14"/>
      <c r="N2680" s="14"/>
      <c r="O2680" s="14"/>
      <c r="P2680" s="14"/>
      <c r="Q2680" s="14"/>
      <c r="R2680" s="14"/>
      <c r="S2680" s="14"/>
      <c r="T2680" s="14"/>
      <c r="U2680" s="14"/>
      <c r="V2680" s="14"/>
      <c r="W2680" s="14"/>
      <c r="X2680" s="14"/>
      <c r="Y2680" s="14"/>
    </row>
    <row r="2681" spans="1:25" ht="15.75" x14ac:dyDescent="0.25">
      <c r="A2681" s="21"/>
      <c r="B2681" s="21"/>
      <c r="C2681" s="21"/>
      <c r="E2681" s="21"/>
      <c r="F2681" s="21"/>
      <c r="G2681" s="14"/>
      <c r="H2681" s="14"/>
      <c r="I2681" s="14"/>
      <c r="J2681" s="14"/>
      <c r="K2681" s="14"/>
      <c r="L2681" s="14"/>
      <c r="M2681" s="14"/>
      <c r="N2681" s="14"/>
      <c r="O2681" s="14"/>
      <c r="P2681" s="14"/>
      <c r="Q2681" s="14"/>
      <c r="R2681" s="14"/>
      <c r="S2681" s="14"/>
      <c r="T2681" s="14"/>
      <c r="U2681" s="14"/>
      <c r="V2681" s="14"/>
      <c r="W2681" s="14"/>
      <c r="X2681" s="14"/>
      <c r="Y2681" s="14"/>
    </row>
    <row r="2682" spans="1:25" ht="15.75" x14ac:dyDescent="0.25">
      <c r="A2682" s="21"/>
      <c r="B2682" s="21"/>
      <c r="C2682" s="21"/>
      <c r="E2682" s="21"/>
      <c r="F2682" s="21"/>
      <c r="G2682" s="14"/>
      <c r="H2682" s="14"/>
      <c r="I2682" s="14"/>
      <c r="J2682" s="14"/>
      <c r="K2682" s="14"/>
      <c r="L2682" s="14"/>
      <c r="M2682" s="14"/>
      <c r="N2682" s="14"/>
      <c r="O2682" s="14"/>
      <c r="P2682" s="14"/>
      <c r="Q2682" s="14"/>
      <c r="R2682" s="14"/>
      <c r="S2682" s="14"/>
      <c r="T2682" s="14"/>
      <c r="U2682" s="14"/>
      <c r="V2682" s="14"/>
      <c r="W2682" s="14"/>
      <c r="X2682" s="14"/>
      <c r="Y2682" s="14"/>
    </row>
    <row r="2683" spans="1:25" ht="15.75" x14ac:dyDescent="0.25">
      <c r="A2683" s="21"/>
      <c r="B2683" s="21"/>
      <c r="C2683" s="21"/>
      <c r="E2683" s="21"/>
      <c r="F2683" s="21"/>
      <c r="G2683" s="14"/>
      <c r="H2683" s="14"/>
      <c r="I2683" s="14"/>
      <c r="J2683" s="14"/>
      <c r="K2683" s="14"/>
      <c r="L2683" s="14"/>
      <c r="M2683" s="14"/>
      <c r="N2683" s="14"/>
      <c r="O2683" s="14"/>
      <c r="P2683" s="14"/>
      <c r="Q2683" s="14"/>
      <c r="R2683" s="14"/>
      <c r="S2683" s="14"/>
      <c r="T2683" s="14"/>
      <c r="U2683" s="14"/>
      <c r="V2683" s="14"/>
      <c r="W2683" s="14"/>
      <c r="X2683" s="14"/>
      <c r="Y2683" s="14"/>
    </row>
    <row r="2684" spans="1:25" ht="15.75" x14ac:dyDescent="0.25">
      <c r="A2684" s="21"/>
      <c r="B2684" s="21"/>
      <c r="C2684" s="21"/>
      <c r="E2684" s="21"/>
      <c r="F2684" s="21"/>
      <c r="G2684" s="14"/>
      <c r="H2684" s="14"/>
      <c r="I2684" s="14"/>
      <c r="J2684" s="14"/>
      <c r="K2684" s="14"/>
      <c r="L2684" s="14"/>
      <c r="M2684" s="14"/>
      <c r="N2684" s="14"/>
      <c r="O2684" s="14"/>
      <c r="P2684" s="14"/>
      <c r="Q2684" s="14"/>
      <c r="R2684" s="14"/>
      <c r="S2684" s="14"/>
      <c r="T2684" s="14"/>
      <c r="U2684" s="14"/>
      <c r="V2684" s="14"/>
      <c r="W2684" s="14"/>
      <c r="X2684" s="14"/>
      <c r="Y2684" s="14"/>
    </row>
    <row r="2685" spans="1:25" ht="15.75" x14ac:dyDescent="0.25">
      <c r="A2685" s="21"/>
      <c r="B2685" s="21"/>
      <c r="C2685" s="21"/>
      <c r="E2685" s="21"/>
      <c r="F2685" s="21"/>
      <c r="G2685" s="14"/>
      <c r="H2685" s="14"/>
      <c r="I2685" s="14"/>
      <c r="J2685" s="14"/>
      <c r="K2685" s="14"/>
      <c r="L2685" s="14"/>
      <c r="M2685" s="14"/>
      <c r="N2685" s="14"/>
      <c r="O2685" s="14"/>
      <c r="P2685" s="14"/>
      <c r="Q2685" s="14"/>
      <c r="R2685" s="14"/>
      <c r="S2685" s="14"/>
      <c r="T2685" s="14"/>
      <c r="U2685" s="14"/>
      <c r="V2685" s="14"/>
      <c r="W2685" s="14"/>
      <c r="X2685" s="14"/>
      <c r="Y2685" s="14"/>
    </row>
    <row r="2686" spans="1:25" ht="15.75" x14ac:dyDescent="0.25">
      <c r="A2686" s="21"/>
      <c r="B2686" s="21"/>
      <c r="C2686" s="21"/>
      <c r="E2686" s="21"/>
      <c r="F2686" s="21"/>
      <c r="G2686" s="14"/>
      <c r="H2686" s="14"/>
      <c r="I2686" s="14"/>
      <c r="J2686" s="14"/>
      <c r="K2686" s="14"/>
      <c r="L2686" s="14"/>
      <c r="M2686" s="14"/>
      <c r="N2686" s="14"/>
      <c r="O2686" s="14"/>
      <c r="P2686" s="14"/>
      <c r="Q2686" s="14"/>
      <c r="R2686" s="14"/>
      <c r="S2686" s="14"/>
      <c r="T2686" s="14"/>
      <c r="U2686" s="14"/>
      <c r="V2686" s="14"/>
      <c r="W2686" s="14"/>
      <c r="X2686" s="14"/>
      <c r="Y2686" s="14"/>
    </row>
    <row r="2687" spans="1:25" ht="15.75" x14ac:dyDescent="0.25">
      <c r="A2687" s="21"/>
      <c r="B2687" s="21"/>
      <c r="C2687" s="21"/>
      <c r="E2687" s="21"/>
      <c r="F2687" s="21"/>
      <c r="G2687" s="14"/>
      <c r="H2687" s="14"/>
      <c r="I2687" s="14"/>
      <c r="J2687" s="14"/>
      <c r="K2687" s="14"/>
      <c r="L2687" s="14"/>
      <c r="M2687" s="14"/>
      <c r="N2687" s="14"/>
      <c r="O2687" s="14"/>
      <c r="P2687" s="14"/>
      <c r="Q2687" s="14"/>
      <c r="R2687" s="14"/>
      <c r="S2687" s="14"/>
      <c r="T2687" s="14"/>
      <c r="U2687" s="14"/>
      <c r="V2687" s="14"/>
      <c r="W2687" s="14"/>
      <c r="X2687" s="14"/>
      <c r="Y2687" s="14"/>
    </row>
    <row r="2688" spans="1:25" ht="15.75" x14ac:dyDescent="0.25">
      <c r="A2688" s="21"/>
      <c r="B2688" s="21"/>
      <c r="C2688" s="21"/>
      <c r="E2688" s="21"/>
      <c r="F2688" s="21"/>
      <c r="G2688" s="14"/>
      <c r="H2688" s="14"/>
      <c r="I2688" s="14"/>
      <c r="J2688" s="14"/>
      <c r="K2688" s="14"/>
      <c r="L2688" s="14"/>
      <c r="M2688" s="14"/>
      <c r="N2688" s="14"/>
      <c r="O2688" s="14"/>
      <c r="P2688" s="14"/>
      <c r="Q2688" s="14"/>
      <c r="R2688" s="14"/>
      <c r="S2688" s="14"/>
      <c r="T2688" s="14"/>
      <c r="U2688" s="14"/>
      <c r="V2688" s="14"/>
      <c r="W2688" s="14"/>
      <c r="X2688" s="14"/>
      <c r="Y2688" s="14"/>
    </row>
    <row r="2689" spans="1:25" ht="15.75" x14ac:dyDescent="0.25">
      <c r="A2689" s="21"/>
      <c r="B2689" s="21"/>
      <c r="C2689" s="21"/>
      <c r="E2689" s="21"/>
      <c r="F2689" s="21"/>
      <c r="G2689" s="14"/>
      <c r="H2689" s="14"/>
      <c r="I2689" s="14"/>
      <c r="J2689" s="14"/>
      <c r="K2689" s="14"/>
      <c r="L2689" s="14"/>
      <c r="M2689" s="14"/>
      <c r="N2689" s="14"/>
      <c r="O2689" s="14"/>
      <c r="P2689" s="14"/>
      <c r="Q2689" s="14"/>
      <c r="R2689" s="14"/>
      <c r="S2689" s="14"/>
      <c r="T2689" s="14"/>
      <c r="U2689" s="14"/>
      <c r="V2689" s="14"/>
      <c r="W2689" s="14"/>
      <c r="X2689" s="14"/>
      <c r="Y2689" s="14"/>
    </row>
    <row r="2690" spans="1:25" ht="15.75" x14ac:dyDescent="0.25">
      <c r="A2690" s="21"/>
      <c r="B2690" s="21"/>
      <c r="C2690" s="21"/>
      <c r="E2690" s="21"/>
      <c r="F2690" s="21"/>
      <c r="G2690" s="14"/>
      <c r="H2690" s="14"/>
      <c r="I2690" s="14"/>
      <c r="J2690" s="14"/>
      <c r="K2690" s="14"/>
      <c r="L2690" s="14"/>
      <c r="M2690" s="14"/>
      <c r="N2690" s="14"/>
      <c r="O2690" s="14"/>
      <c r="P2690" s="14"/>
      <c r="Q2690" s="14"/>
      <c r="R2690" s="14"/>
      <c r="S2690" s="14"/>
      <c r="T2690" s="14"/>
      <c r="U2690" s="14"/>
      <c r="V2690" s="14"/>
      <c r="W2690" s="14"/>
      <c r="X2690" s="14"/>
      <c r="Y2690" s="14"/>
    </row>
    <row r="2691" spans="1:25" ht="15.75" x14ac:dyDescent="0.25">
      <c r="A2691" s="21"/>
      <c r="B2691" s="21"/>
      <c r="C2691" s="21"/>
      <c r="E2691" s="21"/>
      <c r="F2691" s="21"/>
      <c r="G2691" s="14"/>
      <c r="H2691" s="14"/>
      <c r="I2691" s="14"/>
      <c r="J2691" s="14"/>
      <c r="K2691" s="14"/>
      <c r="L2691" s="14"/>
      <c r="M2691" s="14"/>
      <c r="N2691" s="14"/>
      <c r="O2691" s="14"/>
      <c r="P2691" s="14"/>
      <c r="Q2691" s="14"/>
      <c r="R2691" s="14"/>
      <c r="S2691" s="14"/>
      <c r="T2691" s="14"/>
      <c r="U2691" s="14"/>
      <c r="V2691" s="14"/>
      <c r="W2691" s="14"/>
      <c r="X2691" s="14"/>
      <c r="Y2691" s="14"/>
    </row>
    <row r="2692" spans="1:25" ht="15.75" x14ac:dyDescent="0.25">
      <c r="A2692" s="21"/>
      <c r="B2692" s="21"/>
      <c r="C2692" s="21"/>
      <c r="E2692" s="21"/>
      <c r="F2692" s="21"/>
      <c r="G2692" s="14"/>
      <c r="H2692" s="14"/>
      <c r="I2692" s="14"/>
      <c r="J2692" s="14"/>
      <c r="K2692" s="14"/>
      <c r="L2692" s="14"/>
      <c r="M2692" s="14"/>
      <c r="N2692" s="14"/>
      <c r="O2692" s="14"/>
      <c r="P2692" s="14"/>
      <c r="Q2692" s="14"/>
      <c r="R2692" s="14"/>
      <c r="S2692" s="14"/>
      <c r="T2692" s="14"/>
      <c r="U2692" s="14"/>
      <c r="V2692" s="14"/>
      <c r="W2692" s="14"/>
      <c r="X2692" s="14"/>
      <c r="Y2692" s="14"/>
    </row>
    <row r="2693" spans="1:25" ht="15.75" x14ac:dyDescent="0.25">
      <c r="A2693" s="21"/>
      <c r="B2693" s="21"/>
      <c r="C2693" s="21"/>
      <c r="E2693" s="21"/>
      <c r="F2693" s="21"/>
      <c r="G2693" s="14"/>
      <c r="H2693" s="14"/>
      <c r="I2693" s="14"/>
      <c r="J2693" s="14"/>
      <c r="K2693" s="14"/>
      <c r="L2693" s="14"/>
      <c r="M2693" s="14"/>
      <c r="N2693" s="14"/>
      <c r="O2693" s="14"/>
      <c r="P2693" s="14"/>
      <c r="Q2693" s="14"/>
      <c r="R2693" s="14"/>
      <c r="S2693" s="14"/>
      <c r="T2693" s="14"/>
      <c r="U2693" s="14"/>
      <c r="V2693" s="14"/>
      <c r="W2693" s="14"/>
      <c r="X2693" s="14"/>
      <c r="Y2693" s="14"/>
    </row>
    <row r="2694" spans="1:25" ht="15.75" x14ac:dyDescent="0.25">
      <c r="A2694" s="21"/>
      <c r="B2694" s="21"/>
      <c r="C2694" s="21"/>
      <c r="E2694" s="21"/>
      <c r="F2694" s="21"/>
      <c r="G2694" s="14"/>
      <c r="H2694" s="14"/>
      <c r="I2694" s="14"/>
      <c r="J2694" s="14"/>
      <c r="K2694" s="14"/>
      <c r="L2694" s="14"/>
      <c r="M2694" s="14"/>
      <c r="N2694" s="14"/>
      <c r="O2694" s="14"/>
      <c r="P2694" s="14"/>
      <c r="Q2694" s="14"/>
      <c r="R2694" s="14"/>
      <c r="S2694" s="14"/>
      <c r="T2694" s="14"/>
      <c r="U2694" s="14"/>
      <c r="V2694" s="14"/>
      <c r="W2694" s="14"/>
      <c r="X2694" s="14"/>
      <c r="Y2694" s="14"/>
    </row>
    <row r="2695" spans="1:25" ht="15.75" x14ac:dyDescent="0.25">
      <c r="A2695" s="21"/>
      <c r="B2695" s="21"/>
      <c r="C2695" s="21"/>
      <c r="E2695" s="21"/>
      <c r="F2695" s="21"/>
      <c r="G2695" s="14"/>
      <c r="H2695" s="14"/>
      <c r="I2695" s="14"/>
      <c r="J2695" s="14"/>
      <c r="K2695" s="14"/>
      <c r="L2695" s="14"/>
      <c r="M2695" s="14"/>
      <c r="N2695" s="14"/>
      <c r="O2695" s="14"/>
      <c r="P2695" s="14"/>
      <c r="Q2695" s="14"/>
      <c r="R2695" s="14"/>
      <c r="S2695" s="14"/>
      <c r="T2695" s="14"/>
      <c r="U2695" s="14"/>
      <c r="V2695" s="14"/>
      <c r="W2695" s="14"/>
      <c r="X2695" s="14"/>
      <c r="Y2695" s="14"/>
    </row>
    <row r="2696" spans="1:25" ht="15.75" x14ac:dyDescent="0.25">
      <c r="A2696" s="21"/>
      <c r="B2696" s="21"/>
      <c r="C2696" s="21"/>
      <c r="E2696" s="21"/>
      <c r="F2696" s="21"/>
      <c r="G2696" s="14"/>
      <c r="H2696" s="14"/>
      <c r="I2696" s="14"/>
      <c r="J2696" s="14"/>
      <c r="K2696" s="14"/>
      <c r="L2696" s="14"/>
      <c r="M2696" s="14"/>
      <c r="N2696" s="14"/>
      <c r="O2696" s="14"/>
      <c r="P2696" s="14"/>
      <c r="Q2696" s="14"/>
      <c r="R2696" s="14"/>
      <c r="S2696" s="14"/>
      <c r="T2696" s="14"/>
      <c r="U2696" s="14"/>
      <c r="V2696" s="14"/>
      <c r="W2696" s="14"/>
      <c r="X2696" s="14"/>
      <c r="Y2696" s="14"/>
    </row>
    <row r="2697" spans="1:25" ht="15.75" x14ac:dyDescent="0.25">
      <c r="A2697" s="21"/>
      <c r="B2697" s="21"/>
      <c r="C2697" s="21"/>
      <c r="E2697" s="21"/>
      <c r="F2697" s="21"/>
      <c r="G2697" s="14"/>
      <c r="H2697" s="14"/>
      <c r="I2697" s="14"/>
      <c r="J2697" s="14"/>
      <c r="K2697" s="14"/>
      <c r="L2697" s="14"/>
      <c r="M2697" s="14"/>
      <c r="N2697" s="14"/>
      <c r="O2697" s="14"/>
      <c r="P2697" s="14"/>
      <c r="Q2697" s="14"/>
      <c r="R2697" s="14"/>
      <c r="S2697" s="14"/>
      <c r="T2697" s="14"/>
      <c r="U2697" s="14"/>
      <c r="V2697" s="14"/>
      <c r="W2697" s="14"/>
      <c r="X2697" s="14"/>
      <c r="Y2697" s="14"/>
    </row>
    <row r="2698" spans="1:25" ht="15.75" x14ac:dyDescent="0.25">
      <c r="A2698" s="21"/>
      <c r="B2698" s="21"/>
      <c r="C2698" s="21"/>
      <c r="E2698" s="21"/>
      <c r="F2698" s="21"/>
      <c r="G2698" s="14"/>
      <c r="H2698" s="14"/>
      <c r="I2698" s="14"/>
      <c r="J2698" s="14"/>
      <c r="K2698" s="14"/>
      <c r="L2698" s="14"/>
      <c r="M2698" s="14"/>
      <c r="N2698" s="14"/>
      <c r="O2698" s="14"/>
      <c r="P2698" s="14"/>
      <c r="Q2698" s="14"/>
      <c r="R2698" s="14"/>
      <c r="S2698" s="14"/>
      <c r="T2698" s="14"/>
      <c r="U2698" s="14"/>
      <c r="V2698" s="14"/>
      <c r="W2698" s="14"/>
      <c r="X2698" s="14"/>
      <c r="Y2698" s="14"/>
    </row>
    <row r="2699" spans="1:25" ht="15.75" x14ac:dyDescent="0.25">
      <c r="A2699" s="21"/>
      <c r="B2699" s="21"/>
      <c r="C2699" s="21"/>
      <c r="E2699" s="21"/>
      <c r="F2699" s="21"/>
      <c r="G2699" s="14"/>
      <c r="H2699" s="14"/>
      <c r="I2699" s="14"/>
      <c r="J2699" s="14"/>
      <c r="K2699" s="14"/>
      <c r="L2699" s="14"/>
      <c r="M2699" s="14"/>
      <c r="N2699" s="14"/>
      <c r="O2699" s="14"/>
      <c r="P2699" s="14"/>
      <c r="Q2699" s="14"/>
      <c r="R2699" s="14"/>
      <c r="S2699" s="14"/>
      <c r="T2699" s="14"/>
      <c r="U2699" s="14"/>
      <c r="V2699" s="14"/>
      <c r="W2699" s="14"/>
      <c r="X2699" s="14"/>
      <c r="Y2699" s="14"/>
    </row>
    <row r="2700" spans="1:25" ht="15.75" x14ac:dyDescent="0.25">
      <c r="A2700" s="21"/>
      <c r="B2700" s="21"/>
      <c r="C2700" s="21"/>
      <c r="E2700" s="21"/>
      <c r="F2700" s="21"/>
      <c r="G2700" s="14"/>
      <c r="H2700" s="14"/>
      <c r="I2700" s="14"/>
      <c r="J2700" s="14"/>
      <c r="K2700" s="14"/>
      <c r="L2700" s="14"/>
      <c r="M2700" s="14"/>
      <c r="N2700" s="14"/>
      <c r="O2700" s="14"/>
      <c r="P2700" s="14"/>
      <c r="Q2700" s="14"/>
      <c r="R2700" s="14"/>
      <c r="S2700" s="14"/>
      <c r="T2700" s="14"/>
      <c r="U2700" s="14"/>
      <c r="V2700" s="14"/>
      <c r="W2700" s="14"/>
      <c r="X2700" s="14"/>
      <c r="Y2700" s="14"/>
    </row>
    <row r="2701" spans="1:25" ht="15.75" x14ac:dyDescent="0.25">
      <c r="A2701" s="21"/>
      <c r="B2701" s="21"/>
      <c r="C2701" s="21"/>
      <c r="E2701" s="21"/>
      <c r="F2701" s="21"/>
      <c r="G2701" s="14"/>
      <c r="H2701" s="14"/>
      <c r="I2701" s="14"/>
      <c r="J2701" s="14"/>
      <c r="K2701" s="14"/>
      <c r="L2701" s="14"/>
      <c r="M2701" s="14"/>
      <c r="N2701" s="14"/>
      <c r="O2701" s="14"/>
      <c r="P2701" s="14"/>
      <c r="Q2701" s="14"/>
      <c r="R2701" s="14"/>
      <c r="S2701" s="14"/>
      <c r="T2701" s="14"/>
      <c r="U2701" s="14"/>
      <c r="V2701" s="14"/>
      <c r="W2701" s="14"/>
      <c r="X2701" s="14"/>
      <c r="Y2701" s="14"/>
    </row>
    <row r="2702" spans="1:25" ht="15.75" x14ac:dyDescent="0.25">
      <c r="A2702" s="21"/>
      <c r="B2702" s="21"/>
      <c r="C2702" s="21"/>
      <c r="E2702" s="21"/>
      <c r="F2702" s="21"/>
      <c r="G2702" s="14"/>
      <c r="H2702" s="14"/>
      <c r="I2702" s="14"/>
      <c r="J2702" s="14"/>
      <c r="K2702" s="14"/>
      <c r="L2702" s="14"/>
      <c r="M2702" s="14"/>
      <c r="N2702" s="14"/>
      <c r="O2702" s="14"/>
      <c r="P2702" s="14"/>
      <c r="Q2702" s="14"/>
      <c r="R2702" s="14"/>
      <c r="S2702" s="14"/>
      <c r="T2702" s="14"/>
      <c r="U2702" s="14"/>
      <c r="V2702" s="14"/>
      <c r="W2702" s="14"/>
      <c r="X2702" s="14"/>
      <c r="Y2702" s="14"/>
    </row>
    <row r="2703" spans="1:25" ht="15.75" x14ac:dyDescent="0.25">
      <c r="A2703" s="21"/>
      <c r="B2703" s="21"/>
      <c r="C2703" s="21"/>
      <c r="E2703" s="21"/>
      <c r="F2703" s="21"/>
      <c r="G2703" s="14"/>
      <c r="H2703" s="14"/>
      <c r="I2703" s="14"/>
      <c r="J2703" s="14"/>
      <c r="K2703" s="14"/>
      <c r="L2703" s="14"/>
      <c r="M2703" s="14"/>
      <c r="N2703" s="14"/>
      <c r="O2703" s="14"/>
      <c r="P2703" s="14"/>
      <c r="Q2703" s="14"/>
      <c r="R2703" s="14"/>
      <c r="S2703" s="14"/>
      <c r="T2703" s="14"/>
      <c r="U2703" s="14"/>
      <c r="V2703" s="14"/>
      <c r="W2703" s="14"/>
      <c r="X2703" s="14"/>
      <c r="Y2703" s="14"/>
    </row>
    <row r="2704" spans="1:25" ht="15.75" x14ac:dyDescent="0.25">
      <c r="A2704" s="21"/>
      <c r="B2704" s="21"/>
      <c r="C2704" s="21"/>
      <c r="E2704" s="21"/>
      <c r="F2704" s="21"/>
      <c r="G2704" s="14"/>
      <c r="H2704" s="14"/>
      <c r="I2704" s="14"/>
      <c r="J2704" s="14"/>
      <c r="K2704" s="14"/>
      <c r="L2704" s="14"/>
      <c r="M2704" s="14"/>
      <c r="N2704" s="14"/>
      <c r="O2704" s="14"/>
      <c r="P2704" s="14"/>
      <c r="Q2704" s="14"/>
      <c r="R2704" s="14"/>
      <c r="S2704" s="14"/>
      <c r="T2704" s="14"/>
      <c r="U2704" s="14"/>
      <c r="V2704" s="14"/>
      <c r="W2704" s="14"/>
      <c r="X2704" s="14"/>
      <c r="Y2704" s="14"/>
    </row>
    <row r="2705" spans="1:25" ht="15.75" x14ac:dyDescent="0.25">
      <c r="A2705" s="21"/>
      <c r="B2705" s="21"/>
      <c r="C2705" s="21"/>
      <c r="E2705" s="21"/>
      <c r="F2705" s="21"/>
      <c r="G2705" s="14"/>
      <c r="H2705" s="14"/>
      <c r="I2705" s="14"/>
      <c r="J2705" s="14"/>
      <c r="K2705" s="14"/>
      <c r="L2705" s="14"/>
      <c r="M2705" s="14"/>
      <c r="N2705" s="14"/>
      <c r="O2705" s="14"/>
      <c r="P2705" s="14"/>
      <c r="Q2705" s="14"/>
      <c r="R2705" s="14"/>
      <c r="S2705" s="14"/>
      <c r="T2705" s="14"/>
      <c r="U2705" s="14"/>
      <c r="V2705" s="14"/>
      <c r="W2705" s="14"/>
      <c r="X2705" s="14"/>
      <c r="Y2705" s="14"/>
    </row>
    <row r="2706" spans="1:25" ht="15.75" x14ac:dyDescent="0.25">
      <c r="A2706" s="21"/>
      <c r="B2706" s="21"/>
      <c r="C2706" s="21"/>
      <c r="E2706" s="21"/>
      <c r="F2706" s="21"/>
      <c r="G2706" s="14"/>
      <c r="H2706" s="14"/>
      <c r="I2706" s="14"/>
      <c r="J2706" s="14"/>
      <c r="K2706" s="14"/>
      <c r="L2706" s="14"/>
      <c r="M2706" s="14"/>
      <c r="N2706" s="14"/>
      <c r="O2706" s="14"/>
      <c r="P2706" s="14"/>
      <c r="Q2706" s="14"/>
      <c r="R2706" s="14"/>
      <c r="S2706" s="14"/>
      <c r="T2706" s="14"/>
      <c r="U2706" s="14"/>
      <c r="V2706" s="14"/>
      <c r="W2706" s="14"/>
      <c r="X2706" s="14"/>
      <c r="Y2706" s="14"/>
    </row>
    <row r="2707" spans="1:25" ht="15.75" x14ac:dyDescent="0.25">
      <c r="A2707" s="21"/>
      <c r="B2707" s="21"/>
      <c r="C2707" s="21"/>
      <c r="E2707" s="21"/>
      <c r="F2707" s="21"/>
      <c r="G2707" s="14"/>
      <c r="H2707" s="14"/>
      <c r="I2707" s="14"/>
      <c r="J2707" s="14"/>
      <c r="K2707" s="14"/>
      <c r="L2707" s="14"/>
      <c r="M2707" s="14"/>
      <c r="N2707" s="14"/>
      <c r="O2707" s="14"/>
      <c r="P2707" s="14"/>
      <c r="Q2707" s="14"/>
      <c r="R2707" s="14"/>
      <c r="S2707" s="14"/>
      <c r="T2707" s="14"/>
      <c r="U2707" s="14"/>
      <c r="V2707" s="14"/>
      <c r="W2707" s="14"/>
      <c r="X2707" s="14"/>
      <c r="Y2707" s="14"/>
    </row>
    <row r="2708" spans="1:25" ht="15.75" x14ac:dyDescent="0.25">
      <c r="A2708" s="21"/>
      <c r="B2708" s="21"/>
      <c r="C2708" s="21"/>
      <c r="E2708" s="21"/>
      <c r="F2708" s="21"/>
      <c r="G2708" s="14"/>
      <c r="H2708" s="14"/>
      <c r="I2708" s="14"/>
      <c r="J2708" s="14"/>
      <c r="K2708" s="14"/>
      <c r="L2708" s="14"/>
      <c r="M2708" s="14"/>
      <c r="N2708" s="14"/>
      <c r="O2708" s="14"/>
      <c r="P2708" s="14"/>
      <c r="Q2708" s="14"/>
      <c r="R2708" s="14"/>
      <c r="S2708" s="14"/>
      <c r="T2708" s="14"/>
      <c r="U2708" s="14"/>
      <c r="V2708" s="14"/>
      <c r="W2708" s="14"/>
      <c r="X2708" s="14"/>
      <c r="Y2708" s="14"/>
    </row>
    <row r="2709" spans="1:25" ht="15.75" x14ac:dyDescent="0.25">
      <c r="A2709" s="21"/>
      <c r="B2709" s="21"/>
      <c r="C2709" s="21"/>
      <c r="E2709" s="21"/>
      <c r="F2709" s="21"/>
      <c r="G2709" s="14"/>
      <c r="H2709" s="14"/>
      <c r="I2709" s="14"/>
      <c r="J2709" s="14"/>
      <c r="K2709" s="14"/>
      <c r="L2709" s="14"/>
      <c r="M2709" s="14"/>
      <c r="N2709" s="14"/>
      <c r="O2709" s="14"/>
      <c r="P2709" s="14"/>
      <c r="Q2709" s="14"/>
      <c r="R2709" s="14"/>
      <c r="S2709" s="14"/>
      <c r="T2709" s="14"/>
      <c r="U2709" s="14"/>
      <c r="V2709" s="14"/>
      <c r="W2709" s="14"/>
      <c r="X2709" s="14"/>
      <c r="Y2709" s="14"/>
    </row>
    <row r="2710" spans="1:25" ht="15.75" x14ac:dyDescent="0.25">
      <c r="A2710" s="21"/>
      <c r="B2710" s="21"/>
      <c r="C2710" s="21"/>
      <c r="E2710" s="21"/>
      <c r="F2710" s="21"/>
      <c r="G2710" s="14"/>
      <c r="H2710" s="14"/>
      <c r="I2710" s="14"/>
      <c r="J2710" s="14"/>
      <c r="K2710" s="14"/>
      <c r="L2710" s="14"/>
      <c r="M2710" s="14"/>
      <c r="N2710" s="14"/>
      <c r="O2710" s="14"/>
      <c r="P2710" s="14"/>
      <c r="Q2710" s="14"/>
      <c r="R2710" s="14"/>
      <c r="S2710" s="14"/>
      <c r="T2710" s="14"/>
      <c r="U2710" s="14"/>
      <c r="V2710" s="14"/>
      <c r="W2710" s="14"/>
      <c r="X2710" s="14"/>
      <c r="Y2710" s="14"/>
    </row>
    <row r="2711" spans="1:25" ht="15.75" x14ac:dyDescent="0.25">
      <c r="A2711" s="21"/>
      <c r="B2711" s="21"/>
      <c r="C2711" s="21"/>
      <c r="E2711" s="21"/>
      <c r="F2711" s="21"/>
      <c r="G2711" s="14"/>
      <c r="H2711" s="14"/>
      <c r="I2711" s="14"/>
      <c r="J2711" s="14"/>
      <c r="K2711" s="14"/>
      <c r="L2711" s="14"/>
      <c r="M2711" s="14"/>
      <c r="N2711" s="14"/>
      <c r="O2711" s="14"/>
      <c r="P2711" s="14"/>
      <c r="Q2711" s="14"/>
      <c r="R2711" s="14"/>
      <c r="S2711" s="14"/>
      <c r="T2711" s="14"/>
      <c r="U2711" s="14"/>
      <c r="V2711" s="14"/>
      <c r="W2711" s="14"/>
      <c r="X2711" s="14"/>
      <c r="Y2711" s="14"/>
    </row>
    <row r="2712" spans="1:25" ht="15.75" x14ac:dyDescent="0.25">
      <c r="A2712" s="21"/>
      <c r="B2712" s="21"/>
      <c r="C2712" s="21"/>
      <c r="E2712" s="21"/>
      <c r="F2712" s="21"/>
      <c r="G2712" s="14"/>
      <c r="H2712" s="14"/>
      <c r="I2712" s="14"/>
      <c r="J2712" s="14"/>
      <c r="K2712" s="14"/>
      <c r="L2712" s="14"/>
      <c r="M2712" s="14"/>
      <c r="N2712" s="14"/>
      <c r="O2712" s="14"/>
      <c r="P2712" s="14"/>
      <c r="Q2712" s="14"/>
      <c r="R2712" s="14"/>
      <c r="S2712" s="14"/>
      <c r="T2712" s="14"/>
      <c r="U2712" s="14"/>
      <c r="V2712" s="14"/>
      <c r="W2712" s="14"/>
      <c r="X2712" s="14"/>
      <c r="Y2712" s="14"/>
    </row>
    <row r="2713" spans="1:25" ht="15.75" x14ac:dyDescent="0.25">
      <c r="A2713" s="21"/>
      <c r="B2713" s="21"/>
      <c r="C2713" s="21"/>
      <c r="E2713" s="21"/>
      <c r="F2713" s="21"/>
      <c r="G2713" s="14"/>
      <c r="H2713" s="14"/>
      <c r="I2713" s="14"/>
      <c r="J2713" s="14"/>
      <c r="K2713" s="14"/>
      <c r="L2713" s="14"/>
      <c r="M2713" s="14"/>
      <c r="N2713" s="14"/>
      <c r="O2713" s="14"/>
      <c r="P2713" s="14"/>
      <c r="Q2713" s="14"/>
      <c r="R2713" s="14"/>
      <c r="S2713" s="14"/>
      <c r="T2713" s="14"/>
      <c r="U2713" s="14"/>
      <c r="V2713" s="14"/>
      <c r="W2713" s="14"/>
      <c r="X2713" s="14"/>
      <c r="Y2713" s="14"/>
    </row>
    <row r="2714" spans="1:25" ht="15.75" x14ac:dyDescent="0.25">
      <c r="A2714" s="21"/>
      <c r="B2714" s="21"/>
      <c r="C2714" s="21"/>
      <c r="E2714" s="21"/>
      <c r="F2714" s="21"/>
      <c r="G2714" s="14"/>
      <c r="H2714" s="14"/>
      <c r="I2714" s="14"/>
      <c r="J2714" s="14"/>
      <c r="K2714" s="14"/>
      <c r="L2714" s="14"/>
      <c r="M2714" s="14"/>
      <c r="N2714" s="14"/>
      <c r="O2714" s="14"/>
      <c r="P2714" s="14"/>
      <c r="Q2714" s="14"/>
      <c r="R2714" s="14"/>
      <c r="S2714" s="14"/>
      <c r="T2714" s="14"/>
      <c r="U2714" s="14"/>
      <c r="V2714" s="14"/>
      <c r="W2714" s="14"/>
      <c r="X2714" s="14"/>
      <c r="Y2714" s="14"/>
    </row>
    <row r="2715" spans="1:25" ht="15.75" x14ac:dyDescent="0.25">
      <c r="A2715" s="21"/>
      <c r="B2715" s="21"/>
      <c r="C2715" s="21"/>
      <c r="E2715" s="21"/>
      <c r="F2715" s="21"/>
      <c r="G2715" s="14"/>
      <c r="H2715" s="14"/>
      <c r="I2715" s="14"/>
      <c r="J2715" s="14"/>
      <c r="K2715" s="14"/>
      <c r="L2715" s="14"/>
      <c r="M2715" s="14"/>
      <c r="N2715" s="14"/>
      <c r="O2715" s="14"/>
      <c r="P2715" s="14"/>
      <c r="Q2715" s="14"/>
      <c r="R2715" s="14"/>
      <c r="S2715" s="14"/>
      <c r="T2715" s="14"/>
      <c r="U2715" s="14"/>
      <c r="V2715" s="14"/>
      <c r="W2715" s="14"/>
      <c r="X2715" s="14"/>
      <c r="Y2715" s="14"/>
    </row>
    <row r="2716" spans="1:25" ht="15.75" x14ac:dyDescent="0.25">
      <c r="A2716" s="21"/>
      <c r="B2716" s="21"/>
      <c r="C2716" s="21"/>
      <c r="E2716" s="21"/>
      <c r="F2716" s="21"/>
      <c r="G2716" s="14"/>
      <c r="H2716" s="14"/>
      <c r="I2716" s="14"/>
      <c r="J2716" s="14"/>
      <c r="K2716" s="14"/>
      <c r="L2716" s="14"/>
      <c r="M2716" s="14"/>
      <c r="N2716" s="14"/>
      <c r="O2716" s="14"/>
      <c r="P2716" s="14"/>
      <c r="Q2716" s="14"/>
      <c r="R2716" s="14"/>
      <c r="S2716" s="14"/>
      <c r="T2716" s="14"/>
      <c r="U2716" s="14"/>
      <c r="V2716" s="14"/>
      <c r="W2716" s="14"/>
      <c r="X2716" s="14"/>
      <c r="Y2716" s="14"/>
    </row>
    <row r="2717" spans="1:25" ht="15.75" x14ac:dyDescent="0.25">
      <c r="A2717" s="21"/>
      <c r="B2717" s="21"/>
      <c r="C2717" s="21"/>
      <c r="E2717" s="21"/>
      <c r="F2717" s="21"/>
      <c r="G2717" s="14"/>
      <c r="H2717" s="14"/>
      <c r="I2717" s="14"/>
      <c r="J2717" s="14"/>
      <c r="K2717" s="14"/>
      <c r="L2717" s="14"/>
      <c r="M2717" s="14"/>
      <c r="N2717" s="14"/>
      <c r="O2717" s="14"/>
      <c r="P2717" s="14"/>
      <c r="Q2717" s="14"/>
      <c r="R2717" s="14"/>
      <c r="S2717" s="14"/>
      <c r="T2717" s="14"/>
      <c r="U2717" s="14"/>
      <c r="V2717" s="14"/>
      <c r="W2717" s="14"/>
      <c r="X2717" s="14"/>
      <c r="Y2717" s="14"/>
    </row>
    <row r="2718" spans="1:25" ht="15.75" x14ac:dyDescent="0.25">
      <c r="A2718" s="21"/>
      <c r="B2718" s="21"/>
      <c r="C2718" s="21"/>
      <c r="E2718" s="21"/>
      <c r="F2718" s="21"/>
      <c r="G2718" s="14"/>
      <c r="H2718" s="14"/>
      <c r="I2718" s="14"/>
      <c r="J2718" s="14"/>
      <c r="K2718" s="14"/>
      <c r="L2718" s="14"/>
      <c r="M2718" s="14"/>
      <c r="N2718" s="14"/>
      <c r="O2718" s="14"/>
      <c r="P2718" s="14"/>
      <c r="Q2718" s="14"/>
      <c r="R2718" s="14"/>
      <c r="S2718" s="14"/>
      <c r="T2718" s="14"/>
      <c r="U2718" s="14"/>
      <c r="V2718" s="14"/>
      <c r="W2718" s="14"/>
      <c r="X2718" s="14"/>
      <c r="Y2718" s="14"/>
    </row>
    <row r="2719" spans="1:25" ht="15.75" x14ac:dyDescent="0.25">
      <c r="A2719" s="21"/>
      <c r="B2719" s="21"/>
      <c r="C2719" s="21"/>
      <c r="E2719" s="21"/>
      <c r="F2719" s="21"/>
      <c r="G2719" s="14"/>
      <c r="H2719" s="14"/>
      <c r="I2719" s="14"/>
      <c r="J2719" s="14"/>
      <c r="K2719" s="14"/>
      <c r="L2719" s="14"/>
      <c r="M2719" s="14"/>
      <c r="N2719" s="14"/>
      <c r="O2719" s="14"/>
      <c r="P2719" s="14"/>
      <c r="Q2719" s="14"/>
      <c r="R2719" s="14"/>
      <c r="S2719" s="14"/>
      <c r="T2719" s="14"/>
      <c r="U2719" s="14"/>
      <c r="V2719" s="14"/>
      <c r="W2719" s="14"/>
      <c r="X2719" s="14"/>
      <c r="Y2719" s="14"/>
    </row>
    <row r="2720" spans="1:25" ht="15.75" x14ac:dyDescent="0.25">
      <c r="A2720" s="21"/>
      <c r="B2720" s="21"/>
      <c r="C2720" s="21"/>
      <c r="E2720" s="21"/>
      <c r="F2720" s="21"/>
      <c r="G2720" s="14"/>
      <c r="H2720" s="14"/>
      <c r="I2720" s="14"/>
      <c r="J2720" s="14"/>
      <c r="K2720" s="14"/>
      <c r="L2720" s="14"/>
      <c r="M2720" s="14"/>
      <c r="N2720" s="14"/>
      <c r="O2720" s="14"/>
      <c r="P2720" s="14"/>
      <c r="Q2720" s="14"/>
      <c r="R2720" s="14"/>
      <c r="S2720" s="14"/>
      <c r="T2720" s="14"/>
      <c r="U2720" s="14"/>
      <c r="V2720" s="14"/>
      <c r="W2720" s="14"/>
      <c r="X2720" s="14"/>
      <c r="Y2720" s="14"/>
    </row>
    <row r="2721" spans="1:25" ht="15.75" x14ac:dyDescent="0.25">
      <c r="A2721" s="21"/>
      <c r="B2721" s="21"/>
      <c r="C2721" s="21"/>
      <c r="E2721" s="21"/>
      <c r="F2721" s="21"/>
      <c r="G2721" s="14"/>
      <c r="H2721" s="14"/>
      <c r="I2721" s="14"/>
      <c r="J2721" s="14"/>
      <c r="K2721" s="14"/>
      <c r="L2721" s="14"/>
      <c r="M2721" s="14"/>
      <c r="N2721" s="14"/>
      <c r="O2721" s="14"/>
      <c r="P2721" s="14"/>
      <c r="Q2721" s="14"/>
      <c r="R2721" s="14"/>
      <c r="S2721" s="14"/>
      <c r="T2721" s="14"/>
      <c r="U2721" s="14"/>
      <c r="V2721" s="14"/>
      <c r="W2721" s="14"/>
      <c r="X2721" s="14"/>
      <c r="Y2721" s="14"/>
    </row>
    <row r="2722" spans="1:25" ht="15.75" x14ac:dyDescent="0.25">
      <c r="A2722" s="21"/>
      <c r="B2722" s="21"/>
      <c r="C2722" s="21"/>
      <c r="E2722" s="21"/>
      <c r="F2722" s="21"/>
      <c r="G2722" s="14"/>
      <c r="H2722" s="14"/>
      <c r="I2722" s="14"/>
      <c r="J2722" s="14"/>
      <c r="K2722" s="14"/>
      <c r="L2722" s="14"/>
      <c r="M2722" s="14"/>
      <c r="N2722" s="14"/>
      <c r="O2722" s="14"/>
      <c r="P2722" s="14"/>
      <c r="Q2722" s="14"/>
      <c r="R2722" s="14"/>
      <c r="S2722" s="14"/>
      <c r="T2722" s="14"/>
      <c r="U2722" s="14"/>
      <c r="V2722" s="14"/>
      <c r="W2722" s="14"/>
      <c r="X2722" s="14"/>
      <c r="Y2722" s="14"/>
    </row>
    <row r="2723" spans="1:25" ht="15.75" x14ac:dyDescent="0.25">
      <c r="A2723" s="21"/>
      <c r="B2723" s="21"/>
      <c r="C2723" s="21"/>
      <c r="E2723" s="21"/>
      <c r="F2723" s="21"/>
      <c r="G2723" s="14"/>
      <c r="H2723" s="14"/>
      <c r="I2723" s="14"/>
      <c r="J2723" s="14"/>
      <c r="K2723" s="14"/>
      <c r="L2723" s="14"/>
      <c r="M2723" s="14"/>
      <c r="N2723" s="14"/>
      <c r="O2723" s="14"/>
      <c r="P2723" s="14"/>
      <c r="Q2723" s="14"/>
      <c r="R2723" s="14"/>
      <c r="S2723" s="14"/>
      <c r="T2723" s="14"/>
      <c r="U2723" s="14"/>
      <c r="V2723" s="14"/>
      <c r="W2723" s="14"/>
      <c r="X2723" s="14"/>
      <c r="Y2723" s="14"/>
    </row>
    <row r="2724" spans="1:25" ht="15.75" x14ac:dyDescent="0.25">
      <c r="A2724" s="21"/>
      <c r="B2724" s="21"/>
      <c r="C2724" s="21"/>
      <c r="E2724" s="21"/>
      <c r="F2724" s="21"/>
      <c r="G2724" s="14"/>
      <c r="H2724" s="14"/>
      <c r="I2724" s="14"/>
      <c r="J2724" s="14"/>
      <c r="K2724" s="14"/>
      <c r="L2724" s="14"/>
      <c r="M2724" s="14"/>
      <c r="N2724" s="14"/>
      <c r="O2724" s="14"/>
      <c r="P2724" s="14"/>
      <c r="Q2724" s="14"/>
      <c r="R2724" s="14"/>
      <c r="S2724" s="14"/>
      <c r="T2724" s="14"/>
      <c r="U2724" s="14"/>
      <c r="V2724" s="14"/>
      <c r="W2724" s="14"/>
      <c r="X2724" s="14"/>
      <c r="Y2724" s="14"/>
    </row>
    <row r="2725" spans="1:25" ht="15.75" x14ac:dyDescent="0.25">
      <c r="A2725" s="21"/>
      <c r="B2725" s="21"/>
      <c r="C2725" s="21"/>
      <c r="E2725" s="21"/>
      <c r="F2725" s="21"/>
      <c r="G2725" s="14"/>
      <c r="H2725" s="14"/>
      <c r="I2725" s="14"/>
      <c r="J2725" s="14"/>
      <c r="K2725" s="14"/>
      <c r="L2725" s="14"/>
      <c r="M2725" s="14"/>
      <c r="N2725" s="14"/>
      <c r="O2725" s="14"/>
      <c r="P2725" s="14"/>
      <c r="Q2725" s="14"/>
      <c r="R2725" s="14"/>
      <c r="S2725" s="14"/>
      <c r="T2725" s="14"/>
      <c r="U2725" s="14"/>
      <c r="V2725" s="14"/>
      <c r="W2725" s="14"/>
      <c r="X2725" s="14"/>
      <c r="Y2725" s="14"/>
    </row>
    <row r="2726" spans="1:25" ht="15.75" x14ac:dyDescent="0.25">
      <c r="A2726" s="21"/>
      <c r="B2726" s="21"/>
      <c r="C2726" s="21"/>
      <c r="E2726" s="21"/>
      <c r="F2726" s="21"/>
      <c r="G2726" s="14"/>
      <c r="H2726" s="14"/>
      <c r="I2726" s="14"/>
      <c r="J2726" s="14"/>
      <c r="K2726" s="14"/>
      <c r="L2726" s="14"/>
      <c r="M2726" s="14"/>
      <c r="N2726" s="14"/>
      <c r="O2726" s="14"/>
      <c r="P2726" s="14"/>
      <c r="Q2726" s="14"/>
      <c r="R2726" s="14"/>
      <c r="S2726" s="14"/>
      <c r="T2726" s="14"/>
      <c r="U2726" s="14"/>
      <c r="V2726" s="14"/>
      <c r="W2726" s="14"/>
      <c r="X2726" s="14"/>
      <c r="Y2726" s="14"/>
    </row>
    <row r="2727" spans="1:25" ht="15.75" x14ac:dyDescent="0.25">
      <c r="A2727" s="21"/>
      <c r="B2727" s="21"/>
      <c r="C2727" s="21"/>
      <c r="E2727" s="21"/>
      <c r="F2727" s="21"/>
      <c r="G2727" s="14"/>
      <c r="H2727" s="14"/>
      <c r="I2727" s="14"/>
      <c r="J2727" s="14"/>
      <c r="K2727" s="14"/>
      <c r="L2727" s="14"/>
      <c r="M2727" s="14"/>
      <c r="N2727" s="14"/>
      <c r="O2727" s="14"/>
      <c r="P2727" s="14"/>
      <c r="Q2727" s="14"/>
      <c r="R2727" s="14"/>
      <c r="S2727" s="14"/>
      <c r="T2727" s="14"/>
      <c r="U2727" s="14"/>
      <c r="V2727" s="14"/>
      <c r="W2727" s="14"/>
      <c r="X2727" s="14"/>
      <c r="Y2727" s="14"/>
    </row>
    <row r="2728" spans="1:25" ht="15.75" x14ac:dyDescent="0.25">
      <c r="A2728" s="21"/>
      <c r="B2728" s="21"/>
      <c r="C2728" s="21"/>
      <c r="E2728" s="21"/>
      <c r="F2728" s="21"/>
      <c r="G2728" s="14"/>
      <c r="H2728" s="14"/>
      <c r="I2728" s="14"/>
      <c r="J2728" s="14"/>
      <c r="K2728" s="14"/>
      <c r="L2728" s="14"/>
      <c r="M2728" s="14"/>
      <c r="N2728" s="14"/>
      <c r="O2728" s="14"/>
      <c r="P2728" s="14"/>
      <c r="Q2728" s="14"/>
      <c r="R2728" s="14"/>
      <c r="S2728" s="14"/>
      <c r="T2728" s="14"/>
      <c r="U2728" s="14"/>
      <c r="V2728" s="14"/>
      <c r="W2728" s="14"/>
      <c r="X2728" s="14"/>
      <c r="Y2728" s="14"/>
    </row>
    <row r="2729" spans="1:25" ht="15.75" x14ac:dyDescent="0.25">
      <c r="A2729" s="21"/>
      <c r="B2729" s="21"/>
      <c r="C2729" s="21"/>
      <c r="E2729" s="21"/>
      <c r="F2729" s="21"/>
      <c r="G2729" s="14"/>
      <c r="H2729" s="14"/>
      <c r="I2729" s="14"/>
      <c r="J2729" s="14"/>
      <c r="K2729" s="14"/>
      <c r="L2729" s="14"/>
      <c r="M2729" s="14"/>
      <c r="N2729" s="14"/>
      <c r="O2729" s="14"/>
      <c r="P2729" s="14"/>
      <c r="Q2729" s="14"/>
      <c r="R2729" s="14"/>
      <c r="S2729" s="14"/>
      <c r="T2729" s="14"/>
      <c r="U2729" s="14"/>
      <c r="V2729" s="14"/>
      <c r="W2729" s="14"/>
      <c r="X2729" s="14"/>
      <c r="Y2729" s="14"/>
    </row>
    <row r="2730" spans="1:25" ht="15.75" x14ac:dyDescent="0.25">
      <c r="A2730" s="21"/>
      <c r="B2730" s="21"/>
      <c r="C2730" s="21"/>
      <c r="E2730" s="21"/>
      <c r="F2730" s="21"/>
      <c r="G2730" s="14"/>
      <c r="H2730" s="14"/>
      <c r="I2730" s="14"/>
      <c r="J2730" s="14"/>
      <c r="K2730" s="14"/>
      <c r="L2730" s="14"/>
      <c r="M2730" s="14"/>
      <c r="N2730" s="14"/>
      <c r="O2730" s="14"/>
      <c r="P2730" s="14"/>
      <c r="Q2730" s="14"/>
      <c r="R2730" s="14"/>
      <c r="S2730" s="14"/>
      <c r="T2730" s="14"/>
      <c r="U2730" s="14"/>
      <c r="V2730" s="14"/>
      <c r="W2730" s="14"/>
      <c r="X2730" s="14"/>
      <c r="Y2730" s="14"/>
    </row>
    <row r="2731" spans="1:25" ht="15.75" x14ac:dyDescent="0.25">
      <c r="A2731" s="21"/>
      <c r="B2731" s="21"/>
      <c r="C2731" s="21"/>
      <c r="E2731" s="21"/>
      <c r="F2731" s="21"/>
      <c r="G2731" s="14"/>
      <c r="H2731" s="14"/>
      <c r="I2731" s="14"/>
      <c r="J2731" s="14"/>
      <c r="K2731" s="14"/>
      <c r="L2731" s="14"/>
      <c r="M2731" s="14"/>
      <c r="N2731" s="14"/>
      <c r="O2731" s="14"/>
      <c r="P2731" s="14"/>
      <c r="Q2731" s="14"/>
      <c r="R2731" s="14"/>
      <c r="S2731" s="14"/>
      <c r="T2731" s="14"/>
      <c r="U2731" s="14"/>
      <c r="V2731" s="14"/>
      <c r="W2731" s="14"/>
      <c r="X2731" s="14"/>
      <c r="Y2731" s="14"/>
    </row>
    <row r="2732" spans="1:25" ht="15.75" x14ac:dyDescent="0.25">
      <c r="A2732" s="21"/>
      <c r="B2732" s="21"/>
      <c r="C2732" s="21"/>
      <c r="E2732" s="21"/>
      <c r="F2732" s="21"/>
      <c r="G2732" s="14"/>
      <c r="H2732" s="14"/>
      <c r="I2732" s="14"/>
      <c r="J2732" s="14"/>
      <c r="K2732" s="14"/>
      <c r="L2732" s="14"/>
      <c r="M2732" s="14"/>
      <c r="N2732" s="14"/>
      <c r="O2732" s="14"/>
      <c r="P2732" s="14"/>
      <c r="Q2732" s="14"/>
      <c r="R2732" s="14"/>
      <c r="S2732" s="14"/>
      <c r="T2732" s="14"/>
      <c r="U2732" s="14"/>
      <c r="V2732" s="14"/>
      <c r="W2732" s="14"/>
      <c r="X2732" s="14"/>
      <c r="Y2732" s="14"/>
    </row>
    <row r="2733" spans="1:25" ht="15.75" x14ac:dyDescent="0.25">
      <c r="A2733" s="21"/>
      <c r="B2733" s="21"/>
      <c r="C2733" s="21"/>
      <c r="E2733" s="21"/>
      <c r="F2733" s="21"/>
      <c r="G2733" s="14"/>
      <c r="H2733" s="14"/>
      <c r="I2733" s="14"/>
      <c r="J2733" s="14"/>
      <c r="K2733" s="14"/>
      <c r="L2733" s="14"/>
      <c r="M2733" s="14"/>
      <c r="N2733" s="14"/>
      <c r="O2733" s="14"/>
      <c r="P2733" s="14"/>
      <c r="Q2733" s="14"/>
      <c r="R2733" s="14"/>
      <c r="S2733" s="14"/>
      <c r="T2733" s="14"/>
      <c r="U2733" s="14"/>
      <c r="V2733" s="14"/>
      <c r="W2733" s="14"/>
      <c r="X2733" s="14"/>
      <c r="Y2733" s="14"/>
    </row>
    <row r="2734" spans="1:25" ht="15.75" x14ac:dyDescent="0.25">
      <c r="A2734" s="21"/>
      <c r="B2734" s="21"/>
      <c r="C2734" s="21"/>
      <c r="E2734" s="21"/>
      <c r="F2734" s="21"/>
      <c r="G2734" s="14"/>
      <c r="H2734" s="14"/>
      <c r="I2734" s="14"/>
      <c r="J2734" s="14"/>
      <c r="K2734" s="14"/>
      <c r="L2734" s="14"/>
      <c r="M2734" s="14"/>
      <c r="N2734" s="14"/>
      <c r="O2734" s="14"/>
      <c r="P2734" s="14"/>
      <c r="Q2734" s="14"/>
      <c r="R2734" s="14"/>
      <c r="S2734" s="14"/>
      <c r="T2734" s="14"/>
      <c r="U2734" s="14"/>
      <c r="V2734" s="14"/>
      <c r="W2734" s="14"/>
      <c r="X2734" s="14"/>
      <c r="Y2734" s="14"/>
    </row>
    <row r="2735" spans="1:25" ht="15.75" x14ac:dyDescent="0.25">
      <c r="A2735" s="21"/>
      <c r="B2735" s="21"/>
      <c r="C2735" s="21"/>
      <c r="E2735" s="21"/>
      <c r="F2735" s="21"/>
      <c r="G2735" s="14"/>
      <c r="H2735" s="14"/>
      <c r="I2735" s="14"/>
      <c r="J2735" s="14"/>
      <c r="K2735" s="14"/>
      <c r="L2735" s="14"/>
      <c r="M2735" s="14"/>
      <c r="N2735" s="14"/>
      <c r="O2735" s="14"/>
      <c r="P2735" s="14"/>
      <c r="Q2735" s="14"/>
      <c r="R2735" s="14"/>
      <c r="S2735" s="14"/>
      <c r="T2735" s="14"/>
      <c r="U2735" s="14"/>
      <c r="V2735" s="14"/>
      <c r="W2735" s="14"/>
      <c r="X2735" s="14"/>
      <c r="Y2735" s="14"/>
    </row>
    <row r="2736" spans="1:25" ht="15.75" x14ac:dyDescent="0.25">
      <c r="A2736" s="21"/>
      <c r="B2736" s="21"/>
      <c r="C2736" s="21"/>
      <c r="E2736" s="21"/>
      <c r="F2736" s="21"/>
      <c r="G2736" s="14"/>
      <c r="H2736" s="14"/>
      <c r="I2736" s="14"/>
      <c r="J2736" s="14"/>
      <c r="K2736" s="14"/>
      <c r="L2736" s="14"/>
      <c r="M2736" s="14"/>
      <c r="N2736" s="14"/>
      <c r="O2736" s="14"/>
      <c r="P2736" s="14"/>
      <c r="Q2736" s="14"/>
      <c r="R2736" s="14"/>
      <c r="S2736" s="14"/>
      <c r="T2736" s="14"/>
      <c r="U2736" s="14"/>
      <c r="V2736" s="14"/>
      <c r="W2736" s="14"/>
      <c r="X2736" s="14"/>
      <c r="Y2736" s="14"/>
    </row>
    <row r="2737" spans="1:25" ht="15.75" x14ac:dyDescent="0.25">
      <c r="A2737" s="21"/>
      <c r="B2737" s="21"/>
      <c r="C2737" s="21"/>
      <c r="E2737" s="21"/>
      <c r="F2737" s="21"/>
      <c r="G2737" s="14"/>
      <c r="H2737" s="14"/>
      <c r="I2737" s="14"/>
      <c r="J2737" s="14"/>
      <c r="K2737" s="14"/>
      <c r="L2737" s="14"/>
      <c r="M2737" s="14"/>
      <c r="N2737" s="14"/>
      <c r="O2737" s="14"/>
      <c r="P2737" s="14"/>
      <c r="Q2737" s="14"/>
      <c r="R2737" s="14"/>
      <c r="S2737" s="14"/>
      <c r="T2737" s="14"/>
      <c r="U2737" s="14"/>
      <c r="V2737" s="14"/>
      <c r="W2737" s="14"/>
      <c r="X2737" s="14"/>
      <c r="Y2737" s="14"/>
    </row>
    <row r="2738" spans="1:25" ht="15.75" x14ac:dyDescent="0.25">
      <c r="A2738" s="21"/>
      <c r="B2738" s="21"/>
      <c r="C2738" s="21"/>
      <c r="E2738" s="21"/>
      <c r="F2738" s="21"/>
      <c r="G2738" s="14"/>
      <c r="H2738" s="14"/>
      <c r="I2738" s="14"/>
      <c r="J2738" s="14"/>
      <c r="K2738" s="14"/>
      <c r="L2738" s="14"/>
      <c r="M2738" s="14"/>
      <c r="N2738" s="14"/>
      <c r="O2738" s="14"/>
      <c r="P2738" s="14"/>
      <c r="Q2738" s="14"/>
      <c r="R2738" s="14"/>
      <c r="S2738" s="14"/>
      <c r="T2738" s="14"/>
      <c r="U2738" s="14"/>
      <c r="V2738" s="14"/>
      <c r="W2738" s="14"/>
      <c r="X2738" s="14"/>
      <c r="Y2738" s="14"/>
    </row>
    <row r="2739" spans="1:25" ht="15.75" x14ac:dyDescent="0.25">
      <c r="A2739" s="21"/>
      <c r="B2739" s="21"/>
      <c r="C2739" s="21"/>
      <c r="E2739" s="21"/>
      <c r="F2739" s="21"/>
      <c r="G2739" s="14"/>
      <c r="H2739" s="14"/>
      <c r="I2739" s="14"/>
      <c r="J2739" s="14"/>
      <c r="K2739" s="14"/>
      <c r="L2739" s="14"/>
      <c r="M2739" s="14"/>
      <c r="N2739" s="14"/>
      <c r="O2739" s="14"/>
      <c r="P2739" s="14"/>
      <c r="Q2739" s="14"/>
      <c r="R2739" s="14"/>
      <c r="S2739" s="14"/>
      <c r="T2739" s="14"/>
      <c r="U2739" s="14"/>
      <c r="V2739" s="14"/>
      <c r="W2739" s="14"/>
      <c r="X2739" s="14"/>
      <c r="Y2739" s="14"/>
    </row>
    <row r="2740" spans="1:25" ht="15.75" x14ac:dyDescent="0.25">
      <c r="A2740" s="21"/>
      <c r="B2740" s="21"/>
      <c r="C2740" s="21"/>
      <c r="E2740" s="21"/>
      <c r="F2740" s="21"/>
      <c r="G2740" s="14"/>
      <c r="H2740" s="14"/>
      <c r="I2740" s="14"/>
      <c r="J2740" s="14"/>
      <c r="K2740" s="14"/>
      <c r="L2740" s="14"/>
      <c r="M2740" s="14"/>
      <c r="N2740" s="14"/>
      <c r="O2740" s="14"/>
      <c r="P2740" s="14"/>
      <c r="Q2740" s="14"/>
      <c r="R2740" s="14"/>
      <c r="S2740" s="14"/>
      <c r="T2740" s="14"/>
      <c r="U2740" s="14"/>
      <c r="V2740" s="14"/>
      <c r="W2740" s="14"/>
      <c r="X2740" s="14"/>
      <c r="Y2740" s="14"/>
    </row>
    <row r="2741" spans="1:25" ht="15.75" x14ac:dyDescent="0.25">
      <c r="A2741" s="21"/>
      <c r="B2741" s="21"/>
      <c r="C2741" s="21"/>
      <c r="E2741" s="21"/>
      <c r="F2741" s="21"/>
      <c r="G2741" s="14"/>
      <c r="H2741" s="14"/>
      <c r="I2741" s="14"/>
      <c r="J2741" s="14"/>
      <c r="K2741" s="14"/>
      <c r="L2741" s="14"/>
      <c r="M2741" s="14"/>
      <c r="N2741" s="14"/>
      <c r="O2741" s="14"/>
      <c r="P2741" s="14"/>
      <c r="Q2741" s="14"/>
      <c r="R2741" s="14"/>
      <c r="S2741" s="14"/>
      <c r="T2741" s="14"/>
      <c r="U2741" s="14"/>
      <c r="V2741" s="14"/>
      <c r="W2741" s="14"/>
      <c r="X2741" s="14"/>
      <c r="Y2741" s="14"/>
    </row>
    <row r="2742" spans="1:25" ht="15.75" x14ac:dyDescent="0.25">
      <c r="A2742" s="21"/>
      <c r="B2742" s="21"/>
      <c r="C2742" s="21"/>
      <c r="E2742" s="21"/>
      <c r="F2742" s="21"/>
      <c r="G2742" s="14"/>
      <c r="H2742" s="14"/>
      <c r="I2742" s="14"/>
      <c r="J2742" s="14"/>
      <c r="K2742" s="14"/>
      <c r="L2742" s="14"/>
      <c r="M2742" s="14"/>
      <c r="N2742" s="14"/>
      <c r="O2742" s="14"/>
      <c r="P2742" s="14"/>
      <c r="Q2742" s="14"/>
      <c r="R2742" s="14"/>
      <c r="S2742" s="14"/>
      <c r="T2742" s="14"/>
      <c r="U2742" s="14"/>
      <c r="V2742" s="14"/>
      <c r="W2742" s="14"/>
      <c r="X2742" s="14"/>
      <c r="Y2742" s="14"/>
    </row>
    <row r="2743" spans="1:25" ht="15.75" x14ac:dyDescent="0.25">
      <c r="A2743" s="21"/>
      <c r="B2743" s="21"/>
      <c r="C2743" s="21"/>
      <c r="E2743" s="21"/>
      <c r="F2743" s="21"/>
      <c r="G2743" s="14"/>
      <c r="H2743" s="14"/>
      <c r="I2743" s="14"/>
      <c r="J2743" s="14"/>
      <c r="K2743" s="14"/>
      <c r="L2743" s="14"/>
      <c r="M2743" s="14"/>
      <c r="N2743" s="14"/>
      <c r="O2743" s="14"/>
      <c r="P2743" s="14"/>
      <c r="Q2743" s="14"/>
      <c r="R2743" s="14"/>
      <c r="S2743" s="14"/>
      <c r="T2743" s="14"/>
      <c r="U2743" s="14"/>
      <c r="V2743" s="14"/>
      <c r="W2743" s="14"/>
      <c r="X2743" s="14"/>
      <c r="Y2743" s="14"/>
    </row>
    <row r="2744" spans="1:25" ht="15.75" x14ac:dyDescent="0.25">
      <c r="A2744" s="21"/>
      <c r="B2744" s="21"/>
      <c r="C2744" s="21"/>
      <c r="E2744" s="21"/>
      <c r="F2744" s="21"/>
      <c r="G2744" s="14"/>
      <c r="H2744" s="14"/>
      <c r="I2744" s="14"/>
      <c r="J2744" s="14"/>
      <c r="K2744" s="14"/>
      <c r="L2744" s="14"/>
      <c r="M2744" s="14"/>
      <c r="N2744" s="14"/>
      <c r="O2744" s="14"/>
      <c r="P2744" s="14"/>
      <c r="Q2744" s="14"/>
      <c r="R2744" s="14"/>
      <c r="S2744" s="14"/>
      <c r="T2744" s="14"/>
      <c r="U2744" s="14"/>
      <c r="V2744" s="14"/>
      <c r="W2744" s="14"/>
      <c r="X2744" s="14"/>
      <c r="Y2744" s="14"/>
    </row>
    <row r="2745" spans="1:25" ht="15.75" x14ac:dyDescent="0.25">
      <c r="A2745" s="21"/>
      <c r="B2745" s="21"/>
      <c r="C2745" s="21"/>
      <c r="E2745" s="21"/>
      <c r="F2745" s="21"/>
      <c r="G2745" s="14"/>
      <c r="H2745" s="14"/>
      <c r="I2745" s="14"/>
      <c r="J2745" s="14"/>
      <c r="K2745" s="14"/>
      <c r="L2745" s="14"/>
      <c r="M2745" s="14"/>
      <c r="N2745" s="14"/>
      <c r="O2745" s="14"/>
      <c r="P2745" s="14"/>
      <c r="Q2745" s="14"/>
      <c r="R2745" s="14"/>
      <c r="S2745" s="14"/>
      <c r="T2745" s="14"/>
      <c r="U2745" s="14"/>
      <c r="V2745" s="14"/>
      <c r="W2745" s="14"/>
      <c r="X2745" s="14"/>
      <c r="Y2745" s="14"/>
    </row>
    <row r="2746" spans="1:25" ht="15.75" x14ac:dyDescent="0.25">
      <c r="A2746" s="21"/>
      <c r="B2746" s="21"/>
      <c r="C2746" s="21"/>
      <c r="E2746" s="21"/>
      <c r="F2746" s="21"/>
      <c r="G2746" s="14"/>
      <c r="H2746" s="14"/>
      <c r="I2746" s="14"/>
      <c r="J2746" s="14"/>
      <c r="K2746" s="14"/>
      <c r="L2746" s="14"/>
      <c r="M2746" s="14"/>
      <c r="N2746" s="14"/>
      <c r="O2746" s="14"/>
      <c r="P2746" s="14"/>
      <c r="Q2746" s="14"/>
      <c r="R2746" s="14"/>
      <c r="S2746" s="14"/>
      <c r="T2746" s="14"/>
      <c r="U2746" s="14"/>
      <c r="V2746" s="14"/>
      <c r="W2746" s="14"/>
      <c r="X2746" s="14"/>
      <c r="Y2746" s="14"/>
    </row>
    <row r="2747" spans="1:25" ht="15.75" x14ac:dyDescent="0.25">
      <c r="A2747" s="21"/>
      <c r="B2747" s="21"/>
      <c r="C2747" s="21"/>
      <c r="E2747" s="21"/>
      <c r="F2747" s="21"/>
      <c r="G2747" s="14"/>
      <c r="H2747" s="14"/>
      <c r="I2747" s="14"/>
      <c r="J2747" s="14"/>
      <c r="K2747" s="14"/>
      <c r="L2747" s="14"/>
      <c r="M2747" s="14"/>
      <c r="N2747" s="14"/>
      <c r="O2747" s="14"/>
      <c r="P2747" s="14"/>
      <c r="Q2747" s="14"/>
      <c r="R2747" s="14"/>
      <c r="S2747" s="14"/>
      <c r="T2747" s="14"/>
      <c r="U2747" s="14"/>
      <c r="V2747" s="14"/>
      <c r="W2747" s="14"/>
      <c r="X2747" s="14"/>
      <c r="Y2747" s="14"/>
    </row>
    <row r="2748" spans="1:25" ht="15.75" x14ac:dyDescent="0.25">
      <c r="A2748" s="21"/>
      <c r="B2748" s="21"/>
      <c r="C2748" s="21"/>
      <c r="E2748" s="21"/>
      <c r="F2748" s="21"/>
      <c r="G2748" s="14"/>
      <c r="H2748" s="14"/>
      <c r="I2748" s="14"/>
      <c r="J2748" s="14"/>
      <c r="K2748" s="14"/>
      <c r="L2748" s="14"/>
      <c r="M2748" s="14"/>
      <c r="N2748" s="14"/>
      <c r="O2748" s="14"/>
      <c r="P2748" s="14"/>
      <c r="Q2748" s="14"/>
      <c r="R2748" s="14"/>
      <c r="S2748" s="14"/>
      <c r="T2748" s="14"/>
      <c r="U2748" s="14"/>
      <c r="V2748" s="14"/>
      <c r="W2748" s="14"/>
      <c r="X2748" s="14"/>
      <c r="Y2748" s="14"/>
    </row>
    <row r="2749" spans="1:25" ht="15.75" x14ac:dyDescent="0.25">
      <c r="A2749" s="21"/>
      <c r="B2749" s="21"/>
      <c r="C2749" s="21"/>
      <c r="E2749" s="21"/>
      <c r="F2749" s="21"/>
      <c r="G2749" s="14"/>
      <c r="H2749" s="14"/>
      <c r="I2749" s="14"/>
      <c r="J2749" s="14"/>
      <c r="K2749" s="14"/>
      <c r="L2749" s="14"/>
      <c r="M2749" s="14"/>
      <c r="N2749" s="14"/>
      <c r="O2749" s="14"/>
      <c r="P2749" s="14"/>
      <c r="Q2749" s="14"/>
      <c r="R2749" s="14"/>
      <c r="S2749" s="14"/>
      <c r="T2749" s="14"/>
      <c r="U2749" s="14"/>
      <c r="V2749" s="14"/>
      <c r="W2749" s="14"/>
      <c r="X2749" s="14"/>
      <c r="Y2749" s="14"/>
    </row>
    <row r="2750" spans="1:25" ht="15.75" x14ac:dyDescent="0.25">
      <c r="A2750" s="21"/>
      <c r="B2750" s="21"/>
      <c r="C2750" s="21"/>
      <c r="E2750" s="21"/>
      <c r="F2750" s="21"/>
      <c r="G2750" s="14"/>
      <c r="H2750" s="14"/>
      <c r="I2750" s="14"/>
      <c r="J2750" s="14"/>
      <c r="K2750" s="14"/>
      <c r="L2750" s="14"/>
      <c r="M2750" s="14"/>
      <c r="N2750" s="14"/>
      <c r="O2750" s="14"/>
      <c r="P2750" s="14"/>
      <c r="Q2750" s="14"/>
      <c r="R2750" s="14"/>
      <c r="S2750" s="14"/>
      <c r="T2750" s="14"/>
      <c r="U2750" s="14"/>
      <c r="V2750" s="14"/>
      <c r="W2750" s="14"/>
      <c r="X2750" s="14"/>
      <c r="Y2750" s="14"/>
    </row>
    <row r="2751" spans="1:25" ht="15.75" x14ac:dyDescent="0.25">
      <c r="A2751" s="21"/>
      <c r="B2751" s="21"/>
      <c r="C2751" s="21"/>
      <c r="E2751" s="21"/>
      <c r="F2751" s="21"/>
      <c r="G2751" s="14"/>
      <c r="H2751" s="14"/>
      <c r="I2751" s="14"/>
      <c r="J2751" s="14"/>
      <c r="K2751" s="14"/>
      <c r="L2751" s="14"/>
      <c r="M2751" s="14"/>
      <c r="N2751" s="14"/>
      <c r="O2751" s="14"/>
      <c r="P2751" s="14"/>
      <c r="Q2751" s="14"/>
      <c r="R2751" s="14"/>
      <c r="S2751" s="14"/>
      <c r="T2751" s="14"/>
      <c r="U2751" s="14"/>
      <c r="V2751" s="14"/>
      <c r="W2751" s="14"/>
      <c r="X2751" s="14"/>
      <c r="Y2751" s="14"/>
    </row>
    <row r="2752" spans="1:25" ht="15.75" x14ac:dyDescent="0.25">
      <c r="A2752" s="21"/>
      <c r="B2752" s="21"/>
      <c r="C2752" s="21"/>
      <c r="E2752" s="21"/>
      <c r="F2752" s="21"/>
      <c r="G2752" s="14"/>
      <c r="H2752" s="14"/>
      <c r="I2752" s="14"/>
      <c r="J2752" s="14"/>
      <c r="K2752" s="14"/>
      <c r="L2752" s="14"/>
      <c r="M2752" s="14"/>
      <c r="N2752" s="14"/>
      <c r="O2752" s="14"/>
      <c r="P2752" s="14"/>
      <c r="Q2752" s="14"/>
      <c r="R2752" s="14"/>
      <c r="S2752" s="14"/>
      <c r="T2752" s="14"/>
      <c r="U2752" s="14"/>
      <c r="V2752" s="14"/>
      <c r="W2752" s="14"/>
      <c r="X2752" s="14"/>
      <c r="Y2752" s="14"/>
    </row>
    <row r="2753" spans="1:25" ht="15.75" x14ac:dyDescent="0.25">
      <c r="A2753" s="21"/>
      <c r="B2753" s="21"/>
      <c r="C2753" s="21"/>
      <c r="E2753" s="21"/>
      <c r="F2753" s="21"/>
      <c r="G2753" s="14"/>
      <c r="H2753" s="14"/>
      <c r="I2753" s="14"/>
      <c r="J2753" s="14"/>
      <c r="K2753" s="14"/>
      <c r="L2753" s="14"/>
      <c r="M2753" s="14"/>
      <c r="N2753" s="14"/>
      <c r="O2753" s="14"/>
      <c r="P2753" s="14"/>
      <c r="Q2753" s="14"/>
      <c r="R2753" s="14"/>
      <c r="S2753" s="14"/>
      <c r="T2753" s="14"/>
      <c r="U2753" s="14"/>
      <c r="V2753" s="14"/>
      <c r="W2753" s="14"/>
      <c r="X2753" s="14"/>
      <c r="Y2753" s="14"/>
    </row>
    <row r="2754" spans="1:25" ht="15.75" x14ac:dyDescent="0.25">
      <c r="A2754" s="21"/>
      <c r="B2754" s="21"/>
      <c r="C2754" s="21"/>
      <c r="E2754" s="21"/>
      <c r="F2754" s="21"/>
      <c r="G2754" s="14"/>
      <c r="H2754" s="14"/>
      <c r="I2754" s="14"/>
      <c r="J2754" s="14"/>
      <c r="K2754" s="14"/>
      <c r="L2754" s="14"/>
      <c r="M2754" s="14"/>
      <c r="N2754" s="14"/>
      <c r="O2754" s="14"/>
      <c r="P2754" s="14"/>
      <c r="Q2754" s="14"/>
      <c r="R2754" s="14"/>
      <c r="S2754" s="14"/>
      <c r="T2754" s="14"/>
      <c r="U2754" s="14"/>
      <c r="V2754" s="14"/>
      <c r="W2754" s="14"/>
      <c r="X2754" s="14"/>
      <c r="Y2754" s="14"/>
    </row>
    <row r="2755" spans="1:25" ht="15.75" x14ac:dyDescent="0.25">
      <c r="A2755" s="21"/>
      <c r="B2755" s="21"/>
      <c r="C2755" s="21"/>
      <c r="E2755" s="21"/>
      <c r="F2755" s="21"/>
      <c r="G2755" s="14"/>
      <c r="H2755" s="14"/>
      <c r="I2755" s="14"/>
      <c r="J2755" s="14"/>
      <c r="K2755" s="14"/>
      <c r="L2755" s="14"/>
      <c r="M2755" s="14"/>
      <c r="N2755" s="14"/>
      <c r="O2755" s="14"/>
      <c r="P2755" s="14"/>
      <c r="Q2755" s="14"/>
      <c r="R2755" s="14"/>
      <c r="S2755" s="14"/>
      <c r="T2755" s="14"/>
      <c r="U2755" s="14"/>
      <c r="V2755" s="14"/>
      <c r="W2755" s="14"/>
      <c r="X2755" s="14"/>
      <c r="Y2755" s="14"/>
    </row>
    <row r="2756" spans="1:25" ht="15.75" x14ac:dyDescent="0.25">
      <c r="A2756" s="21"/>
      <c r="B2756" s="21"/>
      <c r="C2756" s="21"/>
      <c r="E2756" s="21"/>
      <c r="F2756" s="21"/>
      <c r="G2756" s="14"/>
      <c r="H2756" s="14"/>
      <c r="I2756" s="14"/>
      <c r="J2756" s="14"/>
      <c r="K2756" s="14"/>
      <c r="L2756" s="14"/>
      <c r="M2756" s="14"/>
      <c r="N2756" s="14"/>
      <c r="O2756" s="14"/>
      <c r="P2756" s="14"/>
      <c r="Q2756" s="14"/>
      <c r="R2756" s="14"/>
      <c r="S2756" s="14"/>
      <c r="T2756" s="14"/>
      <c r="U2756" s="14"/>
      <c r="V2756" s="14"/>
      <c r="W2756" s="14"/>
      <c r="X2756" s="14"/>
      <c r="Y2756" s="14"/>
    </row>
    <row r="2757" spans="1:25" ht="15.75" x14ac:dyDescent="0.25">
      <c r="A2757" s="21"/>
      <c r="B2757" s="21"/>
      <c r="C2757" s="21"/>
      <c r="E2757" s="21"/>
      <c r="F2757" s="21"/>
      <c r="G2757" s="14"/>
      <c r="H2757" s="14"/>
      <c r="I2757" s="14"/>
      <c r="J2757" s="14"/>
      <c r="K2757" s="14"/>
      <c r="L2757" s="14"/>
      <c r="M2757" s="14"/>
      <c r="N2757" s="14"/>
      <c r="O2757" s="14"/>
      <c r="P2757" s="14"/>
      <c r="Q2757" s="14"/>
      <c r="R2757" s="14"/>
      <c r="S2757" s="14"/>
      <c r="T2757" s="14"/>
      <c r="U2757" s="14"/>
      <c r="V2757" s="14"/>
      <c r="W2757" s="14"/>
      <c r="X2757" s="14"/>
      <c r="Y2757" s="14"/>
    </row>
    <row r="2758" spans="1:25" ht="15.75" x14ac:dyDescent="0.25">
      <c r="A2758" s="21"/>
      <c r="B2758" s="21"/>
      <c r="C2758" s="21"/>
      <c r="E2758" s="21"/>
      <c r="F2758" s="21"/>
      <c r="G2758" s="14"/>
      <c r="H2758" s="14"/>
      <c r="I2758" s="14"/>
      <c r="J2758" s="14"/>
      <c r="K2758" s="14"/>
      <c r="L2758" s="14"/>
      <c r="M2758" s="14"/>
      <c r="N2758" s="14"/>
      <c r="O2758" s="14"/>
      <c r="P2758" s="14"/>
      <c r="Q2758" s="14"/>
      <c r="R2758" s="14"/>
      <c r="S2758" s="14"/>
      <c r="T2758" s="14"/>
      <c r="U2758" s="14"/>
      <c r="V2758" s="14"/>
      <c r="W2758" s="14"/>
      <c r="X2758" s="14"/>
      <c r="Y2758" s="14"/>
    </row>
    <row r="2759" spans="1:25" ht="15.75" x14ac:dyDescent="0.25">
      <c r="A2759" s="21"/>
      <c r="B2759" s="21"/>
      <c r="C2759" s="21"/>
      <c r="E2759" s="21"/>
      <c r="F2759" s="21"/>
      <c r="G2759" s="14"/>
      <c r="H2759" s="14"/>
      <c r="I2759" s="14"/>
      <c r="J2759" s="14"/>
      <c r="K2759" s="14"/>
      <c r="L2759" s="14"/>
      <c r="M2759" s="14"/>
      <c r="N2759" s="14"/>
      <c r="O2759" s="14"/>
      <c r="P2759" s="14"/>
      <c r="Q2759" s="14"/>
      <c r="R2759" s="14"/>
      <c r="S2759" s="14"/>
      <c r="T2759" s="14"/>
      <c r="U2759" s="14"/>
      <c r="V2759" s="14"/>
      <c r="W2759" s="14"/>
      <c r="X2759" s="14"/>
      <c r="Y2759" s="14"/>
    </row>
    <row r="2760" spans="1:25" ht="15.75" x14ac:dyDescent="0.25">
      <c r="A2760" s="21"/>
      <c r="B2760" s="21"/>
      <c r="C2760" s="21"/>
      <c r="E2760" s="21"/>
      <c r="F2760" s="21"/>
      <c r="G2760" s="14"/>
      <c r="H2760" s="14"/>
      <c r="I2760" s="14"/>
      <c r="J2760" s="14"/>
      <c r="K2760" s="14"/>
      <c r="L2760" s="14"/>
      <c r="M2760" s="14"/>
      <c r="N2760" s="14"/>
      <c r="O2760" s="14"/>
      <c r="P2760" s="14"/>
      <c r="Q2760" s="14"/>
      <c r="R2760" s="14"/>
      <c r="S2760" s="14"/>
      <c r="T2760" s="14"/>
      <c r="U2760" s="14"/>
      <c r="V2760" s="14"/>
      <c r="W2760" s="14"/>
      <c r="X2760" s="14"/>
      <c r="Y2760" s="14"/>
    </row>
    <row r="2761" spans="1:25" ht="15.75" x14ac:dyDescent="0.25">
      <c r="A2761" s="21"/>
      <c r="B2761" s="21"/>
      <c r="C2761" s="21"/>
      <c r="E2761" s="21"/>
      <c r="F2761" s="21"/>
      <c r="G2761" s="14"/>
      <c r="H2761" s="14"/>
      <c r="I2761" s="14"/>
      <c r="J2761" s="14"/>
      <c r="K2761" s="14"/>
      <c r="L2761" s="14"/>
      <c r="M2761" s="14"/>
      <c r="N2761" s="14"/>
      <c r="O2761" s="14"/>
      <c r="P2761" s="14"/>
      <c r="Q2761" s="14"/>
      <c r="R2761" s="14"/>
      <c r="S2761" s="14"/>
      <c r="T2761" s="14"/>
      <c r="U2761" s="14"/>
      <c r="V2761" s="14"/>
      <c r="W2761" s="14"/>
      <c r="X2761" s="14"/>
      <c r="Y2761" s="14"/>
    </row>
    <row r="2762" spans="1:25" ht="15.75" x14ac:dyDescent="0.25">
      <c r="A2762" s="21"/>
      <c r="B2762" s="21"/>
      <c r="C2762" s="21"/>
      <c r="E2762" s="21"/>
      <c r="F2762" s="21"/>
      <c r="G2762" s="14"/>
      <c r="H2762" s="14"/>
      <c r="I2762" s="14"/>
      <c r="J2762" s="14"/>
      <c r="K2762" s="14"/>
      <c r="L2762" s="14"/>
      <c r="M2762" s="14"/>
      <c r="N2762" s="14"/>
      <c r="O2762" s="14"/>
      <c r="P2762" s="14"/>
      <c r="Q2762" s="14"/>
      <c r="R2762" s="14"/>
      <c r="S2762" s="14"/>
      <c r="T2762" s="14"/>
      <c r="U2762" s="14"/>
      <c r="V2762" s="14"/>
      <c r="W2762" s="14"/>
      <c r="X2762" s="14"/>
      <c r="Y2762" s="14"/>
    </row>
    <row r="2763" spans="1:25" ht="15.75" x14ac:dyDescent="0.25">
      <c r="A2763" s="21"/>
      <c r="B2763" s="21"/>
      <c r="C2763" s="21"/>
      <c r="E2763" s="21"/>
      <c r="F2763" s="21"/>
      <c r="G2763" s="14"/>
      <c r="H2763" s="14"/>
      <c r="I2763" s="14"/>
      <c r="J2763" s="14"/>
      <c r="K2763" s="14"/>
      <c r="L2763" s="14"/>
      <c r="M2763" s="14"/>
      <c r="N2763" s="14"/>
      <c r="O2763" s="14"/>
      <c r="P2763" s="14"/>
      <c r="Q2763" s="14"/>
      <c r="R2763" s="14"/>
      <c r="S2763" s="14"/>
      <c r="T2763" s="14"/>
      <c r="U2763" s="14"/>
      <c r="V2763" s="14"/>
      <c r="W2763" s="14"/>
      <c r="X2763" s="14"/>
      <c r="Y2763" s="14"/>
    </row>
    <row r="2764" spans="1:25" ht="15.75" x14ac:dyDescent="0.25">
      <c r="A2764" s="21"/>
      <c r="B2764" s="21"/>
      <c r="C2764" s="21"/>
      <c r="E2764" s="21"/>
      <c r="F2764" s="21"/>
      <c r="G2764" s="14"/>
      <c r="H2764" s="14"/>
      <c r="I2764" s="14"/>
      <c r="J2764" s="14"/>
      <c r="K2764" s="14"/>
      <c r="L2764" s="14"/>
      <c r="M2764" s="14"/>
      <c r="N2764" s="14"/>
      <c r="O2764" s="14"/>
      <c r="P2764" s="14"/>
      <c r="Q2764" s="14"/>
      <c r="R2764" s="14"/>
      <c r="S2764" s="14"/>
      <c r="T2764" s="14"/>
      <c r="U2764" s="14"/>
      <c r="V2764" s="14"/>
      <c r="W2764" s="14"/>
      <c r="X2764" s="14"/>
      <c r="Y2764" s="14"/>
    </row>
    <row r="2765" spans="1:25" ht="15.75" x14ac:dyDescent="0.25">
      <c r="A2765" s="21"/>
      <c r="B2765" s="21"/>
      <c r="C2765" s="21"/>
      <c r="E2765" s="21"/>
      <c r="F2765" s="21"/>
      <c r="G2765" s="14"/>
      <c r="H2765" s="14"/>
      <c r="I2765" s="14"/>
      <c r="J2765" s="14"/>
      <c r="K2765" s="14"/>
      <c r="L2765" s="14"/>
      <c r="M2765" s="14"/>
      <c r="N2765" s="14"/>
      <c r="O2765" s="14"/>
      <c r="P2765" s="14"/>
      <c r="Q2765" s="14"/>
      <c r="R2765" s="14"/>
      <c r="S2765" s="14"/>
      <c r="T2765" s="14"/>
      <c r="U2765" s="14"/>
      <c r="V2765" s="14"/>
      <c r="W2765" s="14"/>
      <c r="X2765" s="14"/>
      <c r="Y2765" s="14"/>
    </row>
    <row r="2766" spans="1:25" ht="15.75" x14ac:dyDescent="0.25">
      <c r="A2766" s="21"/>
      <c r="B2766" s="21"/>
      <c r="C2766" s="21"/>
      <c r="E2766" s="21"/>
      <c r="F2766" s="21"/>
      <c r="G2766" s="14"/>
      <c r="H2766" s="14"/>
      <c r="I2766" s="14"/>
      <c r="J2766" s="14"/>
      <c r="K2766" s="14"/>
      <c r="L2766" s="14"/>
      <c r="M2766" s="14"/>
      <c r="N2766" s="14"/>
      <c r="O2766" s="14"/>
      <c r="P2766" s="14"/>
      <c r="Q2766" s="14"/>
      <c r="R2766" s="14"/>
      <c r="S2766" s="14"/>
      <c r="T2766" s="14"/>
      <c r="U2766" s="14"/>
      <c r="V2766" s="14"/>
      <c r="W2766" s="14"/>
      <c r="X2766" s="14"/>
      <c r="Y2766" s="14"/>
    </row>
    <row r="2767" spans="1:25" ht="15.75" x14ac:dyDescent="0.25">
      <c r="A2767" s="21"/>
      <c r="B2767" s="21"/>
      <c r="C2767" s="21"/>
      <c r="E2767" s="21"/>
      <c r="F2767" s="21"/>
      <c r="G2767" s="14"/>
      <c r="H2767" s="14"/>
      <c r="I2767" s="14"/>
      <c r="J2767" s="14"/>
      <c r="K2767" s="14"/>
      <c r="L2767" s="14"/>
      <c r="M2767" s="14"/>
      <c r="N2767" s="14"/>
      <c r="O2767" s="14"/>
      <c r="P2767" s="14"/>
      <c r="Q2767" s="14"/>
      <c r="R2767" s="14"/>
      <c r="S2767" s="14"/>
      <c r="T2767" s="14"/>
      <c r="U2767" s="14"/>
      <c r="V2767" s="14"/>
      <c r="W2767" s="14"/>
      <c r="X2767" s="14"/>
      <c r="Y2767" s="14"/>
    </row>
    <row r="2768" spans="1:25" ht="15.75" x14ac:dyDescent="0.25">
      <c r="A2768" s="21"/>
      <c r="B2768" s="21"/>
      <c r="C2768" s="21"/>
      <c r="E2768" s="21"/>
      <c r="F2768" s="21"/>
      <c r="G2768" s="14"/>
      <c r="H2768" s="14"/>
      <c r="I2768" s="14"/>
      <c r="J2768" s="14"/>
      <c r="K2768" s="14"/>
      <c r="L2768" s="14"/>
      <c r="M2768" s="14"/>
      <c r="N2768" s="14"/>
      <c r="O2768" s="14"/>
      <c r="P2768" s="14"/>
      <c r="Q2768" s="14"/>
      <c r="R2768" s="14"/>
      <c r="S2768" s="14"/>
      <c r="T2768" s="14"/>
      <c r="U2768" s="14"/>
      <c r="V2768" s="14"/>
      <c r="W2768" s="14"/>
      <c r="X2768" s="14"/>
      <c r="Y2768" s="14"/>
    </row>
    <row r="2769" spans="1:25" ht="15.75" x14ac:dyDescent="0.25">
      <c r="A2769" s="21"/>
      <c r="B2769" s="21"/>
      <c r="C2769" s="21"/>
      <c r="E2769" s="21"/>
      <c r="F2769" s="21"/>
      <c r="G2769" s="14"/>
      <c r="H2769" s="14"/>
      <c r="I2769" s="14"/>
      <c r="J2769" s="14"/>
      <c r="K2769" s="14"/>
      <c r="L2769" s="14"/>
      <c r="M2769" s="14"/>
      <c r="N2769" s="14"/>
      <c r="O2769" s="14"/>
      <c r="P2769" s="14"/>
      <c r="Q2769" s="14"/>
      <c r="R2769" s="14"/>
      <c r="S2769" s="14"/>
      <c r="T2769" s="14"/>
      <c r="U2769" s="14"/>
      <c r="V2769" s="14"/>
      <c r="W2769" s="14"/>
      <c r="X2769" s="14"/>
      <c r="Y2769" s="14"/>
    </row>
    <row r="2770" spans="1:25" ht="15.75" x14ac:dyDescent="0.25">
      <c r="A2770" s="21"/>
      <c r="B2770" s="21"/>
      <c r="C2770" s="21"/>
      <c r="E2770" s="21"/>
      <c r="F2770" s="21"/>
      <c r="G2770" s="14"/>
      <c r="H2770" s="14"/>
      <c r="I2770" s="14"/>
      <c r="J2770" s="14"/>
      <c r="K2770" s="14"/>
      <c r="L2770" s="14"/>
      <c r="M2770" s="14"/>
      <c r="N2770" s="14"/>
      <c r="O2770" s="14"/>
      <c r="P2770" s="14"/>
      <c r="Q2770" s="14"/>
      <c r="R2770" s="14"/>
      <c r="S2770" s="14"/>
      <c r="T2770" s="14"/>
      <c r="U2770" s="14"/>
      <c r="V2770" s="14"/>
      <c r="W2770" s="14"/>
      <c r="X2770" s="14"/>
      <c r="Y2770" s="14"/>
    </row>
    <row r="2771" spans="1:25" ht="15.75" x14ac:dyDescent="0.25">
      <c r="A2771" s="21"/>
      <c r="B2771" s="21"/>
      <c r="C2771" s="21"/>
      <c r="E2771" s="21"/>
      <c r="F2771" s="21"/>
      <c r="G2771" s="14"/>
      <c r="H2771" s="14"/>
      <c r="I2771" s="14"/>
      <c r="J2771" s="14"/>
      <c r="K2771" s="14"/>
      <c r="L2771" s="14"/>
      <c r="M2771" s="14"/>
      <c r="N2771" s="14"/>
      <c r="O2771" s="14"/>
      <c r="P2771" s="14"/>
      <c r="Q2771" s="14"/>
      <c r="R2771" s="14"/>
      <c r="S2771" s="14"/>
      <c r="T2771" s="14"/>
      <c r="U2771" s="14"/>
      <c r="V2771" s="14"/>
      <c r="W2771" s="14"/>
      <c r="X2771" s="14"/>
      <c r="Y2771" s="14"/>
    </row>
    <row r="2772" spans="1:25" ht="15.75" x14ac:dyDescent="0.25">
      <c r="A2772" s="21"/>
      <c r="B2772" s="21"/>
      <c r="C2772" s="21"/>
      <c r="E2772" s="21"/>
      <c r="F2772" s="21"/>
      <c r="G2772" s="14"/>
      <c r="H2772" s="14"/>
      <c r="I2772" s="14"/>
      <c r="J2772" s="14"/>
      <c r="K2772" s="14"/>
      <c r="L2772" s="14"/>
      <c r="M2772" s="14"/>
      <c r="N2772" s="14"/>
      <c r="O2772" s="14"/>
      <c r="P2772" s="14"/>
      <c r="Q2772" s="14"/>
      <c r="R2772" s="14"/>
      <c r="S2772" s="14"/>
      <c r="T2772" s="14"/>
      <c r="U2772" s="14"/>
      <c r="V2772" s="14"/>
      <c r="W2772" s="14"/>
      <c r="X2772" s="14"/>
      <c r="Y2772" s="14"/>
    </row>
    <row r="2773" spans="1:25" ht="15.75" x14ac:dyDescent="0.25">
      <c r="A2773" s="21"/>
      <c r="B2773" s="21"/>
      <c r="C2773" s="21"/>
      <c r="E2773" s="21"/>
      <c r="F2773" s="21"/>
      <c r="G2773" s="14"/>
      <c r="H2773" s="14"/>
      <c r="I2773" s="14"/>
      <c r="J2773" s="14"/>
      <c r="K2773" s="14"/>
      <c r="L2773" s="14"/>
      <c r="M2773" s="14"/>
      <c r="N2773" s="14"/>
      <c r="O2773" s="14"/>
      <c r="P2773" s="14"/>
      <c r="Q2773" s="14"/>
      <c r="R2773" s="14"/>
      <c r="S2773" s="14"/>
      <c r="T2773" s="14"/>
      <c r="U2773" s="14"/>
      <c r="V2773" s="14"/>
      <c r="W2773" s="14"/>
      <c r="X2773" s="14"/>
      <c r="Y2773" s="14"/>
    </row>
    <row r="2774" spans="1:25" ht="15.75" x14ac:dyDescent="0.25">
      <c r="A2774" s="21"/>
      <c r="B2774" s="21"/>
      <c r="C2774" s="21"/>
      <c r="E2774" s="21"/>
      <c r="F2774" s="21"/>
      <c r="G2774" s="14"/>
      <c r="H2774" s="14"/>
      <c r="I2774" s="14"/>
      <c r="J2774" s="14"/>
      <c r="K2774" s="14"/>
      <c r="L2774" s="14"/>
      <c r="M2774" s="14"/>
      <c r="N2774" s="14"/>
      <c r="O2774" s="14"/>
      <c r="P2774" s="14"/>
      <c r="Q2774" s="14"/>
      <c r="R2774" s="14"/>
      <c r="S2774" s="14"/>
      <c r="T2774" s="14"/>
      <c r="U2774" s="14"/>
      <c r="V2774" s="14"/>
      <c r="W2774" s="14"/>
      <c r="X2774" s="14"/>
      <c r="Y2774" s="14"/>
    </row>
    <row r="2775" spans="1:25" ht="15.75" x14ac:dyDescent="0.25">
      <c r="A2775" s="21"/>
      <c r="B2775" s="21"/>
      <c r="C2775" s="21"/>
      <c r="E2775" s="21"/>
      <c r="F2775" s="21"/>
      <c r="G2775" s="14"/>
      <c r="H2775" s="14"/>
      <c r="I2775" s="14"/>
      <c r="J2775" s="14"/>
      <c r="K2775" s="14"/>
      <c r="L2775" s="14"/>
      <c r="M2775" s="14"/>
      <c r="N2775" s="14"/>
      <c r="O2775" s="14"/>
      <c r="P2775" s="14"/>
      <c r="Q2775" s="14"/>
      <c r="R2775" s="14"/>
      <c r="S2775" s="14"/>
      <c r="T2775" s="14"/>
      <c r="U2775" s="14"/>
      <c r="V2775" s="14"/>
      <c r="W2775" s="14"/>
      <c r="X2775" s="14"/>
      <c r="Y2775" s="14"/>
    </row>
    <row r="2776" spans="1:25" ht="15.75" x14ac:dyDescent="0.25">
      <c r="A2776" s="21"/>
      <c r="B2776" s="21"/>
      <c r="C2776" s="21"/>
      <c r="E2776" s="21"/>
      <c r="F2776" s="21"/>
      <c r="G2776" s="14"/>
      <c r="H2776" s="14"/>
      <c r="I2776" s="14"/>
      <c r="J2776" s="14"/>
      <c r="K2776" s="14"/>
      <c r="L2776" s="14"/>
      <c r="M2776" s="14"/>
      <c r="N2776" s="14"/>
      <c r="O2776" s="14"/>
      <c r="P2776" s="14"/>
      <c r="Q2776" s="14"/>
      <c r="R2776" s="14"/>
      <c r="S2776" s="14"/>
      <c r="T2776" s="14"/>
      <c r="U2776" s="14"/>
      <c r="V2776" s="14"/>
      <c r="W2776" s="14"/>
      <c r="X2776" s="14"/>
      <c r="Y2776" s="14"/>
    </row>
    <row r="2777" spans="1:25" ht="15.75" x14ac:dyDescent="0.25">
      <c r="A2777" s="21"/>
      <c r="B2777" s="21"/>
      <c r="C2777" s="21"/>
      <c r="E2777" s="21"/>
      <c r="F2777" s="21"/>
      <c r="G2777" s="14"/>
      <c r="H2777" s="14"/>
      <c r="I2777" s="14"/>
      <c r="J2777" s="14"/>
      <c r="K2777" s="14"/>
      <c r="L2777" s="14"/>
      <c r="M2777" s="14"/>
      <c r="N2777" s="14"/>
      <c r="O2777" s="14"/>
      <c r="P2777" s="14"/>
      <c r="Q2777" s="14"/>
      <c r="R2777" s="14"/>
      <c r="S2777" s="14"/>
      <c r="T2777" s="14"/>
      <c r="U2777" s="14"/>
      <c r="V2777" s="14"/>
      <c r="W2777" s="14"/>
      <c r="X2777" s="14"/>
      <c r="Y2777" s="14"/>
    </row>
    <row r="2778" spans="1:25" ht="15.75" x14ac:dyDescent="0.25">
      <c r="A2778" s="21"/>
      <c r="B2778" s="21"/>
      <c r="C2778" s="21"/>
      <c r="E2778" s="21"/>
      <c r="F2778" s="21"/>
      <c r="G2778" s="14"/>
      <c r="H2778" s="14"/>
      <c r="I2778" s="14"/>
      <c r="J2778" s="14"/>
      <c r="K2778" s="14"/>
      <c r="L2778" s="14"/>
      <c r="M2778" s="14"/>
      <c r="N2778" s="14"/>
      <c r="O2778" s="14"/>
      <c r="P2778" s="14"/>
      <c r="Q2778" s="14"/>
      <c r="R2778" s="14"/>
      <c r="S2778" s="14"/>
      <c r="T2778" s="14"/>
      <c r="U2778" s="14"/>
      <c r="V2778" s="14"/>
      <c r="W2778" s="14"/>
      <c r="X2778" s="14"/>
      <c r="Y2778" s="14"/>
    </row>
    <row r="2779" spans="1:25" ht="15.75" x14ac:dyDescent="0.25">
      <c r="A2779" s="21"/>
      <c r="B2779" s="21"/>
      <c r="C2779" s="21"/>
      <c r="E2779" s="21"/>
      <c r="F2779" s="21"/>
      <c r="G2779" s="14"/>
      <c r="H2779" s="14"/>
      <c r="I2779" s="14"/>
      <c r="J2779" s="14"/>
      <c r="K2779" s="14"/>
      <c r="L2779" s="14"/>
      <c r="M2779" s="14"/>
      <c r="N2779" s="14"/>
      <c r="O2779" s="14"/>
      <c r="P2779" s="14"/>
      <c r="Q2779" s="14"/>
      <c r="R2779" s="14"/>
      <c r="S2779" s="14"/>
      <c r="T2779" s="14"/>
      <c r="U2779" s="14"/>
      <c r="V2779" s="14"/>
      <c r="W2779" s="14"/>
      <c r="X2779" s="14"/>
      <c r="Y2779" s="14"/>
    </row>
    <row r="2780" spans="1:25" ht="15.75" x14ac:dyDescent="0.25">
      <c r="A2780" s="21"/>
      <c r="B2780" s="21"/>
      <c r="C2780" s="21"/>
      <c r="E2780" s="21"/>
      <c r="F2780" s="21"/>
      <c r="G2780" s="14"/>
      <c r="H2780" s="14"/>
      <c r="I2780" s="14"/>
      <c r="J2780" s="14"/>
      <c r="K2780" s="14"/>
      <c r="L2780" s="14"/>
      <c r="M2780" s="14"/>
      <c r="N2780" s="14"/>
      <c r="O2780" s="14"/>
      <c r="P2780" s="14"/>
      <c r="Q2780" s="14"/>
      <c r="R2780" s="14"/>
      <c r="S2780" s="14"/>
      <c r="T2780" s="14"/>
      <c r="U2780" s="14"/>
      <c r="V2780" s="14"/>
      <c r="W2780" s="14"/>
      <c r="X2780" s="14"/>
      <c r="Y2780" s="14"/>
    </row>
    <row r="2781" spans="1:25" ht="15.75" x14ac:dyDescent="0.25">
      <c r="A2781" s="21"/>
      <c r="B2781" s="21"/>
      <c r="C2781" s="21"/>
      <c r="E2781" s="21"/>
      <c r="F2781" s="21"/>
      <c r="G2781" s="14"/>
      <c r="H2781" s="14"/>
      <c r="I2781" s="14"/>
      <c r="J2781" s="14"/>
      <c r="K2781" s="14"/>
      <c r="L2781" s="14"/>
      <c r="M2781" s="14"/>
      <c r="N2781" s="14"/>
      <c r="O2781" s="14"/>
      <c r="P2781" s="14"/>
      <c r="Q2781" s="14"/>
      <c r="R2781" s="14"/>
      <c r="S2781" s="14"/>
      <c r="T2781" s="14"/>
      <c r="U2781" s="14"/>
      <c r="V2781" s="14"/>
      <c r="W2781" s="14"/>
      <c r="X2781" s="14"/>
      <c r="Y2781" s="14"/>
    </row>
    <row r="2782" spans="1:25" ht="15.75" x14ac:dyDescent="0.25">
      <c r="A2782" s="21"/>
      <c r="B2782" s="21"/>
      <c r="C2782" s="21"/>
      <c r="E2782" s="21"/>
      <c r="F2782" s="21"/>
      <c r="G2782" s="14"/>
      <c r="H2782" s="14"/>
      <c r="I2782" s="14"/>
      <c r="J2782" s="14"/>
      <c r="K2782" s="14"/>
      <c r="L2782" s="14"/>
      <c r="M2782" s="14"/>
      <c r="N2782" s="14"/>
      <c r="O2782" s="14"/>
      <c r="P2782" s="14"/>
      <c r="Q2782" s="14"/>
      <c r="R2782" s="14"/>
      <c r="S2782" s="14"/>
      <c r="T2782" s="14"/>
      <c r="U2782" s="14"/>
      <c r="V2782" s="14"/>
      <c r="W2782" s="14"/>
      <c r="X2782" s="14"/>
      <c r="Y2782" s="14"/>
    </row>
    <row r="2783" spans="1:25" ht="15.75" x14ac:dyDescent="0.25">
      <c r="A2783" s="21"/>
      <c r="B2783" s="21"/>
      <c r="C2783" s="21"/>
      <c r="E2783" s="21"/>
      <c r="F2783" s="21"/>
      <c r="G2783" s="14"/>
      <c r="H2783" s="14"/>
      <c r="I2783" s="14"/>
      <c r="J2783" s="14"/>
      <c r="K2783" s="14"/>
      <c r="L2783" s="14"/>
      <c r="M2783" s="14"/>
      <c r="N2783" s="14"/>
      <c r="O2783" s="14"/>
      <c r="P2783" s="14"/>
      <c r="Q2783" s="14"/>
      <c r="R2783" s="14"/>
      <c r="S2783" s="14"/>
      <c r="T2783" s="14"/>
      <c r="U2783" s="14"/>
      <c r="V2783" s="14"/>
      <c r="W2783" s="14"/>
      <c r="X2783" s="14"/>
      <c r="Y2783" s="14"/>
    </row>
    <row r="2784" spans="1:25" ht="15.75" x14ac:dyDescent="0.25">
      <c r="A2784" s="21"/>
      <c r="B2784" s="21"/>
      <c r="C2784" s="21"/>
      <c r="E2784" s="21"/>
      <c r="F2784" s="21"/>
      <c r="G2784" s="14"/>
      <c r="H2784" s="14"/>
      <c r="I2784" s="14"/>
      <c r="J2784" s="14"/>
      <c r="K2784" s="14"/>
      <c r="L2784" s="14"/>
      <c r="M2784" s="14"/>
      <c r="N2784" s="14"/>
      <c r="O2784" s="14"/>
      <c r="P2784" s="14"/>
      <c r="Q2784" s="14"/>
      <c r="R2784" s="14"/>
      <c r="S2784" s="14"/>
      <c r="T2784" s="14"/>
      <c r="U2784" s="14"/>
      <c r="V2784" s="14"/>
      <c r="W2784" s="14"/>
      <c r="X2784" s="14"/>
      <c r="Y2784" s="14"/>
    </row>
    <row r="2785" spans="1:25" ht="15.75" x14ac:dyDescent="0.25">
      <c r="A2785" s="21"/>
      <c r="B2785" s="21"/>
      <c r="C2785" s="21"/>
      <c r="E2785" s="21"/>
      <c r="F2785" s="21"/>
      <c r="G2785" s="14"/>
      <c r="H2785" s="14"/>
      <c r="I2785" s="14"/>
      <c r="J2785" s="14"/>
      <c r="K2785" s="14"/>
      <c r="L2785" s="14"/>
      <c r="M2785" s="14"/>
      <c r="N2785" s="14"/>
      <c r="O2785" s="14"/>
      <c r="P2785" s="14"/>
      <c r="Q2785" s="14"/>
      <c r="R2785" s="14"/>
      <c r="S2785" s="14"/>
      <c r="T2785" s="14"/>
      <c r="U2785" s="14"/>
      <c r="V2785" s="14"/>
      <c r="W2785" s="14"/>
      <c r="X2785" s="14"/>
      <c r="Y2785" s="14"/>
    </row>
    <row r="2786" spans="1:25" ht="15.75" x14ac:dyDescent="0.25">
      <c r="A2786" s="21"/>
      <c r="B2786" s="21"/>
      <c r="C2786" s="21"/>
      <c r="E2786" s="21"/>
      <c r="F2786" s="21"/>
      <c r="G2786" s="14"/>
      <c r="H2786" s="14"/>
      <c r="I2786" s="14"/>
      <c r="J2786" s="14"/>
      <c r="K2786" s="14"/>
      <c r="L2786" s="14"/>
      <c r="M2786" s="14"/>
      <c r="N2786" s="14"/>
      <c r="O2786" s="14"/>
      <c r="P2786" s="14"/>
      <c r="Q2786" s="14"/>
      <c r="R2786" s="14"/>
      <c r="S2786" s="14"/>
      <c r="T2786" s="14"/>
      <c r="U2786" s="14"/>
      <c r="V2786" s="14"/>
      <c r="W2786" s="14"/>
      <c r="X2786" s="14"/>
      <c r="Y2786" s="14"/>
    </row>
    <row r="2787" spans="1:25" ht="15.75" x14ac:dyDescent="0.25">
      <c r="A2787" s="21"/>
      <c r="B2787" s="21"/>
      <c r="C2787" s="21"/>
      <c r="E2787" s="21"/>
      <c r="F2787" s="21"/>
      <c r="G2787" s="14"/>
      <c r="H2787" s="14"/>
      <c r="I2787" s="14"/>
      <c r="J2787" s="14"/>
      <c r="K2787" s="14"/>
      <c r="L2787" s="14"/>
      <c r="M2787" s="14"/>
      <c r="N2787" s="14"/>
      <c r="O2787" s="14"/>
      <c r="P2787" s="14"/>
      <c r="Q2787" s="14"/>
      <c r="R2787" s="14"/>
      <c r="S2787" s="14"/>
      <c r="T2787" s="14"/>
      <c r="U2787" s="14"/>
      <c r="V2787" s="14"/>
      <c r="W2787" s="14"/>
      <c r="X2787" s="14"/>
      <c r="Y2787" s="14"/>
    </row>
    <row r="2788" spans="1:25" ht="15.75" x14ac:dyDescent="0.25">
      <c r="A2788" s="21"/>
      <c r="B2788" s="21"/>
      <c r="C2788" s="21"/>
      <c r="E2788" s="21"/>
      <c r="F2788" s="21"/>
      <c r="G2788" s="14"/>
      <c r="H2788" s="14"/>
      <c r="I2788" s="14"/>
      <c r="J2788" s="14"/>
      <c r="K2788" s="14"/>
      <c r="L2788" s="14"/>
      <c r="M2788" s="14"/>
      <c r="N2788" s="14"/>
      <c r="O2788" s="14"/>
      <c r="P2788" s="14"/>
      <c r="Q2788" s="14"/>
      <c r="R2788" s="14"/>
      <c r="S2788" s="14"/>
      <c r="T2788" s="14"/>
      <c r="U2788" s="14"/>
      <c r="V2788" s="14"/>
      <c r="W2788" s="14"/>
      <c r="X2788" s="14"/>
      <c r="Y2788" s="14"/>
    </row>
    <row r="2789" spans="1:25" ht="15.75" x14ac:dyDescent="0.25">
      <c r="A2789" s="21"/>
      <c r="B2789" s="21"/>
      <c r="C2789" s="21"/>
      <c r="E2789" s="21"/>
      <c r="F2789" s="21"/>
      <c r="G2789" s="14"/>
      <c r="H2789" s="14"/>
      <c r="I2789" s="14"/>
      <c r="J2789" s="14"/>
      <c r="K2789" s="14"/>
      <c r="L2789" s="14"/>
      <c r="M2789" s="14"/>
      <c r="N2789" s="14"/>
      <c r="O2789" s="14"/>
      <c r="P2789" s="14"/>
      <c r="Q2789" s="14"/>
      <c r="R2789" s="14"/>
      <c r="S2789" s="14"/>
      <c r="T2789" s="14"/>
      <c r="U2789" s="14"/>
      <c r="V2789" s="14"/>
      <c r="W2789" s="14"/>
      <c r="X2789" s="14"/>
      <c r="Y2789" s="14"/>
    </row>
    <row r="2790" spans="1:25" ht="15.75" x14ac:dyDescent="0.25">
      <c r="A2790" s="21"/>
      <c r="B2790" s="21"/>
      <c r="C2790" s="21"/>
      <c r="E2790" s="21"/>
      <c r="F2790" s="21"/>
      <c r="G2790" s="14"/>
      <c r="H2790" s="14"/>
      <c r="I2790" s="14"/>
      <c r="J2790" s="14"/>
      <c r="K2790" s="14"/>
      <c r="L2790" s="14"/>
      <c r="M2790" s="14"/>
      <c r="N2790" s="14"/>
      <c r="O2790" s="14"/>
      <c r="P2790" s="14"/>
      <c r="Q2790" s="14"/>
      <c r="R2790" s="14"/>
      <c r="S2790" s="14"/>
      <c r="T2790" s="14"/>
      <c r="U2790" s="14"/>
      <c r="V2790" s="14"/>
      <c r="W2790" s="14"/>
      <c r="X2790" s="14"/>
      <c r="Y2790" s="14"/>
    </row>
    <row r="2791" spans="1:25" ht="15.75" x14ac:dyDescent="0.25">
      <c r="A2791" s="21"/>
      <c r="B2791" s="21"/>
      <c r="C2791" s="21"/>
      <c r="E2791" s="21"/>
      <c r="F2791" s="21"/>
      <c r="G2791" s="14"/>
      <c r="H2791" s="14"/>
      <c r="I2791" s="14"/>
      <c r="J2791" s="14"/>
      <c r="K2791" s="14"/>
      <c r="L2791" s="14"/>
      <c r="M2791" s="14"/>
      <c r="N2791" s="14"/>
      <c r="O2791" s="14"/>
      <c r="P2791" s="14"/>
      <c r="Q2791" s="14"/>
      <c r="R2791" s="14"/>
      <c r="S2791" s="14"/>
      <c r="T2791" s="14"/>
      <c r="U2791" s="14"/>
      <c r="V2791" s="14"/>
      <c r="W2791" s="14"/>
      <c r="X2791" s="14"/>
      <c r="Y2791" s="14"/>
    </row>
    <row r="2792" spans="1:25" ht="15.75" x14ac:dyDescent="0.25">
      <c r="A2792" s="21"/>
      <c r="B2792" s="21"/>
      <c r="C2792" s="21"/>
      <c r="E2792" s="21"/>
      <c r="F2792" s="21"/>
      <c r="G2792" s="14"/>
      <c r="H2792" s="14"/>
      <c r="I2792" s="14"/>
      <c r="J2792" s="14"/>
      <c r="K2792" s="14"/>
      <c r="L2792" s="14"/>
      <c r="M2792" s="14"/>
      <c r="N2792" s="14"/>
      <c r="O2792" s="14"/>
      <c r="P2792" s="14"/>
      <c r="Q2792" s="14"/>
      <c r="R2792" s="14"/>
      <c r="S2792" s="14"/>
      <c r="T2792" s="14"/>
      <c r="U2792" s="14"/>
      <c r="V2792" s="14"/>
      <c r="W2792" s="14"/>
      <c r="X2792" s="14"/>
      <c r="Y2792" s="14"/>
    </row>
    <row r="2793" spans="1:25" ht="15.75" x14ac:dyDescent="0.25">
      <c r="A2793" s="21"/>
      <c r="B2793" s="21"/>
      <c r="C2793" s="21"/>
      <c r="E2793" s="21"/>
      <c r="F2793" s="21"/>
      <c r="G2793" s="14"/>
      <c r="H2793" s="14"/>
      <c r="I2793" s="14"/>
      <c r="J2793" s="14"/>
      <c r="K2793" s="14"/>
      <c r="L2793" s="14"/>
      <c r="M2793" s="14"/>
      <c r="N2793" s="14"/>
      <c r="O2793" s="14"/>
      <c r="P2793" s="14"/>
      <c r="Q2793" s="14"/>
      <c r="R2793" s="14"/>
      <c r="S2793" s="14"/>
      <c r="T2793" s="14"/>
      <c r="U2793" s="14"/>
      <c r="V2793" s="14"/>
      <c r="W2793" s="14"/>
      <c r="X2793" s="14"/>
      <c r="Y2793" s="14"/>
    </row>
    <row r="2794" spans="1:25" ht="15.75" x14ac:dyDescent="0.25">
      <c r="A2794" s="21"/>
      <c r="B2794" s="21"/>
      <c r="C2794" s="21"/>
      <c r="E2794" s="21"/>
      <c r="F2794" s="21"/>
      <c r="G2794" s="14"/>
      <c r="H2794" s="14"/>
      <c r="I2794" s="14"/>
      <c r="J2794" s="14"/>
      <c r="K2794" s="14"/>
      <c r="L2794" s="14"/>
      <c r="M2794" s="14"/>
      <c r="N2794" s="14"/>
      <c r="O2794" s="14"/>
      <c r="P2794" s="14"/>
      <c r="Q2794" s="14"/>
      <c r="R2794" s="14"/>
      <c r="S2794" s="14"/>
      <c r="T2794" s="14"/>
      <c r="U2794" s="14"/>
      <c r="V2794" s="14"/>
      <c r="W2794" s="14"/>
      <c r="X2794" s="14"/>
      <c r="Y2794" s="14"/>
    </row>
    <row r="2795" spans="1:25" ht="15.75" x14ac:dyDescent="0.25">
      <c r="A2795" s="21"/>
      <c r="B2795" s="21"/>
      <c r="C2795" s="21"/>
      <c r="E2795" s="21"/>
      <c r="F2795" s="21"/>
      <c r="G2795" s="14"/>
      <c r="H2795" s="14"/>
      <c r="I2795" s="14"/>
      <c r="J2795" s="14"/>
      <c r="K2795" s="14"/>
      <c r="L2795" s="14"/>
      <c r="M2795" s="14"/>
      <c r="N2795" s="14"/>
      <c r="O2795" s="14"/>
      <c r="P2795" s="14"/>
      <c r="Q2795" s="14"/>
      <c r="R2795" s="14"/>
      <c r="S2795" s="14"/>
      <c r="T2795" s="14"/>
      <c r="U2795" s="14"/>
      <c r="V2795" s="14"/>
      <c r="W2795" s="14"/>
      <c r="X2795" s="14"/>
      <c r="Y2795" s="14"/>
    </row>
    <row r="2796" spans="1:25" ht="15.75" x14ac:dyDescent="0.25">
      <c r="A2796" s="21"/>
      <c r="B2796" s="21"/>
      <c r="C2796" s="21"/>
      <c r="E2796" s="21"/>
      <c r="F2796" s="21"/>
      <c r="G2796" s="14"/>
      <c r="H2796" s="14"/>
      <c r="I2796" s="14"/>
      <c r="J2796" s="14"/>
      <c r="K2796" s="14"/>
      <c r="L2796" s="14"/>
      <c r="M2796" s="14"/>
      <c r="N2796" s="14"/>
      <c r="O2796" s="14"/>
      <c r="P2796" s="14"/>
      <c r="Q2796" s="14"/>
      <c r="R2796" s="14"/>
      <c r="S2796" s="14"/>
      <c r="T2796" s="14"/>
      <c r="U2796" s="14"/>
      <c r="V2796" s="14"/>
      <c r="W2796" s="14"/>
      <c r="X2796" s="14"/>
      <c r="Y2796" s="14"/>
    </row>
    <row r="2797" spans="1:25" ht="15.75" x14ac:dyDescent="0.25">
      <c r="A2797" s="21"/>
      <c r="B2797" s="21"/>
      <c r="C2797" s="21"/>
      <c r="E2797" s="21"/>
      <c r="F2797" s="21"/>
      <c r="G2797" s="14"/>
      <c r="H2797" s="14"/>
      <c r="I2797" s="14"/>
      <c r="J2797" s="14"/>
      <c r="K2797" s="14"/>
      <c r="L2797" s="14"/>
      <c r="M2797" s="14"/>
      <c r="N2797" s="14"/>
      <c r="O2797" s="14"/>
      <c r="P2797" s="14"/>
      <c r="Q2797" s="14"/>
      <c r="R2797" s="14"/>
      <c r="S2797" s="14"/>
      <c r="T2797" s="14"/>
      <c r="U2797" s="14"/>
      <c r="V2797" s="14"/>
      <c r="W2797" s="14"/>
      <c r="X2797" s="14"/>
      <c r="Y2797" s="14"/>
    </row>
    <row r="2798" spans="1:25" ht="15.75" x14ac:dyDescent="0.25">
      <c r="A2798" s="21"/>
      <c r="B2798" s="21"/>
      <c r="C2798" s="21"/>
      <c r="E2798" s="21"/>
      <c r="F2798" s="21"/>
      <c r="G2798" s="14"/>
      <c r="H2798" s="14"/>
      <c r="I2798" s="14"/>
      <c r="J2798" s="14"/>
      <c r="K2798" s="14"/>
      <c r="L2798" s="14"/>
      <c r="M2798" s="14"/>
      <c r="N2798" s="14"/>
      <c r="O2798" s="14"/>
      <c r="P2798" s="14"/>
      <c r="Q2798" s="14"/>
      <c r="R2798" s="14"/>
      <c r="S2798" s="14"/>
      <c r="T2798" s="14"/>
      <c r="U2798" s="14"/>
      <c r="V2798" s="14"/>
      <c r="W2798" s="14"/>
      <c r="X2798" s="14"/>
      <c r="Y2798" s="14"/>
    </row>
    <row r="2799" spans="1:25" ht="15.75" x14ac:dyDescent="0.25">
      <c r="A2799" s="21"/>
      <c r="B2799" s="21"/>
      <c r="C2799" s="21"/>
      <c r="E2799" s="21"/>
      <c r="F2799" s="21"/>
      <c r="G2799" s="14"/>
      <c r="H2799" s="14"/>
      <c r="I2799" s="14"/>
      <c r="J2799" s="14"/>
      <c r="K2799" s="14"/>
      <c r="L2799" s="14"/>
      <c r="M2799" s="14"/>
      <c r="N2799" s="14"/>
      <c r="O2799" s="14"/>
      <c r="P2799" s="14"/>
      <c r="Q2799" s="14"/>
      <c r="R2799" s="14"/>
      <c r="S2799" s="14"/>
      <c r="T2799" s="14"/>
      <c r="U2799" s="14"/>
      <c r="V2799" s="14"/>
      <c r="W2799" s="14"/>
      <c r="X2799" s="14"/>
      <c r="Y2799" s="14"/>
    </row>
    <row r="2800" spans="1:25" ht="15.75" x14ac:dyDescent="0.25">
      <c r="A2800" s="21"/>
      <c r="B2800" s="21"/>
      <c r="C2800" s="21"/>
      <c r="E2800" s="21"/>
      <c r="F2800" s="21"/>
      <c r="G2800" s="14"/>
      <c r="H2800" s="14"/>
      <c r="I2800" s="14"/>
      <c r="J2800" s="14"/>
      <c r="K2800" s="14"/>
      <c r="L2800" s="14"/>
      <c r="M2800" s="14"/>
      <c r="N2800" s="14"/>
      <c r="O2800" s="14"/>
      <c r="P2800" s="14"/>
      <c r="Q2800" s="14"/>
      <c r="R2800" s="14"/>
      <c r="S2800" s="14"/>
      <c r="T2800" s="14"/>
      <c r="U2800" s="14"/>
      <c r="V2800" s="14"/>
      <c r="W2800" s="14"/>
      <c r="X2800" s="14"/>
      <c r="Y2800" s="14"/>
    </row>
    <row r="2801" spans="1:25" ht="15.75" x14ac:dyDescent="0.25">
      <c r="A2801" s="21"/>
      <c r="B2801" s="21"/>
      <c r="C2801" s="21"/>
      <c r="E2801" s="21"/>
      <c r="F2801" s="21"/>
      <c r="G2801" s="14"/>
      <c r="H2801" s="14"/>
      <c r="I2801" s="14"/>
      <c r="J2801" s="14"/>
      <c r="K2801" s="14"/>
      <c r="L2801" s="14"/>
      <c r="M2801" s="14"/>
      <c r="N2801" s="14"/>
      <c r="O2801" s="14"/>
      <c r="P2801" s="14"/>
      <c r="Q2801" s="14"/>
      <c r="R2801" s="14"/>
      <c r="S2801" s="14"/>
      <c r="T2801" s="14"/>
      <c r="U2801" s="14"/>
      <c r="V2801" s="14"/>
      <c r="W2801" s="14"/>
      <c r="X2801" s="14"/>
      <c r="Y2801" s="14"/>
    </row>
    <row r="2802" spans="1:25" ht="15.75" x14ac:dyDescent="0.25">
      <c r="A2802" s="21"/>
      <c r="B2802" s="21"/>
      <c r="C2802" s="21"/>
      <c r="E2802" s="21"/>
      <c r="F2802" s="21"/>
      <c r="G2802" s="14"/>
      <c r="H2802" s="14"/>
      <c r="I2802" s="14"/>
      <c r="J2802" s="14"/>
      <c r="K2802" s="14"/>
      <c r="L2802" s="14"/>
      <c r="M2802" s="14"/>
      <c r="N2802" s="14"/>
      <c r="O2802" s="14"/>
      <c r="P2802" s="14"/>
      <c r="Q2802" s="14"/>
      <c r="R2802" s="14"/>
      <c r="S2802" s="14"/>
      <c r="T2802" s="14"/>
      <c r="U2802" s="14"/>
      <c r="V2802" s="14"/>
      <c r="W2802" s="14"/>
      <c r="X2802" s="14"/>
      <c r="Y2802" s="14"/>
    </row>
    <row r="2803" spans="1:25" ht="15.75" x14ac:dyDescent="0.25">
      <c r="A2803" s="21"/>
      <c r="B2803" s="21"/>
      <c r="C2803" s="21"/>
      <c r="E2803" s="21"/>
      <c r="F2803" s="21"/>
      <c r="G2803" s="14"/>
      <c r="H2803" s="14"/>
      <c r="I2803" s="14"/>
      <c r="J2803" s="14"/>
      <c r="K2803" s="14"/>
      <c r="L2803" s="14"/>
      <c r="M2803" s="14"/>
      <c r="N2803" s="14"/>
      <c r="O2803" s="14"/>
      <c r="P2803" s="14"/>
      <c r="Q2803" s="14"/>
      <c r="R2803" s="14"/>
      <c r="S2803" s="14"/>
      <c r="T2803" s="14"/>
      <c r="U2803" s="14"/>
      <c r="V2803" s="14"/>
      <c r="W2803" s="14"/>
      <c r="X2803" s="14"/>
      <c r="Y2803" s="14"/>
    </row>
    <row r="2804" spans="1:25" ht="15.75" x14ac:dyDescent="0.25">
      <c r="A2804" s="21"/>
      <c r="B2804" s="21"/>
      <c r="C2804" s="21"/>
      <c r="E2804" s="21"/>
      <c r="F2804" s="21"/>
      <c r="G2804" s="14"/>
      <c r="H2804" s="14"/>
      <c r="I2804" s="14"/>
      <c r="J2804" s="14"/>
      <c r="K2804" s="14"/>
      <c r="L2804" s="14"/>
      <c r="M2804" s="14"/>
      <c r="N2804" s="14"/>
      <c r="O2804" s="14"/>
      <c r="P2804" s="14"/>
      <c r="Q2804" s="14"/>
      <c r="R2804" s="14"/>
      <c r="S2804" s="14"/>
      <c r="T2804" s="14"/>
      <c r="U2804" s="14"/>
      <c r="V2804" s="14"/>
      <c r="W2804" s="14"/>
      <c r="X2804" s="14"/>
      <c r="Y2804" s="14"/>
    </row>
    <row r="2805" spans="1:25" ht="15.75" x14ac:dyDescent="0.25">
      <c r="A2805" s="21"/>
      <c r="B2805" s="21"/>
      <c r="C2805" s="21"/>
      <c r="E2805" s="21"/>
      <c r="F2805" s="21"/>
      <c r="G2805" s="14"/>
      <c r="H2805" s="14"/>
      <c r="I2805" s="14"/>
      <c r="J2805" s="14"/>
      <c r="K2805" s="14"/>
      <c r="L2805" s="14"/>
      <c r="M2805" s="14"/>
      <c r="N2805" s="14"/>
      <c r="O2805" s="14"/>
      <c r="P2805" s="14"/>
      <c r="Q2805" s="14"/>
      <c r="R2805" s="14"/>
      <c r="S2805" s="14"/>
      <c r="T2805" s="14"/>
      <c r="U2805" s="14"/>
      <c r="V2805" s="14"/>
      <c r="W2805" s="14"/>
      <c r="X2805" s="14"/>
      <c r="Y2805" s="14"/>
    </row>
    <row r="2806" spans="1:25" ht="15.75" x14ac:dyDescent="0.25">
      <c r="A2806" s="21"/>
      <c r="B2806" s="21"/>
      <c r="C2806" s="21"/>
      <c r="E2806" s="21"/>
      <c r="F2806" s="21"/>
      <c r="G2806" s="14"/>
      <c r="H2806" s="14"/>
      <c r="I2806" s="14"/>
      <c r="J2806" s="14"/>
      <c r="K2806" s="14"/>
      <c r="L2806" s="14"/>
      <c r="M2806" s="14"/>
      <c r="N2806" s="14"/>
      <c r="O2806" s="14"/>
      <c r="P2806" s="14"/>
      <c r="Q2806" s="14"/>
      <c r="R2806" s="14"/>
      <c r="S2806" s="14"/>
      <c r="T2806" s="14"/>
      <c r="U2806" s="14"/>
      <c r="V2806" s="14"/>
      <c r="W2806" s="14"/>
      <c r="X2806" s="14"/>
      <c r="Y2806" s="14"/>
    </row>
    <row r="2807" spans="1:25" ht="15.75" x14ac:dyDescent="0.25">
      <c r="A2807" s="21"/>
      <c r="B2807" s="21"/>
      <c r="C2807" s="21"/>
      <c r="E2807" s="21"/>
      <c r="F2807" s="21"/>
      <c r="G2807" s="14"/>
      <c r="H2807" s="14"/>
      <c r="I2807" s="14"/>
      <c r="J2807" s="14"/>
      <c r="K2807" s="14"/>
      <c r="L2807" s="14"/>
      <c r="M2807" s="14"/>
      <c r="N2807" s="14"/>
      <c r="O2807" s="14"/>
      <c r="P2807" s="14"/>
      <c r="Q2807" s="14"/>
      <c r="R2807" s="14"/>
      <c r="S2807" s="14"/>
      <c r="T2807" s="14"/>
      <c r="U2807" s="14"/>
      <c r="V2807" s="14"/>
      <c r="W2807" s="14"/>
      <c r="X2807" s="14"/>
      <c r="Y2807" s="14"/>
    </row>
    <row r="2808" spans="1:25" ht="15.75" x14ac:dyDescent="0.25">
      <c r="A2808" s="21"/>
      <c r="B2808" s="21"/>
      <c r="C2808" s="21"/>
      <c r="E2808" s="21"/>
      <c r="F2808" s="21"/>
      <c r="G2808" s="14"/>
      <c r="H2808" s="14"/>
      <c r="I2808" s="14"/>
      <c r="J2808" s="14"/>
      <c r="K2808" s="14"/>
      <c r="L2808" s="14"/>
      <c r="M2808" s="14"/>
      <c r="N2808" s="14"/>
      <c r="O2808" s="14"/>
      <c r="P2808" s="14"/>
      <c r="Q2808" s="14"/>
      <c r="R2808" s="14"/>
      <c r="S2808" s="14"/>
      <c r="T2808" s="14"/>
      <c r="U2808" s="14"/>
      <c r="V2808" s="14"/>
      <c r="W2808" s="14"/>
      <c r="X2808" s="14"/>
      <c r="Y2808" s="14"/>
    </row>
    <row r="2809" spans="1:25" ht="15.75" x14ac:dyDescent="0.25">
      <c r="A2809" s="21"/>
      <c r="B2809" s="21"/>
      <c r="C2809" s="21"/>
      <c r="E2809" s="21"/>
      <c r="F2809" s="21"/>
      <c r="G2809" s="14"/>
      <c r="H2809" s="14"/>
      <c r="I2809" s="14"/>
      <c r="J2809" s="14"/>
      <c r="K2809" s="14"/>
      <c r="L2809" s="14"/>
      <c r="M2809" s="14"/>
      <c r="N2809" s="14"/>
      <c r="O2809" s="14"/>
      <c r="P2809" s="14"/>
      <c r="Q2809" s="14"/>
      <c r="R2809" s="14"/>
      <c r="S2809" s="14"/>
      <c r="T2809" s="14"/>
      <c r="U2809" s="14"/>
      <c r="V2809" s="14"/>
      <c r="W2809" s="14"/>
      <c r="X2809" s="14"/>
      <c r="Y2809" s="14"/>
    </row>
    <row r="2810" spans="1:25" ht="15.75" x14ac:dyDescent="0.25">
      <c r="A2810" s="21"/>
      <c r="B2810" s="21"/>
      <c r="C2810" s="21"/>
      <c r="E2810" s="21"/>
      <c r="F2810" s="21"/>
      <c r="G2810" s="14"/>
      <c r="H2810" s="14"/>
      <c r="I2810" s="14"/>
      <c r="J2810" s="14"/>
      <c r="K2810" s="14"/>
      <c r="L2810" s="14"/>
      <c r="M2810" s="14"/>
      <c r="N2810" s="14"/>
      <c r="O2810" s="14"/>
      <c r="P2810" s="14"/>
      <c r="Q2810" s="14"/>
      <c r="R2810" s="14"/>
      <c r="S2810" s="14"/>
      <c r="T2810" s="14"/>
      <c r="U2810" s="14"/>
      <c r="V2810" s="14"/>
      <c r="W2810" s="14"/>
      <c r="X2810" s="14"/>
      <c r="Y2810" s="14"/>
    </row>
    <row r="2811" spans="1:25" ht="15.75" x14ac:dyDescent="0.25">
      <c r="A2811" s="21"/>
      <c r="B2811" s="21"/>
      <c r="C2811" s="21"/>
      <c r="E2811" s="21"/>
      <c r="F2811" s="21"/>
      <c r="G2811" s="14"/>
      <c r="H2811" s="14"/>
      <c r="I2811" s="14"/>
      <c r="J2811" s="14"/>
      <c r="K2811" s="14"/>
      <c r="L2811" s="14"/>
      <c r="M2811" s="14"/>
      <c r="N2811" s="14"/>
      <c r="O2811" s="14"/>
      <c r="P2811" s="14"/>
      <c r="Q2811" s="14"/>
      <c r="R2811" s="14"/>
      <c r="S2811" s="14"/>
      <c r="T2811" s="14"/>
      <c r="U2811" s="14"/>
      <c r="V2811" s="14"/>
      <c r="W2811" s="14"/>
      <c r="X2811" s="14"/>
      <c r="Y2811" s="14"/>
    </row>
    <row r="2812" spans="1:25" ht="15.75" x14ac:dyDescent="0.25">
      <c r="A2812" s="21"/>
      <c r="B2812" s="21"/>
      <c r="C2812" s="21"/>
      <c r="E2812" s="21"/>
      <c r="F2812" s="21"/>
      <c r="G2812" s="14"/>
      <c r="H2812" s="14"/>
      <c r="I2812" s="14"/>
      <c r="J2812" s="14"/>
      <c r="K2812" s="14"/>
      <c r="L2812" s="14"/>
      <c r="M2812" s="14"/>
      <c r="N2812" s="14"/>
      <c r="O2812" s="14"/>
      <c r="P2812" s="14"/>
      <c r="Q2812" s="14"/>
      <c r="R2812" s="14"/>
      <c r="S2812" s="14"/>
      <c r="T2812" s="14"/>
      <c r="U2812" s="14"/>
      <c r="V2812" s="14"/>
      <c r="W2812" s="14"/>
      <c r="X2812" s="14"/>
      <c r="Y2812" s="14"/>
    </row>
    <row r="2813" spans="1:25" ht="15.75" x14ac:dyDescent="0.25">
      <c r="A2813" s="21"/>
      <c r="B2813" s="21"/>
      <c r="C2813" s="21"/>
      <c r="E2813" s="21"/>
      <c r="F2813" s="21"/>
      <c r="G2813" s="14"/>
      <c r="H2813" s="14"/>
      <c r="I2813" s="14"/>
      <c r="J2813" s="14"/>
      <c r="K2813" s="14"/>
      <c r="L2813" s="14"/>
      <c r="M2813" s="14"/>
      <c r="N2813" s="14"/>
      <c r="O2813" s="14"/>
      <c r="P2813" s="14"/>
      <c r="Q2813" s="14"/>
      <c r="R2813" s="14"/>
      <c r="S2813" s="14"/>
      <c r="T2813" s="14"/>
      <c r="U2813" s="14"/>
      <c r="V2813" s="14"/>
      <c r="W2813" s="14"/>
      <c r="X2813" s="14"/>
      <c r="Y2813" s="14"/>
    </row>
    <row r="2814" spans="1:25" ht="15.75" x14ac:dyDescent="0.25">
      <c r="A2814" s="21"/>
      <c r="B2814" s="21"/>
      <c r="C2814" s="21"/>
      <c r="E2814" s="21"/>
      <c r="F2814" s="21"/>
      <c r="G2814" s="14"/>
      <c r="H2814" s="14"/>
      <c r="I2814" s="14"/>
      <c r="J2814" s="14"/>
      <c r="K2814" s="14"/>
      <c r="L2814" s="14"/>
      <c r="M2814" s="14"/>
      <c r="N2814" s="14"/>
      <c r="O2814" s="14"/>
      <c r="P2814" s="14"/>
      <c r="Q2814" s="14"/>
      <c r="R2814" s="14"/>
      <c r="S2814" s="14"/>
      <c r="T2814" s="14"/>
      <c r="U2814" s="14"/>
      <c r="V2814" s="14"/>
      <c r="W2814" s="14"/>
      <c r="X2814" s="14"/>
      <c r="Y2814" s="14"/>
    </row>
    <row r="2815" spans="1:25" ht="15.75" x14ac:dyDescent="0.25">
      <c r="A2815" s="21"/>
      <c r="B2815" s="21"/>
      <c r="C2815" s="21"/>
      <c r="E2815" s="21"/>
      <c r="F2815" s="21"/>
      <c r="G2815" s="14"/>
      <c r="H2815" s="14"/>
      <c r="I2815" s="14"/>
      <c r="J2815" s="14"/>
      <c r="K2815" s="14"/>
      <c r="L2815" s="14"/>
      <c r="M2815" s="14"/>
      <c r="N2815" s="14"/>
      <c r="O2815" s="14"/>
      <c r="P2815" s="14"/>
      <c r="Q2815" s="14"/>
      <c r="R2815" s="14"/>
      <c r="S2815" s="14"/>
      <c r="T2815" s="14"/>
      <c r="U2815" s="14"/>
      <c r="V2815" s="14"/>
      <c r="W2815" s="14"/>
      <c r="X2815" s="14"/>
      <c r="Y2815" s="14"/>
    </row>
    <row r="2816" spans="1:25" ht="15.75" x14ac:dyDescent="0.25">
      <c r="A2816" s="21"/>
      <c r="B2816" s="21"/>
      <c r="C2816" s="21"/>
      <c r="E2816" s="21"/>
      <c r="F2816" s="21"/>
      <c r="G2816" s="14"/>
      <c r="H2816" s="14"/>
      <c r="I2816" s="14"/>
      <c r="J2816" s="14"/>
      <c r="K2816" s="14"/>
      <c r="L2816" s="14"/>
      <c r="M2816" s="14"/>
      <c r="N2816" s="14"/>
      <c r="O2816" s="14"/>
      <c r="P2816" s="14"/>
      <c r="Q2816" s="14"/>
      <c r="R2816" s="14"/>
      <c r="S2816" s="14"/>
      <c r="T2816" s="14"/>
      <c r="U2816" s="14"/>
      <c r="V2816" s="14"/>
      <c r="W2816" s="14"/>
      <c r="X2816" s="14"/>
      <c r="Y2816" s="14"/>
    </row>
    <row r="2817" spans="1:25" ht="15.75" x14ac:dyDescent="0.25">
      <c r="A2817" s="21"/>
      <c r="B2817" s="21"/>
      <c r="C2817" s="21"/>
      <c r="E2817" s="21"/>
      <c r="F2817" s="21"/>
      <c r="G2817" s="14"/>
      <c r="H2817" s="14"/>
      <c r="I2817" s="14"/>
      <c r="J2817" s="14"/>
      <c r="K2817" s="14"/>
      <c r="L2817" s="14"/>
      <c r="M2817" s="14"/>
      <c r="N2817" s="14"/>
      <c r="O2817" s="14"/>
      <c r="P2817" s="14"/>
      <c r="Q2817" s="14"/>
      <c r="R2817" s="14"/>
      <c r="S2817" s="14"/>
      <c r="T2817" s="14"/>
      <c r="U2817" s="14"/>
      <c r="V2817" s="14"/>
      <c r="W2817" s="14"/>
      <c r="X2817" s="14"/>
      <c r="Y2817" s="14"/>
    </row>
    <row r="2818" spans="1:25" ht="15.75" x14ac:dyDescent="0.25">
      <c r="A2818" s="21"/>
      <c r="B2818" s="21"/>
      <c r="C2818" s="21"/>
      <c r="E2818" s="21"/>
      <c r="F2818" s="21"/>
      <c r="G2818" s="14"/>
      <c r="H2818" s="14"/>
      <c r="I2818" s="14"/>
      <c r="J2818" s="14"/>
      <c r="K2818" s="14"/>
      <c r="L2818" s="14"/>
      <c r="M2818" s="14"/>
      <c r="N2818" s="14"/>
      <c r="O2818" s="14"/>
      <c r="P2818" s="14"/>
      <c r="Q2818" s="14"/>
      <c r="R2818" s="14"/>
      <c r="S2818" s="14"/>
      <c r="T2818" s="14"/>
      <c r="U2818" s="14"/>
      <c r="V2818" s="14"/>
      <c r="W2818" s="14"/>
      <c r="X2818" s="14"/>
      <c r="Y2818" s="14"/>
    </row>
    <row r="2819" spans="1:25" ht="15.75" x14ac:dyDescent="0.25">
      <c r="A2819" s="21"/>
      <c r="B2819" s="21"/>
      <c r="C2819" s="21"/>
      <c r="E2819" s="21"/>
      <c r="F2819" s="21"/>
      <c r="G2819" s="14"/>
      <c r="H2819" s="14"/>
      <c r="I2819" s="14"/>
      <c r="J2819" s="14"/>
      <c r="K2819" s="14"/>
      <c r="L2819" s="14"/>
      <c r="M2819" s="14"/>
      <c r="N2819" s="14"/>
      <c r="O2819" s="14"/>
      <c r="P2819" s="14"/>
      <c r="Q2819" s="14"/>
      <c r="R2819" s="14"/>
      <c r="S2819" s="14"/>
      <c r="T2819" s="14"/>
      <c r="U2819" s="14"/>
      <c r="V2819" s="14"/>
      <c r="W2819" s="14"/>
      <c r="X2819" s="14"/>
      <c r="Y2819" s="14"/>
    </row>
    <row r="2820" spans="1:25" ht="15.75" x14ac:dyDescent="0.25">
      <c r="A2820" s="21"/>
      <c r="B2820" s="21"/>
      <c r="C2820" s="21"/>
      <c r="E2820" s="21"/>
      <c r="F2820" s="21"/>
      <c r="G2820" s="14"/>
      <c r="H2820" s="14"/>
      <c r="I2820" s="14"/>
      <c r="J2820" s="14"/>
      <c r="K2820" s="14"/>
      <c r="L2820" s="14"/>
      <c r="M2820" s="14"/>
      <c r="N2820" s="14"/>
      <c r="O2820" s="14"/>
      <c r="P2820" s="14"/>
      <c r="Q2820" s="14"/>
      <c r="R2820" s="14"/>
      <c r="S2820" s="14"/>
      <c r="T2820" s="14"/>
      <c r="U2820" s="14"/>
      <c r="V2820" s="14"/>
      <c r="W2820" s="14"/>
      <c r="X2820" s="14"/>
      <c r="Y2820" s="14"/>
    </row>
    <row r="2821" spans="1:25" ht="15.75" x14ac:dyDescent="0.25">
      <c r="A2821" s="21"/>
      <c r="B2821" s="21"/>
      <c r="C2821" s="21"/>
      <c r="E2821" s="21"/>
      <c r="F2821" s="21"/>
      <c r="G2821" s="14"/>
      <c r="H2821" s="14"/>
      <c r="I2821" s="14"/>
      <c r="J2821" s="14"/>
      <c r="K2821" s="14"/>
      <c r="L2821" s="14"/>
      <c r="M2821" s="14"/>
      <c r="N2821" s="14"/>
      <c r="O2821" s="14"/>
      <c r="P2821" s="14"/>
      <c r="Q2821" s="14"/>
      <c r="R2821" s="14"/>
      <c r="S2821" s="14"/>
      <c r="T2821" s="14"/>
      <c r="U2821" s="14"/>
      <c r="V2821" s="14"/>
      <c r="W2821" s="14"/>
      <c r="X2821" s="14"/>
      <c r="Y2821" s="14"/>
    </row>
    <row r="2822" spans="1:25" ht="15.75" x14ac:dyDescent="0.25">
      <c r="A2822" s="21"/>
      <c r="B2822" s="21"/>
      <c r="C2822" s="21"/>
      <c r="E2822" s="21"/>
      <c r="F2822" s="21"/>
      <c r="G2822" s="14"/>
      <c r="H2822" s="14"/>
      <c r="I2822" s="14"/>
      <c r="J2822" s="14"/>
      <c r="K2822" s="14"/>
      <c r="L2822" s="14"/>
      <c r="M2822" s="14"/>
      <c r="N2822" s="14"/>
      <c r="O2822" s="14"/>
      <c r="P2822" s="14"/>
      <c r="Q2822" s="14"/>
      <c r="R2822" s="14"/>
      <c r="S2822" s="14"/>
      <c r="T2822" s="14"/>
      <c r="U2822" s="14"/>
      <c r="V2822" s="14"/>
      <c r="W2822" s="14"/>
      <c r="X2822" s="14"/>
      <c r="Y2822" s="14"/>
    </row>
    <row r="2823" spans="1:25" ht="15.75" x14ac:dyDescent="0.25">
      <c r="A2823" s="21"/>
      <c r="B2823" s="21"/>
      <c r="C2823" s="21"/>
      <c r="E2823" s="21"/>
      <c r="F2823" s="21"/>
      <c r="G2823" s="14"/>
      <c r="H2823" s="14"/>
      <c r="I2823" s="14"/>
      <c r="J2823" s="14"/>
      <c r="K2823" s="14"/>
      <c r="L2823" s="14"/>
      <c r="M2823" s="14"/>
      <c r="N2823" s="14"/>
      <c r="O2823" s="14"/>
      <c r="P2823" s="14"/>
      <c r="Q2823" s="14"/>
      <c r="R2823" s="14"/>
      <c r="S2823" s="14"/>
      <c r="T2823" s="14"/>
      <c r="U2823" s="14"/>
      <c r="V2823" s="14"/>
      <c r="W2823" s="14"/>
      <c r="X2823" s="14"/>
      <c r="Y2823" s="14"/>
    </row>
    <row r="2824" spans="1:25" ht="15.75" x14ac:dyDescent="0.25">
      <c r="A2824" s="21"/>
      <c r="B2824" s="21"/>
      <c r="C2824" s="21"/>
      <c r="E2824" s="21"/>
      <c r="F2824" s="21"/>
      <c r="G2824" s="14"/>
      <c r="H2824" s="14"/>
      <c r="I2824" s="14"/>
      <c r="J2824" s="14"/>
      <c r="K2824" s="14"/>
      <c r="L2824" s="14"/>
      <c r="M2824" s="14"/>
      <c r="N2824" s="14"/>
      <c r="O2824" s="14"/>
      <c r="P2824" s="14"/>
      <c r="Q2824" s="14"/>
      <c r="R2824" s="14"/>
      <c r="S2824" s="14"/>
      <c r="T2824" s="14"/>
      <c r="U2824" s="14"/>
      <c r="V2824" s="14"/>
      <c r="W2824" s="14"/>
      <c r="X2824" s="14"/>
      <c r="Y2824" s="14"/>
    </row>
    <row r="2825" spans="1:25" ht="15.75" x14ac:dyDescent="0.25">
      <c r="A2825" s="21"/>
      <c r="B2825" s="21"/>
      <c r="C2825" s="21"/>
      <c r="E2825" s="21"/>
      <c r="F2825" s="21"/>
      <c r="G2825" s="14"/>
      <c r="H2825" s="14"/>
      <c r="I2825" s="14"/>
      <c r="J2825" s="14"/>
      <c r="K2825" s="14"/>
      <c r="L2825" s="14"/>
      <c r="M2825" s="14"/>
      <c r="N2825" s="14"/>
      <c r="O2825" s="14"/>
      <c r="P2825" s="14"/>
      <c r="Q2825" s="14"/>
      <c r="R2825" s="14"/>
      <c r="S2825" s="14"/>
      <c r="T2825" s="14"/>
      <c r="U2825" s="14"/>
      <c r="V2825" s="14"/>
      <c r="W2825" s="14"/>
      <c r="X2825" s="14"/>
      <c r="Y2825" s="14"/>
    </row>
    <row r="2826" spans="1:25" ht="15.75" x14ac:dyDescent="0.25">
      <c r="A2826" s="21"/>
      <c r="B2826" s="21"/>
      <c r="C2826" s="21"/>
      <c r="E2826" s="21"/>
      <c r="F2826" s="21"/>
      <c r="G2826" s="14"/>
      <c r="H2826" s="14"/>
      <c r="I2826" s="14"/>
      <c r="J2826" s="14"/>
      <c r="K2826" s="14"/>
      <c r="L2826" s="14"/>
      <c r="M2826" s="14"/>
      <c r="N2826" s="14"/>
      <c r="O2826" s="14"/>
      <c r="P2826" s="14"/>
      <c r="Q2826" s="14"/>
      <c r="R2826" s="14"/>
      <c r="S2826" s="14"/>
      <c r="T2826" s="14"/>
      <c r="U2826" s="14"/>
      <c r="V2826" s="14"/>
      <c r="W2826" s="14"/>
      <c r="X2826" s="14"/>
      <c r="Y2826" s="14"/>
    </row>
    <row r="2827" spans="1:25" ht="15.75" x14ac:dyDescent="0.25">
      <c r="A2827" s="21"/>
      <c r="B2827" s="21"/>
      <c r="C2827" s="21"/>
      <c r="E2827" s="21"/>
      <c r="F2827" s="21"/>
      <c r="G2827" s="14"/>
      <c r="H2827" s="14"/>
      <c r="I2827" s="14"/>
      <c r="J2827" s="14"/>
      <c r="K2827" s="14"/>
      <c r="L2827" s="14"/>
      <c r="M2827" s="14"/>
      <c r="N2827" s="14"/>
      <c r="O2827" s="14"/>
      <c r="P2827" s="14"/>
      <c r="Q2827" s="14"/>
      <c r="R2827" s="14"/>
      <c r="S2827" s="14"/>
      <c r="T2827" s="14"/>
      <c r="U2827" s="14"/>
      <c r="V2827" s="14"/>
      <c r="W2827" s="14"/>
      <c r="X2827" s="14"/>
      <c r="Y2827" s="14"/>
    </row>
    <row r="2828" spans="1:25" ht="15.75" x14ac:dyDescent="0.25">
      <c r="A2828" s="21"/>
      <c r="B2828" s="21"/>
      <c r="C2828" s="21"/>
      <c r="E2828" s="21"/>
      <c r="F2828" s="21"/>
      <c r="G2828" s="14"/>
      <c r="H2828" s="14"/>
      <c r="I2828" s="14"/>
      <c r="J2828" s="14"/>
      <c r="K2828" s="14"/>
      <c r="L2828" s="14"/>
      <c r="M2828" s="14"/>
      <c r="N2828" s="14"/>
      <c r="O2828" s="14"/>
      <c r="P2828" s="14"/>
      <c r="Q2828" s="14"/>
      <c r="R2828" s="14"/>
      <c r="S2828" s="14"/>
      <c r="T2828" s="14"/>
      <c r="U2828" s="14"/>
      <c r="V2828" s="14"/>
      <c r="W2828" s="14"/>
      <c r="X2828" s="14"/>
      <c r="Y2828" s="14"/>
    </row>
    <row r="2829" spans="1:25" ht="15.75" x14ac:dyDescent="0.25">
      <c r="A2829" s="21"/>
      <c r="B2829" s="21"/>
      <c r="C2829" s="21"/>
      <c r="E2829" s="21"/>
      <c r="F2829" s="21"/>
      <c r="G2829" s="14"/>
      <c r="H2829" s="14"/>
      <c r="I2829" s="14"/>
      <c r="J2829" s="14"/>
      <c r="K2829" s="14"/>
      <c r="L2829" s="14"/>
      <c r="M2829" s="14"/>
      <c r="N2829" s="14"/>
      <c r="O2829" s="14"/>
      <c r="P2829" s="14"/>
      <c r="Q2829" s="14"/>
      <c r="R2829" s="14"/>
      <c r="S2829" s="14"/>
      <c r="T2829" s="14"/>
      <c r="U2829" s="14"/>
      <c r="V2829" s="14"/>
      <c r="W2829" s="14"/>
      <c r="X2829" s="14"/>
      <c r="Y2829" s="14"/>
    </row>
    <row r="2830" spans="1:25" ht="15.75" x14ac:dyDescent="0.25">
      <c r="A2830" s="21"/>
      <c r="B2830" s="21"/>
      <c r="C2830" s="21"/>
      <c r="E2830" s="21"/>
      <c r="F2830" s="21"/>
      <c r="G2830" s="14"/>
      <c r="H2830" s="14"/>
      <c r="I2830" s="14"/>
      <c r="J2830" s="14"/>
      <c r="K2830" s="14"/>
      <c r="L2830" s="14"/>
      <c r="M2830" s="14"/>
      <c r="N2830" s="14"/>
      <c r="O2830" s="14"/>
      <c r="P2830" s="14"/>
      <c r="Q2830" s="14"/>
      <c r="R2830" s="14"/>
      <c r="S2830" s="14"/>
      <c r="T2830" s="14"/>
      <c r="U2830" s="14"/>
      <c r="V2830" s="14"/>
      <c r="W2830" s="14"/>
      <c r="X2830" s="14"/>
      <c r="Y2830" s="14"/>
    </row>
    <row r="2831" spans="1:25" ht="15.75" x14ac:dyDescent="0.25">
      <c r="A2831" s="21"/>
      <c r="B2831" s="21"/>
      <c r="C2831" s="21"/>
      <c r="E2831" s="21"/>
      <c r="F2831" s="21"/>
      <c r="G2831" s="14"/>
      <c r="H2831" s="14"/>
      <c r="I2831" s="14"/>
      <c r="J2831" s="14"/>
      <c r="K2831" s="14"/>
      <c r="L2831" s="14"/>
      <c r="M2831" s="14"/>
      <c r="N2831" s="14"/>
      <c r="O2831" s="14"/>
      <c r="P2831" s="14"/>
      <c r="Q2831" s="14"/>
      <c r="R2831" s="14"/>
      <c r="S2831" s="14"/>
      <c r="T2831" s="14"/>
      <c r="U2831" s="14"/>
      <c r="V2831" s="14"/>
      <c r="W2831" s="14"/>
      <c r="X2831" s="14"/>
      <c r="Y2831" s="14"/>
    </row>
    <row r="2832" spans="1:25" ht="15.75" x14ac:dyDescent="0.25">
      <c r="A2832" s="21"/>
      <c r="B2832" s="21"/>
      <c r="C2832" s="21"/>
      <c r="E2832" s="21"/>
      <c r="F2832" s="21"/>
      <c r="G2832" s="14"/>
      <c r="H2832" s="14"/>
      <c r="I2832" s="14"/>
      <c r="J2832" s="14"/>
      <c r="K2832" s="14"/>
      <c r="L2832" s="14"/>
      <c r="M2832" s="14"/>
      <c r="N2832" s="14"/>
      <c r="O2832" s="14"/>
      <c r="P2832" s="14"/>
      <c r="Q2832" s="14"/>
      <c r="R2832" s="14"/>
      <c r="S2832" s="14"/>
      <c r="T2832" s="14"/>
      <c r="U2832" s="14"/>
      <c r="V2832" s="14"/>
      <c r="W2832" s="14"/>
      <c r="X2832" s="14"/>
      <c r="Y2832" s="14"/>
    </row>
    <row r="2833" spans="1:25" ht="15.75" x14ac:dyDescent="0.25">
      <c r="A2833" s="21"/>
      <c r="B2833" s="21"/>
      <c r="C2833" s="21"/>
      <c r="E2833" s="21"/>
      <c r="F2833" s="21"/>
      <c r="G2833" s="14"/>
      <c r="H2833" s="14"/>
      <c r="I2833" s="14"/>
      <c r="J2833" s="14"/>
      <c r="K2833" s="14"/>
      <c r="L2833" s="14"/>
      <c r="M2833" s="14"/>
      <c r="N2833" s="14"/>
      <c r="O2833" s="14"/>
      <c r="P2833" s="14"/>
      <c r="Q2833" s="14"/>
      <c r="R2833" s="14"/>
      <c r="S2833" s="14"/>
      <c r="T2833" s="14"/>
      <c r="U2833" s="14"/>
      <c r="V2833" s="14"/>
      <c r="W2833" s="14"/>
      <c r="X2833" s="14"/>
      <c r="Y2833" s="14"/>
    </row>
    <row r="2834" spans="1:25" ht="15.75" x14ac:dyDescent="0.25">
      <c r="A2834" s="21"/>
      <c r="B2834" s="21"/>
      <c r="C2834" s="21"/>
      <c r="E2834" s="21"/>
      <c r="F2834" s="21"/>
      <c r="G2834" s="14"/>
      <c r="H2834" s="14"/>
      <c r="I2834" s="14"/>
      <c r="J2834" s="14"/>
      <c r="K2834" s="14"/>
      <c r="L2834" s="14"/>
      <c r="M2834" s="14"/>
      <c r="N2834" s="14"/>
      <c r="O2834" s="14"/>
      <c r="P2834" s="14"/>
      <c r="Q2834" s="14"/>
      <c r="R2834" s="14"/>
      <c r="S2834" s="14"/>
      <c r="T2834" s="14"/>
      <c r="U2834" s="14"/>
      <c r="V2834" s="14"/>
      <c r="W2834" s="14"/>
      <c r="X2834" s="14"/>
      <c r="Y2834" s="14"/>
    </row>
    <row r="2835" spans="1:25" ht="15.75" x14ac:dyDescent="0.25">
      <c r="A2835" s="21"/>
      <c r="B2835" s="21"/>
      <c r="C2835" s="21"/>
      <c r="E2835" s="21"/>
      <c r="F2835" s="21"/>
      <c r="G2835" s="14"/>
      <c r="H2835" s="14"/>
      <c r="I2835" s="14"/>
      <c r="J2835" s="14"/>
      <c r="K2835" s="14"/>
      <c r="L2835" s="14"/>
      <c r="M2835" s="14"/>
      <c r="N2835" s="14"/>
      <c r="O2835" s="14"/>
      <c r="P2835" s="14"/>
      <c r="Q2835" s="14"/>
      <c r="R2835" s="14"/>
      <c r="S2835" s="14"/>
      <c r="T2835" s="14"/>
      <c r="U2835" s="14"/>
      <c r="V2835" s="14"/>
      <c r="W2835" s="14"/>
      <c r="X2835" s="14"/>
      <c r="Y2835" s="14"/>
    </row>
    <row r="2836" spans="1:25" ht="15.75" x14ac:dyDescent="0.25">
      <c r="A2836" s="21"/>
      <c r="B2836" s="21"/>
      <c r="C2836" s="21"/>
      <c r="E2836" s="21"/>
      <c r="F2836" s="21"/>
      <c r="G2836" s="14"/>
      <c r="H2836" s="14"/>
      <c r="I2836" s="14"/>
      <c r="J2836" s="14"/>
      <c r="K2836" s="14"/>
      <c r="L2836" s="14"/>
      <c r="M2836" s="14"/>
      <c r="N2836" s="14"/>
      <c r="O2836" s="14"/>
      <c r="P2836" s="14"/>
      <c r="Q2836" s="14"/>
      <c r="R2836" s="14"/>
      <c r="S2836" s="14"/>
      <c r="T2836" s="14"/>
      <c r="U2836" s="14"/>
      <c r="V2836" s="14"/>
      <c r="W2836" s="14"/>
      <c r="X2836" s="14"/>
      <c r="Y2836" s="14"/>
    </row>
    <row r="2837" spans="1:25" ht="15.75" x14ac:dyDescent="0.25">
      <c r="A2837" s="21"/>
      <c r="B2837" s="21"/>
      <c r="C2837" s="21"/>
      <c r="E2837" s="21"/>
      <c r="F2837" s="21"/>
      <c r="G2837" s="14"/>
      <c r="H2837" s="14"/>
      <c r="I2837" s="14"/>
      <c r="J2837" s="14"/>
      <c r="K2837" s="14"/>
      <c r="L2837" s="14"/>
      <c r="M2837" s="14"/>
      <c r="N2837" s="14"/>
      <c r="O2837" s="14"/>
      <c r="P2837" s="14"/>
      <c r="Q2837" s="14"/>
      <c r="R2837" s="14"/>
      <c r="S2837" s="14"/>
      <c r="T2837" s="14"/>
      <c r="U2837" s="14"/>
      <c r="V2837" s="14"/>
      <c r="W2837" s="14"/>
      <c r="X2837" s="14"/>
      <c r="Y2837" s="14"/>
    </row>
    <row r="2838" spans="1:25" ht="15.75" x14ac:dyDescent="0.25">
      <c r="A2838" s="21"/>
      <c r="B2838" s="21"/>
      <c r="C2838" s="21"/>
      <c r="E2838" s="21"/>
      <c r="F2838" s="21"/>
      <c r="G2838" s="14"/>
      <c r="H2838" s="14"/>
      <c r="I2838" s="14"/>
      <c r="J2838" s="14"/>
      <c r="K2838" s="14"/>
      <c r="L2838" s="14"/>
      <c r="M2838" s="14"/>
      <c r="N2838" s="14"/>
      <c r="O2838" s="14"/>
      <c r="P2838" s="14"/>
      <c r="Q2838" s="14"/>
      <c r="R2838" s="14"/>
      <c r="S2838" s="14"/>
      <c r="T2838" s="14"/>
      <c r="U2838" s="14"/>
      <c r="V2838" s="14"/>
      <c r="W2838" s="14"/>
      <c r="X2838" s="14"/>
      <c r="Y2838" s="14"/>
    </row>
    <row r="2839" spans="1:25" ht="15.75" x14ac:dyDescent="0.25">
      <c r="A2839" s="21"/>
      <c r="B2839" s="21"/>
      <c r="C2839" s="21"/>
      <c r="E2839" s="21"/>
      <c r="F2839" s="21"/>
      <c r="G2839" s="14"/>
      <c r="H2839" s="14"/>
      <c r="I2839" s="14"/>
      <c r="J2839" s="14"/>
      <c r="K2839" s="14"/>
      <c r="L2839" s="14"/>
      <c r="M2839" s="14"/>
      <c r="N2839" s="14"/>
      <c r="O2839" s="14"/>
      <c r="P2839" s="14"/>
      <c r="Q2839" s="14"/>
      <c r="R2839" s="14"/>
      <c r="S2839" s="14"/>
      <c r="T2839" s="14"/>
      <c r="U2839" s="14"/>
      <c r="V2839" s="14"/>
      <c r="W2839" s="14"/>
      <c r="X2839" s="14"/>
      <c r="Y2839" s="14"/>
    </row>
    <row r="2840" spans="1:25" ht="15.75" x14ac:dyDescent="0.25">
      <c r="A2840" s="21"/>
      <c r="B2840" s="21"/>
      <c r="C2840" s="21"/>
      <c r="E2840" s="21"/>
      <c r="F2840" s="21"/>
      <c r="G2840" s="14"/>
      <c r="H2840" s="14"/>
      <c r="I2840" s="14"/>
      <c r="J2840" s="14"/>
      <c r="K2840" s="14"/>
      <c r="L2840" s="14"/>
      <c r="M2840" s="14"/>
      <c r="N2840" s="14"/>
      <c r="O2840" s="14"/>
      <c r="P2840" s="14"/>
      <c r="Q2840" s="14"/>
      <c r="R2840" s="14"/>
      <c r="S2840" s="14"/>
      <c r="T2840" s="14"/>
      <c r="U2840" s="14"/>
      <c r="V2840" s="14"/>
      <c r="W2840" s="14"/>
      <c r="X2840" s="14"/>
      <c r="Y2840" s="14"/>
    </row>
    <row r="2841" spans="1:25" ht="15.75" x14ac:dyDescent="0.25">
      <c r="A2841" s="21"/>
      <c r="B2841" s="21"/>
      <c r="C2841" s="21"/>
      <c r="E2841" s="21"/>
      <c r="F2841" s="21"/>
      <c r="G2841" s="14"/>
      <c r="H2841" s="14"/>
      <c r="I2841" s="14"/>
      <c r="J2841" s="14"/>
      <c r="K2841" s="14"/>
      <c r="L2841" s="14"/>
      <c r="M2841" s="14"/>
      <c r="N2841" s="14"/>
      <c r="O2841" s="14"/>
      <c r="P2841" s="14"/>
      <c r="Q2841" s="14"/>
      <c r="R2841" s="14"/>
      <c r="S2841" s="14"/>
      <c r="T2841" s="14"/>
      <c r="U2841" s="14"/>
      <c r="V2841" s="14"/>
      <c r="W2841" s="14"/>
      <c r="X2841" s="14"/>
      <c r="Y2841" s="14"/>
    </row>
    <row r="2842" spans="1:25" ht="15.75" x14ac:dyDescent="0.25">
      <c r="A2842" s="21"/>
      <c r="B2842" s="21"/>
      <c r="C2842" s="21"/>
      <c r="E2842" s="21"/>
      <c r="F2842" s="21"/>
      <c r="G2842" s="14"/>
      <c r="H2842" s="14"/>
      <c r="I2842" s="14"/>
      <c r="J2842" s="14"/>
      <c r="K2842" s="14"/>
      <c r="L2842" s="14"/>
      <c r="M2842" s="14"/>
      <c r="N2842" s="14"/>
      <c r="O2842" s="14"/>
      <c r="P2842" s="14"/>
      <c r="Q2842" s="14"/>
      <c r="R2842" s="14"/>
      <c r="S2842" s="14"/>
      <c r="T2842" s="14"/>
      <c r="U2842" s="14"/>
      <c r="V2842" s="14"/>
      <c r="W2842" s="14"/>
      <c r="X2842" s="14"/>
      <c r="Y2842" s="14"/>
    </row>
    <row r="2843" spans="1:25" ht="15.75" x14ac:dyDescent="0.25">
      <c r="A2843" s="21"/>
      <c r="B2843" s="21"/>
      <c r="C2843" s="21"/>
      <c r="E2843" s="21"/>
      <c r="F2843" s="21"/>
      <c r="G2843" s="14"/>
      <c r="H2843" s="14"/>
      <c r="I2843" s="14"/>
      <c r="J2843" s="14"/>
      <c r="K2843" s="14"/>
      <c r="L2843" s="14"/>
      <c r="M2843" s="14"/>
      <c r="N2843" s="14"/>
      <c r="O2843" s="14"/>
      <c r="P2843" s="14"/>
      <c r="Q2843" s="14"/>
      <c r="R2843" s="14"/>
      <c r="S2843" s="14"/>
      <c r="T2843" s="14"/>
      <c r="U2843" s="14"/>
      <c r="V2843" s="14"/>
      <c r="W2843" s="14"/>
      <c r="X2843" s="14"/>
      <c r="Y2843" s="14"/>
    </row>
    <row r="2844" spans="1:25" ht="15.75" x14ac:dyDescent="0.25">
      <c r="A2844" s="21"/>
      <c r="B2844" s="21"/>
      <c r="C2844" s="21"/>
      <c r="E2844" s="21"/>
      <c r="F2844" s="21"/>
      <c r="G2844" s="14"/>
      <c r="H2844" s="14"/>
      <c r="I2844" s="14"/>
      <c r="J2844" s="14"/>
      <c r="K2844" s="14"/>
      <c r="L2844" s="14"/>
      <c r="M2844" s="14"/>
      <c r="N2844" s="14"/>
      <c r="O2844" s="14"/>
      <c r="P2844" s="14"/>
      <c r="Q2844" s="14"/>
      <c r="R2844" s="14"/>
      <c r="S2844" s="14"/>
      <c r="T2844" s="14"/>
      <c r="U2844" s="14"/>
      <c r="V2844" s="14"/>
      <c r="W2844" s="14"/>
      <c r="X2844" s="14"/>
      <c r="Y2844" s="14"/>
    </row>
    <row r="2845" spans="1:25" ht="15.75" x14ac:dyDescent="0.25">
      <c r="A2845" s="21"/>
      <c r="B2845" s="21"/>
      <c r="C2845" s="21"/>
      <c r="E2845" s="21"/>
      <c r="F2845" s="21"/>
      <c r="G2845" s="14"/>
      <c r="H2845" s="14"/>
      <c r="I2845" s="14"/>
      <c r="J2845" s="14"/>
      <c r="K2845" s="14"/>
      <c r="L2845" s="14"/>
      <c r="M2845" s="14"/>
      <c r="N2845" s="14"/>
      <c r="O2845" s="14"/>
      <c r="P2845" s="14"/>
      <c r="Q2845" s="14"/>
      <c r="R2845" s="14"/>
      <c r="S2845" s="14"/>
      <c r="T2845" s="14"/>
      <c r="U2845" s="14"/>
      <c r="V2845" s="14"/>
      <c r="W2845" s="14"/>
      <c r="X2845" s="14"/>
      <c r="Y2845" s="14"/>
    </row>
    <row r="2846" spans="1:25" ht="15.75" x14ac:dyDescent="0.25">
      <c r="A2846" s="21"/>
      <c r="B2846" s="21"/>
      <c r="C2846" s="21"/>
      <c r="E2846" s="21"/>
      <c r="F2846" s="21"/>
      <c r="G2846" s="14"/>
      <c r="H2846" s="14"/>
      <c r="I2846" s="14"/>
      <c r="J2846" s="14"/>
      <c r="K2846" s="14"/>
      <c r="L2846" s="14"/>
      <c r="M2846" s="14"/>
      <c r="N2846" s="14"/>
      <c r="O2846" s="14"/>
      <c r="P2846" s="14"/>
      <c r="Q2846" s="14"/>
      <c r="R2846" s="14"/>
      <c r="S2846" s="14"/>
      <c r="T2846" s="14"/>
      <c r="U2846" s="14"/>
      <c r="V2846" s="14"/>
      <c r="W2846" s="14"/>
      <c r="X2846" s="14"/>
      <c r="Y2846" s="14"/>
    </row>
    <row r="2847" spans="1:25" ht="15.75" x14ac:dyDescent="0.25">
      <c r="A2847" s="21"/>
      <c r="B2847" s="21"/>
      <c r="C2847" s="21"/>
      <c r="E2847" s="21"/>
      <c r="F2847" s="21"/>
      <c r="G2847" s="14"/>
      <c r="H2847" s="14"/>
      <c r="I2847" s="14"/>
      <c r="J2847" s="14"/>
      <c r="K2847" s="14"/>
      <c r="L2847" s="14"/>
      <c r="M2847" s="14"/>
      <c r="N2847" s="14"/>
      <c r="O2847" s="14"/>
      <c r="P2847" s="14"/>
      <c r="Q2847" s="14"/>
      <c r="R2847" s="14"/>
      <c r="S2847" s="14"/>
      <c r="T2847" s="14"/>
      <c r="U2847" s="14"/>
      <c r="V2847" s="14"/>
      <c r="W2847" s="14"/>
      <c r="X2847" s="14"/>
      <c r="Y2847" s="14"/>
    </row>
    <row r="2848" spans="1:25" ht="15.75" x14ac:dyDescent="0.25">
      <c r="A2848" s="21"/>
      <c r="B2848" s="21"/>
      <c r="C2848" s="21"/>
      <c r="E2848" s="21"/>
      <c r="F2848" s="21"/>
      <c r="G2848" s="14"/>
      <c r="H2848" s="14"/>
      <c r="I2848" s="14"/>
      <c r="J2848" s="14"/>
      <c r="K2848" s="14"/>
      <c r="L2848" s="14"/>
      <c r="M2848" s="14"/>
      <c r="N2848" s="14"/>
      <c r="O2848" s="14"/>
      <c r="P2848" s="14"/>
      <c r="Q2848" s="14"/>
      <c r="R2848" s="14"/>
      <c r="S2848" s="14"/>
      <c r="T2848" s="14"/>
      <c r="U2848" s="14"/>
      <c r="V2848" s="14"/>
      <c r="W2848" s="14"/>
      <c r="X2848" s="14"/>
      <c r="Y2848" s="14"/>
    </row>
    <row r="2849" spans="1:25" ht="15.75" x14ac:dyDescent="0.25">
      <c r="A2849" s="21"/>
      <c r="B2849" s="21"/>
      <c r="C2849" s="21"/>
      <c r="E2849" s="21"/>
      <c r="F2849" s="21"/>
      <c r="G2849" s="14"/>
      <c r="H2849" s="14"/>
      <c r="I2849" s="14"/>
      <c r="J2849" s="14"/>
      <c r="K2849" s="14"/>
      <c r="L2849" s="14"/>
      <c r="M2849" s="14"/>
      <c r="N2849" s="14"/>
      <c r="O2849" s="14"/>
      <c r="P2849" s="14"/>
      <c r="Q2849" s="14"/>
      <c r="R2849" s="14"/>
      <c r="S2849" s="14"/>
      <c r="T2849" s="14"/>
      <c r="U2849" s="14"/>
      <c r="V2849" s="14"/>
      <c r="W2849" s="14"/>
      <c r="X2849" s="14"/>
      <c r="Y2849" s="14"/>
    </row>
    <row r="2850" spans="1:25" ht="15.75" x14ac:dyDescent="0.25">
      <c r="A2850" s="21"/>
      <c r="B2850" s="21"/>
      <c r="C2850" s="21"/>
      <c r="E2850" s="21"/>
      <c r="F2850" s="21"/>
      <c r="G2850" s="14"/>
      <c r="H2850" s="14"/>
      <c r="I2850" s="14"/>
      <c r="J2850" s="14"/>
      <c r="K2850" s="14"/>
      <c r="L2850" s="14"/>
      <c r="M2850" s="14"/>
      <c r="N2850" s="14"/>
      <c r="O2850" s="14"/>
      <c r="P2850" s="14"/>
      <c r="Q2850" s="14"/>
      <c r="R2850" s="14"/>
      <c r="S2850" s="14"/>
      <c r="T2850" s="14"/>
      <c r="U2850" s="14"/>
      <c r="V2850" s="14"/>
      <c r="W2850" s="14"/>
      <c r="X2850" s="14"/>
      <c r="Y2850" s="14"/>
    </row>
    <row r="2851" spans="1:25" ht="15.75" x14ac:dyDescent="0.25">
      <c r="A2851" s="21"/>
      <c r="B2851" s="21"/>
      <c r="C2851" s="21"/>
      <c r="E2851" s="21"/>
      <c r="F2851" s="21"/>
      <c r="G2851" s="14"/>
      <c r="H2851" s="14"/>
      <c r="I2851" s="14"/>
      <c r="J2851" s="14"/>
      <c r="K2851" s="14"/>
      <c r="L2851" s="14"/>
      <c r="M2851" s="14"/>
      <c r="N2851" s="14"/>
      <c r="O2851" s="14"/>
      <c r="P2851" s="14"/>
      <c r="Q2851" s="14"/>
      <c r="R2851" s="14"/>
      <c r="S2851" s="14"/>
      <c r="T2851" s="14"/>
      <c r="U2851" s="14"/>
      <c r="V2851" s="14"/>
      <c r="W2851" s="14"/>
      <c r="X2851" s="14"/>
      <c r="Y2851" s="14"/>
    </row>
    <row r="2852" spans="1:25" ht="15.75" x14ac:dyDescent="0.25">
      <c r="A2852" s="21"/>
      <c r="B2852" s="21"/>
      <c r="C2852" s="21"/>
      <c r="E2852" s="21"/>
      <c r="F2852" s="21"/>
      <c r="G2852" s="14"/>
      <c r="H2852" s="14"/>
      <c r="I2852" s="14"/>
      <c r="J2852" s="14"/>
      <c r="K2852" s="14"/>
      <c r="L2852" s="14"/>
      <c r="M2852" s="14"/>
      <c r="N2852" s="14"/>
      <c r="O2852" s="14"/>
      <c r="P2852" s="14"/>
      <c r="Q2852" s="14"/>
      <c r="R2852" s="14"/>
      <c r="S2852" s="14"/>
      <c r="T2852" s="14"/>
      <c r="U2852" s="14"/>
      <c r="V2852" s="14"/>
      <c r="W2852" s="14"/>
      <c r="X2852" s="14"/>
      <c r="Y2852" s="14"/>
    </row>
    <row r="2853" spans="1:25" ht="15.75" x14ac:dyDescent="0.25">
      <c r="A2853" s="21"/>
      <c r="B2853" s="21"/>
      <c r="C2853" s="21"/>
      <c r="E2853" s="21"/>
      <c r="F2853" s="21"/>
      <c r="G2853" s="14"/>
      <c r="H2853" s="14"/>
      <c r="I2853" s="14"/>
      <c r="J2853" s="14"/>
      <c r="K2853" s="14"/>
      <c r="L2853" s="14"/>
      <c r="M2853" s="14"/>
      <c r="N2853" s="14"/>
      <c r="O2853" s="14"/>
      <c r="P2853" s="14"/>
      <c r="Q2853" s="14"/>
      <c r="R2853" s="14"/>
      <c r="S2853" s="14"/>
      <c r="T2853" s="14"/>
      <c r="U2853" s="14"/>
      <c r="V2853" s="14"/>
      <c r="W2853" s="14"/>
      <c r="X2853" s="14"/>
      <c r="Y2853" s="14"/>
    </row>
    <row r="2854" spans="1:25" ht="15.75" x14ac:dyDescent="0.25">
      <c r="A2854" s="21"/>
      <c r="B2854" s="21"/>
      <c r="C2854" s="21"/>
      <c r="E2854" s="21"/>
      <c r="F2854" s="21"/>
      <c r="G2854" s="14"/>
      <c r="H2854" s="14"/>
      <c r="I2854" s="14"/>
      <c r="J2854" s="14"/>
      <c r="K2854" s="14"/>
      <c r="L2854" s="14"/>
      <c r="M2854" s="14"/>
      <c r="N2854" s="14"/>
      <c r="O2854" s="14"/>
      <c r="P2854" s="14"/>
      <c r="Q2854" s="14"/>
      <c r="R2854" s="14"/>
      <c r="S2854" s="14"/>
      <c r="T2854" s="14"/>
      <c r="U2854" s="14"/>
      <c r="V2854" s="14"/>
      <c r="W2854" s="14"/>
      <c r="X2854" s="14"/>
      <c r="Y2854" s="14"/>
    </row>
    <row r="2855" spans="1:25" ht="15.75" x14ac:dyDescent="0.25">
      <c r="A2855" s="21"/>
      <c r="B2855" s="21"/>
      <c r="C2855" s="21"/>
      <c r="E2855" s="21"/>
      <c r="F2855" s="21"/>
      <c r="G2855" s="14"/>
      <c r="H2855" s="14"/>
      <c r="I2855" s="14"/>
      <c r="J2855" s="14"/>
      <c r="K2855" s="14"/>
      <c r="L2855" s="14"/>
      <c r="M2855" s="14"/>
      <c r="N2855" s="14"/>
      <c r="O2855" s="14"/>
      <c r="P2855" s="14"/>
      <c r="Q2855" s="14"/>
      <c r="R2855" s="14"/>
      <c r="S2855" s="14"/>
      <c r="T2855" s="14"/>
      <c r="U2855" s="14"/>
      <c r="V2855" s="14"/>
      <c r="W2855" s="14"/>
      <c r="X2855" s="14"/>
      <c r="Y2855" s="14"/>
    </row>
    <row r="2856" spans="1:25" ht="15.75" x14ac:dyDescent="0.25">
      <c r="A2856" s="21"/>
      <c r="B2856" s="21"/>
      <c r="C2856" s="21"/>
      <c r="E2856" s="21"/>
      <c r="F2856" s="21"/>
      <c r="G2856" s="14"/>
      <c r="H2856" s="14"/>
      <c r="I2856" s="14"/>
      <c r="J2856" s="14"/>
      <c r="K2856" s="14"/>
      <c r="L2856" s="14"/>
      <c r="M2856" s="14"/>
      <c r="N2856" s="14"/>
      <c r="O2856" s="14"/>
      <c r="P2856" s="14"/>
      <c r="Q2856" s="14"/>
      <c r="R2856" s="14"/>
      <c r="S2856" s="14"/>
      <c r="T2856" s="14"/>
      <c r="U2856" s="14"/>
      <c r="V2856" s="14"/>
      <c r="W2856" s="14"/>
      <c r="X2856" s="14"/>
      <c r="Y2856" s="14"/>
    </row>
    <row r="2857" spans="1:25" ht="15.75" x14ac:dyDescent="0.25">
      <c r="A2857" s="21"/>
      <c r="B2857" s="21"/>
      <c r="C2857" s="21"/>
      <c r="E2857" s="21"/>
      <c r="F2857" s="21"/>
      <c r="G2857" s="14"/>
      <c r="H2857" s="14"/>
      <c r="I2857" s="14"/>
      <c r="J2857" s="14"/>
      <c r="K2857" s="14"/>
      <c r="L2857" s="14"/>
      <c r="M2857" s="14"/>
      <c r="N2857" s="14"/>
      <c r="O2857" s="14"/>
      <c r="P2857" s="14"/>
      <c r="Q2857" s="14"/>
      <c r="R2857" s="14"/>
      <c r="S2857" s="14"/>
      <c r="T2857" s="14"/>
      <c r="U2857" s="14"/>
      <c r="V2857" s="14"/>
      <c r="W2857" s="14"/>
      <c r="X2857" s="14"/>
      <c r="Y2857" s="14"/>
    </row>
    <row r="2858" spans="1:25" ht="15.75" x14ac:dyDescent="0.25">
      <c r="A2858" s="21"/>
      <c r="B2858" s="21"/>
      <c r="C2858" s="21"/>
      <c r="E2858" s="21"/>
      <c r="F2858" s="21"/>
      <c r="G2858" s="14"/>
      <c r="H2858" s="14"/>
      <c r="I2858" s="14"/>
      <c r="J2858" s="14"/>
      <c r="K2858" s="14"/>
      <c r="L2858" s="14"/>
      <c r="M2858" s="14"/>
      <c r="N2858" s="14"/>
      <c r="O2858" s="14"/>
      <c r="P2858" s="14"/>
      <c r="Q2858" s="14"/>
      <c r="R2858" s="14"/>
      <c r="S2858" s="14"/>
      <c r="T2858" s="14"/>
      <c r="U2858" s="14"/>
      <c r="V2858" s="14"/>
      <c r="W2858" s="14"/>
      <c r="X2858" s="14"/>
      <c r="Y2858" s="14"/>
    </row>
    <row r="2859" spans="1:25" ht="15.75" x14ac:dyDescent="0.25">
      <c r="A2859" s="21"/>
      <c r="B2859" s="21"/>
      <c r="C2859" s="21"/>
      <c r="E2859" s="21"/>
      <c r="F2859" s="21"/>
      <c r="G2859" s="14"/>
      <c r="H2859" s="14"/>
      <c r="I2859" s="14"/>
      <c r="J2859" s="14"/>
      <c r="K2859" s="14"/>
      <c r="L2859" s="14"/>
      <c r="M2859" s="14"/>
      <c r="N2859" s="14"/>
      <c r="O2859" s="14"/>
      <c r="P2859" s="14"/>
      <c r="Q2859" s="14"/>
      <c r="R2859" s="14"/>
      <c r="S2859" s="14"/>
      <c r="T2859" s="14"/>
      <c r="U2859" s="14"/>
      <c r="V2859" s="14"/>
      <c r="W2859" s="14"/>
      <c r="X2859" s="14"/>
      <c r="Y2859" s="14"/>
    </row>
    <row r="2860" spans="1:25" ht="15.75" x14ac:dyDescent="0.25">
      <c r="A2860" s="21"/>
      <c r="B2860" s="21"/>
      <c r="C2860" s="21"/>
      <c r="E2860" s="21"/>
      <c r="F2860" s="21"/>
      <c r="G2860" s="14"/>
      <c r="H2860" s="14"/>
      <c r="I2860" s="14"/>
      <c r="J2860" s="14"/>
      <c r="K2860" s="14"/>
      <c r="L2860" s="14"/>
      <c r="M2860" s="14"/>
      <c r="N2860" s="14"/>
      <c r="O2860" s="14"/>
      <c r="P2860" s="14"/>
      <c r="Q2860" s="14"/>
      <c r="R2860" s="14"/>
      <c r="S2860" s="14"/>
      <c r="T2860" s="14"/>
      <c r="U2860" s="14"/>
      <c r="V2860" s="14"/>
      <c r="W2860" s="14"/>
      <c r="X2860" s="14"/>
      <c r="Y2860" s="14"/>
    </row>
    <row r="2861" spans="1:25" ht="15.75" x14ac:dyDescent="0.25">
      <c r="A2861" s="21"/>
      <c r="B2861" s="21"/>
      <c r="C2861" s="21"/>
      <c r="E2861" s="21"/>
      <c r="F2861" s="21"/>
      <c r="G2861" s="14"/>
      <c r="H2861" s="14"/>
      <c r="I2861" s="14"/>
      <c r="J2861" s="14"/>
      <c r="K2861" s="14"/>
      <c r="L2861" s="14"/>
      <c r="M2861" s="14"/>
      <c r="N2861" s="14"/>
      <c r="O2861" s="14"/>
      <c r="P2861" s="14"/>
      <c r="Q2861" s="14"/>
      <c r="R2861" s="14"/>
      <c r="S2861" s="14"/>
      <c r="T2861" s="14"/>
      <c r="U2861" s="14"/>
      <c r="V2861" s="14"/>
      <c r="W2861" s="14"/>
      <c r="X2861" s="14"/>
      <c r="Y2861" s="14"/>
    </row>
    <row r="2862" spans="1:25" ht="15.75" x14ac:dyDescent="0.25">
      <c r="A2862" s="21"/>
      <c r="B2862" s="21"/>
      <c r="C2862" s="21"/>
      <c r="E2862" s="21"/>
      <c r="F2862" s="21"/>
      <c r="G2862" s="14"/>
      <c r="H2862" s="14"/>
      <c r="I2862" s="14"/>
      <c r="J2862" s="14"/>
      <c r="K2862" s="14"/>
      <c r="L2862" s="14"/>
      <c r="M2862" s="14"/>
      <c r="N2862" s="14"/>
      <c r="O2862" s="14"/>
      <c r="P2862" s="14"/>
      <c r="Q2862" s="14"/>
      <c r="R2862" s="14"/>
      <c r="S2862" s="14"/>
      <c r="T2862" s="14"/>
      <c r="U2862" s="14"/>
      <c r="V2862" s="14"/>
      <c r="W2862" s="14"/>
      <c r="X2862" s="14"/>
      <c r="Y2862" s="14"/>
    </row>
    <row r="2863" spans="1:25" ht="15.75" x14ac:dyDescent="0.25">
      <c r="A2863" s="21"/>
      <c r="B2863" s="21"/>
      <c r="C2863" s="21"/>
      <c r="E2863" s="21"/>
      <c r="F2863" s="21"/>
      <c r="G2863" s="14"/>
      <c r="H2863" s="14"/>
      <c r="I2863" s="14"/>
      <c r="J2863" s="14"/>
      <c r="K2863" s="14"/>
      <c r="L2863" s="14"/>
      <c r="M2863" s="14"/>
      <c r="N2863" s="14"/>
      <c r="O2863" s="14"/>
      <c r="P2863" s="14"/>
      <c r="Q2863" s="14"/>
      <c r="R2863" s="14"/>
      <c r="S2863" s="14"/>
      <c r="T2863" s="14"/>
      <c r="U2863" s="14"/>
      <c r="V2863" s="14"/>
      <c r="W2863" s="14"/>
      <c r="X2863" s="14"/>
      <c r="Y2863" s="14"/>
    </row>
    <row r="2864" spans="1:25" ht="15.75" x14ac:dyDescent="0.25">
      <c r="A2864" s="21"/>
      <c r="B2864" s="21"/>
      <c r="C2864" s="21"/>
      <c r="E2864" s="21"/>
      <c r="F2864" s="21"/>
      <c r="G2864" s="14"/>
      <c r="H2864" s="14"/>
      <c r="I2864" s="14"/>
      <c r="J2864" s="14"/>
      <c r="K2864" s="14"/>
      <c r="L2864" s="14"/>
      <c r="M2864" s="14"/>
      <c r="N2864" s="14"/>
      <c r="O2864" s="14"/>
      <c r="P2864" s="14"/>
      <c r="Q2864" s="14"/>
      <c r="R2864" s="14"/>
      <c r="S2864" s="14"/>
      <c r="T2864" s="14"/>
      <c r="U2864" s="14"/>
      <c r="V2864" s="14"/>
      <c r="W2864" s="14"/>
      <c r="X2864" s="14"/>
      <c r="Y2864" s="14"/>
    </row>
    <row r="2865" spans="1:25" ht="15.75" x14ac:dyDescent="0.25">
      <c r="A2865" s="21"/>
      <c r="B2865" s="21"/>
      <c r="C2865" s="21"/>
      <c r="E2865" s="21"/>
      <c r="F2865" s="21"/>
      <c r="G2865" s="14"/>
      <c r="H2865" s="14"/>
      <c r="I2865" s="14"/>
      <c r="J2865" s="14"/>
      <c r="K2865" s="14"/>
      <c r="L2865" s="14"/>
      <c r="M2865" s="14"/>
      <c r="N2865" s="14"/>
      <c r="O2865" s="14"/>
      <c r="P2865" s="14"/>
      <c r="Q2865" s="14"/>
      <c r="R2865" s="14"/>
      <c r="S2865" s="14"/>
      <c r="T2865" s="14"/>
      <c r="U2865" s="14"/>
      <c r="V2865" s="14"/>
      <c r="W2865" s="14"/>
      <c r="X2865" s="14"/>
      <c r="Y2865" s="14"/>
    </row>
    <row r="2866" spans="1:25" ht="15.75" x14ac:dyDescent="0.25">
      <c r="A2866" s="21"/>
      <c r="B2866" s="21"/>
      <c r="C2866" s="21"/>
      <c r="E2866" s="21"/>
      <c r="F2866" s="21"/>
      <c r="G2866" s="14"/>
      <c r="H2866" s="14"/>
      <c r="I2866" s="14"/>
      <c r="J2866" s="14"/>
      <c r="K2866" s="14"/>
      <c r="L2866" s="14"/>
      <c r="M2866" s="14"/>
      <c r="N2866" s="14"/>
      <c r="O2866" s="14"/>
      <c r="P2866" s="14"/>
      <c r="Q2866" s="14"/>
      <c r="R2866" s="14"/>
      <c r="S2866" s="14"/>
      <c r="T2866" s="14"/>
      <c r="U2866" s="14"/>
      <c r="V2866" s="14"/>
      <c r="W2866" s="14"/>
      <c r="X2866" s="14"/>
      <c r="Y2866" s="14"/>
    </row>
    <row r="2867" spans="1:25" ht="15.75" x14ac:dyDescent="0.25">
      <c r="A2867" s="21"/>
      <c r="B2867" s="21"/>
      <c r="C2867" s="21"/>
      <c r="E2867" s="21"/>
      <c r="F2867" s="21"/>
      <c r="G2867" s="14"/>
      <c r="H2867" s="14"/>
      <c r="I2867" s="14"/>
      <c r="J2867" s="14"/>
      <c r="K2867" s="14"/>
      <c r="L2867" s="14"/>
      <c r="M2867" s="14"/>
      <c r="N2867" s="14"/>
      <c r="O2867" s="14"/>
      <c r="P2867" s="14"/>
      <c r="Q2867" s="14"/>
      <c r="R2867" s="14"/>
      <c r="S2867" s="14"/>
      <c r="T2867" s="14"/>
      <c r="U2867" s="14"/>
      <c r="V2867" s="14"/>
      <c r="W2867" s="14"/>
      <c r="X2867" s="14"/>
      <c r="Y2867" s="14"/>
    </row>
    <row r="2868" spans="1:25" ht="15.75" x14ac:dyDescent="0.25">
      <c r="A2868" s="21"/>
      <c r="B2868" s="21"/>
      <c r="C2868" s="21"/>
      <c r="E2868" s="21"/>
      <c r="F2868" s="21"/>
      <c r="G2868" s="14"/>
      <c r="H2868" s="14"/>
      <c r="I2868" s="14"/>
      <c r="J2868" s="14"/>
      <c r="K2868" s="14"/>
      <c r="L2868" s="14"/>
      <c r="M2868" s="14"/>
      <c r="N2868" s="14"/>
      <c r="O2868" s="14"/>
      <c r="P2868" s="14"/>
      <c r="Q2868" s="14"/>
      <c r="R2868" s="14"/>
      <c r="S2868" s="14"/>
      <c r="T2868" s="14"/>
      <c r="U2868" s="14"/>
      <c r="V2868" s="14"/>
      <c r="W2868" s="14"/>
      <c r="X2868" s="14"/>
      <c r="Y2868" s="14"/>
    </row>
    <row r="2869" spans="1:25" ht="15.75" x14ac:dyDescent="0.25">
      <c r="A2869" s="21"/>
      <c r="B2869" s="21"/>
      <c r="C2869" s="21"/>
      <c r="E2869" s="21"/>
      <c r="F2869" s="21"/>
      <c r="G2869" s="14"/>
      <c r="H2869" s="14"/>
      <c r="I2869" s="14"/>
      <c r="J2869" s="14"/>
      <c r="K2869" s="14"/>
      <c r="L2869" s="14"/>
      <c r="M2869" s="14"/>
      <c r="N2869" s="14"/>
      <c r="O2869" s="14"/>
      <c r="P2869" s="14"/>
      <c r="Q2869" s="14"/>
      <c r="R2869" s="14"/>
      <c r="S2869" s="14"/>
      <c r="T2869" s="14"/>
      <c r="U2869" s="14"/>
      <c r="V2869" s="14"/>
      <c r="W2869" s="14"/>
      <c r="X2869" s="14"/>
      <c r="Y2869" s="14"/>
    </row>
    <row r="2870" spans="1:25" ht="15.75" x14ac:dyDescent="0.25">
      <c r="A2870" s="21"/>
      <c r="B2870" s="21"/>
      <c r="C2870" s="21"/>
      <c r="E2870" s="21"/>
      <c r="F2870" s="21"/>
      <c r="G2870" s="14"/>
      <c r="H2870" s="14"/>
      <c r="I2870" s="14"/>
      <c r="J2870" s="14"/>
      <c r="K2870" s="14"/>
      <c r="L2870" s="14"/>
      <c r="M2870" s="14"/>
      <c r="N2870" s="14"/>
      <c r="O2870" s="14"/>
      <c r="P2870" s="14"/>
      <c r="Q2870" s="14"/>
      <c r="R2870" s="14"/>
      <c r="S2870" s="14"/>
      <c r="T2870" s="14"/>
      <c r="U2870" s="14"/>
      <c r="V2870" s="14"/>
      <c r="W2870" s="14"/>
      <c r="X2870" s="14"/>
      <c r="Y2870" s="14"/>
    </row>
    <row r="2871" spans="1:25" ht="15.75" x14ac:dyDescent="0.25">
      <c r="A2871" s="21"/>
      <c r="B2871" s="21"/>
      <c r="C2871" s="21"/>
      <c r="E2871" s="21"/>
      <c r="F2871" s="21"/>
      <c r="G2871" s="14"/>
      <c r="H2871" s="14"/>
      <c r="I2871" s="14"/>
      <c r="J2871" s="14"/>
      <c r="K2871" s="14"/>
      <c r="L2871" s="14"/>
      <c r="M2871" s="14"/>
      <c r="N2871" s="14"/>
      <c r="O2871" s="14"/>
      <c r="P2871" s="14"/>
      <c r="Q2871" s="14"/>
      <c r="R2871" s="14"/>
      <c r="S2871" s="14"/>
      <c r="T2871" s="14"/>
      <c r="U2871" s="14"/>
      <c r="V2871" s="14"/>
      <c r="W2871" s="14"/>
      <c r="X2871" s="14"/>
      <c r="Y2871" s="14"/>
    </row>
    <row r="2872" spans="1:25" ht="15.75" x14ac:dyDescent="0.25">
      <c r="A2872" s="21"/>
      <c r="B2872" s="21"/>
      <c r="C2872" s="21"/>
      <c r="E2872" s="21"/>
      <c r="F2872" s="21"/>
      <c r="G2872" s="14"/>
      <c r="H2872" s="14"/>
      <c r="I2872" s="14"/>
      <c r="J2872" s="14"/>
      <c r="K2872" s="14"/>
      <c r="L2872" s="14"/>
      <c r="M2872" s="14"/>
      <c r="N2872" s="14"/>
      <c r="O2872" s="14"/>
      <c r="P2872" s="14"/>
      <c r="Q2872" s="14"/>
      <c r="R2872" s="14"/>
      <c r="S2872" s="14"/>
      <c r="T2872" s="14"/>
      <c r="U2872" s="14"/>
      <c r="V2872" s="14"/>
      <c r="W2872" s="14"/>
      <c r="X2872" s="14"/>
      <c r="Y2872" s="14"/>
    </row>
    <row r="2873" spans="1:25" ht="15.75" x14ac:dyDescent="0.25">
      <c r="A2873" s="21"/>
      <c r="B2873" s="21"/>
      <c r="C2873" s="21"/>
      <c r="E2873" s="21"/>
      <c r="F2873" s="21"/>
      <c r="G2873" s="14"/>
      <c r="H2873" s="14"/>
      <c r="I2873" s="14"/>
      <c r="J2873" s="14"/>
      <c r="K2873" s="14"/>
      <c r="L2873" s="14"/>
      <c r="M2873" s="14"/>
      <c r="N2873" s="14"/>
      <c r="O2873" s="14"/>
      <c r="P2873" s="14"/>
      <c r="Q2873" s="14"/>
      <c r="R2873" s="14"/>
      <c r="S2873" s="14"/>
      <c r="T2873" s="14"/>
      <c r="U2873" s="14"/>
      <c r="V2873" s="14"/>
      <c r="W2873" s="14"/>
      <c r="X2873" s="14"/>
      <c r="Y2873" s="14"/>
    </row>
    <row r="2874" spans="1:25" ht="15.75" x14ac:dyDescent="0.25">
      <c r="A2874" s="21"/>
      <c r="B2874" s="21"/>
      <c r="C2874" s="21"/>
      <c r="E2874" s="21"/>
      <c r="F2874" s="21"/>
      <c r="G2874" s="14"/>
      <c r="H2874" s="14"/>
      <c r="I2874" s="14"/>
      <c r="J2874" s="14"/>
      <c r="K2874" s="14"/>
      <c r="L2874" s="14"/>
      <c r="M2874" s="14"/>
      <c r="N2874" s="14"/>
      <c r="O2874" s="14"/>
      <c r="P2874" s="14"/>
      <c r="Q2874" s="14"/>
      <c r="R2874" s="14"/>
      <c r="S2874" s="14"/>
      <c r="T2874" s="14"/>
      <c r="U2874" s="14"/>
      <c r="V2874" s="14"/>
      <c r="W2874" s="14"/>
      <c r="X2874" s="14"/>
      <c r="Y2874" s="14"/>
    </row>
    <row r="2875" spans="1:25" ht="15.75" x14ac:dyDescent="0.25">
      <c r="A2875" s="21"/>
      <c r="B2875" s="21"/>
      <c r="C2875" s="21"/>
      <c r="E2875" s="21"/>
      <c r="F2875" s="21"/>
      <c r="G2875" s="14"/>
      <c r="H2875" s="14"/>
      <c r="I2875" s="14"/>
      <c r="J2875" s="14"/>
      <c r="K2875" s="14"/>
      <c r="L2875" s="14"/>
      <c r="M2875" s="14"/>
      <c r="N2875" s="14"/>
      <c r="O2875" s="14"/>
      <c r="P2875" s="14"/>
      <c r="Q2875" s="14"/>
      <c r="R2875" s="14"/>
      <c r="S2875" s="14"/>
      <c r="T2875" s="14"/>
      <c r="U2875" s="14"/>
      <c r="V2875" s="14"/>
      <c r="W2875" s="14"/>
      <c r="X2875" s="14"/>
      <c r="Y2875" s="14"/>
    </row>
    <row r="2876" spans="1:25" ht="15.75" x14ac:dyDescent="0.25">
      <c r="A2876" s="21"/>
      <c r="B2876" s="21"/>
      <c r="C2876" s="21"/>
      <c r="E2876" s="21"/>
      <c r="F2876" s="21"/>
      <c r="G2876" s="14"/>
      <c r="H2876" s="14"/>
      <c r="I2876" s="14"/>
      <c r="J2876" s="14"/>
      <c r="K2876" s="14"/>
      <c r="L2876" s="14"/>
      <c r="M2876" s="14"/>
      <c r="N2876" s="14"/>
      <c r="O2876" s="14"/>
      <c r="P2876" s="14"/>
      <c r="Q2876" s="14"/>
      <c r="R2876" s="14"/>
      <c r="S2876" s="14"/>
      <c r="T2876" s="14"/>
      <c r="U2876" s="14"/>
      <c r="V2876" s="14"/>
      <c r="W2876" s="14"/>
      <c r="X2876" s="14"/>
      <c r="Y2876" s="14"/>
    </row>
    <row r="2877" spans="1:25" ht="15.75" x14ac:dyDescent="0.25">
      <c r="A2877" s="21"/>
      <c r="B2877" s="21"/>
      <c r="C2877" s="21"/>
      <c r="E2877" s="21"/>
      <c r="F2877" s="21"/>
      <c r="G2877" s="14"/>
      <c r="H2877" s="14"/>
      <c r="I2877" s="14"/>
      <c r="J2877" s="14"/>
      <c r="K2877" s="14"/>
      <c r="L2877" s="14"/>
      <c r="M2877" s="14"/>
      <c r="N2877" s="14"/>
      <c r="O2877" s="14"/>
      <c r="P2877" s="14"/>
      <c r="Q2877" s="14"/>
      <c r="R2877" s="14"/>
      <c r="S2877" s="14"/>
      <c r="T2877" s="14"/>
      <c r="U2877" s="14"/>
      <c r="V2877" s="14"/>
      <c r="W2877" s="14"/>
      <c r="X2877" s="14"/>
      <c r="Y2877" s="14"/>
    </row>
    <row r="2878" spans="1:25" ht="15.75" x14ac:dyDescent="0.25">
      <c r="A2878" s="21"/>
      <c r="B2878" s="21"/>
      <c r="C2878" s="21"/>
      <c r="E2878" s="21"/>
      <c r="F2878" s="21"/>
      <c r="G2878" s="14"/>
      <c r="H2878" s="14"/>
      <c r="I2878" s="14"/>
      <c r="J2878" s="14"/>
      <c r="K2878" s="14"/>
      <c r="L2878" s="14"/>
      <c r="M2878" s="14"/>
      <c r="N2878" s="14"/>
      <c r="O2878" s="14"/>
      <c r="P2878" s="14"/>
      <c r="Q2878" s="14"/>
      <c r="R2878" s="14"/>
      <c r="S2878" s="14"/>
      <c r="T2878" s="14"/>
      <c r="U2878" s="14"/>
      <c r="V2878" s="14"/>
      <c r="W2878" s="14"/>
      <c r="X2878" s="14"/>
      <c r="Y2878" s="14"/>
    </row>
    <row r="2879" spans="1:25" ht="15.75" x14ac:dyDescent="0.25">
      <c r="A2879" s="21"/>
      <c r="B2879" s="21"/>
      <c r="C2879" s="21"/>
      <c r="E2879" s="21"/>
      <c r="F2879" s="21"/>
      <c r="G2879" s="14"/>
      <c r="H2879" s="14"/>
      <c r="I2879" s="14"/>
      <c r="J2879" s="14"/>
      <c r="K2879" s="14"/>
      <c r="L2879" s="14"/>
      <c r="M2879" s="14"/>
      <c r="N2879" s="14"/>
      <c r="O2879" s="14"/>
      <c r="P2879" s="14"/>
      <c r="Q2879" s="14"/>
      <c r="R2879" s="14"/>
      <c r="S2879" s="14"/>
      <c r="T2879" s="14"/>
      <c r="U2879" s="14"/>
      <c r="V2879" s="14"/>
      <c r="W2879" s="14"/>
      <c r="X2879" s="14"/>
      <c r="Y2879" s="14"/>
    </row>
    <row r="2880" spans="1:25" ht="15.75" x14ac:dyDescent="0.25">
      <c r="A2880" s="21"/>
      <c r="B2880" s="21"/>
      <c r="C2880" s="21"/>
      <c r="E2880" s="21"/>
      <c r="F2880" s="21"/>
      <c r="G2880" s="14"/>
      <c r="H2880" s="14"/>
      <c r="I2880" s="14"/>
      <c r="J2880" s="14"/>
      <c r="K2880" s="14"/>
      <c r="L2880" s="14"/>
      <c r="M2880" s="14"/>
      <c r="N2880" s="14"/>
      <c r="O2880" s="14"/>
      <c r="P2880" s="14"/>
      <c r="Q2880" s="14"/>
      <c r="R2880" s="14"/>
      <c r="S2880" s="14"/>
      <c r="T2880" s="14"/>
      <c r="U2880" s="14"/>
      <c r="V2880" s="14"/>
      <c r="W2880" s="14"/>
      <c r="X2880" s="14"/>
      <c r="Y2880" s="14"/>
    </row>
    <row r="2881" spans="1:25" ht="15.75" x14ac:dyDescent="0.25">
      <c r="A2881" s="21"/>
      <c r="B2881" s="21"/>
      <c r="C2881" s="21"/>
      <c r="E2881" s="21"/>
      <c r="F2881" s="21"/>
      <c r="G2881" s="14"/>
      <c r="H2881" s="14"/>
      <c r="I2881" s="14"/>
      <c r="J2881" s="14"/>
      <c r="K2881" s="14"/>
      <c r="L2881" s="14"/>
      <c r="M2881" s="14"/>
      <c r="N2881" s="14"/>
      <c r="O2881" s="14"/>
      <c r="P2881" s="14"/>
      <c r="Q2881" s="14"/>
      <c r="R2881" s="14"/>
      <c r="S2881" s="14"/>
      <c r="T2881" s="14"/>
      <c r="U2881" s="14"/>
      <c r="V2881" s="14"/>
      <c r="W2881" s="14"/>
      <c r="X2881" s="14"/>
      <c r="Y2881" s="14"/>
    </row>
    <row r="2882" spans="1:25" ht="15.75" x14ac:dyDescent="0.25">
      <c r="A2882" s="21"/>
      <c r="B2882" s="21"/>
      <c r="C2882" s="21"/>
      <c r="E2882" s="21"/>
      <c r="F2882" s="21"/>
      <c r="G2882" s="14"/>
      <c r="H2882" s="14"/>
      <c r="I2882" s="14"/>
      <c r="J2882" s="14"/>
      <c r="K2882" s="14"/>
      <c r="L2882" s="14"/>
      <c r="M2882" s="14"/>
      <c r="N2882" s="14"/>
      <c r="O2882" s="14"/>
      <c r="P2882" s="14"/>
      <c r="Q2882" s="14"/>
      <c r="R2882" s="14"/>
      <c r="S2882" s="14"/>
      <c r="T2882" s="14"/>
      <c r="U2882" s="14"/>
      <c r="V2882" s="14"/>
      <c r="W2882" s="14"/>
      <c r="X2882" s="14"/>
      <c r="Y2882" s="14"/>
    </row>
    <row r="2883" spans="1:25" ht="15.75" x14ac:dyDescent="0.25">
      <c r="A2883" s="21"/>
      <c r="B2883" s="21"/>
      <c r="C2883" s="21"/>
      <c r="E2883" s="21"/>
      <c r="F2883" s="21"/>
      <c r="G2883" s="14"/>
      <c r="H2883" s="14"/>
      <c r="I2883" s="14"/>
      <c r="J2883" s="14"/>
      <c r="K2883" s="14"/>
      <c r="L2883" s="14"/>
      <c r="M2883" s="14"/>
      <c r="N2883" s="14"/>
      <c r="O2883" s="14"/>
      <c r="P2883" s="14"/>
      <c r="Q2883" s="14"/>
      <c r="R2883" s="14"/>
      <c r="S2883" s="14"/>
      <c r="T2883" s="14"/>
      <c r="U2883" s="14"/>
      <c r="V2883" s="14"/>
      <c r="W2883" s="14"/>
      <c r="X2883" s="14"/>
      <c r="Y2883" s="14"/>
    </row>
    <row r="2884" spans="1:25" ht="15.75" x14ac:dyDescent="0.25">
      <c r="A2884" s="21"/>
      <c r="B2884" s="21"/>
      <c r="C2884" s="21"/>
      <c r="E2884" s="21"/>
      <c r="F2884" s="21"/>
      <c r="G2884" s="14"/>
      <c r="H2884" s="14"/>
      <c r="I2884" s="14"/>
      <c r="J2884" s="14"/>
      <c r="K2884" s="14"/>
      <c r="L2884" s="14"/>
      <c r="M2884" s="14"/>
      <c r="N2884" s="14"/>
      <c r="O2884" s="14"/>
      <c r="P2884" s="14"/>
      <c r="Q2884" s="14"/>
      <c r="R2884" s="14"/>
      <c r="S2884" s="14"/>
      <c r="T2884" s="14"/>
      <c r="U2884" s="14"/>
      <c r="V2884" s="14"/>
      <c r="W2884" s="14"/>
      <c r="X2884" s="14"/>
      <c r="Y2884" s="14"/>
    </row>
    <row r="2885" spans="1:25" ht="15.75" x14ac:dyDescent="0.25">
      <c r="A2885" s="21"/>
      <c r="B2885" s="21"/>
      <c r="C2885" s="21"/>
      <c r="E2885" s="21"/>
      <c r="F2885" s="21"/>
      <c r="G2885" s="14"/>
      <c r="H2885" s="14"/>
      <c r="I2885" s="14"/>
      <c r="J2885" s="14"/>
      <c r="K2885" s="14"/>
      <c r="L2885" s="14"/>
      <c r="M2885" s="14"/>
      <c r="N2885" s="14"/>
      <c r="O2885" s="14"/>
      <c r="P2885" s="14"/>
      <c r="Q2885" s="14"/>
      <c r="R2885" s="14"/>
      <c r="S2885" s="14"/>
      <c r="T2885" s="14"/>
      <c r="U2885" s="14"/>
      <c r="V2885" s="14"/>
      <c r="W2885" s="14"/>
      <c r="X2885" s="14"/>
      <c r="Y2885" s="14"/>
    </row>
    <row r="2886" spans="1:25" ht="15.75" x14ac:dyDescent="0.25">
      <c r="A2886" s="21"/>
      <c r="B2886" s="21"/>
      <c r="C2886" s="21"/>
      <c r="E2886" s="21"/>
      <c r="F2886" s="21"/>
      <c r="G2886" s="14"/>
      <c r="H2886" s="14"/>
      <c r="I2886" s="14"/>
      <c r="J2886" s="14"/>
      <c r="K2886" s="14"/>
      <c r="L2886" s="14"/>
      <c r="M2886" s="14"/>
      <c r="N2886" s="14"/>
      <c r="O2886" s="14"/>
      <c r="P2886" s="14"/>
      <c r="Q2886" s="14"/>
      <c r="R2886" s="14"/>
      <c r="S2886" s="14"/>
      <c r="T2886" s="14"/>
      <c r="U2886" s="14"/>
      <c r="V2886" s="14"/>
      <c r="W2886" s="14"/>
      <c r="X2886" s="14"/>
      <c r="Y2886" s="14"/>
    </row>
    <row r="2887" spans="1:25" ht="15.75" x14ac:dyDescent="0.25">
      <c r="A2887" s="21"/>
      <c r="B2887" s="21"/>
      <c r="C2887" s="21"/>
      <c r="E2887" s="21"/>
      <c r="F2887" s="21"/>
      <c r="G2887" s="14"/>
      <c r="H2887" s="14"/>
      <c r="I2887" s="14"/>
      <c r="J2887" s="14"/>
      <c r="K2887" s="14"/>
      <c r="L2887" s="14"/>
      <c r="M2887" s="14"/>
      <c r="N2887" s="14"/>
      <c r="O2887" s="14"/>
      <c r="P2887" s="14"/>
      <c r="Q2887" s="14"/>
      <c r="R2887" s="14"/>
      <c r="S2887" s="14"/>
      <c r="T2887" s="14"/>
      <c r="U2887" s="14"/>
      <c r="V2887" s="14"/>
      <c r="W2887" s="14"/>
      <c r="X2887" s="14"/>
      <c r="Y2887" s="14"/>
    </row>
    <row r="2888" spans="1:25" ht="15.75" x14ac:dyDescent="0.25">
      <c r="A2888" s="21"/>
      <c r="B2888" s="21"/>
      <c r="C2888" s="21"/>
      <c r="E2888" s="21"/>
      <c r="F2888" s="21"/>
      <c r="G2888" s="14"/>
      <c r="H2888" s="14"/>
      <c r="I2888" s="14"/>
      <c r="J2888" s="14"/>
      <c r="K2888" s="14"/>
      <c r="L2888" s="14"/>
      <c r="M2888" s="14"/>
      <c r="N2888" s="14"/>
      <c r="O2888" s="14"/>
      <c r="P2888" s="14"/>
      <c r="Q2888" s="14"/>
      <c r="R2888" s="14"/>
      <c r="S2888" s="14"/>
      <c r="T2888" s="14"/>
      <c r="U2888" s="14"/>
      <c r="V2888" s="14"/>
      <c r="W2888" s="14"/>
      <c r="X2888" s="14"/>
      <c r="Y2888" s="14"/>
    </row>
    <row r="2889" spans="1:25" ht="15.75" x14ac:dyDescent="0.25">
      <c r="A2889" s="21"/>
      <c r="B2889" s="21"/>
      <c r="C2889" s="21"/>
      <c r="E2889" s="21"/>
      <c r="F2889" s="21"/>
      <c r="G2889" s="14"/>
      <c r="H2889" s="14"/>
      <c r="I2889" s="14"/>
      <c r="J2889" s="14"/>
      <c r="K2889" s="14"/>
      <c r="L2889" s="14"/>
      <c r="M2889" s="14"/>
      <c r="N2889" s="14"/>
      <c r="O2889" s="14"/>
      <c r="P2889" s="14"/>
      <c r="Q2889" s="14"/>
      <c r="R2889" s="14"/>
      <c r="S2889" s="14"/>
      <c r="T2889" s="14"/>
      <c r="U2889" s="14"/>
      <c r="V2889" s="14"/>
      <c r="W2889" s="14"/>
      <c r="X2889" s="14"/>
      <c r="Y2889" s="14"/>
    </row>
    <row r="2890" spans="1:25" ht="15.75" x14ac:dyDescent="0.25">
      <c r="A2890" s="21"/>
      <c r="B2890" s="21"/>
      <c r="C2890" s="21"/>
      <c r="E2890" s="21"/>
      <c r="F2890" s="21"/>
      <c r="G2890" s="14"/>
      <c r="H2890" s="14"/>
      <c r="I2890" s="14"/>
      <c r="J2890" s="14"/>
      <c r="K2890" s="14"/>
      <c r="L2890" s="14"/>
      <c r="M2890" s="14"/>
      <c r="N2890" s="14"/>
      <c r="O2890" s="14"/>
      <c r="P2890" s="14"/>
      <c r="Q2890" s="14"/>
      <c r="R2890" s="14"/>
      <c r="S2890" s="14"/>
      <c r="T2890" s="14"/>
      <c r="U2890" s="14"/>
      <c r="V2890" s="14"/>
      <c r="W2890" s="14"/>
      <c r="X2890" s="14"/>
      <c r="Y2890" s="14"/>
    </row>
    <row r="2891" spans="1:25" ht="15.75" x14ac:dyDescent="0.25">
      <c r="A2891" s="21"/>
      <c r="B2891" s="21"/>
      <c r="C2891" s="21"/>
      <c r="E2891" s="21"/>
      <c r="F2891" s="21"/>
      <c r="G2891" s="14"/>
      <c r="H2891" s="14"/>
      <c r="I2891" s="14"/>
      <c r="J2891" s="14"/>
      <c r="K2891" s="14"/>
      <c r="L2891" s="14"/>
      <c r="M2891" s="14"/>
      <c r="N2891" s="14"/>
      <c r="O2891" s="14"/>
      <c r="P2891" s="14"/>
      <c r="Q2891" s="14"/>
      <c r="R2891" s="14"/>
      <c r="S2891" s="14"/>
      <c r="T2891" s="14"/>
      <c r="U2891" s="14"/>
      <c r="V2891" s="14"/>
      <c r="W2891" s="14"/>
      <c r="X2891" s="14"/>
      <c r="Y2891" s="14"/>
    </row>
    <row r="2892" spans="1:25" ht="15.75" x14ac:dyDescent="0.25">
      <c r="A2892" s="21"/>
      <c r="B2892" s="21"/>
      <c r="C2892" s="21"/>
      <c r="E2892" s="21"/>
      <c r="F2892" s="21"/>
      <c r="G2892" s="14"/>
      <c r="H2892" s="14"/>
      <c r="I2892" s="14"/>
      <c r="J2892" s="14"/>
      <c r="K2892" s="14"/>
      <c r="L2892" s="14"/>
      <c r="M2892" s="14"/>
      <c r="N2892" s="14"/>
      <c r="O2892" s="14"/>
      <c r="P2892" s="14"/>
      <c r="Q2892" s="14"/>
      <c r="R2892" s="14"/>
      <c r="S2892" s="14"/>
      <c r="T2892" s="14"/>
      <c r="U2892" s="14"/>
      <c r="V2892" s="14"/>
      <c r="W2892" s="14"/>
      <c r="X2892" s="14"/>
      <c r="Y2892" s="14"/>
    </row>
    <row r="2893" spans="1:25" ht="15.75" x14ac:dyDescent="0.25">
      <c r="A2893" s="21"/>
      <c r="B2893" s="21"/>
      <c r="C2893" s="21"/>
      <c r="E2893" s="21"/>
      <c r="F2893" s="21"/>
      <c r="G2893" s="14"/>
      <c r="H2893" s="14"/>
      <c r="I2893" s="14"/>
      <c r="J2893" s="14"/>
      <c r="K2893" s="14"/>
      <c r="L2893" s="14"/>
      <c r="M2893" s="14"/>
      <c r="N2893" s="14"/>
      <c r="O2893" s="14"/>
      <c r="P2893" s="14"/>
      <c r="Q2893" s="14"/>
      <c r="R2893" s="14"/>
      <c r="S2893" s="14"/>
      <c r="T2893" s="14"/>
      <c r="U2893" s="14"/>
      <c r="V2893" s="14"/>
      <c r="W2893" s="14"/>
      <c r="X2893" s="14"/>
      <c r="Y2893" s="14"/>
    </row>
    <row r="2894" spans="1:25" ht="15.75" x14ac:dyDescent="0.25">
      <c r="A2894" s="21"/>
      <c r="B2894" s="21"/>
      <c r="C2894" s="21"/>
      <c r="E2894" s="21"/>
      <c r="F2894" s="21"/>
      <c r="G2894" s="14"/>
      <c r="H2894" s="14"/>
      <c r="I2894" s="14"/>
      <c r="J2894" s="14"/>
      <c r="K2894" s="14"/>
      <c r="L2894" s="14"/>
      <c r="M2894" s="14"/>
      <c r="N2894" s="14"/>
      <c r="O2894" s="14"/>
      <c r="P2894" s="14"/>
      <c r="Q2894" s="14"/>
      <c r="R2894" s="14"/>
      <c r="S2894" s="14"/>
      <c r="T2894" s="14"/>
      <c r="U2894" s="14"/>
      <c r="V2894" s="14"/>
      <c r="W2894" s="14"/>
      <c r="X2894" s="14"/>
      <c r="Y2894" s="14"/>
    </row>
    <row r="2895" spans="1:25" ht="15.75" x14ac:dyDescent="0.25">
      <c r="A2895" s="21"/>
      <c r="B2895" s="21"/>
      <c r="C2895" s="21"/>
      <c r="E2895" s="21"/>
      <c r="F2895" s="21"/>
      <c r="G2895" s="14"/>
      <c r="H2895" s="14"/>
      <c r="I2895" s="14"/>
      <c r="J2895" s="14"/>
      <c r="K2895" s="14"/>
      <c r="L2895" s="14"/>
      <c r="M2895" s="14"/>
      <c r="N2895" s="14"/>
      <c r="O2895" s="14"/>
      <c r="P2895" s="14"/>
      <c r="Q2895" s="14"/>
      <c r="R2895" s="14"/>
      <c r="S2895" s="14"/>
      <c r="T2895" s="14"/>
      <c r="U2895" s="14"/>
      <c r="V2895" s="14"/>
      <c r="W2895" s="14"/>
      <c r="X2895" s="14"/>
      <c r="Y2895" s="14"/>
    </row>
    <row r="2896" spans="1:25" ht="15.75" x14ac:dyDescent="0.25">
      <c r="A2896" s="21"/>
      <c r="B2896" s="21"/>
      <c r="C2896" s="21"/>
      <c r="E2896" s="21"/>
      <c r="F2896" s="21"/>
      <c r="G2896" s="14"/>
      <c r="H2896" s="14"/>
      <c r="I2896" s="14"/>
      <c r="J2896" s="14"/>
      <c r="K2896" s="14"/>
      <c r="L2896" s="14"/>
      <c r="M2896" s="14"/>
      <c r="N2896" s="14"/>
      <c r="O2896" s="14"/>
      <c r="P2896" s="14"/>
      <c r="Q2896" s="14"/>
      <c r="R2896" s="14"/>
      <c r="S2896" s="14"/>
      <c r="T2896" s="14"/>
      <c r="U2896" s="14"/>
      <c r="V2896" s="14"/>
      <c r="W2896" s="14"/>
      <c r="X2896" s="14"/>
      <c r="Y2896" s="14"/>
    </row>
    <row r="2897" spans="1:25" ht="15.75" x14ac:dyDescent="0.25">
      <c r="A2897" s="21"/>
      <c r="B2897" s="21"/>
      <c r="C2897" s="21"/>
      <c r="E2897" s="21"/>
      <c r="F2897" s="21"/>
      <c r="G2897" s="14"/>
      <c r="H2897" s="14"/>
      <c r="I2897" s="14"/>
      <c r="J2897" s="14"/>
      <c r="K2897" s="14"/>
      <c r="L2897" s="14"/>
      <c r="M2897" s="14"/>
      <c r="N2897" s="14"/>
      <c r="O2897" s="14"/>
      <c r="P2897" s="14"/>
      <c r="Q2897" s="14"/>
      <c r="R2897" s="14"/>
      <c r="S2897" s="14"/>
      <c r="T2897" s="14"/>
      <c r="U2897" s="14"/>
      <c r="V2897" s="14"/>
      <c r="W2897" s="14"/>
      <c r="X2897" s="14"/>
      <c r="Y2897" s="14"/>
    </row>
    <row r="2898" spans="1:25" ht="15.75" x14ac:dyDescent="0.25">
      <c r="A2898" s="21"/>
      <c r="B2898" s="21"/>
      <c r="C2898" s="21"/>
      <c r="E2898" s="21"/>
      <c r="F2898" s="21"/>
      <c r="G2898" s="14"/>
      <c r="H2898" s="14"/>
      <c r="I2898" s="14"/>
      <c r="J2898" s="14"/>
      <c r="K2898" s="14"/>
      <c r="L2898" s="14"/>
      <c r="M2898" s="14"/>
      <c r="N2898" s="14"/>
      <c r="O2898" s="14"/>
      <c r="P2898" s="14"/>
      <c r="Q2898" s="14"/>
      <c r="R2898" s="14"/>
      <c r="S2898" s="14"/>
      <c r="T2898" s="14"/>
      <c r="U2898" s="14"/>
      <c r="V2898" s="14"/>
      <c r="W2898" s="14"/>
      <c r="X2898" s="14"/>
      <c r="Y2898" s="14"/>
    </row>
    <row r="2899" spans="1:25" ht="15.75" x14ac:dyDescent="0.25">
      <c r="A2899" s="21"/>
      <c r="B2899" s="21"/>
      <c r="C2899" s="21"/>
      <c r="E2899" s="21"/>
      <c r="F2899" s="21"/>
      <c r="G2899" s="14"/>
      <c r="H2899" s="14"/>
      <c r="I2899" s="14"/>
      <c r="J2899" s="14"/>
      <c r="K2899" s="14"/>
      <c r="L2899" s="14"/>
      <c r="M2899" s="14"/>
      <c r="N2899" s="14"/>
      <c r="O2899" s="14"/>
      <c r="P2899" s="14"/>
      <c r="Q2899" s="14"/>
      <c r="R2899" s="14"/>
      <c r="S2899" s="14"/>
      <c r="T2899" s="14"/>
      <c r="U2899" s="14"/>
      <c r="V2899" s="14"/>
      <c r="W2899" s="14"/>
      <c r="X2899" s="14"/>
      <c r="Y2899" s="14"/>
    </row>
    <row r="2900" spans="1:25" ht="15.75" x14ac:dyDescent="0.25">
      <c r="A2900" s="21"/>
      <c r="B2900" s="21"/>
      <c r="C2900" s="21"/>
      <c r="E2900" s="21"/>
      <c r="F2900" s="21"/>
      <c r="G2900" s="14"/>
      <c r="H2900" s="14"/>
      <c r="I2900" s="14"/>
      <c r="J2900" s="14"/>
      <c r="K2900" s="14"/>
      <c r="L2900" s="14"/>
      <c r="M2900" s="14"/>
      <c r="N2900" s="14"/>
      <c r="O2900" s="14"/>
      <c r="P2900" s="14"/>
      <c r="Q2900" s="14"/>
      <c r="R2900" s="14"/>
      <c r="S2900" s="14"/>
      <c r="T2900" s="14"/>
      <c r="U2900" s="14"/>
      <c r="V2900" s="14"/>
      <c r="W2900" s="14"/>
      <c r="X2900" s="14"/>
      <c r="Y2900" s="14"/>
    </row>
    <row r="2901" spans="1:25" ht="15.75" x14ac:dyDescent="0.25">
      <c r="A2901" s="21"/>
      <c r="B2901" s="21"/>
      <c r="C2901" s="21"/>
      <c r="E2901" s="21"/>
      <c r="F2901" s="21"/>
      <c r="G2901" s="14"/>
      <c r="H2901" s="14"/>
      <c r="I2901" s="14"/>
      <c r="J2901" s="14"/>
      <c r="K2901" s="14"/>
      <c r="L2901" s="14"/>
      <c r="M2901" s="14"/>
      <c r="N2901" s="14"/>
      <c r="O2901" s="14"/>
      <c r="P2901" s="14"/>
      <c r="Q2901" s="14"/>
      <c r="R2901" s="14"/>
      <c r="S2901" s="14"/>
      <c r="T2901" s="14"/>
      <c r="U2901" s="14"/>
      <c r="V2901" s="14"/>
      <c r="W2901" s="14"/>
      <c r="X2901" s="14"/>
      <c r="Y2901" s="14"/>
    </row>
    <row r="2902" spans="1:25" ht="15.75" x14ac:dyDescent="0.25">
      <c r="A2902" s="21"/>
      <c r="B2902" s="21"/>
      <c r="C2902" s="21"/>
      <c r="E2902" s="21"/>
      <c r="F2902" s="21"/>
      <c r="G2902" s="14"/>
      <c r="H2902" s="14"/>
      <c r="I2902" s="14"/>
      <c r="J2902" s="14"/>
      <c r="K2902" s="14"/>
      <c r="L2902" s="14"/>
      <c r="M2902" s="14"/>
      <c r="N2902" s="14"/>
      <c r="O2902" s="14"/>
      <c r="P2902" s="14"/>
      <c r="Q2902" s="14"/>
      <c r="R2902" s="14"/>
      <c r="S2902" s="14"/>
      <c r="T2902" s="14"/>
      <c r="U2902" s="14"/>
      <c r="V2902" s="14"/>
      <c r="W2902" s="14"/>
      <c r="X2902" s="14"/>
      <c r="Y2902" s="14"/>
    </row>
    <row r="2903" spans="1:25" ht="15.75" x14ac:dyDescent="0.25">
      <c r="A2903" s="21"/>
      <c r="B2903" s="21"/>
      <c r="C2903" s="21"/>
      <c r="E2903" s="21"/>
      <c r="F2903" s="21"/>
      <c r="G2903" s="14"/>
      <c r="H2903" s="14"/>
      <c r="I2903" s="14"/>
      <c r="J2903" s="14"/>
      <c r="K2903" s="14"/>
      <c r="L2903" s="14"/>
      <c r="M2903" s="14"/>
      <c r="N2903" s="14"/>
      <c r="O2903" s="14"/>
      <c r="P2903" s="14"/>
      <c r="Q2903" s="14"/>
      <c r="R2903" s="14"/>
      <c r="S2903" s="14"/>
      <c r="T2903" s="14"/>
      <c r="U2903" s="14"/>
      <c r="V2903" s="14"/>
      <c r="W2903" s="14"/>
      <c r="X2903" s="14"/>
      <c r="Y2903" s="14"/>
    </row>
    <row r="2904" spans="1:25" ht="15.75" x14ac:dyDescent="0.25">
      <c r="A2904" s="21"/>
      <c r="B2904" s="21"/>
      <c r="C2904" s="21"/>
      <c r="E2904" s="21"/>
      <c r="F2904" s="21"/>
      <c r="G2904" s="14"/>
      <c r="H2904" s="14"/>
      <c r="I2904" s="14"/>
      <c r="J2904" s="14"/>
      <c r="K2904" s="14"/>
      <c r="L2904" s="14"/>
      <c r="M2904" s="14"/>
      <c r="N2904" s="14"/>
      <c r="O2904" s="14"/>
      <c r="P2904" s="14"/>
      <c r="Q2904" s="14"/>
      <c r="R2904" s="14"/>
      <c r="S2904" s="14"/>
      <c r="T2904" s="14"/>
      <c r="U2904" s="14"/>
      <c r="V2904" s="14"/>
      <c r="W2904" s="14"/>
      <c r="X2904" s="14"/>
      <c r="Y2904" s="14"/>
    </row>
    <row r="2905" spans="1:25" ht="15.75" x14ac:dyDescent="0.25">
      <c r="A2905" s="21"/>
      <c r="B2905" s="21"/>
      <c r="C2905" s="21"/>
      <c r="E2905" s="21"/>
      <c r="F2905" s="21"/>
      <c r="G2905" s="14"/>
      <c r="H2905" s="14"/>
      <c r="I2905" s="14"/>
      <c r="J2905" s="14"/>
      <c r="K2905" s="14"/>
      <c r="L2905" s="14"/>
      <c r="M2905" s="14"/>
      <c r="N2905" s="14"/>
      <c r="O2905" s="14"/>
      <c r="P2905" s="14"/>
      <c r="Q2905" s="14"/>
      <c r="R2905" s="14"/>
      <c r="S2905" s="14"/>
      <c r="T2905" s="14"/>
      <c r="U2905" s="14"/>
      <c r="V2905" s="14"/>
      <c r="W2905" s="14"/>
      <c r="X2905" s="14"/>
      <c r="Y2905" s="14"/>
    </row>
    <row r="2906" spans="1:25" ht="15.75" x14ac:dyDescent="0.25">
      <c r="A2906" s="21"/>
      <c r="B2906" s="21"/>
      <c r="C2906" s="21"/>
      <c r="E2906" s="21"/>
      <c r="F2906" s="21"/>
      <c r="G2906" s="14"/>
      <c r="H2906" s="14"/>
      <c r="I2906" s="14"/>
      <c r="J2906" s="14"/>
      <c r="K2906" s="14"/>
      <c r="L2906" s="14"/>
      <c r="M2906" s="14"/>
      <c r="N2906" s="14"/>
      <c r="O2906" s="14"/>
      <c r="P2906" s="14"/>
      <c r="Q2906" s="14"/>
      <c r="R2906" s="14"/>
      <c r="S2906" s="14"/>
      <c r="T2906" s="14"/>
      <c r="U2906" s="14"/>
      <c r="V2906" s="14"/>
      <c r="W2906" s="14"/>
      <c r="X2906" s="14"/>
      <c r="Y2906" s="14"/>
    </row>
    <row r="2907" spans="1:25" ht="15.75" x14ac:dyDescent="0.25">
      <c r="A2907" s="21"/>
      <c r="B2907" s="21"/>
      <c r="C2907" s="21"/>
      <c r="E2907" s="21"/>
      <c r="F2907" s="21"/>
      <c r="G2907" s="14"/>
      <c r="H2907" s="14"/>
      <c r="I2907" s="14"/>
      <c r="J2907" s="14"/>
      <c r="K2907" s="14"/>
      <c r="L2907" s="14"/>
      <c r="M2907" s="14"/>
      <c r="N2907" s="14"/>
      <c r="O2907" s="14"/>
      <c r="P2907" s="14"/>
      <c r="Q2907" s="14"/>
      <c r="R2907" s="14"/>
      <c r="S2907" s="14"/>
      <c r="T2907" s="14"/>
      <c r="U2907" s="14"/>
      <c r="V2907" s="14"/>
      <c r="W2907" s="14"/>
      <c r="X2907" s="14"/>
      <c r="Y2907" s="14"/>
    </row>
    <row r="2908" spans="1:25" ht="15.75" x14ac:dyDescent="0.25">
      <c r="A2908" s="21"/>
      <c r="B2908" s="21"/>
      <c r="C2908" s="21"/>
      <c r="E2908" s="21"/>
      <c r="F2908" s="21"/>
      <c r="G2908" s="14"/>
      <c r="H2908" s="14"/>
      <c r="I2908" s="14"/>
      <c r="J2908" s="14"/>
      <c r="K2908" s="14"/>
      <c r="L2908" s="14"/>
      <c r="M2908" s="14"/>
      <c r="N2908" s="14"/>
      <c r="O2908" s="14"/>
      <c r="P2908" s="14"/>
      <c r="Q2908" s="14"/>
      <c r="R2908" s="14"/>
      <c r="S2908" s="14"/>
      <c r="T2908" s="14"/>
      <c r="U2908" s="14"/>
      <c r="V2908" s="14"/>
      <c r="W2908" s="14"/>
      <c r="X2908" s="14"/>
      <c r="Y2908" s="14"/>
    </row>
    <row r="2909" spans="1:25" ht="15.75" x14ac:dyDescent="0.25">
      <c r="A2909" s="21"/>
      <c r="B2909" s="21"/>
      <c r="C2909" s="21"/>
      <c r="E2909" s="21"/>
      <c r="F2909" s="21"/>
      <c r="G2909" s="14"/>
      <c r="H2909" s="14"/>
      <c r="I2909" s="14"/>
      <c r="J2909" s="14"/>
      <c r="K2909" s="14"/>
      <c r="L2909" s="14"/>
      <c r="M2909" s="14"/>
      <c r="N2909" s="14"/>
      <c r="O2909" s="14"/>
      <c r="P2909" s="14"/>
      <c r="Q2909" s="14"/>
      <c r="R2909" s="14"/>
      <c r="S2909" s="14"/>
      <c r="T2909" s="14"/>
      <c r="U2909" s="14"/>
      <c r="V2909" s="14"/>
      <c r="W2909" s="14"/>
      <c r="X2909" s="14"/>
      <c r="Y2909" s="14"/>
    </row>
    <row r="2910" spans="1:25" ht="15.75" x14ac:dyDescent="0.25">
      <c r="A2910" s="21"/>
      <c r="B2910" s="21"/>
      <c r="C2910" s="21"/>
      <c r="E2910" s="21"/>
      <c r="F2910" s="21"/>
      <c r="G2910" s="14"/>
      <c r="H2910" s="14"/>
      <c r="I2910" s="14"/>
      <c r="J2910" s="14"/>
      <c r="K2910" s="14"/>
      <c r="L2910" s="14"/>
      <c r="M2910" s="14"/>
      <c r="N2910" s="14"/>
      <c r="O2910" s="14"/>
      <c r="P2910" s="14"/>
      <c r="Q2910" s="14"/>
      <c r="R2910" s="14"/>
      <c r="S2910" s="14"/>
      <c r="T2910" s="14"/>
      <c r="U2910" s="14"/>
      <c r="V2910" s="14"/>
      <c r="W2910" s="14"/>
      <c r="X2910" s="14"/>
      <c r="Y2910" s="14"/>
    </row>
    <row r="2911" spans="1:25" ht="15.75" x14ac:dyDescent="0.25">
      <c r="A2911" s="21"/>
      <c r="B2911" s="21"/>
      <c r="C2911" s="21"/>
      <c r="E2911" s="21"/>
      <c r="F2911" s="21"/>
      <c r="G2911" s="14"/>
      <c r="H2911" s="14"/>
      <c r="I2911" s="14"/>
      <c r="J2911" s="14"/>
      <c r="K2911" s="14"/>
      <c r="L2911" s="14"/>
      <c r="M2911" s="14"/>
      <c r="N2911" s="14"/>
      <c r="O2911" s="14"/>
      <c r="P2911" s="14"/>
      <c r="Q2911" s="14"/>
      <c r="R2911" s="14"/>
      <c r="S2911" s="14"/>
      <c r="T2911" s="14"/>
      <c r="U2911" s="14"/>
      <c r="V2911" s="14"/>
      <c r="W2911" s="14"/>
      <c r="X2911" s="14"/>
      <c r="Y2911" s="14"/>
    </row>
    <row r="2912" spans="1:25" ht="15.75" x14ac:dyDescent="0.25">
      <c r="A2912" s="21"/>
      <c r="B2912" s="21"/>
      <c r="C2912" s="21"/>
      <c r="E2912" s="21"/>
      <c r="F2912" s="21"/>
      <c r="G2912" s="14"/>
      <c r="H2912" s="14"/>
      <c r="I2912" s="14"/>
      <c r="J2912" s="14"/>
      <c r="K2912" s="14"/>
      <c r="L2912" s="14"/>
      <c r="M2912" s="14"/>
      <c r="N2912" s="14"/>
      <c r="O2912" s="14"/>
      <c r="P2912" s="14"/>
      <c r="Q2912" s="14"/>
      <c r="R2912" s="14"/>
      <c r="S2912" s="14"/>
      <c r="T2912" s="14"/>
      <c r="U2912" s="14"/>
      <c r="V2912" s="14"/>
      <c r="W2912" s="14"/>
      <c r="X2912" s="14"/>
      <c r="Y2912" s="14"/>
    </row>
    <row r="2913" spans="1:25" ht="15.75" x14ac:dyDescent="0.25">
      <c r="A2913" s="21"/>
      <c r="B2913" s="21"/>
      <c r="C2913" s="21"/>
      <c r="E2913" s="21"/>
      <c r="F2913" s="21"/>
      <c r="G2913" s="14"/>
      <c r="H2913" s="14"/>
      <c r="I2913" s="14"/>
      <c r="J2913" s="14"/>
      <c r="K2913" s="14"/>
      <c r="L2913" s="14"/>
      <c r="M2913" s="14"/>
      <c r="N2913" s="14"/>
      <c r="O2913" s="14"/>
      <c r="P2913" s="14"/>
      <c r="Q2913" s="14"/>
      <c r="R2913" s="14"/>
      <c r="S2913" s="14"/>
      <c r="T2913" s="14"/>
      <c r="U2913" s="14"/>
      <c r="V2913" s="14"/>
      <c r="W2913" s="14"/>
      <c r="X2913" s="14"/>
      <c r="Y2913" s="14"/>
    </row>
    <row r="2914" spans="1:25" ht="15.75" x14ac:dyDescent="0.25">
      <c r="A2914" s="21"/>
      <c r="B2914" s="21"/>
      <c r="C2914" s="21"/>
      <c r="E2914" s="21"/>
      <c r="F2914" s="21"/>
      <c r="G2914" s="14"/>
      <c r="H2914" s="14"/>
      <c r="I2914" s="14"/>
      <c r="J2914" s="14"/>
      <c r="K2914" s="14"/>
      <c r="L2914" s="14"/>
      <c r="M2914" s="14"/>
      <c r="N2914" s="14"/>
      <c r="O2914" s="14"/>
      <c r="P2914" s="14"/>
      <c r="Q2914" s="14"/>
      <c r="R2914" s="14"/>
      <c r="S2914" s="14"/>
      <c r="T2914" s="14"/>
      <c r="U2914" s="14"/>
      <c r="V2914" s="14"/>
      <c r="W2914" s="14"/>
      <c r="X2914" s="14"/>
      <c r="Y2914" s="14"/>
    </row>
    <row r="2915" spans="1:25" ht="15.75" x14ac:dyDescent="0.25">
      <c r="A2915" s="21"/>
      <c r="B2915" s="21"/>
      <c r="C2915" s="21"/>
      <c r="E2915" s="21"/>
      <c r="F2915" s="21"/>
      <c r="G2915" s="14"/>
      <c r="H2915" s="14"/>
      <c r="I2915" s="14"/>
      <c r="J2915" s="14"/>
      <c r="K2915" s="14"/>
      <c r="L2915" s="14"/>
      <c r="M2915" s="14"/>
      <c r="N2915" s="14"/>
      <c r="O2915" s="14"/>
      <c r="P2915" s="14"/>
      <c r="Q2915" s="14"/>
      <c r="R2915" s="14"/>
      <c r="S2915" s="14"/>
      <c r="T2915" s="14"/>
      <c r="U2915" s="14"/>
      <c r="V2915" s="14"/>
      <c r="W2915" s="14"/>
      <c r="X2915" s="14"/>
      <c r="Y2915" s="14"/>
    </row>
    <row r="2916" spans="1:25" ht="15.75" x14ac:dyDescent="0.25">
      <c r="A2916" s="21"/>
      <c r="B2916" s="21"/>
      <c r="C2916" s="21"/>
      <c r="E2916" s="21"/>
      <c r="F2916" s="21"/>
      <c r="G2916" s="14"/>
      <c r="H2916" s="14"/>
      <c r="I2916" s="14"/>
      <c r="J2916" s="14"/>
      <c r="K2916" s="14"/>
      <c r="L2916" s="14"/>
      <c r="M2916" s="14"/>
      <c r="N2916" s="14"/>
      <c r="O2916" s="14"/>
      <c r="P2916" s="14"/>
      <c r="Q2916" s="14"/>
      <c r="R2916" s="14"/>
      <c r="S2916" s="14"/>
      <c r="T2916" s="14"/>
      <c r="U2916" s="14"/>
      <c r="V2916" s="14"/>
      <c r="W2916" s="14"/>
      <c r="X2916" s="14"/>
      <c r="Y2916" s="14"/>
    </row>
    <row r="2917" spans="1:25" ht="15.75" x14ac:dyDescent="0.25">
      <c r="A2917" s="21"/>
      <c r="B2917" s="21"/>
      <c r="C2917" s="21"/>
      <c r="E2917" s="21"/>
      <c r="F2917" s="21"/>
      <c r="G2917" s="14"/>
      <c r="H2917" s="14"/>
      <c r="I2917" s="14"/>
      <c r="J2917" s="14"/>
      <c r="K2917" s="14"/>
      <c r="L2917" s="14"/>
      <c r="M2917" s="14"/>
      <c r="N2917" s="14"/>
      <c r="O2917" s="14"/>
      <c r="P2917" s="14"/>
      <c r="Q2917" s="14"/>
      <c r="R2917" s="14"/>
      <c r="S2917" s="14"/>
      <c r="T2917" s="14"/>
      <c r="U2917" s="14"/>
      <c r="V2917" s="14"/>
      <c r="W2917" s="14"/>
      <c r="X2917" s="14"/>
      <c r="Y2917" s="14"/>
    </row>
    <row r="2918" spans="1:25" ht="15.75" x14ac:dyDescent="0.25">
      <c r="A2918" s="21"/>
      <c r="B2918" s="21"/>
      <c r="C2918" s="21"/>
      <c r="E2918" s="21"/>
      <c r="F2918" s="21"/>
      <c r="G2918" s="14"/>
      <c r="H2918" s="14"/>
      <c r="I2918" s="14"/>
      <c r="J2918" s="14"/>
      <c r="K2918" s="14"/>
      <c r="L2918" s="14"/>
      <c r="M2918" s="14"/>
      <c r="N2918" s="14"/>
      <c r="O2918" s="14"/>
      <c r="P2918" s="14"/>
      <c r="Q2918" s="14"/>
      <c r="R2918" s="14"/>
      <c r="S2918" s="14"/>
      <c r="T2918" s="14"/>
      <c r="U2918" s="14"/>
      <c r="V2918" s="14"/>
      <c r="W2918" s="14"/>
      <c r="X2918" s="14"/>
      <c r="Y2918" s="14"/>
    </row>
    <row r="2919" spans="1:25" ht="15.75" x14ac:dyDescent="0.25">
      <c r="A2919" s="21"/>
      <c r="B2919" s="21"/>
      <c r="C2919" s="21"/>
      <c r="E2919" s="21"/>
      <c r="F2919" s="21"/>
      <c r="G2919" s="14"/>
      <c r="H2919" s="14"/>
      <c r="I2919" s="14"/>
      <c r="J2919" s="14"/>
      <c r="K2919" s="14"/>
      <c r="L2919" s="14"/>
      <c r="M2919" s="14"/>
      <c r="N2919" s="14"/>
      <c r="O2919" s="14"/>
      <c r="P2919" s="14"/>
      <c r="Q2919" s="14"/>
      <c r="R2919" s="14"/>
      <c r="S2919" s="14"/>
      <c r="T2919" s="14"/>
      <c r="U2919" s="14"/>
      <c r="V2919" s="14"/>
      <c r="W2919" s="14"/>
      <c r="X2919" s="14"/>
      <c r="Y2919" s="14"/>
    </row>
    <row r="2920" spans="1:25" ht="15.75" x14ac:dyDescent="0.25">
      <c r="A2920" s="21"/>
      <c r="B2920" s="21"/>
      <c r="C2920" s="21"/>
      <c r="E2920" s="21"/>
      <c r="F2920" s="21"/>
      <c r="G2920" s="14"/>
      <c r="H2920" s="14"/>
      <c r="I2920" s="14"/>
      <c r="J2920" s="14"/>
      <c r="K2920" s="14"/>
      <c r="L2920" s="14"/>
      <c r="M2920" s="14"/>
      <c r="N2920" s="14"/>
      <c r="O2920" s="14"/>
      <c r="P2920" s="14"/>
      <c r="Q2920" s="14"/>
      <c r="R2920" s="14"/>
      <c r="S2920" s="14"/>
      <c r="T2920" s="14"/>
      <c r="U2920" s="14"/>
      <c r="V2920" s="14"/>
      <c r="W2920" s="14"/>
      <c r="X2920" s="14"/>
      <c r="Y2920" s="14"/>
    </row>
    <row r="2921" spans="1:25" ht="15.75" x14ac:dyDescent="0.25">
      <c r="A2921" s="21"/>
      <c r="B2921" s="21"/>
      <c r="C2921" s="21"/>
      <c r="E2921" s="21"/>
      <c r="F2921" s="21"/>
      <c r="G2921" s="14"/>
      <c r="H2921" s="14"/>
      <c r="I2921" s="14"/>
      <c r="J2921" s="14"/>
      <c r="K2921" s="14"/>
      <c r="L2921" s="14"/>
      <c r="M2921" s="14"/>
      <c r="N2921" s="14"/>
      <c r="O2921" s="14"/>
      <c r="P2921" s="14"/>
      <c r="Q2921" s="14"/>
      <c r="R2921" s="14"/>
      <c r="S2921" s="14"/>
      <c r="T2921" s="14"/>
      <c r="U2921" s="14"/>
      <c r="V2921" s="14"/>
      <c r="W2921" s="14"/>
      <c r="X2921" s="14"/>
      <c r="Y2921" s="14"/>
    </row>
    <row r="2922" spans="1:25" ht="15.75" x14ac:dyDescent="0.25">
      <c r="A2922" s="21"/>
      <c r="B2922" s="21"/>
      <c r="C2922" s="21"/>
      <c r="E2922" s="21"/>
      <c r="F2922" s="21"/>
      <c r="G2922" s="14"/>
      <c r="H2922" s="14"/>
      <c r="I2922" s="14"/>
      <c r="J2922" s="14"/>
      <c r="K2922" s="14"/>
      <c r="L2922" s="14"/>
      <c r="M2922" s="14"/>
      <c r="N2922" s="14"/>
      <c r="O2922" s="14"/>
      <c r="P2922" s="14"/>
      <c r="Q2922" s="14"/>
      <c r="R2922" s="14"/>
      <c r="S2922" s="14"/>
      <c r="T2922" s="14"/>
      <c r="U2922" s="14"/>
      <c r="V2922" s="14"/>
      <c r="W2922" s="14"/>
      <c r="X2922" s="14"/>
      <c r="Y2922" s="14"/>
    </row>
    <row r="2923" spans="1:25" ht="15.75" x14ac:dyDescent="0.25">
      <c r="A2923" s="21"/>
      <c r="B2923" s="21"/>
      <c r="C2923" s="21"/>
      <c r="E2923" s="21"/>
      <c r="F2923" s="21"/>
      <c r="G2923" s="14"/>
      <c r="H2923" s="14"/>
      <c r="I2923" s="14"/>
      <c r="J2923" s="14"/>
      <c r="K2923" s="14"/>
      <c r="L2923" s="14"/>
      <c r="M2923" s="14"/>
      <c r="N2923" s="14"/>
      <c r="O2923" s="14"/>
      <c r="P2923" s="14"/>
      <c r="Q2923" s="14"/>
      <c r="R2923" s="14"/>
      <c r="S2923" s="14"/>
      <c r="T2923" s="14"/>
      <c r="U2923" s="14"/>
      <c r="V2923" s="14"/>
      <c r="W2923" s="14"/>
      <c r="X2923" s="14"/>
      <c r="Y2923" s="14"/>
    </row>
    <row r="2924" spans="1:25" ht="15.75" x14ac:dyDescent="0.25">
      <c r="A2924" s="21"/>
      <c r="B2924" s="21"/>
      <c r="C2924" s="21"/>
      <c r="E2924" s="21"/>
      <c r="F2924" s="21"/>
      <c r="G2924" s="14"/>
      <c r="H2924" s="14"/>
      <c r="I2924" s="14"/>
      <c r="J2924" s="14"/>
      <c r="K2924" s="14"/>
      <c r="L2924" s="14"/>
      <c r="M2924" s="14"/>
      <c r="N2924" s="14"/>
      <c r="O2924" s="14"/>
      <c r="P2924" s="14"/>
      <c r="Q2924" s="14"/>
      <c r="R2924" s="14"/>
      <c r="S2924" s="14"/>
      <c r="T2924" s="14"/>
      <c r="U2924" s="14"/>
      <c r="V2924" s="14"/>
      <c r="W2924" s="14"/>
      <c r="X2924" s="14"/>
      <c r="Y2924" s="14"/>
    </row>
    <row r="2925" spans="1:25" ht="15.75" x14ac:dyDescent="0.25">
      <c r="A2925" s="21"/>
      <c r="B2925" s="21"/>
      <c r="C2925" s="21"/>
      <c r="E2925" s="21"/>
      <c r="F2925" s="21"/>
      <c r="G2925" s="14"/>
      <c r="H2925" s="14"/>
      <c r="I2925" s="14"/>
      <c r="J2925" s="14"/>
      <c r="K2925" s="14"/>
      <c r="L2925" s="14"/>
      <c r="M2925" s="14"/>
      <c r="N2925" s="14"/>
      <c r="O2925" s="14"/>
      <c r="P2925" s="14"/>
      <c r="Q2925" s="14"/>
      <c r="R2925" s="14"/>
      <c r="S2925" s="14"/>
      <c r="T2925" s="14"/>
      <c r="U2925" s="14"/>
      <c r="V2925" s="14"/>
      <c r="W2925" s="14"/>
      <c r="X2925" s="14"/>
      <c r="Y2925" s="14"/>
    </row>
    <row r="2926" spans="1:25" ht="15.75" x14ac:dyDescent="0.25">
      <c r="A2926" s="21"/>
      <c r="B2926" s="21"/>
      <c r="C2926" s="21"/>
      <c r="E2926" s="21"/>
      <c r="F2926" s="21"/>
      <c r="G2926" s="14"/>
      <c r="H2926" s="14"/>
      <c r="I2926" s="14"/>
      <c r="J2926" s="14"/>
      <c r="K2926" s="14"/>
      <c r="L2926" s="14"/>
      <c r="M2926" s="14"/>
      <c r="N2926" s="14"/>
      <c r="O2926" s="14"/>
      <c r="P2926" s="14"/>
      <c r="Q2926" s="14"/>
      <c r="R2926" s="14"/>
      <c r="S2926" s="14"/>
      <c r="T2926" s="14"/>
      <c r="U2926" s="14"/>
      <c r="V2926" s="14"/>
      <c r="W2926" s="14"/>
      <c r="X2926" s="14"/>
      <c r="Y2926" s="14"/>
    </row>
    <row r="2927" spans="1:25" ht="15.75" x14ac:dyDescent="0.25">
      <c r="A2927" s="21"/>
      <c r="B2927" s="21"/>
      <c r="C2927" s="21"/>
      <c r="E2927" s="21"/>
      <c r="F2927" s="21"/>
      <c r="G2927" s="14"/>
      <c r="H2927" s="14"/>
      <c r="I2927" s="14"/>
      <c r="J2927" s="14"/>
      <c r="K2927" s="14"/>
      <c r="L2927" s="14"/>
      <c r="M2927" s="14"/>
      <c r="N2927" s="14"/>
      <c r="O2927" s="14"/>
      <c r="P2927" s="14"/>
      <c r="Q2927" s="14"/>
      <c r="R2927" s="14"/>
      <c r="S2927" s="14"/>
      <c r="T2927" s="14"/>
      <c r="U2927" s="14"/>
      <c r="V2927" s="14"/>
      <c r="W2927" s="14"/>
      <c r="X2927" s="14"/>
      <c r="Y2927" s="14"/>
    </row>
    <row r="2928" spans="1:25" ht="15.75" x14ac:dyDescent="0.25">
      <c r="A2928" s="21"/>
      <c r="B2928" s="21"/>
      <c r="C2928" s="21"/>
      <c r="E2928" s="21"/>
      <c r="F2928" s="21"/>
      <c r="G2928" s="14"/>
      <c r="H2928" s="14"/>
      <c r="I2928" s="14"/>
      <c r="J2928" s="14"/>
      <c r="K2928" s="14"/>
      <c r="L2928" s="14"/>
      <c r="M2928" s="14"/>
      <c r="N2928" s="14"/>
      <c r="O2928" s="14"/>
      <c r="P2928" s="14"/>
      <c r="Q2928" s="14"/>
      <c r="R2928" s="14"/>
      <c r="S2928" s="14"/>
      <c r="T2928" s="14"/>
      <c r="U2928" s="14"/>
      <c r="V2928" s="14"/>
      <c r="W2928" s="14"/>
      <c r="X2928" s="14"/>
      <c r="Y2928" s="14"/>
    </row>
    <row r="2929" spans="1:25" ht="15.75" x14ac:dyDescent="0.25">
      <c r="A2929" s="21"/>
      <c r="B2929" s="21"/>
      <c r="C2929" s="21"/>
      <c r="E2929" s="21"/>
      <c r="F2929" s="21"/>
      <c r="G2929" s="14"/>
      <c r="H2929" s="14"/>
      <c r="I2929" s="14"/>
      <c r="J2929" s="14"/>
      <c r="K2929" s="14"/>
      <c r="L2929" s="14"/>
      <c r="M2929" s="14"/>
      <c r="N2929" s="14"/>
      <c r="O2929" s="14"/>
      <c r="P2929" s="14"/>
      <c r="Q2929" s="14"/>
      <c r="R2929" s="14"/>
      <c r="S2929" s="14"/>
      <c r="T2929" s="14"/>
      <c r="U2929" s="14"/>
      <c r="V2929" s="14"/>
      <c r="W2929" s="14"/>
      <c r="X2929" s="14"/>
      <c r="Y2929" s="14"/>
    </row>
    <row r="2930" spans="1:25" ht="15.75" x14ac:dyDescent="0.25">
      <c r="A2930" s="21"/>
      <c r="B2930" s="21"/>
      <c r="C2930" s="21"/>
      <c r="E2930" s="21"/>
      <c r="F2930" s="21"/>
      <c r="G2930" s="14"/>
      <c r="H2930" s="14"/>
      <c r="I2930" s="14"/>
      <c r="J2930" s="14"/>
      <c r="K2930" s="14"/>
      <c r="L2930" s="14"/>
      <c r="M2930" s="14"/>
      <c r="N2930" s="14"/>
      <c r="O2930" s="14"/>
      <c r="P2930" s="14"/>
      <c r="Q2930" s="14"/>
      <c r="R2930" s="14"/>
      <c r="S2930" s="14"/>
      <c r="T2930" s="14"/>
      <c r="U2930" s="14"/>
      <c r="V2930" s="14"/>
      <c r="W2930" s="14"/>
      <c r="X2930" s="14"/>
      <c r="Y2930" s="14"/>
    </row>
    <row r="2931" spans="1:25" ht="15.75" x14ac:dyDescent="0.25">
      <c r="A2931" s="21"/>
      <c r="B2931" s="21"/>
      <c r="C2931" s="21"/>
      <c r="E2931" s="21"/>
      <c r="F2931" s="21"/>
      <c r="G2931" s="14"/>
      <c r="H2931" s="14"/>
      <c r="I2931" s="14"/>
      <c r="J2931" s="14"/>
      <c r="K2931" s="14"/>
      <c r="L2931" s="14"/>
      <c r="M2931" s="14"/>
      <c r="N2931" s="14"/>
      <c r="O2931" s="14"/>
      <c r="P2931" s="14"/>
      <c r="Q2931" s="14"/>
      <c r="R2931" s="14"/>
      <c r="S2931" s="14"/>
      <c r="T2931" s="14"/>
      <c r="U2931" s="14"/>
      <c r="V2931" s="14"/>
      <c r="W2931" s="14"/>
      <c r="X2931" s="14"/>
      <c r="Y2931" s="14"/>
    </row>
    <row r="2932" spans="1:25" ht="15.75" x14ac:dyDescent="0.25">
      <c r="A2932" s="21"/>
      <c r="B2932" s="21"/>
      <c r="C2932" s="21"/>
      <c r="E2932" s="21"/>
      <c r="F2932" s="21"/>
      <c r="G2932" s="14"/>
      <c r="H2932" s="14"/>
      <c r="I2932" s="14"/>
      <c r="J2932" s="14"/>
      <c r="K2932" s="14"/>
      <c r="L2932" s="14"/>
      <c r="M2932" s="14"/>
      <c r="N2932" s="14"/>
      <c r="O2932" s="14"/>
      <c r="P2932" s="14"/>
      <c r="Q2932" s="14"/>
      <c r="R2932" s="14"/>
      <c r="S2932" s="14"/>
      <c r="T2932" s="14"/>
      <c r="U2932" s="14"/>
      <c r="V2932" s="14"/>
      <c r="W2932" s="14"/>
      <c r="X2932" s="14"/>
      <c r="Y2932" s="14"/>
    </row>
    <row r="2933" spans="1:25" ht="15.75" x14ac:dyDescent="0.25">
      <c r="A2933" s="21"/>
      <c r="B2933" s="21"/>
      <c r="C2933" s="21"/>
      <c r="E2933" s="21"/>
      <c r="F2933" s="21"/>
      <c r="G2933" s="14"/>
      <c r="H2933" s="14"/>
      <c r="I2933" s="14"/>
      <c r="J2933" s="14"/>
      <c r="K2933" s="14"/>
      <c r="L2933" s="14"/>
      <c r="M2933" s="14"/>
      <c r="N2933" s="14"/>
      <c r="O2933" s="14"/>
      <c r="P2933" s="14"/>
      <c r="Q2933" s="14"/>
      <c r="R2933" s="14"/>
      <c r="S2933" s="14"/>
      <c r="T2933" s="14"/>
      <c r="U2933" s="14"/>
      <c r="V2933" s="14"/>
      <c r="W2933" s="14"/>
      <c r="X2933" s="14"/>
      <c r="Y2933" s="14"/>
    </row>
    <row r="2934" spans="1:25" ht="15.75" x14ac:dyDescent="0.25">
      <c r="A2934" s="21"/>
      <c r="B2934" s="21"/>
      <c r="C2934" s="21"/>
      <c r="E2934" s="21"/>
      <c r="F2934" s="21"/>
      <c r="G2934" s="14"/>
      <c r="H2934" s="14"/>
      <c r="I2934" s="14"/>
      <c r="J2934" s="14"/>
      <c r="K2934" s="14"/>
      <c r="L2934" s="14"/>
      <c r="M2934" s="14"/>
      <c r="N2934" s="14"/>
      <c r="O2934" s="14"/>
      <c r="P2934" s="14"/>
      <c r="Q2934" s="14"/>
      <c r="R2934" s="14"/>
      <c r="S2934" s="14"/>
      <c r="T2934" s="14"/>
      <c r="U2934" s="14"/>
      <c r="V2934" s="14"/>
      <c r="W2934" s="14"/>
      <c r="X2934" s="14"/>
      <c r="Y2934" s="14"/>
    </row>
    <row r="2935" spans="1:25" ht="15.75" x14ac:dyDescent="0.25">
      <c r="A2935" s="21"/>
      <c r="B2935" s="21"/>
      <c r="C2935" s="21"/>
      <c r="E2935" s="21"/>
      <c r="F2935" s="21"/>
      <c r="G2935" s="14"/>
      <c r="H2935" s="14"/>
      <c r="I2935" s="14"/>
      <c r="J2935" s="14"/>
      <c r="K2935" s="14"/>
      <c r="L2935" s="14"/>
      <c r="M2935" s="14"/>
      <c r="N2935" s="14"/>
      <c r="O2935" s="14"/>
      <c r="P2935" s="14"/>
      <c r="Q2935" s="14"/>
      <c r="R2935" s="14"/>
      <c r="S2935" s="14"/>
      <c r="T2935" s="14"/>
      <c r="U2935" s="14"/>
      <c r="V2935" s="14"/>
      <c r="W2935" s="14"/>
      <c r="X2935" s="14"/>
      <c r="Y2935" s="14"/>
    </row>
    <row r="2936" spans="1:25" ht="15.75" x14ac:dyDescent="0.25">
      <c r="A2936" s="21"/>
      <c r="B2936" s="21"/>
      <c r="C2936" s="21"/>
      <c r="E2936" s="21"/>
      <c r="F2936" s="21"/>
      <c r="G2936" s="14"/>
      <c r="H2936" s="14"/>
      <c r="I2936" s="14"/>
      <c r="J2936" s="14"/>
      <c r="K2936" s="14"/>
      <c r="L2936" s="14"/>
      <c r="M2936" s="14"/>
      <c r="N2936" s="14"/>
      <c r="O2936" s="14"/>
      <c r="P2936" s="14"/>
      <c r="Q2936" s="14"/>
      <c r="R2936" s="14"/>
      <c r="S2936" s="14"/>
      <c r="T2936" s="14"/>
      <c r="U2936" s="14"/>
      <c r="V2936" s="14"/>
      <c r="W2936" s="14"/>
      <c r="X2936" s="14"/>
      <c r="Y2936" s="14"/>
    </row>
    <row r="2937" spans="1:25" ht="15.75" x14ac:dyDescent="0.25">
      <c r="A2937" s="21"/>
      <c r="B2937" s="21"/>
      <c r="C2937" s="21"/>
      <c r="E2937" s="21"/>
      <c r="F2937" s="21"/>
      <c r="G2937" s="14"/>
      <c r="H2937" s="14"/>
      <c r="I2937" s="14"/>
      <c r="J2937" s="14"/>
      <c r="K2937" s="14"/>
      <c r="L2937" s="14"/>
      <c r="M2937" s="14"/>
      <c r="N2937" s="14"/>
      <c r="O2937" s="14"/>
      <c r="P2937" s="14"/>
      <c r="Q2937" s="14"/>
      <c r="R2937" s="14"/>
      <c r="S2937" s="14"/>
      <c r="T2937" s="14"/>
      <c r="U2937" s="14"/>
      <c r="V2937" s="14"/>
      <c r="W2937" s="14"/>
      <c r="X2937" s="14"/>
      <c r="Y2937" s="14"/>
    </row>
    <row r="2938" spans="1:25" ht="15.75" x14ac:dyDescent="0.25">
      <c r="A2938" s="21"/>
      <c r="B2938" s="21"/>
      <c r="C2938" s="21"/>
      <c r="E2938" s="21"/>
      <c r="F2938" s="21"/>
      <c r="G2938" s="14"/>
      <c r="H2938" s="14"/>
      <c r="I2938" s="14"/>
      <c r="J2938" s="14"/>
      <c r="K2938" s="14"/>
      <c r="L2938" s="14"/>
      <c r="M2938" s="14"/>
      <c r="N2938" s="14"/>
      <c r="O2938" s="14"/>
      <c r="P2938" s="14"/>
      <c r="Q2938" s="14"/>
      <c r="R2938" s="14"/>
      <c r="S2938" s="14"/>
      <c r="T2938" s="14"/>
      <c r="U2938" s="14"/>
      <c r="V2938" s="14"/>
      <c r="W2938" s="14"/>
      <c r="X2938" s="14"/>
      <c r="Y2938" s="14"/>
    </row>
    <row r="2939" spans="1:25" ht="15.75" x14ac:dyDescent="0.25">
      <c r="A2939" s="21"/>
      <c r="B2939" s="21"/>
      <c r="C2939" s="21"/>
      <c r="E2939" s="21"/>
      <c r="F2939" s="21"/>
      <c r="G2939" s="14"/>
      <c r="H2939" s="14"/>
      <c r="I2939" s="14"/>
      <c r="J2939" s="14"/>
      <c r="K2939" s="14"/>
      <c r="L2939" s="14"/>
      <c r="M2939" s="14"/>
      <c r="N2939" s="14"/>
      <c r="O2939" s="14"/>
      <c r="P2939" s="14"/>
      <c r="Q2939" s="14"/>
      <c r="R2939" s="14"/>
      <c r="S2939" s="14"/>
      <c r="T2939" s="14"/>
      <c r="U2939" s="14"/>
      <c r="V2939" s="14"/>
      <c r="W2939" s="14"/>
      <c r="X2939" s="14"/>
      <c r="Y2939" s="14"/>
    </row>
    <row r="2940" spans="1:25" ht="15.75" x14ac:dyDescent="0.25">
      <c r="A2940" s="21"/>
      <c r="B2940" s="21"/>
      <c r="C2940" s="21"/>
      <c r="E2940" s="21"/>
      <c r="F2940" s="21"/>
      <c r="G2940" s="14"/>
      <c r="H2940" s="14"/>
      <c r="I2940" s="14"/>
      <c r="J2940" s="14"/>
      <c r="K2940" s="14"/>
      <c r="L2940" s="14"/>
      <c r="M2940" s="14"/>
      <c r="N2940" s="14"/>
      <c r="O2940" s="14"/>
      <c r="P2940" s="14"/>
      <c r="Q2940" s="14"/>
      <c r="R2940" s="14"/>
      <c r="S2940" s="14"/>
      <c r="T2940" s="14"/>
      <c r="U2940" s="14"/>
      <c r="V2940" s="14"/>
      <c r="W2940" s="14"/>
      <c r="X2940" s="14"/>
      <c r="Y2940" s="14"/>
    </row>
    <row r="2941" spans="1:25" ht="15.75" x14ac:dyDescent="0.25">
      <c r="A2941" s="21"/>
      <c r="B2941" s="21"/>
      <c r="C2941" s="21"/>
      <c r="E2941" s="21"/>
      <c r="F2941" s="21"/>
      <c r="G2941" s="14"/>
      <c r="H2941" s="14"/>
      <c r="I2941" s="14"/>
      <c r="J2941" s="14"/>
      <c r="K2941" s="14"/>
      <c r="L2941" s="14"/>
      <c r="M2941" s="14"/>
      <c r="N2941" s="14"/>
      <c r="O2941" s="14"/>
      <c r="P2941" s="14"/>
      <c r="Q2941" s="14"/>
      <c r="R2941" s="14"/>
      <c r="S2941" s="14"/>
      <c r="T2941" s="14"/>
      <c r="U2941" s="14"/>
      <c r="V2941" s="14"/>
      <c r="W2941" s="14"/>
      <c r="X2941" s="14"/>
      <c r="Y2941" s="14"/>
    </row>
    <row r="2942" spans="1:25" ht="15.75" x14ac:dyDescent="0.25">
      <c r="A2942" s="21"/>
      <c r="B2942" s="21"/>
      <c r="C2942" s="21"/>
      <c r="E2942" s="21"/>
      <c r="F2942" s="21"/>
      <c r="G2942" s="14"/>
      <c r="H2942" s="14"/>
      <c r="I2942" s="14"/>
      <c r="J2942" s="14"/>
      <c r="K2942" s="14"/>
      <c r="L2942" s="14"/>
      <c r="M2942" s="14"/>
      <c r="N2942" s="14"/>
      <c r="O2942" s="14"/>
      <c r="P2942" s="14"/>
      <c r="Q2942" s="14"/>
      <c r="R2942" s="14"/>
      <c r="S2942" s="14"/>
      <c r="T2942" s="14"/>
      <c r="U2942" s="14"/>
      <c r="V2942" s="14"/>
      <c r="W2942" s="14"/>
      <c r="X2942" s="14"/>
      <c r="Y2942" s="14"/>
    </row>
    <row r="2943" spans="1:25" ht="15.75" x14ac:dyDescent="0.25">
      <c r="A2943" s="21"/>
      <c r="B2943" s="21"/>
      <c r="C2943" s="21"/>
      <c r="E2943" s="21"/>
      <c r="F2943" s="21"/>
      <c r="G2943" s="14"/>
      <c r="H2943" s="14"/>
      <c r="I2943" s="14"/>
      <c r="J2943" s="14"/>
      <c r="K2943" s="14"/>
      <c r="L2943" s="14"/>
      <c r="M2943" s="14"/>
      <c r="N2943" s="14"/>
      <c r="O2943" s="14"/>
      <c r="P2943" s="14"/>
      <c r="Q2943" s="14"/>
      <c r="R2943" s="14"/>
      <c r="S2943" s="14"/>
      <c r="T2943" s="14"/>
      <c r="U2943" s="14"/>
      <c r="V2943" s="14"/>
      <c r="W2943" s="14"/>
      <c r="X2943" s="14"/>
      <c r="Y2943" s="14"/>
    </row>
    <row r="2944" spans="1:25" ht="15.75" x14ac:dyDescent="0.25">
      <c r="A2944" s="21"/>
      <c r="B2944" s="21"/>
      <c r="C2944" s="21"/>
      <c r="E2944" s="21"/>
      <c r="F2944" s="21"/>
      <c r="G2944" s="14"/>
      <c r="H2944" s="14"/>
      <c r="I2944" s="14"/>
      <c r="J2944" s="14"/>
      <c r="K2944" s="14"/>
      <c r="L2944" s="14"/>
      <c r="M2944" s="14"/>
      <c r="N2944" s="14"/>
      <c r="O2944" s="14"/>
      <c r="P2944" s="14"/>
      <c r="Q2944" s="14"/>
      <c r="R2944" s="14"/>
      <c r="S2944" s="14"/>
      <c r="T2944" s="14"/>
      <c r="U2944" s="14"/>
      <c r="V2944" s="14"/>
      <c r="W2944" s="14"/>
      <c r="X2944" s="14"/>
      <c r="Y2944" s="14"/>
    </row>
    <row r="2945" spans="1:25" ht="15.75" x14ac:dyDescent="0.25">
      <c r="A2945" s="21"/>
      <c r="B2945" s="21"/>
      <c r="C2945" s="21"/>
      <c r="E2945" s="21"/>
      <c r="F2945" s="21"/>
      <c r="G2945" s="14"/>
      <c r="H2945" s="14"/>
      <c r="I2945" s="14"/>
      <c r="J2945" s="14"/>
      <c r="K2945" s="14"/>
      <c r="L2945" s="14"/>
      <c r="M2945" s="14"/>
      <c r="N2945" s="14"/>
      <c r="O2945" s="14"/>
      <c r="P2945" s="14"/>
      <c r="Q2945" s="14"/>
      <c r="R2945" s="14"/>
      <c r="S2945" s="14"/>
      <c r="T2945" s="14"/>
      <c r="U2945" s="14"/>
      <c r="V2945" s="14"/>
      <c r="W2945" s="14"/>
      <c r="X2945" s="14"/>
      <c r="Y2945" s="14"/>
    </row>
    <row r="2946" spans="1:25" ht="15.75" x14ac:dyDescent="0.25">
      <c r="A2946" s="21"/>
      <c r="B2946" s="21"/>
      <c r="C2946" s="21"/>
      <c r="E2946" s="21"/>
      <c r="F2946" s="21"/>
      <c r="G2946" s="14"/>
      <c r="H2946" s="14"/>
      <c r="I2946" s="14"/>
      <c r="J2946" s="14"/>
      <c r="K2946" s="14"/>
      <c r="L2946" s="14"/>
      <c r="M2946" s="14"/>
      <c r="N2946" s="14"/>
      <c r="O2946" s="14"/>
      <c r="P2946" s="14"/>
      <c r="Q2946" s="14"/>
      <c r="R2946" s="14"/>
      <c r="S2946" s="14"/>
      <c r="T2946" s="14"/>
      <c r="U2946" s="14"/>
      <c r="V2946" s="14"/>
      <c r="W2946" s="14"/>
      <c r="X2946" s="14"/>
      <c r="Y2946" s="14"/>
    </row>
    <row r="2947" spans="1:25" ht="15.75" x14ac:dyDescent="0.25">
      <c r="A2947" s="21"/>
      <c r="B2947" s="21"/>
      <c r="C2947" s="21"/>
      <c r="E2947" s="21"/>
      <c r="F2947" s="21"/>
      <c r="G2947" s="14"/>
      <c r="H2947" s="14"/>
      <c r="I2947" s="14"/>
      <c r="J2947" s="14"/>
      <c r="K2947" s="14"/>
      <c r="L2947" s="14"/>
      <c r="M2947" s="14"/>
      <c r="N2947" s="14"/>
      <c r="O2947" s="14"/>
      <c r="P2947" s="14"/>
      <c r="Q2947" s="14"/>
      <c r="R2947" s="14"/>
      <c r="S2947" s="14"/>
      <c r="T2947" s="14"/>
      <c r="U2947" s="14"/>
      <c r="V2947" s="14"/>
      <c r="W2947" s="14"/>
      <c r="X2947" s="14"/>
      <c r="Y2947" s="14"/>
    </row>
    <row r="2948" spans="1:25" ht="15.75" x14ac:dyDescent="0.25">
      <c r="A2948" s="21"/>
      <c r="B2948" s="21"/>
      <c r="C2948" s="21"/>
      <c r="E2948" s="21"/>
      <c r="F2948" s="21"/>
      <c r="G2948" s="14"/>
      <c r="H2948" s="14"/>
      <c r="I2948" s="14"/>
      <c r="J2948" s="14"/>
      <c r="K2948" s="14"/>
      <c r="L2948" s="14"/>
      <c r="M2948" s="14"/>
      <c r="N2948" s="14"/>
      <c r="O2948" s="14"/>
      <c r="P2948" s="14"/>
      <c r="Q2948" s="14"/>
      <c r="R2948" s="14"/>
      <c r="S2948" s="14"/>
      <c r="T2948" s="14"/>
      <c r="U2948" s="14"/>
      <c r="V2948" s="14"/>
      <c r="W2948" s="14"/>
      <c r="X2948" s="14"/>
      <c r="Y2948" s="14"/>
    </row>
    <row r="2949" spans="1:25" ht="15.75" x14ac:dyDescent="0.25">
      <c r="A2949" s="21"/>
      <c r="B2949" s="21"/>
      <c r="C2949" s="21"/>
      <c r="E2949" s="21"/>
      <c r="F2949" s="21"/>
      <c r="G2949" s="14"/>
      <c r="H2949" s="14"/>
      <c r="I2949" s="14"/>
      <c r="J2949" s="14"/>
      <c r="K2949" s="14"/>
      <c r="L2949" s="14"/>
      <c r="M2949" s="14"/>
      <c r="N2949" s="14"/>
      <c r="O2949" s="14"/>
      <c r="P2949" s="14"/>
      <c r="Q2949" s="14"/>
      <c r="R2949" s="14"/>
      <c r="S2949" s="14"/>
      <c r="T2949" s="14"/>
      <c r="U2949" s="14"/>
      <c r="V2949" s="14"/>
      <c r="W2949" s="14"/>
      <c r="X2949" s="14"/>
      <c r="Y2949" s="14"/>
    </row>
    <row r="2950" spans="1:25" ht="15.75" x14ac:dyDescent="0.25">
      <c r="A2950" s="21"/>
      <c r="B2950" s="21"/>
      <c r="C2950" s="21"/>
      <c r="E2950" s="21"/>
      <c r="F2950" s="21"/>
      <c r="G2950" s="14"/>
      <c r="H2950" s="14"/>
      <c r="I2950" s="14"/>
      <c r="J2950" s="14"/>
      <c r="K2950" s="14"/>
      <c r="L2950" s="14"/>
      <c r="M2950" s="14"/>
      <c r="N2950" s="14"/>
      <c r="O2950" s="14"/>
      <c r="P2950" s="14"/>
      <c r="Q2950" s="14"/>
      <c r="R2950" s="14"/>
      <c r="S2950" s="14"/>
      <c r="T2950" s="14"/>
      <c r="U2950" s="14"/>
      <c r="V2950" s="14"/>
      <c r="W2950" s="14"/>
      <c r="X2950" s="14"/>
      <c r="Y2950" s="14"/>
    </row>
    <row r="2951" spans="1:25" ht="15.75" x14ac:dyDescent="0.25">
      <c r="A2951" s="21"/>
      <c r="B2951" s="21"/>
      <c r="C2951" s="21"/>
      <c r="E2951" s="21"/>
      <c r="F2951" s="21"/>
      <c r="G2951" s="14"/>
      <c r="H2951" s="14"/>
      <c r="I2951" s="14"/>
      <c r="J2951" s="14"/>
      <c r="K2951" s="14"/>
      <c r="L2951" s="14"/>
      <c r="M2951" s="14"/>
      <c r="N2951" s="14"/>
      <c r="O2951" s="14"/>
      <c r="P2951" s="14"/>
      <c r="Q2951" s="14"/>
      <c r="R2951" s="14"/>
      <c r="S2951" s="14"/>
      <c r="T2951" s="14"/>
      <c r="U2951" s="14"/>
      <c r="V2951" s="14"/>
      <c r="W2951" s="14"/>
      <c r="X2951" s="14"/>
      <c r="Y2951" s="14"/>
    </row>
    <row r="2952" spans="1:25" ht="15.75" x14ac:dyDescent="0.25">
      <c r="A2952" s="21"/>
      <c r="B2952" s="21"/>
      <c r="C2952" s="21"/>
      <c r="E2952" s="21"/>
      <c r="F2952" s="21"/>
      <c r="G2952" s="14"/>
      <c r="H2952" s="14"/>
      <c r="I2952" s="14"/>
      <c r="J2952" s="14"/>
      <c r="K2952" s="14"/>
      <c r="L2952" s="14"/>
      <c r="M2952" s="14"/>
      <c r="N2952" s="14"/>
      <c r="O2952" s="14"/>
      <c r="P2952" s="14"/>
      <c r="Q2952" s="14"/>
      <c r="R2952" s="14"/>
      <c r="S2952" s="14"/>
      <c r="T2952" s="14"/>
      <c r="U2952" s="14"/>
      <c r="V2952" s="14"/>
      <c r="W2952" s="14"/>
      <c r="X2952" s="14"/>
      <c r="Y2952" s="14"/>
    </row>
    <row r="2953" spans="1:25" ht="15.75" x14ac:dyDescent="0.25">
      <c r="A2953" s="21"/>
      <c r="B2953" s="21"/>
      <c r="C2953" s="21"/>
      <c r="E2953" s="21"/>
      <c r="F2953" s="21"/>
      <c r="G2953" s="14"/>
      <c r="H2953" s="14"/>
      <c r="I2953" s="14"/>
      <c r="J2953" s="14"/>
      <c r="K2953" s="14"/>
      <c r="L2953" s="14"/>
      <c r="M2953" s="14"/>
      <c r="N2953" s="14"/>
      <c r="O2953" s="14"/>
      <c r="P2953" s="14"/>
      <c r="Q2953" s="14"/>
      <c r="R2953" s="14"/>
      <c r="S2953" s="14"/>
      <c r="T2953" s="14"/>
      <c r="U2953" s="14"/>
      <c r="V2953" s="14"/>
      <c r="W2953" s="14"/>
      <c r="X2953" s="14"/>
      <c r="Y2953" s="14"/>
    </row>
    <row r="2954" spans="1:25" ht="15.75" x14ac:dyDescent="0.25">
      <c r="A2954" s="21"/>
      <c r="B2954" s="21"/>
      <c r="C2954" s="21"/>
      <c r="E2954" s="21"/>
      <c r="F2954" s="21"/>
      <c r="G2954" s="14"/>
      <c r="H2954" s="14"/>
      <c r="I2954" s="14"/>
      <c r="J2954" s="14"/>
      <c r="K2954" s="14"/>
      <c r="L2954" s="14"/>
      <c r="M2954" s="14"/>
      <c r="N2954" s="14"/>
      <c r="O2954" s="14"/>
      <c r="P2954" s="14"/>
      <c r="Q2954" s="14"/>
      <c r="R2954" s="14"/>
      <c r="S2954" s="14"/>
      <c r="T2954" s="14"/>
      <c r="U2954" s="14"/>
      <c r="V2954" s="14"/>
      <c r="W2954" s="14"/>
      <c r="X2954" s="14"/>
      <c r="Y2954" s="14"/>
    </row>
    <row r="2955" spans="1:25" ht="15.75" x14ac:dyDescent="0.25">
      <c r="A2955" s="21"/>
      <c r="B2955" s="21"/>
      <c r="C2955" s="21"/>
      <c r="E2955" s="21"/>
      <c r="F2955" s="21"/>
      <c r="G2955" s="14"/>
      <c r="H2955" s="14"/>
      <c r="I2955" s="14"/>
      <c r="J2955" s="14"/>
      <c r="K2955" s="14"/>
      <c r="L2955" s="14"/>
      <c r="M2955" s="14"/>
      <c r="N2955" s="14"/>
      <c r="O2955" s="14"/>
      <c r="P2955" s="14"/>
      <c r="Q2955" s="14"/>
      <c r="R2955" s="14"/>
      <c r="S2955" s="14"/>
      <c r="T2955" s="14"/>
      <c r="U2955" s="14"/>
      <c r="V2955" s="14"/>
      <c r="W2955" s="14"/>
      <c r="X2955" s="14"/>
      <c r="Y2955" s="14"/>
    </row>
    <row r="2956" spans="1:25" ht="15.75" x14ac:dyDescent="0.25">
      <c r="A2956" s="21"/>
      <c r="B2956" s="21"/>
      <c r="C2956" s="21"/>
      <c r="E2956" s="21"/>
      <c r="F2956" s="21"/>
      <c r="G2956" s="14"/>
      <c r="H2956" s="14"/>
      <c r="I2956" s="14"/>
      <c r="J2956" s="14"/>
      <c r="K2956" s="14"/>
      <c r="L2956" s="14"/>
      <c r="M2956" s="14"/>
      <c r="N2956" s="14"/>
      <c r="O2956" s="14"/>
      <c r="P2956" s="14"/>
      <c r="Q2956" s="14"/>
      <c r="R2956" s="14"/>
      <c r="S2956" s="14"/>
      <c r="T2956" s="14"/>
      <c r="U2956" s="14"/>
      <c r="V2956" s="14"/>
      <c r="W2956" s="14"/>
      <c r="X2956" s="14"/>
      <c r="Y2956" s="14"/>
    </row>
    <row r="2957" spans="1:25" ht="15.75" x14ac:dyDescent="0.25">
      <c r="A2957" s="21"/>
      <c r="B2957" s="21"/>
      <c r="C2957" s="21"/>
      <c r="E2957" s="21"/>
      <c r="F2957" s="21"/>
      <c r="G2957" s="14"/>
      <c r="H2957" s="14"/>
      <c r="I2957" s="14"/>
      <c r="J2957" s="14"/>
      <c r="K2957" s="14"/>
      <c r="L2957" s="14"/>
      <c r="M2957" s="14"/>
      <c r="N2957" s="14"/>
      <c r="O2957" s="14"/>
      <c r="P2957" s="14"/>
      <c r="Q2957" s="14"/>
      <c r="R2957" s="14"/>
      <c r="S2957" s="14"/>
      <c r="T2957" s="14"/>
      <c r="U2957" s="14"/>
      <c r="V2957" s="14"/>
      <c r="W2957" s="14"/>
      <c r="X2957" s="14"/>
      <c r="Y2957" s="14"/>
    </row>
    <row r="2958" spans="1:25" ht="15.75" x14ac:dyDescent="0.25">
      <c r="A2958" s="21"/>
      <c r="B2958" s="21"/>
      <c r="C2958" s="21"/>
      <c r="E2958" s="21"/>
      <c r="F2958" s="21"/>
      <c r="G2958" s="14"/>
      <c r="H2958" s="14"/>
      <c r="I2958" s="14"/>
      <c r="J2958" s="14"/>
      <c r="K2958" s="14"/>
      <c r="L2958" s="14"/>
      <c r="M2958" s="14"/>
      <c r="N2958" s="14"/>
      <c r="O2958" s="14"/>
      <c r="P2958" s="14"/>
      <c r="Q2958" s="14"/>
      <c r="R2958" s="14"/>
      <c r="S2958" s="14"/>
      <c r="T2958" s="14"/>
      <c r="U2958" s="14"/>
      <c r="V2958" s="14"/>
      <c r="W2958" s="14"/>
      <c r="X2958" s="14"/>
      <c r="Y2958" s="14"/>
    </row>
    <row r="2959" spans="1:25" ht="15.75" x14ac:dyDescent="0.25">
      <c r="A2959" s="21"/>
      <c r="B2959" s="21"/>
      <c r="C2959" s="21"/>
      <c r="E2959" s="21"/>
      <c r="F2959" s="21"/>
      <c r="G2959" s="14"/>
      <c r="H2959" s="14"/>
      <c r="I2959" s="14"/>
      <c r="J2959" s="14"/>
      <c r="K2959" s="14"/>
      <c r="L2959" s="14"/>
      <c r="M2959" s="14"/>
      <c r="N2959" s="14"/>
      <c r="O2959" s="14"/>
      <c r="P2959" s="14"/>
      <c r="Q2959" s="14"/>
      <c r="R2959" s="14"/>
      <c r="S2959" s="14"/>
      <c r="T2959" s="14"/>
      <c r="U2959" s="14"/>
      <c r="V2959" s="14"/>
      <c r="W2959" s="14"/>
      <c r="X2959" s="14"/>
      <c r="Y2959" s="14"/>
    </row>
    <row r="2960" spans="1:25" ht="15.75" x14ac:dyDescent="0.25">
      <c r="A2960" s="21"/>
      <c r="B2960" s="21"/>
      <c r="C2960" s="21"/>
      <c r="E2960" s="21"/>
      <c r="F2960" s="21"/>
      <c r="G2960" s="14"/>
      <c r="H2960" s="14"/>
      <c r="I2960" s="14"/>
      <c r="J2960" s="14"/>
      <c r="K2960" s="14"/>
      <c r="L2960" s="14"/>
      <c r="M2960" s="14"/>
      <c r="N2960" s="14"/>
      <c r="O2960" s="14"/>
      <c r="P2960" s="14"/>
      <c r="Q2960" s="14"/>
      <c r="R2960" s="14"/>
      <c r="S2960" s="14"/>
      <c r="T2960" s="14"/>
      <c r="U2960" s="14"/>
      <c r="V2960" s="14"/>
      <c r="W2960" s="14"/>
      <c r="X2960" s="14"/>
      <c r="Y2960" s="14"/>
    </row>
    <row r="2961" spans="1:25" ht="15.75" x14ac:dyDescent="0.25">
      <c r="A2961" s="21"/>
      <c r="B2961" s="21"/>
      <c r="C2961" s="21"/>
      <c r="E2961" s="21"/>
      <c r="F2961" s="21"/>
      <c r="G2961" s="14"/>
      <c r="H2961" s="14"/>
      <c r="I2961" s="14"/>
      <c r="J2961" s="14"/>
      <c r="K2961" s="14"/>
      <c r="L2961" s="14"/>
      <c r="M2961" s="14"/>
      <c r="N2961" s="14"/>
      <c r="O2961" s="14"/>
      <c r="P2961" s="14"/>
      <c r="Q2961" s="14"/>
      <c r="R2961" s="14"/>
      <c r="S2961" s="14"/>
      <c r="T2961" s="14"/>
      <c r="U2961" s="14"/>
      <c r="V2961" s="14"/>
      <c r="W2961" s="14"/>
      <c r="X2961" s="14"/>
      <c r="Y2961" s="14"/>
    </row>
    <row r="2962" spans="1:25" ht="15.75" x14ac:dyDescent="0.25">
      <c r="A2962" s="21"/>
      <c r="B2962" s="21"/>
      <c r="C2962" s="21"/>
      <c r="E2962" s="21"/>
      <c r="F2962" s="21"/>
      <c r="G2962" s="14"/>
      <c r="H2962" s="14"/>
      <c r="I2962" s="14"/>
      <c r="J2962" s="14"/>
      <c r="K2962" s="14"/>
      <c r="L2962" s="14"/>
      <c r="M2962" s="14"/>
      <c r="N2962" s="14"/>
      <c r="O2962" s="14"/>
      <c r="P2962" s="14"/>
      <c r="Q2962" s="14"/>
      <c r="R2962" s="14"/>
      <c r="S2962" s="14"/>
      <c r="T2962" s="14"/>
      <c r="U2962" s="14"/>
      <c r="V2962" s="14"/>
      <c r="W2962" s="14"/>
      <c r="X2962" s="14"/>
      <c r="Y2962" s="14"/>
    </row>
    <row r="2963" spans="1:25" ht="15.75" x14ac:dyDescent="0.25">
      <c r="A2963" s="21"/>
      <c r="B2963" s="21"/>
      <c r="C2963" s="21"/>
      <c r="E2963" s="21"/>
      <c r="F2963" s="21"/>
      <c r="G2963" s="14"/>
      <c r="H2963" s="14"/>
      <c r="I2963" s="14"/>
      <c r="J2963" s="14"/>
      <c r="K2963" s="14"/>
      <c r="L2963" s="14"/>
      <c r="M2963" s="14"/>
      <c r="N2963" s="14"/>
      <c r="O2963" s="14"/>
      <c r="P2963" s="14"/>
      <c r="Q2963" s="14"/>
      <c r="R2963" s="14"/>
      <c r="S2963" s="14"/>
      <c r="T2963" s="14"/>
      <c r="U2963" s="14"/>
      <c r="V2963" s="14"/>
      <c r="W2963" s="14"/>
      <c r="X2963" s="14"/>
      <c r="Y2963" s="14"/>
    </row>
    <row r="2964" spans="1:25" ht="15.75" x14ac:dyDescent="0.25">
      <c r="A2964" s="21"/>
      <c r="B2964" s="21"/>
      <c r="C2964" s="21"/>
      <c r="E2964" s="21"/>
      <c r="F2964" s="21"/>
      <c r="G2964" s="14"/>
      <c r="H2964" s="14"/>
      <c r="I2964" s="14"/>
      <c r="J2964" s="14"/>
      <c r="K2964" s="14"/>
      <c r="L2964" s="14"/>
      <c r="M2964" s="14"/>
      <c r="N2964" s="14"/>
      <c r="O2964" s="14"/>
      <c r="P2964" s="14"/>
      <c r="Q2964" s="14"/>
      <c r="R2964" s="14"/>
      <c r="S2964" s="14"/>
      <c r="T2964" s="14"/>
      <c r="U2964" s="14"/>
      <c r="V2964" s="14"/>
      <c r="W2964" s="14"/>
      <c r="X2964" s="14"/>
      <c r="Y2964" s="14"/>
    </row>
    <row r="2965" spans="1:25" ht="15.75" x14ac:dyDescent="0.25">
      <c r="A2965" s="21"/>
      <c r="B2965" s="21"/>
      <c r="C2965" s="21"/>
      <c r="E2965" s="21"/>
      <c r="F2965" s="21"/>
      <c r="G2965" s="14"/>
      <c r="H2965" s="14"/>
      <c r="I2965" s="14"/>
      <c r="J2965" s="14"/>
      <c r="K2965" s="14"/>
      <c r="L2965" s="14"/>
      <c r="M2965" s="14"/>
      <c r="N2965" s="14"/>
      <c r="O2965" s="14"/>
      <c r="P2965" s="14"/>
      <c r="Q2965" s="14"/>
      <c r="R2965" s="14"/>
      <c r="S2965" s="14"/>
      <c r="T2965" s="14"/>
      <c r="U2965" s="14"/>
      <c r="V2965" s="14"/>
      <c r="W2965" s="14"/>
      <c r="X2965" s="14"/>
      <c r="Y2965" s="14"/>
    </row>
    <row r="2966" spans="1:25" ht="15.75" x14ac:dyDescent="0.25">
      <c r="A2966" s="21"/>
      <c r="B2966" s="21"/>
      <c r="C2966" s="21"/>
      <c r="E2966" s="21"/>
      <c r="F2966" s="21"/>
      <c r="G2966" s="14"/>
      <c r="H2966" s="14"/>
      <c r="I2966" s="14"/>
      <c r="J2966" s="14"/>
      <c r="K2966" s="14"/>
      <c r="L2966" s="14"/>
      <c r="M2966" s="14"/>
      <c r="N2966" s="14"/>
      <c r="O2966" s="14"/>
      <c r="P2966" s="14"/>
      <c r="Q2966" s="14"/>
      <c r="R2966" s="14"/>
      <c r="S2966" s="14"/>
      <c r="T2966" s="14"/>
      <c r="U2966" s="14"/>
      <c r="V2966" s="14"/>
      <c r="W2966" s="14"/>
      <c r="X2966" s="14"/>
      <c r="Y2966" s="14"/>
    </row>
    <row r="2967" spans="1:25" ht="15.75" x14ac:dyDescent="0.25">
      <c r="A2967" s="21"/>
      <c r="B2967" s="21"/>
      <c r="C2967" s="21"/>
      <c r="E2967" s="21"/>
      <c r="F2967" s="21"/>
      <c r="G2967" s="14"/>
      <c r="H2967" s="14"/>
      <c r="I2967" s="14"/>
      <c r="J2967" s="14"/>
      <c r="K2967" s="14"/>
      <c r="L2967" s="14"/>
      <c r="M2967" s="14"/>
      <c r="N2967" s="14"/>
      <c r="O2967" s="14"/>
      <c r="P2967" s="14"/>
      <c r="Q2967" s="14"/>
      <c r="R2967" s="14"/>
      <c r="S2967" s="14"/>
      <c r="T2967" s="14"/>
      <c r="U2967" s="14"/>
      <c r="V2967" s="14"/>
      <c r="W2967" s="14"/>
      <c r="X2967" s="14"/>
      <c r="Y2967" s="14"/>
    </row>
    <row r="2968" spans="1:25" ht="15.75" x14ac:dyDescent="0.25">
      <c r="A2968" s="21"/>
      <c r="B2968" s="21"/>
      <c r="C2968" s="21"/>
      <c r="E2968" s="21"/>
      <c r="F2968" s="21"/>
      <c r="G2968" s="14"/>
      <c r="H2968" s="14"/>
      <c r="I2968" s="14"/>
      <c r="J2968" s="14"/>
      <c r="K2968" s="14"/>
      <c r="L2968" s="14"/>
      <c r="M2968" s="14"/>
      <c r="N2968" s="14"/>
      <c r="O2968" s="14"/>
      <c r="P2968" s="14"/>
      <c r="Q2968" s="14"/>
      <c r="R2968" s="14"/>
      <c r="S2968" s="14"/>
      <c r="T2968" s="14"/>
      <c r="U2968" s="14"/>
      <c r="V2968" s="14"/>
      <c r="W2968" s="14"/>
      <c r="X2968" s="14"/>
      <c r="Y2968" s="14"/>
    </row>
    <row r="2969" spans="1:25" ht="15.75" x14ac:dyDescent="0.25">
      <c r="A2969" s="21"/>
      <c r="B2969" s="21"/>
      <c r="C2969" s="21"/>
      <c r="E2969" s="21"/>
      <c r="F2969" s="21"/>
      <c r="G2969" s="14"/>
      <c r="H2969" s="14"/>
      <c r="I2969" s="14"/>
      <c r="J2969" s="14"/>
      <c r="K2969" s="14"/>
      <c r="L2969" s="14"/>
      <c r="M2969" s="14"/>
      <c r="N2969" s="14"/>
      <c r="O2969" s="14"/>
      <c r="P2969" s="14"/>
      <c r="Q2969" s="14"/>
      <c r="R2969" s="14"/>
      <c r="S2969" s="14"/>
      <c r="T2969" s="14"/>
      <c r="U2969" s="14"/>
      <c r="V2969" s="14"/>
      <c r="W2969" s="14"/>
      <c r="X2969" s="14"/>
      <c r="Y2969" s="14"/>
    </row>
    <row r="2970" spans="1:25" ht="15.75" x14ac:dyDescent="0.25">
      <c r="A2970" s="21"/>
      <c r="B2970" s="21"/>
      <c r="C2970" s="21"/>
      <c r="E2970" s="21"/>
      <c r="F2970" s="21"/>
      <c r="G2970" s="14"/>
      <c r="H2970" s="14"/>
      <c r="I2970" s="14"/>
      <c r="J2970" s="14"/>
      <c r="K2970" s="14"/>
      <c r="L2970" s="14"/>
      <c r="M2970" s="14"/>
      <c r="N2970" s="14"/>
      <c r="O2970" s="14"/>
      <c r="P2970" s="14"/>
      <c r="Q2970" s="14"/>
      <c r="R2970" s="14"/>
      <c r="S2970" s="14"/>
      <c r="T2970" s="14"/>
      <c r="U2970" s="14"/>
      <c r="V2970" s="14"/>
      <c r="W2970" s="14"/>
      <c r="X2970" s="14"/>
      <c r="Y2970" s="14"/>
    </row>
    <row r="2971" spans="1:25" ht="15.75" x14ac:dyDescent="0.25">
      <c r="A2971" s="21"/>
      <c r="B2971" s="21"/>
      <c r="C2971" s="21"/>
      <c r="E2971" s="21"/>
      <c r="F2971" s="21"/>
      <c r="G2971" s="14"/>
      <c r="H2971" s="14"/>
      <c r="I2971" s="14"/>
      <c r="J2971" s="14"/>
      <c r="K2971" s="14"/>
      <c r="L2971" s="14"/>
      <c r="M2971" s="14"/>
      <c r="N2971" s="14"/>
      <c r="O2971" s="14"/>
      <c r="P2971" s="14"/>
      <c r="Q2971" s="14"/>
      <c r="R2971" s="14"/>
      <c r="S2971" s="14"/>
      <c r="T2971" s="14"/>
      <c r="U2971" s="14"/>
      <c r="V2971" s="14"/>
      <c r="W2971" s="14"/>
      <c r="X2971" s="14"/>
      <c r="Y2971" s="14"/>
    </row>
    <row r="2972" spans="1:25" ht="15.75" x14ac:dyDescent="0.25">
      <c r="A2972" s="21"/>
      <c r="B2972" s="21"/>
      <c r="C2972" s="21"/>
      <c r="E2972" s="21"/>
      <c r="F2972" s="21"/>
      <c r="G2972" s="14"/>
      <c r="H2972" s="14"/>
      <c r="I2972" s="14"/>
      <c r="J2972" s="14"/>
      <c r="K2972" s="14"/>
      <c r="L2972" s="14"/>
      <c r="M2972" s="14"/>
      <c r="N2972" s="14"/>
      <c r="O2972" s="14"/>
      <c r="P2972" s="14"/>
      <c r="Q2972" s="14"/>
      <c r="R2972" s="14"/>
      <c r="S2972" s="14"/>
      <c r="T2972" s="14"/>
      <c r="U2972" s="14"/>
      <c r="V2972" s="14"/>
      <c r="W2972" s="14"/>
      <c r="X2972" s="14"/>
      <c r="Y2972" s="14"/>
    </row>
    <row r="2973" spans="1:25" ht="15.75" x14ac:dyDescent="0.25">
      <c r="A2973" s="21"/>
      <c r="B2973" s="21"/>
      <c r="C2973" s="21"/>
      <c r="E2973" s="21"/>
      <c r="F2973" s="21"/>
      <c r="G2973" s="14"/>
      <c r="H2973" s="14"/>
      <c r="I2973" s="14"/>
      <c r="J2973" s="14"/>
      <c r="K2973" s="14"/>
      <c r="L2973" s="14"/>
      <c r="M2973" s="14"/>
      <c r="N2973" s="14"/>
      <c r="O2973" s="14"/>
      <c r="P2973" s="14"/>
      <c r="Q2973" s="14"/>
      <c r="R2973" s="14"/>
      <c r="S2973" s="14"/>
      <c r="T2973" s="14"/>
      <c r="U2973" s="14"/>
      <c r="V2973" s="14"/>
      <c r="W2973" s="14"/>
      <c r="X2973" s="14"/>
      <c r="Y2973" s="14"/>
    </row>
    <row r="2974" spans="1:25" ht="15.75" x14ac:dyDescent="0.25">
      <c r="A2974" s="21"/>
      <c r="B2974" s="21"/>
      <c r="C2974" s="21"/>
      <c r="E2974" s="21"/>
      <c r="F2974" s="21"/>
      <c r="G2974" s="14"/>
      <c r="H2974" s="14"/>
      <c r="I2974" s="14"/>
      <c r="J2974" s="14"/>
      <c r="K2974" s="14"/>
      <c r="L2974" s="14"/>
      <c r="M2974" s="14"/>
      <c r="N2974" s="14"/>
      <c r="O2974" s="14"/>
      <c r="P2974" s="14"/>
      <c r="Q2974" s="14"/>
      <c r="R2974" s="14"/>
      <c r="S2974" s="14"/>
      <c r="T2974" s="14"/>
      <c r="U2974" s="14"/>
      <c r="V2974" s="14"/>
      <c r="W2974" s="14"/>
      <c r="X2974" s="14"/>
      <c r="Y2974" s="14"/>
    </row>
    <row r="2975" spans="1:25" ht="15.75" x14ac:dyDescent="0.25">
      <c r="A2975" s="21"/>
      <c r="B2975" s="21"/>
      <c r="C2975" s="21"/>
      <c r="E2975" s="21"/>
      <c r="F2975" s="21"/>
      <c r="G2975" s="14"/>
      <c r="H2975" s="14"/>
      <c r="I2975" s="14"/>
      <c r="J2975" s="14"/>
      <c r="K2975" s="14"/>
      <c r="L2975" s="14"/>
      <c r="M2975" s="14"/>
      <c r="N2975" s="14"/>
      <c r="O2975" s="14"/>
      <c r="P2975" s="14"/>
      <c r="Q2975" s="14"/>
      <c r="R2975" s="14"/>
      <c r="S2975" s="14"/>
      <c r="T2975" s="14"/>
      <c r="U2975" s="14"/>
      <c r="V2975" s="14"/>
      <c r="W2975" s="14"/>
      <c r="X2975" s="14"/>
      <c r="Y2975" s="14"/>
    </row>
    <row r="2976" spans="1:25" ht="15.75" x14ac:dyDescent="0.25">
      <c r="A2976" s="21"/>
      <c r="B2976" s="21"/>
      <c r="C2976" s="21"/>
      <c r="E2976" s="21"/>
      <c r="F2976" s="21"/>
      <c r="G2976" s="14"/>
      <c r="H2976" s="14"/>
      <c r="I2976" s="14"/>
      <c r="J2976" s="14"/>
      <c r="K2976" s="14"/>
      <c r="L2976" s="14"/>
      <c r="M2976" s="14"/>
      <c r="N2976" s="14"/>
      <c r="O2976" s="14"/>
      <c r="P2976" s="14"/>
      <c r="Q2976" s="14"/>
      <c r="R2976" s="14"/>
      <c r="S2976" s="14"/>
      <c r="T2976" s="14"/>
      <c r="U2976" s="14"/>
      <c r="V2976" s="14"/>
      <c r="W2976" s="14"/>
      <c r="X2976" s="14"/>
      <c r="Y2976" s="14"/>
    </row>
    <row r="2977" spans="1:25" ht="15.75" x14ac:dyDescent="0.25">
      <c r="A2977" s="21"/>
      <c r="B2977" s="21"/>
      <c r="C2977" s="21"/>
      <c r="E2977" s="21"/>
      <c r="F2977" s="21"/>
      <c r="G2977" s="14"/>
      <c r="H2977" s="14"/>
      <c r="I2977" s="14"/>
      <c r="J2977" s="14"/>
      <c r="K2977" s="14"/>
      <c r="L2977" s="14"/>
      <c r="M2977" s="14"/>
      <c r="N2977" s="14"/>
      <c r="O2977" s="14"/>
      <c r="P2977" s="14"/>
      <c r="Q2977" s="14"/>
      <c r="R2977" s="14"/>
      <c r="S2977" s="14"/>
      <c r="T2977" s="14"/>
      <c r="U2977" s="14"/>
      <c r="V2977" s="14"/>
      <c r="W2977" s="14"/>
      <c r="X2977" s="14"/>
      <c r="Y2977" s="14"/>
    </row>
    <row r="2978" spans="1:25" ht="15.75" x14ac:dyDescent="0.25">
      <c r="A2978" s="21"/>
      <c r="B2978" s="21"/>
      <c r="C2978" s="21"/>
      <c r="E2978" s="21"/>
      <c r="F2978" s="21"/>
      <c r="G2978" s="14"/>
      <c r="H2978" s="14"/>
      <c r="I2978" s="14"/>
      <c r="J2978" s="14"/>
      <c r="K2978" s="14"/>
      <c r="L2978" s="14"/>
      <c r="M2978" s="14"/>
      <c r="N2978" s="14"/>
      <c r="O2978" s="14"/>
      <c r="P2978" s="14"/>
      <c r="Q2978" s="14"/>
      <c r="R2978" s="14"/>
      <c r="S2978" s="14"/>
      <c r="T2978" s="14"/>
      <c r="U2978" s="14"/>
      <c r="V2978" s="14"/>
      <c r="W2978" s="14"/>
      <c r="X2978" s="14"/>
      <c r="Y2978" s="14"/>
    </row>
    <row r="2979" spans="1:25" ht="15.75" x14ac:dyDescent="0.25">
      <c r="A2979" s="21"/>
      <c r="B2979" s="21"/>
      <c r="C2979" s="21"/>
      <c r="E2979" s="21"/>
      <c r="F2979" s="21"/>
      <c r="G2979" s="14"/>
      <c r="H2979" s="14"/>
      <c r="I2979" s="14"/>
      <c r="J2979" s="14"/>
      <c r="K2979" s="14"/>
      <c r="L2979" s="14"/>
      <c r="M2979" s="14"/>
      <c r="N2979" s="14"/>
      <c r="O2979" s="14"/>
      <c r="P2979" s="14"/>
      <c r="Q2979" s="14"/>
      <c r="R2979" s="14"/>
      <c r="S2979" s="14"/>
      <c r="T2979" s="14"/>
      <c r="U2979" s="14"/>
      <c r="V2979" s="14"/>
      <c r="W2979" s="14"/>
      <c r="X2979" s="14"/>
      <c r="Y2979" s="14"/>
    </row>
    <row r="2980" spans="1:25" ht="15.75" x14ac:dyDescent="0.25">
      <c r="A2980" s="21"/>
      <c r="B2980" s="21"/>
      <c r="C2980" s="21"/>
      <c r="E2980" s="21"/>
      <c r="F2980" s="21"/>
      <c r="G2980" s="14"/>
      <c r="H2980" s="14"/>
      <c r="I2980" s="14"/>
      <c r="J2980" s="14"/>
      <c r="K2980" s="14"/>
      <c r="L2980" s="14"/>
      <c r="M2980" s="14"/>
      <c r="N2980" s="14"/>
      <c r="O2980" s="14"/>
      <c r="P2980" s="14"/>
      <c r="Q2980" s="14"/>
      <c r="R2980" s="14"/>
      <c r="S2980" s="14"/>
      <c r="T2980" s="14"/>
      <c r="U2980" s="14"/>
      <c r="V2980" s="14"/>
      <c r="W2980" s="14"/>
      <c r="X2980" s="14"/>
      <c r="Y2980" s="14"/>
    </row>
    <row r="2981" spans="1:25" ht="15.75" x14ac:dyDescent="0.25">
      <c r="A2981" s="21"/>
      <c r="B2981" s="21"/>
      <c r="C2981" s="21"/>
      <c r="E2981" s="21"/>
      <c r="F2981" s="21"/>
      <c r="G2981" s="14"/>
      <c r="H2981" s="14"/>
      <c r="I2981" s="14"/>
      <c r="J2981" s="14"/>
      <c r="K2981" s="14"/>
      <c r="L2981" s="14"/>
      <c r="M2981" s="14"/>
      <c r="N2981" s="14"/>
      <c r="O2981" s="14"/>
      <c r="P2981" s="14"/>
      <c r="Q2981" s="14"/>
      <c r="R2981" s="14"/>
      <c r="S2981" s="14"/>
      <c r="T2981" s="14"/>
      <c r="U2981" s="14"/>
      <c r="V2981" s="14"/>
      <c r="W2981" s="14"/>
      <c r="X2981" s="14"/>
      <c r="Y2981" s="14"/>
    </row>
    <row r="2982" spans="1:25" ht="15.75" x14ac:dyDescent="0.25">
      <c r="A2982" s="21"/>
      <c r="B2982" s="21"/>
      <c r="C2982" s="21"/>
      <c r="E2982" s="21"/>
      <c r="F2982" s="21"/>
      <c r="G2982" s="14"/>
      <c r="H2982" s="14"/>
      <c r="I2982" s="14"/>
      <c r="J2982" s="14"/>
      <c r="K2982" s="14"/>
      <c r="L2982" s="14"/>
      <c r="M2982" s="14"/>
      <c r="N2982" s="14"/>
      <c r="O2982" s="14"/>
      <c r="P2982" s="14"/>
      <c r="Q2982" s="14"/>
      <c r="R2982" s="14"/>
      <c r="S2982" s="14"/>
      <c r="T2982" s="14"/>
      <c r="U2982" s="14"/>
      <c r="V2982" s="14"/>
      <c r="W2982" s="14"/>
      <c r="X2982" s="14"/>
      <c r="Y2982" s="14"/>
    </row>
    <row r="2983" spans="1:25" ht="15.75" x14ac:dyDescent="0.25">
      <c r="A2983" s="21"/>
      <c r="B2983" s="21"/>
      <c r="C2983" s="21"/>
      <c r="E2983" s="21"/>
      <c r="F2983" s="21"/>
      <c r="G2983" s="14"/>
      <c r="H2983" s="14"/>
      <c r="I2983" s="14"/>
      <c r="J2983" s="14"/>
      <c r="K2983" s="14"/>
      <c r="L2983" s="14"/>
      <c r="M2983" s="14"/>
      <c r="N2983" s="14"/>
      <c r="O2983" s="14"/>
      <c r="P2983" s="14"/>
      <c r="Q2983" s="14"/>
      <c r="R2983" s="14"/>
      <c r="S2983" s="14"/>
      <c r="T2983" s="14"/>
      <c r="U2983" s="14"/>
      <c r="V2983" s="14"/>
      <c r="W2983" s="14"/>
      <c r="X2983" s="14"/>
      <c r="Y2983" s="14"/>
    </row>
    <row r="2984" spans="1:25" ht="15.75" x14ac:dyDescent="0.25">
      <c r="A2984" s="21"/>
      <c r="B2984" s="21"/>
      <c r="C2984" s="21"/>
      <c r="E2984" s="21"/>
      <c r="F2984" s="21"/>
      <c r="G2984" s="14"/>
      <c r="H2984" s="14"/>
      <c r="I2984" s="14"/>
      <c r="J2984" s="14"/>
      <c r="K2984" s="14"/>
      <c r="L2984" s="14"/>
      <c r="M2984" s="14"/>
      <c r="N2984" s="14"/>
      <c r="O2984" s="14"/>
      <c r="P2984" s="14"/>
      <c r="Q2984" s="14"/>
      <c r="R2984" s="14"/>
      <c r="S2984" s="14"/>
      <c r="T2984" s="14"/>
      <c r="U2984" s="14"/>
      <c r="V2984" s="14"/>
      <c r="W2984" s="14"/>
      <c r="X2984" s="14"/>
      <c r="Y2984" s="14"/>
    </row>
    <row r="2985" spans="1:25" ht="15.75" x14ac:dyDescent="0.25">
      <c r="A2985" s="21"/>
      <c r="B2985" s="21"/>
      <c r="C2985" s="21"/>
      <c r="E2985" s="21"/>
      <c r="F2985" s="21"/>
      <c r="G2985" s="14"/>
      <c r="H2985" s="14"/>
      <c r="I2985" s="14"/>
      <c r="J2985" s="14"/>
      <c r="K2985" s="14"/>
      <c r="L2985" s="14"/>
      <c r="M2985" s="14"/>
      <c r="N2985" s="14"/>
      <c r="O2985" s="14"/>
      <c r="P2985" s="14"/>
      <c r="Q2985" s="14"/>
      <c r="R2985" s="14"/>
      <c r="S2985" s="14"/>
      <c r="T2985" s="14"/>
      <c r="U2985" s="14"/>
      <c r="V2985" s="14"/>
      <c r="W2985" s="14"/>
      <c r="X2985" s="14"/>
      <c r="Y2985" s="14"/>
    </row>
    <row r="2986" spans="1:25" ht="15.75" x14ac:dyDescent="0.25">
      <c r="A2986" s="21"/>
      <c r="B2986" s="21"/>
      <c r="C2986" s="21"/>
      <c r="E2986" s="21"/>
      <c r="F2986" s="21"/>
      <c r="G2986" s="14"/>
      <c r="H2986" s="14"/>
      <c r="I2986" s="14"/>
      <c r="J2986" s="14"/>
      <c r="K2986" s="14"/>
      <c r="L2986" s="14"/>
      <c r="M2986" s="14"/>
      <c r="N2986" s="14"/>
      <c r="O2986" s="14"/>
      <c r="P2986" s="14"/>
      <c r="Q2986" s="14"/>
      <c r="R2986" s="14"/>
      <c r="S2986" s="14"/>
      <c r="T2986" s="14"/>
      <c r="U2986" s="14"/>
      <c r="V2986" s="14"/>
      <c r="W2986" s="14"/>
      <c r="X2986" s="14"/>
      <c r="Y2986" s="14"/>
    </row>
    <row r="2987" spans="1:25" ht="15.75" x14ac:dyDescent="0.25">
      <c r="A2987" s="21"/>
      <c r="B2987" s="21"/>
      <c r="C2987" s="21"/>
      <c r="E2987" s="21"/>
      <c r="F2987" s="21"/>
      <c r="G2987" s="14"/>
      <c r="H2987" s="14"/>
      <c r="I2987" s="14"/>
      <c r="J2987" s="14"/>
      <c r="K2987" s="14"/>
      <c r="L2987" s="14"/>
      <c r="M2987" s="14"/>
      <c r="N2987" s="14"/>
      <c r="O2987" s="14"/>
      <c r="P2987" s="14"/>
      <c r="Q2987" s="14"/>
      <c r="R2987" s="14"/>
      <c r="S2987" s="14"/>
      <c r="T2987" s="14"/>
      <c r="U2987" s="14"/>
      <c r="V2987" s="14"/>
      <c r="W2987" s="14"/>
      <c r="X2987" s="14"/>
      <c r="Y2987" s="14"/>
    </row>
    <row r="2988" spans="1:25" ht="15.75" x14ac:dyDescent="0.25">
      <c r="A2988" s="21"/>
      <c r="B2988" s="21"/>
      <c r="C2988" s="21"/>
      <c r="E2988" s="21"/>
      <c r="F2988" s="21"/>
      <c r="G2988" s="14"/>
      <c r="H2988" s="14"/>
      <c r="I2988" s="14"/>
      <c r="J2988" s="14"/>
      <c r="K2988" s="14"/>
      <c r="L2988" s="14"/>
      <c r="M2988" s="14"/>
      <c r="N2988" s="14"/>
      <c r="O2988" s="14"/>
      <c r="P2988" s="14"/>
      <c r="Q2988" s="14"/>
      <c r="R2988" s="14"/>
      <c r="S2988" s="14"/>
      <c r="T2988" s="14"/>
      <c r="U2988" s="14"/>
      <c r="V2988" s="14"/>
      <c r="W2988" s="14"/>
      <c r="X2988" s="14"/>
      <c r="Y2988" s="14"/>
    </row>
    <row r="2989" spans="1:25" ht="15.75" x14ac:dyDescent="0.25">
      <c r="E2989" s="21"/>
      <c r="F2989" s="21"/>
      <c r="G2989" s="14"/>
      <c r="H2989" s="14"/>
      <c r="I2989" s="14"/>
      <c r="J2989" s="14"/>
      <c r="K2989" s="14"/>
      <c r="L2989" s="14"/>
      <c r="M2989" s="14"/>
      <c r="N2989" s="14"/>
      <c r="O2989" s="14"/>
      <c r="P2989" s="14"/>
      <c r="Q2989" s="14"/>
      <c r="R2989" s="14"/>
      <c r="S2989" s="14"/>
      <c r="T2989" s="14"/>
      <c r="U2989" s="14"/>
      <c r="V2989" s="14"/>
      <c r="W2989" s="14"/>
      <c r="X2989" s="14"/>
      <c r="Y2989" s="14"/>
    </row>
    <row r="2990" spans="1:25" ht="15.75" x14ac:dyDescent="0.25">
      <c r="E2990" s="21"/>
      <c r="F2990" s="21"/>
      <c r="G2990" s="14"/>
      <c r="H2990" s="14"/>
      <c r="I2990" s="14"/>
      <c r="J2990" s="14"/>
      <c r="K2990" s="14"/>
      <c r="L2990" s="14"/>
      <c r="M2990" s="14"/>
      <c r="N2990" s="14"/>
      <c r="O2990" s="14"/>
      <c r="P2990" s="14"/>
      <c r="Q2990" s="14"/>
      <c r="R2990" s="14"/>
      <c r="S2990" s="14"/>
      <c r="T2990" s="14"/>
      <c r="U2990" s="14"/>
      <c r="V2990" s="14"/>
      <c r="W2990" s="14"/>
      <c r="X2990" s="14"/>
      <c r="Y2990" s="14"/>
    </row>
    <row r="2991" spans="1:25" ht="15.75" x14ac:dyDescent="0.25">
      <c r="E2991" s="21"/>
      <c r="F2991" s="21"/>
      <c r="G2991" s="14"/>
      <c r="H2991" s="14"/>
      <c r="I2991" s="14"/>
      <c r="J2991" s="14"/>
      <c r="K2991" s="14"/>
      <c r="L2991" s="14"/>
      <c r="M2991" s="14"/>
      <c r="N2991" s="14"/>
      <c r="O2991" s="14"/>
      <c r="P2991" s="14"/>
      <c r="Q2991" s="14"/>
      <c r="R2991" s="14"/>
      <c r="S2991" s="14"/>
      <c r="T2991" s="14"/>
      <c r="U2991" s="14"/>
      <c r="V2991" s="14"/>
      <c r="W2991" s="14"/>
      <c r="X2991" s="14"/>
      <c r="Y2991" s="14"/>
    </row>
    <row r="2992" spans="1:25" ht="15.75" x14ac:dyDescent="0.25">
      <c r="E2992" s="21"/>
      <c r="F2992" s="21"/>
      <c r="G2992" s="14"/>
      <c r="H2992" s="14"/>
      <c r="I2992" s="14"/>
      <c r="J2992" s="14"/>
      <c r="K2992" s="14"/>
      <c r="L2992" s="14"/>
      <c r="M2992" s="14"/>
      <c r="N2992" s="14"/>
      <c r="O2992" s="14"/>
      <c r="P2992" s="14"/>
      <c r="Q2992" s="14"/>
      <c r="R2992" s="14"/>
      <c r="S2992" s="14"/>
      <c r="T2992" s="14"/>
      <c r="U2992" s="14"/>
      <c r="V2992" s="14"/>
      <c r="W2992" s="14"/>
      <c r="X2992" s="14"/>
      <c r="Y2992" s="14"/>
    </row>
    <row r="2993" spans="5:25" ht="15.75" x14ac:dyDescent="0.25">
      <c r="E2993" s="21"/>
      <c r="F2993" s="21"/>
      <c r="G2993" s="14"/>
      <c r="H2993" s="14"/>
      <c r="I2993" s="14"/>
      <c r="J2993" s="14"/>
      <c r="K2993" s="14"/>
      <c r="L2993" s="14"/>
      <c r="M2993" s="14"/>
      <c r="N2993" s="14"/>
      <c r="O2993" s="14"/>
      <c r="P2993" s="14"/>
      <c r="Q2993" s="14"/>
      <c r="R2993" s="14"/>
      <c r="S2993" s="14"/>
      <c r="T2993" s="14"/>
      <c r="U2993" s="14"/>
      <c r="V2993" s="14"/>
      <c r="W2993" s="14"/>
      <c r="X2993" s="14"/>
      <c r="Y2993" s="14"/>
    </row>
  </sheetData>
  <sheetProtection password="C74B" sheet="1" objects="1" scenarios="1"/>
  <pageMargins left="0.7" right="0.7" top="0.75" bottom="0.75" header="0" footer="0"/>
  <pageSetup orientation="landscape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outlinePr summaryBelow="0" summaryRight="0"/>
  </sheetPr>
  <dimension ref="A1"/>
  <sheetViews>
    <sheetView showGridLines="0" zoomScale="130" zoomScaleNormal="130" workbookViewId="0">
      <selection activeCell="H11" sqref="H11"/>
    </sheetView>
  </sheetViews>
  <sheetFormatPr baseColWidth="10" defaultColWidth="12.625" defaultRowHeight="15" customHeight="1" x14ac:dyDescent="0.2"/>
  <sheetData>
    <row r="1" spans="1:1" x14ac:dyDescent="0.25">
      <c r="A1" s="1" t="s">
        <v>4</v>
      </c>
    </row>
  </sheetData>
  <pageMargins left="0.7" right="0.7" top="0.75" bottom="0.75" header="0" footer="0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outlinePr summaryBelow="0" summaryRight="0"/>
  </sheetPr>
  <dimension ref="A1:BB1759"/>
  <sheetViews>
    <sheetView topLeftCell="M1" workbookViewId="0">
      <selection activeCell="I5" sqref="I5"/>
    </sheetView>
  </sheetViews>
  <sheetFormatPr baseColWidth="10" defaultRowHeight="15" customHeight="1" x14ac:dyDescent="0.25"/>
  <cols>
    <col min="1" max="1" width="10.5" style="2" customWidth="1"/>
    <col min="2" max="2" width="13.375" style="2" customWidth="1"/>
    <col min="3" max="3" width="19" style="2" hidden="1" customWidth="1"/>
    <col min="4" max="4" width="19.875" style="2" hidden="1" customWidth="1"/>
    <col min="5" max="5" width="23.5" style="2" customWidth="1"/>
    <col min="6" max="6" width="0" style="2" hidden="1" customWidth="1"/>
    <col min="7" max="7" width="11" style="3"/>
    <col min="8" max="8" width="0" style="2" hidden="1" customWidth="1"/>
    <col min="9" max="9" width="42.375" style="2" customWidth="1"/>
    <col min="10" max="11" width="42.375" style="2" hidden="1" customWidth="1"/>
    <col min="12" max="12" width="16.625" style="2" customWidth="1"/>
    <col min="13" max="13" width="18.5" style="2" customWidth="1"/>
    <col min="14" max="14" width="17" style="2" customWidth="1"/>
    <col min="15" max="15" width="18.875" style="2" customWidth="1"/>
    <col min="16" max="16" width="11" style="2"/>
    <col min="17" max="17" width="17.375" style="2" hidden="1" customWidth="1"/>
    <col min="18" max="18" width="25.125" style="2" hidden="1" customWidth="1"/>
    <col min="19" max="19" width="23.25" style="2" hidden="1" customWidth="1"/>
    <col min="20" max="20" width="22" style="2" hidden="1" customWidth="1"/>
    <col min="21" max="21" width="20.125" style="2" hidden="1" customWidth="1"/>
    <col min="22" max="22" width="17.875" style="2" hidden="1" customWidth="1"/>
    <col min="23" max="23" width="16" style="2" hidden="1" customWidth="1"/>
    <col min="24" max="24" width="17.5" style="2" hidden="1" customWidth="1"/>
    <col min="25" max="25" width="15.625" style="2" hidden="1" customWidth="1"/>
    <col min="26" max="26" width="25" style="2" hidden="1" customWidth="1"/>
    <col min="27" max="27" width="38.125" style="2" hidden="1" customWidth="1"/>
    <col min="28" max="28" width="18.125" style="2" hidden="1" customWidth="1"/>
    <col min="29" max="29" width="18.5" style="2" hidden="1" customWidth="1"/>
    <col min="30" max="32" width="11" style="2"/>
    <col min="33" max="33" width="11.75" style="2" customWidth="1"/>
    <col min="34" max="34" width="12.375" style="2" customWidth="1"/>
    <col min="35" max="35" width="12" style="2" customWidth="1"/>
    <col min="36" max="36" width="14.5" style="2" customWidth="1"/>
    <col min="37" max="37" width="0" style="2" hidden="1" customWidth="1"/>
    <col min="38" max="38" width="13.125" style="2" hidden="1" customWidth="1"/>
    <col min="39" max="46" width="0" style="2" hidden="1" customWidth="1"/>
    <col min="47" max="47" width="10.5" style="2" hidden="1" customWidth="1"/>
    <col min="48" max="51" width="0" style="2" hidden="1" customWidth="1"/>
    <col min="52" max="52" width="26.75" style="2" customWidth="1"/>
    <col min="53" max="53" width="32.625" style="2" customWidth="1"/>
    <col min="54" max="16384" width="11" style="2"/>
  </cols>
  <sheetData>
    <row r="1" spans="1:54" x14ac:dyDescent="0.25">
      <c r="A1" s="2" t="s">
        <v>566</v>
      </c>
      <c r="B1" s="2" t="s">
        <v>567</v>
      </c>
      <c r="C1" s="2" t="s">
        <v>568</v>
      </c>
      <c r="D1" s="2" t="s">
        <v>569</v>
      </c>
      <c r="E1" s="2" t="s">
        <v>570</v>
      </c>
      <c r="F1" s="2" t="s">
        <v>571</v>
      </c>
      <c r="G1" s="3" t="s">
        <v>572</v>
      </c>
      <c r="H1" s="2" t="s">
        <v>573</v>
      </c>
      <c r="I1" s="2" t="s">
        <v>574</v>
      </c>
      <c r="J1" s="2" t="s">
        <v>575</v>
      </c>
      <c r="K1" s="2" t="s">
        <v>576</v>
      </c>
      <c r="L1" s="2" t="s">
        <v>577</v>
      </c>
      <c r="M1" s="2" t="s">
        <v>578</v>
      </c>
      <c r="N1" s="2" t="s">
        <v>579</v>
      </c>
      <c r="O1" s="2" t="s">
        <v>580</v>
      </c>
      <c r="P1" s="2" t="s">
        <v>581</v>
      </c>
      <c r="Q1" s="2" t="s">
        <v>582</v>
      </c>
      <c r="R1" s="2" t="s">
        <v>583</v>
      </c>
      <c r="S1" s="2" t="s">
        <v>584</v>
      </c>
      <c r="T1" s="2" t="s">
        <v>585</v>
      </c>
      <c r="U1" s="2" t="s">
        <v>586</v>
      </c>
      <c r="V1" s="2" t="s">
        <v>587</v>
      </c>
      <c r="W1" s="2" t="s">
        <v>588</v>
      </c>
      <c r="X1" s="2" t="s">
        <v>589</v>
      </c>
      <c r="Y1" s="2" t="s">
        <v>590</v>
      </c>
      <c r="Z1" s="2" t="s">
        <v>591</v>
      </c>
      <c r="AA1" s="2" t="s">
        <v>592</v>
      </c>
      <c r="AB1" s="2" t="s">
        <v>593</v>
      </c>
      <c r="AC1" s="2" t="s">
        <v>594</v>
      </c>
      <c r="AD1" s="2" t="s">
        <v>595</v>
      </c>
      <c r="AE1" s="2" t="s">
        <v>596</v>
      </c>
      <c r="AF1" s="2" t="s">
        <v>597</v>
      </c>
      <c r="AG1" s="2" t="s">
        <v>598</v>
      </c>
      <c r="AH1" s="2" t="s">
        <v>599</v>
      </c>
      <c r="AI1" s="2" t="s">
        <v>600</v>
      </c>
      <c r="AJ1" s="2" t="s">
        <v>601</v>
      </c>
      <c r="AK1" s="2" t="s">
        <v>602</v>
      </c>
      <c r="AL1" s="2" t="s">
        <v>603</v>
      </c>
      <c r="AM1" s="2" t="s">
        <v>604</v>
      </c>
      <c r="AN1" s="2" t="s">
        <v>605</v>
      </c>
      <c r="AO1" s="2" t="s">
        <v>606</v>
      </c>
      <c r="AP1" s="2" t="s">
        <v>607</v>
      </c>
      <c r="AQ1" s="2" t="s">
        <v>608</v>
      </c>
      <c r="AR1" s="2" t="s">
        <v>609</v>
      </c>
      <c r="AS1" s="2" t="s">
        <v>610</v>
      </c>
      <c r="AT1" s="2" t="s">
        <v>611</v>
      </c>
      <c r="AU1" s="2" t="s">
        <v>612</v>
      </c>
      <c r="AV1" s="2" t="s">
        <v>613</v>
      </c>
      <c r="AW1" s="2" t="s">
        <v>614</v>
      </c>
      <c r="AX1" s="2" t="s">
        <v>615</v>
      </c>
      <c r="AY1" s="2" t="s">
        <v>616</v>
      </c>
      <c r="AZ1" s="4" t="s">
        <v>617</v>
      </c>
      <c r="BA1" s="4" t="s">
        <v>618</v>
      </c>
      <c r="BB1" s="4" t="s">
        <v>10280</v>
      </c>
    </row>
    <row r="2" spans="1:54" x14ac:dyDescent="0.25">
      <c r="A2" s="2">
        <v>1</v>
      </c>
      <c r="B2" s="2">
        <v>51070</v>
      </c>
      <c r="C2" s="2" t="s">
        <v>619</v>
      </c>
      <c r="D2" s="2" t="s">
        <v>620</v>
      </c>
      <c r="E2" s="2" t="s">
        <v>621</v>
      </c>
      <c r="F2" s="2">
        <v>25022827</v>
      </c>
      <c r="G2" s="3">
        <v>35</v>
      </c>
      <c r="H2" s="2" t="s">
        <v>622</v>
      </c>
      <c r="I2" s="2" t="s">
        <v>623</v>
      </c>
      <c r="J2" s="2" t="str">
        <f>+IF(BD[[#This Row],[DEPARTAMENTO_INSS]]="MANAGUA","_01_","_02_")</f>
        <v>_01_</v>
      </c>
      <c r="K2" s="2" t="str">
        <f>+CONCATENATE(BD[[#This Row],[Columna3]],BD[[#This Row],[Columna4]],BD[[#This Row],[NOMBRE COMPLETO]])</f>
        <v>E003_01_ARLEN JOSEFA AMAYA OPORTA</v>
      </c>
      <c r="L2" s="2" t="s">
        <v>624</v>
      </c>
      <c r="M2" s="2" t="s">
        <v>625</v>
      </c>
      <c r="N2" s="2" t="s">
        <v>215</v>
      </c>
      <c r="O2" s="2" t="s">
        <v>564</v>
      </c>
      <c r="P2" s="2" t="s">
        <v>626</v>
      </c>
      <c r="Q2" s="2" t="s">
        <v>351</v>
      </c>
      <c r="R2" s="2">
        <v>32021</v>
      </c>
      <c r="S2" s="2">
        <v>32021</v>
      </c>
      <c r="T2" s="2" t="s">
        <v>627</v>
      </c>
      <c r="U2" s="2" t="s">
        <v>627</v>
      </c>
      <c r="V2" s="2" t="s">
        <v>627</v>
      </c>
      <c r="W2" s="2" t="s">
        <v>627</v>
      </c>
      <c r="X2" s="2" t="s">
        <v>628</v>
      </c>
      <c r="Y2" s="2" t="s">
        <v>629</v>
      </c>
      <c r="AA2" s="2" t="s">
        <v>630</v>
      </c>
      <c r="AB2" s="2" t="s">
        <v>631</v>
      </c>
      <c r="AC2" s="2" t="s">
        <v>632</v>
      </c>
      <c r="AK2" s="2">
        <v>2</v>
      </c>
      <c r="AL2" s="2" t="s">
        <v>633</v>
      </c>
      <c r="AM2" s="2">
        <v>0</v>
      </c>
      <c r="AN2" s="2">
        <v>0</v>
      </c>
      <c r="AO2" s="2">
        <v>1</v>
      </c>
      <c r="AP2" s="2">
        <v>0</v>
      </c>
      <c r="AQ2" s="2">
        <v>0</v>
      </c>
      <c r="AR2" s="2">
        <v>0</v>
      </c>
      <c r="AS2" s="2">
        <v>0</v>
      </c>
      <c r="AT2" s="2">
        <v>0</v>
      </c>
      <c r="BA2" s="2" t="s">
        <v>634</v>
      </c>
      <c r="BB2" s="2" t="str">
        <f>+PROPER(BD[[#This Row],[PRIMER_APELLIDO]])</f>
        <v>Amaya</v>
      </c>
    </row>
    <row r="3" spans="1:54" x14ac:dyDescent="0.25">
      <c r="A3" s="2">
        <v>2</v>
      </c>
      <c r="B3" s="2">
        <v>68629</v>
      </c>
      <c r="C3" s="2" t="s">
        <v>619</v>
      </c>
      <c r="D3" s="2" t="s">
        <v>620</v>
      </c>
      <c r="E3" s="2" t="s">
        <v>635</v>
      </c>
      <c r="G3" s="3">
        <v>35.0027397260274</v>
      </c>
      <c r="H3" s="2" t="s">
        <v>622</v>
      </c>
      <c r="I3" s="2" t="s">
        <v>636</v>
      </c>
      <c r="J3" s="2" t="str">
        <f>+IF(BD[[#This Row],[DEPARTAMENTO_INSS]]="MANAGUA","_01_","_02_")</f>
        <v>_01_</v>
      </c>
      <c r="K3" s="2" t="str">
        <f>+CONCATENATE(BD[[#This Row],[Columna3]],BD[[#This Row],[Columna4]],BD[[#This Row],[NOMBRE COMPLETO]])</f>
        <v>E003_01_KEIRY SILVIA RIZO MONTES</v>
      </c>
      <c r="L3" s="2" t="s">
        <v>637</v>
      </c>
      <c r="M3" s="2" t="s">
        <v>638</v>
      </c>
      <c r="N3" s="2" t="s">
        <v>414</v>
      </c>
      <c r="O3" s="2" t="s">
        <v>385</v>
      </c>
      <c r="P3" s="2" t="s">
        <v>626</v>
      </c>
      <c r="Q3" s="2" t="s">
        <v>351</v>
      </c>
      <c r="R3" s="2">
        <v>32020</v>
      </c>
      <c r="S3" s="2">
        <v>32020</v>
      </c>
      <c r="T3" s="2" t="s">
        <v>627</v>
      </c>
      <c r="U3" s="2" t="s">
        <v>627</v>
      </c>
      <c r="V3" s="2" t="s">
        <v>627</v>
      </c>
      <c r="W3" s="2" t="s">
        <v>627</v>
      </c>
      <c r="X3" s="2" t="s">
        <v>639</v>
      </c>
      <c r="Y3" s="2" t="s">
        <v>640</v>
      </c>
      <c r="Z3" s="2">
        <v>88542050</v>
      </c>
      <c r="AA3" s="2" t="s">
        <v>641</v>
      </c>
      <c r="AB3" s="2" t="s">
        <v>642</v>
      </c>
      <c r="AC3" s="2" t="s">
        <v>632</v>
      </c>
      <c r="AD3" s="2">
        <v>88542050</v>
      </c>
      <c r="AJ3" s="2">
        <v>88542050</v>
      </c>
      <c r="AK3" s="2">
        <v>3</v>
      </c>
      <c r="AL3" s="2" t="s">
        <v>633</v>
      </c>
      <c r="AM3" s="2">
        <v>0</v>
      </c>
      <c r="AN3" s="2">
        <v>0</v>
      </c>
      <c r="AO3" s="2">
        <v>1</v>
      </c>
      <c r="AP3" s="2">
        <v>0</v>
      </c>
      <c r="AQ3" s="2">
        <v>0</v>
      </c>
      <c r="AR3" s="2">
        <v>0</v>
      </c>
      <c r="AS3" s="2">
        <v>0</v>
      </c>
      <c r="AT3" s="2">
        <v>0</v>
      </c>
      <c r="AZ3" s="2" t="s">
        <v>643</v>
      </c>
      <c r="BA3" s="2" t="s">
        <v>644</v>
      </c>
      <c r="BB3" s="2" t="str">
        <f>+PROPER(BD[[#This Row],[PRIMER_APELLIDO]])</f>
        <v>Rizo</v>
      </c>
    </row>
    <row r="4" spans="1:54" x14ac:dyDescent="0.25">
      <c r="A4" s="2">
        <v>3</v>
      </c>
      <c r="B4" s="2">
        <v>43560</v>
      </c>
      <c r="C4" s="2" t="s">
        <v>619</v>
      </c>
      <c r="D4" s="2" t="s">
        <v>620</v>
      </c>
      <c r="E4" s="2" t="s">
        <v>645</v>
      </c>
      <c r="F4" s="2">
        <v>24235891</v>
      </c>
      <c r="G4" s="3">
        <v>35.005479452054793</v>
      </c>
      <c r="H4" s="2" t="s">
        <v>622</v>
      </c>
      <c r="I4" s="2" t="s">
        <v>646</v>
      </c>
      <c r="J4" s="2" t="str">
        <f>+IF(BD[[#This Row],[DEPARTAMENTO_INSS]]="MANAGUA","_01_","_02_")</f>
        <v>_02_</v>
      </c>
      <c r="K4" s="2" t="str">
        <f>+CONCATENATE(BD[[#This Row],[Columna3]],BD[[#This Row],[Columna4]],BD[[#This Row],[NOMBRE COMPLETO]])</f>
        <v>E003_02_GERARDO MANUEL BARRETO RUIZ</v>
      </c>
      <c r="L4" s="2" t="s">
        <v>647</v>
      </c>
      <c r="M4" s="2" t="s">
        <v>648</v>
      </c>
      <c r="N4" s="2" t="s">
        <v>95</v>
      </c>
      <c r="O4" s="2" t="s">
        <v>84</v>
      </c>
      <c r="P4" s="2" t="s">
        <v>649</v>
      </c>
      <c r="Q4" s="2" t="s">
        <v>351</v>
      </c>
      <c r="R4" s="2">
        <v>32019</v>
      </c>
      <c r="S4" s="2">
        <v>32019</v>
      </c>
      <c r="T4" s="2" t="s">
        <v>176</v>
      </c>
      <c r="U4" s="2" t="s">
        <v>176</v>
      </c>
      <c r="V4" s="2" t="s">
        <v>650</v>
      </c>
      <c r="W4" s="2" t="s">
        <v>176</v>
      </c>
      <c r="X4" s="2" t="s">
        <v>651</v>
      </c>
      <c r="Y4" s="2" t="s">
        <v>652</v>
      </c>
      <c r="AA4" s="2" t="s">
        <v>653</v>
      </c>
      <c r="AB4" s="2" t="s">
        <v>654</v>
      </c>
      <c r="AC4" s="2" t="s">
        <v>632</v>
      </c>
      <c r="AE4" s="2">
        <v>84403777</v>
      </c>
      <c r="AJ4" s="2">
        <v>84403777</v>
      </c>
      <c r="AK4" s="2">
        <v>2</v>
      </c>
      <c r="AL4" s="2" t="s">
        <v>633</v>
      </c>
      <c r="AM4" s="2">
        <v>0</v>
      </c>
      <c r="AN4" s="2">
        <v>0</v>
      </c>
      <c r="AO4" s="2">
        <v>1</v>
      </c>
      <c r="AP4" s="2">
        <v>0</v>
      </c>
      <c r="AQ4" s="2">
        <v>0</v>
      </c>
      <c r="AR4" s="2">
        <v>0</v>
      </c>
      <c r="AS4" s="2">
        <v>0</v>
      </c>
      <c r="AT4" s="2">
        <v>0</v>
      </c>
      <c r="BB4" s="2" t="str">
        <f>+PROPER(BD[[#This Row],[PRIMER_APELLIDO]])</f>
        <v>Barreto</v>
      </c>
    </row>
    <row r="5" spans="1:54" x14ac:dyDescent="0.25">
      <c r="A5" s="2">
        <v>4</v>
      </c>
      <c r="B5" s="2">
        <v>49799</v>
      </c>
      <c r="C5" s="2" t="s">
        <v>619</v>
      </c>
      <c r="D5" s="2" t="s">
        <v>620</v>
      </c>
      <c r="E5" s="2" t="s">
        <v>655</v>
      </c>
      <c r="F5" s="2">
        <v>25023789</v>
      </c>
      <c r="G5" s="3">
        <v>35.005479452054793</v>
      </c>
      <c r="H5" s="2" t="s">
        <v>622</v>
      </c>
      <c r="I5" s="2" t="s">
        <v>656</v>
      </c>
      <c r="J5" s="2" t="str">
        <f>+IF(BD[[#This Row],[DEPARTAMENTO_INSS]]="MANAGUA","_01_","_02_")</f>
        <v>_02_</v>
      </c>
      <c r="K5" s="2" t="str">
        <f>+CONCATENATE(BD[[#This Row],[Columna3]],BD[[#This Row],[Columna4]],BD[[#This Row],[NOMBRE COMPLETO]])</f>
        <v>E003_02_GILMA JEOVEYRI ORTIZ HERRERA</v>
      </c>
      <c r="L5" s="2" t="s">
        <v>657</v>
      </c>
      <c r="M5" s="2" t="s">
        <v>658</v>
      </c>
      <c r="N5" s="2" t="s">
        <v>109</v>
      </c>
      <c r="O5" s="2" t="s">
        <v>179</v>
      </c>
      <c r="P5" s="2" t="s">
        <v>626</v>
      </c>
      <c r="Q5" s="2" t="s">
        <v>351</v>
      </c>
      <c r="R5" s="2">
        <v>32019</v>
      </c>
      <c r="S5" s="2">
        <v>32019</v>
      </c>
      <c r="T5" s="2" t="s">
        <v>659</v>
      </c>
      <c r="U5" s="2" t="s">
        <v>659</v>
      </c>
      <c r="V5" s="2" t="s">
        <v>660</v>
      </c>
      <c r="W5" s="2" t="s">
        <v>661</v>
      </c>
      <c r="X5" s="2" t="s">
        <v>662</v>
      </c>
      <c r="Y5" s="2" t="s">
        <v>663</v>
      </c>
      <c r="Z5" s="2">
        <v>82209548</v>
      </c>
      <c r="AA5" s="2">
        <v>78884914</v>
      </c>
      <c r="AB5" s="2" t="s">
        <v>631</v>
      </c>
      <c r="AC5" s="2" t="s">
        <v>632</v>
      </c>
      <c r="AD5" s="2">
        <v>82209548</v>
      </c>
      <c r="AF5" s="2">
        <v>78884914</v>
      </c>
      <c r="AJ5" s="2">
        <v>82209548</v>
      </c>
      <c r="AK5" s="2">
        <v>2</v>
      </c>
      <c r="AL5" s="2" t="s">
        <v>633</v>
      </c>
      <c r="AM5" s="2">
        <v>0</v>
      </c>
      <c r="AN5" s="2">
        <v>0</v>
      </c>
      <c r="AO5" s="2">
        <v>1</v>
      </c>
      <c r="AP5" s="2">
        <v>0</v>
      </c>
      <c r="AQ5" s="2">
        <v>0</v>
      </c>
      <c r="AR5" s="2">
        <v>0</v>
      </c>
      <c r="AS5" s="2">
        <v>0</v>
      </c>
      <c r="AT5" s="2">
        <v>0</v>
      </c>
      <c r="AZ5" s="2" t="s">
        <v>664</v>
      </c>
      <c r="BB5" s="2" t="str">
        <f>+PROPER(BD[[#This Row],[PRIMER_APELLIDO]])</f>
        <v>Ortiz</v>
      </c>
    </row>
    <row r="6" spans="1:54" x14ac:dyDescent="0.25">
      <c r="A6" s="2">
        <v>5</v>
      </c>
      <c r="B6" s="2">
        <v>82075</v>
      </c>
      <c r="C6" s="2" t="s">
        <v>619</v>
      </c>
      <c r="D6" s="2" t="s">
        <v>620</v>
      </c>
      <c r="E6" s="2" t="s">
        <v>665</v>
      </c>
      <c r="G6" s="3">
        <v>35.005479452054793</v>
      </c>
      <c r="H6" s="2" t="s">
        <v>622</v>
      </c>
      <c r="I6" s="2" t="s">
        <v>666</v>
      </c>
      <c r="J6" s="2" t="str">
        <f>+IF(BD[[#This Row],[DEPARTAMENTO_INSS]]="MANAGUA","_01_","_02_")</f>
        <v>_02_</v>
      </c>
      <c r="K6" s="2" t="str">
        <f>+CONCATENATE(BD[[#This Row],[Columna3]],BD[[#This Row],[Columna4]],BD[[#This Row],[NOMBRE COMPLETO]])</f>
        <v>E003_02_ROSA LISBET MEJIA LEIVA</v>
      </c>
      <c r="L6" s="2" t="s">
        <v>667</v>
      </c>
      <c r="M6" s="2" t="s">
        <v>668</v>
      </c>
      <c r="N6" s="2" t="s">
        <v>130</v>
      </c>
      <c r="O6" s="2" t="s">
        <v>177</v>
      </c>
      <c r="P6" s="2" t="s">
        <v>626</v>
      </c>
      <c r="Q6" s="2" t="s">
        <v>351</v>
      </c>
      <c r="R6" s="2">
        <v>32019</v>
      </c>
      <c r="T6" s="2" t="s">
        <v>669</v>
      </c>
      <c r="V6" s="2" t="s">
        <v>670</v>
      </c>
      <c r="X6" s="2" t="s">
        <v>671</v>
      </c>
      <c r="Z6" s="2">
        <v>86038920</v>
      </c>
      <c r="AB6" s="2" t="s">
        <v>654</v>
      </c>
      <c r="AC6" s="2" t="s">
        <v>632</v>
      </c>
      <c r="AD6" s="2">
        <v>86038920</v>
      </c>
      <c r="AJ6" s="2">
        <v>86038920</v>
      </c>
      <c r="AK6" s="2">
        <v>1</v>
      </c>
      <c r="AL6" s="2" t="s">
        <v>633</v>
      </c>
      <c r="AM6" s="2">
        <v>0</v>
      </c>
      <c r="AN6" s="2">
        <v>0</v>
      </c>
      <c r="AO6" s="2">
        <v>1</v>
      </c>
      <c r="AP6" s="2">
        <v>0</v>
      </c>
      <c r="AQ6" s="2">
        <v>0</v>
      </c>
      <c r="AR6" s="2">
        <v>0</v>
      </c>
      <c r="AS6" s="2">
        <v>0</v>
      </c>
      <c r="AT6" s="2">
        <v>0</v>
      </c>
      <c r="AZ6" s="2" t="s">
        <v>672</v>
      </c>
      <c r="BB6" s="2" t="str">
        <f>+PROPER(BD[[#This Row],[PRIMER_APELLIDO]])</f>
        <v>Mejia</v>
      </c>
    </row>
    <row r="7" spans="1:54" x14ac:dyDescent="0.25">
      <c r="A7" s="2">
        <v>6</v>
      </c>
      <c r="B7" s="2">
        <v>43171</v>
      </c>
      <c r="C7" s="2" t="s">
        <v>619</v>
      </c>
      <c r="D7" s="2" t="s">
        <v>620</v>
      </c>
      <c r="E7" s="2" t="s">
        <v>673</v>
      </c>
      <c r="F7" s="2">
        <v>24233112</v>
      </c>
      <c r="G7" s="3">
        <v>35.010958904109586</v>
      </c>
      <c r="H7" s="2" t="s">
        <v>622</v>
      </c>
      <c r="I7" s="2" t="s">
        <v>674</v>
      </c>
      <c r="J7" s="2" t="str">
        <f>+IF(BD[[#This Row],[DEPARTAMENTO_INSS]]="MANAGUA","_01_","_02_")</f>
        <v>_01_</v>
      </c>
      <c r="K7" s="2" t="str">
        <f>+CONCATENATE(BD[[#This Row],[Columna3]],BD[[#This Row],[Columna4]],BD[[#This Row],[NOMBRE COMPLETO]])</f>
        <v>E003_01_ERIKA LUCIA ARROLIGA OLIVERO</v>
      </c>
      <c r="L7" s="2" t="s">
        <v>675</v>
      </c>
      <c r="M7" s="2" t="s">
        <v>676</v>
      </c>
      <c r="N7" s="2" t="s">
        <v>87</v>
      </c>
      <c r="O7" s="2" t="s">
        <v>677</v>
      </c>
      <c r="P7" s="2" t="s">
        <v>626</v>
      </c>
      <c r="Q7" s="2" t="s">
        <v>351</v>
      </c>
      <c r="R7" s="2">
        <v>32017</v>
      </c>
      <c r="S7" s="2">
        <v>32017</v>
      </c>
      <c r="T7" s="2" t="s">
        <v>627</v>
      </c>
      <c r="U7" s="2" t="s">
        <v>627</v>
      </c>
      <c r="V7" s="2" t="s">
        <v>627</v>
      </c>
      <c r="W7" s="2" t="s">
        <v>627</v>
      </c>
      <c r="X7" s="2" t="s">
        <v>678</v>
      </c>
      <c r="Y7" s="2" t="s">
        <v>679</v>
      </c>
      <c r="AA7" s="2">
        <v>22890043</v>
      </c>
      <c r="AB7" s="2" t="s">
        <v>642</v>
      </c>
      <c r="AC7" s="2" t="s">
        <v>632</v>
      </c>
      <c r="AK7" s="2">
        <v>1</v>
      </c>
      <c r="AL7" s="2" t="s">
        <v>633</v>
      </c>
      <c r="AM7" s="2">
        <v>0</v>
      </c>
      <c r="AN7" s="2">
        <v>0</v>
      </c>
      <c r="AO7" s="2">
        <v>1</v>
      </c>
      <c r="AP7" s="2">
        <v>0</v>
      </c>
      <c r="AQ7" s="2">
        <v>0</v>
      </c>
      <c r="AR7" s="2">
        <v>0</v>
      </c>
      <c r="AS7" s="2">
        <v>0</v>
      </c>
      <c r="AT7" s="2">
        <v>0</v>
      </c>
      <c r="BB7" s="2" t="str">
        <f>+PROPER(BD[[#This Row],[PRIMER_APELLIDO]])</f>
        <v>Arroliga</v>
      </c>
    </row>
    <row r="8" spans="1:54" x14ac:dyDescent="0.25">
      <c r="A8" s="2">
        <v>7</v>
      </c>
      <c r="B8" s="2">
        <v>48196</v>
      </c>
      <c r="C8" s="2" t="s">
        <v>619</v>
      </c>
      <c r="D8" s="2" t="s">
        <v>620</v>
      </c>
      <c r="E8" s="2" t="s">
        <v>680</v>
      </c>
      <c r="F8" s="2">
        <v>25024049</v>
      </c>
      <c r="G8" s="3">
        <v>35.010958904109586</v>
      </c>
      <c r="H8" s="2" t="s">
        <v>622</v>
      </c>
      <c r="I8" s="2" t="s">
        <v>681</v>
      </c>
      <c r="J8" s="2" t="str">
        <f>+IF(BD[[#This Row],[DEPARTAMENTO_INSS]]="MANAGUA","_01_","_02_")</f>
        <v>_01_</v>
      </c>
      <c r="K8" s="2" t="str">
        <f>+CONCATENATE(BD[[#This Row],[Columna3]],BD[[#This Row],[Columna4]],BD[[#This Row],[NOMBRE COMPLETO]])</f>
        <v>E003_01_XOCHILTH DE LOS ANGELES JEREZ RAMIREZ</v>
      </c>
      <c r="L8" s="2" t="s">
        <v>682</v>
      </c>
      <c r="M8" s="2" t="s">
        <v>683</v>
      </c>
      <c r="N8" s="2" t="s">
        <v>364</v>
      </c>
      <c r="O8" s="2" t="s">
        <v>38</v>
      </c>
      <c r="P8" s="2" t="s">
        <v>626</v>
      </c>
      <c r="Q8" s="2" t="s">
        <v>351</v>
      </c>
      <c r="R8" s="2">
        <v>32017</v>
      </c>
      <c r="S8" s="2">
        <v>32017</v>
      </c>
      <c r="T8" s="2" t="s">
        <v>627</v>
      </c>
      <c r="U8" s="2" t="s">
        <v>627</v>
      </c>
      <c r="V8" s="2" t="s">
        <v>627</v>
      </c>
      <c r="W8" s="2" t="s">
        <v>627</v>
      </c>
      <c r="X8" s="2" t="s">
        <v>684</v>
      </c>
      <c r="Y8" s="2" t="s">
        <v>685</v>
      </c>
      <c r="Z8" s="2">
        <v>86317583</v>
      </c>
      <c r="AA8" s="2">
        <v>86317583</v>
      </c>
      <c r="AB8" s="2" t="s">
        <v>631</v>
      </c>
      <c r="AC8" s="2" t="s">
        <v>632</v>
      </c>
      <c r="AD8" s="2">
        <v>86317583</v>
      </c>
      <c r="AJ8" s="2">
        <v>86317583</v>
      </c>
      <c r="AK8" s="2">
        <v>2</v>
      </c>
      <c r="AL8" s="2" t="s">
        <v>633</v>
      </c>
      <c r="AM8" s="2">
        <v>0</v>
      </c>
      <c r="AN8" s="2">
        <v>0</v>
      </c>
      <c r="AO8" s="2">
        <v>1</v>
      </c>
      <c r="AP8" s="2">
        <v>0</v>
      </c>
      <c r="AQ8" s="2">
        <v>0</v>
      </c>
      <c r="AR8" s="2">
        <v>0</v>
      </c>
      <c r="AS8" s="2">
        <v>0</v>
      </c>
      <c r="AT8" s="2">
        <v>0</v>
      </c>
      <c r="AZ8" s="2" t="s">
        <v>686</v>
      </c>
      <c r="BB8" s="2" t="str">
        <f>+PROPER(BD[[#This Row],[PRIMER_APELLIDO]])</f>
        <v>Jerez</v>
      </c>
    </row>
    <row r="9" spans="1:54" x14ac:dyDescent="0.25">
      <c r="A9" s="2">
        <v>8</v>
      </c>
      <c r="B9" s="2">
        <v>47907</v>
      </c>
      <c r="C9" s="2" t="s">
        <v>619</v>
      </c>
      <c r="D9" s="2" t="s">
        <v>620</v>
      </c>
      <c r="E9" s="2" t="s">
        <v>687</v>
      </c>
      <c r="F9" s="2">
        <v>25026036</v>
      </c>
      <c r="G9" s="3">
        <v>35.016438356164386</v>
      </c>
      <c r="H9" s="2" t="s">
        <v>622</v>
      </c>
      <c r="I9" s="2" t="s">
        <v>688</v>
      </c>
      <c r="J9" s="2" t="str">
        <f>+IF(BD[[#This Row],[DEPARTAMENTO_INSS]]="MANAGUA","_01_","_02_")</f>
        <v>_02_</v>
      </c>
      <c r="K9" s="2" t="str">
        <f>+CONCATENATE(BD[[#This Row],[Columna3]],BD[[#This Row],[Columna4]],BD[[#This Row],[NOMBRE COMPLETO]])</f>
        <v>E003_02_MARELYN IVONE MAYORGA HERNANDEZ</v>
      </c>
      <c r="L9" s="2" t="s">
        <v>689</v>
      </c>
      <c r="M9" s="2" t="s">
        <v>690</v>
      </c>
      <c r="N9" s="2" t="s">
        <v>53</v>
      </c>
      <c r="O9" s="2" t="s">
        <v>11</v>
      </c>
      <c r="P9" s="2" t="s">
        <v>626</v>
      </c>
      <c r="Q9" s="2" t="s">
        <v>351</v>
      </c>
      <c r="R9" s="2">
        <v>32015</v>
      </c>
      <c r="S9" s="2">
        <v>32015</v>
      </c>
      <c r="T9" s="2" t="s">
        <v>627</v>
      </c>
      <c r="U9" s="2" t="s">
        <v>691</v>
      </c>
      <c r="V9" s="2" t="s">
        <v>692</v>
      </c>
      <c r="W9" s="2" t="s">
        <v>691</v>
      </c>
      <c r="X9" s="2" t="s">
        <v>693</v>
      </c>
      <c r="Y9" s="2" t="s">
        <v>694</v>
      </c>
      <c r="AA9" s="2">
        <v>22601589</v>
      </c>
      <c r="AB9" s="2" t="s">
        <v>631</v>
      </c>
      <c r="AC9" s="2" t="s">
        <v>632</v>
      </c>
      <c r="AK9" s="2">
        <v>1</v>
      </c>
      <c r="AL9" s="2" t="s">
        <v>633</v>
      </c>
      <c r="AM9" s="2">
        <v>0</v>
      </c>
      <c r="AN9" s="2">
        <v>0</v>
      </c>
      <c r="AO9" s="2">
        <v>1</v>
      </c>
      <c r="AP9" s="2">
        <v>0</v>
      </c>
      <c r="AQ9" s="2">
        <v>0</v>
      </c>
      <c r="AR9" s="2">
        <v>0</v>
      </c>
      <c r="AS9" s="2">
        <v>0</v>
      </c>
      <c r="AT9" s="2">
        <v>0</v>
      </c>
      <c r="BB9" s="2" t="str">
        <f>+PROPER(BD[[#This Row],[PRIMER_APELLIDO]])</f>
        <v>Mayorga</v>
      </c>
    </row>
    <row r="10" spans="1:54" x14ac:dyDescent="0.25">
      <c r="A10" s="2">
        <v>9</v>
      </c>
      <c r="B10" s="2">
        <v>51613</v>
      </c>
      <c r="C10" s="2" t="s">
        <v>619</v>
      </c>
      <c r="D10" s="2" t="s">
        <v>620</v>
      </c>
      <c r="E10" s="2" t="s">
        <v>695</v>
      </c>
      <c r="F10" s="2">
        <v>25260531</v>
      </c>
      <c r="G10" s="3">
        <v>35.016438356164386</v>
      </c>
      <c r="H10" s="2" t="s">
        <v>622</v>
      </c>
      <c r="I10" s="2" t="s">
        <v>696</v>
      </c>
      <c r="J10" s="2" t="str">
        <f>+IF(BD[[#This Row],[DEPARTAMENTO_INSS]]="MANAGUA","_01_","_02_")</f>
        <v>_02_</v>
      </c>
      <c r="K10" s="2" t="str">
        <f>+CONCATENATE(BD[[#This Row],[Columna3]],BD[[#This Row],[Columna4]],BD[[#This Row],[NOMBRE COMPLETO]])</f>
        <v>E003_02_JUSTO OSWALDO GONZALEZ DUARTE</v>
      </c>
      <c r="L10" s="2" t="s">
        <v>697</v>
      </c>
      <c r="M10" s="2" t="s">
        <v>698</v>
      </c>
      <c r="N10" s="2" t="s">
        <v>14</v>
      </c>
      <c r="O10" s="2" t="s">
        <v>117</v>
      </c>
      <c r="P10" s="2" t="s">
        <v>649</v>
      </c>
      <c r="Q10" s="2" t="s">
        <v>351</v>
      </c>
      <c r="R10" s="2">
        <v>32015</v>
      </c>
      <c r="S10" s="2">
        <v>32015</v>
      </c>
      <c r="T10" s="2" t="s">
        <v>186</v>
      </c>
      <c r="U10" s="2" t="s">
        <v>176</v>
      </c>
      <c r="V10" s="2" t="s">
        <v>186</v>
      </c>
      <c r="W10" s="2" t="s">
        <v>176</v>
      </c>
      <c r="X10" s="2" t="s">
        <v>699</v>
      </c>
      <c r="Y10" s="2" t="s">
        <v>700</v>
      </c>
      <c r="AA10" s="2">
        <v>57431718</v>
      </c>
      <c r="AB10" s="2" t="s">
        <v>654</v>
      </c>
      <c r="AC10" s="2" t="s">
        <v>632</v>
      </c>
      <c r="AD10" s="2">
        <v>57431718</v>
      </c>
      <c r="AJ10" s="2">
        <v>57431718</v>
      </c>
      <c r="AK10" s="2">
        <v>1</v>
      </c>
      <c r="AL10" s="2" t="s">
        <v>633</v>
      </c>
      <c r="AM10" s="2">
        <v>0</v>
      </c>
      <c r="AN10" s="2">
        <v>0</v>
      </c>
      <c r="AO10" s="2">
        <v>1</v>
      </c>
      <c r="AP10" s="2">
        <v>0</v>
      </c>
      <c r="AQ10" s="2">
        <v>0</v>
      </c>
      <c r="AR10" s="2">
        <v>0</v>
      </c>
      <c r="AS10" s="2">
        <v>0</v>
      </c>
      <c r="AT10" s="2">
        <v>0</v>
      </c>
      <c r="BB10" s="2" t="str">
        <f>+PROPER(BD[[#This Row],[PRIMER_APELLIDO]])</f>
        <v>Gonzalez</v>
      </c>
    </row>
    <row r="11" spans="1:54" x14ac:dyDescent="0.25">
      <c r="A11" s="2">
        <v>10</v>
      </c>
      <c r="B11" s="2">
        <v>60206</v>
      </c>
      <c r="C11" s="2" t="s">
        <v>619</v>
      </c>
      <c r="D11" s="2" t="s">
        <v>620</v>
      </c>
      <c r="E11" s="2" t="s">
        <v>701</v>
      </c>
      <c r="G11" s="3">
        <v>35.016438356164386</v>
      </c>
      <c r="H11" s="2" t="s">
        <v>622</v>
      </c>
      <c r="I11" s="2" t="s">
        <v>702</v>
      </c>
      <c r="J11" s="2" t="str">
        <f>+IF(BD[[#This Row],[DEPARTAMENTO_INSS]]="MANAGUA","_01_","_02_")</f>
        <v>_02_</v>
      </c>
      <c r="K11" s="2" t="str">
        <f>+CONCATENATE(BD[[#This Row],[Columna3]],BD[[#This Row],[Columna4]],BD[[#This Row],[NOMBRE COMPLETO]])</f>
        <v>E003_02_DINA ESTHER BALDIZON URRUTIA</v>
      </c>
      <c r="L11" s="2" t="s">
        <v>703</v>
      </c>
      <c r="M11" s="2" t="s">
        <v>704</v>
      </c>
      <c r="N11" s="2" t="s">
        <v>120</v>
      </c>
      <c r="O11" s="2" t="s">
        <v>563</v>
      </c>
      <c r="P11" s="2" t="s">
        <v>626</v>
      </c>
      <c r="Q11" s="2" t="s">
        <v>351</v>
      </c>
      <c r="R11" s="2">
        <v>32015</v>
      </c>
      <c r="S11" s="2">
        <v>32015</v>
      </c>
      <c r="T11" s="2" t="s">
        <v>705</v>
      </c>
      <c r="U11" s="2" t="s">
        <v>705</v>
      </c>
      <c r="V11" s="2" t="s">
        <v>705</v>
      </c>
      <c r="W11" s="2" t="s">
        <v>705</v>
      </c>
      <c r="X11" s="2" t="s">
        <v>706</v>
      </c>
      <c r="Y11" s="2" t="s">
        <v>707</v>
      </c>
      <c r="Z11" s="2" t="s">
        <v>708</v>
      </c>
      <c r="AA11" s="2" t="s">
        <v>709</v>
      </c>
      <c r="AB11" s="2" t="s">
        <v>654</v>
      </c>
      <c r="AC11" s="2" t="s">
        <v>632</v>
      </c>
      <c r="AE11" s="2">
        <v>75113262</v>
      </c>
      <c r="AJ11" s="2">
        <v>75113262</v>
      </c>
      <c r="AK11" s="2">
        <v>4</v>
      </c>
      <c r="AL11" s="2" t="s">
        <v>633</v>
      </c>
      <c r="AM11" s="2">
        <v>0</v>
      </c>
      <c r="AN11" s="2">
        <v>0</v>
      </c>
      <c r="AO11" s="2">
        <v>1</v>
      </c>
      <c r="AP11" s="2">
        <v>0</v>
      </c>
      <c r="AQ11" s="2">
        <v>0</v>
      </c>
      <c r="AR11" s="2">
        <v>0</v>
      </c>
      <c r="AS11" s="2">
        <v>0</v>
      </c>
      <c r="AT11" s="2">
        <v>0</v>
      </c>
      <c r="AZ11" s="2" t="s">
        <v>710</v>
      </c>
      <c r="BB11" s="2" t="str">
        <f>+PROPER(BD[[#This Row],[PRIMER_APELLIDO]])</f>
        <v>Baldizon</v>
      </c>
    </row>
    <row r="12" spans="1:54" x14ac:dyDescent="0.25">
      <c r="A12" s="2">
        <v>11</v>
      </c>
      <c r="B12" s="2">
        <v>41934</v>
      </c>
      <c r="C12" s="2" t="s">
        <v>619</v>
      </c>
      <c r="D12" s="2" t="s">
        <v>620</v>
      </c>
      <c r="E12" s="2" t="s">
        <v>711</v>
      </c>
      <c r="F12" s="2">
        <v>24986252</v>
      </c>
      <c r="G12" s="3">
        <v>35.021917808219179</v>
      </c>
      <c r="H12" s="2" t="s">
        <v>622</v>
      </c>
      <c r="I12" s="2" t="s">
        <v>712</v>
      </c>
      <c r="J12" s="2" t="str">
        <f>+IF(BD[[#This Row],[DEPARTAMENTO_INSS]]="MANAGUA","_01_","_02_")</f>
        <v>_02_</v>
      </c>
      <c r="K12" s="2" t="str">
        <f>+CONCATENATE(BD[[#This Row],[Columna3]],BD[[#This Row],[Columna4]],BD[[#This Row],[NOMBRE COMPLETO]])</f>
        <v>E003_02_BETTY CAROLINA CHAVARRIA CASTELLANO</v>
      </c>
      <c r="L12" s="2" t="s">
        <v>713</v>
      </c>
      <c r="M12" s="2" t="s">
        <v>714</v>
      </c>
      <c r="N12" s="2" t="s">
        <v>98</v>
      </c>
      <c r="O12" s="2" t="s">
        <v>715</v>
      </c>
      <c r="P12" s="2" t="s">
        <v>626</v>
      </c>
      <c r="Q12" s="2" t="s">
        <v>351</v>
      </c>
      <c r="R12" s="2">
        <v>32013</v>
      </c>
      <c r="S12" s="2">
        <v>32013</v>
      </c>
      <c r="T12" s="2" t="s">
        <v>691</v>
      </c>
      <c r="U12" s="2" t="s">
        <v>691</v>
      </c>
      <c r="V12" s="2" t="s">
        <v>716</v>
      </c>
      <c r="W12" s="2" t="s">
        <v>691</v>
      </c>
      <c r="X12" s="2" t="s">
        <v>717</v>
      </c>
      <c r="Y12" s="2" t="s">
        <v>718</v>
      </c>
      <c r="Z12" s="2">
        <v>86400774</v>
      </c>
      <c r="AA12" s="2" t="s">
        <v>719</v>
      </c>
      <c r="AB12" s="2" t="s">
        <v>631</v>
      </c>
      <c r="AC12" s="2" t="s">
        <v>632</v>
      </c>
      <c r="AD12" s="2">
        <v>86400774</v>
      </c>
      <c r="AE12" s="2">
        <v>89188144</v>
      </c>
      <c r="AJ12" s="2">
        <v>86400774</v>
      </c>
      <c r="AK12" s="2">
        <v>3</v>
      </c>
      <c r="AL12" s="2" t="s">
        <v>633</v>
      </c>
      <c r="AM12" s="2">
        <v>0</v>
      </c>
      <c r="AN12" s="2">
        <v>0</v>
      </c>
      <c r="AO12" s="2">
        <v>1</v>
      </c>
      <c r="AP12" s="2">
        <v>0</v>
      </c>
      <c r="AQ12" s="2">
        <v>0</v>
      </c>
      <c r="AR12" s="2">
        <v>0</v>
      </c>
      <c r="AS12" s="2">
        <v>0</v>
      </c>
      <c r="AT12" s="2">
        <v>0</v>
      </c>
      <c r="AZ12" s="2" t="s">
        <v>720</v>
      </c>
      <c r="BB12" s="2" t="str">
        <f>+PROPER(BD[[#This Row],[PRIMER_APELLIDO]])</f>
        <v>Chavarria</v>
      </c>
    </row>
    <row r="13" spans="1:54" x14ac:dyDescent="0.25">
      <c r="A13" s="2">
        <v>12</v>
      </c>
      <c r="B13" s="2">
        <v>45201</v>
      </c>
      <c r="C13" s="2" t="s">
        <v>619</v>
      </c>
      <c r="D13" s="2" t="s">
        <v>620</v>
      </c>
      <c r="E13" s="2" t="s">
        <v>721</v>
      </c>
      <c r="F13" s="2">
        <v>23146839</v>
      </c>
      <c r="G13" s="3">
        <v>35.024657534246572</v>
      </c>
      <c r="H13" s="2" t="s">
        <v>622</v>
      </c>
      <c r="I13" s="2" t="s">
        <v>722</v>
      </c>
      <c r="J13" s="2" t="str">
        <f>+IF(BD[[#This Row],[DEPARTAMENTO_INSS]]="MANAGUA","_01_","_02_")</f>
        <v>_02_</v>
      </c>
      <c r="K13" s="2" t="str">
        <f>+CONCATENATE(BD[[#This Row],[Columna3]],BD[[#This Row],[Columna4]],BD[[#This Row],[NOMBRE COMPLETO]])</f>
        <v>E003_02_ANIELKA MARIA NAVAS SIRIAS</v>
      </c>
      <c r="L13" s="2" t="s">
        <v>723</v>
      </c>
      <c r="M13" s="2" t="s">
        <v>724</v>
      </c>
      <c r="N13" s="2" t="s">
        <v>231</v>
      </c>
      <c r="O13" s="2" t="s">
        <v>465</v>
      </c>
      <c r="P13" s="2" t="s">
        <v>626</v>
      </c>
      <c r="Q13" s="2" t="s">
        <v>351</v>
      </c>
      <c r="R13" s="2">
        <v>32012</v>
      </c>
      <c r="S13" s="2">
        <v>32012</v>
      </c>
      <c r="T13" s="2" t="s">
        <v>705</v>
      </c>
      <c r="U13" s="2" t="s">
        <v>705</v>
      </c>
      <c r="V13" s="2" t="s">
        <v>725</v>
      </c>
      <c r="W13" s="2" t="s">
        <v>725</v>
      </c>
      <c r="X13" s="2" t="s">
        <v>726</v>
      </c>
      <c r="Y13" s="2" t="s">
        <v>727</v>
      </c>
      <c r="AA13" s="2">
        <v>88831894</v>
      </c>
      <c r="AB13" s="2" t="s">
        <v>642</v>
      </c>
      <c r="AC13" s="2" t="s">
        <v>632</v>
      </c>
      <c r="AD13" s="2">
        <v>88831894</v>
      </c>
      <c r="AJ13" s="2">
        <v>88831894</v>
      </c>
      <c r="AK13" s="2">
        <v>1</v>
      </c>
      <c r="AL13" s="2" t="s">
        <v>633</v>
      </c>
      <c r="AM13" s="2">
        <v>0</v>
      </c>
      <c r="AN13" s="2">
        <v>0</v>
      </c>
      <c r="AO13" s="2">
        <v>1</v>
      </c>
      <c r="AP13" s="2">
        <v>0</v>
      </c>
      <c r="AQ13" s="2">
        <v>0</v>
      </c>
      <c r="AR13" s="2">
        <v>0</v>
      </c>
      <c r="AS13" s="2">
        <v>0</v>
      </c>
      <c r="AT13" s="2">
        <v>0</v>
      </c>
      <c r="BA13" s="2" t="s">
        <v>728</v>
      </c>
      <c r="BB13" s="2" t="str">
        <f>+PROPER(BD[[#This Row],[PRIMER_APELLIDO]])</f>
        <v>Navas</v>
      </c>
    </row>
    <row r="14" spans="1:54" x14ac:dyDescent="0.25">
      <c r="A14" s="2">
        <v>13</v>
      </c>
      <c r="B14" s="2">
        <v>48216</v>
      </c>
      <c r="C14" s="2" t="s">
        <v>619</v>
      </c>
      <c r="D14" s="2" t="s">
        <v>620</v>
      </c>
      <c r="E14" s="2" t="s">
        <v>729</v>
      </c>
      <c r="F14" s="2">
        <v>25622528</v>
      </c>
      <c r="G14" s="3">
        <v>35.030136986301372</v>
      </c>
      <c r="H14" s="2" t="s">
        <v>622</v>
      </c>
      <c r="I14" s="2" t="s">
        <v>730</v>
      </c>
      <c r="J14" s="2" t="str">
        <f>+IF(BD[[#This Row],[DEPARTAMENTO_INSS]]="MANAGUA","_01_","_02_")</f>
        <v>_02_</v>
      </c>
      <c r="K14" s="2" t="str">
        <f>+CONCATENATE(BD[[#This Row],[Columna3]],BD[[#This Row],[Columna4]],BD[[#This Row],[NOMBRE COMPLETO]])</f>
        <v>E003_02_IVETH DE LOS ANGELES AGUILAR AGUIRRE</v>
      </c>
      <c r="L14" s="2" t="s">
        <v>731</v>
      </c>
      <c r="M14" s="2" t="s">
        <v>683</v>
      </c>
      <c r="N14" s="2" t="s">
        <v>141</v>
      </c>
      <c r="O14" s="2" t="s">
        <v>255</v>
      </c>
      <c r="P14" s="2" t="s">
        <v>626</v>
      </c>
      <c r="Q14" s="2" t="s">
        <v>351</v>
      </c>
      <c r="R14" s="2">
        <v>32010</v>
      </c>
      <c r="S14" s="2">
        <v>32010</v>
      </c>
      <c r="T14" s="2" t="s">
        <v>732</v>
      </c>
      <c r="U14" s="2" t="s">
        <v>732</v>
      </c>
      <c r="V14" s="2" t="s">
        <v>732</v>
      </c>
      <c r="W14" s="2" t="s">
        <v>732</v>
      </c>
      <c r="X14" s="2" t="s">
        <v>733</v>
      </c>
      <c r="Y14" s="2" t="s">
        <v>734</v>
      </c>
      <c r="AA14" s="2" t="s">
        <v>735</v>
      </c>
      <c r="AB14" s="2" t="s">
        <v>642</v>
      </c>
      <c r="AC14" s="2" t="s">
        <v>632</v>
      </c>
      <c r="AE14" s="2">
        <v>85286260</v>
      </c>
      <c r="AJ14" s="2">
        <v>85286260</v>
      </c>
      <c r="AK14" s="2">
        <v>2</v>
      </c>
      <c r="AL14" s="2" t="s">
        <v>633</v>
      </c>
      <c r="AM14" s="2">
        <v>0</v>
      </c>
      <c r="AN14" s="2">
        <v>0</v>
      </c>
      <c r="AO14" s="2">
        <v>1</v>
      </c>
      <c r="AP14" s="2">
        <v>0</v>
      </c>
      <c r="AQ14" s="2">
        <v>0</v>
      </c>
      <c r="AR14" s="2">
        <v>0</v>
      </c>
      <c r="AS14" s="2">
        <v>0</v>
      </c>
      <c r="AT14" s="2">
        <v>0</v>
      </c>
      <c r="BB14" s="2" t="str">
        <f>+PROPER(BD[[#This Row],[PRIMER_APELLIDO]])</f>
        <v>Aguilar</v>
      </c>
    </row>
    <row r="15" spans="1:54" x14ac:dyDescent="0.25">
      <c r="A15" s="2">
        <v>14</v>
      </c>
      <c r="B15" s="2">
        <v>71406</v>
      </c>
      <c r="C15" s="2" t="s">
        <v>619</v>
      </c>
      <c r="D15" s="2" t="s">
        <v>620</v>
      </c>
      <c r="E15" s="2" t="s">
        <v>736</v>
      </c>
      <c r="G15" s="3">
        <v>35.030136986301372</v>
      </c>
      <c r="H15" s="2" t="s">
        <v>622</v>
      </c>
      <c r="I15" s="2" t="s">
        <v>737</v>
      </c>
      <c r="J15" s="2" t="str">
        <f>+IF(BD[[#This Row],[DEPARTAMENTO_INSS]]="MANAGUA","_01_","_02_")</f>
        <v>_02_</v>
      </c>
      <c r="K15" s="2" t="str">
        <f>+CONCATENATE(BD[[#This Row],[Columna3]],BD[[#This Row],[Columna4]],BD[[#This Row],[NOMBRE COMPLETO]])</f>
        <v>E003_02_LUIS EMILIO ESTRADA CORDONERO</v>
      </c>
      <c r="L15" s="2" t="s">
        <v>738</v>
      </c>
      <c r="M15" s="2" t="s">
        <v>739</v>
      </c>
      <c r="N15" s="2" t="s">
        <v>225</v>
      </c>
      <c r="O15" s="2" t="s">
        <v>399</v>
      </c>
      <c r="P15" s="2" t="s">
        <v>649</v>
      </c>
      <c r="Q15" s="2" t="s">
        <v>351</v>
      </c>
      <c r="R15" s="2">
        <v>32010</v>
      </c>
      <c r="S15" s="2">
        <v>32010</v>
      </c>
      <c r="T15" s="2" t="s">
        <v>740</v>
      </c>
      <c r="U15" s="2" t="s">
        <v>740</v>
      </c>
      <c r="V15" s="2" t="s">
        <v>740</v>
      </c>
      <c r="W15" s="2" t="s">
        <v>740</v>
      </c>
      <c r="X15" s="2" t="s">
        <v>741</v>
      </c>
      <c r="Y15" s="2" t="s">
        <v>742</v>
      </c>
      <c r="Z15" s="2">
        <v>77315003</v>
      </c>
      <c r="AA15" s="2">
        <v>77315003</v>
      </c>
      <c r="AB15" s="2" t="s">
        <v>654</v>
      </c>
      <c r="AC15" s="2" t="s">
        <v>632</v>
      </c>
      <c r="AD15" s="2">
        <v>77315003</v>
      </c>
      <c r="AJ15" s="2">
        <v>77315003</v>
      </c>
      <c r="AK15" s="2">
        <v>2</v>
      </c>
      <c r="AL15" s="2" t="s">
        <v>633</v>
      </c>
      <c r="AM15" s="2">
        <v>0</v>
      </c>
      <c r="AN15" s="2">
        <v>0</v>
      </c>
      <c r="AO15" s="2">
        <v>1</v>
      </c>
      <c r="AP15" s="2">
        <v>0</v>
      </c>
      <c r="AQ15" s="2">
        <v>0</v>
      </c>
      <c r="AR15" s="2">
        <v>0</v>
      </c>
      <c r="AS15" s="2">
        <v>0</v>
      </c>
      <c r="AT15" s="2">
        <v>0</v>
      </c>
      <c r="AZ15" s="2" t="s">
        <v>743</v>
      </c>
      <c r="BB15" s="2" t="str">
        <f>+PROPER(BD[[#This Row],[PRIMER_APELLIDO]])</f>
        <v>Estrada</v>
      </c>
    </row>
    <row r="16" spans="1:54" x14ac:dyDescent="0.25">
      <c r="A16" s="2">
        <v>15</v>
      </c>
      <c r="B16" s="2">
        <v>39508</v>
      </c>
      <c r="C16" s="2" t="s">
        <v>619</v>
      </c>
      <c r="D16" s="2" t="s">
        <v>620</v>
      </c>
      <c r="E16" s="2" t="s">
        <v>744</v>
      </c>
      <c r="F16" s="2">
        <v>23147182</v>
      </c>
      <c r="G16" s="3">
        <v>35.032876712328765</v>
      </c>
      <c r="H16" s="2" t="s">
        <v>622</v>
      </c>
      <c r="I16" s="2" t="s">
        <v>745</v>
      </c>
      <c r="J16" s="2" t="str">
        <f>+IF(BD[[#This Row],[DEPARTAMENTO_INSS]]="MANAGUA","_01_","_02_")</f>
        <v>_02_</v>
      </c>
      <c r="K16" s="2" t="str">
        <f>+CONCATENATE(BD[[#This Row],[Columna3]],BD[[#This Row],[Columna4]],BD[[#This Row],[NOMBRE COMPLETO]])</f>
        <v>E003_02_KARLA PATRICIA DIAZ CASTILLO</v>
      </c>
      <c r="L16" s="2" t="s">
        <v>746</v>
      </c>
      <c r="M16" s="2" t="s">
        <v>747</v>
      </c>
      <c r="N16" s="2" t="s">
        <v>91</v>
      </c>
      <c r="O16" s="2" t="s">
        <v>100</v>
      </c>
      <c r="P16" s="2" t="s">
        <v>626</v>
      </c>
      <c r="Q16" s="2" t="s">
        <v>351</v>
      </c>
      <c r="R16" s="2">
        <v>32009</v>
      </c>
      <c r="S16" s="2">
        <v>32009</v>
      </c>
      <c r="T16" s="2" t="s">
        <v>176</v>
      </c>
      <c r="U16" s="2" t="s">
        <v>176</v>
      </c>
      <c r="V16" s="2" t="s">
        <v>748</v>
      </c>
      <c r="W16" s="2" t="s">
        <v>748</v>
      </c>
      <c r="X16" s="2" t="s">
        <v>749</v>
      </c>
      <c r="Y16" s="2" t="s">
        <v>750</v>
      </c>
      <c r="AA16" s="2">
        <v>82330721</v>
      </c>
      <c r="AB16" s="2" t="s">
        <v>642</v>
      </c>
      <c r="AC16" s="2" t="s">
        <v>632</v>
      </c>
      <c r="AD16" s="2">
        <v>82330721</v>
      </c>
      <c r="AJ16" s="2">
        <v>82330721</v>
      </c>
      <c r="AK16" s="2">
        <v>1</v>
      </c>
      <c r="AL16" s="2" t="s">
        <v>633</v>
      </c>
      <c r="AM16" s="2">
        <v>0</v>
      </c>
      <c r="AN16" s="2">
        <v>0</v>
      </c>
      <c r="AO16" s="2">
        <v>1</v>
      </c>
      <c r="AP16" s="2">
        <v>0</v>
      </c>
      <c r="AQ16" s="2">
        <v>0</v>
      </c>
      <c r="AR16" s="2">
        <v>0</v>
      </c>
      <c r="AS16" s="2">
        <v>0</v>
      </c>
      <c r="AT16" s="2">
        <v>0</v>
      </c>
      <c r="BA16" s="2" t="s">
        <v>751</v>
      </c>
      <c r="BB16" s="2" t="str">
        <f>+PROPER(BD[[#This Row],[PRIMER_APELLIDO]])</f>
        <v>Diaz</v>
      </c>
    </row>
    <row r="17" spans="1:54" x14ac:dyDescent="0.25">
      <c r="A17" s="2">
        <v>16</v>
      </c>
      <c r="B17" s="2">
        <v>57796</v>
      </c>
      <c r="C17" s="2" t="s">
        <v>619</v>
      </c>
      <c r="D17" s="2" t="s">
        <v>620</v>
      </c>
      <c r="E17" s="2" t="s">
        <v>752</v>
      </c>
      <c r="G17" s="3">
        <v>35.032876712328765</v>
      </c>
      <c r="H17" s="2" t="s">
        <v>622</v>
      </c>
      <c r="I17" s="2" t="s">
        <v>753</v>
      </c>
      <c r="J17" s="2" t="str">
        <f>+IF(BD[[#This Row],[DEPARTAMENTO_INSS]]="MANAGUA","_01_","_02_")</f>
        <v>_01_</v>
      </c>
      <c r="K17" s="2" t="str">
        <f>+CONCATENATE(BD[[#This Row],[Columna3]],BD[[#This Row],[Columna4]],BD[[#This Row],[NOMBRE COMPLETO]])</f>
        <v>E003_01_DARWIN ELIOVAN MELGARA ZELAYA</v>
      </c>
      <c r="L17" s="2" t="s">
        <v>754</v>
      </c>
      <c r="M17" s="2" t="s">
        <v>755</v>
      </c>
      <c r="N17" s="2" t="s">
        <v>357</v>
      </c>
      <c r="O17" s="2" t="s">
        <v>72</v>
      </c>
      <c r="P17" s="2" t="s">
        <v>649</v>
      </c>
      <c r="Q17" s="2" t="s">
        <v>351</v>
      </c>
      <c r="R17" s="2">
        <v>32009</v>
      </c>
      <c r="S17" s="2">
        <v>32009</v>
      </c>
      <c r="T17" s="2" t="s">
        <v>659</v>
      </c>
      <c r="U17" s="2" t="s">
        <v>627</v>
      </c>
      <c r="V17" s="2" t="s">
        <v>659</v>
      </c>
      <c r="W17" s="2" t="s">
        <v>627</v>
      </c>
      <c r="X17" s="2" t="s">
        <v>756</v>
      </c>
      <c r="Y17" s="2" t="s">
        <v>757</v>
      </c>
      <c r="Z17" s="2">
        <v>86128670</v>
      </c>
      <c r="AA17" s="2">
        <v>86128670</v>
      </c>
      <c r="AB17" s="2" t="s">
        <v>758</v>
      </c>
      <c r="AC17" s="2" t="s">
        <v>632</v>
      </c>
      <c r="AD17" s="2">
        <v>86128670</v>
      </c>
      <c r="AJ17" s="2">
        <v>86128670</v>
      </c>
      <c r="AK17" s="2">
        <v>2</v>
      </c>
      <c r="AL17" s="2" t="s">
        <v>633</v>
      </c>
      <c r="AM17" s="2">
        <v>0</v>
      </c>
      <c r="AN17" s="2">
        <v>0</v>
      </c>
      <c r="AO17" s="2">
        <v>1</v>
      </c>
      <c r="AP17" s="2">
        <v>0</v>
      </c>
      <c r="AQ17" s="2">
        <v>0</v>
      </c>
      <c r="AR17" s="2">
        <v>0</v>
      </c>
      <c r="AS17" s="2">
        <v>0</v>
      </c>
      <c r="AT17" s="2">
        <v>0</v>
      </c>
      <c r="BA17" s="2" t="s">
        <v>759</v>
      </c>
      <c r="BB17" s="2" t="str">
        <f>+PROPER(BD[[#This Row],[PRIMER_APELLIDO]])</f>
        <v>Melgara</v>
      </c>
    </row>
    <row r="18" spans="1:54" x14ac:dyDescent="0.25">
      <c r="A18" s="2">
        <v>17</v>
      </c>
      <c r="B18" s="2">
        <v>45833</v>
      </c>
      <c r="C18" s="2" t="s">
        <v>619</v>
      </c>
      <c r="D18" s="2" t="s">
        <v>620</v>
      </c>
      <c r="E18" s="2" t="s">
        <v>760</v>
      </c>
      <c r="F18" s="2">
        <v>30650181</v>
      </c>
      <c r="G18" s="3">
        <v>35.038356164383565</v>
      </c>
      <c r="H18" s="2" t="s">
        <v>622</v>
      </c>
      <c r="I18" s="2" t="s">
        <v>761</v>
      </c>
      <c r="J18" s="2" t="str">
        <f>+IF(BD[[#This Row],[DEPARTAMENTO_INSS]]="MANAGUA","_01_","_02_")</f>
        <v>_02_</v>
      </c>
      <c r="K18" s="2" t="str">
        <f>+CONCATENATE(BD[[#This Row],[Columna3]],BD[[#This Row],[Columna4]],BD[[#This Row],[NOMBRE COMPLETO]])</f>
        <v>E003_02_FREDMAN FIDEL SANCHEZ SANCHEZ</v>
      </c>
      <c r="L18" s="2" t="s">
        <v>762</v>
      </c>
      <c r="M18" s="2" t="s">
        <v>763</v>
      </c>
      <c r="N18" s="2" t="s">
        <v>90</v>
      </c>
      <c r="O18" s="2" t="s">
        <v>90</v>
      </c>
      <c r="P18" s="2" t="s">
        <v>649</v>
      </c>
      <c r="Q18" s="2" t="s">
        <v>351</v>
      </c>
      <c r="R18" s="2">
        <v>32007</v>
      </c>
      <c r="S18" s="2">
        <v>32007</v>
      </c>
      <c r="T18" s="2" t="s">
        <v>444</v>
      </c>
      <c r="U18" s="2" t="s">
        <v>444</v>
      </c>
      <c r="V18" s="2" t="s">
        <v>764</v>
      </c>
      <c r="W18" s="2" t="s">
        <v>764</v>
      </c>
      <c r="X18" s="2" t="s">
        <v>765</v>
      </c>
      <c r="Y18" s="2" t="s">
        <v>766</v>
      </c>
      <c r="AA18" s="2">
        <v>84338310</v>
      </c>
      <c r="AB18" s="2" t="s">
        <v>654</v>
      </c>
      <c r="AC18" s="2" t="s">
        <v>632</v>
      </c>
      <c r="AD18" s="2">
        <v>84338310</v>
      </c>
      <c r="AJ18" s="2">
        <v>84338310</v>
      </c>
      <c r="AK18" s="2">
        <v>1</v>
      </c>
      <c r="AL18" s="2" t="s">
        <v>633</v>
      </c>
      <c r="AM18" s="2">
        <v>0</v>
      </c>
      <c r="AN18" s="2">
        <v>0</v>
      </c>
      <c r="AO18" s="2">
        <v>1</v>
      </c>
      <c r="AP18" s="2">
        <v>0</v>
      </c>
      <c r="AQ18" s="2">
        <v>0</v>
      </c>
      <c r="AR18" s="2">
        <v>0</v>
      </c>
      <c r="AS18" s="2">
        <v>0</v>
      </c>
      <c r="AT18" s="2">
        <v>0</v>
      </c>
      <c r="BB18" s="2" t="str">
        <f>+PROPER(BD[[#This Row],[PRIMER_APELLIDO]])</f>
        <v>Sanchez</v>
      </c>
    </row>
    <row r="19" spans="1:54" x14ac:dyDescent="0.25">
      <c r="A19" s="2">
        <v>18</v>
      </c>
      <c r="B19" s="2">
        <v>59331</v>
      </c>
      <c r="C19" s="2" t="s">
        <v>619</v>
      </c>
      <c r="D19" s="2" t="s">
        <v>620</v>
      </c>
      <c r="E19" s="2" t="s">
        <v>767</v>
      </c>
      <c r="G19" s="3">
        <v>35.049315068493151</v>
      </c>
      <c r="H19" s="2" t="s">
        <v>622</v>
      </c>
      <c r="I19" s="2" t="s">
        <v>768</v>
      </c>
      <c r="J19" s="2" t="str">
        <f>+IF(BD[[#This Row],[DEPARTAMENTO_INSS]]="MANAGUA","_01_","_02_")</f>
        <v>_01_</v>
      </c>
      <c r="K19" s="2" t="str">
        <f>+CONCATENATE(BD[[#This Row],[Columna3]],BD[[#This Row],[Columna4]],BD[[#This Row],[NOMBRE COMPLETO]])</f>
        <v>E003_01_MERCEDES YAJAIRA SOZA SEQUEIRA</v>
      </c>
      <c r="L19" s="2" t="s">
        <v>769</v>
      </c>
      <c r="M19" s="2" t="s">
        <v>770</v>
      </c>
      <c r="N19" s="2" t="s">
        <v>211</v>
      </c>
      <c r="O19" s="2" t="s">
        <v>348</v>
      </c>
      <c r="P19" s="2" t="s">
        <v>626</v>
      </c>
      <c r="Q19" s="2" t="s">
        <v>351</v>
      </c>
      <c r="R19" s="2">
        <v>32003</v>
      </c>
      <c r="S19" s="2">
        <v>32003</v>
      </c>
      <c r="T19" s="2" t="s">
        <v>627</v>
      </c>
      <c r="U19" s="2" t="s">
        <v>627</v>
      </c>
      <c r="V19" s="2" t="s">
        <v>627</v>
      </c>
      <c r="W19" s="2" t="s">
        <v>627</v>
      </c>
      <c r="X19" s="2" t="s">
        <v>771</v>
      </c>
      <c r="Y19" s="2" t="s">
        <v>772</v>
      </c>
      <c r="Z19" s="2">
        <v>75366602</v>
      </c>
      <c r="AA19" s="2">
        <v>22666097</v>
      </c>
      <c r="AB19" s="2" t="s">
        <v>773</v>
      </c>
      <c r="AC19" s="2" t="s">
        <v>632</v>
      </c>
      <c r="AD19" s="2">
        <v>75366602</v>
      </c>
      <c r="AJ19" s="2">
        <v>75366602</v>
      </c>
      <c r="AK19" s="2">
        <v>2</v>
      </c>
      <c r="AL19" s="2" t="s">
        <v>633</v>
      </c>
      <c r="AM19" s="2">
        <v>0</v>
      </c>
      <c r="AN19" s="2">
        <v>0</v>
      </c>
      <c r="AO19" s="2">
        <v>1</v>
      </c>
      <c r="AP19" s="2">
        <v>0</v>
      </c>
      <c r="AQ19" s="2">
        <v>0</v>
      </c>
      <c r="AR19" s="2">
        <v>0</v>
      </c>
      <c r="AS19" s="2">
        <v>0</v>
      </c>
      <c r="AT19" s="2">
        <v>0</v>
      </c>
      <c r="AZ19" s="2" t="s">
        <v>774</v>
      </c>
      <c r="BB19" s="2" t="str">
        <f>+PROPER(BD[[#This Row],[PRIMER_APELLIDO]])</f>
        <v>Soza</v>
      </c>
    </row>
    <row r="20" spans="1:54" x14ac:dyDescent="0.25">
      <c r="A20" s="2">
        <v>19</v>
      </c>
      <c r="B20" s="2">
        <v>51050</v>
      </c>
      <c r="C20" s="2" t="s">
        <v>619</v>
      </c>
      <c r="D20" s="2" t="s">
        <v>620</v>
      </c>
      <c r="E20" s="2" t="s">
        <v>775</v>
      </c>
      <c r="F20" s="2">
        <v>32401875</v>
      </c>
      <c r="G20" s="3">
        <v>35.057534246575344</v>
      </c>
      <c r="H20" s="2" t="s">
        <v>622</v>
      </c>
      <c r="I20" s="2" t="s">
        <v>776</v>
      </c>
      <c r="J20" s="2" t="str">
        <f>+IF(BD[[#This Row],[DEPARTAMENTO_INSS]]="MANAGUA","_01_","_02_")</f>
        <v>_02_</v>
      </c>
      <c r="K20" s="2" t="str">
        <f>+CONCATENATE(BD[[#This Row],[Columna3]],BD[[#This Row],[Columna4]],BD[[#This Row],[NOMBRE COMPLETO]])</f>
        <v>E003_02_JAZZIE LEYSIE BROWN TATHUM</v>
      </c>
      <c r="L20" s="2" t="s">
        <v>777</v>
      </c>
      <c r="M20" s="2" t="s">
        <v>778</v>
      </c>
      <c r="N20" s="2" t="s">
        <v>288</v>
      </c>
      <c r="O20" s="2" t="s">
        <v>779</v>
      </c>
      <c r="P20" s="2" t="s">
        <v>626</v>
      </c>
      <c r="Q20" s="2" t="s">
        <v>351</v>
      </c>
      <c r="R20" s="2">
        <v>32000</v>
      </c>
      <c r="S20" s="2">
        <v>32000</v>
      </c>
      <c r="T20" s="2" t="s">
        <v>780</v>
      </c>
      <c r="U20" s="2" t="s">
        <v>780</v>
      </c>
      <c r="V20" s="2" t="s">
        <v>781</v>
      </c>
      <c r="W20" s="2" t="s">
        <v>781</v>
      </c>
      <c r="X20" s="2" t="s">
        <v>782</v>
      </c>
      <c r="Y20" s="2" t="s">
        <v>783</v>
      </c>
      <c r="AA20" s="2">
        <v>84176702</v>
      </c>
      <c r="AB20" s="2" t="s">
        <v>642</v>
      </c>
      <c r="AC20" s="2" t="s">
        <v>632</v>
      </c>
      <c r="AD20" s="2">
        <v>84176702</v>
      </c>
      <c r="AJ20" s="2">
        <v>84176702</v>
      </c>
      <c r="AK20" s="2">
        <v>1</v>
      </c>
      <c r="AL20" s="2" t="s">
        <v>633</v>
      </c>
      <c r="AM20" s="2">
        <v>0</v>
      </c>
      <c r="AN20" s="2">
        <v>0</v>
      </c>
      <c r="AO20" s="2">
        <v>1</v>
      </c>
      <c r="AP20" s="2">
        <v>0</v>
      </c>
      <c r="AQ20" s="2">
        <v>0</v>
      </c>
      <c r="AR20" s="2">
        <v>0</v>
      </c>
      <c r="AS20" s="2">
        <v>0</v>
      </c>
      <c r="AT20" s="2">
        <v>0</v>
      </c>
      <c r="BB20" s="2" t="str">
        <f>+PROPER(BD[[#This Row],[PRIMER_APELLIDO]])</f>
        <v>Brown</v>
      </c>
    </row>
    <row r="21" spans="1:54" x14ac:dyDescent="0.25">
      <c r="A21" s="2">
        <v>20</v>
      </c>
      <c r="B21" s="2">
        <v>53993</v>
      </c>
      <c r="C21" s="2" t="s">
        <v>619</v>
      </c>
      <c r="D21" s="2" t="s">
        <v>620</v>
      </c>
      <c r="E21" s="2" t="s">
        <v>784</v>
      </c>
      <c r="G21" s="3">
        <v>35.057534246575344</v>
      </c>
      <c r="H21" s="2" t="s">
        <v>622</v>
      </c>
      <c r="I21" s="2" t="s">
        <v>785</v>
      </c>
      <c r="J21" s="2" t="str">
        <f>+IF(BD[[#This Row],[DEPARTAMENTO_INSS]]="MANAGUA","_01_","_02_")</f>
        <v>_02_</v>
      </c>
      <c r="K21" s="2" t="str">
        <f>+CONCATENATE(BD[[#This Row],[Columna3]],BD[[#This Row],[Columna4]],BD[[#This Row],[NOMBRE COMPLETO]])</f>
        <v>E003_02_GEMA DEL SOCORRO VASQUEZ LOPEZ</v>
      </c>
      <c r="L21" s="2" t="s">
        <v>786</v>
      </c>
      <c r="M21" s="2" t="s">
        <v>787</v>
      </c>
      <c r="N21" s="2" t="s">
        <v>52</v>
      </c>
      <c r="O21" s="2" t="s">
        <v>15</v>
      </c>
      <c r="P21" s="2" t="s">
        <v>626</v>
      </c>
      <c r="Q21" s="2" t="s">
        <v>351</v>
      </c>
      <c r="R21" s="2">
        <v>32000</v>
      </c>
      <c r="S21" s="2">
        <v>32000</v>
      </c>
      <c r="T21" s="2" t="s">
        <v>780</v>
      </c>
      <c r="U21" s="2" t="s">
        <v>176</v>
      </c>
      <c r="V21" s="2" t="s">
        <v>788</v>
      </c>
      <c r="W21" s="2" t="s">
        <v>176</v>
      </c>
      <c r="X21" s="2" t="s">
        <v>789</v>
      </c>
      <c r="Y21" s="2" t="s">
        <v>790</v>
      </c>
      <c r="AA21" s="2">
        <v>84143099</v>
      </c>
      <c r="AB21" s="2" t="s">
        <v>654</v>
      </c>
      <c r="AC21" s="2" t="s">
        <v>632</v>
      </c>
      <c r="AD21" s="2">
        <v>84143099</v>
      </c>
      <c r="AJ21" s="2">
        <v>84143099</v>
      </c>
      <c r="AK21" s="2">
        <v>1</v>
      </c>
      <c r="AL21" s="2" t="s">
        <v>633</v>
      </c>
      <c r="AM21" s="2">
        <v>0</v>
      </c>
      <c r="AN21" s="2">
        <v>0</v>
      </c>
      <c r="AO21" s="2">
        <v>1</v>
      </c>
      <c r="AP21" s="2">
        <v>0</v>
      </c>
      <c r="AQ21" s="2">
        <v>0</v>
      </c>
      <c r="AR21" s="2">
        <v>0</v>
      </c>
      <c r="AS21" s="2">
        <v>0</v>
      </c>
      <c r="AT21" s="2">
        <v>0</v>
      </c>
      <c r="BB21" s="2" t="str">
        <f>+PROPER(BD[[#This Row],[PRIMER_APELLIDO]])</f>
        <v>Vasquez</v>
      </c>
    </row>
    <row r="22" spans="1:54" x14ac:dyDescent="0.25">
      <c r="A22" s="2">
        <v>21</v>
      </c>
      <c r="B22" s="2">
        <v>70569</v>
      </c>
      <c r="C22" s="2" t="s">
        <v>619</v>
      </c>
      <c r="D22" s="2" t="s">
        <v>620</v>
      </c>
      <c r="E22" s="2" t="s">
        <v>791</v>
      </c>
      <c r="G22" s="3">
        <v>35.07123287671233</v>
      </c>
      <c r="H22" s="2" t="s">
        <v>622</v>
      </c>
      <c r="I22" s="2" t="s">
        <v>792</v>
      </c>
      <c r="J22" s="2" t="str">
        <f>+IF(BD[[#This Row],[DEPARTAMENTO_INSS]]="MANAGUA","_01_","_02_")</f>
        <v>_02_</v>
      </c>
      <c r="K22" s="2" t="str">
        <f>+CONCATENATE(BD[[#This Row],[Columna3]],BD[[#This Row],[Columna4]],BD[[#This Row],[NOMBRE COMPLETO]])</f>
        <v>E003_02_MARLON NUÑEZ BELLO</v>
      </c>
      <c r="L22" s="2" t="s">
        <v>793</v>
      </c>
      <c r="N22" s="2" t="s">
        <v>166</v>
      </c>
      <c r="O22" s="2" t="s">
        <v>145</v>
      </c>
      <c r="P22" s="2" t="s">
        <v>649</v>
      </c>
      <c r="Q22" s="2" t="s">
        <v>351</v>
      </c>
      <c r="R22" s="2">
        <v>31995</v>
      </c>
      <c r="S22" s="2">
        <v>31995</v>
      </c>
      <c r="T22" s="2" t="s">
        <v>780</v>
      </c>
      <c r="U22" s="2" t="s">
        <v>780</v>
      </c>
      <c r="V22" s="2" t="s">
        <v>794</v>
      </c>
      <c r="W22" s="2" t="s">
        <v>795</v>
      </c>
      <c r="X22" s="2" t="s">
        <v>796</v>
      </c>
      <c r="Y22" s="2" t="s">
        <v>797</v>
      </c>
      <c r="Z22" s="2">
        <v>82115269</v>
      </c>
      <c r="AB22" s="2" t="s">
        <v>798</v>
      </c>
      <c r="AC22" s="2" t="s">
        <v>632</v>
      </c>
      <c r="AD22" s="2">
        <v>82115269</v>
      </c>
      <c r="AJ22" s="2">
        <v>82115269</v>
      </c>
      <c r="AK22" s="2">
        <v>1</v>
      </c>
      <c r="AL22" s="2" t="s">
        <v>633</v>
      </c>
      <c r="AM22" s="2">
        <v>0</v>
      </c>
      <c r="AN22" s="2">
        <v>0</v>
      </c>
      <c r="AO22" s="2">
        <v>1</v>
      </c>
      <c r="AP22" s="2">
        <v>0</v>
      </c>
      <c r="AQ22" s="2">
        <v>0</v>
      </c>
      <c r="AR22" s="2">
        <v>0</v>
      </c>
      <c r="AS22" s="2">
        <v>0</v>
      </c>
      <c r="AT22" s="2">
        <v>0</v>
      </c>
      <c r="AZ22" s="2" t="s">
        <v>799</v>
      </c>
      <c r="BB22" s="2" t="str">
        <f>+PROPER(BD[[#This Row],[PRIMER_APELLIDO]])</f>
        <v>Nuñez</v>
      </c>
    </row>
    <row r="23" spans="1:54" x14ac:dyDescent="0.25">
      <c r="A23" s="2">
        <v>22</v>
      </c>
      <c r="B23" s="2">
        <v>48465</v>
      </c>
      <c r="C23" s="2" t="s">
        <v>619</v>
      </c>
      <c r="D23" s="2" t="s">
        <v>620</v>
      </c>
      <c r="E23" s="2" t="s">
        <v>800</v>
      </c>
      <c r="F23" s="2">
        <v>26970527</v>
      </c>
      <c r="G23" s="3">
        <v>35.073972602739723</v>
      </c>
      <c r="H23" s="2" t="s">
        <v>622</v>
      </c>
      <c r="I23" s="2" t="s">
        <v>801</v>
      </c>
      <c r="J23" s="2" t="str">
        <f>+IF(BD[[#This Row],[DEPARTAMENTO_INSS]]="MANAGUA","_01_","_02_")</f>
        <v>_02_</v>
      </c>
      <c r="K23" s="2" t="str">
        <f>+CONCATENATE(BD[[#This Row],[Columna3]],BD[[#This Row],[Columna4]],BD[[#This Row],[NOMBRE COMPLETO]])</f>
        <v>E003_02_KENIA JAMARA BALVERDE RODRIGUEZ</v>
      </c>
      <c r="L23" s="2" t="s">
        <v>802</v>
      </c>
      <c r="M23" s="2" t="s">
        <v>803</v>
      </c>
      <c r="N23" s="2" t="s">
        <v>330</v>
      </c>
      <c r="O23" s="2" t="s">
        <v>185</v>
      </c>
      <c r="P23" s="2" t="s">
        <v>626</v>
      </c>
      <c r="Q23" s="2" t="s">
        <v>351</v>
      </c>
      <c r="R23" s="2">
        <v>31994</v>
      </c>
      <c r="S23" s="2">
        <v>31994</v>
      </c>
      <c r="T23" s="2" t="s">
        <v>669</v>
      </c>
      <c r="U23" s="2" t="s">
        <v>669</v>
      </c>
      <c r="V23" s="2" t="s">
        <v>804</v>
      </c>
      <c r="W23" s="2" t="s">
        <v>804</v>
      </c>
      <c r="X23" s="2" t="s">
        <v>805</v>
      </c>
      <c r="Y23" s="2" t="s">
        <v>806</v>
      </c>
      <c r="Z23" s="2">
        <v>85135450</v>
      </c>
      <c r="AA23" s="2">
        <v>85135450</v>
      </c>
      <c r="AB23" s="2" t="s">
        <v>798</v>
      </c>
      <c r="AC23" s="2" t="s">
        <v>632</v>
      </c>
      <c r="AD23" s="2">
        <v>85135450</v>
      </c>
      <c r="AJ23" s="2">
        <v>85135450</v>
      </c>
      <c r="AK23" s="2">
        <v>2</v>
      </c>
      <c r="AL23" s="2" t="s">
        <v>633</v>
      </c>
      <c r="AM23" s="2">
        <v>0</v>
      </c>
      <c r="AN23" s="2">
        <v>0</v>
      </c>
      <c r="AO23" s="2">
        <v>1</v>
      </c>
      <c r="AP23" s="2">
        <v>0</v>
      </c>
      <c r="AQ23" s="2">
        <v>0</v>
      </c>
      <c r="AR23" s="2">
        <v>0</v>
      </c>
      <c r="AS23" s="2">
        <v>0</v>
      </c>
      <c r="AT23" s="2">
        <v>0</v>
      </c>
      <c r="AZ23" s="2" t="s">
        <v>807</v>
      </c>
      <c r="BB23" s="2" t="str">
        <f>+PROPER(BD[[#This Row],[PRIMER_APELLIDO]])</f>
        <v>Balverde</v>
      </c>
    </row>
    <row r="24" spans="1:54" x14ac:dyDescent="0.25">
      <c r="A24" s="2">
        <v>23</v>
      </c>
      <c r="B24" s="2">
        <v>47398</v>
      </c>
      <c r="C24" s="2" t="s">
        <v>619</v>
      </c>
      <c r="D24" s="2" t="s">
        <v>620</v>
      </c>
      <c r="E24" s="2" t="s">
        <v>808</v>
      </c>
      <c r="F24" s="2">
        <v>25023914</v>
      </c>
      <c r="G24" s="3">
        <v>35.084931506849315</v>
      </c>
      <c r="H24" s="2" t="s">
        <v>622</v>
      </c>
      <c r="I24" s="2" t="s">
        <v>809</v>
      </c>
      <c r="J24" s="2" t="str">
        <f>+IF(BD[[#This Row],[DEPARTAMENTO_INSS]]="MANAGUA","_01_","_02_")</f>
        <v>_01_</v>
      </c>
      <c r="K24" s="2" t="str">
        <f>+CONCATENATE(BD[[#This Row],[Columna3]],BD[[#This Row],[Columna4]],BD[[#This Row],[NOMBRE COMPLETO]])</f>
        <v>E003_01_GICELA NINET OBREGON DOMINGUEZ</v>
      </c>
      <c r="L24" s="2" t="s">
        <v>810</v>
      </c>
      <c r="M24" s="2" t="s">
        <v>811</v>
      </c>
      <c r="N24" s="2" t="s">
        <v>337</v>
      </c>
      <c r="O24" s="2" t="s">
        <v>812</v>
      </c>
      <c r="P24" s="2" t="s">
        <v>626</v>
      </c>
      <c r="Q24" s="2" t="s">
        <v>351</v>
      </c>
      <c r="R24" s="2">
        <v>31990</v>
      </c>
      <c r="S24" s="2">
        <v>31990</v>
      </c>
      <c r="T24" s="2" t="s">
        <v>627</v>
      </c>
      <c r="U24" s="2" t="s">
        <v>627</v>
      </c>
      <c r="V24" s="2" t="s">
        <v>627</v>
      </c>
      <c r="W24" s="2" t="s">
        <v>627</v>
      </c>
      <c r="X24" s="2" t="s">
        <v>813</v>
      </c>
      <c r="Y24" s="2" t="s">
        <v>814</v>
      </c>
      <c r="Z24" s="2">
        <v>85523471</v>
      </c>
      <c r="AA24" s="2">
        <v>22540730</v>
      </c>
      <c r="AB24" s="2" t="s">
        <v>631</v>
      </c>
      <c r="AC24" s="2" t="s">
        <v>632</v>
      </c>
      <c r="AD24" s="2">
        <v>85523471</v>
      </c>
      <c r="AJ24" s="2">
        <v>85523471</v>
      </c>
      <c r="AK24" s="2">
        <v>2</v>
      </c>
      <c r="AL24" s="2" t="s">
        <v>633</v>
      </c>
      <c r="AM24" s="2">
        <v>0</v>
      </c>
      <c r="AN24" s="2">
        <v>0</v>
      </c>
      <c r="AO24" s="2">
        <v>1</v>
      </c>
      <c r="AP24" s="2">
        <v>0</v>
      </c>
      <c r="AQ24" s="2">
        <v>0</v>
      </c>
      <c r="AR24" s="2">
        <v>0</v>
      </c>
      <c r="AS24" s="2">
        <v>0</v>
      </c>
      <c r="AT24" s="2">
        <v>0</v>
      </c>
      <c r="AZ24" s="2" t="s">
        <v>815</v>
      </c>
      <c r="BB24" s="2" t="str">
        <f>+PROPER(BD[[#This Row],[PRIMER_APELLIDO]])</f>
        <v>Obregon</v>
      </c>
    </row>
    <row r="25" spans="1:54" x14ac:dyDescent="0.25">
      <c r="A25" s="2">
        <v>24</v>
      </c>
      <c r="B25" s="2">
        <v>47738</v>
      </c>
      <c r="C25" s="2" t="s">
        <v>619</v>
      </c>
      <c r="D25" s="2" t="s">
        <v>620</v>
      </c>
      <c r="E25" s="2" t="s">
        <v>816</v>
      </c>
      <c r="F25" s="2">
        <v>16997222</v>
      </c>
      <c r="G25" s="3">
        <v>35.084931506849315</v>
      </c>
      <c r="H25" s="2" t="s">
        <v>622</v>
      </c>
      <c r="I25" s="2" t="s">
        <v>817</v>
      </c>
      <c r="J25" s="2" t="str">
        <f>+IF(BD[[#This Row],[DEPARTAMENTO_INSS]]="MANAGUA","_01_","_02_")</f>
        <v>_01_</v>
      </c>
      <c r="K25" s="2" t="str">
        <f>+CONCATENATE(BD[[#This Row],[Columna3]],BD[[#This Row],[Columna4]],BD[[#This Row],[NOMBRE COMPLETO]])</f>
        <v>E003_01_LEYLA CAROLINA GARCIA OROZCO</v>
      </c>
      <c r="L25" s="2" t="s">
        <v>818</v>
      </c>
      <c r="M25" s="2" t="s">
        <v>714</v>
      </c>
      <c r="N25" s="2" t="s">
        <v>10</v>
      </c>
      <c r="O25" s="2" t="s">
        <v>254</v>
      </c>
      <c r="P25" s="2" t="s">
        <v>626</v>
      </c>
      <c r="Q25" s="2" t="s">
        <v>351</v>
      </c>
      <c r="R25" s="2">
        <v>31990</v>
      </c>
      <c r="S25" s="2">
        <v>31990</v>
      </c>
      <c r="T25" s="2" t="s">
        <v>627</v>
      </c>
      <c r="U25" s="2" t="s">
        <v>627</v>
      </c>
      <c r="V25" s="2" t="s">
        <v>627</v>
      </c>
      <c r="W25" s="2" t="s">
        <v>627</v>
      </c>
      <c r="X25" s="2" t="s">
        <v>819</v>
      </c>
      <c r="Y25" s="2" t="s">
        <v>820</v>
      </c>
      <c r="Z25" s="2">
        <v>82252930</v>
      </c>
      <c r="AA25" s="2" t="s">
        <v>821</v>
      </c>
      <c r="AB25" s="2" t="s">
        <v>631</v>
      </c>
      <c r="AC25" s="2" t="s">
        <v>632</v>
      </c>
      <c r="AD25" s="2">
        <v>82252930</v>
      </c>
      <c r="AJ25" s="2">
        <v>82252930</v>
      </c>
      <c r="AK25" s="2">
        <v>3</v>
      </c>
      <c r="AL25" s="2" t="s">
        <v>633</v>
      </c>
      <c r="AM25" s="2">
        <v>0</v>
      </c>
      <c r="AN25" s="2">
        <v>0</v>
      </c>
      <c r="AO25" s="2">
        <v>1</v>
      </c>
      <c r="AP25" s="2">
        <v>0</v>
      </c>
      <c r="AQ25" s="2">
        <v>0</v>
      </c>
      <c r="AR25" s="2">
        <v>0</v>
      </c>
      <c r="AS25" s="2">
        <v>0</v>
      </c>
      <c r="AT25" s="2">
        <v>0</v>
      </c>
      <c r="AZ25" s="2" t="s">
        <v>822</v>
      </c>
      <c r="BB25" s="2" t="str">
        <f>+PROPER(BD[[#This Row],[PRIMER_APELLIDO]])</f>
        <v>Garcia</v>
      </c>
    </row>
    <row r="26" spans="1:54" x14ac:dyDescent="0.25">
      <c r="A26" s="2">
        <v>25</v>
      </c>
      <c r="B26" s="2">
        <v>38521</v>
      </c>
      <c r="C26" s="2" t="s">
        <v>619</v>
      </c>
      <c r="D26" s="2" t="s">
        <v>620</v>
      </c>
      <c r="E26" s="2" t="s">
        <v>823</v>
      </c>
      <c r="F26" s="2">
        <v>23831106</v>
      </c>
      <c r="G26" s="3">
        <v>35.087671232876716</v>
      </c>
      <c r="H26" s="2" t="s">
        <v>622</v>
      </c>
      <c r="I26" s="2" t="s">
        <v>824</v>
      </c>
      <c r="J26" s="2" t="str">
        <f>+IF(BD[[#This Row],[DEPARTAMENTO_INSS]]="MANAGUA","_01_","_02_")</f>
        <v>_01_</v>
      </c>
      <c r="K26" s="2" t="str">
        <f>+CONCATENATE(BD[[#This Row],[Columna3]],BD[[#This Row],[Columna4]],BD[[#This Row],[NOMBRE COMPLETO]])</f>
        <v>E003_01_JUAN CARLOS SEQUEIRA GROSS</v>
      </c>
      <c r="L26" s="2" t="s">
        <v>825</v>
      </c>
      <c r="M26" s="2" t="s">
        <v>826</v>
      </c>
      <c r="N26" s="2" t="s">
        <v>348</v>
      </c>
      <c r="O26" s="2" t="s">
        <v>827</v>
      </c>
      <c r="P26" s="2" t="s">
        <v>649</v>
      </c>
      <c r="Q26" s="2" t="s">
        <v>828</v>
      </c>
      <c r="R26" s="2">
        <v>31989</v>
      </c>
      <c r="S26" s="2">
        <v>31989</v>
      </c>
      <c r="T26" s="2" t="s">
        <v>627</v>
      </c>
      <c r="U26" s="2" t="s">
        <v>627</v>
      </c>
      <c r="V26" s="2" t="s">
        <v>627</v>
      </c>
      <c r="W26" s="2" t="s">
        <v>627</v>
      </c>
      <c r="X26" s="2" t="s">
        <v>829</v>
      </c>
      <c r="Y26" s="2" t="s">
        <v>830</v>
      </c>
      <c r="AA26" s="2">
        <v>86830245</v>
      </c>
      <c r="AB26" s="2" t="s">
        <v>654</v>
      </c>
      <c r="AC26" s="2" t="s">
        <v>632</v>
      </c>
      <c r="AD26" s="2">
        <v>86830245</v>
      </c>
      <c r="AJ26" s="2">
        <v>86830245</v>
      </c>
      <c r="AK26" s="2">
        <v>1</v>
      </c>
      <c r="AL26" s="2" t="s">
        <v>633</v>
      </c>
      <c r="AM26" s="2">
        <v>0</v>
      </c>
      <c r="AN26" s="2">
        <v>0</v>
      </c>
      <c r="AO26" s="2">
        <v>1</v>
      </c>
      <c r="AP26" s="2">
        <v>0</v>
      </c>
      <c r="AQ26" s="2">
        <v>0</v>
      </c>
      <c r="AR26" s="2">
        <v>0</v>
      </c>
      <c r="AS26" s="2">
        <v>0</v>
      </c>
      <c r="AT26" s="2">
        <v>0</v>
      </c>
      <c r="BB26" s="2" t="str">
        <f>+PROPER(BD[[#This Row],[PRIMER_APELLIDO]])</f>
        <v>Sequeira</v>
      </c>
    </row>
    <row r="27" spans="1:54" x14ac:dyDescent="0.25">
      <c r="A27" s="2">
        <v>26</v>
      </c>
      <c r="B27" s="2">
        <v>43700</v>
      </c>
      <c r="C27" s="2" t="s">
        <v>619</v>
      </c>
      <c r="D27" s="2" t="s">
        <v>620</v>
      </c>
      <c r="E27" s="2" t="s">
        <v>831</v>
      </c>
      <c r="F27" s="2">
        <v>24233527</v>
      </c>
      <c r="G27" s="3">
        <v>35.090410958904108</v>
      </c>
      <c r="H27" s="2" t="s">
        <v>622</v>
      </c>
      <c r="I27" s="2" t="s">
        <v>832</v>
      </c>
      <c r="J27" s="2" t="str">
        <f>+IF(BD[[#This Row],[DEPARTAMENTO_INSS]]="MANAGUA","_01_","_02_")</f>
        <v>_02_</v>
      </c>
      <c r="K27" s="2" t="str">
        <f>+CONCATENATE(BD[[#This Row],[Columna3]],BD[[#This Row],[Columna4]],BD[[#This Row],[NOMBRE COMPLETO]])</f>
        <v>E003_02_MELANIA ANTONIA CASTILLO VARGAS</v>
      </c>
      <c r="L27" s="2" t="s">
        <v>833</v>
      </c>
      <c r="M27" s="2" t="s">
        <v>834</v>
      </c>
      <c r="N27" s="2" t="s">
        <v>100</v>
      </c>
      <c r="O27" s="2" t="s">
        <v>34</v>
      </c>
      <c r="P27" s="2" t="s">
        <v>626</v>
      </c>
      <c r="Q27" s="2" t="s">
        <v>351</v>
      </c>
      <c r="R27" s="2">
        <v>31988</v>
      </c>
      <c r="S27" s="2">
        <v>31988</v>
      </c>
      <c r="T27" s="2" t="s">
        <v>176</v>
      </c>
      <c r="U27" s="2" t="s">
        <v>444</v>
      </c>
      <c r="V27" s="2" t="s">
        <v>650</v>
      </c>
      <c r="W27" s="2" t="s">
        <v>764</v>
      </c>
      <c r="X27" s="2" t="s">
        <v>835</v>
      </c>
      <c r="Y27" s="2" t="s">
        <v>836</v>
      </c>
      <c r="Z27" s="2">
        <v>86937798</v>
      </c>
      <c r="AA27" s="2">
        <v>86937798</v>
      </c>
      <c r="AB27" s="2" t="s">
        <v>654</v>
      </c>
      <c r="AC27" s="2" t="s">
        <v>632</v>
      </c>
      <c r="AD27" s="2">
        <v>86937798</v>
      </c>
      <c r="AJ27" s="2">
        <v>86937798</v>
      </c>
      <c r="AK27" s="2">
        <v>2</v>
      </c>
      <c r="AL27" s="2" t="s">
        <v>633</v>
      </c>
      <c r="AM27" s="2">
        <v>0</v>
      </c>
      <c r="AN27" s="2">
        <v>0</v>
      </c>
      <c r="AO27" s="2">
        <v>1</v>
      </c>
      <c r="AP27" s="2">
        <v>0</v>
      </c>
      <c r="AQ27" s="2">
        <v>0</v>
      </c>
      <c r="AR27" s="2">
        <v>0</v>
      </c>
      <c r="AS27" s="2">
        <v>0</v>
      </c>
      <c r="AT27" s="2">
        <v>0</v>
      </c>
      <c r="AZ27" s="2" t="s">
        <v>837</v>
      </c>
      <c r="BB27" s="2" t="str">
        <f>+PROPER(BD[[#This Row],[PRIMER_APELLIDO]])</f>
        <v>Castillo</v>
      </c>
    </row>
    <row r="28" spans="1:54" x14ac:dyDescent="0.25">
      <c r="A28" s="2">
        <v>27</v>
      </c>
      <c r="B28" s="2">
        <v>52820</v>
      </c>
      <c r="C28" s="2" t="s">
        <v>619</v>
      </c>
      <c r="D28" s="2" t="s">
        <v>620</v>
      </c>
      <c r="E28" s="2" t="s">
        <v>838</v>
      </c>
      <c r="F28" s="2">
        <v>24233589</v>
      </c>
      <c r="G28" s="3">
        <v>35.093150684931508</v>
      </c>
      <c r="H28" s="2" t="s">
        <v>622</v>
      </c>
      <c r="I28" s="2" t="s">
        <v>839</v>
      </c>
      <c r="J28" s="2" t="str">
        <f>+IF(BD[[#This Row],[DEPARTAMENTO_INSS]]="MANAGUA","_01_","_02_")</f>
        <v>_02_</v>
      </c>
      <c r="K28" s="2" t="str">
        <f>+CONCATENATE(BD[[#This Row],[Columna3]],BD[[#This Row],[Columna4]],BD[[#This Row],[NOMBRE COMPLETO]])</f>
        <v>E003_02_LILIBETH DEL SOCORRO RIVERA CASTRO</v>
      </c>
      <c r="L28" s="2" t="s">
        <v>840</v>
      </c>
      <c r="M28" s="2" t="s">
        <v>787</v>
      </c>
      <c r="N28" s="2" t="s">
        <v>198</v>
      </c>
      <c r="O28" s="2" t="s">
        <v>163</v>
      </c>
      <c r="P28" s="2" t="s">
        <v>626</v>
      </c>
      <c r="Q28" s="2" t="s">
        <v>351</v>
      </c>
      <c r="R28" s="2">
        <v>31987</v>
      </c>
      <c r="S28" s="2">
        <v>31987</v>
      </c>
      <c r="T28" s="2" t="s">
        <v>133</v>
      </c>
      <c r="U28" s="2" t="s">
        <v>133</v>
      </c>
      <c r="V28" s="2" t="s">
        <v>841</v>
      </c>
      <c r="W28" s="2" t="s">
        <v>841</v>
      </c>
      <c r="X28" s="2" t="s">
        <v>842</v>
      </c>
      <c r="Y28" s="2" t="s">
        <v>843</v>
      </c>
      <c r="AA28" s="2">
        <v>86397912</v>
      </c>
      <c r="AB28" s="2" t="s">
        <v>642</v>
      </c>
      <c r="AC28" s="2" t="s">
        <v>632</v>
      </c>
      <c r="AD28" s="2">
        <v>86397912</v>
      </c>
      <c r="AJ28" s="2">
        <v>86397912</v>
      </c>
      <c r="AK28" s="2">
        <v>1</v>
      </c>
      <c r="AL28" s="2" t="s">
        <v>633</v>
      </c>
      <c r="AM28" s="2">
        <v>0</v>
      </c>
      <c r="AN28" s="2">
        <v>0</v>
      </c>
      <c r="AO28" s="2">
        <v>1</v>
      </c>
      <c r="AP28" s="2">
        <v>0</v>
      </c>
      <c r="AQ28" s="2">
        <v>0</v>
      </c>
      <c r="AR28" s="2">
        <v>0</v>
      </c>
      <c r="AS28" s="2">
        <v>0</v>
      </c>
      <c r="AT28" s="2">
        <v>0</v>
      </c>
      <c r="BB28" s="2" t="str">
        <f>+PROPER(BD[[#This Row],[PRIMER_APELLIDO]])</f>
        <v>Rivera</v>
      </c>
    </row>
    <row r="29" spans="1:54" x14ac:dyDescent="0.25">
      <c r="A29" s="2">
        <v>28</v>
      </c>
      <c r="B29" s="2">
        <v>64676</v>
      </c>
      <c r="C29" s="2" t="s">
        <v>619</v>
      </c>
      <c r="D29" s="2" t="s">
        <v>620</v>
      </c>
      <c r="E29" s="2" t="s">
        <v>844</v>
      </c>
      <c r="G29" s="3">
        <v>35.093150684931508</v>
      </c>
      <c r="H29" s="2" t="s">
        <v>622</v>
      </c>
      <c r="I29" s="2" t="s">
        <v>845</v>
      </c>
      <c r="J29" s="2" t="str">
        <f>+IF(BD[[#This Row],[DEPARTAMENTO_INSS]]="MANAGUA","_01_","_02_")</f>
        <v>_02_</v>
      </c>
      <c r="K29" s="2" t="str">
        <f>+CONCATENATE(BD[[#This Row],[Columna3]],BD[[#This Row],[Columna4]],BD[[#This Row],[NOMBRE COMPLETO]])</f>
        <v>E003_02_MARJORIE CLARISSA ARÁUZ BETANCO</v>
      </c>
      <c r="L29" s="2" t="s">
        <v>846</v>
      </c>
      <c r="M29" s="2" t="s">
        <v>847</v>
      </c>
      <c r="N29" s="2" t="s">
        <v>313</v>
      </c>
      <c r="O29" s="2" t="s">
        <v>253</v>
      </c>
      <c r="P29" s="2" t="s">
        <v>626</v>
      </c>
      <c r="Q29" s="2" t="s">
        <v>351</v>
      </c>
      <c r="R29" s="2">
        <v>31987</v>
      </c>
      <c r="S29" s="2">
        <v>31987</v>
      </c>
      <c r="T29" s="2" t="s">
        <v>444</v>
      </c>
      <c r="U29" s="2" t="s">
        <v>732</v>
      </c>
      <c r="V29" s="2" t="s">
        <v>764</v>
      </c>
      <c r="W29" s="2" t="s">
        <v>848</v>
      </c>
      <c r="X29" s="2" t="s">
        <v>849</v>
      </c>
      <c r="Y29" s="2" t="s">
        <v>850</v>
      </c>
      <c r="AA29" s="2">
        <v>84547971</v>
      </c>
      <c r="AB29" s="2" t="s">
        <v>654</v>
      </c>
      <c r="AC29" s="2" t="s">
        <v>632</v>
      </c>
      <c r="AD29" s="2">
        <v>84547971</v>
      </c>
      <c r="AJ29" s="2">
        <v>84547971</v>
      </c>
      <c r="AK29" s="2">
        <v>1</v>
      </c>
      <c r="AL29" s="2" t="s">
        <v>633</v>
      </c>
      <c r="AM29" s="2">
        <v>0</v>
      </c>
      <c r="AN29" s="2">
        <v>0</v>
      </c>
      <c r="AO29" s="2">
        <v>1</v>
      </c>
      <c r="AP29" s="2">
        <v>0</v>
      </c>
      <c r="AQ29" s="2">
        <v>0</v>
      </c>
      <c r="AR29" s="2">
        <v>0</v>
      </c>
      <c r="AS29" s="2">
        <v>0</v>
      </c>
      <c r="AT29" s="2">
        <v>0</v>
      </c>
      <c r="BA29" s="2" t="s">
        <v>851</v>
      </c>
      <c r="BB29" s="2" t="str">
        <f>+PROPER(BD[[#This Row],[PRIMER_APELLIDO]])</f>
        <v>Aráuz</v>
      </c>
    </row>
    <row r="30" spans="1:54" x14ac:dyDescent="0.25">
      <c r="A30" s="2">
        <v>29</v>
      </c>
      <c r="B30" s="2">
        <v>50112</v>
      </c>
      <c r="C30" s="2" t="s">
        <v>619</v>
      </c>
      <c r="D30" s="2" t="s">
        <v>620</v>
      </c>
      <c r="E30" s="2" t="s">
        <v>852</v>
      </c>
      <c r="F30" s="2">
        <v>24235161</v>
      </c>
      <c r="G30" s="3">
        <v>35.098630136986301</v>
      </c>
      <c r="H30" s="2" t="s">
        <v>622</v>
      </c>
      <c r="I30" s="2" t="s">
        <v>853</v>
      </c>
      <c r="J30" s="2" t="str">
        <f>+IF(BD[[#This Row],[DEPARTAMENTO_INSS]]="MANAGUA","_01_","_02_")</f>
        <v>_02_</v>
      </c>
      <c r="K30" s="2" t="str">
        <f>+CONCATENATE(BD[[#This Row],[Columna3]],BD[[#This Row],[Columna4]],BD[[#This Row],[NOMBRE COMPLETO]])</f>
        <v>E003_02_CARLOS EZEQUIEL JAIME LOPEZ</v>
      </c>
      <c r="L30" s="2" t="s">
        <v>826</v>
      </c>
      <c r="M30" s="2" t="s">
        <v>854</v>
      </c>
      <c r="N30" s="2" t="s">
        <v>242</v>
      </c>
      <c r="O30" s="2" t="s">
        <v>15</v>
      </c>
      <c r="P30" s="2" t="s">
        <v>649</v>
      </c>
      <c r="Q30" s="2" t="s">
        <v>351</v>
      </c>
      <c r="R30" s="2">
        <v>31985</v>
      </c>
      <c r="S30" s="2">
        <v>31985</v>
      </c>
      <c r="T30" s="2" t="s">
        <v>732</v>
      </c>
      <c r="U30" s="2" t="s">
        <v>732</v>
      </c>
      <c r="V30" s="2" t="s">
        <v>732</v>
      </c>
      <c r="W30" s="2" t="s">
        <v>732</v>
      </c>
      <c r="X30" s="2" t="s">
        <v>855</v>
      </c>
      <c r="Y30" s="2" t="s">
        <v>856</v>
      </c>
      <c r="Z30" s="2">
        <v>81708518</v>
      </c>
      <c r="AA30" s="2">
        <v>89596746</v>
      </c>
      <c r="AB30" s="2" t="s">
        <v>654</v>
      </c>
      <c r="AC30" s="2" t="s">
        <v>632</v>
      </c>
      <c r="AD30" s="2">
        <v>81708518</v>
      </c>
      <c r="AF30" s="2">
        <v>89596746</v>
      </c>
      <c r="AJ30" s="2">
        <v>81708518</v>
      </c>
      <c r="AK30" s="2">
        <v>2</v>
      </c>
      <c r="AL30" s="2" t="s">
        <v>633</v>
      </c>
      <c r="AM30" s="2">
        <v>0</v>
      </c>
      <c r="AN30" s="2">
        <v>0</v>
      </c>
      <c r="AO30" s="2">
        <v>1</v>
      </c>
      <c r="AP30" s="2">
        <v>0</v>
      </c>
      <c r="AQ30" s="2">
        <v>0</v>
      </c>
      <c r="AR30" s="2">
        <v>0</v>
      </c>
      <c r="AS30" s="2">
        <v>0</v>
      </c>
      <c r="AT30" s="2">
        <v>0</v>
      </c>
      <c r="AZ30" s="2" t="s">
        <v>857</v>
      </c>
      <c r="BB30" s="2" t="str">
        <f>+PROPER(BD[[#This Row],[PRIMER_APELLIDO]])</f>
        <v>Jaime</v>
      </c>
    </row>
    <row r="31" spans="1:54" x14ac:dyDescent="0.25">
      <c r="A31" s="2">
        <v>30</v>
      </c>
      <c r="B31" s="2">
        <v>74000</v>
      </c>
      <c r="C31" s="2" t="s">
        <v>619</v>
      </c>
      <c r="D31" s="2" t="s">
        <v>620</v>
      </c>
      <c r="E31" s="2" t="s">
        <v>858</v>
      </c>
      <c r="G31" s="3">
        <v>35.101369863013701</v>
      </c>
      <c r="H31" s="2" t="s">
        <v>622</v>
      </c>
      <c r="I31" s="2" t="s">
        <v>859</v>
      </c>
      <c r="J31" s="2" t="str">
        <f>+IF(BD[[#This Row],[DEPARTAMENTO_INSS]]="MANAGUA","_01_","_02_")</f>
        <v>_02_</v>
      </c>
      <c r="K31" s="2" t="str">
        <f>+CONCATENATE(BD[[#This Row],[Columna3]],BD[[#This Row],[Columna4]],BD[[#This Row],[NOMBRE COMPLETO]])</f>
        <v>E003_02_ANA MARIA ROJAS DELGADO</v>
      </c>
      <c r="L31" s="2" t="s">
        <v>860</v>
      </c>
      <c r="M31" s="2" t="s">
        <v>724</v>
      </c>
      <c r="N31" s="2" t="s">
        <v>105</v>
      </c>
      <c r="O31" s="2" t="s">
        <v>363</v>
      </c>
      <c r="P31" s="2" t="s">
        <v>626</v>
      </c>
      <c r="Q31" s="2" t="s">
        <v>351</v>
      </c>
      <c r="R31" s="2">
        <v>31984</v>
      </c>
      <c r="S31" s="2">
        <v>31984</v>
      </c>
      <c r="T31" s="2" t="s">
        <v>176</v>
      </c>
      <c r="U31" s="2" t="s">
        <v>659</v>
      </c>
      <c r="V31" s="2" t="s">
        <v>650</v>
      </c>
      <c r="W31" s="2" t="s">
        <v>659</v>
      </c>
      <c r="X31" s="2" t="s">
        <v>861</v>
      </c>
      <c r="Y31" s="2" t="s">
        <v>862</v>
      </c>
      <c r="Z31" s="2">
        <v>82351404</v>
      </c>
      <c r="AA31" s="2" t="s">
        <v>863</v>
      </c>
      <c r="AB31" s="2" t="s">
        <v>631</v>
      </c>
      <c r="AC31" s="2" t="s">
        <v>632</v>
      </c>
      <c r="AD31" s="2">
        <v>82351404</v>
      </c>
      <c r="AJ31" s="2">
        <v>82351404</v>
      </c>
      <c r="AK31" s="2">
        <v>3</v>
      </c>
      <c r="AL31" s="2" t="s">
        <v>633</v>
      </c>
      <c r="AM31" s="2">
        <v>0</v>
      </c>
      <c r="AN31" s="2">
        <v>0</v>
      </c>
      <c r="AO31" s="2">
        <v>1</v>
      </c>
      <c r="AP31" s="2">
        <v>0</v>
      </c>
      <c r="AQ31" s="2">
        <v>0</v>
      </c>
      <c r="AR31" s="2">
        <v>0</v>
      </c>
      <c r="AS31" s="2">
        <v>0</v>
      </c>
      <c r="AT31" s="2">
        <v>0</v>
      </c>
      <c r="AZ31" s="2" t="s">
        <v>864</v>
      </c>
      <c r="BB31" s="2" t="str">
        <f>+PROPER(BD[[#This Row],[PRIMER_APELLIDO]])</f>
        <v>Rojas</v>
      </c>
    </row>
    <row r="32" spans="1:54" x14ac:dyDescent="0.25">
      <c r="A32" s="2">
        <v>31</v>
      </c>
      <c r="B32" s="2">
        <v>41783</v>
      </c>
      <c r="C32" s="2" t="s">
        <v>619</v>
      </c>
      <c r="D32" s="2" t="s">
        <v>620</v>
      </c>
      <c r="E32" s="2" t="s">
        <v>865</v>
      </c>
      <c r="F32" s="2">
        <v>23106305</v>
      </c>
      <c r="G32" s="3">
        <v>35.112328767123287</v>
      </c>
      <c r="H32" s="2" t="s">
        <v>622</v>
      </c>
      <c r="I32" s="2" t="s">
        <v>866</v>
      </c>
      <c r="J32" s="2" t="str">
        <f>+IF(BD[[#This Row],[DEPARTAMENTO_INSS]]="MANAGUA","_01_","_02_")</f>
        <v>_02_</v>
      </c>
      <c r="K32" s="2" t="str">
        <f>+CONCATENATE(BD[[#This Row],[Columna3]],BD[[#This Row],[Columna4]],BD[[#This Row],[NOMBRE COMPLETO]])</f>
        <v>E003_02_ESCARLETH ANNETH OBREGON MENA</v>
      </c>
      <c r="L32" s="2" t="s">
        <v>867</v>
      </c>
      <c r="M32" s="2" t="s">
        <v>868</v>
      </c>
      <c r="N32" s="2" t="s">
        <v>337</v>
      </c>
      <c r="O32" s="2" t="s">
        <v>319</v>
      </c>
      <c r="P32" s="2" t="s">
        <v>626</v>
      </c>
      <c r="Q32" s="2" t="s">
        <v>351</v>
      </c>
      <c r="R32" s="2">
        <v>31980</v>
      </c>
      <c r="S32" s="2">
        <v>31980</v>
      </c>
      <c r="T32" s="2" t="s">
        <v>133</v>
      </c>
      <c r="U32" s="2" t="s">
        <v>133</v>
      </c>
      <c r="V32" s="2" t="s">
        <v>869</v>
      </c>
      <c r="W32" s="2" t="s">
        <v>870</v>
      </c>
      <c r="X32" s="2" t="s">
        <v>871</v>
      </c>
      <c r="Y32" s="2" t="s">
        <v>872</v>
      </c>
      <c r="AA32" s="2">
        <v>88324901</v>
      </c>
      <c r="AB32" s="2" t="s">
        <v>642</v>
      </c>
      <c r="AC32" s="2" t="s">
        <v>632</v>
      </c>
      <c r="AD32" s="2">
        <v>88324901</v>
      </c>
      <c r="AJ32" s="2">
        <v>88324901</v>
      </c>
      <c r="AK32" s="2">
        <v>1</v>
      </c>
      <c r="AL32" s="2" t="s">
        <v>633</v>
      </c>
      <c r="AM32" s="2">
        <v>0</v>
      </c>
      <c r="AN32" s="2">
        <v>0</v>
      </c>
      <c r="AO32" s="2">
        <v>1</v>
      </c>
      <c r="AP32" s="2">
        <v>0</v>
      </c>
      <c r="AQ32" s="2">
        <v>0</v>
      </c>
      <c r="AR32" s="2">
        <v>0</v>
      </c>
      <c r="AS32" s="2">
        <v>0</v>
      </c>
      <c r="AT32" s="2">
        <v>0</v>
      </c>
      <c r="BB32" s="2" t="str">
        <f>+PROPER(BD[[#This Row],[PRIMER_APELLIDO]])</f>
        <v>Obregon</v>
      </c>
    </row>
    <row r="33" spans="1:54" x14ac:dyDescent="0.25">
      <c r="A33" s="2">
        <v>32</v>
      </c>
      <c r="B33" s="2">
        <v>51592</v>
      </c>
      <c r="C33" s="2" t="s">
        <v>619</v>
      </c>
      <c r="D33" s="2" t="s">
        <v>620</v>
      </c>
      <c r="E33" s="2" t="s">
        <v>873</v>
      </c>
      <c r="F33" s="2">
        <v>25024032</v>
      </c>
      <c r="G33" s="3">
        <v>35.11780821917808</v>
      </c>
      <c r="H33" s="2" t="s">
        <v>622</v>
      </c>
      <c r="I33" s="2" t="s">
        <v>874</v>
      </c>
      <c r="J33" s="2" t="str">
        <f>+IF(BD[[#This Row],[DEPARTAMENTO_INSS]]="MANAGUA","_01_","_02_")</f>
        <v>_02_</v>
      </c>
      <c r="K33" s="2" t="str">
        <f>+CONCATENATE(BD[[#This Row],[Columna3]],BD[[#This Row],[Columna4]],BD[[#This Row],[NOMBRE COMPLETO]])</f>
        <v>E003_02_AURA ESTELA SERRANO COREA</v>
      </c>
      <c r="L33" s="2" t="s">
        <v>875</v>
      </c>
      <c r="M33" s="2" t="s">
        <v>876</v>
      </c>
      <c r="N33" s="2" t="s">
        <v>221</v>
      </c>
      <c r="O33" s="2" t="s">
        <v>212</v>
      </c>
      <c r="P33" s="2" t="s">
        <v>626</v>
      </c>
      <c r="Q33" s="2" t="s">
        <v>351</v>
      </c>
      <c r="R33" s="2">
        <v>31978</v>
      </c>
      <c r="S33" s="2">
        <v>31978</v>
      </c>
      <c r="T33" s="2" t="s">
        <v>627</v>
      </c>
      <c r="U33" s="2" t="s">
        <v>780</v>
      </c>
      <c r="V33" s="2" t="s">
        <v>627</v>
      </c>
      <c r="W33" s="2" t="s">
        <v>781</v>
      </c>
      <c r="X33" s="2" t="s">
        <v>877</v>
      </c>
      <c r="Y33" s="2" t="s">
        <v>878</v>
      </c>
      <c r="AA33" s="2">
        <v>82388327</v>
      </c>
      <c r="AB33" s="2" t="s">
        <v>631</v>
      </c>
      <c r="AC33" s="2" t="s">
        <v>632</v>
      </c>
      <c r="AD33" s="2">
        <v>82388327</v>
      </c>
      <c r="AJ33" s="2">
        <v>82388327</v>
      </c>
      <c r="AK33" s="2">
        <v>1</v>
      </c>
      <c r="AL33" s="2" t="s">
        <v>633</v>
      </c>
      <c r="AM33" s="2">
        <v>0</v>
      </c>
      <c r="AN33" s="2">
        <v>0</v>
      </c>
      <c r="AO33" s="2">
        <v>1</v>
      </c>
      <c r="AP33" s="2">
        <v>0</v>
      </c>
      <c r="AQ33" s="2">
        <v>0</v>
      </c>
      <c r="AR33" s="2">
        <v>0</v>
      </c>
      <c r="AS33" s="2">
        <v>0</v>
      </c>
      <c r="AT33" s="2">
        <v>0</v>
      </c>
      <c r="BB33" s="2" t="str">
        <f>+PROPER(BD[[#This Row],[PRIMER_APELLIDO]])</f>
        <v>Serrano</v>
      </c>
    </row>
    <row r="34" spans="1:54" x14ac:dyDescent="0.25">
      <c r="A34" s="2">
        <v>33</v>
      </c>
      <c r="B34" s="2">
        <v>63979</v>
      </c>
      <c r="C34" s="2" t="s">
        <v>619</v>
      </c>
      <c r="D34" s="2" t="s">
        <v>620</v>
      </c>
      <c r="E34" s="2" t="s">
        <v>879</v>
      </c>
      <c r="G34" s="3">
        <v>35.12054794520548</v>
      </c>
      <c r="H34" s="2" t="s">
        <v>622</v>
      </c>
      <c r="I34" s="2" t="s">
        <v>880</v>
      </c>
      <c r="J34" s="2" t="str">
        <f>+IF(BD[[#This Row],[DEPARTAMENTO_INSS]]="MANAGUA","_01_","_02_")</f>
        <v>_01_</v>
      </c>
      <c r="K34" s="2" t="str">
        <f>+CONCATENATE(BD[[#This Row],[Columna3]],BD[[#This Row],[Columna4]],BD[[#This Row],[NOMBRE COMPLETO]])</f>
        <v>E003_01_nancy yaoska sandino rivera</v>
      </c>
      <c r="L34" s="2" t="s">
        <v>881</v>
      </c>
      <c r="M34" s="2" t="s">
        <v>882</v>
      </c>
      <c r="N34" s="2" t="s">
        <v>267</v>
      </c>
      <c r="O34" s="2" t="s">
        <v>883</v>
      </c>
      <c r="P34" s="2" t="s">
        <v>626</v>
      </c>
      <c r="Q34" s="2" t="s">
        <v>351</v>
      </c>
      <c r="R34" s="2">
        <v>31977</v>
      </c>
      <c r="S34" s="2">
        <v>31977</v>
      </c>
      <c r="T34" s="2" t="s">
        <v>627</v>
      </c>
      <c r="U34" s="2" t="s">
        <v>627</v>
      </c>
      <c r="V34" s="2" t="s">
        <v>627</v>
      </c>
      <c r="W34" s="2" t="s">
        <v>627</v>
      </c>
      <c r="X34" s="2" t="s">
        <v>884</v>
      </c>
      <c r="Y34" s="2" t="s">
        <v>885</v>
      </c>
      <c r="Z34" s="2">
        <v>83329788</v>
      </c>
      <c r="AA34" s="2" t="s">
        <v>886</v>
      </c>
      <c r="AB34" s="2" t="s">
        <v>642</v>
      </c>
      <c r="AC34" s="2" t="s">
        <v>632</v>
      </c>
      <c r="AD34" s="2">
        <v>83329788</v>
      </c>
      <c r="AE34" s="2">
        <v>88873486</v>
      </c>
      <c r="AJ34" s="2">
        <v>83329788</v>
      </c>
      <c r="AK34" s="2">
        <v>3</v>
      </c>
      <c r="AL34" s="2" t="s">
        <v>633</v>
      </c>
      <c r="AM34" s="2">
        <v>0</v>
      </c>
      <c r="AN34" s="2">
        <v>0</v>
      </c>
      <c r="AO34" s="2">
        <v>1</v>
      </c>
      <c r="AP34" s="2">
        <v>0</v>
      </c>
      <c r="AQ34" s="2">
        <v>0</v>
      </c>
      <c r="AR34" s="2">
        <v>0</v>
      </c>
      <c r="AS34" s="2">
        <v>0</v>
      </c>
      <c r="AT34" s="2">
        <v>0</v>
      </c>
      <c r="BB34" s="2" t="str">
        <f>+PROPER(BD[[#This Row],[PRIMER_APELLIDO]])</f>
        <v>Sandino</v>
      </c>
    </row>
    <row r="35" spans="1:54" x14ac:dyDescent="0.25">
      <c r="A35" s="2">
        <v>34</v>
      </c>
      <c r="B35" s="2">
        <v>34479</v>
      </c>
      <c r="C35" s="2" t="s">
        <v>619</v>
      </c>
      <c r="D35" s="2" t="s">
        <v>620</v>
      </c>
      <c r="E35" s="2" t="s">
        <v>887</v>
      </c>
      <c r="F35" s="2">
        <v>27230745</v>
      </c>
      <c r="G35" s="3">
        <v>35.123287671232873</v>
      </c>
      <c r="H35" s="2" t="s">
        <v>622</v>
      </c>
      <c r="I35" s="2" t="s">
        <v>888</v>
      </c>
      <c r="J35" s="2" t="str">
        <f>+IF(BD[[#This Row],[DEPARTAMENTO_INSS]]="MANAGUA","_01_","_02_")</f>
        <v>_02_</v>
      </c>
      <c r="K35" s="2" t="str">
        <f>+CONCATENATE(BD[[#This Row],[Columna3]],BD[[#This Row],[Columna4]],BD[[#This Row],[NOMBRE COMPLETO]])</f>
        <v>E003_02_MIUREL SUYEN ROBLETO MATUS</v>
      </c>
      <c r="L35" s="2" t="s">
        <v>889</v>
      </c>
      <c r="M35" s="2" t="s">
        <v>890</v>
      </c>
      <c r="N35" s="2" t="s">
        <v>142</v>
      </c>
      <c r="O35" s="2" t="s">
        <v>65</v>
      </c>
      <c r="P35" s="2" t="s">
        <v>626</v>
      </c>
      <c r="Q35" s="2" t="s">
        <v>351</v>
      </c>
      <c r="R35" s="2">
        <v>31976</v>
      </c>
      <c r="S35" s="2">
        <v>31976</v>
      </c>
      <c r="T35" s="2" t="s">
        <v>133</v>
      </c>
      <c r="U35" s="2" t="s">
        <v>133</v>
      </c>
      <c r="V35" s="2" t="s">
        <v>891</v>
      </c>
      <c r="W35" s="2" t="s">
        <v>869</v>
      </c>
      <c r="X35" s="2" t="s">
        <v>892</v>
      </c>
      <c r="Y35" s="2" t="s">
        <v>893</v>
      </c>
      <c r="AA35" s="2">
        <v>25320909</v>
      </c>
      <c r="AB35" s="2" t="s">
        <v>894</v>
      </c>
      <c r="AC35" s="2" t="s">
        <v>632</v>
      </c>
      <c r="AK35" s="2">
        <v>1</v>
      </c>
      <c r="AL35" s="2" t="s">
        <v>633</v>
      </c>
      <c r="AM35" s="2">
        <v>0</v>
      </c>
      <c r="AN35" s="2">
        <v>0</v>
      </c>
      <c r="AO35" s="2">
        <v>1</v>
      </c>
      <c r="AP35" s="2">
        <v>0</v>
      </c>
      <c r="AQ35" s="2">
        <v>0</v>
      </c>
      <c r="AR35" s="2">
        <v>0</v>
      </c>
      <c r="AS35" s="2">
        <v>0</v>
      </c>
      <c r="AT35" s="2">
        <v>0</v>
      </c>
      <c r="BB35" s="2" t="str">
        <f>+PROPER(BD[[#This Row],[PRIMER_APELLIDO]])</f>
        <v>Robleto</v>
      </c>
    </row>
    <row r="36" spans="1:54" x14ac:dyDescent="0.25">
      <c r="A36" s="2">
        <v>35</v>
      </c>
      <c r="B36" s="2">
        <v>43758</v>
      </c>
      <c r="C36" s="2" t="s">
        <v>619</v>
      </c>
      <c r="D36" s="2" t="s">
        <v>620</v>
      </c>
      <c r="E36" s="2" t="s">
        <v>895</v>
      </c>
      <c r="F36" s="2">
        <v>24234399</v>
      </c>
      <c r="G36" s="3">
        <v>35.123287671232873</v>
      </c>
      <c r="H36" s="2" t="s">
        <v>622</v>
      </c>
      <c r="I36" s="2" t="s">
        <v>896</v>
      </c>
      <c r="J36" s="2" t="str">
        <f>+IF(BD[[#This Row],[DEPARTAMENTO_INSS]]="MANAGUA","_01_","_02_")</f>
        <v>_01_</v>
      </c>
      <c r="K36" s="2" t="str">
        <f>+CONCATENATE(BD[[#This Row],[Columna3]],BD[[#This Row],[Columna4]],BD[[#This Row],[NOMBRE COMPLETO]])</f>
        <v>E003_01_ANA MARIA RODRIGUEZ MURILLO</v>
      </c>
      <c r="L36" s="2" t="s">
        <v>860</v>
      </c>
      <c r="M36" s="2" t="s">
        <v>724</v>
      </c>
      <c r="N36" s="2" t="s">
        <v>185</v>
      </c>
      <c r="O36" s="2" t="s">
        <v>118</v>
      </c>
      <c r="P36" s="2" t="s">
        <v>626</v>
      </c>
      <c r="Q36" s="2" t="s">
        <v>351</v>
      </c>
      <c r="R36" s="2">
        <v>31976</v>
      </c>
      <c r="S36" s="2">
        <v>31976</v>
      </c>
      <c r="T36" s="2" t="s">
        <v>176</v>
      </c>
      <c r="U36" s="2" t="s">
        <v>627</v>
      </c>
      <c r="V36" s="2" t="s">
        <v>897</v>
      </c>
      <c r="W36" s="2" t="s">
        <v>627</v>
      </c>
      <c r="X36" s="2" t="s">
        <v>898</v>
      </c>
      <c r="Y36" s="2" t="s">
        <v>899</v>
      </c>
      <c r="AA36" s="2" t="s">
        <v>900</v>
      </c>
      <c r="AB36" s="2" t="s">
        <v>654</v>
      </c>
      <c r="AC36" s="2" t="s">
        <v>632</v>
      </c>
      <c r="AD36" s="2">
        <v>84260085</v>
      </c>
      <c r="AE36" s="2">
        <v>86342413</v>
      </c>
      <c r="AJ36" s="2">
        <v>84260085</v>
      </c>
      <c r="AK36" s="2">
        <v>2</v>
      </c>
      <c r="AL36" s="2" t="s">
        <v>633</v>
      </c>
      <c r="AM36" s="2">
        <v>0</v>
      </c>
      <c r="AN36" s="2">
        <v>0</v>
      </c>
      <c r="AO36" s="2">
        <v>1</v>
      </c>
      <c r="AP36" s="2">
        <v>0</v>
      </c>
      <c r="AQ36" s="2">
        <v>0</v>
      </c>
      <c r="AR36" s="2">
        <v>0</v>
      </c>
      <c r="AS36" s="2">
        <v>0</v>
      </c>
      <c r="AT36" s="2">
        <v>0</v>
      </c>
      <c r="BB36" s="2" t="str">
        <f>+PROPER(BD[[#This Row],[PRIMER_APELLIDO]])</f>
        <v>Rodriguez</v>
      </c>
    </row>
    <row r="37" spans="1:54" x14ac:dyDescent="0.25">
      <c r="A37" s="2">
        <v>36</v>
      </c>
      <c r="B37" s="2">
        <v>45344</v>
      </c>
      <c r="C37" s="2" t="s">
        <v>619</v>
      </c>
      <c r="D37" s="2" t="s">
        <v>620</v>
      </c>
      <c r="E37" s="2" t="s">
        <v>901</v>
      </c>
      <c r="F37" s="2">
        <v>24235448</v>
      </c>
      <c r="G37" s="3">
        <v>35.123287671232873</v>
      </c>
      <c r="H37" s="2" t="s">
        <v>622</v>
      </c>
      <c r="I37" s="2" t="s">
        <v>902</v>
      </c>
      <c r="J37" s="2" t="str">
        <f>+IF(BD[[#This Row],[DEPARTAMENTO_INSS]]="MANAGUA","_01_","_02_")</f>
        <v>_02_</v>
      </c>
      <c r="K37" s="2" t="str">
        <f>+CONCATENATE(BD[[#This Row],[Columna3]],BD[[#This Row],[Columna4]],BD[[#This Row],[NOMBRE COMPLETO]])</f>
        <v>E003_02_LEONEL ANTONIO SANCHEZ TORREZ</v>
      </c>
      <c r="L37" s="2" t="s">
        <v>903</v>
      </c>
      <c r="M37" s="2" t="s">
        <v>904</v>
      </c>
      <c r="N37" s="2" t="s">
        <v>90</v>
      </c>
      <c r="O37" s="2" t="s">
        <v>158</v>
      </c>
      <c r="P37" s="2" t="s">
        <v>649</v>
      </c>
      <c r="Q37" s="2" t="s">
        <v>351</v>
      </c>
      <c r="R37" s="2">
        <v>31976</v>
      </c>
      <c r="S37" s="2">
        <v>31976</v>
      </c>
      <c r="U37" s="2" t="s">
        <v>176</v>
      </c>
      <c r="W37" s="2" t="s">
        <v>176</v>
      </c>
      <c r="X37" s="2" t="s">
        <v>905</v>
      </c>
      <c r="Y37" s="2" t="s">
        <v>906</v>
      </c>
      <c r="AA37" s="2" t="s">
        <v>907</v>
      </c>
      <c r="AB37" s="2" t="s">
        <v>654</v>
      </c>
      <c r="AC37" s="2" t="s">
        <v>632</v>
      </c>
      <c r="AD37" s="2">
        <v>89489382</v>
      </c>
      <c r="AE37" s="2">
        <v>86772626</v>
      </c>
      <c r="AJ37" s="2">
        <v>89489382</v>
      </c>
      <c r="AK37" s="2">
        <v>2</v>
      </c>
      <c r="AL37" s="2" t="s">
        <v>633</v>
      </c>
      <c r="AM37" s="2">
        <v>0</v>
      </c>
      <c r="AN37" s="2">
        <v>0</v>
      </c>
      <c r="AO37" s="2">
        <v>1</v>
      </c>
      <c r="AP37" s="2">
        <v>0</v>
      </c>
      <c r="AQ37" s="2">
        <v>0</v>
      </c>
      <c r="AR37" s="2">
        <v>0</v>
      </c>
      <c r="AS37" s="2">
        <v>0</v>
      </c>
      <c r="AT37" s="2">
        <v>0</v>
      </c>
      <c r="BB37" s="2" t="str">
        <f>+PROPER(BD[[#This Row],[PRIMER_APELLIDO]])</f>
        <v>Sanchez</v>
      </c>
    </row>
    <row r="38" spans="1:54" x14ac:dyDescent="0.25">
      <c r="A38" s="2">
        <v>37</v>
      </c>
      <c r="B38" s="2">
        <v>57428</v>
      </c>
      <c r="C38" s="2" t="s">
        <v>619</v>
      </c>
      <c r="D38" s="2" t="s">
        <v>620</v>
      </c>
      <c r="E38" s="2" t="s">
        <v>908</v>
      </c>
      <c r="G38" s="3">
        <v>35.126027397260273</v>
      </c>
      <c r="H38" s="2" t="s">
        <v>622</v>
      </c>
      <c r="I38" s="2" t="s">
        <v>909</v>
      </c>
      <c r="J38" s="2" t="str">
        <f>+IF(BD[[#This Row],[DEPARTAMENTO_INSS]]="MANAGUA","_01_","_02_")</f>
        <v>_01_</v>
      </c>
      <c r="K38" s="2" t="str">
        <f>+CONCATENATE(BD[[#This Row],[Columna3]],BD[[#This Row],[Columna4]],BD[[#This Row],[NOMBRE COMPLETO]])</f>
        <v>E003_01_MARIA JOSE GARCIA MARTINEZ</v>
      </c>
      <c r="L38" s="2" t="s">
        <v>724</v>
      </c>
      <c r="M38" s="2" t="s">
        <v>243</v>
      </c>
      <c r="N38" s="2" t="s">
        <v>10</v>
      </c>
      <c r="O38" s="2" t="s">
        <v>44</v>
      </c>
      <c r="P38" s="2" t="s">
        <v>626</v>
      </c>
      <c r="Q38" s="2" t="s">
        <v>351</v>
      </c>
      <c r="R38" s="2">
        <v>31975</v>
      </c>
      <c r="S38" s="2">
        <v>31975</v>
      </c>
      <c r="T38" s="2" t="s">
        <v>627</v>
      </c>
      <c r="U38" s="2" t="s">
        <v>627</v>
      </c>
      <c r="V38" s="2" t="s">
        <v>627</v>
      </c>
      <c r="W38" s="2" t="s">
        <v>627</v>
      </c>
      <c r="X38" s="2" t="s">
        <v>910</v>
      </c>
      <c r="Y38" s="2" t="s">
        <v>911</v>
      </c>
      <c r="Z38" s="2">
        <v>58672481</v>
      </c>
      <c r="AA38" s="2" t="s">
        <v>912</v>
      </c>
      <c r="AB38" s="2" t="s">
        <v>773</v>
      </c>
      <c r="AC38" s="2" t="s">
        <v>632</v>
      </c>
      <c r="AD38" s="2">
        <v>58672481</v>
      </c>
      <c r="AE38" s="2">
        <v>88560434</v>
      </c>
      <c r="AF38" s="2">
        <v>83396707</v>
      </c>
      <c r="AJ38" s="2">
        <v>58672481</v>
      </c>
      <c r="AK38" s="2">
        <v>3</v>
      </c>
      <c r="AL38" s="2" t="s">
        <v>633</v>
      </c>
      <c r="AM38" s="2">
        <v>0</v>
      </c>
      <c r="AN38" s="2">
        <v>0</v>
      </c>
      <c r="AO38" s="2">
        <v>1</v>
      </c>
      <c r="AP38" s="2">
        <v>0</v>
      </c>
      <c r="AQ38" s="2">
        <v>0</v>
      </c>
      <c r="AR38" s="2">
        <v>0</v>
      </c>
      <c r="AS38" s="2">
        <v>0</v>
      </c>
      <c r="AT38" s="2">
        <v>0</v>
      </c>
      <c r="BA38" s="2" t="s">
        <v>913</v>
      </c>
      <c r="BB38" s="2" t="str">
        <f>+PROPER(BD[[#This Row],[PRIMER_APELLIDO]])</f>
        <v>Garcia</v>
      </c>
    </row>
    <row r="39" spans="1:54" x14ac:dyDescent="0.25">
      <c r="A39" s="2">
        <v>38</v>
      </c>
      <c r="B39" s="2">
        <v>49415</v>
      </c>
      <c r="C39" s="2" t="s">
        <v>619</v>
      </c>
      <c r="D39" s="2" t="s">
        <v>620</v>
      </c>
      <c r="E39" s="2" t="s">
        <v>914</v>
      </c>
      <c r="F39" s="2">
        <v>25032855</v>
      </c>
      <c r="G39" s="3">
        <v>35.136986301369866</v>
      </c>
      <c r="H39" s="2" t="s">
        <v>622</v>
      </c>
      <c r="I39" s="2" t="s">
        <v>915</v>
      </c>
      <c r="J39" s="2" t="str">
        <f>+IF(BD[[#This Row],[DEPARTAMENTO_INSS]]="MANAGUA","_01_","_02_")</f>
        <v>_02_</v>
      </c>
      <c r="K39" s="2" t="str">
        <f>+CONCATENATE(BD[[#This Row],[Columna3]],BD[[#This Row],[Columna4]],BD[[#This Row],[NOMBRE COMPLETO]])</f>
        <v>E003_02_DAVID ANTONIO RUGAMA RUIZ</v>
      </c>
      <c r="L39" s="2" t="s">
        <v>916</v>
      </c>
      <c r="M39" s="2" t="s">
        <v>904</v>
      </c>
      <c r="N39" s="2" t="s">
        <v>182</v>
      </c>
      <c r="O39" s="2" t="s">
        <v>84</v>
      </c>
      <c r="P39" s="2" t="s">
        <v>649</v>
      </c>
      <c r="Q39" s="2" t="s">
        <v>351</v>
      </c>
      <c r="R39" s="2">
        <v>31971</v>
      </c>
      <c r="S39" s="2">
        <v>31971</v>
      </c>
      <c r="T39" s="2" t="s">
        <v>691</v>
      </c>
      <c r="U39" s="2" t="s">
        <v>691</v>
      </c>
      <c r="V39" s="2" t="s">
        <v>716</v>
      </c>
      <c r="W39" s="2" t="s">
        <v>691</v>
      </c>
      <c r="X39" s="2" t="s">
        <v>917</v>
      </c>
      <c r="Y39" s="2" t="s">
        <v>918</v>
      </c>
      <c r="Z39" s="2">
        <v>86689782</v>
      </c>
      <c r="AA39" s="2">
        <v>89415998</v>
      </c>
      <c r="AB39" s="2" t="s">
        <v>798</v>
      </c>
      <c r="AC39" s="2" t="s">
        <v>632</v>
      </c>
      <c r="AD39" s="2">
        <v>86689782</v>
      </c>
      <c r="AF39" s="2">
        <v>89415998</v>
      </c>
      <c r="AJ39" s="2">
        <v>86689782</v>
      </c>
      <c r="AK39" s="2">
        <v>2</v>
      </c>
      <c r="AL39" s="2" t="s">
        <v>633</v>
      </c>
      <c r="AM39" s="2">
        <v>0</v>
      </c>
      <c r="AN39" s="2">
        <v>0</v>
      </c>
      <c r="AO39" s="2">
        <v>1</v>
      </c>
      <c r="AP39" s="2">
        <v>0</v>
      </c>
      <c r="AQ39" s="2">
        <v>0</v>
      </c>
      <c r="AR39" s="2">
        <v>0</v>
      </c>
      <c r="AS39" s="2">
        <v>0</v>
      </c>
      <c r="AT39" s="2">
        <v>0</v>
      </c>
      <c r="BB39" s="2" t="str">
        <f>+PROPER(BD[[#This Row],[PRIMER_APELLIDO]])</f>
        <v>Rugama</v>
      </c>
    </row>
    <row r="40" spans="1:54" x14ac:dyDescent="0.25">
      <c r="A40" s="2">
        <v>39</v>
      </c>
      <c r="B40" s="2">
        <v>42718</v>
      </c>
      <c r="C40" s="2" t="s">
        <v>619</v>
      </c>
      <c r="D40" s="2" t="s">
        <v>620</v>
      </c>
      <c r="E40" s="2" t="s">
        <v>919</v>
      </c>
      <c r="F40" s="2">
        <v>26167741</v>
      </c>
      <c r="G40" s="3">
        <v>35.139726027397259</v>
      </c>
      <c r="H40" s="2" t="s">
        <v>622</v>
      </c>
      <c r="I40" s="2" t="s">
        <v>920</v>
      </c>
      <c r="J40" s="2" t="str">
        <f>+IF(BD[[#This Row],[DEPARTAMENTO_INSS]]="MANAGUA","_01_","_02_")</f>
        <v>_01_</v>
      </c>
      <c r="K40" s="2" t="str">
        <f>+CONCATENATE(BD[[#This Row],[Columna3]],BD[[#This Row],[Columna4]],BD[[#This Row],[NOMBRE COMPLETO]])</f>
        <v>E003_01_SHARON SELENA VARGAS CRUZ</v>
      </c>
      <c r="L40" s="2" t="s">
        <v>921</v>
      </c>
      <c r="M40" s="2" t="s">
        <v>922</v>
      </c>
      <c r="N40" s="2" t="s">
        <v>34</v>
      </c>
      <c r="O40" s="2" t="s">
        <v>32</v>
      </c>
      <c r="P40" s="2" t="s">
        <v>626</v>
      </c>
      <c r="Q40" s="2" t="s">
        <v>351</v>
      </c>
      <c r="R40" s="2">
        <v>31970</v>
      </c>
      <c r="S40" s="2">
        <v>31970</v>
      </c>
      <c r="T40" s="2" t="s">
        <v>627</v>
      </c>
      <c r="U40" s="2" t="s">
        <v>627</v>
      </c>
      <c r="V40" s="2" t="s">
        <v>627</v>
      </c>
      <c r="W40" s="2" t="s">
        <v>627</v>
      </c>
      <c r="X40" s="2" t="s">
        <v>923</v>
      </c>
      <c r="Y40" s="2" t="s">
        <v>924</v>
      </c>
      <c r="AA40" s="2" t="s">
        <v>925</v>
      </c>
      <c r="AB40" s="2" t="s">
        <v>642</v>
      </c>
      <c r="AC40" s="2" t="s">
        <v>632</v>
      </c>
      <c r="AE40" s="2">
        <v>88107020</v>
      </c>
      <c r="AJ40" s="2">
        <v>88107020</v>
      </c>
      <c r="AK40" s="2">
        <v>2</v>
      </c>
      <c r="AL40" s="2" t="s">
        <v>633</v>
      </c>
      <c r="AM40" s="2">
        <v>0</v>
      </c>
      <c r="AN40" s="2">
        <v>0</v>
      </c>
      <c r="AO40" s="2">
        <v>1</v>
      </c>
      <c r="AP40" s="2">
        <v>0</v>
      </c>
      <c r="AQ40" s="2">
        <v>0</v>
      </c>
      <c r="AR40" s="2">
        <v>0</v>
      </c>
      <c r="AS40" s="2">
        <v>0</v>
      </c>
      <c r="AT40" s="2">
        <v>0</v>
      </c>
      <c r="BB40" s="2" t="str">
        <f>+PROPER(BD[[#This Row],[PRIMER_APELLIDO]])</f>
        <v>Vargas</v>
      </c>
    </row>
    <row r="41" spans="1:54" x14ac:dyDescent="0.25">
      <c r="A41" s="2">
        <v>40</v>
      </c>
      <c r="B41" s="2">
        <v>53023</v>
      </c>
      <c r="C41" s="2" t="s">
        <v>619</v>
      </c>
      <c r="D41" s="2" t="s">
        <v>620</v>
      </c>
      <c r="E41" s="2" t="s">
        <v>926</v>
      </c>
      <c r="G41" s="3">
        <v>35.142465753424659</v>
      </c>
      <c r="H41" s="2" t="s">
        <v>622</v>
      </c>
      <c r="I41" s="2" t="s">
        <v>927</v>
      </c>
      <c r="J41" s="2" t="str">
        <f>+IF(BD[[#This Row],[DEPARTAMENTO_INSS]]="MANAGUA","_01_","_02_")</f>
        <v>_02_</v>
      </c>
      <c r="K41" s="2" t="str">
        <f>+CONCATENATE(BD[[#This Row],[Columna3]],BD[[#This Row],[Columna4]],BD[[#This Row],[NOMBRE COMPLETO]])</f>
        <v>E003_02_MARIA ARGENTINA CHAVEZ BOJORGE</v>
      </c>
      <c r="L41" s="2" t="s">
        <v>724</v>
      </c>
      <c r="M41" s="2" t="s">
        <v>928</v>
      </c>
      <c r="N41" s="2" t="s">
        <v>207</v>
      </c>
      <c r="O41" s="2" t="s">
        <v>216</v>
      </c>
      <c r="P41" s="2" t="s">
        <v>626</v>
      </c>
      <c r="Q41" s="2" t="s">
        <v>351</v>
      </c>
      <c r="R41" s="2">
        <v>31969</v>
      </c>
      <c r="S41" s="2">
        <v>31969</v>
      </c>
      <c r="T41" s="2" t="s">
        <v>929</v>
      </c>
      <c r="U41" s="2" t="s">
        <v>929</v>
      </c>
      <c r="V41" s="2" t="s">
        <v>930</v>
      </c>
      <c r="W41" s="2" t="s">
        <v>930</v>
      </c>
      <c r="X41" s="2" t="s">
        <v>931</v>
      </c>
      <c r="Y41" s="2" t="s">
        <v>932</v>
      </c>
      <c r="Z41" s="2">
        <v>89017035</v>
      </c>
      <c r="AB41" s="2" t="s">
        <v>631</v>
      </c>
      <c r="AC41" s="2" t="s">
        <v>632</v>
      </c>
      <c r="AD41" s="2">
        <v>89017035</v>
      </c>
      <c r="AJ41" s="2">
        <v>89017035</v>
      </c>
      <c r="AK41" s="2">
        <v>1</v>
      </c>
      <c r="AL41" s="2" t="s">
        <v>633</v>
      </c>
      <c r="AM41" s="2">
        <v>0</v>
      </c>
      <c r="AN41" s="2">
        <v>0</v>
      </c>
      <c r="AO41" s="2">
        <v>1</v>
      </c>
      <c r="AP41" s="2">
        <v>0</v>
      </c>
      <c r="AQ41" s="2">
        <v>0</v>
      </c>
      <c r="AR41" s="2">
        <v>0</v>
      </c>
      <c r="AS41" s="2">
        <v>0</v>
      </c>
      <c r="AT41" s="2">
        <v>0</v>
      </c>
      <c r="AZ41" s="2" t="s">
        <v>933</v>
      </c>
      <c r="BB41" s="2" t="str">
        <f>+PROPER(BD[[#This Row],[PRIMER_APELLIDO]])</f>
        <v>Chavez</v>
      </c>
    </row>
    <row r="42" spans="1:54" x14ac:dyDescent="0.25">
      <c r="A42" s="2">
        <v>41</v>
      </c>
      <c r="B42" s="2">
        <v>48684</v>
      </c>
      <c r="C42" s="2" t="s">
        <v>619</v>
      </c>
      <c r="D42" s="2" t="s">
        <v>620</v>
      </c>
      <c r="E42" s="2" t="s">
        <v>934</v>
      </c>
      <c r="F42" s="2">
        <v>26963424</v>
      </c>
      <c r="G42" s="3">
        <v>35.150684931506852</v>
      </c>
      <c r="H42" s="2" t="s">
        <v>622</v>
      </c>
      <c r="I42" s="2" t="s">
        <v>935</v>
      </c>
      <c r="J42" s="2" t="str">
        <f>+IF(BD[[#This Row],[DEPARTAMENTO_INSS]]="MANAGUA","_01_","_02_")</f>
        <v>_02_</v>
      </c>
      <c r="K42" s="2" t="str">
        <f>+CONCATENATE(BD[[#This Row],[Columna3]],BD[[#This Row],[Columna4]],BD[[#This Row],[NOMBRE COMPLETO]])</f>
        <v>E003_02_LOYOLA MARGARITA MUNGUIA LOPEZ</v>
      </c>
      <c r="L42" s="2" t="s">
        <v>936</v>
      </c>
      <c r="M42" s="2" t="s">
        <v>937</v>
      </c>
      <c r="N42" s="2" t="s">
        <v>197</v>
      </c>
      <c r="O42" s="2" t="s">
        <v>15</v>
      </c>
      <c r="P42" s="2" t="s">
        <v>626</v>
      </c>
      <c r="Q42" s="2" t="s">
        <v>351</v>
      </c>
      <c r="R42" s="2">
        <v>31966</v>
      </c>
      <c r="S42" s="2">
        <v>31966</v>
      </c>
      <c r="T42" s="2" t="s">
        <v>133</v>
      </c>
      <c r="U42" s="2" t="s">
        <v>133</v>
      </c>
      <c r="V42" s="2" t="s">
        <v>938</v>
      </c>
      <c r="W42" s="2" t="s">
        <v>939</v>
      </c>
      <c r="X42" s="2" t="s">
        <v>940</v>
      </c>
      <c r="Y42" s="2" t="s">
        <v>941</v>
      </c>
      <c r="Z42" s="2">
        <v>85404738</v>
      </c>
      <c r="AA42" s="2">
        <v>85404738</v>
      </c>
      <c r="AB42" s="2" t="s">
        <v>631</v>
      </c>
      <c r="AC42" s="2" t="s">
        <v>632</v>
      </c>
      <c r="AD42" s="2">
        <v>85404738</v>
      </c>
      <c r="AJ42" s="2">
        <v>85404738</v>
      </c>
      <c r="AK42" s="2">
        <v>2</v>
      </c>
      <c r="AL42" s="2" t="s">
        <v>633</v>
      </c>
      <c r="AM42" s="2">
        <v>0</v>
      </c>
      <c r="AN42" s="2">
        <v>0</v>
      </c>
      <c r="AO42" s="2">
        <v>1</v>
      </c>
      <c r="AP42" s="2">
        <v>0</v>
      </c>
      <c r="AQ42" s="2">
        <v>0</v>
      </c>
      <c r="AR42" s="2">
        <v>0</v>
      </c>
      <c r="AS42" s="2">
        <v>0</v>
      </c>
      <c r="AT42" s="2">
        <v>0</v>
      </c>
      <c r="AZ42" s="2" t="s">
        <v>942</v>
      </c>
      <c r="BB42" s="2" t="str">
        <f>+PROPER(BD[[#This Row],[PRIMER_APELLIDO]])</f>
        <v>Munguia</v>
      </c>
    </row>
    <row r="43" spans="1:54" x14ac:dyDescent="0.25">
      <c r="A43" s="2">
        <v>42</v>
      </c>
      <c r="B43" s="2">
        <v>43142</v>
      </c>
      <c r="C43" s="2" t="s">
        <v>619</v>
      </c>
      <c r="D43" s="2" t="s">
        <v>620</v>
      </c>
      <c r="E43" s="2" t="s">
        <v>943</v>
      </c>
      <c r="F43" s="2">
        <v>23109012</v>
      </c>
      <c r="G43" s="3">
        <v>35.156164383561645</v>
      </c>
      <c r="H43" s="2" t="s">
        <v>622</v>
      </c>
      <c r="I43" s="2" t="s">
        <v>944</v>
      </c>
      <c r="J43" s="2" t="str">
        <f>+IF(BD[[#This Row],[DEPARTAMENTO_INSS]]="MANAGUA","_01_","_02_")</f>
        <v>_02_</v>
      </c>
      <c r="K43" s="2" t="str">
        <f>+CONCATENATE(BD[[#This Row],[Columna3]],BD[[#This Row],[Columna4]],BD[[#This Row],[NOMBRE COMPLETO]])</f>
        <v>E003_02_LUVIANKA SARAHI LOPEZ CRUZ</v>
      </c>
      <c r="L43" s="2" t="s">
        <v>945</v>
      </c>
      <c r="M43" s="2" t="s">
        <v>946</v>
      </c>
      <c r="N43" s="2" t="s">
        <v>15</v>
      </c>
      <c r="O43" s="2" t="s">
        <v>32</v>
      </c>
      <c r="P43" s="2" t="s">
        <v>626</v>
      </c>
      <c r="Q43" s="2" t="s">
        <v>351</v>
      </c>
      <c r="R43" s="2">
        <v>31964</v>
      </c>
      <c r="S43" s="2">
        <v>31964</v>
      </c>
      <c r="T43" s="2" t="s">
        <v>444</v>
      </c>
      <c r="U43" s="2" t="s">
        <v>444</v>
      </c>
      <c r="V43" s="2" t="s">
        <v>947</v>
      </c>
      <c r="W43" s="2" t="s">
        <v>948</v>
      </c>
      <c r="X43" s="2" t="s">
        <v>949</v>
      </c>
      <c r="Y43" s="2" t="s">
        <v>950</v>
      </c>
      <c r="Z43" s="2">
        <v>57025965</v>
      </c>
      <c r="AA43" s="2">
        <v>57443211</v>
      </c>
      <c r="AB43" s="2" t="s">
        <v>642</v>
      </c>
      <c r="AC43" s="2" t="s">
        <v>632</v>
      </c>
      <c r="AD43" s="2">
        <v>57025965</v>
      </c>
      <c r="AE43" s="2">
        <v>57443211</v>
      </c>
      <c r="AJ43" s="2">
        <v>57025965</v>
      </c>
      <c r="AK43" s="2">
        <v>2</v>
      </c>
      <c r="AL43" s="2" t="s">
        <v>633</v>
      </c>
      <c r="AM43" s="2">
        <v>0</v>
      </c>
      <c r="AN43" s="2">
        <v>0</v>
      </c>
      <c r="AO43" s="2">
        <v>1</v>
      </c>
      <c r="AP43" s="2">
        <v>0</v>
      </c>
      <c r="AQ43" s="2">
        <v>0</v>
      </c>
      <c r="AR43" s="2">
        <v>0</v>
      </c>
      <c r="AS43" s="2">
        <v>0</v>
      </c>
      <c r="AT43" s="2">
        <v>0</v>
      </c>
      <c r="BB43" s="2" t="str">
        <f>+PROPER(BD[[#This Row],[PRIMER_APELLIDO]])</f>
        <v>Lopez</v>
      </c>
    </row>
    <row r="44" spans="1:54" x14ac:dyDescent="0.25">
      <c r="A44" s="2">
        <v>43</v>
      </c>
      <c r="B44" s="2">
        <v>74374</v>
      </c>
      <c r="C44" s="2" t="s">
        <v>619</v>
      </c>
      <c r="D44" s="2" t="s">
        <v>620</v>
      </c>
      <c r="E44" s="2" t="s">
        <v>951</v>
      </c>
      <c r="G44" s="3">
        <v>35.156164383561645</v>
      </c>
      <c r="H44" s="2" t="s">
        <v>622</v>
      </c>
      <c r="I44" s="2" t="s">
        <v>952</v>
      </c>
      <c r="J44" s="2" t="str">
        <f>+IF(BD[[#This Row],[DEPARTAMENTO_INSS]]="MANAGUA","_01_","_02_")</f>
        <v>_02_</v>
      </c>
      <c r="K44" s="2" t="str">
        <f>+CONCATENATE(BD[[#This Row],[Columna3]],BD[[#This Row],[Columna4]],BD[[#This Row],[NOMBRE COMPLETO]])</f>
        <v>E003_02_ANDRES ANDRESOVICH CARRASCO</v>
      </c>
      <c r="L44" s="2" t="s">
        <v>953</v>
      </c>
      <c r="M44" s="2" t="s">
        <v>954</v>
      </c>
      <c r="N44" s="2" t="s">
        <v>152</v>
      </c>
      <c r="P44" s="2" t="s">
        <v>649</v>
      </c>
      <c r="Q44" s="2" t="s">
        <v>955</v>
      </c>
      <c r="R44" s="2">
        <v>31964</v>
      </c>
      <c r="T44" s="2" t="s">
        <v>176</v>
      </c>
      <c r="V44" s="2" t="s">
        <v>650</v>
      </c>
      <c r="X44" s="2" t="s">
        <v>956</v>
      </c>
      <c r="Z44" s="2">
        <v>87771039</v>
      </c>
      <c r="AB44" s="2" t="s">
        <v>654</v>
      </c>
      <c r="AC44" s="2" t="s">
        <v>632</v>
      </c>
      <c r="AD44" s="2">
        <v>87771039</v>
      </c>
      <c r="AJ44" s="2">
        <v>87771039</v>
      </c>
      <c r="AK44" s="2">
        <v>1</v>
      </c>
      <c r="AL44" s="2" t="s">
        <v>633</v>
      </c>
      <c r="AM44" s="2">
        <v>0</v>
      </c>
      <c r="AN44" s="2">
        <v>0</v>
      </c>
      <c r="AO44" s="2">
        <v>1</v>
      </c>
      <c r="AP44" s="2">
        <v>0</v>
      </c>
      <c r="AQ44" s="2">
        <v>0</v>
      </c>
      <c r="AR44" s="2">
        <v>0</v>
      </c>
      <c r="AS44" s="2">
        <v>0</v>
      </c>
      <c r="AT44" s="2">
        <v>0</v>
      </c>
      <c r="AZ44" s="2" t="s">
        <v>957</v>
      </c>
      <c r="BB44" s="2" t="str">
        <f>+PROPER(BD[[#This Row],[PRIMER_APELLIDO]])</f>
        <v>Carrasco</v>
      </c>
    </row>
    <row r="45" spans="1:54" x14ac:dyDescent="0.25">
      <c r="A45" s="2">
        <v>44</v>
      </c>
      <c r="B45" s="2">
        <v>75504</v>
      </c>
      <c r="C45" s="2" t="s">
        <v>619</v>
      </c>
      <c r="D45" s="2" t="s">
        <v>620</v>
      </c>
      <c r="E45" s="2" t="s">
        <v>958</v>
      </c>
      <c r="G45" s="3">
        <v>35.161643835616438</v>
      </c>
      <c r="H45" s="2" t="s">
        <v>622</v>
      </c>
      <c r="I45" s="2" t="s">
        <v>959</v>
      </c>
      <c r="J45" s="2" t="str">
        <f>+IF(BD[[#This Row],[DEPARTAMENTO_INSS]]="MANAGUA","_01_","_02_")</f>
        <v>_02_</v>
      </c>
      <c r="K45" s="2" t="str">
        <f>+CONCATENATE(BD[[#This Row],[Columna3]],BD[[#This Row],[Columna4]],BD[[#This Row],[NOMBRE COMPLETO]])</f>
        <v>E003_02_JANETT DEL CARMEN THOMPSON BELLO</v>
      </c>
      <c r="L45" s="2" t="s">
        <v>960</v>
      </c>
      <c r="M45" s="2" t="s">
        <v>961</v>
      </c>
      <c r="N45" s="2" t="s">
        <v>439</v>
      </c>
      <c r="O45" s="2" t="s">
        <v>145</v>
      </c>
      <c r="P45" s="2" t="s">
        <v>626</v>
      </c>
      <c r="Q45" s="2" t="s">
        <v>351</v>
      </c>
      <c r="R45" s="2">
        <v>31962</v>
      </c>
      <c r="S45" s="2">
        <v>31962</v>
      </c>
      <c r="T45" s="2" t="s">
        <v>732</v>
      </c>
      <c r="U45" s="2" t="s">
        <v>732</v>
      </c>
      <c r="V45" s="2" t="s">
        <v>962</v>
      </c>
      <c r="W45" s="2" t="s">
        <v>848</v>
      </c>
      <c r="X45" s="2" t="s">
        <v>963</v>
      </c>
      <c r="Y45" s="2" t="s">
        <v>964</v>
      </c>
      <c r="Z45" s="2">
        <v>89443860</v>
      </c>
      <c r="AA45" s="2">
        <v>83660607</v>
      </c>
      <c r="AB45" s="2" t="s">
        <v>965</v>
      </c>
      <c r="AC45" s="2" t="s">
        <v>632</v>
      </c>
      <c r="AD45" s="2">
        <v>89443860</v>
      </c>
      <c r="AF45" s="2">
        <v>83660607</v>
      </c>
      <c r="AJ45" s="2">
        <v>89443860</v>
      </c>
      <c r="AK45" s="2">
        <v>2</v>
      </c>
      <c r="AL45" s="2" t="s">
        <v>633</v>
      </c>
      <c r="AM45" s="2">
        <v>0</v>
      </c>
      <c r="AN45" s="2">
        <v>0</v>
      </c>
      <c r="AO45" s="2">
        <v>1</v>
      </c>
      <c r="AP45" s="2">
        <v>0</v>
      </c>
      <c r="AQ45" s="2">
        <v>0</v>
      </c>
      <c r="AR45" s="2">
        <v>0</v>
      </c>
      <c r="AS45" s="2">
        <v>0</v>
      </c>
      <c r="AT45" s="2">
        <v>0</v>
      </c>
      <c r="AZ45" s="2" t="s">
        <v>966</v>
      </c>
      <c r="BA45" s="2" t="s">
        <v>967</v>
      </c>
      <c r="BB45" s="2" t="str">
        <f>+PROPER(BD[[#This Row],[PRIMER_APELLIDO]])</f>
        <v>Thompson</v>
      </c>
    </row>
    <row r="46" spans="1:54" x14ac:dyDescent="0.25">
      <c r="A46" s="2">
        <v>45</v>
      </c>
      <c r="B46" s="2">
        <v>43201</v>
      </c>
      <c r="C46" s="2" t="s">
        <v>619</v>
      </c>
      <c r="D46" s="2" t="s">
        <v>620</v>
      </c>
      <c r="E46" s="2" t="s">
        <v>968</v>
      </c>
      <c r="F46" s="2">
        <v>19021748</v>
      </c>
      <c r="G46" s="3">
        <v>35.167123287671231</v>
      </c>
      <c r="H46" s="2" t="s">
        <v>622</v>
      </c>
      <c r="I46" s="2" t="s">
        <v>969</v>
      </c>
      <c r="J46" s="2" t="str">
        <f>+IF(BD[[#This Row],[DEPARTAMENTO_INSS]]="MANAGUA","_01_","_02_")</f>
        <v>_02_</v>
      </c>
      <c r="K46" s="2" t="str">
        <f>+CONCATENATE(BD[[#This Row],[Columna3]],BD[[#This Row],[Columna4]],BD[[#This Row],[NOMBRE COMPLETO]])</f>
        <v>E003_02_MARIA AUXILIADORA LOPEZ LOPEZ</v>
      </c>
      <c r="L46" s="2" t="s">
        <v>724</v>
      </c>
      <c r="M46" s="2" t="s">
        <v>970</v>
      </c>
      <c r="N46" s="2" t="s">
        <v>15</v>
      </c>
      <c r="O46" s="2" t="s">
        <v>15</v>
      </c>
      <c r="P46" s="2" t="s">
        <v>626</v>
      </c>
      <c r="Q46" s="2" t="s">
        <v>351</v>
      </c>
      <c r="R46" s="2">
        <v>31960</v>
      </c>
      <c r="S46" s="2">
        <v>31960</v>
      </c>
      <c r="T46" s="2" t="s">
        <v>133</v>
      </c>
      <c r="U46" s="2" t="s">
        <v>133</v>
      </c>
      <c r="V46" s="2" t="s">
        <v>870</v>
      </c>
      <c r="W46" s="2" t="s">
        <v>870</v>
      </c>
      <c r="Y46" s="2" t="s">
        <v>971</v>
      </c>
      <c r="AA46" s="2">
        <v>89238269</v>
      </c>
      <c r="AB46" s="2" t="s">
        <v>642</v>
      </c>
      <c r="AC46" s="2" t="s">
        <v>632</v>
      </c>
      <c r="AD46" s="2">
        <v>89238269</v>
      </c>
      <c r="AJ46" s="2">
        <v>89238269</v>
      </c>
      <c r="AK46" s="2">
        <v>1</v>
      </c>
      <c r="AL46" s="2" t="s">
        <v>633</v>
      </c>
      <c r="AM46" s="2">
        <v>0</v>
      </c>
      <c r="AN46" s="2">
        <v>0</v>
      </c>
      <c r="AO46" s="2">
        <v>1</v>
      </c>
      <c r="AP46" s="2">
        <v>0</v>
      </c>
      <c r="AQ46" s="2">
        <v>0</v>
      </c>
      <c r="AR46" s="2">
        <v>0</v>
      </c>
      <c r="AS46" s="2">
        <v>0</v>
      </c>
      <c r="AT46" s="2">
        <v>0</v>
      </c>
      <c r="BB46" s="2" t="str">
        <f>+PROPER(BD[[#This Row],[PRIMER_APELLIDO]])</f>
        <v>Lopez</v>
      </c>
    </row>
    <row r="47" spans="1:54" x14ac:dyDescent="0.25">
      <c r="A47" s="2">
        <v>46</v>
      </c>
      <c r="B47" s="2">
        <v>56887</v>
      </c>
      <c r="C47" s="2" t="s">
        <v>619</v>
      </c>
      <c r="D47" s="2" t="s">
        <v>620</v>
      </c>
      <c r="E47" s="2" t="s">
        <v>972</v>
      </c>
      <c r="G47" s="3">
        <v>35.167123287671231</v>
      </c>
      <c r="H47" s="2" t="s">
        <v>622</v>
      </c>
      <c r="I47" s="2" t="s">
        <v>973</v>
      </c>
      <c r="J47" s="2" t="str">
        <f>+IF(BD[[#This Row],[DEPARTAMENTO_INSS]]="MANAGUA","_01_","_02_")</f>
        <v>_01_</v>
      </c>
      <c r="K47" s="2" t="str">
        <f>+CONCATENATE(BD[[#This Row],[Columna3]],BD[[#This Row],[Columna4]],BD[[#This Row],[NOMBRE COMPLETO]])</f>
        <v>E003_01_ADALBERTO JAVIER ARGUELLO MORALES</v>
      </c>
      <c r="L47" s="2" t="s">
        <v>974</v>
      </c>
      <c r="M47" s="2" t="s">
        <v>975</v>
      </c>
      <c r="N47" s="2" t="s">
        <v>271</v>
      </c>
      <c r="O47" s="2" t="s">
        <v>82</v>
      </c>
      <c r="P47" s="2" t="s">
        <v>649</v>
      </c>
      <c r="Q47" s="2" t="s">
        <v>351</v>
      </c>
      <c r="R47" s="2">
        <v>31960</v>
      </c>
      <c r="S47" s="2">
        <v>31960</v>
      </c>
      <c r="T47" s="2" t="s">
        <v>627</v>
      </c>
      <c r="U47" s="2" t="s">
        <v>627</v>
      </c>
      <c r="V47" s="2" t="s">
        <v>627</v>
      </c>
      <c r="W47" s="2" t="s">
        <v>692</v>
      </c>
      <c r="X47" s="2" t="s">
        <v>976</v>
      </c>
      <c r="Y47" s="2" t="s">
        <v>977</v>
      </c>
      <c r="Z47" s="2">
        <v>83504554</v>
      </c>
      <c r="AA47" s="2">
        <v>83504554</v>
      </c>
      <c r="AB47" s="2" t="s">
        <v>798</v>
      </c>
      <c r="AC47" s="2" t="s">
        <v>632</v>
      </c>
      <c r="AD47" s="2">
        <v>83504554</v>
      </c>
      <c r="AJ47" s="2">
        <v>83504554</v>
      </c>
      <c r="AK47" s="2">
        <v>2</v>
      </c>
      <c r="AL47" s="2" t="s">
        <v>633</v>
      </c>
      <c r="AM47" s="2">
        <v>0</v>
      </c>
      <c r="AN47" s="2">
        <v>0</v>
      </c>
      <c r="AO47" s="2">
        <v>1</v>
      </c>
      <c r="AP47" s="2">
        <v>0</v>
      </c>
      <c r="AQ47" s="2">
        <v>0</v>
      </c>
      <c r="AR47" s="2">
        <v>0</v>
      </c>
      <c r="AS47" s="2">
        <v>0</v>
      </c>
      <c r="AT47" s="2">
        <v>0</v>
      </c>
      <c r="AZ47" s="2" t="s">
        <v>978</v>
      </c>
      <c r="BB47" s="2" t="str">
        <f>+PROPER(BD[[#This Row],[PRIMER_APELLIDO]])</f>
        <v>Arguello</v>
      </c>
    </row>
    <row r="48" spans="1:54" x14ac:dyDescent="0.25">
      <c r="A48" s="2">
        <v>47</v>
      </c>
      <c r="B48" s="2">
        <v>58264</v>
      </c>
      <c r="C48" s="2" t="s">
        <v>619</v>
      </c>
      <c r="D48" s="2" t="s">
        <v>620</v>
      </c>
      <c r="E48" s="2" t="s">
        <v>979</v>
      </c>
      <c r="G48" s="3">
        <v>35.167123287671231</v>
      </c>
      <c r="H48" s="2" t="s">
        <v>622</v>
      </c>
      <c r="I48" s="2" t="s">
        <v>980</v>
      </c>
      <c r="J48" s="2" t="str">
        <f>+IF(BD[[#This Row],[DEPARTAMENTO_INSS]]="MANAGUA","_01_","_02_")</f>
        <v>_02_</v>
      </c>
      <c r="K48" s="2" t="str">
        <f>+CONCATENATE(BD[[#This Row],[Columna3]],BD[[#This Row],[Columna4]],BD[[#This Row],[NOMBRE COMPLETO]])</f>
        <v>E003_02_JONATHAN ESPINOZA CRUZ</v>
      </c>
      <c r="L48" s="2" t="s">
        <v>981</v>
      </c>
      <c r="N48" s="2" t="s">
        <v>235</v>
      </c>
      <c r="O48" s="2" t="s">
        <v>32</v>
      </c>
      <c r="P48" s="2" t="s">
        <v>649</v>
      </c>
      <c r="Q48" s="2" t="s">
        <v>351</v>
      </c>
      <c r="R48" s="2">
        <v>31960</v>
      </c>
      <c r="S48" s="2">
        <v>31960</v>
      </c>
      <c r="T48" s="2" t="s">
        <v>691</v>
      </c>
      <c r="U48" s="2" t="s">
        <v>691</v>
      </c>
      <c r="V48" s="2" t="s">
        <v>716</v>
      </c>
      <c r="W48" s="2" t="s">
        <v>691</v>
      </c>
      <c r="X48" s="2" t="s">
        <v>982</v>
      </c>
      <c r="Y48" s="2" t="s">
        <v>983</v>
      </c>
      <c r="Z48" s="2">
        <v>83510323</v>
      </c>
      <c r="AA48" s="2">
        <v>83510323</v>
      </c>
      <c r="AB48" s="2" t="s">
        <v>984</v>
      </c>
      <c r="AC48" s="2" t="s">
        <v>632</v>
      </c>
      <c r="AD48" s="2">
        <v>83510323</v>
      </c>
      <c r="AJ48" s="2">
        <v>83510323</v>
      </c>
      <c r="AK48" s="2">
        <v>2</v>
      </c>
      <c r="AL48" s="2" t="s">
        <v>633</v>
      </c>
      <c r="AM48" s="2">
        <v>0</v>
      </c>
      <c r="AN48" s="2">
        <v>0</v>
      </c>
      <c r="AO48" s="2">
        <v>1</v>
      </c>
      <c r="AP48" s="2">
        <v>0</v>
      </c>
      <c r="AQ48" s="2">
        <v>0</v>
      </c>
      <c r="AR48" s="2">
        <v>0</v>
      </c>
      <c r="AS48" s="2">
        <v>0</v>
      </c>
      <c r="AT48" s="2">
        <v>0</v>
      </c>
      <c r="AZ48" s="2" t="s">
        <v>985</v>
      </c>
      <c r="BB48" s="2" t="str">
        <f>+PROPER(BD[[#This Row],[PRIMER_APELLIDO]])</f>
        <v>Espinoza</v>
      </c>
    </row>
    <row r="49" spans="1:54" x14ac:dyDescent="0.25">
      <c r="A49" s="2">
        <v>48</v>
      </c>
      <c r="B49" s="2">
        <v>60524</v>
      </c>
      <c r="C49" s="2" t="s">
        <v>619</v>
      </c>
      <c r="D49" s="2" t="s">
        <v>620</v>
      </c>
      <c r="E49" s="2" t="s">
        <v>986</v>
      </c>
      <c r="G49" s="3">
        <v>35.183561643835617</v>
      </c>
      <c r="H49" s="2" t="s">
        <v>622</v>
      </c>
      <c r="I49" s="2" t="s">
        <v>987</v>
      </c>
      <c r="J49" s="2" t="str">
        <f>+IF(BD[[#This Row],[DEPARTAMENTO_INSS]]="MANAGUA","_01_","_02_")</f>
        <v>_02_</v>
      </c>
      <c r="K49" s="2" t="str">
        <f>+CONCATENATE(BD[[#This Row],[Columna3]],BD[[#This Row],[Columna4]],BD[[#This Row],[NOMBRE COMPLETO]])</f>
        <v>E003_02_ARA ANAHI NEY DIAZ</v>
      </c>
      <c r="L49" s="2" t="s">
        <v>988</v>
      </c>
      <c r="M49" s="2" t="s">
        <v>989</v>
      </c>
      <c r="N49" s="2" t="s">
        <v>20</v>
      </c>
      <c r="O49" s="2" t="s">
        <v>91</v>
      </c>
      <c r="P49" s="2" t="s">
        <v>626</v>
      </c>
      <c r="Q49" s="2" t="s">
        <v>351</v>
      </c>
      <c r="R49" s="2">
        <v>31954</v>
      </c>
      <c r="S49" s="2">
        <v>31954</v>
      </c>
      <c r="T49" s="2" t="s">
        <v>691</v>
      </c>
      <c r="U49" s="2" t="s">
        <v>691</v>
      </c>
      <c r="V49" s="2" t="s">
        <v>716</v>
      </c>
      <c r="W49" s="2" t="s">
        <v>691</v>
      </c>
      <c r="X49" s="2" t="s">
        <v>990</v>
      </c>
      <c r="Y49" s="2" t="s">
        <v>991</v>
      </c>
      <c r="AA49" s="2" t="s">
        <v>992</v>
      </c>
      <c r="AB49" s="2" t="s">
        <v>631</v>
      </c>
      <c r="AC49" s="2" t="s">
        <v>632</v>
      </c>
      <c r="AE49" s="2">
        <v>85329971</v>
      </c>
      <c r="AH49" s="2">
        <v>84233101</v>
      </c>
      <c r="AJ49" s="2">
        <v>85329971</v>
      </c>
      <c r="AK49" s="2">
        <v>3</v>
      </c>
      <c r="AL49" s="2" t="s">
        <v>633</v>
      </c>
      <c r="AM49" s="2">
        <v>0</v>
      </c>
      <c r="AN49" s="2">
        <v>0</v>
      </c>
      <c r="AO49" s="2">
        <v>1</v>
      </c>
      <c r="AP49" s="2">
        <v>0</v>
      </c>
      <c r="AQ49" s="2">
        <v>0</v>
      </c>
      <c r="AR49" s="2">
        <v>0</v>
      </c>
      <c r="AS49" s="2">
        <v>0</v>
      </c>
      <c r="AT49" s="2">
        <v>0</v>
      </c>
      <c r="BA49" s="2" t="s">
        <v>993</v>
      </c>
      <c r="BB49" s="2" t="str">
        <f>+PROPER(BD[[#This Row],[PRIMER_APELLIDO]])</f>
        <v>Ney</v>
      </c>
    </row>
    <row r="50" spans="1:54" x14ac:dyDescent="0.25">
      <c r="A50" s="2">
        <v>49</v>
      </c>
      <c r="B50" s="2">
        <v>43245</v>
      </c>
      <c r="C50" s="2" t="s">
        <v>619</v>
      </c>
      <c r="D50" s="2" t="s">
        <v>620</v>
      </c>
      <c r="E50" s="2" t="s">
        <v>994</v>
      </c>
      <c r="F50" s="2">
        <v>24236234</v>
      </c>
      <c r="G50" s="3">
        <v>35.18904109589041</v>
      </c>
      <c r="H50" s="2" t="s">
        <v>622</v>
      </c>
      <c r="I50" s="2" t="s">
        <v>995</v>
      </c>
      <c r="J50" s="2" t="str">
        <f>+IF(BD[[#This Row],[DEPARTAMENTO_INSS]]="MANAGUA","_01_","_02_")</f>
        <v>_02_</v>
      </c>
      <c r="K50" s="2" t="str">
        <f>+CONCATENATE(BD[[#This Row],[Columna3]],BD[[#This Row],[Columna4]],BD[[#This Row],[NOMBRE COMPLETO]])</f>
        <v>E003_02_EDWIN JOSE BALTODANO TRUJILLO</v>
      </c>
      <c r="L50" s="2" t="s">
        <v>996</v>
      </c>
      <c r="M50" s="2" t="s">
        <v>243</v>
      </c>
      <c r="N50" s="2" t="s">
        <v>112</v>
      </c>
      <c r="O50" s="2" t="s">
        <v>236</v>
      </c>
      <c r="P50" s="2" t="s">
        <v>649</v>
      </c>
      <c r="Q50" s="2" t="s">
        <v>351</v>
      </c>
      <c r="R50" s="2">
        <v>31952</v>
      </c>
      <c r="S50" s="2">
        <v>31952</v>
      </c>
      <c r="T50" s="2" t="s">
        <v>176</v>
      </c>
      <c r="U50" s="2" t="s">
        <v>176</v>
      </c>
      <c r="V50" s="2" t="s">
        <v>997</v>
      </c>
      <c r="W50" s="2" t="s">
        <v>997</v>
      </c>
      <c r="X50" s="2" t="s">
        <v>998</v>
      </c>
      <c r="Y50" s="2" t="s">
        <v>999</v>
      </c>
      <c r="AA50" s="2" t="s">
        <v>1000</v>
      </c>
      <c r="AB50" s="2" t="s">
        <v>654</v>
      </c>
      <c r="AC50" s="2" t="s">
        <v>632</v>
      </c>
      <c r="AE50" s="2">
        <v>87149087</v>
      </c>
      <c r="AJ50" s="2">
        <v>87149087</v>
      </c>
      <c r="AK50" s="2">
        <v>2</v>
      </c>
      <c r="AL50" s="2" t="s">
        <v>633</v>
      </c>
      <c r="AM50" s="2">
        <v>0</v>
      </c>
      <c r="AN50" s="2">
        <v>0</v>
      </c>
      <c r="AO50" s="2">
        <v>1</v>
      </c>
      <c r="AP50" s="2">
        <v>0</v>
      </c>
      <c r="AQ50" s="2">
        <v>0</v>
      </c>
      <c r="AR50" s="2">
        <v>0</v>
      </c>
      <c r="AS50" s="2">
        <v>0</v>
      </c>
      <c r="AT50" s="2">
        <v>0</v>
      </c>
      <c r="BB50" s="2" t="str">
        <f>+PROPER(BD[[#This Row],[PRIMER_APELLIDO]])</f>
        <v>Baltodano</v>
      </c>
    </row>
    <row r="51" spans="1:54" x14ac:dyDescent="0.25">
      <c r="A51" s="2">
        <v>50</v>
      </c>
      <c r="B51" s="2">
        <v>79480</v>
      </c>
      <c r="C51" s="2" t="s">
        <v>619</v>
      </c>
      <c r="D51" s="2" t="s">
        <v>620</v>
      </c>
      <c r="E51" s="2" t="s">
        <v>1001</v>
      </c>
      <c r="G51" s="3">
        <v>35.18904109589041</v>
      </c>
      <c r="H51" s="2" t="s">
        <v>622</v>
      </c>
      <c r="I51" s="2" t="s">
        <v>1002</v>
      </c>
      <c r="J51" s="2" t="str">
        <f>+IF(BD[[#This Row],[DEPARTAMENTO_INSS]]="MANAGUA","_01_","_02_")</f>
        <v>_02_</v>
      </c>
      <c r="K51" s="2" t="str">
        <f>+CONCATENATE(BD[[#This Row],[Columna3]],BD[[#This Row],[Columna4]],BD[[#This Row],[NOMBRE COMPLETO]])</f>
        <v>E003_02_YERITZA NAYELY HANSON CHOW</v>
      </c>
      <c r="L51" s="2" t="s">
        <v>1003</v>
      </c>
      <c r="M51" s="2" t="s">
        <v>1004</v>
      </c>
      <c r="N51" s="2" t="s">
        <v>323</v>
      </c>
      <c r="O51" s="2" t="s">
        <v>324</v>
      </c>
      <c r="P51" s="2" t="s">
        <v>626</v>
      </c>
      <c r="Q51" s="2" t="s">
        <v>351</v>
      </c>
      <c r="R51" s="2">
        <v>31952</v>
      </c>
      <c r="S51" s="2">
        <v>31952</v>
      </c>
      <c r="T51" s="2" t="s">
        <v>1005</v>
      </c>
      <c r="U51" s="2" t="s">
        <v>1005</v>
      </c>
      <c r="V51" s="2" t="s">
        <v>1006</v>
      </c>
      <c r="W51" s="2" t="s">
        <v>1006</v>
      </c>
      <c r="X51" s="2" t="s">
        <v>1007</v>
      </c>
      <c r="Y51" s="2" t="s">
        <v>1008</v>
      </c>
      <c r="Z51" s="2">
        <v>85016937</v>
      </c>
      <c r="AB51" s="2" t="s">
        <v>1009</v>
      </c>
      <c r="AC51" s="2" t="s">
        <v>632</v>
      </c>
      <c r="AD51" s="2">
        <v>85016937</v>
      </c>
      <c r="AJ51" s="2">
        <v>85016937</v>
      </c>
      <c r="AK51" s="2">
        <v>1</v>
      </c>
      <c r="AL51" s="2" t="s">
        <v>633</v>
      </c>
      <c r="AM51" s="2">
        <v>0</v>
      </c>
      <c r="AN51" s="2">
        <v>0</v>
      </c>
      <c r="AO51" s="2">
        <v>1</v>
      </c>
      <c r="AP51" s="2">
        <v>0</v>
      </c>
      <c r="AQ51" s="2">
        <v>0</v>
      </c>
      <c r="AR51" s="2">
        <v>0</v>
      </c>
      <c r="AS51" s="2">
        <v>0</v>
      </c>
      <c r="AT51" s="2">
        <v>0</v>
      </c>
      <c r="AZ51" s="2" t="s">
        <v>1010</v>
      </c>
      <c r="BB51" s="2" t="str">
        <f>+PROPER(BD[[#This Row],[PRIMER_APELLIDO]])</f>
        <v>Hanson</v>
      </c>
    </row>
    <row r="52" spans="1:54" x14ac:dyDescent="0.25">
      <c r="A52" s="2">
        <v>51</v>
      </c>
      <c r="B52" s="2">
        <v>40378</v>
      </c>
      <c r="C52" s="2" t="s">
        <v>619</v>
      </c>
      <c r="D52" s="2" t="s">
        <v>620</v>
      </c>
      <c r="E52" s="2" t="s">
        <v>1011</v>
      </c>
      <c r="F52" s="2">
        <v>20018720</v>
      </c>
      <c r="G52" s="3">
        <v>35.197260273972603</v>
      </c>
      <c r="H52" s="2" t="s">
        <v>622</v>
      </c>
      <c r="I52" s="2" t="s">
        <v>1012</v>
      </c>
      <c r="J52" s="2" t="str">
        <f>+IF(BD[[#This Row],[DEPARTAMENTO_INSS]]="MANAGUA","_01_","_02_")</f>
        <v>_02_</v>
      </c>
      <c r="K52" s="2" t="str">
        <f>+CONCATENATE(BD[[#This Row],[Columna3]],BD[[#This Row],[Columna4]],BD[[#This Row],[NOMBRE COMPLETO]])</f>
        <v>E003_02_LUIS GIOVANNY REYES RIVERA</v>
      </c>
      <c r="L52" s="2" t="s">
        <v>738</v>
      </c>
      <c r="M52" s="2" t="s">
        <v>1013</v>
      </c>
      <c r="N52" s="2" t="s">
        <v>74</v>
      </c>
      <c r="O52" s="2" t="s">
        <v>198</v>
      </c>
      <c r="P52" s="2" t="s">
        <v>649</v>
      </c>
      <c r="Q52" s="2" t="s">
        <v>351</v>
      </c>
      <c r="R52" s="2">
        <v>31949</v>
      </c>
      <c r="S52" s="2">
        <v>31949</v>
      </c>
      <c r="T52" s="2" t="s">
        <v>705</v>
      </c>
      <c r="U52" s="2" t="s">
        <v>705</v>
      </c>
      <c r="V52" s="2" t="s">
        <v>705</v>
      </c>
      <c r="W52" s="2" t="s">
        <v>1014</v>
      </c>
      <c r="X52" s="2" t="s">
        <v>1015</v>
      </c>
      <c r="Y52" s="2" t="s">
        <v>1016</v>
      </c>
      <c r="Z52" s="2">
        <v>88048688</v>
      </c>
      <c r="AA52" s="2">
        <v>88048688</v>
      </c>
      <c r="AB52" s="2" t="s">
        <v>654</v>
      </c>
      <c r="AC52" s="2" t="s">
        <v>632</v>
      </c>
      <c r="AD52" s="2">
        <v>88048688</v>
      </c>
      <c r="AJ52" s="2">
        <v>88048688</v>
      </c>
      <c r="AK52" s="2">
        <v>2</v>
      </c>
      <c r="AL52" s="2" t="s">
        <v>633</v>
      </c>
      <c r="AM52" s="2">
        <v>0</v>
      </c>
      <c r="AN52" s="2">
        <v>0</v>
      </c>
      <c r="AO52" s="2">
        <v>1</v>
      </c>
      <c r="AP52" s="2">
        <v>0</v>
      </c>
      <c r="AQ52" s="2">
        <v>0</v>
      </c>
      <c r="AR52" s="2">
        <v>0</v>
      </c>
      <c r="AS52" s="2">
        <v>0</v>
      </c>
      <c r="AT52" s="2">
        <v>0</v>
      </c>
      <c r="BB52" s="2" t="str">
        <f>+PROPER(BD[[#This Row],[PRIMER_APELLIDO]])</f>
        <v>Reyes</v>
      </c>
    </row>
    <row r="53" spans="1:54" x14ac:dyDescent="0.25">
      <c r="A53" s="2">
        <v>52</v>
      </c>
      <c r="B53" s="2">
        <v>59883</v>
      </c>
      <c r="C53" s="2" t="s">
        <v>619</v>
      </c>
      <c r="D53" s="2" t="s">
        <v>620</v>
      </c>
      <c r="E53" s="2" t="s">
        <v>1017</v>
      </c>
      <c r="G53" s="3">
        <v>35.197260273972603</v>
      </c>
      <c r="H53" s="2" t="s">
        <v>622</v>
      </c>
      <c r="I53" s="2" t="s">
        <v>1018</v>
      </c>
      <c r="J53" s="2" t="str">
        <f>+IF(BD[[#This Row],[DEPARTAMENTO_INSS]]="MANAGUA","_01_","_02_")</f>
        <v>_01_</v>
      </c>
      <c r="K53" s="2" t="str">
        <f>+CONCATENATE(BD[[#This Row],[Columna3]],BD[[#This Row],[Columna4]],BD[[#This Row],[NOMBRE COMPLETO]])</f>
        <v>E003_01_ELBA MARIA LOAISIGA TAPIA</v>
      </c>
      <c r="L53" s="2" t="s">
        <v>1019</v>
      </c>
      <c r="M53" s="2" t="s">
        <v>724</v>
      </c>
      <c r="N53" s="2" t="s">
        <v>223</v>
      </c>
      <c r="O53" s="2" t="s">
        <v>338</v>
      </c>
      <c r="P53" s="2" t="s">
        <v>626</v>
      </c>
      <c r="Q53" s="2" t="s">
        <v>351</v>
      </c>
      <c r="R53" s="2">
        <v>31949</v>
      </c>
      <c r="S53" s="2">
        <v>31949</v>
      </c>
      <c r="T53" s="2" t="s">
        <v>627</v>
      </c>
      <c r="U53" s="2" t="s">
        <v>627</v>
      </c>
      <c r="V53" s="2" t="s">
        <v>627</v>
      </c>
      <c r="W53" s="2" t="s">
        <v>627</v>
      </c>
      <c r="X53" s="2" t="s">
        <v>1020</v>
      </c>
      <c r="Y53" s="2" t="s">
        <v>1021</v>
      </c>
      <c r="AA53" s="2">
        <v>77216211</v>
      </c>
      <c r="AB53" s="2" t="s">
        <v>654</v>
      </c>
      <c r="AC53" s="2" t="s">
        <v>632</v>
      </c>
      <c r="AD53" s="2">
        <v>77216211</v>
      </c>
      <c r="AJ53" s="2">
        <v>77216211</v>
      </c>
      <c r="AK53" s="2">
        <v>1</v>
      </c>
      <c r="AL53" s="2" t="s">
        <v>633</v>
      </c>
      <c r="AM53" s="2">
        <v>0</v>
      </c>
      <c r="AN53" s="2">
        <v>0</v>
      </c>
      <c r="AO53" s="2">
        <v>1</v>
      </c>
      <c r="AP53" s="2">
        <v>0</v>
      </c>
      <c r="AQ53" s="2">
        <v>0</v>
      </c>
      <c r="AR53" s="2">
        <v>0</v>
      </c>
      <c r="AS53" s="2">
        <v>0</v>
      </c>
      <c r="AT53" s="2">
        <v>0</v>
      </c>
      <c r="BB53" s="2" t="str">
        <f>+PROPER(BD[[#This Row],[PRIMER_APELLIDO]])</f>
        <v>Loaisiga</v>
      </c>
    </row>
    <row r="54" spans="1:54" x14ac:dyDescent="0.25">
      <c r="A54" s="2">
        <v>53</v>
      </c>
      <c r="B54" s="2">
        <v>54817</v>
      </c>
      <c r="C54" s="2" t="s">
        <v>619</v>
      </c>
      <c r="D54" s="2" t="s">
        <v>620</v>
      </c>
      <c r="E54" s="2" t="s">
        <v>1022</v>
      </c>
      <c r="G54" s="3">
        <v>35.200000000000003</v>
      </c>
      <c r="H54" s="2" t="s">
        <v>622</v>
      </c>
      <c r="I54" s="2" t="s">
        <v>1023</v>
      </c>
      <c r="J54" s="2" t="str">
        <f>+IF(BD[[#This Row],[DEPARTAMENTO_INSS]]="MANAGUA","_01_","_02_")</f>
        <v>_02_</v>
      </c>
      <c r="K54" s="2" t="str">
        <f>+CONCATENATE(BD[[#This Row],[Columna3]],BD[[#This Row],[Columna4]],BD[[#This Row],[NOMBRE COMPLETO]])</f>
        <v>E003_02_EVENOR ARIEL ROBLES HERNANDEZ</v>
      </c>
      <c r="L54" s="2" t="s">
        <v>1024</v>
      </c>
      <c r="M54" s="2" t="s">
        <v>1025</v>
      </c>
      <c r="N54" s="2" t="s">
        <v>156</v>
      </c>
      <c r="O54" s="2" t="s">
        <v>11</v>
      </c>
      <c r="P54" s="2" t="s">
        <v>649</v>
      </c>
      <c r="Q54" s="2" t="s">
        <v>351</v>
      </c>
      <c r="R54" s="2">
        <v>31948</v>
      </c>
      <c r="S54" s="2">
        <v>31948</v>
      </c>
      <c r="T54" s="2" t="s">
        <v>627</v>
      </c>
      <c r="U54" s="2" t="s">
        <v>732</v>
      </c>
      <c r="V54" s="2" t="s">
        <v>1026</v>
      </c>
      <c r="W54" s="2" t="s">
        <v>732</v>
      </c>
      <c r="X54" s="2" t="s">
        <v>1027</v>
      </c>
      <c r="Y54" s="2" t="s">
        <v>1028</v>
      </c>
      <c r="Z54" s="2">
        <v>82408910</v>
      </c>
      <c r="AA54" s="2" t="s">
        <v>1029</v>
      </c>
      <c r="AB54" s="2" t="s">
        <v>1030</v>
      </c>
      <c r="AC54" s="2" t="s">
        <v>632</v>
      </c>
      <c r="AD54" s="2">
        <v>82408910</v>
      </c>
      <c r="AJ54" s="2">
        <v>82408910</v>
      </c>
      <c r="AK54" s="2">
        <v>3</v>
      </c>
      <c r="AL54" s="2" t="s">
        <v>633</v>
      </c>
      <c r="AM54" s="2">
        <v>0</v>
      </c>
      <c r="AN54" s="2">
        <v>0</v>
      </c>
      <c r="AO54" s="2">
        <v>1</v>
      </c>
      <c r="AP54" s="2">
        <v>0</v>
      </c>
      <c r="AQ54" s="2">
        <v>0</v>
      </c>
      <c r="AR54" s="2">
        <v>0</v>
      </c>
      <c r="AS54" s="2">
        <v>0</v>
      </c>
      <c r="AT54" s="2">
        <v>0</v>
      </c>
      <c r="BB54" s="2" t="str">
        <f>+PROPER(BD[[#This Row],[PRIMER_APELLIDO]])</f>
        <v>Robles</v>
      </c>
    </row>
    <row r="55" spans="1:54" x14ac:dyDescent="0.25">
      <c r="A55" s="2">
        <v>54</v>
      </c>
      <c r="B55" s="2">
        <v>47869</v>
      </c>
      <c r="C55" s="2" t="s">
        <v>619</v>
      </c>
      <c r="D55" s="2" t="s">
        <v>620</v>
      </c>
      <c r="E55" s="2" t="s">
        <v>1031</v>
      </c>
      <c r="F55" s="2">
        <v>25022225</v>
      </c>
      <c r="G55" s="3">
        <v>35.205479452054796</v>
      </c>
      <c r="H55" s="2" t="s">
        <v>622</v>
      </c>
      <c r="I55" s="2" t="s">
        <v>1032</v>
      </c>
      <c r="J55" s="2" t="str">
        <f>+IF(BD[[#This Row],[DEPARTAMENTO_INSS]]="MANAGUA","_01_","_02_")</f>
        <v>_02_</v>
      </c>
      <c r="K55" s="2" t="str">
        <f>+CONCATENATE(BD[[#This Row],[Columna3]],BD[[#This Row],[Columna4]],BD[[#This Row],[NOMBRE COMPLETO]])</f>
        <v>E003_02_YALMAR SAUL TIJERINO RUIZ</v>
      </c>
      <c r="L55" s="2" t="s">
        <v>1033</v>
      </c>
      <c r="M55" s="2" t="s">
        <v>1034</v>
      </c>
      <c r="N55" s="2" t="s">
        <v>431</v>
      </c>
      <c r="O55" s="2" t="s">
        <v>84</v>
      </c>
      <c r="P55" s="2" t="s">
        <v>649</v>
      </c>
      <c r="Q55" s="2" t="s">
        <v>351</v>
      </c>
      <c r="R55" s="2">
        <v>31946</v>
      </c>
      <c r="S55" s="2">
        <v>31946</v>
      </c>
      <c r="T55" s="2" t="s">
        <v>659</v>
      </c>
      <c r="U55" s="2" t="s">
        <v>659</v>
      </c>
      <c r="V55" s="2" t="s">
        <v>1035</v>
      </c>
      <c r="W55" s="2" t="s">
        <v>1036</v>
      </c>
      <c r="X55" s="2" t="s">
        <v>1037</v>
      </c>
      <c r="Y55" s="2" t="s">
        <v>1038</v>
      </c>
      <c r="Z55" s="2">
        <v>89196697</v>
      </c>
      <c r="AA55" s="2">
        <v>89196697</v>
      </c>
      <c r="AB55" s="2" t="s">
        <v>798</v>
      </c>
      <c r="AC55" s="2" t="s">
        <v>632</v>
      </c>
      <c r="AD55" s="2">
        <v>89196697</v>
      </c>
      <c r="AJ55" s="2">
        <v>89196697</v>
      </c>
      <c r="AK55" s="2">
        <v>2</v>
      </c>
      <c r="AL55" s="2" t="s">
        <v>633</v>
      </c>
      <c r="AM55" s="2">
        <v>0</v>
      </c>
      <c r="AN55" s="2">
        <v>0</v>
      </c>
      <c r="AO55" s="2">
        <v>1</v>
      </c>
      <c r="AP55" s="2">
        <v>0</v>
      </c>
      <c r="AQ55" s="2">
        <v>0</v>
      </c>
      <c r="AR55" s="2">
        <v>0</v>
      </c>
      <c r="AS55" s="2">
        <v>0</v>
      </c>
      <c r="AT55" s="2">
        <v>0</v>
      </c>
      <c r="AZ55" s="2" t="s">
        <v>1039</v>
      </c>
      <c r="BB55" s="2" t="str">
        <f>+PROPER(BD[[#This Row],[PRIMER_APELLIDO]])</f>
        <v>Tijerino</v>
      </c>
    </row>
    <row r="56" spans="1:54" x14ac:dyDescent="0.25">
      <c r="A56" s="2">
        <v>55</v>
      </c>
      <c r="B56" s="2">
        <v>50422</v>
      </c>
      <c r="C56" s="2" t="s">
        <v>619</v>
      </c>
      <c r="D56" s="2" t="s">
        <v>620</v>
      </c>
      <c r="E56" s="2" t="s">
        <v>1040</v>
      </c>
      <c r="F56" s="2">
        <v>25106970</v>
      </c>
      <c r="G56" s="3">
        <v>35.210958904109589</v>
      </c>
      <c r="H56" s="2" t="s">
        <v>622</v>
      </c>
      <c r="I56" s="2" t="s">
        <v>1041</v>
      </c>
      <c r="J56" s="2" t="str">
        <f>+IF(BD[[#This Row],[DEPARTAMENTO_INSS]]="MANAGUA","_01_","_02_")</f>
        <v>_02_</v>
      </c>
      <c r="K56" s="2" t="str">
        <f>+CONCATENATE(BD[[#This Row],[Columna3]],BD[[#This Row],[Columna4]],BD[[#This Row],[NOMBRE COMPLETO]])</f>
        <v>E003_02_FRANCYS LLYCELIA FERRERA GOMEZ</v>
      </c>
      <c r="L56" s="2" t="s">
        <v>1042</v>
      </c>
      <c r="M56" s="2" t="s">
        <v>1043</v>
      </c>
      <c r="N56" s="2" t="s">
        <v>200</v>
      </c>
      <c r="O56" s="2" t="s">
        <v>43</v>
      </c>
      <c r="P56" s="2" t="s">
        <v>626</v>
      </c>
      <c r="Q56" s="2" t="s">
        <v>351</v>
      </c>
      <c r="R56" s="2">
        <v>31944</v>
      </c>
      <c r="S56" s="2">
        <v>31944</v>
      </c>
      <c r="T56" s="2" t="s">
        <v>1044</v>
      </c>
      <c r="U56" s="2" t="s">
        <v>740</v>
      </c>
      <c r="V56" s="2" t="s">
        <v>1045</v>
      </c>
      <c r="W56" s="2" t="s">
        <v>740</v>
      </c>
      <c r="X56" s="2" t="s">
        <v>1046</v>
      </c>
      <c r="Y56" s="2" t="s">
        <v>1047</v>
      </c>
      <c r="Z56" s="2">
        <v>58782181</v>
      </c>
      <c r="AA56" s="2">
        <v>58782181</v>
      </c>
      <c r="AB56" s="2" t="s">
        <v>631</v>
      </c>
      <c r="AC56" s="2" t="s">
        <v>632</v>
      </c>
      <c r="AD56" s="2">
        <v>58782181</v>
      </c>
      <c r="AJ56" s="2">
        <v>58782181</v>
      </c>
      <c r="AK56" s="2">
        <v>2</v>
      </c>
      <c r="AL56" s="2" t="s">
        <v>633</v>
      </c>
      <c r="AM56" s="2">
        <v>0</v>
      </c>
      <c r="AN56" s="2">
        <v>0</v>
      </c>
      <c r="AO56" s="2">
        <v>1</v>
      </c>
      <c r="AP56" s="2">
        <v>0</v>
      </c>
      <c r="AQ56" s="2">
        <v>0</v>
      </c>
      <c r="AR56" s="2">
        <v>0</v>
      </c>
      <c r="AS56" s="2">
        <v>0</v>
      </c>
      <c r="AT56" s="2">
        <v>0</v>
      </c>
      <c r="AZ56" s="2" t="s">
        <v>1048</v>
      </c>
      <c r="BB56" s="2" t="str">
        <f>+PROPER(BD[[#This Row],[PRIMER_APELLIDO]])</f>
        <v>Ferrera</v>
      </c>
    </row>
    <row r="57" spans="1:54" x14ac:dyDescent="0.25">
      <c r="A57" s="2">
        <v>56</v>
      </c>
      <c r="B57" s="2">
        <v>63886</v>
      </c>
      <c r="C57" s="2" t="s">
        <v>619</v>
      </c>
      <c r="D57" s="2" t="s">
        <v>620</v>
      </c>
      <c r="E57" s="2" t="s">
        <v>1049</v>
      </c>
      <c r="G57" s="3">
        <v>35.210958904109589</v>
      </c>
      <c r="H57" s="2" t="s">
        <v>622</v>
      </c>
      <c r="I57" s="2" t="s">
        <v>1050</v>
      </c>
      <c r="J57" s="2" t="str">
        <f>+IF(BD[[#This Row],[DEPARTAMENTO_INSS]]="MANAGUA","_01_","_02_")</f>
        <v>_02_</v>
      </c>
      <c r="K57" s="2" t="str">
        <f>+CONCATENATE(BD[[#This Row],[Columna3]],BD[[#This Row],[Columna4]],BD[[#This Row],[NOMBRE COMPLETO]])</f>
        <v>E003_02_ALBERTH ELIEZER ESPINOZA VILLAREAL</v>
      </c>
      <c r="L57" s="2" t="s">
        <v>1051</v>
      </c>
      <c r="M57" s="2" t="s">
        <v>1052</v>
      </c>
      <c r="N57" s="2" t="s">
        <v>235</v>
      </c>
      <c r="O57" s="2" t="s">
        <v>1053</v>
      </c>
      <c r="P57" s="2" t="s">
        <v>649</v>
      </c>
      <c r="Q57" s="2" t="s">
        <v>351</v>
      </c>
      <c r="R57" s="2">
        <v>31944</v>
      </c>
      <c r="T57" s="2" t="s">
        <v>186</v>
      </c>
      <c r="V57" s="2" t="s">
        <v>186</v>
      </c>
      <c r="X57" s="2" t="s">
        <v>1054</v>
      </c>
      <c r="Z57" s="2">
        <v>81126861</v>
      </c>
      <c r="AB57" s="2" t="s">
        <v>654</v>
      </c>
      <c r="AC57" s="2" t="s">
        <v>632</v>
      </c>
      <c r="AD57" s="2">
        <v>81126861</v>
      </c>
      <c r="AJ57" s="2">
        <v>81126861</v>
      </c>
      <c r="AK57" s="2">
        <v>1</v>
      </c>
      <c r="AL57" s="2" t="s">
        <v>633</v>
      </c>
      <c r="AM57" s="2">
        <v>0</v>
      </c>
      <c r="AN57" s="2">
        <v>0</v>
      </c>
      <c r="AO57" s="2">
        <v>1</v>
      </c>
      <c r="AP57" s="2">
        <v>0</v>
      </c>
      <c r="AQ57" s="2">
        <v>0</v>
      </c>
      <c r="AR57" s="2">
        <v>0</v>
      </c>
      <c r="AS57" s="2">
        <v>0</v>
      </c>
      <c r="AT57" s="2">
        <v>0</v>
      </c>
      <c r="BB57" s="2" t="str">
        <f>+PROPER(BD[[#This Row],[PRIMER_APELLIDO]])</f>
        <v>Espinoza</v>
      </c>
    </row>
    <row r="58" spans="1:54" x14ac:dyDescent="0.25">
      <c r="A58" s="2">
        <v>57</v>
      </c>
      <c r="B58" s="2">
        <v>23488</v>
      </c>
      <c r="C58" s="2" t="s">
        <v>619</v>
      </c>
      <c r="D58" s="2" t="s">
        <v>620</v>
      </c>
      <c r="E58" s="2" t="s">
        <v>1055</v>
      </c>
      <c r="F58" s="2">
        <v>18044580</v>
      </c>
      <c r="G58" s="3">
        <v>35.213698630136989</v>
      </c>
      <c r="H58" s="2" t="s">
        <v>622</v>
      </c>
      <c r="I58" s="2" t="s">
        <v>1056</v>
      </c>
      <c r="J58" s="2" t="str">
        <f>+IF(BD[[#This Row],[DEPARTAMENTO_INSS]]="MANAGUA","_01_","_02_")</f>
        <v>_02_</v>
      </c>
      <c r="K58" s="2" t="str">
        <f>+CONCATENATE(BD[[#This Row],[Columna3]],BD[[#This Row],[Columna4]],BD[[#This Row],[NOMBRE COMPLETO]])</f>
        <v>E003_02_ROBERTO JOSUE MORAGA CARMONA</v>
      </c>
      <c r="L58" s="2" t="s">
        <v>1057</v>
      </c>
      <c r="M58" s="2" t="s">
        <v>1058</v>
      </c>
      <c r="N58" s="2" t="s">
        <v>16</v>
      </c>
      <c r="O58" s="2" t="s">
        <v>1059</v>
      </c>
      <c r="P58" s="2" t="s">
        <v>649</v>
      </c>
      <c r="Q58" s="2" t="s">
        <v>351</v>
      </c>
      <c r="R58" s="2">
        <v>31943</v>
      </c>
      <c r="S58" s="2">
        <v>31943</v>
      </c>
      <c r="T58" s="2" t="s">
        <v>732</v>
      </c>
      <c r="U58" s="2" t="s">
        <v>732</v>
      </c>
      <c r="V58" s="2" t="s">
        <v>1060</v>
      </c>
      <c r="W58" s="2" t="s">
        <v>1061</v>
      </c>
      <c r="X58" s="2" t="s">
        <v>1062</v>
      </c>
      <c r="Y58" s="2" t="s">
        <v>1063</v>
      </c>
      <c r="Z58" s="2" t="s">
        <v>1064</v>
      </c>
      <c r="AA58" s="2" t="s">
        <v>1065</v>
      </c>
      <c r="AB58" s="2" t="s">
        <v>654</v>
      </c>
      <c r="AC58" s="2" t="s">
        <v>632</v>
      </c>
      <c r="AD58" s="2">
        <v>57428775</v>
      </c>
      <c r="AE58" s="2">
        <v>83792658</v>
      </c>
      <c r="AG58" s="2">
        <v>84125187</v>
      </c>
      <c r="AH58" s="2">
        <v>83792658</v>
      </c>
      <c r="AI58" s="2">
        <v>88357799</v>
      </c>
      <c r="AJ58" s="2">
        <v>57428775</v>
      </c>
      <c r="AK58" s="2">
        <v>6</v>
      </c>
      <c r="AL58" s="2" t="s">
        <v>633</v>
      </c>
      <c r="AM58" s="2">
        <v>0</v>
      </c>
      <c r="AN58" s="2">
        <v>0</v>
      </c>
      <c r="AO58" s="2">
        <v>1</v>
      </c>
      <c r="AP58" s="2">
        <v>0</v>
      </c>
      <c r="AQ58" s="2">
        <v>0</v>
      </c>
      <c r="AR58" s="2">
        <v>0</v>
      </c>
      <c r="AS58" s="2">
        <v>0</v>
      </c>
      <c r="AT58" s="2">
        <v>0</v>
      </c>
      <c r="BA58" s="2" t="s">
        <v>1066</v>
      </c>
      <c r="BB58" s="2" t="str">
        <f>+PROPER(BD[[#This Row],[PRIMER_APELLIDO]])</f>
        <v>Moraga</v>
      </c>
    </row>
    <row r="59" spans="1:54" x14ac:dyDescent="0.25">
      <c r="A59" s="2">
        <v>58</v>
      </c>
      <c r="B59" s="2">
        <v>37429</v>
      </c>
      <c r="C59" s="2" t="s">
        <v>619</v>
      </c>
      <c r="D59" s="2" t="s">
        <v>620</v>
      </c>
      <c r="E59" s="2" t="s">
        <v>1067</v>
      </c>
      <c r="F59" s="2">
        <v>26947231</v>
      </c>
      <c r="G59" s="3">
        <v>35.213698630136989</v>
      </c>
      <c r="H59" s="2" t="s">
        <v>622</v>
      </c>
      <c r="I59" s="2" t="s">
        <v>1068</v>
      </c>
      <c r="J59" s="2" t="str">
        <f>+IF(BD[[#This Row],[DEPARTAMENTO_INSS]]="MANAGUA","_01_","_02_")</f>
        <v>_01_</v>
      </c>
      <c r="K59" s="2" t="str">
        <f>+CONCATENATE(BD[[#This Row],[Columna3]],BD[[#This Row],[Columna4]],BD[[#This Row],[NOMBRE COMPLETO]])</f>
        <v>E003_01_LIZETH DEL ROSARIO SAENZ RIVERA</v>
      </c>
      <c r="L59" s="2" t="s">
        <v>1069</v>
      </c>
      <c r="M59" s="2" t="s">
        <v>1070</v>
      </c>
      <c r="N59" s="2" t="s">
        <v>317</v>
      </c>
      <c r="O59" s="2" t="s">
        <v>198</v>
      </c>
      <c r="P59" s="2" t="s">
        <v>626</v>
      </c>
      <c r="Q59" s="2" t="s">
        <v>351</v>
      </c>
      <c r="R59" s="2">
        <v>31943</v>
      </c>
      <c r="S59" s="2">
        <v>31943</v>
      </c>
      <c r="T59" s="2" t="s">
        <v>627</v>
      </c>
      <c r="U59" s="2" t="s">
        <v>627</v>
      </c>
      <c r="V59" s="2" t="s">
        <v>627</v>
      </c>
      <c r="W59" s="2" t="s">
        <v>692</v>
      </c>
      <c r="X59" s="2" t="s">
        <v>1071</v>
      </c>
      <c r="Y59" s="2" t="s">
        <v>1072</v>
      </c>
      <c r="AA59" s="2">
        <v>89840633</v>
      </c>
      <c r="AB59" s="2" t="s">
        <v>654</v>
      </c>
      <c r="AC59" s="2" t="s">
        <v>632</v>
      </c>
      <c r="AD59" s="2">
        <v>89840633</v>
      </c>
      <c r="AJ59" s="2">
        <v>89840633</v>
      </c>
      <c r="AK59" s="2">
        <v>1</v>
      </c>
      <c r="AL59" s="2" t="s">
        <v>633</v>
      </c>
      <c r="AM59" s="2">
        <v>0</v>
      </c>
      <c r="AN59" s="2">
        <v>0</v>
      </c>
      <c r="AO59" s="2">
        <v>1</v>
      </c>
      <c r="AP59" s="2">
        <v>0</v>
      </c>
      <c r="AQ59" s="2">
        <v>0</v>
      </c>
      <c r="AR59" s="2">
        <v>0</v>
      </c>
      <c r="AS59" s="2">
        <v>0</v>
      </c>
      <c r="AT59" s="2">
        <v>0</v>
      </c>
      <c r="BA59" s="2" t="s">
        <v>1073</v>
      </c>
      <c r="BB59" s="2" t="str">
        <f>+PROPER(BD[[#This Row],[PRIMER_APELLIDO]])</f>
        <v>Saenz</v>
      </c>
    </row>
    <row r="60" spans="1:54" x14ac:dyDescent="0.25">
      <c r="A60" s="2">
        <v>59</v>
      </c>
      <c r="B60" s="2">
        <v>52680</v>
      </c>
      <c r="C60" s="2" t="s">
        <v>619</v>
      </c>
      <c r="D60" s="2" t="s">
        <v>620</v>
      </c>
      <c r="E60" s="2" t="s">
        <v>1074</v>
      </c>
      <c r="F60" s="2">
        <v>23257117</v>
      </c>
      <c r="G60" s="3">
        <v>35.213698630136989</v>
      </c>
      <c r="H60" s="2" t="s">
        <v>622</v>
      </c>
      <c r="I60" s="2" t="s">
        <v>1075</v>
      </c>
      <c r="J60" s="2" t="str">
        <f>+IF(BD[[#This Row],[DEPARTAMENTO_INSS]]="MANAGUA","_01_","_02_")</f>
        <v>_01_</v>
      </c>
      <c r="K60" s="2" t="str">
        <f>+CONCATENATE(BD[[#This Row],[Columna3]],BD[[#This Row],[Columna4]],BD[[#This Row],[NOMBRE COMPLETO]])</f>
        <v>E003_01_JORGE LUIS MENDOZA ARANA</v>
      </c>
      <c r="L60" s="2" t="s">
        <v>1076</v>
      </c>
      <c r="M60" s="2" t="s">
        <v>738</v>
      </c>
      <c r="N60" s="2" t="s">
        <v>9</v>
      </c>
      <c r="O60" s="2" t="s">
        <v>40</v>
      </c>
      <c r="P60" s="2" t="s">
        <v>649</v>
      </c>
      <c r="Q60" s="2" t="s">
        <v>351</v>
      </c>
      <c r="R60" s="2">
        <v>31943</v>
      </c>
      <c r="S60" s="2">
        <v>31943</v>
      </c>
      <c r="T60" s="2" t="s">
        <v>627</v>
      </c>
      <c r="U60" s="2" t="s">
        <v>627</v>
      </c>
      <c r="V60" s="2" t="s">
        <v>627</v>
      </c>
      <c r="W60" s="2" t="s">
        <v>627</v>
      </c>
      <c r="X60" s="2" t="s">
        <v>1077</v>
      </c>
      <c r="Y60" s="2" t="s">
        <v>1078</v>
      </c>
      <c r="AA60" s="2" t="s">
        <v>1079</v>
      </c>
      <c r="AB60" s="2" t="s">
        <v>654</v>
      </c>
      <c r="AC60" s="2" t="s">
        <v>632</v>
      </c>
      <c r="AE60" s="2">
        <v>84211029</v>
      </c>
      <c r="AJ60" s="2">
        <v>84211029</v>
      </c>
      <c r="AK60" s="2">
        <v>2</v>
      </c>
      <c r="AL60" s="2" t="s">
        <v>633</v>
      </c>
      <c r="AM60" s="2">
        <v>0</v>
      </c>
      <c r="AN60" s="2">
        <v>0</v>
      </c>
      <c r="AO60" s="2">
        <v>1</v>
      </c>
      <c r="AP60" s="2">
        <v>0</v>
      </c>
      <c r="AQ60" s="2">
        <v>0</v>
      </c>
      <c r="AR60" s="2">
        <v>0</v>
      </c>
      <c r="AS60" s="2">
        <v>0</v>
      </c>
      <c r="AT60" s="2">
        <v>0</v>
      </c>
      <c r="BB60" s="2" t="str">
        <f>+PROPER(BD[[#This Row],[PRIMER_APELLIDO]])</f>
        <v>Mendoza</v>
      </c>
    </row>
    <row r="61" spans="1:54" x14ac:dyDescent="0.25">
      <c r="A61" s="2">
        <v>60</v>
      </c>
      <c r="B61" s="2">
        <v>77377</v>
      </c>
      <c r="C61" s="2" t="s">
        <v>619</v>
      </c>
      <c r="D61" s="2" t="s">
        <v>620</v>
      </c>
      <c r="E61" s="2" t="s">
        <v>1080</v>
      </c>
      <c r="G61" s="3">
        <v>35.213698630136989</v>
      </c>
      <c r="H61" s="2" t="s">
        <v>622</v>
      </c>
      <c r="I61" s="2" t="s">
        <v>1081</v>
      </c>
      <c r="J61" s="2" t="str">
        <f>+IF(BD[[#This Row],[DEPARTAMENTO_INSS]]="MANAGUA","_01_","_02_")</f>
        <v>_02_</v>
      </c>
      <c r="K61" s="2" t="str">
        <f>+CONCATENATE(BD[[#This Row],[Columna3]],BD[[#This Row],[Columna4]],BD[[#This Row],[NOMBRE COMPLETO]])</f>
        <v>E003_02_RIGOBERTO AGUILAR LOPEZ</v>
      </c>
      <c r="L61" s="2" t="s">
        <v>1082</v>
      </c>
      <c r="N61" s="2" t="s">
        <v>141</v>
      </c>
      <c r="O61" s="2" t="s">
        <v>15</v>
      </c>
      <c r="P61" s="2" t="s">
        <v>649</v>
      </c>
      <c r="Q61" s="2" t="s">
        <v>351</v>
      </c>
      <c r="R61" s="2">
        <v>31943</v>
      </c>
      <c r="S61" s="2">
        <v>31943</v>
      </c>
      <c r="T61" s="2" t="s">
        <v>691</v>
      </c>
      <c r="U61" s="2" t="s">
        <v>659</v>
      </c>
      <c r="V61" s="2" t="s">
        <v>716</v>
      </c>
      <c r="W61" s="2" t="s">
        <v>1036</v>
      </c>
      <c r="X61" s="2" t="s">
        <v>1083</v>
      </c>
      <c r="Y61" s="2" t="s">
        <v>1084</v>
      </c>
      <c r="Z61" s="2">
        <v>85319327</v>
      </c>
      <c r="AA61" s="2" t="s">
        <v>1085</v>
      </c>
      <c r="AB61" s="2" t="s">
        <v>654</v>
      </c>
      <c r="AC61" s="2" t="s">
        <v>632</v>
      </c>
      <c r="AD61" s="2">
        <v>85319327</v>
      </c>
      <c r="AE61" s="2">
        <v>84574642</v>
      </c>
      <c r="AJ61" s="2">
        <v>85319327</v>
      </c>
      <c r="AK61" s="2">
        <v>3</v>
      </c>
      <c r="AL61" s="2" t="s">
        <v>633</v>
      </c>
      <c r="AM61" s="2">
        <v>0</v>
      </c>
      <c r="AN61" s="2">
        <v>0</v>
      </c>
      <c r="AO61" s="2">
        <v>1</v>
      </c>
      <c r="AP61" s="2">
        <v>0</v>
      </c>
      <c r="AQ61" s="2">
        <v>0</v>
      </c>
      <c r="AR61" s="2">
        <v>0</v>
      </c>
      <c r="AS61" s="2">
        <v>0</v>
      </c>
      <c r="AT61" s="2">
        <v>0</v>
      </c>
      <c r="AZ61" s="2" t="s">
        <v>1086</v>
      </c>
      <c r="BA61" s="2" t="s">
        <v>1087</v>
      </c>
      <c r="BB61" s="2" t="str">
        <f>+PROPER(BD[[#This Row],[PRIMER_APELLIDO]])</f>
        <v>Aguilar</v>
      </c>
    </row>
    <row r="62" spans="1:54" x14ac:dyDescent="0.25">
      <c r="A62" s="2">
        <v>61</v>
      </c>
      <c r="B62" s="2">
        <v>34565</v>
      </c>
      <c r="C62" s="2" t="s">
        <v>619</v>
      </c>
      <c r="D62" s="2" t="s">
        <v>620</v>
      </c>
      <c r="E62" s="2" t="s">
        <v>1088</v>
      </c>
      <c r="F62" s="2">
        <v>25469998</v>
      </c>
      <c r="G62" s="3">
        <v>35.216438356164382</v>
      </c>
      <c r="H62" s="2" t="s">
        <v>622</v>
      </c>
      <c r="I62" s="2" t="s">
        <v>1089</v>
      </c>
      <c r="J62" s="2" t="str">
        <f>+IF(BD[[#This Row],[DEPARTAMENTO_INSS]]="MANAGUA","_01_","_02_")</f>
        <v>_01_</v>
      </c>
      <c r="K62" s="2" t="str">
        <f>+CONCATENATE(BD[[#This Row],[Columna3]],BD[[#This Row],[Columna4]],BD[[#This Row],[NOMBRE COMPLETO]])</f>
        <v>E003_01_EVELYNG INDIRA GAITAN HERNANDEZ</v>
      </c>
      <c r="L62" s="2" t="s">
        <v>1090</v>
      </c>
      <c r="M62" s="2" t="s">
        <v>1091</v>
      </c>
      <c r="N62" s="2" t="s">
        <v>54</v>
      </c>
      <c r="O62" s="2" t="s">
        <v>11</v>
      </c>
      <c r="P62" s="2" t="s">
        <v>626</v>
      </c>
      <c r="Q62" s="2" t="s">
        <v>351</v>
      </c>
      <c r="R62" s="2">
        <v>31942</v>
      </c>
      <c r="S62" s="2">
        <v>31942</v>
      </c>
      <c r="T62" s="2" t="s">
        <v>627</v>
      </c>
      <c r="U62" s="2" t="s">
        <v>627</v>
      </c>
      <c r="V62" s="2" t="s">
        <v>627</v>
      </c>
      <c r="W62" s="2" t="s">
        <v>627</v>
      </c>
      <c r="X62" s="2" t="s">
        <v>1092</v>
      </c>
      <c r="Y62" s="2" t="s">
        <v>1093</v>
      </c>
      <c r="AA62" s="2" t="s">
        <v>1094</v>
      </c>
      <c r="AB62" s="2" t="s">
        <v>642</v>
      </c>
      <c r="AC62" s="2" t="s">
        <v>632</v>
      </c>
      <c r="AE62" s="2">
        <v>83853029</v>
      </c>
      <c r="AJ62" s="2">
        <v>83853029</v>
      </c>
      <c r="AK62" s="2">
        <v>2</v>
      </c>
      <c r="AL62" s="2" t="s">
        <v>633</v>
      </c>
      <c r="AM62" s="2">
        <v>0</v>
      </c>
      <c r="AN62" s="2">
        <v>0</v>
      </c>
      <c r="AO62" s="2">
        <v>1</v>
      </c>
      <c r="AP62" s="2">
        <v>0</v>
      </c>
      <c r="AQ62" s="2">
        <v>0</v>
      </c>
      <c r="AR62" s="2">
        <v>0</v>
      </c>
      <c r="AS62" s="2">
        <v>0</v>
      </c>
      <c r="AT62" s="2">
        <v>0</v>
      </c>
      <c r="BB62" s="2" t="str">
        <f>+PROPER(BD[[#This Row],[PRIMER_APELLIDO]])</f>
        <v>Gaitan</v>
      </c>
    </row>
    <row r="63" spans="1:54" x14ac:dyDescent="0.25">
      <c r="A63" s="2">
        <v>62</v>
      </c>
      <c r="B63" s="2">
        <v>43231</v>
      </c>
      <c r="C63" s="2" t="s">
        <v>619</v>
      </c>
      <c r="D63" s="2" t="s">
        <v>620</v>
      </c>
      <c r="E63" s="2" t="s">
        <v>1095</v>
      </c>
      <c r="F63" s="2">
        <v>24237224</v>
      </c>
      <c r="G63" s="3">
        <v>35.216438356164382</v>
      </c>
      <c r="H63" s="2" t="s">
        <v>622</v>
      </c>
      <c r="I63" s="2" t="s">
        <v>1096</v>
      </c>
      <c r="J63" s="2" t="str">
        <f>+IF(BD[[#This Row],[DEPARTAMENTO_INSS]]="MANAGUA","_01_","_02_")</f>
        <v>_02_</v>
      </c>
      <c r="K63" s="2" t="str">
        <f>+CONCATENATE(BD[[#This Row],[Columna3]],BD[[#This Row],[Columna4]],BD[[#This Row],[NOMBRE COMPLETO]])</f>
        <v>E003_02_MARIA NINOSKA ROMERO SALAMANCA</v>
      </c>
      <c r="L63" s="2" t="s">
        <v>724</v>
      </c>
      <c r="M63" s="2" t="s">
        <v>1097</v>
      </c>
      <c r="N63" s="2" t="s">
        <v>41</v>
      </c>
      <c r="O63" s="2" t="s">
        <v>1098</v>
      </c>
      <c r="P63" s="2" t="s">
        <v>626</v>
      </c>
      <c r="Q63" s="2" t="s">
        <v>351</v>
      </c>
      <c r="R63" s="2">
        <v>31942</v>
      </c>
      <c r="S63" s="2">
        <v>31942</v>
      </c>
      <c r="T63" s="2" t="s">
        <v>133</v>
      </c>
      <c r="U63" s="2" t="s">
        <v>133</v>
      </c>
      <c r="V63" s="2" t="s">
        <v>870</v>
      </c>
      <c r="W63" s="2" t="s">
        <v>870</v>
      </c>
      <c r="Y63" s="2" t="s">
        <v>1099</v>
      </c>
      <c r="AA63" s="2">
        <v>87418588</v>
      </c>
      <c r="AB63" s="2" t="s">
        <v>642</v>
      </c>
      <c r="AC63" s="2" t="s">
        <v>632</v>
      </c>
      <c r="AD63" s="2">
        <v>87418588</v>
      </c>
      <c r="AJ63" s="2">
        <v>87418588</v>
      </c>
      <c r="AK63" s="2">
        <v>1</v>
      </c>
      <c r="AL63" s="2" t="s">
        <v>633</v>
      </c>
      <c r="AM63" s="2">
        <v>0</v>
      </c>
      <c r="AN63" s="2">
        <v>0</v>
      </c>
      <c r="AO63" s="2">
        <v>1</v>
      </c>
      <c r="AP63" s="2">
        <v>0</v>
      </c>
      <c r="AQ63" s="2">
        <v>0</v>
      </c>
      <c r="AR63" s="2">
        <v>0</v>
      </c>
      <c r="AS63" s="2">
        <v>0</v>
      </c>
      <c r="AT63" s="2">
        <v>0</v>
      </c>
      <c r="BB63" s="2" t="str">
        <f>+PROPER(BD[[#This Row],[PRIMER_APELLIDO]])</f>
        <v>Romero</v>
      </c>
    </row>
    <row r="64" spans="1:54" x14ac:dyDescent="0.25">
      <c r="A64" s="2">
        <v>63</v>
      </c>
      <c r="B64" s="2">
        <v>50073</v>
      </c>
      <c r="C64" s="2" t="s">
        <v>619</v>
      </c>
      <c r="D64" s="2" t="s">
        <v>620</v>
      </c>
      <c r="E64" s="2" t="s">
        <v>1100</v>
      </c>
      <c r="F64" s="2">
        <v>23140055</v>
      </c>
      <c r="G64" s="3">
        <v>35.216438356164382</v>
      </c>
      <c r="H64" s="2" t="s">
        <v>622</v>
      </c>
      <c r="I64" s="2" t="s">
        <v>1101</v>
      </c>
      <c r="J64" s="2" t="str">
        <f>+IF(BD[[#This Row],[DEPARTAMENTO_INSS]]="MANAGUA","_01_","_02_")</f>
        <v>_02_</v>
      </c>
      <c r="K64" s="2" t="str">
        <f>+CONCATENATE(BD[[#This Row],[Columna3]],BD[[#This Row],[Columna4]],BD[[#This Row],[NOMBRE COMPLETO]])</f>
        <v>E003_02_ALEM SALVADOR CASTILLO OROZCO</v>
      </c>
      <c r="L64" s="2" t="s">
        <v>1102</v>
      </c>
      <c r="M64" s="2" t="s">
        <v>1103</v>
      </c>
      <c r="N64" s="2" t="s">
        <v>100</v>
      </c>
      <c r="O64" s="2" t="s">
        <v>254</v>
      </c>
      <c r="P64" s="2" t="s">
        <v>649</v>
      </c>
      <c r="Q64" s="2" t="s">
        <v>351</v>
      </c>
      <c r="R64" s="2">
        <v>31942</v>
      </c>
      <c r="S64" s="2">
        <v>31942</v>
      </c>
      <c r="T64" s="2" t="s">
        <v>176</v>
      </c>
      <c r="U64" s="2" t="s">
        <v>1104</v>
      </c>
      <c r="V64" s="2" t="s">
        <v>1105</v>
      </c>
      <c r="W64" s="2" t="s">
        <v>1106</v>
      </c>
      <c r="X64" s="2" t="s">
        <v>1107</v>
      </c>
      <c r="Y64" s="2" t="s">
        <v>1108</v>
      </c>
      <c r="Z64" s="2">
        <v>85165676</v>
      </c>
      <c r="AA64" s="2">
        <v>85165676</v>
      </c>
      <c r="AB64" s="2" t="s">
        <v>654</v>
      </c>
      <c r="AC64" s="2" t="s">
        <v>632</v>
      </c>
      <c r="AD64" s="2">
        <v>85165676</v>
      </c>
      <c r="AJ64" s="2">
        <v>85165676</v>
      </c>
      <c r="AK64" s="2">
        <v>2</v>
      </c>
      <c r="AL64" s="2" t="s">
        <v>633</v>
      </c>
      <c r="AM64" s="2">
        <v>0</v>
      </c>
      <c r="AN64" s="2">
        <v>0</v>
      </c>
      <c r="AO64" s="2">
        <v>1</v>
      </c>
      <c r="AP64" s="2">
        <v>0</v>
      </c>
      <c r="AQ64" s="2">
        <v>0</v>
      </c>
      <c r="AR64" s="2">
        <v>0</v>
      </c>
      <c r="AS64" s="2">
        <v>0</v>
      </c>
      <c r="AT64" s="2">
        <v>0</v>
      </c>
      <c r="AZ64" s="2" t="s">
        <v>1109</v>
      </c>
      <c r="BB64" s="2" t="str">
        <f>+PROPER(BD[[#This Row],[PRIMER_APELLIDO]])</f>
        <v>Castillo</v>
      </c>
    </row>
    <row r="65" spans="1:54" x14ac:dyDescent="0.25">
      <c r="A65" s="2">
        <v>64</v>
      </c>
      <c r="B65" s="2">
        <v>57223</v>
      </c>
      <c r="C65" s="2" t="s">
        <v>619</v>
      </c>
      <c r="D65" s="2" t="s">
        <v>620</v>
      </c>
      <c r="E65" s="2" t="s">
        <v>1110</v>
      </c>
      <c r="G65" s="3">
        <v>35.216438356164382</v>
      </c>
      <c r="H65" s="2" t="s">
        <v>622</v>
      </c>
      <c r="I65" s="2" t="s">
        <v>1111</v>
      </c>
      <c r="J65" s="2" t="str">
        <f>+IF(BD[[#This Row],[DEPARTAMENTO_INSS]]="MANAGUA","_01_","_02_")</f>
        <v>_01_</v>
      </c>
      <c r="K65" s="2" t="str">
        <f>+CONCATENATE(BD[[#This Row],[Columna3]],BD[[#This Row],[Columna4]],BD[[#This Row],[NOMBRE COMPLETO]])</f>
        <v>E003_01_HERNALDO DE TRINIDAD SALGADO TORUÑO</v>
      </c>
      <c r="L65" s="2" t="s">
        <v>1112</v>
      </c>
      <c r="M65" s="2" t="s">
        <v>83</v>
      </c>
      <c r="N65" s="2" t="s">
        <v>126</v>
      </c>
      <c r="O65" s="2" t="s">
        <v>392</v>
      </c>
      <c r="P65" s="2" t="s">
        <v>649</v>
      </c>
      <c r="Q65" s="2" t="s">
        <v>351</v>
      </c>
      <c r="R65" s="2">
        <v>31942</v>
      </c>
      <c r="S65" s="2">
        <v>31942</v>
      </c>
      <c r="T65" s="2" t="s">
        <v>627</v>
      </c>
      <c r="U65" s="2" t="s">
        <v>627</v>
      </c>
      <c r="V65" s="2" t="s">
        <v>627</v>
      </c>
      <c r="W65" s="2" t="s">
        <v>627</v>
      </c>
      <c r="X65" s="2" t="s">
        <v>1113</v>
      </c>
      <c r="Y65" s="2" t="s">
        <v>1114</v>
      </c>
      <c r="Z65" s="2">
        <v>84915452</v>
      </c>
      <c r="AA65" s="2">
        <v>84915452</v>
      </c>
      <c r="AB65" s="2" t="s">
        <v>654</v>
      </c>
      <c r="AC65" s="2" t="s">
        <v>632</v>
      </c>
      <c r="AD65" s="2">
        <v>84915452</v>
      </c>
      <c r="AJ65" s="2">
        <v>84915452</v>
      </c>
      <c r="AK65" s="2">
        <v>2</v>
      </c>
      <c r="AL65" s="2" t="s">
        <v>633</v>
      </c>
      <c r="AM65" s="2">
        <v>0</v>
      </c>
      <c r="AN65" s="2">
        <v>0</v>
      </c>
      <c r="AO65" s="2">
        <v>1</v>
      </c>
      <c r="AP65" s="2">
        <v>0</v>
      </c>
      <c r="AQ65" s="2">
        <v>0</v>
      </c>
      <c r="AR65" s="2">
        <v>0</v>
      </c>
      <c r="AS65" s="2">
        <v>0</v>
      </c>
      <c r="AT65" s="2">
        <v>0</v>
      </c>
      <c r="AZ65" s="2" t="s">
        <v>1115</v>
      </c>
      <c r="BA65" s="2" t="s">
        <v>1116</v>
      </c>
      <c r="BB65" s="2" t="str">
        <f>+PROPER(BD[[#This Row],[PRIMER_APELLIDO]])</f>
        <v>Salgado</v>
      </c>
    </row>
    <row r="66" spans="1:54" x14ac:dyDescent="0.25">
      <c r="A66" s="2">
        <v>65</v>
      </c>
      <c r="B66" s="2">
        <v>37595</v>
      </c>
      <c r="C66" s="2" t="s">
        <v>619</v>
      </c>
      <c r="D66" s="2" t="s">
        <v>620</v>
      </c>
      <c r="E66" s="2" t="s">
        <v>1117</v>
      </c>
      <c r="F66" s="2">
        <v>22117793</v>
      </c>
      <c r="G66" s="3">
        <v>35.219178082191782</v>
      </c>
      <c r="H66" s="2" t="s">
        <v>622</v>
      </c>
      <c r="I66" s="2" t="s">
        <v>1118</v>
      </c>
      <c r="J66" s="2" t="str">
        <f>+IF(BD[[#This Row],[DEPARTAMENTO_INSS]]="MANAGUA","_01_","_02_")</f>
        <v>_02_</v>
      </c>
      <c r="K66" s="2" t="str">
        <f>+CONCATENATE(BD[[#This Row],[Columna3]],BD[[#This Row],[Columna4]],BD[[#This Row],[NOMBRE COMPLETO]])</f>
        <v>E003_02_JESSENIA MARYURI PEREZ ARGUELLO</v>
      </c>
      <c r="L66" s="2" t="s">
        <v>1119</v>
      </c>
      <c r="M66" s="2" t="s">
        <v>1120</v>
      </c>
      <c r="N66" s="2" t="s">
        <v>24</v>
      </c>
      <c r="O66" s="2" t="s">
        <v>271</v>
      </c>
      <c r="P66" s="2" t="s">
        <v>626</v>
      </c>
      <c r="Q66" s="2" t="s">
        <v>351</v>
      </c>
      <c r="R66" s="2">
        <v>31941</v>
      </c>
      <c r="S66" s="2">
        <v>31941</v>
      </c>
      <c r="T66" s="2" t="s">
        <v>740</v>
      </c>
      <c r="U66" s="2" t="s">
        <v>740</v>
      </c>
      <c r="V66" s="2" t="s">
        <v>740</v>
      </c>
      <c r="W66" s="2" t="s">
        <v>740</v>
      </c>
      <c r="X66" s="2" t="s">
        <v>1121</v>
      </c>
      <c r="Y66" s="2" t="s">
        <v>1122</v>
      </c>
      <c r="AA66" s="2">
        <v>83525803</v>
      </c>
      <c r="AB66" s="2" t="s">
        <v>654</v>
      </c>
      <c r="AC66" s="2" t="s">
        <v>632</v>
      </c>
      <c r="AD66" s="2">
        <v>83525803</v>
      </c>
      <c r="AJ66" s="2">
        <v>83525803</v>
      </c>
      <c r="AK66" s="2">
        <v>1</v>
      </c>
      <c r="AL66" s="2" t="s">
        <v>633</v>
      </c>
      <c r="AM66" s="2">
        <v>0</v>
      </c>
      <c r="AN66" s="2">
        <v>0</v>
      </c>
      <c r="AO66" s="2">
        <v>1</v>
      </c>
      <c r="AP66" s="2">
        <v>0</v>
      </c>
      <c r="AQ66" s="2">
        <v>0</v>
      </c>
      <c r="AR66" s="2">
        <v>0</v>
      </c>
      <c r="AS66" s="2">
        <v>0</v>
      </c>
      <c r="AT66" s="2">
        <v>0</v>
      </c>
      <c r="BB66" s="2" t="str">
        <f>+PROPER(BD[[#This Row],[PRIMER_APELLIDO]])</f>
        <v>Perez</v>
      </c>
    </row>
    <row r="67" spans="1:54" x14ac:dyDescent="0.25">
      <c r="A67" s="2">
        <v>66</v>
      </c>
      <c r="B67" s="2">
        <v>40693</v>
      </c>
      <c r="C67" s="2" t="s">
        <v>619</v>
      </c>
      <c r="D67" s="2" t="s">
        <v>620</v>
      </c>
      <c r="E67" s="2" t="s">
        <v>1123</v>
      </c>
      <c r="G67" s="3">
        <v>35.219178082191782</v>
      </c>
      <c r="H67" s="2" t="s">
        <v>622</v>
      </c>
      <c r="I67" s="2" t="s">
        <v>1124</v>
      </c>
      <c r="J67" s="2" t="str">
        <f>+IF(BD[[#This Row],[DEPARTAMENTO_INSS]]="MANAGUA","_01_","_02_")</f>
        <v>_02_</v>
      </c>
      <c r="K67" s="2" t="str">
        <f>+CONCATENATE(BD[[#This Row],[Columna3]],BD[[#This Row],[Columna4]],BD[[#This Row],[NOMBRE COMPLETO]])</f>
        <v>E003_02_FANNIA DANIELA MAIRENA LOPEZ</v>
      </c>
      <c r="L67" s="2" t="s">
        <v>1125</v>
      </c>
      <c r="M67" s="2" t="s">
        <v>1126</v>
      </c>
      <c r="N67" s="2" t="s">
        <v>427</v>
      </c>
      <c r="O67" s="2" t="s">
        <v>15</v>
      </c>
      <c r="P67" s="2" t="s">
        <v>626</v>
      </c>
      <c r="Q67" s="2" t="s">
        <v>351</v>
      </c>
      <c r="R67" s="2">
        <v>31941</v>
      </c>
      <c r="S67" s="2">
        <v>31941</v>
      </c>
      <c r="T67" s="2" t="s">
        <v>780</v>
      </c>
      <c r="U67" s="2" t="s">
        <v>780</v>
      </c>
      <c r="V67" s="2" t="s">
        <v>1127</v>
      </c>
      <c r="W67" s="2" t="s">
        <v>1128</v>
      </c>
      <c r="X67" s="2" t="s">
        <v>1129</v>
      </c>
      <c r="Y67" s="2" t="s">
        <v>1130</v>
      </c>
      <c r="Z67" s="2">
        <v>89056988</v>
      </c>
      <c r="AA67" s="2">
        <v>84230624</v>
      </c>
      <c r="AB67" s="2" t="s">
        <v>1030</v>
      </c>
      <c r="AC67" s="2" t="s">
        <v>632</v>
      </c>
      <c r="AD67" s="2">
        <v>89056988</v>
      </c>
      <c r="AF67" s="2">
        <v>84230624</v>
      </c>
      <c r="AJ67" s="2">
        <v>89056988</v>
      </c>
      <c r="AK67" s="2">
        <v>2</v>
      </c>
      <c r="AL67" s="2" t="s">
        <v>633</v>
      </c>
      <c r="AM67" s="2">
        <v>0</v>
      </c>
      <c r="AN67" s="2">
        <v>0</v>
      </c>
      <c r="AO67" s="2">
        <v>1</v>
      </c>
      <c r="AP67" s="2">
        <v>0</v>
      </c>
      <c r="AQ67" s="2">
        <v>0</v>
      </c>
      <c r="AR67" s="2">
        <v>0</v>
      </c>
      <c r="AS67" s="2">
        <v>0</v>
      </c>
      <c r="AT67" s="2">
        <v>0</v>
      </c>
      <c r="AZ67" s="2" t="s">
        <v>1131</v>
      </c>
      <c r="BB67" s="2" t="str">
        <f>+PROPER(BD[[#This Row],[PRIMER_APELLIDO]])</f>
        <v>Mairena</v>
      </c>
    </row>
    <row r="68" spans="1:54" x14ac:dyDescent="0.25">
      <c r="A68" s="2">
        <v>67</v>
      </c>
      <c r="B68" s="2">
        <v>62122</v>
      </c>
      <c r="C68" s="2" t="s">
        <v>619</v>
      </c>
      <c r="D68" s="2" t="s">
        <v>620</v>
      </c>
      <c r="E68" s="2" t="s">
        <v>1132</v>
      </c>
      <c r="G68" s="3">
        <v>35.219178082191782</v>
      </c>
      <c r="H68" s="2" t="s">
        <v>622</v>
      </c>
      <c r="I68" s="2" t="s">
        <v>1133</v>
      </c>
      <c r="J68" s="2" t="str">
        <f>+IF(BD[[#This Row],[DEPARTAMENTO_INSS]]="MANAGUA","_01_","_02_")</f>
        <v>_02_</v>
      </c>
      <c r="K68" s="2" t="str">
        <f>+CONCATENATE(BD[[#This Row],[Columna3]],BD[[#This Row],[Columna4]],BD[[#This Row],[NOMBRE COMPLETO]])</f>
        <v>E003_02_EVELING ANTONIA MORENO AVILA</v>
      </c>
      <c r="L68" s="2" t="s">
        <v>1134</v>
      </c>
      <c r="M68" s="2" t="s">
        <v>834</v>
      </c>
      <c r="N68" s="2" t="s">
        <v>430</v>
      </c>
      <c r="O68" s="2" t="s">
        <v>1135</v>
      </c>
      <c r="P68" s="2" t="s">
        <v>626</v>
      </c>
      <c r="Q68" s="2" t="s">
        <v>351</v>
      </c>
      <c r="R68" s="2">
        <v>31941</v>
      </c>
      <c r="S68" s="2">
        <v>31941</v>
      </c>
      <c r="T68" s="2" t="s">
        <v>444</v>
      </c>
      <c r="U68" s="2" t="s">
        <v>444</v>
      </c>
      <c r="V68" s="2" t="s">
        <v>1136</v>
      </c>
      <c r="W68" s="2" t="s">
        <v>1137</v>
      </c>
      <c r="X68" s="2" t="s">
        <v>1138</v>
      </c>
      <c r="Y68" s="2" t="s">
        <v>1139</v>
      </c>
      <c r="Z68" s="2">
        <v>89188198</v>
      </c>
      <c r="AB68" s="2" t="s">
        <v>631</v>
      </c>
      <c r="AC68" s="2" t="s">
        <v>632</v>
      </c>
      <c r="AD68" s="2">
        <v>89188198</v>
      </c>
      <c r="AJ68" s="2">
        <v>89188198</v>
      </c>
      <c r="AK68" s="2">
        <v>1</v>
      </c>
      <c r="AL68" s="2" t="s">
        <v>633</v>
      </c>
      <c r="AM68" s="2">
        <v>0</v>
      </c>
      <c r="AN68" s="2">
        <v>0</v>
      </c>
      <c r="AO68" s="2">
        <v>1</v>
      </c>
      <c r="AP68" s="2">
        <v>0</v>
      </c>
      <c r="AQ68" s="2">
        <v>0</v>
      </c>
      <c r="AR68" s="2">
        <v>0</v>
      </c>
      <c r="AS68" s="2">
        <v>0</v>
      </c>
      <c r="AT68" s="2">
        <v>0</v>
      </c>
      <c r="BB68" s="2" t="str">
        <f>+PROPER(BD[[#This Row],[PRIMER_APELLIDO]])</f>
        <v>Moreno</v>
      </c>
    </row>
    <row r="69" spans="1:54" x14ac:dyDescent="0.25">
      <c r="A69" s="2">
        <v>68</v>
      </c>
      <c r="B69" s="2">
        <v>69820</v>
      </c>
      <c r="C69" s="2" t="s">
        <v>619</v>
      </c>
      <c r="D69" s="2" t="s">
        <v>620</v>
      </c>
      <c r="E69" s="2" t="s">
        <v>1140</v>
      </c>
      <c r="G69" s="3">
        <v>35.219178082191782</v>
      </c>
      <c r="H69" s="2" t="s">
        <v>622</v>
      </c>
      <c r="I69" s="2" t="s">
        <v>1141</v>
      </c>
      <c r="J69" s="2" t="str">
        <f>+IF(BD[[#This Row],[DEPARTAMENTO_INSS]]="MANAGUA","_01_","_02_")</f>
        <v>_02_</v>
      </c>
      <c r="K69" s="2" t="str">
        <f>+CONCATENATE(BD[[#This Row],[Columna3]],BD[[#This Row],[Columna4]],BD[[#This Row],[NOMBRE COMPLETO]])</f>
        <v>E003_02_ALEXIS ANTONIO KAUFFMAN LAZO</v>
      </c>
      <c r="L69" s="2" t="s">
        <v>1142</v>
      </c>
      <c r="M69" s="2" t="s">
        <v>904</v>
      </c>
      <c r="N69" s="2" t="s">
        <v>237</v>
      </c>
      <c r="O69" s="2" t="s">
        <v>268</v>
      </c>
      <c r="P69" s="2" t="s">
        <v>649</v>
      </c>
      <c r="Q69" s="2" t="s">
        <v>351</v>
      </c>
      <c r="R69" s="2">
        <v>31941</v>
      </c>
      <c r="S69" s="2">
        <v>31941</v>
      </c>
      <c r="T69" s="2" t="s">
        <v>780</v>
      </c>
      <c r="U69" s="2" t="s">
        <v>780</v>
      </c>
      <c r="V69" s="2" t="s">
        <v>1143</v>
      </c>
      <c r="W69" s="2" t="s">
        <v>1143</v>
      </c>
      <c r="X69" s="2" t="s">
        <v>1144</v>
      </c>
      <c r="Y69" s="2" t="s">
        <v>1145</v>
      </c>
      <c r="Z69" s="2">
        <v>87576038</v>
      </c>
      <c r="AA69" s="2">
        <v>76135415</v>
      </c>
      <c r="AB69" s="2" t="s">
        <v>758</v>
      </c>
      <c r="AC69" s="2" t="s">
        <v>632</v>
      </c>
      <c r="AD69" s="2">
        <v>87576038</v>
      </c>
      <c r="AF69" s="2">
        <v>76135415</v>
      </c>
      <c r="AJ69" s="2">
        <v>87576038</v>
      </c>
      <c r="AK69" s="2">
        <v>2</v>
      </c>
      <c r="AL69" s="2" t="s">
        <v>633</v>
      </c>
      <c r="AM69" s="2">
        <v>0</v>
      </c>
      <c r="AN69" s="2">
        <v>0</v>
      </c>
      <c r="AO69" s="2">
        <v>1</v>
      </c>
      <c r="AP69" s="2">
        <v>0</v>
      </c>
      <c r="AQ69" s="2">
        <v>0</v>
      </c>
      <c r="AR69" s="2">
        <v>0</v>
      </c>
      <c r="AS69" s="2">
        <v>0</v>
      </c>
      <c r="AT69" s="2">
        <v>0</v>
      </c>
      <c r="BB69" s="2" t="str">
        <f>+PROPER(BD[[#This Row],[PRIMER_APELLIDO]])</f>
        <v>Kauffman</v>
      </c>
    </row>
    <row r="70" spans="1:54" x14ac:dyDescent="0.25">
      <c r="A70" s="2">
        <v>69</v>
      </c>
      <c r="B70" s="2">
        <v>53924</v>
      </c>
      <c r="C70" s="2" t="s">
        <v>619</v>
      </c>
      <c r="D70" s="2" t="s">
        <v>620</v>
      </c>
      <c r="E70" s="2" t="s">
        <v>1146</v>
      </c>
      <c r="G70" s="3">
        <v>35.224657534246575</v>
      </c>
      <c r="H70" s="2" t="s">
        <v>622</v>
      </c>
      <c r="I70" s="2" t="s">
        <v>1147</v>
      </c>
      <c r="J70" s="2" t="str">
        <f>+IF(BD[[#This Row],[DEPARTAMENTO_INSS]]="MANAGUA","_01_","_02_")</f>
        <v>_02_</v>
      </c>
      <c r="K70" s="2" t="str">
        <f>+CONCATENATE(BD[[#This Row],[Columna3]],BD[[#This Row],[Columna4]],BD[[#This Row],[NOMBRE COMPLETO]])</f>
        <v>E003_02_HEBERTO ANTONIO ALEMAN ZAMBRANA</v>
      </c>
      <c r="L70" s="2" t="s">
        <v>1148</v>
      </c>
      <c r="M70" s="2" t="s">
        <v>904</v>
      </c>
      <c r="N70" s="2" t="s">
        <v>194</v>
      </c>
      <c r="O70" s="2" t="s">
        <v>310</v>
      </c>
      <c r="P70" s="2" t="s">
        <v>649</v>
      </c>
      <c r="Q70" s="2" t="s">
        <v>351</v>
      </c>
      <c r="R70" s="2">
        <v>31939</v>
      </c>
      <c r="S70" s="2">
        <v>31939</v>
      </c>
      <c r="T70" s="2" t="s">
        <v>186</v>
      </c>
      <c r="U70" s="2" t="s">
        <v>186</v>
      </c>
      <c r="V70" s="2" t="s">
        <v>1149</v>
      </c>
      <c r="W70" s="2" t="s">
        <v>1150</v>
      </c>
      <c r="X70" s="2" t="s">
        <v>1151</v>
      </c>
      <c r="Y70" s="2" t="s">
        <v>1152</v>
      </c>
      <c r="Z70" s="2">
        <v>58393513</v>
      </c>
      <c r="AA70" s="2">
        <v>77741769</v>
      </c>
      <c r="AB70" s="2" t="s">
        <v>654</v>
      </c>
      <c r="AC70" s="2" t="s">
        <v>632</v>
      </c>
      <c r="AD70" s="2">
        <v>58393513</v>
      </c>
      <c r="AE70" s="2">
        <v>77741769</v>
      </c>
      <c r="AJ70" s="2">
        <v>58393513</v>
      </c>
      <c r="AK70" s="2">
        <v>2</v>
      </c>
      <c r="AL70" s="2" t="s">
        <v>633</v>
      </c>
      <c r="AM70" s="2">
        <v>0</v>
      </c>
      <c r="AN70" s="2">
        <v>0</v>
      </c>
      <c r="AO70" s="2">
        <v>1</v>
      </c>
      <c r="AP70" s="2">
        <v>0</v>
      </c>
      <c r="AQ70" s="2">
        <v>0</v>
      </c>
      <c r="AR70" s="2">
        <v>0</v>
      </c>
      <c r="AS70" s="2">
        <v>0</v>
      </c>
      <c r="AT70" s="2">
        <v>0</v>
      </c>
      <c r="AZ70" s="2" t="s">
        <v>1153</v>
      </c>
      <c r="BB70" s="2" t="str">
        <f>+PROPER(BD[[#This Row],[PRIMER_APELLIDO]])</f>
        <v>Aleman</v>
      </c>
    </row>
    <row r="71" spans="1:54" x14ac:dyDescent="0.25">
      <c r="A71" s="2">
        <v>70</v>
      </c>
      <c r="B71" s="2">
        <v>45703</v>
      </c>
      <c r="C71" s="2" t="s">
        <v>619</v>
      </c>
      <c r="D71" s="2" t="s">
        <v>620</v>
      </c>
      <c r="E71" s="2" t="s">
        <v>1154</v>
      </c>
      <c r="F71" s="2">
        <v>30501951</v>
      </c>
      <c r="G71" s="3">
        <v>35.227397260273975</v>
      </c>
      <c r="H71" s="2" t="s">
        <v>622</v>
      </c>
      <c r="I71" s="2" t="s">
        <v>1155</v>
      </c>
      <c r="J71" s="2" t="str">
        <f>+IF(BD[[#This Row],[DEPARTAMENTO_INSS]]="MANAGUA","_01_","_02_")</f>
        <v>_01_</v>
      </c>
      <c r="K71" s="2" t="str">
        <f>+CONCATENATE(BD[[#This Row],[Columna3]],BD[[#This Row],[Columna4]],BD[[#This Row],[NOMBRE COMPLETO]])</f>
        <v>E003_01_ALVARO JAVIER SOMARRIBA GONZALEZ</v>
      </c>
      <c r="L71" s="2" t="s">
        <v>1156</v>
      </c>
      <c r="M71" s="2" t="s">
        <v>975</v>
      </c>
      <c r="N71" s="2" t="s">
        <v>50</v>
      </c>
      <c r="O71" s="2" t="s">
        <v>14</v>
      </c>
      <c r="P71" s="2" t="s">
        <v>649</v>
      </c>
      <c r="Q71" s="2" t="s">
        <v>351</v>
      </c>
      <c r="R71" s="2">
        <v>31938</v>
      </c>
      <c r="S71" s="2">
        <v>31938</v>
      </c>
      <c r="T71" s="2" t="s">
        <v>732</v>
      </c>
      <c r="U71" s="2" t="s">
        <v>627</v>
      </c>
      <c r="V71" s="2" t="s">
        <v>732</v>
      </c>
      <c r="W71" s="2" t="s">
        <v>627</v>
      </c>
      <c r="X71" s="2" t="s">
        <v>1157</v>
      </c>
      <c r="Y71" s="2" t="s">
        <v>1158</v>
      </c>
      <c r="AA71" s="2" t="s">
        <v>1159</v>
      </c>
      <c r="AB71" s="2" t="s">
        <v>654</v>
      </c>
      <c r="AC71" s="2" t="s">
        <v>632</v>
      </c>
      <c r="AE71" s="2">
        <v>77229575</v>
      </c>
      <c r="AJ71" s="2">
        <v>77229575</v>
      </c>
      <c r="AK71" s="2">
        <v>2</v>
      </c>
      <c r="AL71" s="2" t="s">
        <v>633</v>
      </c>
      <c r="AM71" s="2">
        <v>0</v>
      </c>
      <c r="AN71" s="2">
        <v>0</v>
      </c>
      <c r="AO71" s="2">
        <v>1</v>
      </c>
      <c r="AP71" s="2">
        <v>0</v>
      </c>
      <c r="AQ71" s="2">
        <v>0</v>
      </c>
      <c r="AR71" s="2">
        <v>0</v>
      </c>
      <c r="AS71" s="2">
        <v>0</v>
      </c>
      <c r="AT71" s="2">
        <v>0</v>
      </c>
      <c r="BB71" s="2" t="str">
        <f>+PROPER(BD[[#This Row],[PRIMER_APELLIDO]])</f>
        <v>Somarriba</v>
      </c>
    </row>
    <row r="72" spans="1:54" x14ac:dyDescent="0.25">
      <c r="A72" s="2">
        <v>71</v>
      </c>
      <c r="B72" s="2">
        <v>49792</v>
      </c>
      <c r="C72" s="2" t="s">
        <v>619</v>
      </c>
      <c r="D72" s="2" t="s">
        <v>620</v>
      </c>
      <c r="E72" s="2" t="s">
        <v>1160</v>
      </c>
      <c r="F72" s="2">
        <v>26963389</v>
      </c>
      <c r="G72" s="3">
        <v>35.227397260273975</v>
      </c>
      <c r="H72" s="2" t="s">
        <v>622</v>
      </c>
      <c r="I72" s="2" t="s">
        <v>1161</v>
      </c>
      <c r="J72" s="2" t="str">
        <f>+IF(BD[[#This Row],[DEPARTAMENTO_INSS]]="MANAGUA","_01_","_02_")</f>
        <v>_02_</v>
      </c>
      <c r="K72" s="2" t="str">
        <f>+CONCATENATE(BD[[#This Row],[Columna3]],BD[[#This Row],[Columna4]],BD[[#This Row],[NOMBRE COMPLETO]])</f>
        <v>E003_02_KAREN VANESSA CRUZ MARTINEZ</v>
      </c>
      <c r="L72" s="2" t="s">
        <v>1162</v>
      </c>
      <c r="M72" s="2" t="s">
        <v>1163</v>
      </c>
      <c r="N72" s="2" t="s">
        <v>32</v>
      </c>
      <c r="O72" s="2" t="s">
        <v>44</v>
      </c>
      <c r="P72" s="2" t="s">
        <v>626</v>
      </c>
      <c r="Q72" s="2" t="s">
        <v>351</v>
      </c>
      <c r="R72" s="2">
        <v>31938</v>
      </c>
      <c r="S72" s="2">
        <v>31938</v>
      </c>
      <c r="T72" s="2" t="s">
        <v>133</v>
      </c>
      <c r="U72" s="2" t="s">
        <v>133</v>
      </c>
      <c r="V72" s="2" t="s">
        <v>939</v>
      </c>
      <c r="W72" s="2" t="s">
        <v>939</v>
      </c>
      <c r="X72" s="2" t="s">
        <v>1164</v>
      </c>
      <c r="Y72" s="2" t="s">
        <v>1165</v>
      </c>
      <c r="Z72" s="2">
        <v>87473347</v>
      </c>
      <c r="AA72" s="2">
        <v>88248368</v>
      </c>
      <c r="AB72" s="2" t="s">
        <v>631</v>
      </c>
      <c r="AC72" s="2" t="s">
        <v>632</v>
      </c>
      <c r="AD72" s="2">
        <v>87473347</v>
      </c>
      <c r="AF72" s="2">
        <v>88248368</v>
      </c>
      <c r="AJ72" s="2">
        <v>87473347</v>
      </c>
      <c r="AK72" s="2">
        <v>2</v>
      </c>
      <c r="AL72" s="2" t="s">
        <v>633</v>
      </c>
      <c r="AM72" s="2">
        <v>0</v>
      </c>
      <c r="AN72" s="2">
        <v>0</v>
      </c>
      <c r="AO72" s="2">
        <v>1</v>
      </c>
      <c r="AP72" s="2">
        <v>0</v>
      </c>
      <c r="AQ72" s="2">
        <v>0</v>
      </c>
      <c r="AR72" s="2">
        <v>0</v>
      </c>
      <c r="AS72" s="2">
        <v>0</v>
      </c>
      <c r="AT72" s="2">
        <v>0</v>
      </c>
      <c r="AZ72" s="2" t="s">
        <v>1166</v>
      </c>
      <c r="BB72" s="2" t="str">
        <f>+PROPER(BD[[#This Row],[PRIMER_APELLIDO]])</f>
        <v>Cruz</v>
      </c>
    </row>
    <row r="73" spans="1:54" x14ac:dyDescent="0.25">
      <c r="A73" s="2">
        <v>72</v>
      </c>
      <c r="B73" s="2">
        <v>38074</v>
      </c>
      <c r="C73" s="2" t="s">
        <v>619</v>
      </c>
      <c r="D73" s="2" t="s">
        <v>620</v>
      </c>
      <c r="E73" s="2" t="s">
        <v>1167</v>
      </c>
      <c r="F73" s="2">
        <v>22743639</v>
      </c>
      <c r="G73" s="3">
        <v>35.232876712328768</v>
      </c>
      <c r="H73" s="2" t="s">
        <v>622</v>
      </c>
      <c r="I73" s="2" t="s">
        <v>1168</v>
      </c>
      <c r="J73" s="2" t="str">
        <f>+IF(BD[[#This Row],[DEPARTAMENTO_INSS]]="MANAGUA","_01_","_02_")</f>
        <v>_01_</v>
      </c>
      <c r="K73" s="2" t="str">
        <f>+CONCATENATE(BD[[#This Row],[Columna3]],BD[[#This Row],[Columna4]],BD[[#This Row],[NOMBRE COMPLETO]])</f>
        <v>E003_01_BLANCA ANGELICA MONTIEL CARBALLO</v>
      </c>
      <c r="L73" s="2" t="s">
        <v>1169</v>
      </c>
      <c r="M73" s="2" t="s">
        <v>1170</v>
      </c>
      <c r="N73" s="2" t="s">
        <v>37</v>
      </c>
      <c r="O73" s="2" t="s">
        <v>204</v>
      </c>
      <c r="P73" s="2" t="s">
        <v>626</v>
      </c>
      <c r="Q73" s="2" t="s">
        <v>351</v>
      </c>
      <c r="R73" s="2">
        <v>31936</v>
      </c>
      <c r="S73" s="2">
        <v>31936</v>
      </c>
      <c r="T73" s="2" t="s">
        <v>627</v>
      </c>
      <c r="U73" s="2" t="s">
        <v>627</v>
      </c>
      <c r="V73" s="2" t="s">
        <v>627</v>
      </c>
      <c r="W73" s="2" t="s">
        <v>627</v>
      </c>
      <c r="X73" s="2" t="s">
        <v>1171</v>
      </c>
      <c r="Y73" s="2" t="s">
        <v>1172</v>
      </c>
      <c r="AA73" s="2" t="s">
        <v>1173</v>
      </c>
      <c r="AB73" s="2" t="s">
        <v>642</v>
      </c>
      <c r="AC73" s="2" t="s">
        <v>632</v>
      </c>
      <c r="AE73" s="2">
        <v>88131087</v>
      </c>
      <c r="AH73" s="2">
        <v>89197888</v>
      </c>
      <c r="AJ73" s="2">
        <v>88131087</v>
      </c>
      <c r="AK73" s="2">
        <v>3</v>
      </c>
      <c r="AL73" s="2" t="s">
        <v>633</v>
      </c>
      <c r="AM73" s="2">
        <v>0</v>
      </c>
      <c r="AN73" s="2">
        <v>0</v>
      </c>
      <c r="AO73" s="2">
        <v>1</v>
      </c>
      <c r="AP73" s="2">
        <v>0</v>
      </c>
      <c r="AQ73" s="2">
        <v>0</v>
      </c>
      <c r="AR73" s="2">
        <v>0</v>
      </c>
      <c r="AS73" s="2">
        <v>0</v>
      </c>
      <c r="AT73" s="2">
        <v>0</v>
      </c>
      <c r="BB73" s="2" t="str">
        <f>+PROPER(BD[[#This Row],[PRIMER_APELLIDO]])</f>
        <v>Montiel</v>
      </c>
    </row>
    <row r="74" spans="1:54" x14ac:dyDescent="0.25">
      <c r="A74" s="2">
        <v>73</v>
      </c>
      <c r="B74" s="2">
        <v>59158</v>
      </c>
      <c r="C74" s="2" t="s">
        <v>619</v>
      </c>
      <c r="D74" s="2" t="s">
        <v>620</v>
      </c>
      <c r="E74" s="2" t="s">
        <v>1174</v>
      </c>
      <c r="G74" s="3">
        <v>35.232876712328768</v>
      </c>
      <c r="H74" s="2" t="s">
        <v>622</v>
      </c>
      <c r="I74" s="2" t="s">
        <v>1175</v>
      </c>
      <c r="J74" s="2" t="str">
        <f>+IF(BD[[#This Row],[DEPARTAMENTO_INSS]]="MANAGUA","_01_","_02_")</f>
        <v>_02_</v>
      </c>
      <c r="K74" s="2" t="str">
        <f>+CONCATENATE(BD[[#This Row],[Columna3]],BD[[#This Row],[Columna4]],BD[[#This Row],[NOMBRE COMPLETO]])</f>
        <v>E003_02_GUADALUPE ESMERALDA FLETE LACAYO</v>
      </c>
      <c r="L74" s="2" t="s">
        <v>1176</v>
      </c>
      <c r="M74" s="2" t="s">
        <v>1177</v>
      </c>
      <c r="N74" s="2" t="s">
        <v>372</v>
      </c>
      <c r="O74" s="2" t="s">
        <v>148</v>
      </c>
      <c r="P74" s="2" t="s">
        <v>626</v>
      </c>
      <c r="Q74" s="2" t="s">
        <v>351</v>
      </c>
      <c r="R74" s="2">
        <v>31936</v>
      </c>
      <c r="S74" s="2">
        <v>31936</v>
      </c>
      <c r="T74" s="2" t="s">
        <v>705</v>
      </c>
      <c r="U74" s="2" t="s">
        <v>705</v>
      </c>
      <c r="V74" s="2" t="s">
        <v>1014</v>
      </c>
      <c r="W74" s="2" t="s">
        <v>1014</v>
      </c>
      <c r="X74" s="2" t="s">
        <v>1178</v>
      </c>
      <c r="Y74" s="2" t="s">
        <v>1179</v>
      </c>
      <c r="AA74" s="2">
        <v>86603005</v>
      </c>
      <c r="AB74" s="2" t="s">
        <v>1030</v>
      </c>
      <c r="AC74" s="2" t="s">
        <v>632</v>
      </c>
      <c r="AD74" s="2">
        <v>86603005</v>
      </c>
      <c r="AJ74" s="2">
        <v>86603005</v>
      </c>
      <c r="AK74" s="2">
        <v>1</v>
      </c>
      <c r="AL74" s="2" t="s">
        <v>633</v>
      </c>
      <c r="AM74" s="2">
        <v>0</v>
      </c>
      <c r="AN74" s="2">
        <v>0</v>
      </c>
      <c r="AO74" s="2">
        <v>1</v>
      </c>
      <c r="AP74" s="2">
        <v>0</v>
      </c>
      <c r="AQ74" s="2">
        <v>0</v>
      </c>
      <c r="AR74" s="2">
        <v>0</v>
      </c>
      <c r="AS74" s="2">
        <v>0</v>
      </c>
      <c r="AT74" s="2">
        <v>0</v>
      </c>
      <c r="BB74" s="2" t="str">
        <f>+PROPER(BD[[#This Row],[PRIMER_APELLIDO]])</f>
        <v>Flete</v>
      </c>
    </row>
    <row r="75" spans="1:54" x14ac:dyDescent="0.25">
      <c r="A75" s="2">
        <v>74</v>
      </c>
      <c r="B75" s="2">
        <v>50272</v>
      </c>
      <c r="C75" s="2" t="s">
        <v>619</v>
      </c>
      <c r="D75" s="2" t="s">
        <v>620</v>
      </c>
      <c r="E75" s="2" t="s">
        <v>1180</v>
      </c>
      <c r="F75" s="2">
        <v>25106181</v>
      </c>
      <c r="G75" s="3">
        <v>35.235616438356168</v>
      </c>
      <c r="H75" s="2" t="s">
        <v>622</v>
      </c>
      <c r="I75" s="2" t="s">
        <v>1181</v>
      </c>
      <c r="J75" s="2" t="str">
        <f>+IF(BD[[#This Row],[DEPARTAMENTO_INSS]]="MANAGUA","_01_","_02_")</f>
        <v>_02_</v>
      </c>
      <c r="K75" s="2" t="str">
        <f>+CONCATENATE(BD[[#This Row],[Columna3]],BD[[#This Row],[Columna4]],BD[[#This Row],[NOMBRE COMPLETO]])</f>
        <v>E003_02_FAUSTO MARTIN AGUILAR RODRIGUEZ</v>
      </c>
      <c r="L75" s="2" t="s">
        <v>1182</v>
      </c>
      <c r="M75" s="2" t="s">
        <v>1183</v>
      </c>
      <c r="N75" s="2" t="s">
        <v>141</v>
      </c>
      <c r="O75" s="2" t="s">
        <v>185</v>
      </c>
      <c r="P75" s="2" t="s">
        <v>649</v>
      </c>
      <c r="Q75" s="2" t="s">
        <v>351</v>
      </c>
      <c r="R75" s="2">
        <v>31935</v>
      </c>
      <c r="S75" s="2">
        <v>31935</v>
      </c>
      <c r="T75" s="2" t="s">
        <v>1005</v>
      </c>
      <c r="U75" s="2" t="s">
        <v>1005</v>
      </c>
      <c r="V75" s="2" t="s">
        <v>1184</v>
      </c>
      <c r="W75" s="2" t="s">
        <v>1184</v>
      </c>
      <c r="X75" s="2" t="s">
        <v>1185</v>
      </c>
      <c r="Y75" s="2" t="s">
        <v>1186</v>
      </c>
      <c r="AA75" s="2" t="s">
        <v>1187</v>
      </c>
      <c r="AB75" s="2" t="s">
        <v>798</v>
      </c>
      <c r="AC75" s="2" t="s">
        <v>632</v>
      </c>
      <c r="AD75" s="2">
        <v>89311989</v>
      </c>
      <c r="AE75" s="2">
        <v>88228366</v>
      </c>
      <c r="AJ75" s="2">
        <v>89311989</v>
      </c>
      <c r="AK75" s="2">
        <v>2</v>
      </c>
      <c r="AL75" s="2" t="s">
        <v>633</v>
      </c>
      <c r="AM75" s="2">
        <v>0</v>
      </c>
      <c r="AN75" s="2">
        <v>0</v>
      </c>
      <c r="AO75" s="2">
        <v>1</v>
      </c>
      <c r="AP75" s="2">
        <v>0</v>
      </c>
      <c r="AQ75" s="2">
        <v>0</v>
      </c>
      <c r="AR75" s="2">
        <v>0</v>
      </c>
      <c r="AS75" s="2">
        <v>0</v>
      </c>
      <c r="AT75" s="2">
        <v>0</v>
      </c>
      <c r="BB75" s="2" t="str">
        <f>+PROPER(BD[[#This Row],[PRIMER_APELLIDO]])</f>
        <v>Aguilar</v>
      </c>
    </row>
    <row r="76" spans="1:54" x14ac:dyDescent="0.25">
      <c r="A76" s="2">
        <v>75</v>
      </c>
      <c r="B76" s="2">
        <v>74261</v>
      </c>
      <c r="C76" s="2" t="s">
        <v>619</v>
      </c>
      <c r="D76" s="2" t="s">
        <v>620</v>
      </c>
      <c r="E76" s="2" t="s">
        <v>1188</v>
      </c>
      <c r="G76" s="3">
        <v>35.235616438356168</v>
      </c>
      <c r="H76" s="2" t="s">
        <v>622</v>
      </c>
      <c r="I76" s="2" t="s">
        <v>1189</v>
      </c>
      <c r="J76" s="2" t="str">
        <f>+IF(BD[[#This Row],[DEPARTAMENTO_INSS]]="MANAGUA","_01_","_02_")</f>
        <v>_02_</v>
      </c>
      <c r="K76" s="2" t="str">
        <f>+CONCATENATE(BD[[#This Row],[Columna3]],BD[[#This Row],[Columna4]],BD[[#This Row],[NOMBRE COMPLETO]])</f>
        <v>E003_02_LENNER ANTONIO SEVILLA ALVARADO</v>
      </c>
      <c r="L76" s="2" t="s">
        <v>1190</v>
      </c>
      <c r="M76" s="2" t="s">
        <v>904</v>
      </c>
      <c r="N76" s="2" t="s">
        <v>280</v>
      </c>
      <c r="O76" s="2" t="s">
        <v>18</v>
      </c>
      <c r="P76" s="2" t="s">
        <v>649</v>
      </c>
      <c r="Q76" s="2" t="s">
        <v>351</v>
      </c>
      <c r="R76" s="2">
        <v>31935</v>
      </c>
      <c r="S76" s="2">
        <v>31935</v>
      </c>
      <c r="T76" s="2" t="s">
        <v>1191</v>
      </c>
      <c r="U76" s="2" t="s">
        <v>1005</v>
      </c>
      <c r="V76" s="2" t="s">
        <v>1192</v>
      </c>
      <c r="W76" s="2" t="s">
        <v>1006</v>
      </c>
      <c r="X76" s="2" t="s">
        <v>1193</v>
      </c>
      <c r="Y76" s="2" t="s">
        <v>1194</v>
      </c>
      <c r="Z76" s="2">
        <v>86328051</v>
      </c>
      <c r="AA76" s="2">
        <v>86328051</v>
      </c>
      <c r="AB76" s="2" t="s">
        <v>758</v>
      </c>
      <c r="AC76" s="2" t="s">
        <v>632</v>
      </c>
      <c r="AD76" s="2">
        <v>86328051</v>
      </c>
      <c r="AJ76" s="2">
        <v>86328051</v>
      </c>
      <c r="AK76" s="2">
        <v>2</v>
      </c>
      <c r="AL76" s="2" t="s">
        <v>633</v>
      </c>
      <c r="AM76" s="2">
        <v>0</v>
      </c>
      <c r="AN76" s="2">
        <v>0</v>
      </c>
      <c r="AO76" s="2">
        <v>1</v>
      </c>
      <c r="AP76" s="2">
        <v>0</v>
      </c>
      <c r="AQ76" s="2">
        <v>0</v>
      </c>
      <c r="AR76" s="2">
        <v>0</v>
      </c>
      <c r="AS76" s="2">
        <v>0</v>
      </c>
      <c r="AT76" s="2">
        <v>0</v>
      </c>
      <c r="AZ76" s="2" t="s">
        <v>1195</v>
      </c>
      <c r="BB76" s="2" t="str">
        <f>+PROPER(BD[[#This Row],[PRIMER_APELLIDO]])</f>
        <v>Sevilla</v>
      </c>
    </row>
    <row r="77" spans="1:54" x14ac:dyDescent="0.25">
      <c r="A77" s="2">
        <v>76</v>
      </c>
      <c r="B77" s="2">
        <v>39330</v>
      </c>
      <c r="C77" s="2" t="s">
        <v>619</v>
      </c>
      <c r="D77" s="2" t="s">
        <v>620</v>
      </c>
      <c r="E77" s="2" t="s">
        <v>1196</v>
      </c>
      <c r="F77" s="2">
        <v>23143243</v>
      </c>
      <c r="G77" s="3">
        <v>35.238356164383561</v>
      </c>
      <c r="H77" s="2" t="s">
        <v>622</v>
      </c>
      <c r="I77" s="2" t="s">
        <v>1197</v>
      </c>
      <c r="J77" s="2" t="str">
        <f>+IF(BD[[#This Row],[DEPARTAMENTO_INSS]]="MANAGUA","_01_","_02_")</f>
        <v>_02_</v>
      </c>
      <c r="K77" s="2" t="str">
        <f>+CONCATENATE(BD[[#This Row],[Columna3]],BD[[#This Row],[Columna4]],BD[[#This Row],[NOMBRE COMPLETO]])</f>
        <v>E003_02_GLADYS MARIA CHAVARRIA URBINA</v>
      </c>
      <c r="L77" s="2" t="s">
        <v>1198</v>
      </c>
      <c r="M77" s="2" t="s">
        <v>724</v>
      </c>
      <c r="N77" s="2" t="s">
        <v>98</v>
      </c>
      <c r="O77" s="2" t="s">
        <v>86</v>
      </c>
      <c r="P77" s="2" t="s">
        <v>626</v>
      </c>
      <c r="Q77" s="2" t="s">
        <v>351</v>
      </c>
      <c r="R77" s="2">
        <v>31934</v>
      </c>
      <c r="S77" s="2">
        <v>31934</v>
      </c>
      <c r="T77" s="2" t="s">
        <v>176</v>
      </c>
      <c r="U77" s="2" t="s">
        <v>176</v>
      </c>
      <c r="V77" s="2" t="s">
        <v>650</v>
      </c>
      <c r="W77" s="2" t="s">
        <v>176</v>
      </c>
      <c r="X77" s="2" t="s">
        <v>1199</v>
      </c>
      <c r="Y77" s="2" t="s">
        <v>1200</v>
      </c>
      <c r="Z77" s="2">
        <v>88526861</v>
      </c>
      <c r="AA77" s="2">
        <v>88526861</v>
      </c>
      <c r="AB77" s="2" t="s">
        <v>642</v>
      </c>
      <c r="AC77" s="2" t="s">
        <v>632</v>
      </c>
      <c r="AD77" s="2">
        <v>88526861</v>
      </c>
      <c r="AJ77" s="2">
        <v>88526861</v>
      </c>
      <c r="AK77" s="2">
        <v>2</v>
      </c>
      <c r="AL77" s="2" t="s">
        <v>633</v>
      </c>
      <c r="AM77" s="2">
        <v>0</v>
      </c>
      <c r="AN77" s="2">
        <v>0</v>
      </c>
      <c r="AO77" s="2">
        <v>1</v>
      </c>
      <c r="AP77" s="2">
        <v>0</v>
      </c>
      <c r="AQ77" s="2">
        <v>0</v>
      </c>
      <c r="AR77" s="2">
        <v>0</v>
      </c>
      <c r="AS77" s="2">
        <v>0</v>
      </c>
      <c r="AT77" s="2">
        <v>0</v>
      </c>
      <c r="AZ77" s="2" t="s">
        <v>1201</v>
      </c>
      <c r="BB77" s="2" t="str">
        <f>+PROPER(BD[[#This Row],[PRIMER_APELLIDO]])</f>
        <v>Chavarria</v>
      </c>
    </row>
    <row r="78" spans="1:54" x14ac:dyDescent="0.25">
      <c r="A78" s="2">
        <v>77</v>
      </c>
      <c r="B78" s="2">
        <v>43912</v>
      </c>
      <c r="C78" s="2" t="s">
        <v>619</v>
      </c>
      <c r="D78" s="2" t="s">
        <v>620</v>
      </c>
      <c r="E78" s="2" t="s">
        <v>1202</v>
      </c>
      <c r="F78" s="2">
        <v>24235950</v>
      </c>
      <c r="G78" s="3">
        <v>35.238356164383561</v>
      </c>
      <c r="H78" s="2" t="s">
        <v>622</v>
      </c>
      <c r="I78" s="2" t="s">
        <v>1203</v>
      </c>
      <c r="J78" s="2" t="str">
        <f>+IF(BD[[#This Row],[DEPARTAMENTO_INSS]]="MANAGUA","_01_","_02_")</f>
        <v>_02_</v>
      </c>
      <c r="K78" s="2" t="str">
        <f>+CONCATENATE(BD[[#This Row],[Columna3]],BD[[#This Row],[Columna4]],BD[[#This Row],[NOMBRE COMPLETO]])</f>
        <v>E003_02_MILTON ELI TORREZ DORMUS</v>
      </c>
      <c r="L78" s="2" t="s">
        <v>1204</v>
      </c>
      <c r="M78" s="2" t="s">
        <v>1205</v>
      </c>
      <c r="N78" s="2" t="s">
        <v>158</v>
      </c>
      <c r="O78" s="2" t="s">
        <v>1206</v>
      </c>
      <c r="P78" s="2" t="s">
        <v>649</v>
      </c>
      <c r="Q78" s="2" t="s">
        <v>351</v>
      </c>
      <c r="R78" s="2">
        <v>31934</v>
      </c>
      <c r="S78" s="2">
        <v>31934</v>
      </c>
      <c r="T78" s="2" t="s">
        <v>1104</v>
      </c>
      <c r="U78" s="2" t="s">
        <v>1104</v>
      </c>
      <c r="V78" s="2" t="s">
        <v>1104</v>
      </c>
      <c r="W78" s="2" t="s">
        <v>1104</v>
      </c>
      <c r="X78" s="2" t="s">
        <v>1207</v>
      </c>
      <c r="Y78" s="2" t="s">
        <v>1208</v>
      </c>
      <c r="AA78" s="2">
        <v>88326861</v>
      </c>
      <c r="AB78" s="2" t="s">
        <v>654</v>
      </c>
      <c r="AC78" s="2" t="s">
        <v>632</v>
      </c>
      <c r="AD78" s="2">
        <v>88326861</v>
      </c>
      <c r="AJ78" s="2">
        <v>88326861</v>
      </c>
      <c r="AK78" s="2">
        <v>1</v>
      </c>
      <c r="AL78" s="2" t="s">
        <v>633</v>
      </c>
      <c r="AM78" s="2">
        <v>0</v>
      </c>
      <c r="AN78" s="2">
        <v>0</v>
      </c>
      <c r="AO78" s="2">
        <v>1</v>
      </c>
      <c r="AP78" s="2">
        <v>0</v>
      </c>
      <c r="AQ78" s="2">
        <v>0</v>
      </c>
      <c r="AR78" s="2">
        <v>0</v>
      </c>
      <c r="AS78" s="2">
        <v>0</v>
      </c>
      <c r="AT78" s="2">
        <v>0</v>
      </c>
      <c r="BB78" s="2" t="str">
        <f>+PROPER(BD[[#This Row],[PRIMER_APELLIDO]])</f>
        <v>Torrez</v>
      </c>
    </row>
    <row r="79" spans="1:54" x14ac:dyDescent="0.25">
      <c r="A79" s="2">
        <v>78</v>
      </c>
      <c r="B79" s="2">
        <v>44054</v>
      </c>
      <c r="C79" s="2" t="s">
        <v>619</v>
      </c>
      <c r="D79" s="2" t="s">
        <v>620</v>
      </c>
      <c r="E79" s="2" t="s">
        <v>1209</v>
      </c>
      <c r="F79" s="2">
        <v>24233572</v>
      </c>
      <c r="G79" s="3">
        <v>35.243835616438353</v>
      </c>
      <c r="H79" s="2" t="s">
        <v>622</v>
      </c>
      <c r="I79" s="2" t="s">
        <v>1210</v>
      </c>
      <c r="J79" s="2" t="str">
        <f>+IF(BD[[#This Row],[DEPARTAMENTO_INSS]]="MANAGUA","_01_","_02_")</f>
        <v>_02_</v>
      </c>
      <c r="K79" s="2" t="str">
        <f>+CONCATENATE(BD[[#This Row],[Columna3]],BD[[#This Row],[Columna4]],BD[[#This Row],[NOMBRE COMPLETO]])</f>
        <v>E003_02_GEMA GABRIELA CARVAJAL CENTENO</v>
      </c>
      <c r="L79" s="2" t="s">
        <v>786</v>
      </c>
      <c r="M79" s="2" t="s">
        <v>1211</v>
      </c>
      <c r="N79" s="2" t="s">
        <v>321</v>
      </c>
      <c r="O79" s="2" t="s">
        <v>116</v>
      </c>
      <c r="P79" s="2" t="s">
        <v>626</v>
      </c>
      <c r="Q79" s="2" t="s">
        <v>351</v>
      </c>
      <c r="R79" s="2">
        <v>31932</v>
      </c>
      <c r="S79" s="2">
        <v>31932</v>
      </c>
      <c r="T79" s="2" t="s">
        <v>176</v>
      </c>
      <c r="U79" s="2" t="s">
        <v>176</v>
      </c>
      <c r="V79" s="2" t="s">
        <v>650</v>
      </c>
      <c r="W79" s="2" t="s">
        <v>176</v>
      </c>
      <c r="X79" s="2" t="s">
        <v>1212</v>
      </c>
      <c r="Y79" s="2" t="s">
        <v>1213</v>
      </c>
      <c r="Z79" s="2">
        <v>87405801</v>
      </c>
      <c r="AA79" s="2">
        <v>84912571</v>
      </c>
      <c r="AB79" s="2" t="s">
        <v>642</v>
      </c>
      <c r="AC79" s="2" t="s">
        <v>632</v>
      </c>
      <c r="AD79" s="2">
        <v>87405801</v>
      </c>
      <c r="AF79" s="2">
        <v>84912571</v>
      </c>
      <c r="AJ79" s="2">
        <v>87405801</v>
      </c>
      <c r="AK79" s="2">
        <v>2</v>
      </c>
      <c r="AL79" s="2" t="s">
        <v>633</v>
      </c>
      <c r="AM79" s="2">
        <v>0</v>
      </c>
      <c r="AN79" s="2">
        <v>0</v>
      </c>
      <c r="AO79" s="2">
        <v>1</v>
      </c>
      <c r="AP79" s="2">
        <v>0</v>
      </c>
      <c r="AQ79" s="2">
        <v>0</v>
      </c>
      <c r="AR79" s="2">
        <v>0</v>
      </c>
      <c r="AS79" s="2">
        <v>0</v>
      </c>
      <c r="AT79" s="2">
        <v>0</v>
      </c>
      <c r="AZ79" s="2" t="s">
        <v>1214</v>
      </c>
      <c r="BB79" s="2" t="str">
        <f>+PROPER(BD[[#This Row],[PRIMER_APELLIDO]])</f>
        <v>Carvajal</v>
      </c>
    </row>
    <row r="80" spans="1:54" x14ac:dyDescent="0.25">
      <c r="A80" s="2">
        <v>79</v>
      </c>
      <c r="B80" s="2">
        <v>48890</v>
      </c>
      <c r="C80" s="2" t="s">
        <v>619</v>
      </c>
      <c r="D80" s="2" t="s">
        <v>620</v>
      </c>
      <c r="E80" s="2" t="s">
        <v>1215</v>
      </c>
      <c r="F80" s="2">
        <v>26962434</v>
      </c>
      <c r="G80" s="3">
        <v>35.246575342465754</v>
      </c>
      <c r="H80" s="2" t="s">
        <v>622</v>
      </c>
      <c r="I80" s="2" t="s">
        <v>1216</v>
      </c>
      <c r="J80" s="2" t="str">
        <f>+IF(BD[[#This Row],[DEPARTAMENTO_INSS]]="MANAGUA","_01_","_02_")</f>
        <v>_02_</v>
      </c>
      <c r="K80" s="2" t="str">
        <f>+CONCATENATE(BD[[#This Row],[Columna3]],BD[[#This Row],[Columna4]],BD[[#This Row],[NOMBRE COMPLETO]])</f>
        <v>E003_02_AURA MELANIA GUADAMUZ MAIRENA</v>
      </c>
      <c r="L80" s="2" t="s">
        <v>875</v>
      </c>
      <c r="M80" s="2" t="s">
        <v>833</v>
      </c>
      <c r="N80" s="2" t="s">
        <v>285</v>
      </c>
      <c r="O80" s="2" t="s">
        <v>427</v>
      </c>
      <c r="P80" s="2" t="s">
        <v>626</v>
      </c>
      <c r="Q80" s="2" t="s">
        <v>351</v>
      </c>
      <c r="R80" s="2">
        <v>31931</v>
      </c>
      <c r="S80" s="2">
        <v>31931</v>
      </c>
      <c r="T80" s="2" t="s">
        <v>444</v>
      </c>
      <c r="U80" s="2" t="s">
        <v>444</v>
      </c>
      <c r="V80" s="2" t="s">
        <v>764</v>
      </c>
      <c r="W80" s="2" t="s">
        <v>764</v>
      </c>
      <c r="X80" s="2" t="s">
        <v>1217</v>
      </c>
      <c r="Y80" s="2" t="s">
        <v>1218</v>
      </c>
      <c r="Z80" s="2">
        <v>84131298</v>
      </c>
      <c r="AA80" s="2" t="s">
        <v>1219</v>
      </c>
      <c r="AB80" s="2" t="s">
        <v>631</v>
      </c>
      <c r="AC80" s="2" t="s">
        <v>632</v>
      </c>
      <c r="AD80" s="2">
        <v>84131298</v>
      </c>
      <c r="AJ80" s="2">
        <v>84131298</v>
      </c>
      <c r="AK80" s="2">
        <v>3</v>
      </c>
      <c r="AL80" s="2" t="s">
        <v>633</v>
      </c>
      <c r="AM80" s="2">
        <v>0</v>
      </c>
      <c r="AN80" s="2">
        <v>0</v>
      </c>
      <c r="AO80" s="2">
        <v>1</v>
      </c>
      <c r="AP80" s="2">
        <v>0</v>
      </c>
      <c r="AQ80" s="2">
        <v>0</v>
      </c>
      <c r="AR80" s="2">
        <v>0</v>
      </c>
      <c r="AS80" s="2">
        <v>0</v>
      </c>
      <c r="AT80" s="2">
        <v>0</v>
      </c>
      <c r="BB80" s="2" t="str">
        <f>+PROPER(BD[[#This Row],[PRIMER_APELLIDO]])</f>
        <v>Guadamuz</v>
      </c>
    </row>
    <row r="81" spans="1:54" x14ac:dyDescent="0.25">
      <c r="A81" s="2">
        <v>80</v>
      </c>
      <c r="B81" s="2">
        <v>73146</v>
      </c>
      <c r="C81" s="2" t="s">
        <v>619</v>
      </c>
      <c r="D81" s="2" t="s">
        <v>620</v>
      </c>
      <c r="E81" s="2" t="s">
        <v>1220</v>
      </c>
      <c r="G81" s="3">
        <v>35.249315068493154</v>
      </c>
      <c r="H81" s="2" t="s">
        <v>622</v>
      </c>
      <c r="I81" s="2" t="s">
        <v>1221</v>
      </c>
      <c r="J81" s="2" t="str">
        <f>+IF(BD[[#This Row],[DEPARTAMENTO_INSS]]="MANAGUA","_01_","_02_")</f>
        <v>_02_</v>
      </c>
      <c r="K81" s="2" t="str">
        <f>+CONCATENATE(BD[[#This Row],[Columna3]],BD[[#This Row],[Columna4]],BD[[#This Row],[NOMBRE COMPLETO]])</f>
        <v>E003_02_HUGO CESAR LOPEZ MOLINA</v>
      </c>
      <c r="L81" s="2" t="s">
        <v>1222</v>
      </c>
      <c r="M81" s="2" t="s">
        <v>1223</v>
      </c>
      <c r="N81" s="2" t="s">
        <v>15</v>
      </c>
      <c r="O81" s="2" t="s">
        <v>63</v>
      </c>
      <c r="P81" s="2" t="s">
        <v>649</v>
      </c>
      <c r="Q81" s="2" t="s">
        <v>351</v>
      </c>
      <c r="R81" s="2">
        <v>31930</v>
      </c>
      <c r="S81" s="2">
        <v>31930</v>
      </c>
      <c r="T81" s="2" t="s">
        <v>1104</v>
      </c>
      <c r="U81" s="2" t="s">
        <v>1104</v>
      </c>
      <c r="V81" s="2" t="s">
        <v>1224</v>
      </c>
      <c r="W81" s="2" t="s">
        <v>1104</v>
      </c>
      <c r="X81" s="2" t="s">
        <v>1225</v>
      </c>
      <c r="Y81" s="2" t="s">
        <v>1226</v>
      </c>
      <c r="Z81" s="2">
        <v>86255362</v>
      </c>
      <c r="AA81" s="2">
        <v>86255362</v>
      </c>
      <c r="AB81" s="2" t="s">
        <v>1227</v>
      </c>
      <c r="AC81" s="2" t="s">
        <v>632</v>
      </c>
      <c r="AD81" s="2">
        <v>86255362</v>
      </c>
      <c r="AJ81" s="2">
        <v>86255362</v>
      </c>
      <c r="AK81" s="2">
        <v>2</v>
      </c>
      <c r="AL81" s="2" t="s">
        <v>633</v>
      </c>
      <c r="AM81" s="2">
        <v>0</v>
      </c>
      <c r="AN81" s="2">
        <v>0</v>
      </c>
      <c r="AO81" s="2">
        <v>1</v>
      </c>
      <c r="AP81" s="2">
        <v>0</v>
      </c>
      <c r="AQ81" s="2">
        <v>0</v>
      </c>
      <c r="AR81" s="2">
        <v>0</v>
      </c>
      <c r="AS81" s="2">
        <v>0</v>
      </c>
      <c r="AT81" s="2">
        <v>0</v>
      </c>
      <c r="AZ81" s="2" t="s">
        <v>1228</v>
      </c>
      <c r="BB81" s="2" t="str">
        <f>+PROPER(BD[[#This Row],[PRIMER_APELLIDO]])</f>
        <v>Lopez</v>
      </c>
    </row>
    <row r="82" spans="1:54" x14ac:dyDescent="0.25">
      <c r="A82" s="2">
        <v>81</v>
      </c>
      <c r="B82" s="2">
        <v>54895</v>
      </c>
      <c r="C82" s="2" t="s">
        <v>619</v>
      </c>
      <c r="D82" s="2" t="s">
        <v>620</v>
      </c>
      <c r="E82" s="2" t="s">
        <v>1229</v>
      </c>
      <c r="G82" s="3">
        <v>35.252054794520546</v>
      </c>
      <c r="H82" s="2" t="s">
        <v>622</v>
      </c>
      <c r="I82" s="2" t="s">
        <v>1230</v>
      </c>
      <c r="J82" s="2" t="str">
        <f>+IF(BD[[#This Row],[DEPARTAMENTO_INSS]]="MANAGUA","_01_","_02_")</f>
        <v>_01_</v>
      </c>
      <c r="K82" s="2" t="str">
        <f>+CONCATENATE(BD[[#This Row],[Columna3]],BD[[#This Row],[Columna4]],BD[[#This Row],[NOMBRE COMPLETO]])</f>
        <v>E003_01_MARIA JOSE PAVON SILVA</v>
      </c>
      <c r="L82" s="2" t="s">
        <v>724</v>
      </c>
      <c r="M82" s="2" t="s">
        <v>243</v>
      </c>
      <c r="N82" s="2" t="s">
        <v>345</v>
      </c>
      <c r="O82" s="2" t="s">
        <v>113</v>
      </c>
      <c r="P82" s="2" t="s">
        <v>626</v>
      </c>
      <c r="Q82" s="2" t="s">
        <v>351</v>
      </c>
      <c r="R82" s="2">
        <v>31929</v>
      </c>
      <c r="S82" s="2">
        <v>31929</v>
      </c>
      <c r="T82" s="2" t="s">
        <v>732</v>
      </c>
      <c r="U82" s="2" t="s">
        <v>627</v>
      </c>
      <c r="V82" s="2" t="s">
        <v>732</v>
      </c>
      <c r="W82" s="2" t="s">
        <v>627</v>
      </c>
      <c r="X82" s="2" t="s">
        <v>1231</v>
      </c>
      <c r="Y82" s="2" t="s">
        <v>1232</v>
      </c>
      <c r="AA82" s="2">
        <v>85928394</v>
      </c>
      <c r="AB82" s="2" t="s">
        <v>631</v>
      </c>
      <c r="AC82" s="2" t="s">
        <v>632</v>
      </c>
      <c r="AD82" s="2">
        <v>85928394</v>
      </c>
      <c r="AJ82" s="2">
        <v>85928394</v>
      </c>
      <c r="AK82" s="2">
        <v>1</v>
      </c>
      <c r="AL82" s="2" t="s">
        <v>633</v>
      </c>
      <c r="AM82" s="2">
        <v>0</v>
      </c>
      <c r="AN82" s="2">
        <v>0</v>
      </c>
      <c r="AO82" s="2">
        <v>1</v>
      </c>
      <c r="AP82" s="2">
        <v>0</v>
      </c>
      <c r="AQ82" s="2">
        <v>0</v>
      </c>
      <c r="AR82" s="2">
        <v>0</v>
      </c>
      <c r="AS82" s="2">
        <v>0</v>
      </c>
      <c r="AT82" s="2">
        <v>0</v>
      </c>
      <c r="BB82" s="2" t="str">
        <f>+PROPER(BD[[#This Row],[PRIMER_APELLIDO]])</f>
        <v>Pavon</v>
      </c>
    </row>
    <row r="83" spans="1:54" x14ac:dyDescent="0.25">
      <c r="A83" s="2">
        <v>82</v>
      </c>
      <c r="B83" s="2">
        <v>58364</v>
      </c>
      <c r="C83" s="2" t="s">
        <v>619</v>
      </c>
      <c r="D83" s="2" t="s">
        <v>620</v>
      </c>
      <c r="E83" s="2" t="s">
        <v>1233</v>
      </c>
      <c r="G83" s="3">
        <v>35.257534246575339</v>
      </c>
      <c r="H83" s="2" t="s">
        <v>622</v>
      </c>
      <c r="I83" s="2" t="s">
        <v>1234</v>
      </c>
      <c r="J83" s="2" t="str">
        <f>+IF(BD[[#This Row],[DEPARTAMENTO_INSS]]="MANAGUA","_01_","_02_")</f>
        <v>_02_</v>
      </c>
      <c r="K83" s="2" t="str">
        <f>+CONCATENATE(BD[[#This Row],[Columna3]],BD[[#This Row],[Columna4]],BD[[#This Row],[NOMBRE COMPLETO]])</f>
        <v>E003_02_MARYENI DEL CARMEN MARTINEZ ESCALANTE</v>
      </c>
      <c r="L83" s="2" t="s">
        <v>1235</v>
      </c>
      <c r="M83" s="2" t="s">
        <v>961</v>
      </c>
      <c r="N83" s="2" t="s">
        <v>44</v>
      </c>
      <c r="O83" s="2" t="s">
        <v>485</v>
      </c>
      <c r="P83" s="2" t="s">
        <v>626</v>
      </c>
      <c r="Q83" s="2" t="s">
        <v>351</v>
      </c>
      <c r="R83" s="2">
        <v>31927</v>
      </c>
      <c r="S83" s="2">
        <v>31927</v>
      </c>
      <c r="T83" s="2" t="s">
        <v>705</v>
      </c>
      <c r="U83" s="2" t="s">
        <v>705</v>
      </c>
      <c r="V83" s="2" t="s">
        <v>705</v>
      </c>
      <c r="W83" s="2" t="s">
        <v>705</v>
      </c>
      <c r="X83" s="2" t="s">
        <v>1236</v>
      </c>
      <c r="Y83" s="2" t="s">
        <v>1237</v>
      </c>
      <c r="Z83" s="2">
        <v>87961347</v>
      </c>
      <c r="AA83" s="2">
        <v>87961347</v>
      </c>
      <c r="AB83" s="2" t="s">
        <v>654</v>
      </c>
      <c r="AC83" s="2" t="s">
        <v>632</v>
      </c>
      <c r="AD83" s="2">
        <v>87961347</v>
      </c>
      <c r="AJ83" s="2">
        <v>87961347</v>
      </c>
      <c r="AK83" s="2">
        <v>2</v>
      </c>
      <c r="AL83" s="2" t="s">
        <v>633</v>
      </c>
      <c r="AM83" s="2">
        <v>0</v>
      </c>
      <c r="AN83" s="2">
        <v>0</v>
      </c>
      <c r="AO83" s="2">
        <v>1</v>
      </c>
      <c r="AP83" s="2">
        <v>0</v>
      </c>
      <c r="AQ83" s="2">
        <v>0</v>
      </c>
      <c r="AR83" s="2">
        <v>0</v>
      </c>
      <c r="AS83" s="2">
        <v>0</v>
      </c>
      <c r="AT83" s="2">
        <v>0</v>
      </c>
      <c r="AZ83" s="2" t="s">
        <v>1238</v>
      </c>
      <c r="BB83" s="2" t="str">
        <f>+PROPER(BD[[#This Row],[PRIMER_APELLIDO]])</f>
        <v>Martinez</v>
      </c>
    </row>
    <row r="84" spans="1:54" x14ac:dyDescent="0.25">
      <c r="A84" s="2">
        <v>83</v>
      </c>
      <c r="B84" s="2">
        <v>39333</v>
      </c>
      <c r="C84" s="2" t="s">
        <v>619</v>
      </c>
      <c r="D84" s="2" t="s">
        <v>620</v>
      </c>
      <c r="E84" s="2" t="s">
        <v>1239</v>
      </c>
      <c r="F84" s="2">
        <v>23113851</v>
      </c>
      <c r="G84" s="3">
        <v>35.260273972602739</v>
      </c>
      <c r="H84" s="2" t="s">
        <v>622</v>
      </c>
      <c r="I84" s="2" t="s">
        <v>1240</v>
      </c>
      <c r="J84" s="2" t="str">
        <f>+IF(BD[[#This Row],[DEPARTAMENTO_INSS]]="MANAGUA","_01_","_02_")</f>
        <v>_01_</v>
      </c>
      <c r="K84" s="2" t="str">
        <f>+CONCATENATE(BD[[#This Row],[Columna3]],BD[[#This Row],[Columna4]],BD[[#This Row],[NOMBRE COMPLETO]])</f>
        <v>E003_01_CARMEN ALEJANDRA BENAVIDES ARGUELLO</v>
      </c>
      <c r="L84" s="2" t="s">
        <v>1241</v>
      </c>
      <c r="M84" s="2" t="s">
        <v>1242</v>
      </c>
      <c r="N84" s="2" t="s">
        <v>420</v>
      </c>
      <c r="O84" s="2" t="s">
        <v>271</v>
      </c>
      <c r="P84" s="2" t="s">
        <v>626</v>
      </c>
      <c r="Q84" s="2" t="s">
        <v>351</v>
      </c>
      <c r="R84" s="2">
        <v>31926</v>
      </c>
      <c r="S84" s="2">
        <v>31926</v>
      </c>
      <c r="T84" s="2" t="s">
        <v>627</v>
      </c>
      <c r="U84" s="2" t="s">
        <v>627</v>
      </c>
      <c r="V84" s="2" t="s">
        <v>627</v>
      </c>
      <c r="W84" s="2" t="s">
        <v>627</v>
      </c>
      <c r="X84" s="2" t="s">
        <v>1243</v>
      </c>
      <c r="Y84" s="2" t="s">
        <v>1244</v>
      </c>
      <c r="Z84" s="2">
        <v>88829287</v>
      </c>
      <c r="AA84" s="2" t="s">
        <v>1245</v>
      </c>
      <c r="AB84" s="2" t="s">
        <v>642</v>
      </c>
      <c r="AC84" s="2" t="s">
        <v>632</v>
      </c>
      <c r="AD84" s="2">
        <v>88829287</v>
      </c>
      <c r="AJ84" s="2">
        <v>88829287</v>
      </c>
      <c r="AK84" s="2">
        <v>3</v>
      </c>
      <c r="AL84" s="2" t="s">
        <v>633</v>
      </c>
      <c r="AM84" s="2">
        <v>0</v>
      </c>
      <c r="AN84" s="2">
        <v>0</v>
      </c>
      <c r="AO84" s="2">
        <v>1</v>
      </c>
      <c r="AP84" s="2">
        <v>0</v>
      </c>
      <c r="AQ84" s="2">
        <v>0</v>
      </c>
      <c r="AR84" s="2">
        <v>0</v>
      </c>
      <c r="AS84" s="2">
        <v>0</v>
      </c>
      <c r="AT84" s="2">
        <v>0</v>
      </c>
      <c r="AZ84" s="2" t="s">
        <v>1246</v>
      </c>
      <c r="BB84" s="2" t="str">
        <f>+PROPER(BD[[#This Row],[PRIMER_APELLIDO]])</f>
        <v>Benavides</v>
      </c>
    </row>
    <row r="85" spans="1:54" x14ac:dyDescent="0.25">
      <c r="A85" s="2">
        <v>84</v>
      </c>
      <c r="B85" s="2">
        <v>43361</v>
      </c>
      <c r="C85" s="2" t="s">
        <v>619</v>
      </c>
      <c r="D85" s="2" t="s">
        <v>620</v>
      </c>
      <c r="E85" s="2" t="s">
        <v>1247</v>
      </c>
      <c r="F85" s="2">
        <v>24232762</v>
      </c>
      <c r="G85" s="3">
        <v>35.260273972602739</v>
      </c>
      <c r="H85" s="2" t="s">
        <v>622</v>
      </c>
      <c r="I85" s="2" t="s">
        <v>1248</v>
      </c>
      <c r="J85" s="2" t="str">
        <f>+IF(BD[[#This Row],[DEPARTAMENTO_INSS]]="MANAGUA","_01_","_02_")</f>
        <v>_01_</v>
      </c>
      <c r="K85" s="2" t="str">
        <f>+CONCATENATE(BD[[#This Row],[Columna3]],BD[[#This Row],[Columna4]],BD[[#This Row],[NOMBRE COMPLETO]])</f>
        <v>E003_01_DULCE LINDENIA MOJICA LOPEZ</v>
      </c>
      <c r="L85" s="2" t="s">
        <v>1249</v>
      </c>
      <c r="M85" s="2" t="s">
        <v>1250</v>
      </c>
      <c r="N85" s="2" t="s">
        <v>279</v>
      </c>
      <c r="O85" s="2" t="s">
        <v>15</v>
      </c>
      <c r="P85" s="2" t="s">
        <v>626</v>
      </c>
      <c r="Q85" s="2" t="s">
        <v>351</v>
      </c>
      <c r="R85" s="2">
        <v>31926</v>
      </c>
      <c r="S85" s="2">
        <v>31926</v>
      </c>
      <c r="T85" s="2" t="s">
        <v>627</v>
      </c>
      <c r="U85" s="2" t="s">
        <v>627</v>
      </c>
      <c r="V85" s="2" t="s">
        <v>1251</v>
      </c>
      <c r="W85" s="2" t="s">
        <v>1252</v>
      </c>
      <c r="X85" s="2" t="s">
        <v>1253</v>
      </c>
      <c r="Y85" s="2" t="s">
        <v>1254</v>
      </c>
      <c r="AA85" s="2">
        <v>83804699</v>
      </c>
      <c r="AB85" s="2" t="s">
        <v>642</v>
      </c>
      <c r="AC85" s="2" t="s">
        <v>632</v>
      </c>
      <c r="AD85" s="2">
        <v>83804699</v>
      </c>
      <c r="AJ85" s="2">
        <v>83804699</v>
      </c>
      <c r="AK85" s="2">
        <v>1</v>
      </c>
      <c r="AL85" s="2" t="s">
        <v>633</v>
      </c>
      <c r="AM85" s="2">
        <v>0</v>
      </c>
      <c r="AN85" s="2">
        <v>0</v>
      </c>
      <c r="AO85" s="2">
        <v>1</v>
      </c>
      <c r="AP85" s="2">
        <v>0</v>
      </c>
      <c r="AQ85" s="2">
        <v>0</v>
      </c>
      <c r="AR85" s="2">
        <v>0</v>
      </c>
      <c r="AS85" s="2">
        <v>0</v>
      </c>
      <c r="AT85" s="2">
        <v>0</v>
      </c>
      <c r="BB85" s="2" t="str">
        <f>+PROPER(BD[[#This Row],[PRIMER_APELLIDO]])</f>
        <v>Mojica</v>
      </c>
    </row>
    <row r="86" spans="1:54" x14ac:dyDescent="0.25">
      <c r="A86" s="2">
        <v>85</v>
      </c>
      <c r="B86" s="2">
        <v>29400</v>
      </c>
      <c r="C86" s="2" t="s">
        <v>619</v>
      </c>
      <c r="D86" s="2" t="s">
        <v>620</v>
      </c>
      <c r="E86" s="2" t="s">
        <v>1255</v>
      </c>
      <c r="F86" s="2">
        <v>26953690</v>
      </c>
      <c r="G86" s="3">
        <v>35.263013698630139</v>
      </c>
      <c r="H86" s="2" t="s">
        <v>622</v>
      </c>
      <c r="I86" s="2" t="s">
        <v>1256</v>
      </c>
      <c r="J86" s="2" t="str">
        <f>+IF(BD[[#This Row],[DEPARTAMENTO_INSS]]="MANAGUA","_01_","_02_")</f>
        <v>_01_</v>
      </c>
      <c r="K86" s="2" t="str">
        <f>+CONCATENATE(BD[[#This Row],[Columna3]],BD[[#This Row],[Columna4]],BD[[#This Row],[NOMBRE COMPLETO]])</f>
        <v>E003_01_REBECA ARACELY ORTIZ PEREZ</v>
      </c>
      <c r="L86" s="2" t="s">
        <v>1257</v>
      </c>
      <c r="M86" s="2" t="s">
        <v>1258</v>
      </c>
      <c r="N86" s="2" t="s">
        <v>109</v>
      </c>
      <c r="O86" s="2" t="s">
        <v>24</v>
      </c>
      <c r="P86" s="2" t="s">
        <v>626</v>
      </c>
      <c r="Q86" s="2" t="s">
        <v>351</v>
      </c>
      <c r="R86" s="2">
        <v>31925</v>
      </c>
      <c r="S86" s="2">
        <v>31925</v>
      </c>
      <c r="T86" s="2" t="s">
        <v>627</v>
      </c>
      <c r="U86" s="2" t="s">
        <v>627</v>
      </c>
      <c r="V86" s="2" t="s">
        <v>627</v>
      </c>
      <c r="W86" s="2" t="s">
        <v>627</v>
      </c>
      <c r="X86" s="2" t="s">
        <v>1259</v>
      </c>
      <c r="Y86" s="2" t="s">
        <v>1260</v>
      </c>
      <c r="AA86" s="2">
        <v>87665415</v>
      </c>
      <c r="AB86" s="2" t="s">
        <v>1030</v>
      </c>
      <c r="AC86" s="2" t="s">
        <v>632</v>
      </c>
      <c r="AD86" s="2">
        <v>87665415</v>
      </c>
      <c r="AJ86" s="2">
        <v>87665415</v>
      </c>
      <c r="AK86" s="2">
        <v>1</v>
      </c>
      <c r="AL86" s="2" t="s">
        <v>633</v>
      </c>
      <c r="AM86" s="2">
        <v>0</v>
      </c>
      <c r="AN86" s="2">
        <v>0</v>
      </c>
      <c r="AO86" s="2">
        <v>1</v>
      </c>
      <c r="AP86" s="2">
        <v>0</v>
      </c>
      <c r="AQ86" s="2">
        <v>0</v>
      </c>
      <c r="AR86" s="2">
        <v>0</v>
      </c>
      <c r="AS86" s="2">
        <v>0</v>
      </c>
      <c r="AT86" s="2">
        <v>0</v>
      </c>
      <c r="BB86" s="2" t="str">
        <f>+PROPER(BD[[#This Row],[PRIMER_APELLIDO]])</f>
        <v>Ortiz</v>
      </c>
    </row>
    <row r="87" spans="1:54" x14ac:dyDescent="0.25">
      <c r="A87" s="2">
        <v>86</v>
      </c>
      <c r="B87" s="2">
        <v>38150</v>
      </c>
      <c r="C87" s="2" t="s">
        <v>619</v>
      </c>
      <c r="D87" s="2" t="s">
        <v>620</v>
      </c>
      <c r="E87" s="2" t="s">
        <v>1261</v>
      </c>
      <c r="F87" s="2">
        <v>29753268</v>
      </c>
      <c r="G87" s="3">
        <v>35.265753424657532</v>
      </c>
      <c r="H87" s="2" t="s">
        <v>622</v>
      </c>
      <c r="I87" s="2" t="s">
        <v>1262</v>
      </c>
      <c r="J87" s="2" t="str">
        <f>+IF(BD[[#This Row],[DEPARTAMENTO_INSS]]="MANAGUA","_01_","_02_")</f>
        <v>_01_</v>
      </c>
      <c r="K87" s="2" t="str">
        <f>+CONCATENATE(BD[[#This Row],[Columna3]],BD[[#This Row],[Columna4]],BD[[#This Row],[NOMBRE COMPLETO]])</f>
        <v>E003_01_FRANCIS LORENA SOMARRIBA TORRES</v>
      </c>
      <c r="L87" s="2" t="s">
        <v>362</v>
      </c>
      <c r="M87" s="2" t="s">
        <v>1263</v>
      </c>
      <c r="N87" s="2" t="s">
        <v>50</v>
      </c>
      <c r="O87" s="2" t="s">
        <v>132</v>
      </c>
      <c r="P87" s="2" t="s">
        <v>626</v>
      </c>
      <c r="Q87" s="2" t="s">
        <v>351</v>
      </c>
      <c r="R87" s="2">
        <v>31924</v>
      </c>
      <c r="S87" s="2">
        <v>31924</v>
      </c>
      <c r="T87" s="2" t="s">
        <v>627</v>
      </c>
      <c r="U87" s="2" t="s">
        <v>627</v>
      </c>
      <c r="V87" s="2" t="s">
        <v>627</v>
      </c>
      <c r="W87" s="2" t="s">
        <v>627</v>
      </c>
      <c r="X87" s="2" t="s">
        <v>1264</v>
      </c>
      <c r="Y87" s="2" t="s">
        <v>1265</v>
      </c>
      <c r="AA87" s="2">
        <v>85650725</v>
      </c>
      <c r="AB87" s="2" t="s">
        <v>642</v>
      </c>
      <c r="AC87" s="2" t="s">
        <v>632</v>
      </c>
      <c r="AD87" s="2">
        <v>85650725</v>
      </c>
      <c r="AJ87" s="2">
        <v>85650725</v>
      </c>
      <c r="AK87" s="2">
        <v>1</v>
      </c>
      <c r="AL87" s="2" t="s">
        <v>633</v>
      </c>
      <c r="AM87" s="2">
        <v>0</v>
      </c>
      <c r="AN87" s="2">
        <v>0</v>
      </c>
      <c r="AO87" s="2">
        <v>1</v>
      </c>
      <c r="AP87" s="2">
        <v>0</v>
      </c>
      <c r="AQ87" s="2">
        <v>0</v>
      </c>
      <c r="AR87" s="2">
        <v>0</v>
      </c>
      <c r="AS87" s="2">
        <v>0</v>
      </c>
      <c r="AT87" s="2">
        <v>0</v>
      </c>
      <c r="BB87" s="2" t="str">
        <f>+PROPER(BD[[#This Row],[PRIMER_APELLIDO]])</f>
        <v>Somarriba</v>
      </c>
    </row>
    <row r="88" spans="1:54" x14ac:dyDescent="0.25">
      <c r="A88" s="2">
        <v>87</v>
      </c>
      <c r="B88" s="2">
        <v>39774</v>
      </c>
      <c r="C88" s="2" t="s">
        <v>619</v>
      </c>
      <c r="D88" s="2" t="s">
        <v>620</v>
      </c>
      <c r="E88" s="2" t="s">
        <v>1266</v>
      </c>
      <c r="F88" s="2">
        <v>18706578</v>
      </c>
      <c r="G88" s="3">
        <v>35.265753424657532</v>
      </c>
      <c r="H88" s="2" t="s">
        <v>622</v>
      </c>
      <c r="I88" s="2" t="s">
        <v>1267</v>
      </c>
      <c r="J88" s="2" t="str">
        <f>+IF(BD[[#This Row],[DEPARTAMENTO_INSS]]="MANAGUA","_01_","_02_")</f>
        <v>_02_</v>
      </c>
      <c r="K88" s="2" t="str">
        <f>+CONCATENATE(BD[[#This Row],[Columna3]],BD[[#This Row],[Columna4]],BD[[#This Row],[NOMBRE COMPLETO]])</f>
        <v>E003_02_WINIA MARGARITA BERGARA RODRIGUEZ</v>
      </c>
      <c r="L88" s="2" t="s">
        <v>1268</v>
      </c>
      <c r="M88" s="2" t="s">
        <v>937</v>
      </c>
      <c r="N88" s="2" t="s">
        <v>307</v>
      </c>
      <c r="O88" s="2" t="s">
        <v>185</v>
      </c>
      <c r="P88" s="2" t="s">
        <v>626</v>
      </c>
      <c r="Q88" s="2" t="s">
        <v>351</v>
      </c>
      <c r="R88" s="2">
        <v>31924</v>
      </c>
      <c r="S88" s="2">
        <v>31924</v>
      </c>
      <c r="T88" s="2" t="s">
        <v>705</v>
      </c>
      <c r="U88" s="2" t="s">
        <v>705</v>
      </c>
      <c r="V88" s="2" t="s">
        <v>1014</v>
      </c>
      <c r="W88" s="2" t="s">
        <v>1014</v>
      </c>
      <c r="X88" s="2" t="s">
        <v>1269</v>
      </c>
      <c r="Y88" s="2" t="s">
        <v>1270</v>
      </c>
      <c r="AA88" s="2" t="s">
        <v>1271</v>
      </c>
      <c r="AB88" s="2" t="s">
        <v>642</v>
      </c>
      <c r="AC88" s="2" t="s">
        <v>632</v>
      </c>
      <c r="AD88" s="2">
        <v>84445202</v>
      </c>
      <c r="AE88" s="2">
        <v>85593719</v>
      </c>
      <c r="AJ88" s="2">
        <v>84445202</v>
      </c>
      <c r="AK88" s="2">
        <v>2</v>
      </c>
      <c r="AL88" s="2" t="s">
        <v>633</v>
      </c>
      <c r="AM88" s="2">
        <v>0</v>
      </c>
      <c r="AN88" s="2">
        <v>0</v>
      </c>
      <c r="AO88" s="2">
        <v>1</v>
      </c>
      <c r="AP88" s="2">
        <v>0</v>
      </c>
      <c r="AQ88" s="2">
        <v>0</v>
      </c>
      <c r="AR88" s="2">
        <v>0</v>
      </c>
      <c r="AS88" s="2">
        <v>0</v>
      </c>
      <c r="AT88" s="2">
        <v>0</v>
      </c>
      <c r="BB88" s="2" t="str">
        <f>+PROPER(BD[[#This Row],[PRIMER_APELLIDO]])</f>
        <v>Bergara</v>
      </c>
    </row>
    <row r="89" spans="1:54" x14ac:dyDescent="0.25">
      <c r="A89" s="2">
        <v>88</v>
      </c>
      <c r="B89" s="2">
        <v>46961</v>
      </c>
      <c r="C89" s="2" t="s">
        <v>619</v>
      </c>
      <c r="D89" s="2" t="s">
        <v>620</v>
      </c>
      <c r="E89" s="2" t="s">
        <v>1272</v>
      </c>
      <c r="F89" s="2">
        <v>25029428</v>
      </c>
      <c r="G89" s="3">
        <v>35.265753424657532</v>
      </c>
      <c r="H89" s="2" t="s">
        <v>622</v>
      </c>
      <c r="I89" s="2" t="s">
        <v>1273</v>
      </c>
      <c r="J89" s="2" t="str">
        <f>+IF(BD[[#This Row],[DEPARTAMENTO_INSS]]="MANAGUA","_01_","_02_")</f>
        <v>_02_</v>
      </c>
      <c r="K89" s="2" t="str">
        <f>+CONCATENATE(BD[[#This Row],[Columna3]],BD[[#This Row],[Columna4]],BD[[#This Row],[NOMBRE COMPLETO]])</f>
        <v>E003_02_ANA EMILIA RIVAS RUEDAS</v>
      </c>
      <c r="L89" s="2" t="s">
        <v>860</v>
      </c>
      <c r="M89" s="2" t="s">
        <v>1274</v>
      </c>
      <c r="N89" s="2" t="s">
        <v>186</v>
      </c>
      <c r="O89" s="2" t="s">
        <v>1275</v>
      </c>
      <c r="P89" s="2" t="s">
        <v>626</v>
      </c>
      <c r="Q89" s="2" t="s">
        <v>351</v>
      </c>
      <c r="R89" s="2">
        <v>31924</v>
      </c>
      <c r="S89" s="2">
        <v>31924</v>
      </c>
      <c r="T89" s="2" t="s">
        <v>691</v>
      </c>
      <c r="U89" s="2" t="s">
        <v>691</v>
      </c>
      <c r="V89" s="2" t="s">
        <v>716</v>
      </c>
      <c r="W89" s="2" t="s">
        <v>691</v>
      </c>
      <c r="X89" s="2" t="s">
        <v>1276</v>
      </c>
      <c r="Y89" s="2" t="s">
        <v>1277</v>
      </c>
      <c r="Z89" s="2">
        <v>57993651</v>
      </c>
      <c r="AB89" s="2" t="s">
        <v>631</v>
      </c>
      <c r="AC89" s="2" t="s">
        <v>632</v>
      </c>
      <c r="AD89" s="2">
        <v>57993651</v>
      </c>
      <c r="AJ89" s="2">
        <v>57993651</v>
      </c>
      <c r="AK89" s="2">
        <v>1</v>
      </c>
      <c r="AL89" s="2" t="s">
        <v>633</v>
      </c>
      <c r="AM89" s="2">
        <v>0</v>
      </c>
      <c r="AN89" s="2">
        <v>0</v>
      </c>
      <c r="AO89" s="2">
        <v>1</v>
      </c>
      <c r="AP89" s="2">
        <v>0</v>
      </c>
      <c r="AQ89" s="2">
        <v>0</v>
      </c>
      <c r="AR89" s="2">
        <v>0</v>
      </c>
      <c r="AS89" s="2">
        <v>0</v>
      </c>
      <c r="AT89" s="2">
        <v>0</v>
      </c>
      <c r="AZ89" s="2" t="s">
        <v>1278</v>
      </c>
      <c r="BB89" s="2" t="str">
        <f>+PROPER(BD[[#This Row],[PRIMER_APELLIDO]])</f>
        <v>Rivas</v>
      </c>
    </row>
    <row r="90" spans="1:54" x14ac:dyDescent="0.25">
      <c r="A90" s="2">
        <v>89</v>
      </c>
      <c r="B90" s="2">
        <v>47632</v>
      </c>
      <c r="C90" s="2" t="s">
        <v>619</v>
      </c>
      <c r="D90" s="2" t="s">
        <v>620</v>
      </c>
      <c r="E90" s="2" t="s">
        <v>1279</v>
      </c>
      <c r="F90" s="2">
        <v>25023509</v>
      </c>
      <c r="G90" s="3">
        <v>35.265753424657532</v>
      </c>
      <c r="H90" s="2" t="s">
        <v>622</v>
      </c>
      <c r="I90" s="2" t="s">
        <v>1280</v>
      </c>
      <c r="J90" s="2" t="str">
        <f>+IF(BD[[#This Row],[DEPARTAMENTO_INSS]]="MANAGUA","_01_","_02_")</f>
        <v>_01_</v>
      </c>
      <c r="K90" s="2" t="str">
        <f>+CONCATENATE(BD[[#This Row],[Columna3]],BD[[#This Row],[Columna4]],BD[[#This Row],[NOMBRE COMPLETO]])</f>
        <v>E003_01_KARLA VANESSA SANDOVAL PEREZ</v>
      </c>
      <c r="L90" s="2" t="s">
        <v>746</v>
      </c>
      <c r="M90" s="2" t="s">
        <v>1163</v>
      </c>
      <c r="N90" s="2" t="s">
        <v>64</v>
      </c>
      <c r="O90" s="2" t="s">
        <v>24</v>
      </c>
      <c r="P90" s="2" t="s">
        <v>626</v>
      </c>
      <c r="Q90" s="2" t="s">
        <v>351</v>
      </c>
      <c r="R90" s="2">
        <v>31924</v>
      </c>
      <c r="S90" s="2">
        <v>31924</v>
      </c>
      <c r="T90" s="2" t="s">
        <v>627</v>
      </c>
      <c r="U90" s="2" t="s">
        <v>627</v>
      </c>
      <c r="V90" s="2" t="s">
        <v>627</v>
      </c>
      <c r="W90" s="2" t="s">
        <v>627</v>
      </c>
      <c r="X90" s="2" t="s">
        <v>1281</v>
      </c>
      <c r="Y90" s="2" t="s">
        <v>1282</v>
      </c>
      <c r="Z90" s="2">
        <v>83337803</v>
      </c>
      <c r="AA90" s="2">
        <v>22488070</v>
      </c>
      <c r="AB90" s="2" t="s">
        <v>631</v>
      </c>
      <c r="AC90" s="2" t="s">
        <v>632</v>
      </c>
      <c r="AD90" s="2">
        <v>83337803</v>
      </c>
      <c r="AJ90" s="2">
        <v>83337803</v>
      </c>
      <c r="AK90" s="2">
        <v>2</v>
      </c>
      <c r="AL90" s="2" t="s">
        <v>633</v>
      </c>
      <c r="AM90" s="2">
        <v>0</v>
      </c>
      <c r="AN90" s="2">
        <v>0</v>
      </c>
      <c r="AO90" s="2">
        <v>1</v>
      </c>
      <c r="AP90" s="2">
        <v>0</v>
      </c>
      <c r="AQ90" s="2">
        <v>0</v>
      </c>
      <c r="AR90" s="2">
        <v>0</v>
      </c>
      <c r="AS90" s="2">
        <v>0</v>
      </c>
      <c r="AT90" s="2">
        <v>0</v>
      </c>
      <c r="AZ90" s="2" t="s">
        <v>1283</v>
      </c>
      <c r="BB90" s="2" t="str">
        <f>+PROPER(BD[[#This Row],[PRIMER_APELLIDO]])</f>
        <v>Sandoval</v>
      </c>
    </row>
    <row r="91" spans="1:54" x14ac:dyDescent="0.25">
      <c r="A91" s="2">
        <v>90</v>
      </c>
      <c r="B91" s="2">
        <v>48755</v>
      </c>
      <c r="C91" s="2" t="s">
        <v>619</v>
      </c>
      <c r="D91" s="2" t="s">
        <v>620</v>
      </c>
      <c r="E91" s="2" t="s">
        <v>1284</v>
      </c>
      <c r="F91" s="2">
        <v>23145081</v>
      </c>
      <c r="G91" s="3">
        <v>35.271232876712325</v>
      </c>
      <c r="H91" s="2" t="s">
        <v>622</v>
      </c>
      <c r="I91" s="2" t="s">
        <v>1285</v>
      </c>
      <c r="J91" s="2" t="str">
        <f>+IF(BD[[#This Row],[DEPARTAMENTO_INSS]]="MANAGUA","_01_","_02_")</f>
        <v>_02_</v>
      </c>
      <c r="K91" s="2" t="str">
        <f>+CONCATENATE(BD[[#This Row],[Columna3]],BD[[#This Row],[Columna4]],BD[[#This Row],[NOMBRE COMPLETO]])</f>
        <v>E003_02_MARIA JOSE GARCIA DUARTE</v>
      </c>
      <c r="L91" s="2" t="s">
        <v>724</v>
      </c>
      <c r="M91" s="2" t="s">
        <v>243</v>
      </c>
      <c r="N91" s="2" t="s">
        <v>10</v>
      </c>
      <c r="O91" s="2" t="s">
        <v>117</v>
      </c>
      <c r="P91" s="2" t="s">
        <v>626</v>
      </c>
      <c r="Q91" s="2" t="s">
        <v>351</v>
      </c>
      <c r="R91" s="2">
        <v>31922</v>
      </c>
      <c r="S91" s="2">
        <v>31922</v>
      </c>
      <c r="T91" s="2" t="s">
        <v>1104</v>
      </c>
      <c r="U91" s="2" t="s">
        <v>1104</v>
      </c>
      <c r="V91" s="2" t="s">
        <v>1104</v>
      </c>
      <c r="W91" s="2" t="s">
        <v>1104</v>
      </c>
      <c r="X91" s="2" t="s">
        <v>1286</v>
      </c>
      <c r="Y91" s="2" t="s">
        <v>1287</v>
      </c>
      <c r="AA91" s="2">
        <v>89086447</v>
      </c>
      <c r="AB91" s="2" t="s">
        <v>654</v>
      </c>
      <c r="AC91" s="2" t="s">
        <v>632</v>
      </c>
      <c r="AD91" s="2">
        <v>89086447</v>
      </c>
      <c r="AJ91" s="2">
        <v>89086447</v>
      </c>
      <c r="AK91" s="2">
        <v>1</v>
      </c>
      <c r="AL91" s="2" t="s">
        <v>633</v>
      </c>
      <c r="AM91" s="2">
        <v>0</v>
      </c>
      <c r="AN91" s="2">
        <v>0</v>
      </c>
      <c r="AO91" s="2">
        <v>1</v>
      </c>
      <c r="AP91" s="2">
        <v>0</v>
      </c>
      <c r="AQ91" s="2">
        <v>0</v>
      </c>
      <c r="AR91" s="2">
        <v>0</v>
      </c>
      <c r="AS91" s="2">
        <v>0</v>
      </c>
      <c r="AT91" s="2">
        <v>0</v>
      </c>
      <c r="BB91" s="2" t="str">
        <f>+PROPER(BD[[#This Row],[PRIMER_APELLIDO]])</f>
        <v>Garcia</v>
      </c>
    </row>
    <row r="92" spans="1:54" x14ac:dyDescent="0.25">
      <c r="A92" s="2">
        <v>91</v>
      </c>
      <c r="B92" s="2">
        <v>60173</v>
      </c>
      <c r="C92" s="2" t="s">
        <v>619</v>
      </c>
      <c r="D92" s="2" t="s">
        <v>620</v>
      </c>
      <c r="E92" s="2" t="s">
        <v>1288</v>
      </c>
      <c r="G92" s="3">
        <v>35.271232876712325</v>
      </c>
      <c r="H92" s="2" t="s">
        <v>622</v>
      </c>
      <c r="I92" s="2" t="s">
        <v>1289</v>
      </c>
      <c r="J92" s="2" t="str">
        <f>+IF(BD[[#This Row],[DEPARTAMENTO_INSS]]="MANAGUA","_01_","_02_")</f>
        <v>_01_</v>
      </c>
      <c r="K92" s="2" t="str">
        <f>+CONCATENATE(BD[[#This Row],[Columna3]],BD[[#This Row],[Columna4]],BD[[#This Row],[NOMBRE COMPLETO]])</f>
        <v>E003_01_EYDA ISAYANA BELLORIN HERNANDEZ</v>
      </c>
      <c r="L92" s="2" t="s">
        <v>1290</v>
      </c>
      <c r="M92" s="2" t="s">
        <v>1291</v>
      </c>
      <c r="N92" s="2" t="s">
        <v>403</v>
      </c>
      <c r="O92" s="2" t="s">
        <v>11</v>
      </c>
      <c r="P92" s="2" t="s">
        <v>626</v>
      </c>
      <c r="Q92" s="2" t="s">
        <v>351</v>
      </c>
      <c r="R92" s="2">
        <v>31922</v>
      </c>
      <c r="S92" s="2">
        <v>31922</v>
      </c>
      <c r="T92" s="2" t="s">
        <v>627</v>
      </c>
      <c r="U92" s="2" t="s">
        <v>627</v>
      </c>
      <c r="V92" s="2" t="s">
        <v>627</v>
      </c>
      <c r="W92" s="2" t="s">
        <v>627</v>
      </c>
      <c r="X92" s="2" t="s">
        <v>1292</v>
      </c>
      <c r="Y92" s="2" t="s">
        <v>1293</v>
      </c>
      <c r="Z92" s="2">
        <v>88218918</v>
      </c>
      <c r="AA92" s="2">
        <v>88218918</v>
      </c>
      <c r="AB92" s="2" t="s">
        <v>1294</v>
      </c>
      <c r="AC92" s="2" t="s">
        <v>632</v>
      </c>
      <c r="AD92" s="2">
        <v>88218918</v>
      </c>
      <c r="AJ92" s="2">
        <v>88218918</v>
      </c>
      <c r="AK92" s="2">
        <v>2</v>
      </c>
      <c r="AL92" s="2" t="s">
        <v>633</v>
      </c>
      <c r="AM92" s="2">
        <v>0</v>
      </c>
      <c r="AN92" s="2">
        <v>0</v>
      </c>
      <c r="AO92" s="2">
        <v>1</v>
      </c>
      <c r="AP92" s="2">
        <v>0</v>
      </c>
      <c r="AQ92" s="2">
        <v>0</v>
      </c>
      <c r="AR92" s="2">
        <v>0</v>
      </c>
      <c r="AS92" s="2">
        <v>0</v>
      </c>
      <c r="AT92" s="2">
        <v>0</v>
      </c>
      <c r="AZ92" s="2" t="s">
        <v>1295</v>
      </c>
      <c r="BB92" s="2" t="str">
        <f>+PROPER(BD[[#This Row],[PRIMER_APELLIDO]])</f>
        <v>Bellorin</v>
      </c>
    </row>
    <row r="93" spans="1:54" x14ac:dyDescent="0.25">
      <c r="A93" s="2">
        <v>92</v>
      </c>
      <c r="B93" s="2">
        <v>49815</v>
      </c>
      <c r="C93" s="2" t="s">
        <v>619</v>
      </c>
      <c r="D93" s="2" t="s">
        <v>620</v>
      </c>
      <c r="E93" s="2" t="s">
        <v>1296</v>
      </c>
      <c r="F93" s="2">
        <v>25691814</v>
      </c>
      <c r="G93" s="3">
        <v>35.273972602739725</v>
      </c>
      <c r="H93" s="2" t="s">
        <v>622</v>
      </c>
      <c r="I93" s="2" t="s">
        <v>1297</v>
      </c>
      <c r="J93" s="2" t="str">
        <f>+IF(BD[[#This Row],[DEPARTAMENTO_INSS]]="MANAGUA","_01_","_02_")</f>
        <v>_02_</v>
      </c>
      <c r="K93" s="2" t="str">
        <f>+CONCATENATE(BD[[#This Row],[Columna3]],BD[[#This Row],[Columna4]],BD[[#This Row],[NOMBRE COMPLETO]])</f>
        <v>E003_02_ROGER ULISES VANEGAS CISNEROS</v>
      </c>
      <c r="L93" s="2" t="s">
        <v>1298</v>
      </c>
      <c r="M93" s="2" t="s">
        <v>1299</v>
      </c>
      <c r="N93" s="2" t="s">
        <v>75</v>
      </c>
      <c r="O93" s="2" t="s">
        <v>413</v>
      </c>
      <c r="P93" s="2" t="s">
        <v>649</v>
      </c>
      <c r="Q93" s="2" t="s">
        <v>351</v>
      </c>
      <c r="R93" s="2">
        <v>31921</v>
      </c>
      <c r="S93" s="2">
        <v>31921</v>
      </c>
      <c r="T93" s="2" t="s">
        <v>176</v>
      </c>
      <c r="U93" s="2" t="s">
        <v>1191</v>
      </c>
      <c r="V93" s="2" t="s">
        <v>650</v>
      </c>
      <c r="W93" s="2" t="s">
        <v>1300</v>
      </c>
      <c r="X93" s="2" t="s">
        <v>1301</v>
      </c>
      <c r="Y93" s="2" t="s">
        <v>1302</v>
      </c>
      <c r="Z93" s="2">
        <v>55026638</v>
      </c>
      <c r="AA93" s="2">
        <v>55026638</v>
      </c>
      <c r="AB93" s="2" t="s">
        <v>654</v>
      </c>
      <c r="AC93" s="2" t="s">
        <v>632</v>
      </c>
      <c r="AD93" s="2">
        <v>55026638</v>
      </c>
      <c r="AJ93" s="2">
        <v>55026638</v>
      </c>
      <c r="AK93" s="2">
        <v>2</v>
      </c>
      <c r="AL93" s="2" t="s">
        <v>633</v>
      </c>
      <c r="AM93" s="2">
        <v>0</v>
      </c>
      <c r="AN93" s="2">
        <v>0</v>
      </c>
      <c r="AO93" s="2">
        <v>1</v>
      </c>
      <c r="AP93" s="2">
        <v>0</v>
      </c>
      <c r="AQ93" s="2">
        <v>0</v>
      </c>
      <c r="AR93" s="2">
        <v>0</v>
      </c>
      <c r="AS93" s="2">
        <v>0</v>
      </c>
      <c r="AT93" s="2">
        <v>0</v>
      </c>
      <c r="AZ93" s="2" t="s">
        <v>1303</v>
      </c>
      <c r="BB93" s="2" t="str">
        <f>+PROPER(BD[[#This Row],[PRIMER_APELLIDO]])</f>
        <v>Vanegas</v>
      </c>
    </row>
    <row r="94" spans="1:54" x14ac:dyDescent="0.25">
      <c r="A94" s="2">
        <v>93</v>
      </c>
      <c r="B94" s="2">
        <v>36957</v>
      </c>
      <c r="C94" s="2" t="s">
        <v>619</v>
      </c>
      <c r="D94" s="2" t="s">
        <v>620</v>
      </c>
      <c r="E94" s="2" t="s">
        <v>1304</v>
      </c>
      <c r="F94" s="2">
        <v>26617170</v>
      </c>
      <c r="G94" s="3">
        <v>35.279452054794518</v>
      </c>
      <c r="H94" s="2" t="s">
        <v>622</v>
      </c>
      <c r="I94" s="2" t="s">
        <v>1305</v>
      </c>
      <c r="J94" s="2" t="str">
        <f>+IF(BD[[#This Row],[DEPARTAMENTO_INSS]]="MANAGUA","_01_","_02_")</f>
        <v>_01_</v>
      </c>
      <c r="K94" s="2" t="str">
        <f>+CONCATENATE(BD[[#This Row],[Columna3]],BD[[#This Row],[Columna4]],BD[[#This Row],[NOMBRE COMPLETO]])</f>
        <v>E003_01_NATALLY SOFIA NAVARRETE VILLANUEVA</v>
      </c>
      <c r="L94" s="2" t="s">
        <v>1306</v>
      </c>
      <c r="M94" s="2" t="s">
        <v>1307</v>
      </c>
      <c r="N94" s="2" t="s">
        <v>276</v>
      </c>
      <c r="O94" s="2" t="s">
        <v>1308</v>
      </c>
      <c r="P94" s="2" t="s">
        <v>626</v>
      </c>
      <c r="Q94" s="2" t="s">
        <v>351</v>
      </c>
      <c r="R94" s="2">
        <v>31919</v>
      </c>
      <c r="S94" s="2">
        <v>31919</v>
      </c>
      <c r="T94" s="2" t="s">
        <v>627</v>
      </c>
      <c r="U94" s="2" t="s">
        <v>627</v>
      </c>
      <c r="V94" s="2" t="s">
        <v>627</v>
      </c>
      <c r="W94" s="2" t="s">
        <v>627</v>
      </c>
      <c r="X94" s="2" t="s">
        <v>1309</v>
      </c>
      <c r="Y94" s="2" t="s">
        <v>1310</v>
      </c>
      <c r="Z94" s="2">
        <v>83731843</v>
      </c>
      <c r="AA94" s="2">
        <v>83731843</v>
      </c>
      <c r="AB94" s="2" t="s">
        <v>654</v>
      </c>
      <c r="AC94" s="2" t="s">
        <v>632</v>
      </c>
      <c r="AD94" s="2">
        <v>83731843</v>
      </c>
      <c r="AJ94" s="2">
        <v>83731843</v>
      </c>
      <c r="AK94" s="2">
        <v>2</v>
      </c>
      <c r="AL94" s="2" t="s">
        <v>633</v>
      </c>
      <c r="AM94" s="2">
        <v>0</v>
      </c>
      <c r="AN94" s="2">
        <v>0</v>
      </c>
      <c r="AO94" s="2">
        <v>1</v>
      </c>
      <c r="AP94" s="2">
        <v>0</v>
      </c>
      <c r="AQ94" s="2">
        <v>0</v>
      </c>
      <c r="AR94" s="2">
        <v>0</v>
      </c>
      <c r="AS94" s="2">
        <v>0</v>
      </c>
      <c r="AT94" s="2">
        <v>0</v>
      </c>
      <c r="AZ94" s="2" t="s">
        <v>1311</v>
      </c>
      <c r="BB94" s="2" t="str">
        <f>+PROPER(BD[[#This Row],[PRIMER_APELLIDO]])</f>
        <v>Navarrete</v>
      </c>
    </row>
    <row r="95" spans="1:54" x14ac:dyDescent="0.25">
      <c r="A95" s="2">
        <v>94</v>
      </c>
      <c r="B95" s="2">
        <v>63547</v>
      </c>
      <c r="C95" s="2" t="s">
        <v>619</v>
      </c>
      <c r="D95" s="2" t="s">
        <v>620</v>
      </c>
      <c r="E95" s="2" t="s">
        <v>1312</v>
      </c>
      <c r="G95" s="3">
        <v>35.287671232876711</v>
      </c>
      <c r="H95" s="2" t="s">
        <v>622</v>
      </c>
      <c r="I95" s="2" t="s">
        <v>1313</v>
      </c>
      <c r="J95" s="2" t="str">
        <f>+IF(BD[[#This Row],[DEPARTAMENTO_INSS]]="MANAGUA","_01_","_02_")</f>
        <v>_01_</v>
      </c>
      <c r="K95" s="2" t="str">
        <f>+CONCATENATE(BD[[#This Row],[Columna3]],BD[[#This Row],[Columna4]],BD[[#This Row],[NOMBRE COMPLETO]])</f>
        <v>E003_01_VICTOR ARIEL RODRIGUEZ GUTIERREZ</v>
      </c>
      <c r="L95" s="2" t="s">
        <v>1314</v>
      </c>
      <c r="M95" s="2" t="s">
        <v>1025</v>
      </c>
      <c r="N95" s="2" t="s">
        <v>185</v>
      </c>
      <c r="O95" s="2" t="s">
        <v>171</v>
      </c>
      <c r="P95" s="2" t="s">
        <v>649</v>
      </c>
      <c r="Q95" s="2" t="s">
        <v>351</v>
      </c>
      <c r="R95" s="2">
        <v>31916</v>
      </c>
      <c r="S95" s="2">
        <v>31916</v>
      </c>
      <c r="T95" s="2" t="s">
        <v>627</v>
      </c>
      <c r="U95" s="2" t="s">
        <v>627</v>
      </c>
      <c r="V95" s="2" t="s">
        <v>627</v>
      </c>
      <c r="W95" s="2" t="s">
        <v>627</v>
      </c>
      <c r="X95" s="2" t="s">
        <v>1315</v>
      </c>
      <c r="Y95" s="2" t="s">
        <v>1316</v>
      </c>
      <c r="Z95" s="2">
        <v>86065089</v>
      </c>
      <c r="AA95" s="2">
        <v>86065089</v>
      </c>
      <c r="AB95" s="2" t="s">
        <v>654</v>
      </c>
      <c r="AC95" s="2" t="s">
        <v>632</v>
      </c>
      <c r="AD95" s="2">
        <v>86065089</v>
      </c>
      <c r="AJ95" s="2">
        <v>86065089</v>
      </c>
      <c r="AK95" s="2">
        <v>2</v>
      </c>
      <c r="AL95" s="2" t="s">
        <v>633</v>
      </c>
      <c r="AM95" s="2">
        <v>0</v>
      </c>
      <c r="AN95" s="2">
        <v>0</v>
      </c>
      <c r="AO95" s="2">
        <v>1</v>
      </c>
      <c r="AP95" s="2">
        <v>0</v>
      </c>
      <c r="AQ95" s="2">
        <v>0</v>
      </c>
      <c r="AR95" s="2">
        <v>0</v>
      </c>
      <c r="AS95" s="2">
        <v>0</v>
      </c>
      <c r="AT95" s="2">
        <v>0</v>
      </c>
      <c r="AZ95" s="2" t="s">
        <v>1317</v>
      </c>
      <c r="BB95" s="2" t="str">
        <f>+PROPER(BD[[#This Row],[PRIMER_APELLIDO]])</f>
        <v>Rodriguez</v>
      </c>
    </row>
    <row r="96" spans="1:54" x14ac:dyDescent="0.25">
      <c r="A96" s="2">
        <v>95</v>
      </c>
      <c r="B96" s="2">
        <v>78101</v>
      </c>
      <c r="C96" s="2" t="s">
        <v>619</v>
      </c>
      <c r="D96" s="2" t="s">
        <v>620</v>
      </c>
      <c r="E96" s="2" t="s">
        <v>1318</v>
      </c>
      <c r="G96" s="3">
        <v>35.293150684931504</v>
      </c>
      <c r="H96" s="2" t="s">
        <v>622</v>
      </c>
      <c r="I96" s="2" t="s">
        <v>1319</v>
      </c>
      <c r="J96" s="2" t="str">
        <f>+IF(BD[[#This Row],[DEPARTAMENTO_INSS]]="MANAGUA","_01_","_02_")</f>
        <v>_01_</v>
      </c>
      <c r="K96" s="2" t="str">
        <f>+CONCATENATE(BD[[#This Row],[Columna3]],BD[[#This Row],[Columna4]],BD[[#This Row],[NOMBRE COMPLETO]])</f>
        <v>E003_01_EDEN ANTONIO MERCADO PARRALES</v>
      </c>
      <c r="L96" s="2" t="s">
        <v>1320</v>
      </c>
      <c r="M96" s="2" t="s">
        <v>904</v>
      </c>
      <c r="N96" s="2" t="s">
        <v>250</v>
      </c>
      <c r="O96" s="2" t="s">
        <v>378</v>
      </c>
      <c r="P96" s="2" t="s">
        <v>649</v>
      </c>
      <c r="Q96" s="2" t="s">
        <v>351</v>
      </c>
      <c r="R96" s="2">
        <v>31914</v>
      </c>
      <c r="S96" s="2">
        <v>31914</v>
      </c>
      <c r="T96" s="2" t="s">
        <v>732</v>
      </c>
      <c r="U96" s="2" t="s">
        <v>627</v>
      </c>
      <c r="V96" s="2" t="s">
        <v>1321</v>
      </c>
      <c r="W96" s="2" t="s">
        <v>627</v>
      </c>
      <c r="X96" s="2" t="s">
        <v>1322</v>
      </c>
      <c r="Y96" s="2" t="s">
        <v>1323</v>
      </c>
      <c r="Z96" s="2">
        <v>87454346</v>
      </c>
      <c r="AA96" s="2">
        <v>87454346</v>
      </c>
      <c r="AB96" s="2" t="s">
        <v>654</v>
      </c>
      <c r="AC96" s="2" t="s">
        <v>632</v>
      </c>
      <c r="AD96" s="2">
        <v>87454346</v>
      </c>
      <c r="AJ96" s="2">
        <v>87454346</v>
      </c>
      <c r="AK96" s="2">
        <v>2</v>
      </c>
      <c r="AL96" s="2" t="s">
        <v>633</v>
      </c>
      <c r="AM96" s="2">
        <v>0</v>
      </c>
      <c r="AN96" s="2">
        <v>0</v>
      </c>
      <c r="AO96" s="2">
        <v>1</v>
      </c>
      <c r="AP96" s="2">
        <v>0</v>
      </c>
      <c r="AQ96" s="2">
        <v>0</v>
      </c>
      <c r="AR96" s="2">
        <v>0</v>
      </c>
      <c r="AS96" s="2">
        <v>0</v>
      </c>
      <c r="AT96" s="2">
        <v>0</v>
      </c>
      <c r="AZ96" s="2" t="s">
        <v>1324</v>
      </c>
      <c r="BB96" s="2" t="str">
        <f>+PROPER(BD[[#This Row],[PRIMER_APELLIDO]])</f>
        <v>Mercado</v>
      </c>
    </row>
    <row r="97" spans="1:54" x14ac:dyDescent="0.25">
      <c r="A97" s="2">
        <v>96</v>
      </c>
      <c r="B97" s="2">
        <v>62018</v>
      </c>
      <c r="C97" s="2" t="s">
        <v>619</v>
      </c>
      <c r="D97" s="2" t="s">
        <v>620</v>
      </c>
      <c r="E97" s="2" t="s">
        <v>1325</v>
      </c>
      <c r="G97" s="3">
        <v>35.295890410958904</v>
      </c>
      <c r="H97" s="2" t="s">
        <v>622</v>
      </c>
      <c r="I97" s="2" t="s">
        <v>1326</v>
      </c>
      <c r="J97" s="2" t="str">
        <f>+IF(BD[[#This Row],[DEPARTAMENTO_INSS]]="MANAGUA","_01_","_02_")</f>
        <v>_01_</v>
      </c>
      <c r="K97" s="2" t="str">
        <f>+CONCATENATE(BD[[#This Row],[Columna3]],BD[[#This Row],[Columna4]],BD[[#This Row],[NOMBRE COMPLETO]])</f>
        <v>E003_01_MARIA ANNELIESSE GARCIA CRUZ</v>
      </c>
      <c r="L97" s="2" t="s">
        <v>724</v>
      </c>
      <c r="M97" s="2" t="s">
        <v>1327</v>
      </c>
      <c r="N97" s="2" t="s">
        <v>10</v>
      </c>
      <c r="O97" s="2" t="s">
        <v>32</v>
      </c>
      <c r="P97" s="2" t="s">
        <v>626</v>
      </c>
      <c r="Q97" s="2" t="s">
        <v>351</v>
      </c>
      <c r="R97" s="2">
        <v>31913</v>
      </c>
      <c r="S97" s="2">
        <v>31913</v>
      </c>
      <c r="T97" s="2" t="s">
        <v>627</v>
      </c>
      <c r="U97" s="2" t="s">
        <v>627</v>
      </c>
      <c r="V97" s="2" t="s">
        <v>627</v>
      </c>
      <c r="W97" s="2" t="s">
        <v>627</v>
      </c>
      <c r="X97" s="2" t="s">
        <v>1328</v>
      </c>
      <c r="Y97" s="2" t="s">
        <v>1329</v>
      </c>
      <c r="Z97" s="2">
        <v>87965149</v>
      </c>
      <c r="AB97" s="2" t="s">
        <v>1330</v>
      </c>
      <c r="AC97" s="2" t="s">
        <v>632</v>
      </c>
      <c r="AD97" s="2">
        <v>87965149</v>
      </c>
      <c r="AJ97" s="2">
        <v>87965149</v>
      </c>
      <c r="AK97" s="2">
        <v>1</v>
      </c>
      <c r="AL97" s="2" t="s">
        <v>633</v>
      </c>
      <c r="AM97" s="2">
        <v>0</v>
      </c>
      <c r="AN97" s="2">
        <v>0</v>
      </c>
      <c r="AO97" s="2">
        <v>1</v>
      </c>
      <c r="AP97" s="2">
        <v>0</v>
      </c>
      <c r="AQ97" s="2">
        <v>0</v>
      </c>
      <c r="AR97" s="2">
        <v>0</v>
      </c>
      <c r="AS97" s="2">
        <v>0</v>
      </c>
      <c r="AT97" s="2">
        <v>0</v>
      </c>
      <c r="BB97" s="2" t="str">
        <f>+PROPER(BD[[#This Row],[PRIMER_APELLIDO]])</f>
        <v>Garcia</v>
      </c>
    </row>
    <row r="98" spans="1:54" x14ac:dyDescent="0.25">
      <c r="A98" s="2">
        <v>97</v>
      </c>
      <c r="B98" s="2">
        <v>39016</v>
      </c>
      <c r="C98" s="2" t="s">
        <v>619</v>
      </c>
      <c r="D98" s="2" t="s">
        <v>620</v>
      </c>
      <c r="E98" s="2" t="s">
        <v>1331</v>
      </c>
      <c r="F98" s="2">
        <v>23113899</v>
      </c>
      <c r="G98" s="3">
        <v>35.298630136986304</v>
      </c>
      <c r="H98" s="2" t="s">
        <v>622</v>
      </c>
      <c r="I98" s="2" t="s">
        <v>1332</v>
      </c>
      <c r="J98" s="2" t="str">
        <f>+IF(BD[[#This Row],[DEPARTAMENTO_INSS]]="MANAGUA","_01_","_02_")</f>
        <v>_02_</v>
      </c>
      <c r="K98" s="2" t="str">
        <f>+CONCATENATE(BD[[#This Row],[Columna3]],BD[[#This Row],[Columna4]],BD[[#This Row],[NOMBRE COMPLETO]])</f>
        <v>E003_02_MARTHA CAROLINA SANCHEZ QUINTANILLA</v>
      </c>
      <c r="L98" s="2" t="s">
        <v>1333</v>
      </c>
      <c r="M98" s="2" t="s">
        <v>714</v>
      </c>
      <c r="N98" s="2" t="s">
        <v>90</v>
      </c>
      <c r="O98" s="2" t="s">
        <v>459</v>
      </c>
      <c r="P98" s="2" t="s">
        <v>626</v>
      </c>
      <c r="Q98" s="2" t="s">
        <v>351</v>
      </c>
      <c r="R98" s="2">
        <v>31912</v>
      </c>
      <c r="S98" s="2">
        <v>31912</v>
      </c>
      <c r="T98" s="2" t="s">
        <v>740</v>
      </c>
      <c r="U98" s="2" t="s">
        <v>740</v>
      </c>
      <c r="V98" s="2" t="s">
        <v>1334</v>
      </c>
      <c r="W98" s="2" t="s">
        <v>1334</v>
      </c>
      <c r="X98" s="2" t="s">
        <v>1335</v>
      </c>
      <c r="Y98" s="2" t="s">
        <v>1336</v>
      </c>
      <c r="Z98" s="2">
        <v>85706894</v>
      </c>
      <c r="AA98" s="2" t="s">
        <v>1337</v>
      </c>
      <c r="AB98" s="2" t="s">
        <v>642</v>
      </c>
      <c r="AC98" s="2" t="s">
        <v>632</v>
      </c>
      <c r="AD98" s="2">
        <v>85706894</v>
      </c>
      <c r="AE98" s="2">
        <v>86395203</v>
      </c>
      <c r="AJ98" s="2">
        <v>85706894</v>
      </c>
      <c r="AK98" s="2">
        <v>3</v>
      </c>
      <c r="AL98" s="2" t="s">
        <v>633</v>
      </c>
      <c r="AM98" s="2">
        <v>0</v>
      </c>
      <c r="AN98" s="2">
        <v>0</v>
      </c>
      <c r="AO98" s="2">
        <v>1</v>
      </c>
      <c r="AP98" s="2">
        <v>0</v>
      </c>
      <c r="AQ98" s="2">
        <v>0</v>
      </c>
      <c r="AR98" s="2">
        <v>0</v>
      </c>
      <c r="AS98" s="2">
        <v>0</v>
      </c>
      <c r="AT98" s="2">
        <v>0</v>
      </c>
      <c r="BB98" s="2" t="str">
        <f>+PROPER(BD[[#This Row],[PRIMER_APELLIDO]])</f>
        <v>Sanchez</v>
      </c>
    </row>
    <row r="99" spans="1:54" x14ac:dyDescent="0.25">
      <c r="A99" s="2">
        <v>98</v>
      </c>
      <c r="B99" s="2">
        <v>30104</v>
      </c>
      <c r="C99" s="2" t="s">
        <v>619</v>
      </c>
      <c r="D99" s="2" t="s">
        <v>620</v>
      </c>
      <c r="E99" s="2" t="s">
        <v>1338</v>
      </c>
      <c r="F99" s="2">
        <v>21256431</v>
      </c>
      <c r="G99" s="3">
        <v>35.30684931506849</v>
      </c>
      <c r="H99" s="2" t="s">
        <v>622</v>
      </c>
      <c r="I99" s="2" t="s">
        <v>1339</v>
      </c>
      <c r="J99" s="2" t="str">
        <f>+IF(BD[[#This Row],[DEPARTAMENTO_INSS]]="MANAGUA","_01_","_02_")</f>
        <v>_01_</v>
      </c>
      <c r="K99" s="2" t="str">
        <f>+CONCATENATE(BD[[#This Row],[Columna3]],BD[[#This Row],[Columna4]],BD[[#This Row],[NOMBRE COMPLETO]])</f>
        <v>E003_01_YANINA DE LOS ÁNGELES REYES REYES</v>
      </c>
      <c r="L99" s="2" t="s">
        <v>1340</v>
      </c>
      <c r="M99" s="2" t="s">
        <v>1341</v>
      </c>
      <c r="N99" s="2" t="s">
        <v>74</v>
      </c>
      <c r="O99" s="2" t="s">
        <v>74</v>
      </c>
      <c r="P99" s="2" t="s">
        <v>626</v>
      </c>
      <c r="Q99" s="2" t="s">
        <v>351</v>
      </c>
      <c r="R99" s="2">
        <v>31909</v>
      </c>
      <c r="S99" s="2">
        <v>31909</v>
      </c>
      <c r="T99" s="2" t="s">
        <v>627</v>
      </c>
      <c r="U99" s="2" t="s">
        <v>627</v>
      </c>
      <c r="V99" s="2" t="s">
        <v>627</v>
      </c>
      <c r="W99" s="2" t="s">
        <v>627</v>
      </c>
      <c r="X99" s="2" t="s">
        <v>1342</v>
      </c>
      <c r="Y99" s="2" t="s">
        <v>1343</v>
      </c>
      <c r="Z99" s="2">
        <v>76500686</v>
      </c>
      <c r="AA99" s="2" t="s">
        <v>1344</v>
      </c>
      <c r="AB99" s="2" t="s">
        <v>642</v>
      </c>
      <c r="AC99" s="2" t="s">
        <v>632</v>
      </c>
      <c r="AD99" s="2">
        <v>76500686</v>
      </c>
      <c r="AJ99" s="2">
        <v>76500686</v>
      </c>
      <c r="AK99" s="2">
        <v>3</v>
      </c>
      <c r="AL99" s="2" t="s">
        <v>633</v>
      </c>
      <c r="AM99" s="2">
        <v>0</v>
      </c>
      <c r="AN99" s="2">
        <v>0</v>
      </c>
      <c r="AO99" s="2">
        <v>1</v>
      </c>
      <c r="AP99" s="2">
        <v>0</v>
      </c>
      <c r="AQ99" s="2">
        <v>0</v>
      </c>
      <c r="AR99" s="2">
        <v>0</v>
      </c>
      <c r="AS99" s="2">
        <v>0</v>
      </c>
      <c r="AT99" s="2">
        <v>0</v>
      </c>
      <c r="AZ99" s="2" t="s">
        <v>1345</v>
      </c>
      <c r="BB99" s="2" t="str">
        <f>+PROPER(BD[[#This Row],[PRIMER_APELLIDO]])</f>
        <v>Reyes</v>
      </c>
    </row>
    <row r="100" spans="1:54" x14ac:dyDescent="0.25">
      <c r="A100" s="2">
        <v>99</v>
      </c>
      <c r="B100" s="2">
        <v>57974</v>
      </c>
      <c r="C100" s="2" t="s">
        <v>619</v>
      </c>
      <c r="D100" s="2" t="s">
        <v>620</v>
      </c>
      <c r="E100" s="2" t="s">
        <v>1346</v>
      </c>
      <c r="G100" s="3">
        <v>35.30684931506849</v>
      </c>
      <c r="H100" s="2" t="s">
        <v>622</v>
      </c>
      <c r="I100" s="2" t="s">
        <v>1347</v>
      </c>
      <c r="J100" s="2" t="str">
        <f>+IF(BD[[#This Row],[DEPARTAMENTO_INSS]]="MANAGUA","_01_","_02_")</f>
        <v>_01_</v>
      </c>
      <c r="K100" s="2" t="str">
        <f>+CONCATENATE(BD[[#This Row],[Columna3]],BD[[#This Row],[Columna4]],BD[[#This Row],[NOMBRE COMPLETO]])</f>
        <v>E003_01_GABRIELA JUDITH LOPEZ MOLINA</v>
      </c>
      <c r="L100" s="2" t="s">
        <v>1211</v>
      </c>
      <c r="M100" s="2" t="s">
        <v>1348</v>
      </c>
      <c r="N100" s="2" t="s">
        <v>15</v>
      </c>
      <c r="O100" s="2" t="s">
        <v>63</v>
      </c>
      <c r="P100" s="2" t="s">
        <v>626</v>
      </c>
      <c r="Q100" s="2" t="s">
        <v>351</v>
      </c>
      <c r="R100" s="2">
        <v>31909</v>
      </c>
      <c r="S100" s="2">
        <v>31909</v>
      </c>
      <c r="T100" s="2" t="s">
        <v>627</v>
      </c>
      <c r="U100" s="2" t="s">
        <v>627</v>
      </c>
      <c r="V100" s="2" t="s">
        <v>627</v>
      </c>
      <c r="W100" s="2" t="s">
        <v>627</v>
      </c>
      <c r="X100" s="2" t="s">
        <v>1349</v>
      </c>
      <c r="Y100" s="2" t="s">
        <v>1350</v>
      </c>
      <c r="Z100" s="2">
        <v>87733280</v>
      </c>
      <c r="AA100" s="2">
        <v>22667049</v>
      </c>
      <c r="AB100" s="2" t="s">
        <v>773</v>
      </c>
      <c r="AC100" s="2" t="s">
        <v>632</v>
      </c>
      <c r="AD100" s="2">
        <v>87733280</v>
      </c>
      <c r="AJ100" s="2">
        <v>87733280</v>
      </c>
      <c r="AK100" s="2">
        <v>2</v>
      </c>
      <c r="AL100" s="2" t="s">
        <v>633</v>
      </c>
      <c r="AM100" s="2">
        <v>0</v>
      </c>
      <c r="AN100" s="2">
        <v>0</v>
      </c>
      <c r="AO100" s="2">
        <v>1</v>
      </c>
      <c r="AP100" s="2">
        <v>0</v>
      </c>
      <c r="AQ100" s="2">
        <v>0</v>
      </c>
      <c r="AR100" s="2">
        <v>0</v>
      </c>
      <c r="AS100" s="2">
        <v>0</v>
      </c>
      <c r="AT100" s="2">
        <v>0</v>
      </c>
      <c r="BB100" s="2" t="str">
        <f>+PROPER(BD[[#This Row],[PRIMER_APELLIDO]])</f>
        <v>Lopez</v>
      </c>
    </row>
    <row r="101" spans="1:54" x14ac:dyDescent="0.25">
      <c r="A101" s="2">
        <v>100</v>
      </c>
      <c r="B101" s="2">
        <v>71997</v>
      </c>
      <c r="C101" s="2" t="s">
        <v>619</v>
      </c>
      <c r="D101" s="2" t="s">
        <v>620</v>
      </c>
      <c r="E101" s="2" t="s">
        <v>1351</v>
      </c>
      <c r="G101" s="3">
        <v>35.30684931506849</v>
      </c>
      <c r="H101" s="2" t="s">
        <v>622</v>
      </c>
      <c r="I101" s="2" t="s">
        <v>1352</v>
      </c>
      <c r="J101" s="2" t="str">
        <f>+IF(BD[[#This Row],[DEPARTAMENTO_INSS]]="MANAGUA","_01_","_02_")</f>
        <v>_02_</v>
      </c>
      <c r="K101" s="2" t="str">
        <f>+CONCATENATE(BD[[#This Row],[Columna3]],BD[[#This Row],[Columna4]],BD[[#This Row],[NOMBRE COMPLETO]])</f>
        <v>E003_02_INDIRA DEL ROSARIO ZAMBRANA VALLE JO</v>
      </c>
      <c r="L101" s="2" t="s">
        <v>1091</v>
      </c>
      <c r="M101" s="2" t="s">
        <v>1070</v>
      </c>
      <c r="N101" s="2" t="s">
        <v>310</v>
      </c>
      <c r="O101" s="2" t="s">
        <v>1353</v>
      </c>
      <c r="P101" s="2" t="s">
        <v>626</v>
      </c>
      <c r="Q101" s="2" t="s">
        <v>351</v>
      </c>
      <c r="R101" s="2">
        <v>31909</v>
      </c>
      <c r="S101" s="2">
        <v>31909</v>
      </c>
      <c r="T101" s="2" t="s">
        <v>1104</v>
      </c>
      <c r="U101" s="2" t="s">
        <v>1104</v>
      </c>
      <c r="V101" s="2" t="s">
        <v>1104</v>
      </c>
      <c r="W101" s="2" t="s">
        <v>1104</v>
      </c>
      <c r="X101" s="2" t="s">
        <v>1354</v>
      </c>
      <c r="Y101" s="2" t="s">
        <v>1355</v>
      </c>
      <c r="Z101" s="2">
        <v>88303639</v>
      </c>
      <c r="AB101" s="2" t="s">
        <v>631</v>
      </c>
      <c r="AC101" s="2" t="s">
        <v>632</v>
      </c>
      <c r="AD101" s="2">
        <v>88303639</v>
      </c>
      <c r="AJ101" s="2">
        <v>88303639</v>
      </c>
      <c r="AK101" s="2">
        <v>1</v>
      </c>
      <c r="AL101" s="2" t="s">
        <v>633</v>
      </c>
      <c r="AM101" s="2">
        <v>0</v>
      </c>
      <c r="AN101" s="2">
        <v>0</v>
      </c>
      <c r="AO101" s="2">
        <v>1</v>
      </c>
      <c r="AP101" s="2">
        <v>0</v>
      </c>
      <c r="AQ101" s="2">
        <v>0</v>
      </c>
      <c r="AR101" s="2">
        <v>0</v>
      </c>
      <c r="AS101" s="2">
        <v>0</v>
      </c>
      <c r="AT101" s="2">
        <v>0</v>
      </c>
      <c r="AZ101" s="2" t="s">
        <v>1356</v>
      </c>
      <c r="BB101" s="2" t="str">
        <f>+PROPER(BD[[#This Row],[PRIMER_APELLIDO]])</f>
        <v>Zambrana</v>
      </c>
    </row>
    <row r="102" spans="1:54" x14ac:dyDescent="0.25">
      <c r="A102" s="2">
        <v>101</v>
      </c>
      <c r="B102" s="2">
        <v>60768</v>
      </c>
      <c r="C102" s="2" t="s">
        <v>619</v>
      </c>
      <c r="D102" s="2" t="s">
        <v>620</v>
      </c>
      <c r="E102" s="2" t="s">
        <v>1357</v>
      </c>
      <c r="G102" s="3">
        <v>35.30958904109589</v>
      </c>
      <c r="H102" s="2" t="s">
        <v>622</v>
      </c>
      <c r="I102" s="2" t="s">
        <v>1358</v>
      </c>
      <c r="J102" s="2" t="str">
        <f>+IF(BD[[#This Row],[DEPARTAMENTO_INSS]]="MANAGUA","_01_","_02_")</f>
        <v>_02_</v>
      </c>
      <c r="K102" s="2" t="str">
        <f>+CONCATENATE(BD[[#This Row],[Columna3]],BD[[#This Row],[Columna4]],BD[[#This Row],[NOMBRE COMPLETO]])</f>
        <v>E003_02_LISBETH DE LOS ANGELES MONTES REYES</v>
      </c>
      <c r="L102" s="2" t="s">
        <v>1359</v>
      </c>
      <c r="M102" s="2" t="s">
        <v>683</v>
      </c>
      <c r="N102" s="2" t="s">
        <v>385</v>
      </c>
      <c r="O102" s="2" t="s">
        <v>74</v>
      </c>
      <c r="P102" s="2" t="s">
        <v>626</v>
      </c>
      <c r="Q102" s="2" t="s">
        <v>351</v>
      </c>
      <c r="R102" s="2">
        <v>31908</v>
      </c>
      <c r="S102" s="2">
        <v>31908</v>
      </c>
      <c r="T102" s="2" t="s">
        <v>929</v>
      </c>
      <c r="U102" s="2" t="s">
        <v>929</v>
      </c>
      <c r="V102" s="2" t="s">
        <v>1360</v>
      </c>
      <c r="W102" s="2" t="s">
        <v>1360</v>
      </c>
      <c r="X102" s="2" t="s">
        <v>1361</v>
      </c>
      <c r="Y102" s="2" t="s">
        <v>1362</v>
      </c>
      <c r="Z102" s="2">
        <v>89237908</v>
      </c>
      <c r="AA102" s="2">
        <v>89237908</v>
      </c>
      <c r="AB102" s="2" t="s">
        <v>773</v>
      </c>
      <c r="AC102" s="2" t="s">
        <v>632</v>
      </c>
      <c r="AD102" s="2">
        <v>89237908</v>
      </c>
      <c r="AJ102" s="2">
        <v>89237908</v>
      </c>
      <c r="AK102" s="2">
        <v>2</v>
      </c>
      <c r="AL102" s="2" t="s">
        <v>633</v>
      </c>
      <c r="AM102" s="2">
        <v>0</v>
      </c>
      <c r="AN102" s="2">
        <v>0</v>
      </c>
      <c r="AO102" s="2">
        <v>1</v>
      </c>
      <c r="AP102" s="2">
        <v>0</v>
      </c>
      <c r="AQ102" s="2">
        <v>0</v>
      </c>
      <c r="AR102" s="2">
        <v>0</v>
      </c>
      <c r="AS102" s="2">
        <v>0</v>
      </c>
      <c r="AT102" s="2">
        <v>0</v>
      </c>
      <c r="AZ102" s="2" t="s">
        <v>1363</v>
      </c>
      <c r="BB102" s="2" t="str">
        <f>+PROPER(BD[[#This Row],[PRIMER_APELLIDO]])</f>
        <v>Montes</v>
      </c>
    </row>
    <row r="103" spans="1:54" x14ac:dyDescent="0.25">
      <c r="A103" s="2">
        <v>102</v>
      </c>
      <c r="B103" s="2">
        <v>44922</v>
      </c>
      <c r="C103" s="2" t="s">
        <v>619</v>
      </c>
      <c r="D103" s="2" t="s">
        <v>620</v>
      </c>
      <c r="E103" s="2" t="s">
        <v>1364</v>
      </c>
      <c r="F103" s="2">
        <v>24233776</v>
      </c>
      <c r="G103" s="3">
        <v>35.31232876712329</v>
      </c>
      <c r="H103" s="2" t="s">
        <v>622</v>
      </c>
      <c r="I103" s="2" t="s">
        <v>1365</v>
      </c>
      <c r="J103" s="2" t="str">
        <f>+IF(BD[[#This Row],[DEPARTAMENTO_INSS]]="MANAGUA","_01_","_02_")</f>
        <v>_02_</v>
      </c>
      <c r="K103" s="2" t="str">
        <f>+CONCATENATE(BD[[#This Row],[Columna3]],BD[[#This Row],[Columna4]],BD[[#This Row],[NOMBRE COMPLETO]])</f>
        <v>E003_02_JOSE LUIS GOMEZ SANCHEZ</v>
      </c>
      <c r="L103" s="2" t="s">
        <v>243</v>
      </c>
      <c r="M103" s="2" t="s">
        <v>738</v>
      </c>
      <c r="N103" s="2" t="s">
        <v>43</v>
      </c>
      <c r="O103" s="2" t="s">
        <v>90</v>
      </c>
      <c r="P103" s="2" t="s">
        <v>649</v>
      </c>
      <c r="Q103" s="2" t="s">
        <v>351</v>
      </c>
      <c r="R103" s="2">
        <v>31907</v>
      </c>
      <c r="S103" s="2">
        <v>31907</v>
      </c>
      <c r="T103" s="2" t="s">
        <v>705</v>
      </c>
      <c r="U103" s="2" t="s">
        <v>705</v>
      </c>
      <c r="V103" s="2" t="s">
        <v>705</v>
      </c>
      <c r="W103" s="2" t="s">
        <v>705</v>
      </c>
      <c r="X103" s="2" t="s">
        <v>1366</v>
      </c>
      <c r="Y103" s="2" t="s">
        <v>1367</v>
      </c>
      <c r="Z103" s="2">
        <v>87864496</v>
      </c>
      <c r="AA103" s="2" t="s">
        <v>1368</v>
      </c>
      <c r="AB103" s="2" t="s">
        <v>654</v>
      </c>
      <c r="AC103" s="2" t="s">
        <v>632</v>
      </c>
      <c r="AD103" s="2">
        <v>87864496</v>
      </c>
      <c r="AJ103" s="2">
        <v>87864496</v>
      </c>
      <c r="AK103" s="2">
        <v>3</v>
      </c>
      <c r="AL103" s="2" t="s">
        <v>633</v>
      </c>
      <c r="AM103" s="2">
        <v>0</v>
      </c>
      <c r="AN103" s="2">
        <v>0</v>
      </c>
      <c r="AO103" s="2">
        <v>1</v>
      </c>
      <c r="AP103" s="2">
        <v>0</v>
      </c>
      <c r="AQ103" s="2">
        <v>0</v>
      </c>
      <c r="AR103" s="2">
        <v>0</v>
      </c>
      <c r="AS103" s="2">
        <v>0</v>
      </c>
      <c r="AT103" s="2">
        <v>0</v>
      </c>
      <c r="AZ103" s="2" t="s">
        <v>1369</v>
      </c>
      <c r="BB103" s="2" t="str">
        <f>+PROPER(BD[[#This Row],[PRIMER_APELLIDO]])</f>
        <v>Gomez</v>
      </c>
    </row>
    <row r="104" spans="1:54" x14ac:dyDescent="0.25">
      <c r="A104" s="2">
        <v>103</v>
      </c>
      <c r="B104" s="2">
        <v>47519</v>
      </c>
      <c r="C104" s="2" t="s">
        <v>619</v>
      </c>
      <c r="D104" s="2" t="s">
        <v>620</v>
      </c>
      <c r="E104" s="2" t="s">
        <v>1370</v>
      </c>
      <c r="F104" s="2">
        <v>18607862</v>
      </c>
      <c r="G104" s="3">
        <v>35.31232876712329</v>
      </c>
      <c r="H104" s="2" t="s">
        <v>622</v>
      </c>
      <c r="I104" s="2" t="s">
        <v>1371</v>
      </c>
      <c r="J104" s="2" t="str">
        <f>+IF(BD[[#This Row],[DEPARTAMENTO_INSS]]="MANAGUA","_01_","_02_")</f>
        <v>_02_</v>
      </c>
      <c r="K104" s="2" t="str">
        <f>+CONCATENATE(BD[[#This Row],[Columna3]],BD[[#This Row],[Columna4]],BD[[#This Row],[NOMBRE COMPLETO]])</f>
        <v>E003_02_GERMANIA YAOSKA GARCIA ALEMAN</v>
      </c>
      <c r="L104" s="2" t="s">
        <v>1372</v>
      </c>
      <c r="M104" s="2" t="s">
        <v>1373</v>
      </c>
      <c r="N104" s="2" t="s">
        <v>10</v>
      </c>
      <c r="O104" s="2" t="s">
        <v>194</v>
      </c>
      <c r="P104" s="2" t="s">
        <v>626</v>
      </c>
      <c r="Q104" s="2" t="s">
        <v>351</v>
      </c>
      <c r="R104" s="2">
        <v>31907</v>
      </c>
      <c r="S104" s="2">
        <v>31907</v>
      </c>
      <c r="T104" s="2" t="s">
        <v>740</v>
      </c>
      <c r="U104" s="2" t="s">
        <v>740</v>
      </c>
      <c r="V104" s="2" t="s">
        <v>1334</v>
      </c>
      <c r="W104" s="2" t="s">
        <v>1334</v>
      </c>
      <c r="X104" s="2" t="s">
        <v>1374</v>
      </c>
      <c r="Y104" s="2" t="s">
        <v>1375</v>
      </c>
      <c r="AA104" s="2">
        <v>85754962</v>
      </c>
      <c r="AB104" s="2" t="s">
        <v>631</v>
      </c>
      <c r="AC104" s="2" t="s">
        <v>632</v>
      </c>
      <c r="AD104" s="2">
        <v>85754962</v>
      </c>
      <c r="AJ104" s="2">
        <v>85754962</v>
      </c>
      <c r="AK104" s="2">
        <v>1</v>
      </c>
      <c r="AL104" s="2" t="s">
        <v>633</v>
      </c>
      <c r="AM104" s="2">
        <v>0</v>
      </c>
      <c r="AN104" s="2">
        <v>0</v>
      </c>
      <c r="AO104" s="2">
        <v>1</v>
      </c>
      <c r="AP104" s="2">
        <v>0</v>
      </c>
      <c r="AQ104" s="2">
        <v>0</v>
      </c>
      <c r="AR104" s="2">
        <v>0</v>
      </c>
      <c r="AS104" s="2">
        <v>0</v>
      </c>
      <c r="AT104" s="2">
        <v>0</v>
      </c>
      <c r="BB104" s="2" t="str">
        <f>+PROPER(BD[[#This Row],[PRIMER_APELLIDO]])</f>
        <v>Garcia</v>
      </c>
    </row>
    <row r="105" spans="1:54" x14ac:dyDescent="0.25">
      <c r="A105" s="2">
        <v>104</v>
      </c>
      <c r="B105" s="2">
        <v>48032</v>
      </c>
      <c r="C105" s="2" t="s">
        <v>619</v>
      </c>
      <c r="D105" s="2" t="s">
        <v>620</v>
      </c>
      <c r="E105" s="2" t="s">
        <v>1376</v>
      </c>
      <c r="G105" s="3">
        <v>35.31232876712329</v>
      </c>
      <c r="H105" s="2" t="s">
        <v>622</v>
      </c>
      <c r="I105" s="2" t="s">
        <v>1377</v>
      </c>
      <c r="J105" s="2" t="str">
        <f>+IF(BD[[#This Row],[DEPARTAMENTO_INSS]]="MANAGUA","_01_","_02_")</f>
        <v>_02_</v>
      </c>
      <c r="K105" s="2" t="str">
        <f>+CONCATENATE(BD[[#This Row],[Columna3]],BD[[#This Row],[Columna4]],BD[[#This Row],[NOMBRE COMPLETO]])</f>
        <v>E003_02_BRENDA REGINA GONZALEZ OROZCO</v>
      </c>
      <c r="L105" s="2" t="s">
        <v>1378</v>
      </c>
      <c r="M105" s="2" t="s">
        <v>1379</v>
      </c>
      <c r="N105" s="2" t="s">
        <v>14</v>
      </c>
      <c r="O105" s="2" t="s">
        <v>254</v>
      </c>
      <c r="P105" s="2" t="s">
        <v>626</v>
      </c>
      <c r="Q105" s="2" t="s">
        <v>351</v>
      </c>
      <c r="R105" s="2">
        <v>31907</v>
      </c>
      <c r="S105" s="2">
        <v>31907</v>
      </c>
      <c r="T105" s="2" t="s">
        <v>176</v>
      </c>
      <c r="U105" s="2" t="s">
        <v>176</v>
      </c>
      <c r="V105" s="2" t="s">
        <v>650</v>
      </c>
      <c r="W105" s="2" t="s">
        <v>176</v>
      </c>
      <c r="X105" s="2" t="s">
        <v>1380</v>
      </c>
      <c r="Y105" s="2" t="s">
        <v>1381</v>
      </c>
      <c r="AA105" s="2" t="s">
        <v>1382</v>
      </c>
      <c r="AB105" s="2" t="s">
        <v>642</v>
      </c>
      <c r="AC105" s="2" t="s">
        <v>632</v>
      </c>
      <c r="AD105" s="2">
        <v>83274431</v>
      </c>
      <c r="AE105" s="2">
        <v>88766675</v>
      </c>
      <c r="AJ105" s="2">
        <v>83274431</v>
      </c>
      <c r="AK105" s="2">
        <v>2</v>
      </c>
      <c r="AL105" s="2" t="s">
        <v>633</v>
      </c>
      <c r="AM105" s="2">
        <v>0</v>
      </c>
      <c r="AN105" s="2">
        <v>0</v>
      </c>
      <c r="AO105" s="2">
        <v>1</v>
      </c>
      <c r="AP105" s="2">
        <v>0</v>
      </c>
      <c r="AQ105" s="2">
        <v>0</v>
      </c>
      <c r="AR105" s="2">
        <v>0</v>
      </c>
      <c r="AS105" s="2">
        <v>0</v>
      </c>
      <c r="AT105" s="2">
        <v>0</v>
      </c>
      <c r="BB105" s="2" t="str">
        <f>+PROPER(BD[[#This Row],[PRIMER_APELLIDO]])</f>
        <v>Gonzalez</v>
      </c>
    </row>
    <row r="106" spans="1:54" x14ac:dyDescent="0.25">
      <c r="A106" s="2">
        <v>105</v>
      </c>
      <c r="B106" s="2">
        <v>60641</v>
      </c>
      <c r="C106" s="2" t="s">
        <v>619</v>
      </c>
      <c r="D106" s="2" t="s">
        <v>620</v>
      </c>
      <c r="E106" s="2" t="s">
        <v>1383</v>
      </c>
      <c r="G106" s="3">
        <v>35.31232876712329</v>
      </c>
      <c r="H106" s="2" t="s">
        <v>622</v>
      </c>
      <c r="I106" s="2" t="s">
        <v>1384</v>
      </c>
      <c r="J106" s="2" t="str">
        <f>+IF(BD[[#This Row],[DEPARTAMENTO_INSS]]="MANAGUA","_01_","_02_")</f>
        <v>_02_</v>
      </c>
      <c r="K106" s="2" t="str">
        <f>+CONCATENATE(BD[[#This Row],[Columna3]],BD[[#This Row],[Columna4]],BD[[#This Row],[NOMBRE COMPLETO]])</f>
        <v>E003_02_AMELY BERTHA MERCADO TELLEZ</v>
      </c>
      <c r="L106" s="2" t="s">
        <v>1385</v>
      </c>
      <c r="M106" s="2" t="s">
        <v>1386</v>
      </c>
      <c r="N106" s="2" t="s">
        <v>250</v>
      </c>
      <c r="O106" s="2" t="s">
        <v>274</v>
      </c>
      <c r="P106" s="2" t="s">
        <v>626</v>
      </c>
      <c r="Q106" s="2" t="s">
        <v>351</v>
      </c>
      <c r="R106" s="2">
        <v>31907</v>
      </c>
      <c r="S106" s="2">
        <v>31907</v>
      </c>
      <c r="T106" s="2" t="s">
        <v>133</v>
      </c>
      <c r="U106" s="2" t="s">
        <v>133</v>
      </c>
      <c r="V106" s="2" t="s">
        <v>870</v>
      </c>
      <c r="W106" s="2" t="s">
        <v>870</v>
      </c>
      <c r="X106" s="2" t="s">
        <v>1387</v>
      </c>
      <c r="Y106" s="2" t="s">
        <v>1388</v>
      </c>
      <c r="AA106" s="2">
        <v>88538122</v>
      </c>
      <c r="AB106" s="2" t="s">
        <v>773</v>
      </c>
      <c r="AC106" s="2" t="s">
        <v>632</v>
      </c>
      <c r="AD106" s="2">
        <v>88538122</v>
      </c>
      <c r="AJ106" s="2">
        <v>88538122</v>
      </c>
      <c r="AK106" s="2">
        <v>1</v>
      </c>
      <c r="AL106" s="2" t="s">
        <v>633</v>
      </c>
      <c r="AM106" s="2">
        <v>0</v>
      </c>
      <c r="AN106" s="2">
        <v>0</v>
      </c>
      <c r="AO106" s="2">
        <v>1</v>
      </c>
      <c r="AP106" s="2">
        <v>0</v>
      </c>
      <c r="AQ106" s="2">
        <v>0</v>
      </c>
      <c r="AR106" s="2">
        <v>0</v>
      </c>
      <c r="AS106" s="2">
        <v>0</v>
      </c>
      <c r="AT106" s="2">
        <v>0</v>
      </c>
      <c r="BB106" s="2" t="str">
        <f>+PROPER(BD[[#This Row],[PRIMER_APELLIDO]])</f>
        <v>Mercado</v>
      </c>
    </row>
    <row r="107" spans="1:54" x14ac:dyDescent="0.25">
      <c r="A107" s="2">
        <v>106</v>
      </c>
      <c r="B107" s="2">
        <v>60383</v>
      </c>
      <c r="C107" s="2" t="s">
        <v>619</v>
      </c>
      <c r="D107" s="2" t="s">
        <v>620</v>
      </c>
      <c r="E107" s="2" t="s">
        <v>1389</v>
      </c>
      <c r="G107" s="3">
        <v>35.317808219178083</v>
      </c>
      <c r="H107" s="2" t="s">
        <v>622</v>
      </c>
      <c r="I107" s="2" t="s">
        <v>1390</v>
      </c>
      <c r="J107" s="2" t="str">
        <f>+IF(BD[[#This Row],[DEPARTAMENTO_INSS]]="MANAGUA","_01_","_02_")</f>
        <v>_01_</v>
      </c>
      <c r="K107" s="2" t="str">
        <f>+CONCATENATE(BD[[#This Row],[Columna3]],BD[[#This Row],[Columna4]],BD[[#This Row],[NOMBRE COMPLETO]])</f>
        <v>E003_01_ERICK ANTONIO AMPIE LOPEZ</v>
      </c>
      <c r="L107" s="2" t="s">
        <v>1391</v>
      </c>
      <c r="M107" s="2" t="s">
        <v>904</v>
      </c>
      <c r="N107" s="2" t="s">
        <v>61</v>
      </c>
      <c r="O107" s="2" t="s">
        <v>15</v>
      </c>
      <c r="P107" s="2" t="s">
        <v>649</v>
      </c>
      <c r="Q107" s="2" t="s">
        <v>351</v>
      </c>
      <c r="R107" s="2">
        <v>31905</v>
      </c>
      <c r="S107" s="2">
        <v>31905</v>
      </c>
      <c r="T107" s="2" t="s">
        <v>627</v>
      </c>
      <c r="U107" s="2" t="s">
        <v>627</v>
      </c>
      <c r="V107" s="2" t="s">
        <v>627</v>
      </c>
      <c r="W107" s="2" t="s">
        <v>627</v>
      </c>
      <c r="X107" s="2" t="s">
        <v>1392</v>
      </c>
      <c r="Y107" s="2" t="s">
        <v>1393</v>
      </c>
      <c r="AA107" s="2" t="s">
        <v>1394</v>
      </c>
      <c r="AB107" s="2" t="s">
        <v>654</v>
      </c>
      <c r="AC107" s="2" t="s">
        <v>632</v>
      </c>
      <c r="AE107" s="2">
        <v>84581346</v>
      </c>
      <c r="AJ107" s="2">
        <v>84581346</v>
      </c>
      <c r="AK107" s="2">
        <v>2</v>
      </c>
      <c r="AL107" s="2" t="s">
        <v>633</v>
      </c>
      <c r="AM107" s="2">
        <v>0</v>
      </c>
      <c r="AN107" s="2">
        <v>0</v>
      </c>
      <c r="AO107" s="2">
        <v>1</v>
      </c>
      <c r="AP107" s="2">
        <v>0</v>
      </c>
      <c r="AQ107" s="2">
        <v>0</v>
      </c>
      <c r="AR107" s="2">
        <v>0</v>
      </c>
      <c r="AS107" s="2">
        <v>0</v>
      </c>
      <c r="AT107" s="2">
        <v>0</v>
      </c>
      <c r="BA107" s="2" t="s">
        <v>1395</v>
      </c>
      <c r="BB107" s="2" t="str">
        <f>+PROPER(BD[[#This Row],[PRIMER_APELLIDO]])</f>
        <v>Ampie</v>
      </c>
    </row>
    <row r="108" spans="1:54" x14ac:dyDescent="0.25">
      <c r="A108" s="2">
        <v>107</v>
      </c>
      <c r="B108" s="2">
        <v>46614</v>
      </c>
      <c r="C108" s="2" t="s">
        <v>619</v>
      </c>
      <c r="D108" s="2" t="s">
        <v>620</v>
      </c>
      <c r="E108" s="2" t="s">
        <v>1396</v>
      </c>
      <c r="F108" s="2">
        <v>24234292</v>
      </c>
      <c r="G108" s="3">
        <v>35.320547945205476</v>
      </c>
      <c r="H108" s="2" t="s">
        <v>622</v>
      </c>
      <c r="I108" s="2" t="s">
        <v>1397</v>
      </c>
      <c r="J108" s="2" t="str">
        <f>+IF(BD[[#This Row],[DEPARTAMENTO_INSS]]="MANAGUA","_01_","_02_")</f>
        <v>_02_</v>
      </c>
      <c r="K108" s="2" t="str">
        <f>+CONCATENATE(BD[[#This Row],[Columna3]],BD[[#This Row],[Columna4]],BD[[#This Row],[NOMBRE COMPLETO]])</f>
        <v>E003_02_VALIESKA LLANES ARAUZ</v>
      </c>
      <c r="L108" s="2" t="s">
        <v>1398</v>
      </c>
      <c r="N108" s="2" t="s">
        <v>153</v>
      </c>
      <c r="O108" s="2" t="s">
        <v>174</v>
      </c>
      <c r="P108" s="2" t="s">
        <v>626</v>
      </c>
      <c r="Q108" s="2" t="s">
        <v>351</v>
      </c>
      <c r="R108" s="2">
        <v>31904</v>
      </c>
      <c r="S108" s="2">
        <v>31904</v>
      </c>
      <c r="T108" s="2" t="s">
        <v>691</v>
      </c>
      <c r="U108" s="2" t="s">
        <v>691</v>
      </c>
      <c r="V108" s="2" t="s">
        <v>1399</v>
      </c>
      <c r="W108" s="2" t="s">
        <v>1399</v>
      </c>
      <c r="X108" s="2" t="s">
        <v>1400</v>
      </c>
      <c r="Y108" s="2" t="s">
        <v>1401</v>
      </c>
      <c r="AA108" s="2">
        <v>27195065</v>
      </c>
      <c r="AB108" s="2" t="s">
        <v>642</v>
      </c>
      <c r="AC108" s="2" t="s">
        <v>632</v>
      </c>
      <c r="AK108" s="2">
        <v>1</v>
      </c>
      <c r="AL108" s="2" t="s">
        <v>633</v>
      </c>
      <c r="AM108" s="2">
        <v>0</v>
      </c>
      <c r="AN108" s="2">
        <v>0</v>
      </c>
      <c r="AO108" s="2">
        <v>1</v>
      </c>
      <c r="AP108" s="2">
        <v>0</v>
      </c>
      <c r="AQ108" s="2">
        <v>0</v>
      </c>
      <c r="AR108" s="2">
        <v>0</v>
      </c>
      <c r="AS108" s="2">
        <v>0</v>
      </c>
      <c r="AT108" s="2">
        <v>0</v>
      </c>
      <c r="BB108" s="2" t="str">
        <f>+PROPER(BD[[#This Row],[PRIMER_APELLIDO]])</f>
        <v>Llanes</v>
      </c>
    </row>
    <row r="109" spans="1:54" x14ac:dyDescent="0.25">
      <c r="A109" s="2">
        <v>108</v>
      </c>
      <c r="B109" s="2">
        <v>33133</v>
      </c>
      <c r="C109" s="2" t="s">
        <v>619</v>
      </c>
      <c r="D109" s="2" t="s">
        <v>620</v>
      </c>
      <c r="E109" s="2" t="s">
        <v>1402</v>
      </c>
      <c r="F109" s="2">
        <v>25767566</v>
      </c>
      <c r="G109" s="3">
        <v>35.331506849315069</v>
      </c>
      <c r="H109" s="2" t="s">
        <v>622</v>
      </c>
      <c r="I109" s="2" t="s">
        <v>1403</v>
      </c>
      <c r="J109" s="2" t="str">
        <f>+IF(BD[[#This Row],[DEPARTAMENTO_INSS]]="MANAGUA","_01_","_02_")</f>
        <v>_01_</v>
      </c>
      <c r="K109" s="2" t="str">
        <f>+CONCATENATE(BD[[#This Row],[Columna3]],BD[[#This Row],[Columna4]],BD[[#This Row],[NOMBRE COMPLETO]])</f>
        <v>E003_01_EDYLIA TAMARA MCNALLY CASTILLO</v>
      </c>
      <c r="L109" s="2" t="s">
        <v>1404</v>
      </c>
      <c r="M109" s="2" t="s">
        <v>1405</v>
      </c>
      <c r="N109" s="2" t="s">
        <v>377</v>
      </c>
      <c r="O109" s="2" t="s">
        <v>100</v>
      </c>
      <c r="P109" s="2" t="s">
        <v>626</v>
      </c>
      <c r="Q109" s="2" t="s">
        <v>351</v>
      </c>
      <c r="R109" s="2">
        <v>31900</v>
      </c>
      <c r="S109" s="2">
        <v>31900</v>
      </c>
      <c r="T109" s="2" t="s">
        <v>627</v>
      </c>
      <c r="U109" s="2" t="s">
        <v>627</v>
      </c>
      <c r="V109" s="2" t="s">
        <v>1406</v>
      </c>
      <c r="W109" s="2" t="s">
        <v>1406</v>
      </c>
      <c r="X109" s="2" t="s">
        <v>1407</v>
      </c>
      <c r="Y109" s="2" t="s">
        <v>1408</v>
      </c>
      <c r="Z109" s="2">
        <v>86795057</v>
      </c>
      <c r="AA109" s="2">
        <v>89733682</v>
      </c>
      <c r="AB109" s="2" t="s">
        <v>642</v>
      </c>
      <c r="AC109" s="2" t="s">
        <v>632</v>
      </c>
      <c r="AD109" s="2">
        <v>86795057</v>
      </c>
      <c r="AF109" s="2">
        <v>89733682</v>
      </c>
      <c r="AJ109" s="2">
        <v>86795057</v>
      </c>
      <c r="AK109" s="2">
        <v>2</v>
      </c>
      <c r="AL109" s="2" t="s">
        <v>633</v>
      </c>
      <c r="AM109" s="2">
        <v>0</v>
      </c>
      <c r="AN109" s="2">
        <v>0</v>
      </c>
      <c r="AO109" s="2">
        <v>1</v>
      </c>
      <c r="AP109" s="2">
        <v>0</v>
      </c>
      <c r="AQ109" s="2">
        <v>0</v>
      </c>
      <c r="AR109" s="2">
        <v>0</v>
      </c>
      <c r="AS109" s="2">
        <v>0</v>
      </c>
      <c r="AT109" s="2">
        <v>0</v>
      </c>
      <c r="AZ109" s="2" t="s">
        <v>1409</v>
      </c>
      <c r="BB109" s="2" t="str">
        <f>+PROPER(BD[[#This Row],[PRIMER_APELLIDO]])</f>
        <v>Mcnally</v>
      </c>
    </row>
    <row r="110" spans="1:54" x14ac:dyDescent="0.25">
      <c r="A110" s="2">
        <v>109</v>
      </c>
      <c r="B110" s="2">
        <v>35161</v>
      </c>
      <c r="C110" s="2" t="s">
        <v>619</v>
      </c>
      <c r="D110" s="2" t="s">
        <v>620</v>
      </c>
      <c r="E110" s="2" t="s">
        <v>1410</v>
      </c>
      <c r="F110" s="2">
        <v>24569109</v>
      </c>
      <c r="G110" s="3">
        <v>35.331506849315069</v>
      </c>
      <c r="H110" s="2" t="s">
        <v>622</v>
      </c>
      <c r="I110" s="2" t="s">
        <v>1411</v>
      </c>
      <c r="J110" s="2" t="str">
        <f>+IF(BD[[#This Row],[DEPARTAMENTO_INSS]]="MANAGUA","_01_","_02_")</f>
        <v>_02_</v>
      </c>
      <c r="K110" s="2" t="str">
        <f>+CONCATENATE(BD[[#This Row],[Columna3]],BD[[#This Row],[Columna4]],BD[[#This Row],[NOMBRE COMPLETO]])</f>
        <v>E003_02_LESTER MARTIN DAVILA GONZALEZ</v>
      </c>
      <c r="L110" s="2" t="s">
        <v>1412</v>
      </c>
      <c r="M110" s="2" t="s">
        <v>1183</v>
      </c>
      <c r="N110" s="2" t="s">
        <v>88</v>
      </c>
      <c r="O110" s="2" t="s">
        <v>14</v>
      </c>
      <c r="P110" s="2" t="s">
        <v>649</v>
      </c>
      <c r="Q110" s="2" t="s">
        <v>351</v>
      </c>
      <c r="R110" s="2">
        <v>31900</v>
      </c>
      <c r="S110" s="2">
        <v>31900</v>
      </c>
      <c r="T110" s="2" t="s">
        <v>691</v>
      </c>
      <c r="U110" s="2" t="s">
        <v>691</v>
      </c>
      <c r="V110" s="2" t="s">
        <v>716</v>
      </c>
      <c r="W110" s="2" t="s">
        <v>691</v>
      </c>
      <c r="X110" s="2" t="s">
        <v>1413</v>
      </c>
      <c r="Y110" s="2" t="s">
        <v>1414</v>
      </c>
      <c r="Z110" s="2">
        <v>84137921</v>
      </c>
      <c r="AA110" s="2" t="s">
        <v>1415</v>
      </c>
      <c r="AB110" s="2" t="s">
        <v>654</v>
      </c>
      <c r="AC110" s="2" t="s">
        <v>632</v>
      </c>
      <c r="AD110" s="2">
        <v>84137921</v>
      </c>
      <c r="AJ110" s="2">
        <v>84137921</v>
      </c>
      <c r="AK110" s="2">
        <v>3</v>
      </c>
      <c r="AL110" s="2" t="s">
        <v>633</v>
      </c>
      <c r="AM110" s="2">
        <v>0</v>
      </c>
      <c r="AN110" s="2">
        <v>0</v>
      </c>
      <c r="AO110" s="2">
        <v>1</v>
      </c>
      <c r="AP110" s="2">
        <v>0</v>
      </c>
      <c r="AQ110" s="2">
        <v>0</v>
      </c>
      <c r="AR110" s="2">
        <v>0</v>
      </c>
      <c r="AS110" s="2">
        <v>0</v>
      </c>
      <c r="AT110" s="2">
        <v>0</v>
      </c>
      <c r="AZ110" s="2" t="s">
        <v>1416</v>
      </c>
      <c r="BB110" s="2" t="str">
        <f>+PROPER(BD[[#This Row],[PRIMER_APELLIDO]])</f>
        <v>Davila</v>
      </c>
    </row>
    <row r="111" spans="1:54" x14ac:dyDescent="0.25">
      <c r="A111" s="2">
        <v>110</v>
      </c>
      <c r="B111" s="2">
        <v>47616</v>
      </c>
      <c r="C111" s="2" t="s">
        <v>619</v>
      </c>
      <c r="D111" s="2" t="s">
        <v>620</v>
      </c>
      <c r="E111" s="2" t="s">
        <v>1417</v>
      </c>
      <c r="F111" s="2">
        <v>25622722</v>
      </c>
      <c r="G111" s="3">
        <v>35.331506849315069</v>
      </c>
      <c r="H111" s="2" t="s">
        <v>622</v>
      </c>
      <c r="I111" s="2" t="s">
        <v>1418</v>
      </c>
      <c r="J111" s="2" t="str">
        <f>+IF(BD[[#This Row],[DEPARTAMENTO_INSS]]="MANAGUA","_01_","_02_")</f>
        <v>_02_</v>
      </c>
      <c r="K111" s="2" t="str">
        <f>+CONCATENATE(BD[[#This Row],[Columna3]],BD[[#This Row],[Columna4]],BD[[#This Row],[NOMBRE COMPLETO]])</f>
        <v>E003_02_IVANIA DEL CARMEN TICAY POTOSME</v>
      </c>
      <c r="L111" s="2" t="s">
        <v>1419</v>
      </c>
      <c r="M111" s="2" t="s">
        <v>961</v>
      </c>
      <c r="N111" s="2" t="s">
        <v>139</v>
      </c>
      <c r="O111" s="2" t="s">
        <v>1420</v>
      </c>
      <c r="P111" s="2" t="s">
        <v>626</v>
      </c>
      <c r="Q111" s="2" t="s">
        <v>351</v>
      </c>
      <c r="R111" s="2">
        <v>31900</v>
      </c>
      <c r="S111" s="2">
        <v>31900</v>
      </c>
      <c r="T111" s="2" t="s">
        <v>732</v>
      </c>
      <c r="U111" s="2" t="s">
        <v>732</v>
      </c>
      <c r="V111" s="2" t="s">
        <v>732</v>
      </c>
      <c r="W111" s="2" t="s">
        <v>732</v>
      </c>
      <c r="X111" s="2" t="s">
        <v>1421</v>
      </c>
      <c r="Y111" s="2" t="s">
        <v>1422</v>
      </c>
      <c r="AA111" s="2" t="s">
        <v>1423</v>
      </c>
      <c r="AB111" s="2" t="s">
        <v>642</v>
      </c>
      <c r="AC111" s="2" t="s">
        <v>632</v>
      </c>
      <c r="AE111" s="2">
        <v>58565071</v>
      </c>
      <c r="AJ111" s="2">
        <v>58565071</v>
      </c>
      <c r="AK111" s="2">
        <v>2</v>
      </c>
      <c r="AL111" s="2" t="s">
        <v>633</v>
      </c>
      <c r="AM111" s="2">
        <v>0</v>
      </c>
      <c r="AN111" s="2">
        <v>0</v>
      </c>
      <c r="AO111" s="2">
        <v>1</v>
      </c>
      <c r="AP111" s="2">
        <v>0</v>
      </c>
      <c r="AQ111" s="2">
        <v>0</v>
      </c>
      <c r="AR111" s="2">
        <v>0</v>
      </c>
      <c r="AS111" s="2">
        <v>0</v>
      </c>
      <c r="AT111" s="2">
        <v>0</v>
      </c>
      <c r="BB111" s="2" t="str">
        <f>+PROPER(BD[[#This Row],[PRIMER_APELLIDO]])</f>
        <v>Ticay</v>
      </c>
    </row>
    <row r="112" spans="1:54" x14ac:dyDescent="0.25">
      <c r="A112" s="2">
        <v>111</v>
      </c>
      <c r="B112" s="2">
        <v>75527</v>
      </c>
      <c r="C112" s="2" t="s">
        <v>619</v>
      </c>
      <c r="D112" s="2" t="s">
        <v>620</v>
      </c>
      <c r="E112" s="2" t="s">
        <v>1424</v>
      </c>
      <c r="G112" s="3">
        <v>35.334246575342469</v>
      </c>
      <c r="H112" s="2" t="s">
        <v>622</v>
      </c>
      <c r="I112" s="2" t="s">
        <v>1425</v>
      </c>
      <c r="J112" s="2" t="str">
        <f>+IF(BD[[#This Row],[DEPARTAMENTO_INSS]]="MANAGUA","_01_","_02_")</f>
        <v>_02_</v>
      </c>
      <c r="K112" s="2" t="str">
        <f>+CONCATENATE(BD[[#This Row],[Columna3]],BD[[#This Row],[Columna4]],BD[[#This Row],[NOMBRE COMPLETO]])</f>
        <v>E003_02_FERNAN FRANKLIN PAUTH OSEGUEDA</v>
      </c>
      <c r="L112" s="2" t="s">
        <v>1426</v>
      </c>
      <c r="M112" s="2" t="s">
        <v>1427</v>
      </c>
      <c r="N112" s="2" t="s">
        <v>184</v>
      </c>
      <c r="O112" s="2" t="s">
        <v>1428</v>
      </c>
      <c r="P112" s="2" t="s">
        <v>649</v>
      </c>
      <c r="Q112" s="2" t="s">
        <v>351</v>
      </c>
      <c r="R112" s="2">
        <v>31899</v>
      </c>
      <c r="S112" s="2">
        <v>31899</v>
      </c>
      <c r="T112" s="2" t="s">
        <v>691</v>
      </c>
      <c r="U112" s="2" t="s">
        <v>691</v>
      </c>
      <c r="V112" s="2" t="s">
        <v>716</v>
      </c>
      <c r="W112" s="2" t="s">
        <v>691</v>
      </c>
      <c r="X112" s="2" t="s">
        <v>1429</v>
      </c>
      <c r="Y112" s="2" t="s">
        <v>1430</v>
      </c>
      <c r="Z112" s="2">
        <v>57899669</v>
      </c>
      <c r="AA112" s="2" t="s">
        <v>1431</v>
      </c>
      <c r="AB112" s="2" t="s">
        <v>654</v>
      </c>
      <c r="AC112" s="2" t="s">
        <v>632</v>
      </c>
      <c r="AD112" s="2">
        <v>57899669</v>
      </c>
      <c r="AJ112" s="2">
        <v>57899669</v>
      </c>
      <c r="AK112" s="2">
        <v>3</v>
      </c>
      <c r="AL112" s="2" t="s">
        <v>633</v>
      </c>
      <c r="AM112" s="2">
        <v>0</v>
      </c>
      <c r="AN112" s="2">
        <v>0</v>
      </c>
      <c r="AO112" s="2">
        <v>1</v>
      </c>
      <c r="AP112" s="2">
        <v>0</v>
      </c>
      <c r="AQ112" s="2">
        <v>0</v>
      </c>
      <c r="AR112" s="2">
        <v>0</v>
      </c>
      <c r="AS112" s="2">
        <v>0</v>
      </c>
      <c r="AT112" s="2">
        <v>0</v>
      </c>
      <c r="AZ112" s="2" t="s">
        <v>1432</v>
      </c>
      <c r="BB112" s="2" t="str">
        <f>+PROPER(BD[[#This Row],[PRIMER_APELLIDO]])</f>
        <v>Pauth</v>
      </c>
    </row>
    <row r="113" spans="1:54" x14ac:dyDescent="0.25">
      <c r="A113" s="2">
        <v>112</v>
      </c>
      <c r="B113" s="2">
        <v>48339</v>
      </c>
      <c r="C113" s="2" t="s">
        <v>619</v>
      </c>
      <c r="D113" s="2" t="s">
        <v>620</v>
      </c>
      <c r="E113" s="2" t="s">
        <v>1433</v>
      </c>
      <c r="F113" s="2">
        <v>25024506</v>
      </c>
      <c r="G113" s="3">
        <v>35.345205479452055</v>
      </c>
      <c r="H113" s="2" t="s">
        <v>622</v>
      </c>
      <c r="I113" s="2" t="s">
        <v>1434</v>
      </c>
      <c r="J113" s="2" t="str">
        <f>+IF(BD[[#This Row],[DEPARTAMENTO_INSS]]="MANAGUA","_01_","_02_")</f>
        <v>_02_</v>
      </c>
      <c r="K113" s="2" t="str">
        <f>+CONCATENATE(BD[[#This Row],[Columna3]],BD[[#This Row],[Columna4]],BD[[#This Row],[NOMBRE COMPLETO]])</f>
        <v>E003_02_ABDA LYGIA PINEDA MONTENEGRO</v>
      </c>
      <c r="L113" s="2" t="s">
        <v>1435</v>
      </c>
      <c r="M113" s="2" t="s">
        <v>1436</v>
      </c>
      <c r="N113" s="2" t="s">
        <v>187</v>
      </c>
      <c r="O113" s="2" t="s">
        <v>282</v>
      </c>
      <c r="P113" s="2" t="s">
        <v>626</v>
      </c>
      <c r="Q113" s="2" t="s">
        <v>351</v>
      </c>
      <c r="R113" s="2">
        <v>31895</v>
      </c>
      <c r="S113" s="2">
        <v>31895</v>
      </c>
      <c r="T113" s="2" t="s">
        <v>659</v>
      </c>
      <c r="U113" s="2" t="s">
        <v>659</v>
      </c>
      <c r="V113" s="2" t="s">
        <v>659</v>
      </c>
      <c r="W113" s="2" t="s">
        <v>659</v>
      </c>
      <c r="X113" s="2" t="s">
        <v>1437</v>
      </c>
      <c r="Y113" s="2" t="s">
        <v>1438</v>
      </c>
      <c r="Z113" s="2">
        <v>58007172</v>
      </c>
      <c r="AB113" s="2" t="s">
        <v>631</v>
      </c>
      <c r="AC113" s="2" t="s">
        <v>632</v>
      </c>
      <c r="AD113" s="2">
        <v>58007172</v>
      </c>
      <c r="AJ113" s="2">
        <v>58007172</v>
      </c>
      <c r="AK113" s="2">
        <v>1</v>
      </c>
      <c r="AL113" s="2" t="s">
        <v>633</v>
      </c>
      <c r="AM113" s="2">
        <v>0</v>
      </c>
      <c r="AN113" s="2">
        <v>0</v>
      </c>
      <c r="AO113" s="2">
        <v>1</v>
      </c>
      <c r="AP113" s="2">
        <v>0</v>
      </c>
      <c r="AQ113" s="2">
        <v>0</v>
      </c>
      <c r="AR113" s="2">
        <v>0</v>
      </c>
      <c r="AS113" s="2">
        <v>0</v>
      </c>
      <c r="AT113" s="2">
        <v>0</v>
      </c>
      <c r="AZ113" s="2" t="s">
        <v>1439</v>
      </c>
      <c r="BB113" s="2" t="str">
        <f>+PROPER(BD[[#This Row],[PRIMER_APELLIDO]])</f>
        <v>Pineda</v>
      </c>
    </row>
    <row r="114" spans="1:54" x14ac:dyDescent="0.25">
      <c r="A114" s="2">
        <v>113</v>
      </c>
      <c r="B114" s="2">
        <v>48604</v>
      </c>
      <c r="C114" s="2" t="s">
        <v>619</v>
      </c>
      <c r="D114" s="2" t="s">
        <v>620</v>
      </c>
      <c r="E114" s="2" t="s">
        <v>1440</v>
      </c>
      <c r="F114" s="2">
        <v>18536582</v>
      </c>
      <c r="G114" s="3">
        <v>35.345205479452055</v>
      </c>
      <c r="H114" s="2" t="s">
        <v>622</v>
      </c>
      <c r="I114" s="2" t="s">
        <v>1441</v>
      </c>
      <c r="J114" s="2" t="str">
        <f>+IF(BD[[#This Row],[DEPARTAMENTO_INSS]]="MANAGUA","_01_","_02_")</f>
        <v>_01_</v>
      </c>
      <c r="K114" s="2" t="str">
        <f>+CONCATENATE(BD[[#This Row],[Columna3]],BD[[#This Row],[Columna4]],BD[[#This Row],[NOMBRE COMPLETO]])</f>
        <v>E003_01_MARBEL MARIA GUDIEL CORTEZ</v>
      </c>
      <c r="L114" s="2" t="s">
        <v>1442</v>
      </c>
      <c r="M114" s="2" t="s">
        <v>724</v>
      </c>
      <c r="N114" s="2" t="s">
        <v>341</v>
      </c>
      <c r="O114" s="2" t="s">
        <v>1443</v>
      </c>
      <c r="P114" s="2" t="s">
        <v>626</v>
      </c>
      <c r="Q114" s="2" t="s">
        <v>351</v>
      </c>
      <c r="R114" s="2">
        <v>31895</v>
      </c>
      <c r="S114" s="2">
        <v>31895</v>
      </c>
      <c r="T114" s="2" t="s">
        <v>133</v>
      </c>
      <c r="U114" s="2" t="s">
        <v>627</v>
      </c>
      <c r="V114" s="2" t="s">
        <v>841</v>
      </c>
      <c r="W114" s="2" t="s">
        <v>627</v>
      </c>
      <c r="X114" s="2" t="s">
        <v>1444</v>
      </c>
      <c r="Y114" s="2" t="s">
        <v>1445</v>
      </c>
      <c r="Z114" s="2">
        <v>85684403</v>
      </c>
      <c r="AA114" s="2" t="s">
        <v>1446</v>
      </c>
      <c r="AB114" s="2" t="s">
        <v>642</v>
      </c>
      <c r="AC114" s="2" t="s">
        <v>632</v>
      </c>
      <c r="AD114" s="2">
        <v>85684403</v>
      </c>
      <c r="AE114" s="2">
        <v>76778749</v>
      </c>
      <c r="AJ114" s="2">
        <v>85684403</v>
      </c>
      <c r="AK114" s="2">
        <v>3</v>
      </c>
      <c r="AL114" s="2" t="s">
        <v>633</v>
      </c>
      <c r="AM114" s="2">
        <v>0</v>
      </c>
      <c r="AN114" s="2">
        <v>0</v>
      </c>
      <c r="AO114" s="2">
        <v>1</v>
      </c>
      <c r="AP114" s="2">
        <v>0</v>
      </c>
      <c r="AQ114" s="2">
        <v>0</v>
      </c>
      <c r="AR114" s="2">
        <v>0</v>
      </c>
      <c r="AS114" s="2">
        <v>0</v>
      </c>
      <c r="AT114" s="2">
        <v>0</v>
      </c>
      <c r="AZ114" s="2" t="s">
        <v>1447</v>
      </c>
      <c r="BB114" s="2" t="str">
        <f>+PROPER(BD[[#This Row],[PRIMER_APELLIDO]])</f>
        <v>Gudiel</v>
      </c>
    </row>
    <row r="115" spans="1:54" x14ac:dyDescent="0.25">
      <c r="A115" s="2">
        <v>114</v>
      </c>
      <c r="B115" s="2">
        <v>72075</v>
      </c>
      <c r="C115" s="2" t="s">
        <v>619</v>
      </c>
      <c r="D115" s="2" t="s">
        <v>620</v>
      </c>
      <c r="E115" s="2" t="s">
        <v>1448</v>
      </c>
      <c r="G115" s="3">
        <v>35.350684931506848</v>
      </c>
      <c r="H115" s="2" t="s">
        <v>622</v>
      </c>
      <c r="I115" s="2" t="s">
        <v>1449</v>
      </c>
      <c r="J115" s="2" t="str">
        <f>+IF(BD[[#This Row],[DEPARTAMENTO_INSS]]="MANAGUA","_01_","_02_")</f>
        <v>_02_</v>
      </c>
      <c r="K115" s="2" t="str">
        <f>+CONCATENATE(BD[[#This Row],[Columna3]],BD[[#This Row],[Columna4]],BD[[#This Row],[NOMBRE COMPLETO]])</f>
        <v>E003_02_VLADIMIR ANTONIO GRANADO BAEZ</v>
      </c>
      <c r="L115" s="2" t="s">
        <v>1450</v>
      </c>
      <c r="M115" s="2" t="s">
        <v>904</v>
      </c>
      <c r="N115" s="2" t="s">
        <v>169</v>
      </c>
      <c r="O115" s="2" t="s">
        <v>418</v>
      </c>
      <c r="P115" s="2" t="s">
        <v>649</v>
      </c>
      <c r="Q115" s="2" t="s">
        <v>351</v>
      </c>
      <c r="R115" s="2">
        <v>31893</v>
      </c>
      <c r="S115" s="2">
        <v>31893</v>
      </c>
      <c r="T115" s="2" t="s">
        <v>627</v>
      </c>
      <c r="U115" s="2" t="s">
        <v>780</v>
      </c>
      <c r="V115" s="2" t="s">
        <v>627</v>
      </c>
      <c r="W115" s="2" t="s">
        <v>795</v>
      </c>
      <c r="X115" s="2" t="s">
        <v>1451</v>
      </c>
      <c r="Y115" s="2" t="s">
        <v>1452</v>
      </c>
      <c r="Z115" s="2">
        <v>57152503</v>
      </c>
      <c r="AA115" s="2" t="s">
        <v>1453</v>
      </c>
      <c r="AB115" s="2" t="s">
        <v>654</v>
      </c>
      <c r="AC115" s="2" t="s">
        <v>632</v>
      </c>
      <c r="AD115" s="2">
        <v>57152503</v>
      </c>
      <c r="AE115" s="2">
        <v>57015400</v>
      </c>
      <c r="AF115" s="2">
        <v>76522018</v>
      </c>
      <c r="AJ115" s="2">
        <v>57152503</v>
      </c>
      <c r="AK115" s="2">
        <v>3</v>
      </c>
      <c r="AL115" s="2" t="s">
        <v>633</v>
      </c>
      <c r="AM115" s="2">
        <v>0</v>
      </c>
      <c r="AN115" s="2">
        <v>0</v>
      </c>
      <c r="AO115" s="2">
        <v>1</v>
      </c>
      <c r="AP115" s="2">
        <v>0</v>
      </c>
      <c r="AQ115" s="2">
        <v>0</v>
      </c>
      <c r="AR115" s="2">
        <v>0</v>
      </c>
      <c r="AS115" s="2">
        <v>0</v>
      </c>
      <c r="AT115" s="2">
        <v>0</v>
      </c>
      <c r="AZ115" s="2" t="s">
        <v>1454</v>
      </c>
      <c r="BB115" s="2" t="str">
        <f>+PROPER(BD[[#This Row],[PRIMER_APELLIDO]])</f>
        <v>Granado</v>
      </c>
    </row>
    <row r="116" spans="1:54" x14ac:dyDescent="0.25">
      <c r="A116" s="2">
        <v>115</v>
      </c>
      <c r="B116" s="2">
        <v>48204</v>
      </c>
      <c r="C116" s="2" t="s">
        <v>619</v>
      </c>
      <c r="D116" s="2" t="s">
        <v>620</v>
      </c>
      <c r="E116" s="2" t="s">
        <v>1455</v>
      </c>
      <c r="F116" s="2">
        <v>26965608</v>
      </c>
      <c r="G116" s="3">
        <v>35.356164383561641</v>
      </c>
      <c r="H116" s="2" t="s">
        <v>622</v>
      </c>
      <c r="I116" s="2" t="s">
        <v>1456</v>
      </c>
      <c r="J116" s="2" t="str">
        <f>+IF(BD[[#This Row],[DEPARTAMENTO_INSS]]="MANAGUA","_01_","_02_")</f>
        <v>_01_</v>
      </c>
      <c r="K116" s="2" t="str">
        <f>+CONCATENATE(BD[[#This Row],[Columna3]],BD[[#This Row],[Columna4]],BD[[#This Row],[NOMBRE COMPLETO]])</f>
        <v>E003_01_DIANA CRISTELA MONTES RUIZ</v>
      </c>
      <c r="L116" s="2" t="s">
        <v>1457</v>
      </c>
      <c r="M116" s="2" t="s">
        <v>1458</v>
      </c>
      <c r="N116" s="2" t="s">
        <v>385</v>
      </c>
      <c r="O116" s="2" t="s">
        <v>84</v>
      </c>
      <c r="P116" s="2" t="s">
        <v>626</v>
      </c>
      <c r="Q116" s="2" t="s">
        <v>351</v>
      </c>
      <c r="R116" s="2">
        <v>31891</v>
      </c>
      <c r="S116" s="2">
        <v>31891</v>
      </c>
      <c r="T116" s="2" t="s">
        <v>627</v>
      </c>
      <c r="U116" s="2" t="s">
        <v>627</v>
      </c>
      <c r="V116" s="2" t="s">
        <v>1459</v>
      </c>
      <c r="W116" s="2" t="s">
        <v>1459</v>
      </c>
      <c r="X116" s="2" t="s">
        <v>1460</v>
      </c>
      <c r="Y116" s="2" t="s">
        <v>1461</v>
      </c>
      <c r="Z116" s="2">
        <v>87256919</v>
      </c>
      <c r="AB116" s="2" t="s">
        <v>631</v>
      </c>
      <c r="AC116" s="2" t="s">
        <v>632</v>
      </c>
      <c r="AD116" s="2">
        <v>87256919</v>
      </c>
      <c r="AJ116" s="2">
        <v>87256919</v>
      </c>
      <c r="AK116" s="2">
        <v>1</v>
      </c>
      <c r="AL116" s="2" t="s">
        <v>633</v>
      </c>
      <c r="AM116" s="2">
        <v>0</v>
      </c>
      <c r="AN116" s="2">
        <v>0</v>
      </c>
      <c r="AO116" s="2">
        <v>1</v>
      </c>
      <c r="AP116" s="2">
        <v>0</v>
      </c>
      <c r="AQ116" s="2">
        <v>0</v>
      </c>
      <c r="AR116" s="2">
        <v>0</v>
      </c>
      <c r="AS116" s="2">
        <v>0</v>
      </c>
      <c r="AT116" s="2">
        <v>0</v>
      </c>
      <c r="BB116" s="2" t="str">
        <f>+PROPER(BD[[#This Row],[PRIMER_APELLIDO]])</f>
        <v>Montes</v>
      </c>
    </row>
    <row r="117" spans="1:54" x14ac:dyDescent="0.25">
      <c r="A117" s="2">
        <v>116</v>
      </c>
      <c r="B117" s="2">
        <v>47840</v>
      </c>
      <c r="C117" s="2" t="s">
        <v>619</v>
      </c>
      <c r="D117" s="2" t="s">
        <v>620</v>
      </c>
      <c r="E117" s="2" t="s">
        <v>1462</v>
      </c>
      <c r="F117" s="2">
        <v>25024146</v>
      </c>
      <c r="G117" s="3">
        <v>35.358904109589041</v>
      </c>
      <c r="H117" s="2" t="s">
        <v>622</v>
      </c>
      <c r="I117" s="2" t="s">
        <v>1463</v>
      </c>
      <c r="J117" s="2" t="str">
        <f>+IF(BD[[#This Row],[DEPARTAMENTO_INSS]]="MANAGUA","_01_","_02_")</f>
        <v>_02_</v>
      </c>
      <c r="K117" s="2" t="str">
        <f>+CONCATENATE(BD[[#This Row],[Columna3]],BD[[#This Row],[Columna4]],BD[[#This Row],[NOMBRE COMPLETO]])</f>
        <v>E003_02_VERONICA DEL CARMEN GOMEZ PEREZ</v>
      </c>
      <c r="L117" s="2" t="s">
        <v>1464</v>
      </c>
      <c r="M117" s="2" t="s">
        <v>961</v>
      </c>
      <c r="N117" s="2" t="s">
        <v>43</v>
      </c>
      <c r="O117" s="2" t="s">
        <v>24</v>
      </c>
      <c r="P117" s="2" t="s">
        <v>626</v>
      </c>
      <c r="Q117" s="2" t="s">
        <v>351</v>
      </c>
      <c r="R117" s="2">
        <v>31890</v>
      </c>
      <c r="S117" s="2">
        <v>31890</v>
      </c>
      <c r="T117" s="2" t="s">
        <v>669</v>
      </c>
      <c r="U117" s="2" t="s">
        <v>669</v>
      </c>
      <c r="V117" s="2" t="s">
        <v>669</v>
      </c>
      <c r="W117" s="2" t="s">
        <v>669</v>
      </c>
      <c r="X117" s="2" t="s">
        <v>1465</v>
      </c>
      <c r="Y117" s="2" t="s">
        <v>1466</v>
      </c>
      <c r="Z117" s="2">
        <v>87187120</v>
      </c>
      <c r="AA117" s="2" t="s">
        <v>1467</v>
      </c>
      <c r="AB117" s="2" t="s">
        <v>631</v>
      </c>
      <c r="AC117" s="2" t="s">
        <v>632</v>
      </c>
      <c r="AD117" s="2">
        <v>87187120</v>
      </c>
      <c r="AJ117" s="2">
        <v>87187120</v>
      </c>
      <c r="AK117" s="2">
        <v>3</v>
      </c>
      <c r="AL117" s="2" t="s">
        <v>633</v>
      </c>
      <c r="AM117" s="2">
        <v>0</v>
      </c>
      <c r="AN117" s="2">
        <v>0</v>
      </c>
      <c r="AO117" s="2">
        <v>1</v>
      </c>
      <c r="AP117" s="2">
        <v>0</v>
      </c>
      <c r="AQ117" s="2">
        <v>0</v>
      </c>
      <c r="AR117" s="2">
        <v>0</v>
      </c>
      <c r="AS117" s="2">
        <v>0</v>
      </c>
      <c r="AT117" s="2">
        <v>0</v>
      </c>
      <c r="AZ117" s="2" t="s">
        <v>1468</v>
      </c>
      <c r="BB117" s="2" t="str">
        <f>+PROPER(BD[[#This Row],[PRIMER_APELLIDO]])</f>
        <v>Gomez</v>
      </c>
    </row>
    <row r="118" spans="1:54" x14ac:dyDescent="0.25">
      <c r="A118" s="2">
        <v>117</v>
      </c>
      <c r="B118" s="2">
        <v>58984</v>
      </c>
      <c r="C118" s="2" t="s">
        <v>619</v>
      </c>
      <c r="D118" s="2" t="s">
        <v>620</v>
      </c>
      <c r="E118" s="2" t="s">
        <v>1469</v>
      </c>
      <c r="G118" s="3">
        <v>35.364383561643834</v>
      </c>
      <c r="H118" s="2" t="s">
        <v>622</v>
      </c>
      <c r="I118" s="2" t="s">
        <v>1470</v>
      </c>
      <c r="J118" s="2" t="str">
        <f>+IF(BD[[#This Row],[DEPARTAMENTO_INSS]]="MANAGUA","_01_","_02_")</f>
        <v>_01_</v>
      </c>
      <c r="K118" s="2" t="str">
        <f>+CONCATENATE(BD[[#This Row],[Columna3]],BD[[#This Row],[Columna4]],BD[[#This Row],[NOMBRE COMPLETO]])</f>
        <v>E003_01_GRICELDA MARIA HERNANDEZ VILLANUEVA</v>
      </c>
      <c r="L118" s="2" t="s">
        <v>1471</v>
      </c>
      <c r="M118" s="2" t="s">
        <v>724</v>
      </c>
      <c r="N118" s="2" t="s">
        <v>11</v>
      </c>
      <c r="O118" s="2" t="s">
        <v>1308</v>
      </c>
      <c r="P118" s="2" t="s">
        <v>626</v>
      </c>
      <c r="Q118" s="2" t="s">
        <v>351</v>
      </c>
      <c r="R118" s="2">
        <v>31888</v>
      </c>
      <c r="S118" s="2">
        <v>31888</v>
      </c>
      <c r="T118" s="2" t="s">
        <v>627</v>
      </c>
      <c r="U118" s="2" t="s">
        <v>627</v>
      </c>
      <c r="V118" s="2" t="s">
        <v>627</v>
      </c>
      <c r="W118" s="2" t="s">
        <v>627</v>
      </c>
      <c r="X118" s="2" t="s">
        <v>1472</v>
      </c>
      <c r="Y118" s="2" t="s">
        <v>1473</v>
      </c>
      <c r="Z118" s="2" t="s">
        <v>1474</v>
      </c>
      <c r="AA118" s="2" t="s">
        <v>1475</v>
      </c>
      <c r="AB118" s="2" t="s">
        <v>1330</v>
      </c>
      <c r="AC118" s="2" t="s">
        <v>632</v>
      </c>
      <c r="AE118" s="2">
        <v>85080695</v>
      </c>
      <c r="AF118" s="2">
        <v>86821065</v>
      </c>
      <c r="AG118" s="2">
        <v>78355180</v>
      </c>
      <c r="AJ118" s="2">
        <v>85080695</v>
      </c>
      <c r="AK118" s="2">
        <v>4</v>
      </c>
      <c r="AL118" s="2" t="s">
        <v>633</v>
      </c>
      <c r="AM118" s="2">
        <v>0</v>
      </c>
      <c r="AN118" s="2">
        <v>0</v>
      </c>
      <c r="AO118" s="2">
        <v>1</v>
      </c>
      <c r="AP118" s="2">
        <v>0</v>
      </c>
      <c r="AQ118" s="2">
        <v>0</v>
      </c>
      <c r="AR118" s="2">
        <v>0</v>
      </c>
      <c r="AS118" s="2">
        <v>0</v>
      </c>
      <c r="AT118" s="2">
        <v>0</v>
      </c>
      <c r="AZ118" s="2" t="s">
        <v>1476</v>
      </c>
      <c r="BB118" s="2" t="str">
        <f>+PROPER(BD[[#This Row],[PRIMER_APELLIDO]])</f>
        <v>Hernandez</v>
      </c>
    </row>
    <row r="119" spans="1:54" x14ac:dyDescent="0.25">
      <c r="A119" s="2">
        <v>118</v>
      </c>
      <c r="B119" s="2">
        <v>47316</v>
      </c>
      <c r="C119" s="2" t="s">
        <v>619</v>
      </c>
      <c r="D119" s="2" t="s">
        <v>620</v>
      </c>
      <c r="E119" s="2" t="s">
        <v>1477</v>
      </c>
      <c r="F119" s="2">
        <v>23144198</v>
      </c>
      <c r="G119" s="3">
        <v>35.369863013698627</v>
      </c>
      <c r="H119" s="2" t="s">
        <v>622</v>
      </c>
      <c r="I119" s="2" t="s">
        <v>1478</v>
      </c>
      <c r="J119" s="2" t="str">
        <f>+IF(BD[[#This Row],[DEPARTAMENTO_INSS]]="MANAGUA","_01_","_02_")</f>
        <v>_02_</v>
      </c>
      <c r="K119" s="2" t="str">
        <f>+CONCATENATE(BD[[#This Row],[Columna3]],BD[[#This Row],[Columna4]],BD[[#This Row],[NOMBRE COMPLETO]])</f>
        <v>E003_02_EDGARD ENRIQUE TREJOS GARCIA</v>
      </c>
      <c r="L119" s="2" t="s">
        <v>1479</v>
      </c>
      <c r="M119" s="2" t="s">
        <v>1480</v>
      </c>
      <c r="N119" s="2" t="s">
        <v>136</v>
      </c>
      <c r="O119" s="2" t="s">
        <v>10</v>
      </c>
      <c r="P119" s="2" t="s">
        <v>649</v>
      </c>
      <c r="Q119" s="2" t="s">
        <v>351</v>
      </c>
      <c r="R119" s="2">
        <v>31886</v>
      </c>
      <c r="S119" s="2">
        <v>31886</v>
      </c>
      <c r="T119" s="2" t="s">
        <v>627</v>
      </c>
      <c r="U119" s="2" t="s">
        <v>732</v>
      </c>
      <c r="V119" s="2" t="s">
        <v>627</v>
      </c>
      <c r="W119" s="2" t="s">
        <v>732</v>
      </c>
      <c r="X119" s="2" t="s">
        <v>1481</v>
      </c>
      <c r="Y119" s="2" t="s">
        <v>1482</v>
      </c>
      <c r="AA119" s="2">
        <v>25223727</v>
      </c>
      <c r="AB119" s="2" t="s">
        <v>654</v>
      </c>
      <c r="AC119" s="2" t="s">
        <v>632</v>
      </c>
      <c r="AK119" s="2">
        <v>1</v>
      </c>
      <c r="AL119" s="2" t="s">
        <v>633</v>
      </c>
      <c r="AM119" s="2">
        <v>0</v>
      </c>
      <c r="AN119" s="2">
        <v>0</v>
      </c>
      <c r="AO119" s="2">
        <v>1</v>
      </c>
      <c r="AP119" s="2">
        <v>0</v>
      </c>
      <c r="AQ119" s="2">
        <v>0</v>
      </c>
      <c r="AR119" s="2">
        <v>0</v>
      </c>
      <c r="AS119" s="2">
        <v>0</v>
      </c>
      <c r="AT119" s="2">
        <v>0</v>
      </c>
      <c r="BB119" s="2" t="str">
        <f>+PROPER(BD[[#This Row],[PRIMER_APELLIDO]])</f>
        <v>Trejos</v>
      </c>
    </row>
    <row r="120" spans="1:54" x14ac:dyDescent="0.25">
      <c r="A120" s="2">
        <v>119</v>
      </c>
      <c r="B120" s="2">
        <v>40709</v>
      </c>
      <c r="C120" s="2" t="s">
        <v>619</v>
      </c>
      <c r="D120" s="2" t="s">
        <v>620</v>
      </c>
      <c r="E120" s="2" t="s">
        <v>1483</v>
      </c>
      <c r="F120" s="2">
        <v>23143333</v>
      </c>
      <c r="G120" s="3">
        <v>35.375342465753427</v>
      </c>
      <c r="H120" s="2" t="s">
        <v>622</v>
      </c>
      <c r="I120" s="2" t="s">
        <v>1484</v>
      </c>
      <c r="J120" s="2" t="str">
        <f>+IF(BD[[#This Row],[DEPARTAMENTO_INSS]]="MANAGUA","_01_","_02_")</f>
        <v>_02_</v>
      </c>
      <c r="K120" s="2" t="str">
        <f>+CONCATENATE(BD[[#This Row],[Columna3]],BD[[#This Row],[Columna4]],BD[[#This Row],[NOMBRE COMPLETO]])</f>
        <v>E003_02_JUANA DEL SOCORRO RAMIREZ NAVARRETE</v>
      </c>
      <c r="L120" s="2" t="s">
        <v>1485</v>
      </c>
      <c r="M120" s="2" t="s">
        <v>787</v>
      </c>
      <c r="N120" s="2" t="s">
        <v>38</v>
      </c>
      <c r="O120" s="2" t="s">
        <v>276</v>
      </c>
      <c r="P120" s="2" t="s">
        <v>626</v>
      </c>
      <c r="Q120" s="2" t="s">
        <v>351</v>
      </c>
      <c r="R120" s="2">
        <v>31884</v>
      </c>
      <c r="S120" s="2">
        <v>31884</v>
      </c>
      <c r="T120" s="2" t="s">
        <v>176</v>
      </c>
      <c r="U120" s="2" t="s">
        <v>176</v>
      </c>
      <c r="V120" s="2" t="s">
        <v>650</v>
      </c>
      <c r="W120" s="2" t="s">
        <v>176</v>
      </c>
      <c r="X120" s="2" t="s">
        <v>1486</v>
      </c>
      <c r="Y120" s="2" t="s">
        <v>1487</v>
      </c>
      <c r="AA120" s="2">
        <v>57069054</v>
      </c>
      <c r="AB120" s="2" t="s">
        <v>654</v>
      </c>
      <c r="AC120" s="2" t="s">
        <v>632</v>
      </c>
      <c r="AD120" s="2">
        <v>57069054</v>
      </c>
      <c r="AJ120" s="2">
        <v>57069054</v>
      </c>
      <c r="AK120" s="2">
        <v>1</v>
      </c>
      <c r="AL120" s="2" t="s">
        <v>633</v>
      </c>
      <c r="AM120" s="2">
        <v>0</v>
      </c>
      <c r="AN120" s="2">
        <v>0</v>
      </c>
      <c r="AO120" s="2">
        <v>1</v>
      </c>
      <c r="AP120" s="2">
        <v>0</v>
      </c>
      <c r="AQ120" s="2">
        <v>0</v>
      </c>
      <c r="AR120" s="2">
        <v>0</v>
      </c>
      <c r="AS120" s="2">
        <v>0</v>
      </c>
      <c r="AT120" s="2">
        <v>0</v>
      </c>
      <c r="BB120" s="2" t="str">
        <f>+PROPER(BD[[#This Row],[PRIMER_APELLIDO]])</f>
        <v>Ramirez</v>
      </c>
    </row>
    <row r="121" spans="1:54" x14ac:dyDescent="0.25">
      <c r="A121" s="2">
        <v>120</v>
      </c>
      <c r="B121" s="2">
        <v>29844</v>
      </c>
      <c r="C121" s="2" t="s">
        <v>619</v>
      </c>
      <c r="D121" s="2" t="s">
        <v>620</v>
      </c>
      <c r="E121" s="2" t="s">
        <v>1488</v>
      </c>
      <c r="F121" s="2">
        <v>32301245</v>
      </c>
      <c r="G121" s="3">
        <v>35.37808219178082</v>
      </c>
      <c r="H121" s="2" t="s">
        <v>622</v>
      </c>
      <c r="I121" s="2" t="s">
        <v>1489</v>
      </c>
      <c r="J121" s="2" t="str">
        <f>+IF(BD[[#This Row],[DEPARTAMENTO_INSS]]="MANAGUA","_01_","_02_")</f>
        <v>_01_</v>
      </c>
      <c r="K121" s="2" t="str">
        <f>+CONCATENATE(BD[[#This Row],[Columna3]],BD[[#This Row],[Columna4]],BD[[#This Row],[NOMBRE COMPLETO]])</f>
        <v>E003_01_JESSICA CAROLINA ARGUELLO BALLADARES</v>
      </c>
      <c r="L121" s="2" t="s">
        <v>1490</v>
      </c>
      <c r="M121" s="2" t="s">
        <v>714</v>
      </c>
      <c r="N121" s="2" t="s">
        <v>271</v>
      </c>
      <c r="O121" s="2" t="s">
        <v>328</v>
      </c>
      <c r="P121" s="2" t="s">
        <v>626</v>
      </c>
      <c r="Q121" s="2" t="s">
        <v>351</v>
      </c>
      <c r="R121" s="2">
        <v>31883</v>
      </c>
      <c r="S121" s="2">
        <v>31883</v>
      </c>
      <c r="T121" s="2" t="s">
        <v>627</v>
      </c>
      <c r="U121" s="2" t="s">
        <v>627</v>
      </c>
      <c r="V121" s="2" t="s">
        <v>627</v>
      </c>
      <c r="W121" s="2" t="s">
        <v>627</v>
      </c>
      <c r="X121" s="2" t="s">
        <v>1491</v>
      </c>
      <c r="Y121" s="2" t="s">
        <v>1492</v>
      </c>
      <c r="Z121" s="2">
        <v>89446599</v>
      </c>
      <c r="AB121" s="2" t="s">
        <v>642</v>
      </c>
      <c r="AC121" s="2" t="s">
        <v>632</v>
      </c>
      <c r="AD121" s="2">
        <v>89446599</v>
      </c>
      <c r="AJ121" s="2">
        <v>89446599</v>
      </c>
      <c r="AK121" s="2">
        <v>1</v>
      </c>
      <c r="AL121" s="2" t="s">
        <v>633</v>
      </c>
      <c r="AM121" s="2">
        <v>0</v>
      </c>
      <c r="AN121" s="2">
        <v>0</v>
      </c>
      <c r="AO121" s="2">
        <v>1</v>
      </c>
      <c r="AP121" s="2">
        <v>0</v>
      </c>
      <c r="AQ121" s="2">
        <v>0</v>
      </c>
      <c r="AR121" s="2">
        <v>0</v>
      </c>
      <c r="AS121" s="2">
        <v>0</v>
      </c>
      <c r="AT121" s="2">
        <v>0</v>
      </c>
      <c r="AZ121" s="2" t="s">
        <v>1493</v>
      </c>
      <c r="BB121" s="2" t="str">
        <f>+PROPER(BD[[#This Row],[PRIMER_APELLIDO]])</f>
        <v>Arguello</v>
      </c>
    </row>
    <row r="122" spans="1:54" x14ac:dyDescent="0.25">
      <c r="A122" s="2">
        <v>121</v>
      </c>
      <c r="B122" s="2">
        <v>39022</v>
      </c>
      <c r="C122" s="2" t="s">
        <v>619</v>
      </c>
      <c r="D122" s="2" t="s">
        <v>620</v>
      </c>
      <c r="E122" s="2" t="s">
        <v>1494</v>
      </c>
      <c r="F122" s="2">
        <v>18514982</v>
      </c>
      <c r="G122" s="3">
        <v>35.37808219178082</v>
      </c>
      <c r="H122" s="2" t="s">
        <v>622</v>
      </c>
      <c r="I122" s="2" t="s">
        <v>1495</v>
      </c>
      <c r="J122" s="2" t="str">
        <f>+IF(BD[[#This Row],[DEPARTAMENTO_INSS]]="MANAGUA","_01_","_02_")</f>
        <v>_01_</v>
      </c>
      <c r="K122" s="2" t="str">
        <f>+CONCATENATE(BD[[#This Row],[Columna3]],BD[[#This Row],[Columna4]],BD[[#This Row],[NOMBRE COMPLETO]])</f>
        <v>E003_01_OTONIEL NEFTALI REYES LARIOS</v>
      </c>
      <c r="L122" s="2" t="s">
        <v>1496</v>
      </c>
      <c r="M122" s="2" t="s">
        <v>1497</v>
      </c>
      <c r="N122" s="2" t="s">
        <v>74</v>
      </c>
      <c r="O122" s="2" t="s">
        <v>512</v>
      </c>
      <c r="P122" s="2" t="s">
        <v>649</v>
      </c>
      <c r="Q122" s="2" t="s">
        <v>351</v>
      </c>
      <c r="R122" s="2">
        <v>31883</v>
      </c>
      <c r="S122" s="2">
        <v>31883</v>
      </c>
      <c r="T122" s="2" t="s">
        <v>627</v>
      </c>
      <c r="U122" s="2" t="s">
        <v>627</v>
      </c>
      <c r="V122" s="2" t="s">
        <v>1498</v>
      </c>
      <c r="W122" s="2" t="s">
        <v>692</v>
      </c>
      <c r="X122" s="2" t="s">
        <v>1499</v>
      </c>
      <c r="Y122" s="2" t="s">
        <v>1500</v>
      </c>
      <c r="AA122" s="2" t="s">
        <v>1501</v>
      </c>
      <c r="AB122" s="2" t="s">
        <v>654</v>
      </c>
      <c r="AC122" s="2" t="s">
        <v>632</v>
      </c>
      <c r="AE122" s="2">
        <v>85903555</v>
      </c>
      <c r="AJ122" s="2">
        <v>85903555</v>
      </c>
      <c r="AK122" s="2">
        <v>2</v>
      </c>
      <c r="AL122" s="2" t="s">
        <v>633</v>
      </c>
      <c r="AM122" s="2">
        <v>0</v>
      </c>
      <c r="AN122" s="2">
        <v>0</v>
      </c>
      <c r="AO122" s="2">
        <v>1</v>
      </c>
      <c r="AP122" s="2">
        <v>0</v>
      </c>
      <c r="AQ122" s="2">
        <v>0</v>
      </c>
      <c r="AR122" s="2">
        <v>0</v>
      </c>
      <c r="AS122" s="2">
        <v>0</v>
      </c>
      <c r="AT122" s="2">
        <v>0</v>
      </c>
      <c r="BA122" s="2" t="s">
        <v>1502</v>
      </c>
      <c r="BB122" s="2" t="str">
        <f>+PROPER(BD[[#This Row],[PRIMER_APELLIDO]])</f>
        <v>Reyes</v>
      </c>
    </row>
    <row r="123" spans="1:54" x14ac:dyDescent="0.25">
      <c r="A123" s="2">
        <v>122</v>
      </c>
      <c r="B123" s="2">
        <v>48184</v>
      </c>
      <c r="C123" s="2" t="s">
        <v>619</v>
      </c>
      <c r="D123" s="2" t="s">
        <v>620</v>
      </c>
      <c r="E123" s="2" t="s">
        <v>1503</v>
      </c>
      <c r="F123" s="2">
        <v>25623895</v>
      </c>
      <c r="G123" s="3">
        <v>35.38356164383562</v>
      </c>
      <c r="H123" s="2" t="s">
        <v>622</v>
      </c>
      <c r="I123" s="2" t="s">
        <v>1504</v>
      </c>
      <c r="J123" s="2" t="str">
        <f>+IF(BD[[#This Row],[DEPARTAMENTO_INSS]]="MANAGUA","_01_","_02_")</f>
        <v>_02_</v>
      </c>
      <c r="K123" s="2" t="str">
        <f>+CONCATENATE(BD[[#This Row],[Columna3]],BD[[#This Row],[Columna4]],BD[[#This Row],[NOMBRE COMPLETO]])</f>
        <v>E003_02_CARLOS DIONICIO MUNGUIA FLORES</v>
      </c>
      <c r="L123" s="2" t="s">
        <v>826</v>
      </c>
      <c r="M123" s="2" t="s">
        <v>1505</v>
      </c>
      <c r="N123" s="2" t="s">
        <v>197</v>
      </c>
      <c r="O123" s="2" t="s">
        <v>58</v>
      </c>
      <c r="P123" s="2" t="s">
        <v>649</v>
      </c>
      <c r="Q123" s="2" t="s">
        <v>351</v>
      </c>
      <c r="R123" s="2">
        <v>31881</v>
      </c>
      <c r="S123" s="2">
        <v>31881</v>
      </c>
      <c r="T123" s="2" t="s">
        <v>186</v>
      </c>
      <c r="U123" s="2" t="s">
        <v>186</v>
      </c>
      <c r="V123" s="2" t="s">
        <v>1150</v>
      </c>
      <c r="W123" s="2" t="s">
        <v>1150</v>
      </c>
      <c r="X123" s="2" t="s">
        <v>1506</v>
      </c>
      <c r="Y123" s="2" t="s">
        <v>1507</v>
      </c>
      <c r="AA123" s="2">
        <v>86256978</v>
      </c>
      <c r="AB123" s="2" t="s">
        <v>654</v>
      </c>
      <c r="AC123" s="2" t="s">
        <v>632</v>
      </c>
      <c r="AD123" s="2">
        <v>86256978</v>
      </c>
      <c r="AJ123" s="2">
        <v>86256978</v>
      </c>
      <c r="AK123" s="2">
        <v>1</v>
      </c>
      <c r="AL123" s="2" t="s">
        <v>633</v>
      </c>
      <c r="AM123" s="2">
        <v>0</v>
      </c>
      <c r="AN123" s="2">
        <v>0</v>
      </c>
      <c r="AO123" s="2">
        <v>1</v>
      </c>
      <c r="AP123" s="2">
        <v>0</v>
      </c>
      <c r="AQ123" s="2">
        <v>0</v>
      </c>
      <c r="AR123" s="2">
        <v>0</v>
      </c>
      <c r="AS123" s="2">
        <v>0</v>
      </c>
      <c r="AT123" s="2">
        <v>0</v>
      </c>
      <c r="BA123" s="2" t="s">
        <v>1508</v>
      </c>
      <c r="BB123" s="2" t="str">
        <f>+PROPER(BD[[#This Row],[PRIMER_APELLIDO]])</f>
        <v>Munguia</v>
      </c>
    </row>
    <row r="124" spans="1:54" x14ac:dyDescent="0.25">
      <c r="A124" s="2">
        <v>123</v>
      </c>
      <c r="B124" s="2">
        <v>43679</v>
      </c>
      <c r="C124" s="2" t="s">
        <v>619</v>
      </c>
      <c r="D124" s="2" t="s">
        <v>620</v>
      </c>
      <c r="E124" s="2" t="s">
        <v>1509</v>
      </c>
      <c r="F124" s="2">
        <v>24242295</v>
      </c>
      <c r="G124" s="3">
        <v>35.391780821917806</v>
      </c>
      <c r="H124" s="2" t="s">
        <v>622</v>
      </c>
      <c r="I124" s="2" t="s">
        <v>1510</v>
      </c>
      <c r="J124" s="2" t="str">
        <f>+IF(BD[[#This Row],[DEPARTAMENTO_INSS]]="MANAGUA","_01_","_02_")</f>
        <v>_02_</v>
      </c>
      <c r="K124" s="2" t="str">
        <f>+CONCATENATE(BD[[#This Row],[Columna3]],BD[[#This Row],[Columna4]],BD[[#This Row],[NOMBRE COMPLETO]])</f>
        <v>E003_02_RUDY MOISES LOPEZ HERNANDEZ</v>
      </c>
      <c r="L124" s="2" t="s">
        <v>1511</v>
      </c>
      <c r="M124" s="2" t="s">
        <v>1512</v>
      </c>
      <c r="N124" s="2" t="s">
        <v>15</v>
      </c>
      <c r="O124" s="2" t="s">
        <v>11</v>
      </c>
      <c r="P124" s="2" t="s">
        <v>649</v>
      </c>
      <c r="Q124" s="2" t="s">
        <v>351</v>
      </c>
      <c r="R124" s="2">
        <v>31878</v>
      </c>
      <c r="S124" s="2">
        <v>31878</v>
      </c>
      <c r="T124" s="2" t="s">
        <v>705</v>
      </c>
      <c r="U124" s="2" t="s">
        <v>705</v>
      </c>
      <c r="V124" s="2" t="s">
        <v>705</v>
      </c>
      <c r="W124" s="2" t="s">
        <v>705</v>
      </c>
      <c r="X124" s="2" t="s">
        <v>1513</v>
      </c>
      <c r="Y124" s="2" t="s">
        <v>1514</v>
      </c>
      <c r="Z124" s="2">
        <v>85787797</v>
      </c>
      <c r="AA124" s="2">
        <v>85587797</v>
      </c>
      <c r="AB124" s="2" t="s">
        <v>654</v>
      </c>
      <c r="AC124" s="2" t="s">
        <v>632</v>
      </c>
      <c r="AD124" s="2">
        <v>85787797</v>
      </c>
      <c r="AF124" s="2">
        <v>85587797</v>
      </c>
      <c r="AJ124" s="2">
        <v>85787797</v>
      </c>
      <c r="AK124" s="2">
        <v>2</v>
      </c>
      <c r="AL124" s="2" t="s">
        <v>633</v>
      </c>
      <c r="AM124" s="2">
        <v>0</v>
      </c>
      <c r="AN124" s="2">
        <v>0</v>
      </c>
      <c r="AO124" s="2">
        <v>1</v>
      </c>
      <c r="AP124" s="2">
        <v>0</v>
      </c>
      <c r="AQ124" s="2">
        <v>0</v>
      </c>
      <c r="AR124" s="2">
        <v>0</v>
      </c>
      <c r="AS124" s="2">
        <v>0</v>
      </c>
      <c r="AT124" s="2">
        <v>0</v>
      </c>
      <c r="BB124" s="2" t="str">
        <f>+PROPER(BD[[#This Row],[PRIMER_APELLIDO]])</f>
        <v>Lopez</v>
      </c>
    </row>
    <row r="125" spans="1:54" x14ac:dyDescent="0.25">
      <c r="A125" s="2">
        <v>124</v>
      </c>
      <c r="B125" s="2">
        <v>58600</v>
      </c>
      <c r="C125" s="2" t="s">
        <v>619</v>
      </c>
      <c r="D125" s="2" t="s">
        <v>620</v>
      </c>
      <c r="E125" s="2" t="s">
        <v>1515</v>
      </c>
      <c r="G125" s="3">
        <v>35.391780821917806</v>
      </c>
      <c r="H125" s="2" t="s">
        <v>622</v>
      </c>
      <c r="I125" s="2" t="s">
        <v>1516</v>
      </c>
      <c r="J125" s="2" t="str">
        <f>+IF(BD[[#This Row],[DEPARTAMENTO_INSS]]="MANAGUA","_01_","_02_")</f>
        <v>_02_</v>
      </c>
      <c r="K125" s="2" t="str">
        <f>+CONCATENATE(BD[[#This Row],[Columna3]],BD[[#This Row],[Columna4]],BD[[#This Row],[NOMBRE COMPLETO]])</f>
        <v>E003_02_FLOR DE MARIA PEREZ CASTILBLANCO</v>
      </c>
      <c r="L125" s="2" t="s">
        <v>1517</v>
      </c>
      <c r="M125" s="2" t="s">
        <v>1518</v>
      </c>
      <c r="N125" s="2" t="s">
        <v>24</v>
      </c>
      <c r="O125" s="2" t="s">
        <v>1519</v>
      </c>
      <c r="P125" s="2" t="s">
        <v>626</v>
      </c>
      <c r="Q125" s="2" t="s">
        <v>351</v>
      </c>
      <c r="R125" s="2">
        <v>31878</v>
      </c>
      <c r="S125" s="2">
        <v>31878</v>
      </c>
      <c r="T125" s="2" t="s">
        <v>691</v>
      </c>
      <c r="U125" s="2" t="s">
        <v>691</v>
      </c>
      <c r="V125" s="2" t="s">
        <v>716</v>
      </c>
      <c r="W125" s="2" t="s">
        <v>691</v>
      </c>
      <c r="X125" s="2" t="s">
        <v>1520</v>
      </c>
      <c r="Y125" s="2" t="s">
        <v>1521</v>
      </c>
      <c r="Z125" s="2">
        <v>85408322</v>
      </c>
      <c r="AB125" s="2" t="s">
        <v>631</v>
      </c>
      <c r="AC125" s="2" t="s">
        <v>632</v>
      </c>
      <c r="AD125" s="2">
        <v>85408322</v>
      </c>
      <c r="AJ125" s="2">
        <v>85408322</v>
      </c>
      <c r="AK125" s="2">
        <v>1</v>
      </c>
      <c r="AL125" s="2" t="s">
        <v>633</v>
      </c>
      <c r="AM125" s="2">
        <v>0</v>
      </c>
      <c r="AN125" s="2">
        <v>0</v>
      </c>
      <c r="AO125" s="2">
        <v>1</v>
      </c>
      <c r="AP125" s="2">
        <v>0</v>
      </c>
      <c r="AQ125" s="2">
        <v>0</v>
      </c>
      <c r="AR125" s="2">
        <v>0</v>
      </c>
      <c r="AS125" s="2">
        <v>0</v>
      </c>
      <c r="AT125" s="2">
        <v>0</v>
      </c>
      <c r="AZ125" s="2" t="s">
        <v>1522</v>
      </c>
      <c r="BB125" s="2" t="str">
        <f>+PROPER(BD[[#This Row],[PRIMER_APELLIDO]])</f>
        <v>Perez</v>
      </c>
    </row>
    <row r="126" spans="1:54" x14ac:dyDescent="0.25">
      <c r="A126" s="2">
        <v>125</v>
      </c>
      <c r="B126" s="2">
        <v>40099</v>
      </c>
      <c r="C126" s="2" t="s">
        <v>619</v>
      </c>
      <c r="D126" s="2" t="s">
        <v>620</v>
      </c>
      <c r="E126" s="2" t="s">
        <v>1523</v>
      </c>
      <c r="F126" s="2">
        <v>23147016</v>
      </c>
      <c r="G126" s="3">
        <v>35.397260273972606</v>
      </c>
      <c r="H126" s="2" t="s">
        <v>622</v>
      </c>
      <c r="I126" s="2" t="s">
        <v>1524</v>
      </c>
      <c r="J126" s="2" t="str">
        <f>+IF(BD[[#This Row],[DEPARTAMENTO_INSS]]="MANAGUA","_01_","_02_")</f>
        <v>_02_</v>
      </c>
      <c r="K126" s="2" t="str">
        <f>+CONCATENATE(BD[[#This Row],[Columna3]],BD[[#This Row],[Columna4]],BD[[#This Row],[NOMBRE COMPLETO]])</f>
        <v>E003_02_MARJORIE TERESA RUIZ NARVAEZ</v>
      </c>
      <c r="L126" s="2" t="s">
        <v>846</v>
      </c>
      <c r="M126" s="2" t="s">
        <v>1525</v>
      </c>
      <c r="N126" s="2" t="s">
        <v>84</v>
      </c>
      <c r="O126" s="2" t="s">
        <v>121</v>
      </c>
      <c r="P126" s="2" t="s">
        <v>626</v>
      </c>
      <c r="Q126" s="2" t="s">
        <v>351</v>
      </c>
      <c r="R126" s="2">
        <v>31876</v>
      </c>
      <c r="S126" s="2">
        <v>31876</v>
      </c>
      <c r="T126" s="2" t="s">
        <v>176</v>
      </c>
      <c r="U126" s="2" t="s">
        <v>176</v>
      </c>
      <c r="V126" s="2" t="s">
        <v>650</v>
      </c>
      <c r="W126" s="2" t="s">
        <v>176</v>
      </c>
      <c r="X126" s="2" t="s">
        <v>1526</v>
      </c>
      <c r="Y126" s="2" t="s">
        <v>1527</v>
      </c>
      <c r="Z126" s="2">
        <v>82366058</v>
      </c>
      <c r="AA126" s="2">
        <v>82366058</v>
      </c>
      <c r="AB126" s="2" t="s">
        <v>642</v>
      </c>
      <c r="AC126" s="2" t="s">
        <v>632</v>
      </c>
      <c r="AD126" s="2">
        <v>82366058</v>
      </c>
      <c r="AJ126" s="2">
        <v>82366058</v>
      </c>
      <c r="AK126" s="2">
        <v>2</v>
      </c>
      <c r="AL126" s="2" t="s">
        <v>633</v>
      </c>
      <c r="AM126" s="2">
        <v>0</v>
      </c>
      <c r="AN126" s="2">
        <v>0</v>
      </c>
      <c r="AO126" s="2">
        <v>1</v>
      </c>
      <c r="AP126" s="2">
        <v>0</v>
      </c>
      <c r="AQ126" s="2">
        <v>0</v>
      </c>
      <c r="AR126" s="2">
        <v>0</v>
      </c>
      <c r="AS126" s="2">
        <v>0</v>
      </c>
      <c r="AT126" s="2">
        <v>0</v>
      </c>
      <c r="AZ126" s="2" t="s">
        <v>1528</v>
      </c>
      <c r="BB126" s="2" t="str">
        <f>+PROPER(BD[[#This Row],[PRIMER_APELLIDO]])</f>
        <v>Ruiz</v>
      </c>
    </row>
    <row r="127" spans="1:54" x14ac:dyDescent="0.25">
      <c r="A127" s="2">
        <v>126</v>
      </c>
      <c r="B127" s="2">
        <v>54786</v>
      </c>
      <c r="C127" s="2" t="s">
        <v>619</v>
      </c>
      <c r="D127" s="2" t="s">
        <v>620</v>
      </c>
      <c r="E127" s="2" t="s">
        <v>1529</v>
      </c>
      <c r="G127" s="3">
        <v>35.397260273972606</v>
      </c>
      <c r="H127" s="2" t="s">
        <v>622</v>
      </c>
      <c r="I127" s="2" t="s">
        <v>1530</v>
      </c>
      <c r="J127" s="2" t="str">
        <f>+IF(BD[[#This Row],[DEPARTAMENTO_INSS]]="MANAGUA","_01_","_02_")</f>
        <v>_02_</v>
      </c>
      <c r="K127" s="2" t="str">
        <f>+CONCATENATE(BD[[#This Row],[Columna3]],BD[[#This Row],[Columna4]],BD[[#This Row],[NOMBRE COMPLETO]])</f>
        <v>E003_02_ROSA YERLIN VALLE MENDOZA</v>
      </c>
      <c r="L127" s="2" t="s">
        <v>667</v>
      </c>
      <c r="M127" s="2" t="s">
        <v>1531</v>
      </c>
      <c r="N127" s="2" t="s">
        <v>99</v>
      </c>
      <c r="O127" s="2" t="s">
        <v>9</v>
      </c>
      <c r="P127" s="2" t="s">
        <v>626</v>
      </c>
      <c r="Q127" s="2" t="s">
        <v>351</v>
      </c>
      <c r="R127" s="2">
        <v>31876</v>
      </c>
      <c r="S127" s="2">
        <v>31876</v>
      </c>
      <c r="T127" s="2" t="s">
        <v>1005</v>
      </c>
      <c r="U127" s="2" t="s">
        <v>705</v>
      </c>
      <c r="V127" s="2" t="s">
        <v>1184</v>
      </c>
      <c r="W127" s="2" t="s">
        <v>705</v>
      </c>
      <c r="X127" s="2" t="s">
        <v>1532</v>
      </c>
      <c r="Y127" s="2" t="s">
        <v>1533</v>
      </c>
      <c r="Z127" s="2">
        <v>57612180</v>
      </c>
      <c r="AA127" s="2">
        <v>57612180</v>
      </c>
      <c r="AB127" s="2" t="s">
        <v>631</v>
      </c>
      <c r="AC127" s="2" t="s">
        <v>632</v>
      </c>
      <c r="AD127" s="2">
        <v>57612180</v>
      </c>
      <c r="AJ127" s="2">
        <v>57612180</v>
      </c>
      <c r="AK127" s="2">
        <v>2</v>
      </c>
      <c r="AL127" s="2" t="s">
        <v>633</v>
      </c>
      <c r="AM127" s="2">
        <v>0</v>
      </c>
      <c r="AN127" s="2">
        <v>0</v>
      </c>
      <c r="AO127" s="2">
        <v>1</v>
      </c>
      <c r="AP127" s="2">
        <v>0</v>
      </c>
      <c r="AQ127" s="2">
        <v>0</v>
      </c>
      <c r="AR127" s="2">
        <v>0</v>
      </c>
      <c r="AS127" s="2">
        <v>0</v>
      </c>
      <c r="AT127" s="2">
        <v>0</v>
      </c>
      <c r="BB127" s="2" t="str">
        <f>+PROPER(BD[[#This Row],[PRIMER_APELLIDO]])</f>
        <v>Valle</v>
      </c>
    </row>
    <row r="128" spans="1:54" x14ac:dyDescent="0.25">
      <c r="A128" s="2">
        <v>127</v>
      </c>
      <c r="B128" s="2">
        <v>41881</v>
      </c>
      <c r="C128" s="2" t="s">
        <v>619</v>
      </c>
      <c r="D128" s="2" t="s">
        <v>620</v>
      </c>
      <c r="E128" s="2" t="s">
        <v>1534</v>
      </c>
      <c r="F128" s="2">
        <v>26325767</v>
      </c>
      <c r="G128" s="3">
        <v>35.4</v>
      </c>
      <c r="H128" s="2" t="s">
        <v>622</v>
      </c>
      <c r="I128" s="2" t="s">
        <v>1535</v>
      </c>
      <c r="J128" s="2" t="str">
        <f>+IF(BD[[#This Row],[DEPARTAMENTO_INSS]]="MANAGUA","_01_","_02_")</f>
        <v>_01_</v>
      </c>
      <c r="K128" s="2" t="str">
        <f>+CONCATENATE(BD[[#This Row],[Columna3]],BD[[#This Row],[Columna4]],BD[[#This Row],[NOMBRE COMPLETO]])</f>
        <v>E003_01_BERNARDO JHOEL RUIZ ZAPATA</v>
      </c>
      <c r="L128" s="2" t="s">
        <v>1536</v>
      </c>
      <c r="M128" s="2" t="s">
        <v>1537</v>
      </c>
      <c r="N128" s="2" t="s">
        <v>84</v>
      </c>
      <c r="O128" s="2" t="s">
        <v>222</v>
      </c>
      <c r="P128" s="2" t="s">
        <v>649</v>
      </c>
      <c r="Q128" s="2" t="s">
        <v>351</v>
      </c>
      <c r="R128" s="2">
        <v>31875</v>
      </c>
      <c r="S128" s="2">
        <v>31875</v>
      </c>
      <c r="T128" s="2" t="s">
        <v>705</v>
      </c>
      <c r="U128" s="2" t="s">
        <v>627</v>
      </c>
      <c r="V128" s="2" t="s">
        <v>1538</v>
      </c>
      <c r="W128" s="2" t="s">
        <v>627</v>
      </c>
      <c r="Y128" s="2" t="s">
        <v>1539</v>
      </c>
      <c r="AA128" s="2">
        <v>86770800</v>
      </c>
      <c r="AB128" s="2" t="s">
        <v>654</v>
      </c>
      <c r="AC128" s="2" t="s">
        <v>632</v>
      </c>
      <c r="AD128" s="2">
        <v>86770800</v>
      </c>
      <c r="AJ128" s="2">
        <v>86770800</v>
      </c>
      <c r="AK128" s="2">
        <v>1</v>
      </c>
      <c r="AL128" s="2" t="s">
        <v>633</v>
      </c>
      <c r="AM128" s="2">
        <v>0</v>
      </c>
      <c r="AN128" s="2">
        <v>0</v>
      </c>
      <c r="AO128" s="2">
        <v>1</v>
      </c>
      <c r="AP128" s="2">
        <v>0</v>
      </c>
      <c r="AQ128" s="2">
        <v>0</v>
      </c>
      <c r="AR128" s="2">
        <v>0</v>
      </c>
      <c r="AS128" s="2">
        <v>0</v>
      </c>
      <c r="AT128" s="2">
        <v>0</v>
      </c>
      <c r="BB128" s="2" t="str">
        <f>+PROPER(BD[[#This Row],[PRIMER_APELLIDO]])</f>
        <v>Ruiz</v>
      </c>
    </row>
    <row r="129" spans="1:54" x14ac:dyDescent="0.25">
      <c r="A129" s="2">
        <v>128</v>
      </c>
      <c r="B129" s="2">
        <v>52976</v>
      </c>
      <c r="C129" s="2" t="s">
        <v>619</v>
      </c>
      <c r="D129" s="2" t="s">
        <v>620</v>
      </c>
      <c r="E129" s="2" t="s">
        <v>1540</v>
      </c>
      <c r="F129" s="2">
        <v>26589415</v>
      </c>
      <c r="G129" s="3">
        <v>35.4</v>
      </c>
      <c r="H129" s="2" t="s">
        <v>622</v>
      </c>
      <c r="I129" s="2" t="s">
        <v>1541</v>
      </c>
      <c r="J129" s="2" t="str">
        <f>+IF(BD[[#This Row],[DEPARTAMENTO_INSS]]="MANAGUA","_01_","_02_")</f>
        <v>_02_</v>
      </c>
      <c r="K129" s="2" t="str">
        <f>+CONCATENATE(BD[[#This Row],[Columna3]],BD[[#This Row],[Columna4]],BD[[#This Row],[NOMBRE COMPLETO]])</f>
        <v>E003_02_JOSIAS OTONIEL ZAMORA</v>
      </c>
      <c r="L129" s="2" t="s">
        <v>1542</v>
      </c>
      <c r="M129" s="2" t="s">
        <v>1496</v>
      </c>
      <c r="N129" s="2" t="s">
        <v>149</v>
      </c>
      <c r="P129" s="2" t="s">
        <v>649</v>
      </c>
      <c r="Q129" s="2" t="s">
        <v>351</v>
      </c>
      <c r="R129" s="2">
        <v>31875</v>
      </c>
      <c r="S129" s="2">
        <v>31875</v>
      </c>
      <c r="T129" s="2" t="s">
        <v>705</v>
      </c>
      <c r="U129" s="2" t="s">
        <v>705</v>
      </c>
      <c r="V129" s="2" t="s">
        <v>705</v>
      </c>
      <c r="W129" s="2" t="s">
        <v>705</v>
      </c>
      <c r="X129" s="2" t="s">
        <v>1543</v>
      </c>
      <c r="Y129" s="2" t="s">
        <v>1544</v>
      </c>
      <c r="Z129" s="2">
        <v>84347925</v>
      </c>
      <c r="AB129" s="2" t="s">
        <v>798</v>
      </c>
      <c r="AC129" s="2" t="s">
        <v>632</v>
      </c>
      <c r="AD129" s="2">
        <v>84347925</v>
      </c>
      <c r="AJ129" s="2">
        <v>84347925</v>
      </c>
      <c r="AK129" s="2">
        <v>1</v>
      </c>
      <c r="AL129" s="2" t="s">
        <v>633</v>
      </c>
      <c r="AM129" s="2">
        <v>0</v>
      </c>
      <c r="AN129" s="2">
        <v>0</v>
      </c>
      <c r="AO129" s="2">
        <v>1</v>
      </c>
      <c r="AP129" s="2">
        <v>0</v>
      </c>
      <c r="AQ129" s="2">
        <v>0</v>
      </c>
      <c r="AR129" s="2">
        <v>0</v>
      </c>
      <c r="AS129" s="2">
        <v>0</v>
      </c>
      <c r="AT129" s="2">
        <v>0</v>
      </c>
      <c r="AZ129" s="2" t="s">
        <v>1545</v>
      </c>
      <c r="BB129" s="2" t="str">
        <f>+PROPER(BD[[#This Row],[PRIMER_APELLIDO]])</f>
        <v>Zamora</v>
      </c>
    </row>
    <row r="130" spans="1:54" x14ac:dyDescent="0.25">
      <c r="A130" s="2">
        <v>129</v>
      </c>
      <c r="B130" s="2">
        <v>39352</v>
      </c>
      <c r="C130" s="2" t="s">
        <v>619</v>
      </c>
      <c r="D130" s="2" t="s">
        <v>620</v>
      </c>
      <c r="E130" s="2" t="s">
        <v>1546</v>
      </c>
      <c r="F130" s="2">
        <v>23141339</v>
      </c>
      <c r="G130" s="3">
        <v>35.402739726027399</v>
      </c>
      <c r="H130" s="2" t="s">
        <v>622</v>
      </c>
      <c r="I130" s="2" t="s">
        <v>1547</v>
      </c>
      <c r="J130" s="2" t="str">
        <f>+IF(BD[[#This Row],[DEPARTAMENTO_INSS]]="MANAGUA","_01_","_02_")</f>
        <v>_02_</v>
      </c>
      <c r="K130" s="2" t="str">
        <f>+CONCATENATE(BD[[#This Row],[Columna3]],BD[[#This Row],[Columna4]],BD[[#This Row],[NOMBRE COMPLETO]])</f>
        <v>E003_02_CARLOS EDUARDO ALVARADO FIGUEROA</v>
      </c>
      <c r="L130" s="2" t="s">
        <v>826</v>
      </c>
      <c r="M130" s="2" t="s">
        <v>1548</v>
      </c>
      <c r="N130" s="2" t="s">
        <v>18</v>
      </c>
      <c r="O130" s="2" t="s">
        <v>517</v>
      </c>
      <c r="P130" s="2" t="s">
        <v>649</v>
      </c>
      <c r="Q130" s="2" t="s">
        <v>351</v>
      </c>
      <c r="R130" s="2">
        <v>31874</v>
      </c>
      <c r="S130" s="2">
        <v>31874</v>
      </c>
      <c r="T130" s="2" t="s">
        <v>176</v>
      </c>
      <c r="U130" s="2" t="s">
        <v>176</v>
      </c>
      <c r="V130" s="2" t="s">
        <v>650</v>
      </c>
      <c r="W130" s="2" t="s">
        <v>176</v>
      </c>
      <c r="X130" s="2" t="s">
        <v>1549</v>
      </c>
      <c r="Y130" s="2" t="s">
        <v>1550</v>
      </c>
      <c r="Z130" s="2">
        <v>57921477</v>
      </c>
      <c r="AA130" s="2">
        <v>23153402</v>
      </c>
      <c r="AB130" s="2" t="s">
        <v>654</v>
      </c>
      <c r="AC130" s="2" t="s">
        <v>632</v>
      </c>
      <c r="AD130" s="2">
        <v>57921477</v>
      </c>
      <c r="AJ130" s="2">
        <v>57921477</v>
      </c>
      <c r="AK130" s="2">
        <v>2</v>
      </c>
      <c r="AL130" s="2" t="s">
        <v>633</v>
      </c>
      <c r="AM130" s="2">
        <v>0</v>
      </c>
      <c r="AN130" s="2">
        <v>0</v>
      </c>
      <c r="AO130" s="2">
        <v>1</v>
      </c>
      <c r="AP130" s="2">
        <v>0</v>
      </c>
      <c r="AQ130" s="2">
        <v>0</v>
      </c>
      <c r="AR130" s="2">
        <v>0</v>
      </c>
      <c r="AS130" s="2">
        <v>0</v>
      </c>
      <c r="AT130" s="2">
        <v>0</v>
      </c>
      <c r="AZ130" s="2" t="s">
        <v>1551</v>
      </c>
      <c r="BB130" s="2" t="str">
        <f>+PROPER(BD[[#This Row],[PRIMER_APELLIDO]])</f>
        <v>Alvarado</v>
      </c>
    </row>
    <row r="131" spans="1:54" x14ac:dyDescent="0.25">
      <c r="A131" s="2">
        <v>130</v>
      </c>
      <c r="B131" s="2">
        <v>33717</v>
      </c>
      <c r="C131" s="2" t="s">
        <v>619</v>
      </c>
      <c r="D131" s="2" t="s">
        <v>620</v>
      </c>
      <c r="E131" s="2" t="s">
        <v>1552</v>
      </c>
      <c r="F131" s="2">
        <v>26304894</v>
      </c>
      <c r="G131" s="3">
        <v>35.410958904109592</v>
      </c>
      <c r="H131" s="2" t="s">
        <v>622</v>
      </c>
      <c r="I131" s="2" t="s">
        <v>1553</v>
      </c>
      <c r="J131" s="2" t="str">
        <f>+IF(BD[[#This Row],[DEPARTAMENTO_INSS]]="MANAGUA","_01_","_02_")</f>
        <v>_02_</v>
      </c>
      <c r="K131" s="2" t="str">
        <f>+CONCATENATE(BD[[#This Row],[Columna3]],BD[[#This Row],[Columna4]],BD[[#This Row],[NOMBRE COMPLETO]])</f>
        <v>E003_02_ALEJANDRO CESAR GONZALEZ CASTRO</v>
      </c>
      <c r="L131" s="2" t="s">
        <v>1554</v>
      </c>
      <c r="M131" s="2" t="s">
        <v>1223</v>
      </c>
      <c r="N131" s="2" t="s">
        <v>14</v>
      </c>
      <c r="O131" s="2" t="s">
        <v>163</v>
      </c>
      <c r="P131" s="2" t="s">
        <v>649</v>
      </c>
      <c r="Q131" s="2" t="s">
        <v>351</v>
      </c>
      <c r="R131" s="2">
        <v>31871</v>
      </c>
      <c r="S131" s="2">
        <v>31871</v>
      </c>
      <c r="T131" s="2" t="s">
        <v>176</v>
      </c>
      <c r="U131" s="2" t="s">
        <v>176</v>
      </c>
      <c r="V131" s="2" t="s">
        <v>748</v>
      </c>
      <c r="W131" s="2" t="s">
        <v>748</v>
      </c>
      <c r="X131" s="2" t="s">
        <v>1555</v>
      </c>
      <c r="Y131" s="2" t="s">
        <v>1556</v>
      </c>
      <c r="AA131" s="2">
        <v>82111180</v>
      </c>
      <c r="AB131" s="2" t="s">
        <v>654</v>
      </c>
      <c r="AC131" s="2" t="s">
        <v>632</v>
      </c>
      <c r="AD131" s="2">
        <v>82111180</v>
      </c>
      <c r="AJ131" s="2">
        <v>82111180</v>
      </c>
      <c r="AK131" s="2">
        <v>1</v>
      </c>
      <c r="AL131" s="2" t="s">
        <v>633</v>
      </c>
      <c r="AM131" s="2">
        <v>0</v>
      </c>
      <c r="AN131" s="2">
        <v>0</v>
      </c>
      <c r="AO131" s="2">
        <v>1</v>
      </c>
      <c r="AP131" s="2">
        <v>0</v>
      </c>
      <c r="AQ131" s="2">
        <v>0</v>
      </c>
      <c r="AR131" s="2">
        <v>0</v>
      </c>
      <c r="AS131" s="2">
        <v>0</v>
      </c>
      <c r="AT131" s="2">
        <v>0</v>
      </c>
      <c r="BB131" s="2" t="str">
        <f>+PROPER(BD[[#This Row],[PRIMER_APELLIDO]])</f>
        <v>Gonzalez</v>
      </c>
    </row>
    <row r="132" spans="1:54" x14ac:dyDescent="0.25">
      <c r="A132" s="2">
        <v>131</v>
      </c>
      <c r="B132" s="2">
        <v>44168</v>
      </c>
      <c r="C132" s="2" t="s">
        <v>619</v>
      </c>
      <c r="D132" s="2" t="s">
        <v>620</v>
      </c>
      <c r="E132" s="2" t="s">
        <v>1557</v>
      </c>
      <c r="F132" s="2">
        <v>23960408</v>
      </c>
      <c r="G132" s="3">
        <v>35.410958904109592</v>
      </c>
      <c r="H132" s="2" t="s">
        <v>622</v>
      </c>
      <c r="I132" s="2" t="s">
        <v>1558</v>
      </c>
      <c r="J132" s="2" t="str">
        <f>+IF(BD[[#This Row],[DEPARTAMENTO_INSS]]="MANAGUA","_01_","_02_")</f>
        <v>_02_</v>
      </c>
      <c r="K132" s="2" t="str">
        <f>+CONCATENATE(BD[[#This Row],[Columna3]],BD[[#This Row],[Columna4]],BD[[#This Row],[NOMBRE COMPLETO]])</f>
        <v>E003_02_ARENA CINDY SEQUEIRA HERNANDEZ</v>
      </c>
      <c r="L132" s="2" t="s">
        <v>1559</v>
      </c>
      <c r="M132" s="2" t="s">
        <v>1560</v>
      </c>
      <c r="N132" s="2" t="s">
        <v>348</v>
      </c>
      <c r="O132" s="2" t="s">
        <v>11</v>
      </c>
      <c r="P132" s="2" t="s">
        <v>626</v>
      </c>
      <c r="Q132" s="2" t="s">
        <v>351</v>
      </c>
      <c r="R132" s="2">
        <v>31871</v>
      </c>
      <c r="S132" s="2">
        <v>31871</v>
      </c>
      <c r="T132" s="2" t="s">
        <v>669</v>
      </c>
      <c r="U132" s="2" t="s">
        <v>669</v>
      </c>
      <c r="V132" s="2" t="s">
        <v>1561</v>
      </c>
      <c r="W132" s="2" t="s">
        <v>669</v>
      </c>
      <c r="X132" s="2" t="s">
        <v>1562</v>
      </c>
      <c r="Y132" s="2" t="s">
        <v>1563</v>
      </c>
      <c r="Z132" s="2">
        <v>86025234</v>
      </c>
      <c r="AA132" s="2">
        <v>87013818</v>
      </c>
      <c r="AB132" s="2" t="s">
        <v>631</v>
      </c>
      <c r="AC132" s="2" t="s">
        <v>632</v>
      </c>
      <c r="AD132" s="2">
        <v>86025234</v>
      </c>
      <c r="AF132" s="2">
        <v>87013818</v>
      </c>
      <c r="AJ132" s="2">
        <v>86025234</v>
      </c>
      <c r="AK132" s="2">
        <v>2</v>
      </c>
      <c r="AL132" s="2" t="s">
        <v>633</v>
      </c>
      <c r="AM132" s="2">
        <v>0</v>
      </c>
      <c r="AN132" s="2">
        <v>0</v>
      </c>
      <c r="AO132" s="2">
        <v>1</v>
      </c>
      <c r="AP132" s="2">
        <v>0</v>
      </c>
      <c r="AQ132" s="2">
        <v>0</v>
      </c>
      <c r="AR132" s="2">
        <v>0</v>
      </c>
      <c r="AS132" s="2">
        <v>0</v>
      </c>
      <c r="AT132" s="2">
        <v>0</v>
      </c>
      <c r="AZ132" s="2" t="s">
        <v>1564</v>
      </c>
      <c r="BA132" s="2" t="s">
        <v>1564</v>
      </c>
      <c r="BB132" s="2" t="str">
        <f>+PROPER(BD[[#This Row],[PRIMER_APELLIDO]])</f>
        <v>Sequeira</v>
      </c>
    </row>
    <row r="133" spans="1:54" x14ac:dyDescent="0.25">
      <c r="A133" s="2">
        <v>132</v>
      </c>
      <c r="B133" s="2">
        <v>44065</v>
      </c>
      <c r="C133" s="2" t="s">
        <v>619</v>
      </c>
      <c r="D133" s="2" t="s">
        <v>620</v>
      </c>
      <c r="E133" s="2" t="s">
        <v>1565</v>
      </c>
      <c r="F133" s="2">
        <v>24233309</v>
      </c>
      <c r="G133" s="3">
        <v>35.413698630136984</v>
      </c>
      <c r="H133" s="2" t="s">
        <v>622</v>
      </c>
      <c r="I133" s="2" t="s">
        <v>1566</v>
      </c>
      <c r="J133" s="2" t="str">
        <f>+IF(BD[[#This Row],[DEPARTAMENTO_INSS]]="MANAGUA","_01_","_02_")</f>
        <v>_02_</v>
      </c>
      <c r="K133" s="2" t="str">
        <f>+CONCATENATE(BD[[#This Row],[Columna3]],BD[[#This Row],[Columna4]],BD[[#This Row],[NOMBRE COMPLETO]])</f>
        <v>E003_02_GLADYS MARIA GARCIA DELGADO</v>
      </c>
      <c r="L133" s="2" t="s">
        <v>1198</v>
      </c>
      <c r="M133" s="2" t="s">
        <v>724</v>
      </c>
      <c r="N133" s="2" t="s">
        <v>10</v>
      </c>
      <c r="O133" s="2" t="s">
        <v>363</v>
      </c>
      <c r="P133" s="2" t="s">
        <v>626</v>
      </c>
      <c r="Q133" s="2" t="s">
        <v>351</v>
      </c>
      <c r="R133" s="2">
        <v>31870</v>
      </c>
      <c r="S133" s="2">
        <v>31870</v>
      </c>
      <c r="T133" s="2" t="s">
        <v>176</v>
      </c>
      <c r="U133" s="2" t="s">
        <v>176</v>
      </c>
      <c r="V133" s="2" t="s">
        <v>650</v>
      </c>
      <c r="W133" s="2" t="s">
        <v>176</v>
      </c>
      <c r="X133" s="2" t="s">
        <v>1567</v>
      </c>
      <c r="Y133" s="2" t="s">
        <v>1568</v>
      </c>
      <c r="AA133" s="2" t="s">
        <v>1569</v>
      </c>
      <c r="AB133" s="2" t="s">
        <v>642</v>
      </c>
      <c r="AC133" s="2" t="s">
        <v>632</v>
      </c>
      <c r="AE133" s="2">
        <v>88302792</v>
      </c>
      <c r="AJ133" s="2">
        <v>88302792</v>
      </c>
      <c r="AK133" s="2">
        <v>2</v>
      </c>
      <c r="AL133" s="2" t="s">
        <v>633</v>
      </c>
      <c r="AM133" s="2">
        <v>0</v>
      </c>
      <c r="AN133" s="2">
        <v>0</v>
      </c>
      <c r="AO133" s="2">
        <v>1</v>
      </c>
      <c r="AP133" s="2">
        <v>0</v>
      </c>
      <c r="AQ133" s="2">
        <v>0</v>
      </c>
      <c r="AR133" s="2">
        <v>0</v>
      </c>
      <c r="AS133" s="2">
        <v>0</v>
      </c>
      <c r="AT133" s="2">
        <v>0</v>
      </c>
      <c r="BB133" s="2" t="str">
        <f>+PROPER(BD[[#This Row],[PRIMER_APELLIDO]])</f>
        <v>Garcia</v>
      </c>
    </row>
    <row r="134" spans="1:54" x14ac:dyDescent="0.25">
      <c r="A134" s="2">
        <v>133</v>
      </c>
      <c r="B134" s="2">
        <v>43992</v>
      </c>
      <c r="C134" s="2" t="s">
        <v>619</v>
      </c>
      <c r="D134" s="2" t="s">
        <v>620</v>
      </c>
      <c r="E134" s="2" t="s">
        <v>1570</v>
      </c>
      <c r="F134" s="2">
        <v>24233707</v>
      </c>
      <c r="G134" s="3">
        <v>35.416438356164385</v>
      </c>
      <c r="H134" s="2" t="s">
        <v>622</v>
      </c>
      <c r="I134" s="2" t="s">
        <v>1571</v>
      </c>
      <c r="J134" s="2" t="str">
        <f>+IF(BD[[#This Row],[DEPARTAMENTO_INSS]]="MANAGUA","_01_","_02_")</f>
        <v>_02_</v>
      </c>
      <c r="K134" s="2" t="str">
        <f>+CONCATENATE(BD[[#This Row],[Columna3]],BD[[#This Row],[Columna4]],BD[[#This Row],[NOMBRE COMPLETO]])</f>
        <v>E003_02_ARELLIS LUCIA AVENDAÑO REYES</v>
      </c>
      <c r="L134" s="2" t="s">
        <v>1572</v>
      </c>
      <c r="M134" s="2" t="s">
        <v>676</v>
      </c>
      <c r="N134" s="2" t="s">
        <v>101</v>
      </c>
      <c r="O134" s="2" t="s">
        <v>74</v>
      </c>
      <c r="P134" s="2" t="s">
        <v>626</v>
      </c>
      <c r="Q134" s="2" t="s">
        <v>351</v>
      </c>
      <c r="R134" s="2">
        <v>31869</v>
      </c>
      <c r="S134" s="2">
        <v>31869</v>
      </c>
      <c r="T134" s="2" t="s">
        <v>176</v>
      </c>
      <c r="U134" s="2" t="s">
        <v>176</v>
      </c>
      <c r="V134" s="2" t="s">
        <v>650</v>
      </c>
      <c r="W134" s="2" t="s">
        <v>176</v>
      </c>
      <c r="X134" s="2" t="s">
        <v>1573</v>
      </c>
      <c r="Y134" s="2" t="s">
        <v>1574</v>
      </c>
      <c r="AA134" s="2" t="s">
        <v>1575</v>
      </c>
      <c r="AB134" s="2" t="s">
        <v>642</v>
      </c>
      <c r="AC134" s="2" t="s">
        <v>632</v>
      </c>
      <c r="AE134" s="2">
        <v>82371737</v>
      </c>
      <c r="AJ134" s="2">
        <v>82371737</v>
      </c>
      <c r="AK134" s="2">
        <v>2</v>
      </c>
      <c r="AL134" s="2" t="s">
        <v>633</v>
      </c>
      <c r="AM134" s="2">
        <v>0</v>
      </c>
      <c r="AN134" s="2">
        <v>0</v>
      </c>
      <c r="AO134" s="2">
        <v>1</v>
      </c>
      <c r="AP134" s="2">
        <v>0</v>
      </c>
      <c r="AQ134" s="2">
        <v>0</v>
      </c>
      <c r="AR134" s="2">
        <v>0</v>
      </c>
      <c r="AS134" s="2">
        <v>0</v>
      </c>
      <c r="AT134" s="2">
        <v>0</v>
      </c>
      <c r="BB134" s="2" t="str">
        <f>+PROPER(BD[[#This Row],[PRIMER_APELLIDO]])</f>
        <v>Avendaño</v>
      </c>
    </row>
    <row r="135" spans="1:54" x14ac:dyDescent="0.25">
      <c r="A135" s="2">
        <v>134</v>
      </c>
      <c r="B135" s="2">
        <v>48376</v>
      </c>
      <c r="C135" s="2" t="s">
        <v>619</v>
      </c>
      <c r="D135" s="2" t="s">
        <v>620</v>
      </c>
      <c r="E135" s="2" t="s">
        <v>1576</v>
      </c>
      <c r="F135" s="2">
        <v>25026621</v>
      </c>
      <c r="G135" s="3">
        <v>35.416438356164385</v>
      </c>
      <c r="H135" s="2" t="s">
        <v>622</v>
      </c>
      <c r="I135" s="2" t="s">
        <v>1577</v>
      </c>
      <c r="J135" s="2" t="str">
        <f>+IF(BD[[#This Row],[DEPARTAMENTO_INSS]]="MANAGUA","_01_","_02_")</f>
        <v>_02_</v>
      </c>
      <c r="K135" s="2" t="str">
        <f>+CONCATENATE(BD[[#This Row],[Columna3]],BD[[#This Row],[Columna4]],BD[[#This Row],[NOMBRE COMPLETO]])</f>
        <v>E003_02_CARLOS ROMUALDO ESPINOZA OROZCO</v>
      </c>
      <c r="L135" s="2" t="s">
        <v>826</v>
      </c>
      <c r="M135" s="2" t="s">
        <v>1578</v>
      </c>
      <c r="N135" s="2" t="s">
        <v>235</v>
      </c>
      <c r="O135" s="2" t="s">
        <v>254</v>
      </c>
      <c r="P135" s="2" t="s">
        <v>649</v>
      </c>
      <c r="Q135" s="2" t="s">
        <v>351</v>
      </c>
      <c r="R135" s="2">
        <v>31869</v>
      </c>
      <c r="S135" s="2">
        <v>31869</v>
      </c>
      <c r="T135" s="2" t="s">
        <v>176</v>
      </c>
      <c r="U135" s="2" t="s">
        <v>176</v>
      </c>
      <c r="V135" s="2" t="s">
        <v>650</v>
      </c>
      <c r="W135" s="2" t="s">
        <v>176</v>
      </c>
      <c r="X135" s="2" t="s">
        <v>1579</v>
      </c>
      <c r="Y135" s="2" t="s">
        <v>1580</v>
      </c>
      <c r="Z135" s="2">
        <v>88944130</v>
      </c>
      <c r="AA135" s="2" t="s">
        <v>1581</v>
      </c>
      <c r="AB135" s="2" t="s">
        <v>798</v>
      </c>
      <c r="AC135" s="2" t="s">
        <v>632</v>
      </c>
      <c r="AD135" s="2">
        <v>88944130</v>
      </c>
      <c r="AE135" s="2">
        <v>86994724</v>
      </c>
      <c r="AJ135" s="2">
        <v>88944130</v>
      </c>
      <c r="AK135" s="2">
        <v>3</v>
      </c>
      <c r="AL135" s="2" t="s">
        <v>633</v>
      </c>
      <c r="AM135" s="2">
        <v>0</v>
      </c>
      <c r="AN135" s="2">
        <v>0</v>
      </c>
      <c r="AO135" s="2">
        <v>1</v>
      </c>
      <c r="AP135" s="2">
        <v>0</v>
      </c>
      <c r="AQ135" s="2">
        <v>0</v>
      </c>
      <c r="AR135" s="2">
        <v>0</v>
      </c>
      <c r="AS135" s="2">
        <v>0</v>
      </c>
      <c r="AT135" s="2">
        <v>0</v>
      </c>
      <c r="AZ135" s="2" t="s">
        <v>1582</v>
      </c>
      <c r="BB135" s="2" t="str">
        <f>+PROPER(BD[[#This Row],[PRIMER_APELLIDO]])</f>
        <v>Espinoza</v>
      </c>
    </row>
    <row r="136" spans="1:54" x14ac:dyDescent="0.25">
      <c r="A136" s="2">
        <v>135</v>
      </c>
      <c r="B136" s="2">
        <v>61702</v>
      </c>
      <c r="C136" s="2" t="s">
        <v>619</v>
      </c>
      <c r="D136" s="2" t="s">
        <v>620</v>
      </c>
      <c r="E136" s="2" t="s">
        <v>1583</v>
      </c>
      <c r="G136" s="3">
        <v>35.416438356164385</v>
      </c>
      <c r="H136" s="2" t="s">
        <v>622</v>
      </c>
      <c r="I136" s="2" t="s">
        <v>1584</v>
      </c>
      <c r="J136" s="2" t="str">
        <f>+IF(BD[[#This Row],[DEPARTAMENTO_INSS]]="MANAGUA","_01_","_02_")</f>
        <v>_02_</v>
      </c>
      <c r="K136" s="2" t="str">
        <f>+CONCATENATE(BD[[#This Row],[Columna3]],BD[[#This Row],[Columna4]],BD[[#This Row],[NOMBRE COMPLETO]])</f>
        <v>E003_02_YURI LIZETT BETANCURT</v>
      </c>
      <c r="L136" s="2" t="s">
        <v>1585</v>
      </c>
      <c r="M136" s="2" t="s">
        <v>1586</v>
      </c>
      <c r="N136" s="2" t="s">
        <v>272</v>
      </c>
      <c r="P136" s="2" t="s">
        <v>626</v>
      </c>
      <c r="Q136" s="2" t="s">
        <v>351</v>
      </c>
      <c r="R136" s="2">
        <v>31869</v>
      </c>
      <c r="S136" s="2">
        <v>31869</v>
      </c>
      <c r="T136" s="2" t="s">
        <v>1191</v>
      </c>
      <c r="U136" s="2" t="s">
        <v>1191</v>
      </c>
      <c r="V136" s="2" t="s">
        <v>1300</v>
      </c>
      <c r="W136" s="2" t="s">
        <v>1300</v>
      </c>
      <c r="X136" s="2" t="s">
        <v>1587</v>
      </c>
      <c r="Y136" s="2" t="s">
        <v>1588</v>
      </c>
      <c r="AA136" s="2">
        <v>83528397</v>
      </c>
      <c r="AB136" s="2" t="s">
        <v>773</v>
      </c>
      <c r="AC136" s="2" t="s">
        <v>632</v>
      </c>
      <c r="AD136" s="2">
        <v>83528397</v>
      </c>
      <c r="AJ136" s="2">
        <v>83528397</v>
      </c>
      <c r="AK136" s="2">
        <v>1</v>
      </c>
      <c r="AL136" s="2" t="s">
        <v>633</v>
      </c>
      <c r="AM136" s="2">
        <v>0</v>
      </c>
      <c r="AN136" s="2">
        <v>0</v>
      </c>
      <c r="AO136" s="2">
        <v>1</v>
      </c>
      <c r="AP136" s="2">
        <v>0</v>
      </c>
      <c r="AQ136" s="2">
        <v>0</v>
      </c>
      <c r="AR136" s="2">
        <v>0</v>
      </c>
      <c r="AS136" s="2">
        <v>0</v>
      </c>
      <c r="AT136" s="2">
        <v>0</v>
      </c>
      <c r="BB136" s="2" t="str">
        <f>+PROPER(BD[[#This Row],[PRIMER_APELLIDO]])</f>
        <v>Betancurt</v>
      </c>
    </row>
    <row r="137" spans="1:54" x14ac:dyDescent="0.25">
      <c r="A137" s="2">
        <v>136</v>
      </c>
      <c r="B137" s="2">
        <v>35201</v>
      </c>
      <c r="C137" s="2" t="s">
        <v>619</v>
      </c>
      <c r="D137" s="2" t="s">
        <v>620</v>
      </c>
      <c r="E137" s="2" t="s">
        <v>1589</v>
      </c>
      <c r="F137" s="2">
        <v>22118437</v>
      </c>
      <c r="G137" s="3">
        <v>35.421917808219177</v>
      </c>
      <c r="H137" s="2" t="s">
        <v>622</v>
      </c>
      <c r="I137" s="2" t="s">
        <v>1590</v>
      </c>
      <c r="J137" s="2" t="str">
        <f>+IF(BD[[#This Row],[DEPARTAMENTO_INSS]]="MANAGUA","_01_","_02_")</f>
        <v>_02_</v>
      </c>
      <c r="K137" s="2" t="str">
        <f>+CONCATENATE(BD[[#This Row],[Columna3]],BD[[#This Row],[Columna4]],BD[[#This Row],[NOMBRE COMPLETO]])</f>
        <v>E003_02_ALEJANDRA MARIA RIVAS ORTIZ</v>
      </c>
      <c r="L137" s="2" t="s">
        <v>1242</v>
      </c>
      <c r="M137" s="2" t="s">
        <v>724</v>
      </c>
      <c r="N137" s="2" t="s">
        <v>186</v>
      </c>
      <c r="O137" s="2" t="s">
        <v>109</v>
      </c>
      <c r="P137" s="2" t="s">
        <v>626</v>
      </c>
      <c r="Q137" s="2" t="s">
        <v>351</v>
      </c>
      <c r="R137" s="2">
        <v>31867</v>
      </c>
      <c r="S137" s="2">
        <v>31867</v>
      </c>
      <c r="T137" s="2" t="s">
        <v>732</v>
      </c>
      <c r="U137" s="2" t="s">
        <v>732</v>
      </c>
      <c r="V137" s="2" t="s">
        <v>732</v>
      </c>
      <c r="W137" s="2" t="s">
        <v>732</v>
      </c>
      <c r="X137" s="2" t="s">
        <v>1591</v>
      </c>
      <c r="Y137" s="2" t="s">
        <v>1592</v>
      </c>
      <c r="Z137" s="2">
        <v>86241864</v>
      </c>
      <c r="AA137" s="2">
        <v>25223780</v>
      </c>
      <c r="AB137" s="2" t="s">
        <v>642</v>
      </c>
      <c r="AC137" s="2" t="s">
        <v>632</v>
      </c>
      <c r="AD137" s="2">
        <v>86241864</v>
      </c>
      <c r="AJ137" s="2">
        <v>86241864</v>
      </c>
      <c r="AK137" s="2">
        <v>2</v>
      </c>
      <c r="AL137" s="2" t="s">
        <v>633</v>
      </c>
      <c r="AM137" s="2">
        <v>0</v>
      </c>
      <c r="AN137" s="2">
        <v>0</v>
      </c>
      <c r="AO137" s="2">
        <v>1</v>
      </c>
      <c r="AP137" s="2">
        <v>0</v>
      </c>
      <c r="AQ137" s="2">
        <v>0</v>
      </c>
      <c r="AR137" s="2">
        <v>0</v>
      </c>
      <c r="AS137" s="2">
        <v>0</v>
      </c>
      <c r="AT137" s="2">
        <v>0</v>
      </c>
      <c r="AZ137" s="2" t="s">
        <v>1593</v>
      </c>
      <c r="BB137" s="2" t="str">
        <f>+PROPER(BD[[#This Row],[PRIMER_APELLIDO]])</f>
        <v>Rivas</v>
      </c>
    </row>
    <row r="138" spans="1:54" x14ac:dyDescent="0.25">
      <c r="A138" s="2">
        <v>137</v>
      </c>
      <c r="B138" s="2">
        <v>58007</v>
      </c>
      <c r="C138" s="2" t="s">
        <v>619</v>
      </c>
      <c r="D138" s="2" t="s">
        <v>620</v>
      </c>
      <c r="E138" s="2" t="s">
        <v>1594</v>
      </c>
      <c r="G138" s="3">
        <v>35.421917808219177</v>
      </c>
      <c r="H138" s="2" t="s">
        <v>622</v>
      </c>
      <c r="I138" s="2" t="s">
        <v>1595</v>
      </c>
      <c r="J138" s="2" t="str">
        <f>+IF(BD[[#This Row],[DEPARTAMENTO_INSS]]="MANAGUA","_01_","_02_")</f>
        <v>_01_</v>
      </c>
      <c r="K138" s="2" t="str">
        <f>+CONCATENATE(BD[[#This Row],[Columna3]],BD[[#This Row],[Columna4]],BD[[#This Row],[NOMBRE COMPLETO]])</f>
        <v>E003_01_SANTIAGO DE JESÚS ACEVEDO MORA</v>
      </c>
      <c r="L138" s="2" t="s">
        <v>1596</v>
      </c>
      <c r="M138" s="2" t="s">
        <v>1597</v>
      </c>
      <c r="N138" s="2" t="s">
        <v>261</v>
      </c>
      <c r="O138" s="2" t="s">
        <v>394</v>
      </c>
      <c r="P138" s="2" t="s">
        <v>649</v>
      </c>
      <c r="Q138" s="2" t="s">
        <v>351</v>
      </c>
      <c r="R138" s="2">
        <v>31867</v>
      </c>
      <c r="S138" s="2">
        <v>31867</v>
      </c>
      <c r="T138" s="2" t="s">
        <v>133</v>
      </c>
      <c r="U138" s="2" t="s">
        <v>627</v>
      </c>
      <c r="V138" s="2" t="s">
        <v>939</v>
      </c>
      <c r="W138" s="2" t="s">
        <v>627</v>
      </c>
      <c r="X138" s="2" t="s">
        <v>1598</v>
      </c>
      <c r="Y138" s="2" t="s">
        <v>1599</v>
      </c>
      <c r="Z138" s="2">
        <v>85265624</v>
      </c>
      <c r="AA138" s="2">
        <v>85265624</v>
      </c>
      <c r="AB138" s="2" t="s">
        <v>654</v>
      </c>
      <c r="AC138" s="2" t="s">
        <v>632</v>
      </c>
      <c r="AD138" s="2">
        <v>85265624</v>
      </c>
      <c r="AJ138" s="2">
        <v>85265624</v>
      </c>
      <c r="AK138" s="2">
        <v>2</v>
      </c>
      <c r="AL138" s="2" t="s">
        <v>633</v>
      </c>
      <c r="AM138" s="2">
        <v>0</v>
      </c>
      <c r="AN138" s="2">
        <v>0</v>
      </c>
      <c r="AO138" s="2">
        <v>1</v>
      </c>
      <c r="AP138" s="2">
        <v>0</v>
      </c>
      <c r="AQ138" s="2">
        <v>0</v>
      </c>
      <c r="AR138" s="2">
        <v>0</v>
      </c>
      <c r="AS138" s="2">
        <v>0</v>
      </c>
      <c r="AT138" s="2">
        <v>0</v>
      </c>
      <c r="AZ138" s="2" t="s">
        <v>1600</v>
      </c>
      <c r="BA138" s="2" t="s">
        <v>1600</v>
      </c>
      <c r="BB138" s="2" t="str">
        <f>+PROPER(BD[[#This Row],[PRIMER_APELLIDO]])</f>
        <v>Acevedo</v>
      </c>
    </row>
    <row r="139" spans="1:54" x14ac:dyDescent="0.25">
      <c r="A139" s="2">
        <v>138</v>
      </c>
      <c r="B139" s="2">
        <v>43345</v>
      </c>
      <c r="C139" s="2" t="s">
        <v>619</v>
      </c>
      <c r="D139" s="2" t="s">
        <v>620</v>
      </c>
      <c r="E139" s="2" t="s">
        <v>1601</v>
      </c>
      <c r="F139" s="2">
        <v>28874515</v>
      </c>
      <c r="G139" s="3">
        <v>35.424657534246577</v>
      </c>
      <c r="H139" s="2" t="s">
        <v>622</v>
      </c>
      <c r="I139" s="2" t="s">
        <v>1602</v>
      </c>
      <c r="J139" s="2" t="str">
        <f>+IF(BD[[#This Row],[DEPARTAMENTO_INSS]]="MANAGUA","_01_","_02_")</f>
        <v>_02_</v>
      </c>
      <c r="K139" s="2" t="str">
        <f>+CONCATENATE(BD[[#This Row],[Columna3]],BD[[#This Row],[Columna4]],BD[[#This Row],[NOMBRE COMPLETO]])</f>
        <v>E003_02_DOUGLAS GEOVANNY ZAVALA BRIONES</v>
      </c>
      <c r="L139" s="2" t="s">
        <v>1603</v>
      </c>
      <c r="M139" s="2" t="s">
        <v>1604</v>
      </c>
      <c r="N139" s="2" t="s">
        <v>258</v>
      </c>
      <c r="O139" s="2" t="s">
        <v>556</v>
      </c>
      <c r="P139" s="2" t="s">
        <v>649</v>
      </c>
      <c r="Q139" s="2" t="s">
        <v>351</v>
      </c>
      <c r="R139" s="2">
        <v>31866</v>
      </c>
      <c r="S139" s="2">
        <v>31866</v>
      </c>
      <c r="T139" s="2" t="s">
        <v>176</v>
      </c>
      <c r="U139" s="2" t="s">
        <v>176</v>
      </c>
      <c r="V139" s="2" t="s">
        <v>650</v>
      </c>
      <c r="W139" s="2" t="s">
        <v>176</v>
      </c>
      <c r="X139" s="2" t="s">
        <v>1605</v>
      </c>
      <c r="Y139" s="2" t="s">
        <v>1606</v>
      </c>
      <c r="AA139" s="2">
        <v>82409513</v>
      </c>
      <c r="AB139" s="2" t="s">
        <v>654</v>
      </c>
      <c r="AC139" s="2" t="s">
        <v>632</v>
      </c>
      <c r="AD139" s="2">
        <v>82409513</v>
      </c>
      <c r="AJ139" s="2">
        <v>82409513</v>
      </c>
      <c r="AK139" s="2">
        <v>1</v>
      </c>
      <c r="AL139" s="2" t="s">
        <v>633</v>
      </c>
      <c r="AM139" s="2">
        <v>0</v>
      </c>
      <c r="AN139" s="2">
        <v>0</v>
      </c>
      <c r="AO139" s="2">
        <v>1</v>
      </c>
      <c r="AP139" s="2">
        <v>0</v>
      </c>
      <c r="AQ139" s="2">
        <v>0</v>
      </c>
      <c r="AR139" s="2">
        <v>0</v>
      </c>
      <c r="AS139" s="2">
        <v>0</v>
      </c>
      <c r="AT139" s="2">
        <v>0</v>
      </c>
      <c r="BB139" s="2" t="str">
        <f>+PROPER(BD[[#This Row],[PRIMER_APELLIDO]])</f>
        <v>Zavala</v>
      </c>
    </row>
    <row r="140" spans="1:54" x14ac:dyDescent="0.25">
      <c r="A140" s="2">
        <v>139</v>
      </c>
      <c r="B140" s="2">
        <v>53571</v>
      </c>
      <c r="C140" s="2" t="s">
        <v>619</v>
      </c>
      <c r="D140" s="2" t="s">
        <v>620</v>
      </c>
      <c r="E140" s="2" t="s">
        <v>1607</v>
      </c>
      <c r="G140" s="3">
        <v>35.424657534246577</v>
      </c>
      <c r="H140" s="2" t="s">
        <v>622</v>
      </c>
      <c r="I140" s="2" t="s">
        <v>1608</v>
      </c>
      <c r="J140" s="2" t="str">
        <f>+IF(BD[[#This Row],[DEPARTAMENTO_INSS]]="MANAGUA","_01_","_02_")</f>
        <v>_01_</v>
      </c>
      <c r="K140" s="2" t="str">
        <f>+CONCATENATE(BD[[#This Row],[Columna3]],BD[[#This Row],[Columna4]],BD[[#This Row],[NOMBRE COMPLETO]])</f>
        <v>E003_01_ANA PATRICIA ARCIA FRANCHINI</v>
      </c>
      <c r="L140" s="2" t="s">
        <v>860</v>
      </c>
      <c r="M140" s="2" t="s">
        <v>747</v>
      </c>
      <c r="N140" s="2" t="s">
        <v>448</v>
      </c>
      <c r="O140" s="2" t="s">
        <v>1609</v>
      </c>
      <c r="P140" s="2" t="s">
        <v>626</v>
      </c>
      <c r="Q140" s="2" t="s">
        <v>351</v>
      </c>
      <c r="R140" s="2">
        <v>31866</v>
      </c>
      <c r="S140" s="2">
        <v>31866</v>
      </c>
      <c r="T140" s="2" t="s">
        <v>627</v>
      </c>
      <c r="U140" s="2" t="s">
        <v>627</v>
      </c>
      <c r="V140" s="2" t="s">
        <v>627</v>
      </c>
      <c r="W140" s="2" t="s">
        <v>627</v>
      </c>
      <c r="X140" s="2" t="s">
        <v>1610</v>
      </c>
      <c r="Y140" s="2" t="s">
        <v>1611</v>
      </c>
      <c r="Z140" s="2">
        <v>89796018</v>
      </c>
      <c r="AA140" s="2">
        <v>22497446</v>
      </c>
      <c r="AB140" s="2" t="s">
        <v>642</v>
      </c>
      <c r="AC140" s="2" t="s">
        <v>632</v>
      </c>
      <c r="AD140" s="2">
        <v>89796018</v>
      </c>
      <c r="AJ140" s="2">
        <v>89796018</v>
      </c>
      <c r="AK140" s="2">
        <v>2</v>
      </c>
      <c r="AL140" s="2" t="s">
        <v>633</v>
      </c>
      <c r="AM140" s="2">
        <v>0</v>
      </c>
      <c r="AN140" s="2">
        <v>0</v>
      </c>
      <c r="AO140" s="2">
        <v>1</v>
      </c>
      <c r="AP140" s="2">
        <v>0</v>
      </c>
      <c r="AQ140" s="2">
        <v>0</v>
      </c>
      <c r="AR140" s="2">
        <v>0</v>
      </c>
      <c r="AS140" s="2">
        <v>0</v>
      </c>
      <c r="AT140" s="2">
        <v>0</v>
      </c>
      <c r="BB140" s="2" t="str">
        <f>+PROPER(BD[[#This Row],[PRIMER_APELLIDO]])</f>
        <v>Arcia</v>
      </c>
    </row>
    <row r="141" spans="1:54" x14ac:dyDescent="0.25">
      <c r="A141" s="2">
        <v>140</v>
      </c>
      <c r="B141" s="2">
        <v>36220</v>
      </c>
      <c r="C141" s="2" t="s">
        <v>619</v>
      </c>
      <c r="D141" s="2" t="s">
        <v>620</v>
      </c>
      <c r="E141" s="2" t="s">
        <v>1612</v>
      </c>
      <c r="F141" s="2">
        <v>22138763</v>
      </c>
      <c r="G141" s="3">
        <v>35.42739726027397</v>
      </c>
      <c r="H141" s="2" t="s">
        <v>622</v>
      </c>
      <c r="I141" s="2" t="s">
        <v>1613</v>
      </c>
      <c r="J141" s="2" t="str">
        <f>+IF(BD[[#This Row],[DEPARTAMENTO_INSS]]="MANAGUA","_01_","_02_")</f>
        <v>_01_</v>
      </c>
      <c r="K141" s="2" t="str">
        <f>+CONCATENATE(BD[[#This Row],[Columna3]],BD[[#This Row],[Columna4]],BD[[#This Row],[NOMBRE COMPLETO]])</f>
        <v>E003_01_MARIA KARINA GAITAN ICAZA</v>
      </c>
      <c r="L141" s="2" t="s">
        <v>724</v>
      </c>
      <c r="M141" s="2" t="s">
        <v>1614</v>
      </c>
      <c r="N141" s="2" t="s">
        <v>54</v>
      </c>
      <c r="O141" s="2" t="s">
        <v>1615</v>
      </c>
      <c r="P141" s="2" t="s">
        <v>626</v>
      </c>
      <c r="Q141" s="2" t="s">
        <v>351</v>
      </c>
      <c r="R141" s="2">
        <v>31865</v>
      </c>
      <c r="S141" s="2">
        <v>31865</v>
      </c>
      <c r="T141" s="2" t="s">
        <v>627</v>
      </c>
      <c r="U141" s="2" t="s">
        <v>627</v>
      </c>
      <c r="V141" s="2" t="s">
        <v>627</v>
      </c>
      <c r="W141" s="2" t="s">
        <v>627</v>
      </c>
      <c r="Y141" s="2" t="s">
        <v>1616</v>
      </c>
      <c r="AA141" s="2" t="s">
        <v>1617</v>
      </c>
      <c r="AB141" s="2" t="s">
        <v>642</v>
      </c>
      <c r="AC141" s="2" t="s">
        <v>632</v>
      </c>
      <c r="AE141" s="2">
        <v>88625442</v>
      </c>
      <c r="AJ141" s="2">
        <v>88625442</v>
      </c>
      <c r="AK141" s="2">
        <v>2</v>
      </c>
      <c r="AL141" s="2" t="s">
        <v>633</v>
      </c>
      <c r="AM141" s="2">
        <v>0</v>
      </c>
      <c r="AN141" s="2">
        <v>0</v>
      </c>
      <c r="AO141" s="2">
        <v>1</v>
      </c>
      <c r="AP141" s="2">
        <v>0</v>
      </c>
      <c r="AQ141" s="2">
        <v>0</v>
      </c>
      <c r="AR141" s="2">
        <v>0</v>
      </c>
      <c r="AS141" s="2">
        <v>0</v>
      </c>
      <c r="AT141" s="2">
        <v>0</v>
      </c>
      <c r="BB141" s="2" t="str">
        <f>+PROPER(BD[[#This Row],[PRIMER_APELLIDO]])</f>
        <v>Gaitan</v>
      </c>
    </row>
    <row r="142" spans="1:54" x14ac:dyDescent="0.25">
      <c r="A142" s="2">
        <v>141</v>
      </c>
      <c r="B142" s="2">
        <v>39182</v>
      </c>
      <c r="C142" s="2" t="s">
        <v>619</v>
      </c>
      <c r="D142" s="2" t="s">
        <v>620</v>
      </c>
      <c r="E142" s="2" t="s">
        <v>1618</v>
      </c>
      <c r="F142" s="2">
        <v>23105111</v>
      </c>
      <c r="G142" s="3">
        <v>35.42739726027397</v>
      </c>
      <c r="H142" s="2" t="s">
        <v>622</v>
      </c>
      <c r="I142" s="2" t="s">
        <v>1619</v>
      </c>
      <c r="J142" s="2" t="str">
        <f>+IF(BD[[#This Row],[DEPARTAMENTO_INSS]]="MANAGUA","_01_","_02_")</f>
        <v>_02_</v>
      </c>
      <c r="K142" s="2" t="str">
        <f>+CONCATENATE(BD[[#This Row],[Columna3]],BD[[#This Row],[Columna4]],BD[[#This Row],[NOMBRE COMPLETO]])</f>
        <v>E003_02_JOSE GUILLERMO NARVAEZ CAMPOS</v>
      </c>
      <c r="L142" s="2" t="s">
        <v>243</v>
      </c>
      <c r="M142" s="2" t="s">
        <v>1620</v>
      </c>
      <c r="N142" s="2" t="s">
        <v>121</v>
      </c>
      <c r="O142" s="2" t="s">
        <v>232</v>
      </c>
      <c r="P142" s="2" t="s">
        <v>649</v>
      </c>
      <c r="Q142" s="2" t="s">
        <v>351</v>
      </c>
      <c r="R142" s="2">
        <v>31865</v>
      </c>
      <c r="S142" s="2">
        <v>31865</v>
      </c>
      <c r="T142" s="2" t="s">
        <v>669</v>
      </c>
      <c r="U142" s="2" t="s">
        <v>669</v>
      </c>
      <c r="V142" s="2" t="s">
        <v>669</v>
      </c>
      <c r="W142" s="2" t="s">
        <v>669</v>
      </c>
      <c r="X142" s="2" t="s">
        <v>1621</v>
      </c>
      <c r="Y142" s="2" t="s">
        <v>1622</v>
      </c>
      <c r="Z142" s="2">
        <v>87417311</v>
      </c>
      <c r="AA142" s="2">
        <v>82127218</v>
      </c>
      <c r="AB142" s="2" t="s">
        <v>654</v>
      </c>
      <c r="AC142" s="2" t="s">
        <v>632</v>
      </c>
      <c r="AD142" s="2">
        <v>87417311</v>
      </c>
      <c r="AF142" s="2">
        <v>82127218</v>
      </c>
      <c r="AJ142" s="2">
        <v>87417311</v>
      </c>
      <c r="AK142" s="2">
        <v>2</v>
      </c>
      <c r="AL142" s="2" t="s">
        <v>633</v>
      </c>
      <c r="AM142" s="2">
        <v>0</v>
      </c>
      <c r="AN142" s="2">
        <v>0</v>
      </c>
      <c r="AO142" s="2">
        <v>1</v>
      </c>
      <c r="AP142" s="2">
        <v>0</v>
      </c>
      <c r="AQ142" s="2">
        <v>0</v>
      </c>
      <c r="AR142" s="2">
        <v>0</v>
      </c>
      <c r="AS142" s="2">
        <v>0</v>
      </c>
      <c r="AT142" s="2">
        <v>0</v>
      </c>
      <c r="AZ142" s="2" t="s">
        <v>1623</v>
      </c>
      <c r="BB142" s="2" t="str">
        <f>+PROPER(BD[[#This Row],[PRIMER_APELLIDO]])</f>
        <v>Narvaez</v>
      </c>
    </row>
    <row r="143" spans="1:54" x14ac:dyDescent="0.25">
      <c r="A143" s="2">
        <v>142</v>
      </c>
      <c r="B143" s="2">
        <v>30807</v>
      </c>
      <c r="C143" s="2" t="s">
        <v>619</v>
      </c>
      <c r="D143" s="2" t="s">
        <v>620</v>
      </c>
      <c r="E143" s="2" t="s">
        <v>1624</v>
      </c>
      <c r="F143" s="2">
        <v>22135461</v>
      </c>
      <c r="G143" s="3">
        <v>35.43013698630137</v>
      </c>
      <c r="H143" s="2" t="s">
        <v>622</v>
      </c>
      <c r="I143" s="2" t="s">
        <v>1625</v>
      </c>
      <c r="J143" s="2" t="str">
        <f>+IF(BD[[#This Row],[DEPARTAMENTO_INSS]]="MANAGUA","_01_","_02_")</f>
        <v>_01_</v>
      </c>
      <c r="K143" s="2" t="str">
        <f>+CONCATENATE(BD[[#This Row],[Columna3]],BD[[#This Row],[Columna4]],BD[[#This Row],[NOMBRE COMPLETO]])</f>
        <v>E003_01_ELENA DEL CARMEN VARGAS PALACIOS</v>
      </c>
      <c r="L143" s="2" t="s">
        <v>1626</v>
      </c>
      <c r="M143" s="2" t="s">
        <v>961</v>
      </c>
      <c r="N143" s="2" t="s">
        <v>34</v>
      </c>
      <c r="O143" s="2" t="s">
        <v>201</v>
      </c>
      <c r="P143" s="2" t="s">
        <v>626</v>
      </c>
      <c r="Q143" s="2" t="s">
        <v>351</v>
      </c>
      <c r="R143" s="2">
        <v>31864</v>
      </c>
      <c r="S143" s="2">
        <v>31864</v>
      </c>
      <c r="T143" s="2" t="s">
        <v>627</v>
      </c>
      <c r="U143" s="2" t="s">
        <v>627</v>
      </c>
      <c r="V143" s="2" t="s">
        <v>627</v>
      </c>
      <c r="W143" s="2" t="s">
        <v>627</v>
      </c>
      <c r="X143" s="2" t="s">
        <v>1627</v>
      </c>
      <c r="Y143" s="2" t="s">
        <v>1628</v>
      </c>
      <c r="AA143" s="2" t="s">
        <v>1629</v>
      </c>
      <c r="AB143" s="2" t="s">
        <v>642</v>
      </c>
      <c r="AC143" s="2" t="s">
        <v>632</v>
      </c>
      <c r="AD143" s="2">
        <v>89898984</v>
      </c>
      <c r="AE143" s="2">
        <v>78465400</v>
      </c>
      <c r="AH143" s="2">
        <v>88823103</v>
      </c>
      <c r="AJ143" s="2">
        <v>89898984</v>
      </c>
      <c r="AK143" s="2">
        <v>3</v>
      </c>
      <c r="AL143" s="2" t="s">
        <v>633</v>
      </c>
      <c r="AM143" s="2">
        <v>0</v>
      </c>
      <c r="AN143" s="2">
        <v>0</v>
      </c>
      <c r="AO143" s="2">
        <v>1</v>
      </c>
      <c r="AP143" s="2">
        <v>0</v>
      </c>
      <c r="AQ143" s="2">
        <v>0</v>
      </c>
      <c r="AR143" s="2">
        <v>0</v>
      </c>
      <c r="AS143" s="2">
        <v>0</v>
      </c>
      <c r="AT143" s="2">
        <v>0</v>
      </c>
      <c r="BA143" s="2" t="s">
        <v>1630</v>
      </c>
      <c r="BB143" s="2" t="str">
        <f>+PROPER(BD[[#This Row],[PRIMER_APELLIDO]])</f>
        <v>Vargas</v>
      </c>
    </row>
    <row r="144" spans="1:54" x14ac:dyDescent="0.25">
      <c r="A144" s="2">
        <v>143</v>
      </c>
      <c r="B144" s="2">
        <v>41715</v>
      </c>
      <c r="C144" s="2" t="s">
        <v>619</v>
      </c>
      <c r="D144" s="2" t="s">
        <v>620</v>
      </c>
      <c r="E144" s="2" t="s">
        <v>1631</v>
      </c>
      <c r="F144" s="2">
        <v>24986065</v>
      </c>
      <c r="G144" s="3">
        <v>35.43013698630137</v>
      </c>
      <c r="H144" s="2" t="s">
        <v>622</v>
      </c>
      <c r="I144" s="2" t="s">
        <v>1632</v>
      </c>
      <c r="J144" s="2" t="str">
        <f>+IF(BD[[#This Row],[DEPARTAMENTO_INSS]]="MANAGUA","_01_","_02_")</f>
        <v>_02_</v>
      </c>
      <c r="K144" s="2" t="str">
        <f>+CONCATENATE(BD[[#This Row],[Columna3]],BD[[#This Row],[Columna4]],BD[[#This Row],[NOMBRE COMPLETO]])</f>
        <v>E003_02_OLINYER ENRIQUE PALACIO REYES</v>
      </c>
      <c r="L144" s="2" t="s">
        <v>1633</v>
      </c>
      <c r="M144" s="2" t="s">
        <v>1480</v>
      </c>
      <c r="N144" s="2" t="s">
        <v>390</v>
      </c>
      <c r="O144" s="2" t="s">
        <v>74</v>
      </c>
      <c r="P144" s="2" t="s">
        <v>649</v>
      </c>
      <c r="Q144" s="2" t="s">
        <v>351</v>
      </c>
      <c r="R144" s="2">
        <v>31864</v>
      </c>
      <c r="S144" s="2">
        <v>31864</v>
      </c>
      <c r="T144" s="2" t="s">
        <v>186</v>
      </c>
      <c r="U144" s="2" t="s">
        <v>186</v>
      </c>
      <c r="V144" s="2" t="s">
        <v>1634</v>
      </c>
      <c r="W144" s="2" t="s">
        <v>1634</v>
      </c>
      <c r="X144" s="2" t="s">
        <v>1635</v>
      </c>
      <c r="Y144" s="2" t="s">
        <v>1636</v>
      </c>
      <c r="Z144" s="2">
        <v>87451001</v>
      </c>
      <c r="AB144" s="2" t="s">
        <v>798</v>
      </c>
      <c r="AC144" s="2" t="s">
        <v>632</v>
      </c>
      <c r="AD144" s="2">
        <v>87451001</v>
      </c>
      <c r="AJ144" s="2">
        <v>87451001</v>
      </c>
      <c r="AK144" s="2">
        <v>1</v>
      </c>
      <c r="AL144" s="2" t="s">
        <v>633</v>
      </c>
      <c r="AM144" s="2">
        <v>0</v>
      </c>
      <c r="AN144" s="2">
        <v>0</v>
      </c>
      <c r="AO144" s="2">
        <v>1</v>
      </c>
      <c r="AP144" s="2">
        <v>0</v>
      </c>
      <c r="AQ144" s="2">
        <v>0</v>
      </c>
      <c r="AR144" s="2">
        <v>0</v>
      </c>
      <c r="AS144" s="2">
        <v>0</v>
      </c>
      <c r="AT144" s="2">
        <v>0</v>
      </c>
      <c r="AZ144" s="2" t="s">
        <v>1637</v>
      </c>
      <c r="BB144" s="2" t="str">
        <f>+PROPER(BD[[#This Row],[PRIMER_APELLIDO]])</f>
        <v>Palacio</v>
      </c>
    </row>
    <row r="145" spans="1:54" x14ac:dyDescent="0.25">
      <c r="A145" s="2">
        <v>144</v>
      </c>
      <c r="B145" s="2">
        <v>53469</v>
      </c>
      <c r="C145" s="2" t="s">
        <v>619</v>
      </c>
      <c r="D145" s="2" t="s">
        <v>620</v>
      </c>
      <c r="E145" s="2" t="s">
        <v>1638</v>
      </c>
      <c r="G145" s="3">
        <v>35.43287671232877</v>
      </c>
      <c r="H145" s="2" t="s">
        <v>622</v>
      </c>
      <c r="I145" s="2" t="s">
        <v>1639</v>
      </c>
      <c r="J145" s="2" t="str">
        <f>+IF(BD[[#This Row],[DEPARTAMENTO_INSS]]="MANAGUA","_01_","_02_")</f>
        <v>_02_</v>
      </c>
      <c r="K145" s="2" t="str">
        <f>+CONCATENATE(BD[[#This Row],[Columna3]],BD[[#This Row],[Columna4]],BD[[#This Row],[NOMBRE COMPLETO]])</f>
        <v>E003_02_MARIO JOSE BALMACEDA</v>
      </c>
      <c r="L145" s="2" t="s">
        <v>1640</v>
      </c>
      <c r="M145" s="2" t="s">
        <v>243</v>
      </c>
      <c r="N145" s="2" t="s">
        <v>234</v>
      </c>
      <c r="P145" s="2" t="s">
        <v>649</v>
      </c>
      <c r="Q145" s="2" t="s">
        <v>351</v>
      </c>
      <c r="R145" s="2">
        <v>31863</v>
      </c>
      <c r="S145" s="2">
        <v>31863</v>
      </c>
      <c r="T145" s="2" t="s">
        <v>705</v>
      </c>
      <c r="U145" s="2" t="s">
        <v>705</v>
      </c>
      <c r="V145" s="2" t="s">
        <v>705</v>
      </c>
      <c r="W145" s="2" t="s">
        <v>705</v>
      </c>
      <c r="X145" s="2" t="s">
        <v>1641</v>
      </c>
      <c r="Y145" s="2" t="s">
        <v>1642</v>
      </c>
      <c r="Z145" s="2">
        <v>78857263</v>
      </c>
      <c r="AA145" s="2">
        <v>78857263</v>
      </c>
      <c r="AB145" s="2" t="s">
        <v>654</v>
      </c>
      <c r="AC145" s="2" t="s">
        <v>632</v>
      </c>
      <c r="AD145" s="2">
        <v>78857263</v>
      </c>
      <c r="AJ145" s="2">
        <v>78857263</v>
      </c>
      <c r="AK145" s="2">
        <v>2</v>
      </c>
      <c r="AL145" s="2" t="s">
        <v>633</v>
      </c>
      <c r="AM145" s="2">
        <v>0</v>
      </c>
      <c r="AN145" s="2">
        <v>0</v>
      </c>
      <c r="AO145" s="2">
        <v>1</v>
      </c>
      <c r="AP145" s="2">
        <v>0</v>
      </c>
      <c r="AQ145" s="2">
        <v>0</v>
      </c>
      <c r="AR145" s="2">
        <v>0</v>
      </c>
      <c r="AS145" s="2">
        <v>0</v>
      </c>
      <c r="AT145" s="2">
        <v>0</v>
      </c>
      <c r="BB145" s="2" t="str">
        <f>+PROPER(BD[[#This Row],[PRIMER_APELLIDO]])</f>
        <v>Balmaceda</v>
      </c>
    </row>
    <row r="146" spans="1:54" x14ac:dyDescent="0.25">
      <c r="A146" s="2">
        <v>145</v>
      </c>
      <c r="B146" s="2">
        <v>43772</v>
      </c>
      <c r="C146" s="2" t="s">
        <v>619</v>
      </c>
      <c r="D146" s="2" t="s">
        <v>620</v>
      </c>
      <c r="E146" s="2" t="s">
        <v>1643</v>
      </c>
      <c r="F146" s="2">
        <v>24237411</v>
      </c>
      <c r="G146" s="3">
        <v>35.438356164383563</v>
      </c>
      <c r="H146" s="2" t="s">
        <v>622</v>
      </c>
      <c r="I146" s="2" t="s">
        <v>1644</v>
      </c>
      <c r="J146" s="2" t="str">
        <f>+IF(BD[[#This Row],[DEPARTAMENTO_INSS]]="MANAGUA","_01_","_02_")</f>
        <v>_02_</v>
      </c>
      <c r="K146" s="2" t="str">
        <f>+CONCATENATE(BD[[#This Row],[Columna3]],BD[[#This Row],[Columna4]],BD[[#This Row],[NOMBRE COMPLETO]])</f>
        <v>E003_02_MARIA RAFAELA CASTRO GABRIEL</v>
      </c>
      <c r="L146" s="2" t="s">
        <v>724</v>
      </c>
      <c r="M146" s="2" t="s">
        <v>1645</v>
      </c>
      <c r="N146" s="2" t="s">
        <v>163</v>
      </c>
      <c r="O146" s="2" t="s">
        <v>1646</v>
      </c>
      <c r="P146" s="2" t="s">
        <v>626</v>
      </c>
      <c r="Q146" s="2" t="s">
        <v>351</v>
      </c>
      <c r="R146" s="2">
        <v>31861</v>
      </c>
      <c r="S146" s="2">
        <v>31861</v>
      </c>
      <c r="U146" s="2" t="s">
        <v>1005</v>
      </c>
      <c r="W146" s="2" t="s">
        <v>1006</v>
      </c>
      <c r="Y146" s="2" t="s">
        <v>1647</v>
      </c>
      <c r="AA146" s="2" t="s">
        <v>1648</v>
      </c>
      <c r="AB146" s="2" t="s">
        <v>654</v>
      </c>
      <c r="AC146" s="2" t="s">
        <v>632</v>
      </c>
      <c r="AD146" s="2">
        <v>84395975</v>
      </c>
      <c r="AJ146" s="2">
        <v>84395975</v>
      </c>
      <c r="AK146" s="2">
        <v>2</v>
      </c>
      <c r="AL146" s="2" t="s">
        <v>633</v>
      </c>
      <c r="AM146" s="2">
        <v>0</v>
      </c>
      <c r="AN146" s="2">
        <v>0</v>
      </c>
      <c r="AO146" s="2">
        <v>1</v>
      </c>
      <c r="AP146" s="2">
        <v>0</v>
      </c>
      <c r="AQ146" s="2">
        <v>0</v>
      </c>
      <c r="AR146" s="2">
        <v>0</v>
      </c>
      <c r="AS146" s="2">
        <v>0</v>
      </c>
      <c r="AT146" s="2">
        <v>0</v>
      </c>
      <c r="BB146" s="2" t="str">
        <f>+PROPER(BD[[#This Row],[PRIMER_APELLIDO]])</f>
        <v>Castro</v>
      </c>
    </row>
    <row r="147" spans="1:54" x14ac:dyDescent="0.25">
      <c r="A147" s="2">
        <v>146</v>
      </c>
      <c r="B147" s="2">
        <v>43242</v>
      </c>
      <c r="C147" s="2" t="s">
        <v>619</v>
      </c>
      <c r="D147" s="2" t="s">
        <v>620</v>
      </c>
      <c r="E147" s="2" t="s">
        <v>1649</v>
      </c>
      <c r="F147" s="2">
        <v>24233330</v>
      </c>
      <c r="G147" s="3">
        <v>35.441095890410956</v>
      </c>
      <c r="H147" s="2" t="s">
        <v>622</v>
      </c>
      <c r="I147" s="2" t="s">
        <v>1650</v>
      </c>
      <c r="J147" s="2" t="str">
        <f>+IF(BD[[#This Row],[DEPARTAMENTO_INSS]]="MANAGUA","_01_","_02_")</f>
        <v>_02_</v>
      </c>
      <c r="K147" s="2" t="str">
        <f>+CONCATENATE(BD[[#This Row],[Columna3]],BD[[#This Row],[Columna4]],BD[[#This Row],[NOMBRE COMPLETO]])</f>
        <v>E003_02_MODESTO ARLY CAMPOS ZUNIGA</v>
      </c>
      <c r="L147" s="2" t="s">
        <v>1651</v>
      </c>
      <c r="M147" s="2" t="s">
        <v>1652</v>
      </c>
      <c r="N147" s="2" t="s">
        <v>232</v>
      </c>
      <c r="O147" s="2" t="s">
        <v>110</v>
      </c>
      <c r="P147" s="2" t="s">
        <v>649</v>
      </c>
      <c r="Q147" s="2" t="s">
        <v>351</v>
      </c>
      <c r="R147" s="2">
        <v>31860</v>
      </c>
      <c r="S147" s="2">
        <v>31860</v>
      </c>
      <c r="T147" s="2" t="s">
        <v>929</v>
      </c>
      <c r="U147" s="2" t="s">
        <v>929</v>
      </c>
      <c r="V147" s="2" t="s">
        <v>1653</v>
      </c>
      <c r="W147" s="2" t="s">
        <v>1653</v>
      </c>
      <c r="X147" s="2" t="s">
        <v>1654</v>
      </c>
      <c r="Y147" s="2" t="s">
        <v>1655</v>
      </c>
      <c r="AA147" s="2" t="s">
        <v>1656</v>
      </c>
      <c r="AB147" s="2" t="s">
        <v>654</v>
      </c>
      <c r="AC147" s="2" t="s">
        <v>632</v>
      </c>
      <c r="AD147" s="2">
        <v>85451560</v>
      </c>
      <c r="AE147" s="2">
        <v>84915855</v>
      </c>
      <c r="AJ147" s="2">
        <v>85451560</v>
      </c>
      <c r="AK147" s="2">
        <v>2</v>
      </c>
      <c r="AL147" s="2" t="s">
        <v>633</v>
      </c>
      <c r="AM147" s="2">
        <v>0</v>
      </c>
      <c r="AN147" s="2">
        <v>0</v>
      </c>
      <c r="AO147" s="2">
        <v>1</v>
      </c>
      <c r="AP147" s="2">
        <v>0</v>
      </c>
      <c r="AQ147" s="2">
        <v>0</v>
      </c>
      <c r="AR147" s="2">
        <v>0</v>
      </c>
      <c r="AS147" s="2">
        <v>0</v>
      </c>
      <c r="AT147" s="2">
        <v>0</v>
      </c>
      <c r="BB147" s="2" t="str">
        <f>+PROPER(BD[[#This Row],[PRIMER_APELLIDO]])</f>
        <v>Campos</v>
      </c>
    </row>
    <row r="148" spans="1:54" x14ac:dyDescent="0.25">
      <c r="A148" s="2">
        <v>147</v>
      </c>
      <c r="B148" s="2">
        <v>78159</v>
      </c>
      <c r="C148" s="2" t="s">
        <v>619</v>
      </c>
      <c r="D148" s="2" t="s">
        <v>620</v>
      </c>
      <c r="E148" s="2" t="s">
        <v>1657</v>
      </c>
      <c r="G148" s="3">
        <v>35.443835616438356</v>
      </c>
      <c r="H148" s="2" t="s">
        <v>622</v>
      </c>
      <c r="I148" s="2" t="s">
        <v>1658</v>
      </c>
      <c r="J148" s="2" t="str">
        <f>+IF(BD[[#This Row],[DEPARTAMENTO_INSS]]="MANAGUA","_01_","_02_")</f>
        <v>_02_</v>
      </c>
      <c r="K148" s="2" t="str">
        <f>+CONCATENATE(BD[[#This Row],[Columna3]],BD[[#This Row],[Columna4]],BD[[#This Row],[NOMBRE COMPLETO]])</f>
        <v>E003_02_DANILO ANTONIO GUILLEN GARCIA</v>
      </c>
      <c r="L148" s="2" t="s">
        <v>1659</v>
      </c>
      <c r="M148" s="2" t="s">
        <v>904</v>
      </c>
      <c r="N148" s="2" t="s">
        <v>361</v>
      </c>
      <c r="O148" s="2" t="s">
        <v>10</v>
      </c>
      <c r="P148" s="2" t="s">
        <v>649</v>
      </c>
      <c r="Q148" s="2" t="s">
        <v>351</v>
      </c>
      <c r="R148" s="2">
        <v>31859</v>
      </c>
      <c r="S148" s="2">
        <v>31859</v>
      </c>
      <c r="T148" s="2" t="s">
        <v>929</v>
      </c>
      <c r="U148" s="2" t="s">
        <v>929</v>
      </c>
      <c r="V148" s="2" t="s">
        <v>1360</v>
      </c>
      <c r="W148" s="2" t="s">
        <v>1360</v>
      </c>
      <c r="X148" s="2" t="s">
        <v>1660</v>
      </c>
      <c r="Y148" s="2" t="s">
        <v>1661</v>
      </c>
      <c r="Z148" s="2">
        <v>86577076</v>
      </c>
      <c r="AA148" s="2">
        <v>86577076</v>
      </c>
      <c r="AB148" s="2" t="s">
        <v>654</v>
      </c>
      <c r="AC148" s="2" t="s">
        <v>632</v>
      </c>
      <c r="AD148" s="2">
        <v>86577076</v>
      </c>
      <c r="AJ148" s="2">
        <v>86577076</v>
      </c>
      <c r="AK148" s="2">
        <v>2</v>
      </c>
      <c r="AL148" s="2" t="s">
        <v>633</v>
      </c>
      <c r="AM148" s="2">
        <v>0</v>
      </c>
      <c r="AN148" s="2">
        <v>0</v>
      </c>
      <c r="AO148" s="2">
        <v>1</v>
      </c>
      <c r="AP148" s="2">
        <v>0</v>
      </c>
      <c r="AQ148" s="2">
        <v>0</v>
      </c>
      <c r="AR148" s="2">
        <v>0</v>
      </c>
      <c r="AS148" s="2">
        <v>0</v>
      </c>
      <c r="AT148" s="2">
        <v>0</v>
      </c>
      <c r="AZ148" s="2" t="s">
        <v>1662</v>
      </c>
      <c r="BB148" s="2" t="str">
        <f>+PROPER(BD[[#This Row],[PRIMER_APELLIDO]])</f>
        <v>Guillen</v>
      </c>
    </row>
    <row r="149" spans="1:54" x14ac:dyDescent="0.25">
      <c r="A149" s="2">
        <v>148</v>
      </c>
      <c r="B149" s="2">
        <v>48752</v>
      </c>
      <c r="C149" s="2" t="s">
        <v>619</v>
      </c>
      <c r="D149" s="2" t="s">
        <v>620</v>
      </c>
      <c r="E149" s="2" t="s">
        <v>1663</v>
      </c>
      <c r="F149" s="2">
        <v>25022142</v>
      </c>
      <c r="G149" s="3">
        <v>35.449315068493149</v>
      </c>
      <c r="H149" s="2" t="s">
        <v>622</v>
      </c>
      <c r="I149" s="2" t="s">
        <v>1664</v>
      </c>
      <c r="J149" s="2" t="str">
        <f>+IF(BD[[#This Row],[DEPARTAMENTO_INSS]]="MANAGUA","_01_","_02_")</f>
        <v>_02_</v>
      </c>
      <c r="K149" s="2" t="str">
        <f>+CONCATENATE(BD[[#This Row],[Columna3]],BD[[#This Row],[Columna4]],BD[[#This Row],[NOMBRE COMPLETO]])</f>
        <v>E003_02_JENY MAYELA BLANDON MONZON</v>
      </c>
      <c r="L149" s="2" t="s">
        <v>1665</v>
      </c>
      <c r="M149" s="2" t="s">
        <v>1666</v>
      </c>
      <c r="N149" s="2" t="s">
        <v>159</v>
      </c>
      <c r="O149" s="2" t="s">
        <v>1667</v>
      </c>
      <c r="P149" s="2" t="s">
        <v>626</v>
      </c>
      <c r="Q149" s="2" t="s">
        <v>351</v>
      </c>
      <c r="R149" s="2">
        <v>31857</v>
      </c>
      <c r="S149" s="2">
        <v>31857</v>
      </c>
      <c r="T149" s="2" t="s">
        <v>659</v>
      </c>
      <c r="U149" s="2" t="s">
        <v>659</v>
      </c>
      <c r="V149" s="2" t="s">
        <v>660</v>
      </c>
      <c r="W149" s="2" t="s">
        <v>661</v>
      </c>
      <c r="X149" s="2" t="s">
        <v>1668</v>
      </c>
      <c r="Y149" s="2" t="s">
        <v>1669</v>
      </c>
      <c r="AA149" s="2" t="s">
        <v>1670</v>
      </c>
      <c r="AB149" s="2" t="s">
        <v>631</v>
      </c>
      <c r="AC149" s="2" t="s">
        <v>632</v>
      </c>
      <c r="AE149" s="2">
        <v>87342021</v>
      </c>
      <c r="AJ149" s="2">
        <v>87342021</v>
      </c>
      <c r="AK149" s="2">
        <v>2</v>
      </c>
      <c r="AL149" s="2" t="s">
        <v>633</v>
      </c>
      <c r="AM149" s="2">
        <v>0</v>
      </c>
      <c r="AN149" s="2">
        <v>0</v>
      </c>
      <c r="AO149" s="2">
        <v>1</v>
      </c>
      <c r="AP149" s="2">
        <v>0</v>
      </c>
      <c r="AQ149" s="2">
        <v>0</v>
      </c>
      <c r="AR149" s="2">
        <v>0</v>
      </c>
      <c r="AS149" s="2">
        <v>0</v>
      </c>
      <c r="AT149" s="2">
        <v>0</v>
      </c>
      <c r="BB149" s="2" t="str">
        <f>+PROPER(BD[[#This Row],[PRIMER_APELLIDO]])</f>
        <v>Blandon</v>
      </c>
    </row>
    <row r="150" spans="1:54" x14ac:dyDescent="0.25">
      <c r="A150" s="2">
        <v>149</v>
      </c>
      <c r="B150" s="2">
        <v>70834</v>
      </c>
      <c r="C150" s="2" t="s">
        <v>619</v>
      </c>
      <c r="D150" s="2" t="s">
        <v>620</v>
      </c>
      <c r="E150" s="2" t="s">
        <v>1671</v>
      </c>
      <c r="G150" s="3">
        <v>35.452054794520549</v>
      </c>
      <c r="H150" s="2" t="s">
        <v>622</v>
      </c>
      <c r="I150" s="2" t="s">
        <v>1672</v>
      </c>
      <c r="J150" s="2" t="str">
        <f>+IF(BD[[#This Row],[DEPARTAMENTO_INSS]]="MANAGUA","_01_","_02_")</f>
        <v>_02_</v>
      </c>
      <c r="K150" s="2" t="str">
        <f>+CONCATENATE(BD[[#This Row],[Columna3]],BD[[#This Row],[Columna4]],BD[[#This Row],[NOMBRE COMPLETO]])</f>
        <v>E003_02_NAVARRO DANILO ERANTS SEBASTIAN</v>
      </c>
      <c r="L150" s="2" t="s">
        <v>115</v>
      </c>
      <c r="M150" s="2" t="s">
        <v>1659</v>
      </c>
      <c r="N150" s="2" t="s">
        <v>354</v>
      </c>
      <c r="O150" s="2" t="s">
        <v>1673</v>
      </c>
      <c r="P150" s="2" t="s">
        <v>649</v>
      </c>
      <c r="Q150" s="2" t="s">
        <v>351</v>
      </c>
      <c r="R150" s="2">
        <v>31856</v>
      </c>
      <c r="S150" s="2">
        <v>31856</v>
      </c>
      <c r="T150" s="2" t="s">
        <v>1005</v>
      </c>
      <c r="U150" s="2" t="s">
        <v>1005</v>
      </c>
      <c r="V150" s="2" t="s">
        <v>1674</v>
      </c>
      <c r="W150" s="2" t="s">
        <v>1674</v>
      </c>
      <c r="X150" s="2" t="s">
        <v>1675</v>
      </c>
      <c r="Y150" s="2" t="s">
        <v>1676</v>
      </c>
      <c r="Z150" s="2">
        <v>86106460</v>
      </c>
      <c r="AB150" s="2" t="s">
        <v>654</v>
      </c>
      <c r="AC150" s="2" t="s">
        <v>632</v>
      </c>
      <c r="AD150" s="2">
        <v>86106460</v>
      </c>
      <c r="AJ150" s="2">
        <v>86106460</v>
      </c>
      <c r="AK150" s="2">
        <v>1</v>
      </c>
      <c r="AL150" s="2" t="s">
        <v>633</v>
      </c>
      <c r="AM150" s="2">
        <v>0</v>
      </c>
      <c r="AN150" s="2">
        <v>0</v>
      </c>
      <c r="AO150" s="2">
        <v>1</v>
      </c>
      <c r="AP150" s="2">
        <v>0</v>
      </c>
      <c r="AQ150" s="2">
        <v>0</v>
      </c>
      <c r="AR150" s="2">
        <v>0</v>
      </c>
      <c r="AS150" s="2">
        <v>0</v>
      </c>
      <c r="AT150" s="2">
        <v>0</v>
      </c>
      <c r="AZ150" s="2" t="s">
        <v>1677</v>
      </c>
      <c r="BB150" s="2" t="str">
        <f>+PROPER(BD[[#This Row],[PRIMER_APELLIDO]])</f>
        <v>Erants</v>
      </c>
    </row>
    <row r="151" spans="1:54" x14ac:dyDescent="0.25">
      <c r="A151" s="2">
        <v>150</v>
      </c>
      <c r="B151" s="2">
        <v>73712</v>
      </c>
      <c r="C151" s="2" t="s">
        <v>619</v>
      </c>
      <c r="D151" s="2" t="s">
        <v>620</v>
      </c>
      <c r="E151" s="2" t="s">
        <v>1678</v>
      </c>
      <c r="G151" s="3">
        <v>35.454794520547942</v>
      </c>
      <c r="H151" s="2" t="s">
        <v>622</v>
      </c>
      <c r="I151" s="2" t="s">
        <v>1679</v>
      </c>
      <c r="J151" s="2" t="str">
        <f>+IF(BD[[#This Row],[DEPARTAMENTO_INSS]]="MANAGUA","_01_","_02_")</f>
        <v>_02_</v>
      </c>
      <c r="K151" s="2" t="str">
        <f>+CONCATENATE(BD[[#This Row],[Columna3]],BD[[#This Row],[Columna4]],BD[[#This Row],[NOMBRE COMPLETO]])</f>
        <v>E003_02_EXEQUIEL AGUINAGA CRUZ</v>
      </c>
      <c r="L151" s="2" t="s">
        <v>1680</v>
      </c>
      <c r="N151" s="2" t="s">
        <v>386</v>
      </c>
      <c r="O151" s="2" t="s">
        <v>32</v>
      </c>
      <c r="P151" s="2" t="s">
        <v>649</v>
      </c>
      <c r="Q151" s="2" t="s">
        <v>351</v>
      </c>
      <c r="R151" s="2">
        <v>31855</v>
      </c>
      <c r="S151" s="2">
        <v>31855</v>
      </c>
      <c r="T151" s="2" t="s">
        <v>627</v>
      </c>
      <c r="U151" s="2" t="s">
        <v>780</v>
      </c>
      <c r="V151" s="2" t="s">
        <v>627</v>
      </c>
      <c r="W151" s="2" t="s">
        <v>781</v>
      </c>
      <c r="X151" s="2" t="s">
        <v>1681</v>
      </c>
      <c r="Y151" s="2" t="s">
        <v>1682</v>
      </c>
      <c r="Z151" s="2">
        <v>89256711</v>
      </c>
      <c r="AA151" s="2">
        <v>89256711</v>
      </c>
      <c r="AB151" s="2" t="s">
        <v>798</v>
      </c>
      <c r="AC151" s="2" t="s">
        <v>632</v>
      </c>
      <c r="AD151" s="2">
        <v>89256711</v>
      </c>
      <c r="AJ151" s="2">
        <v>89256711</v>
      </c>
      <c r="AK151" s="2">
        <v>2</v>
      </c>
      <c r="AL151" s="2" t="s">
        <v>633</v>
      </c>
      <c r="AM151" s="2">
        <v>0</v>
      </c>
      <c r="AN151" s="2">
        <v>0</v>
      </c>
      <c r="AO151" s="2">
        <v>1</v>
      </c>
      <c r="AP151" s="2">
        <v>0</v>
      </c>
      <c r="AQ151" s="2">
        <v>0</v>
      </c>
      <c r="AR151" s="2">
        <v>0</v>
      </c>
      <c r="AS151" s="2">
        <v>0</v>
      </c>
      <c r="AT151" s="2">
        <v>0</v>
      </c>
      <c r="AZ151" s="2" t="s">
        <v>1683</v>
      </c>
      <c r="BB151" s="2" t="str">
        <f>+PROPER(BD[[#This Row],[PRIMER_APELLIDO]])</f>
        <v>Aguinaga</v>
      </c>
    </row>
    <row r="152" spans="1:54" x14ac:dyDescent="0.25">
      <c r="A152" s="2">
        <v>151</v>
      </c>
      <c r="B152" s="2">
        <v>67830</v>
      </c>
      <c r="C152" s="2" t="s">
        <v>619</v>
      </c>
      <c r="D152" s="2" t="s">
        <v>620</v>
      </c>
      <c r="E152" s="2" t="s">
        <v>1684</v>
      </c>
      <c r="G152" s="3">
        <v>35.465753424657535</v>
      </c>
      <c r="H152" s="2" t="s">
        <v>622</v>
      </c>
      <c r="I152" s="2" t="s">
        <v>1685</v>
      </c>
      <c r="J152" s="2" t="str">
        <f>+IF(BD[[#This Row],[DEPARTAMENTO_INSS]]="MANAGUA","_01_","_02_")</f>
        <v>_02_</v>
      </c>
      <c r="K152" s="2" t="str">
        <f>+CONCATENATE(BD[[#This Row],[Columna3]],BD[[#This Row],[Columna4]],BD[[#This Row],[NOMBRE COMPLETO]])</f>
        <v>E003_02_HENRY MEZA MAIRENA</v>
      </c>
      <c r="L152" s="2" t="s">
        <v>1686</v>
      </c>
      <c r="N152" s="2" t="s">
        <v>218</v>
      </c>
      <c r="O152" s="2" t="s">
        <v>427</v>
      </c>
      <c r="P152" s="2" t="s">
        <v>649</v>
      </c>
      <c r="Q152" s="2" t="s">
        <v>351</v>
      </c>
      <c r="R152" s="2">
        <v>31851</v>
      </c>
      <c r="S152" s="2">
        <v>31851</v>
      </c>
      <c r="T152" s="2" t="s">
        <v>1191</v>
      </c>
      <c r="U152" s="2" t="s">
        <v>1191</v>
      </c>
      <c r="V152" s="2" t="s">
        <v>1300</v>
      </c>
      <c r="W152" s="2" t="s">
        <v>1300</v>
      </c>
      <c r="X152" s="2" t="s">
        <v>1687</v>
      </c>
      <c r="Y152" s="2" t="s">
        <v>1688</v>
      </c>
      <c r="Z152" s="2">
        <v>76677475</v>
      </c>
      <c r="AA152" s="2">
        <v>85288424</v>
      </c>
      <c r="AB152" s="2" t="s">
        <v>654</v>
      </c>
      <c r="AC152" s="2" t="s">
        <v>632</v>
      </c>
      <c r="AD152" s="2">
        <v>76677475</v>
      </c>
      <c r="AF152" s="2">
        <v>85288424</v>
      </c>
      <c r="AJ152" s="2">
        <v>76677475</v>
      </c>
      <c r="AK152" s="2">
        <v>2</v>
      </c>
      <c r="AL152" s="2" t="s">
        <v>633</v>
      </c>
      <c r="AM152" s="2">
        <v>0</v>
      </c>
      <c r="AN152" s="2">
        <v>0</v>
      </c>
      <c r="AO152" s="2">
        <v>1</v>
      </c>
      <c r="AP152" s="2">
        <v>0</v>
      </c>
      <c r="AQ152" s="2">
        <v>0</v>
      </c>
      <c r="AR152" s="2">
        <v>0</v>
      </c>
      <c r="AS152" s="2">
        <v>0</v>
      </c>
      <c r="AT152" s="2">
        <v>0</v>
      </c>
      <c r="AZ152" s="2" t="s">
        <v>1689</v>
      </c>
      <c r="BB152" s="2" t="str">
        <f>+PROPER(BD[[#This Row],[PRIMER_APELLIDO]])</f>
        <v>Meza</v>
      </c>
    </row>
    <row r="153" spans="1:54" x14ac:dyDescent="0.25">
      <c r="A153" s="2">
        <v>152</v>
      </c>
      <c r="B153" s="2">
        <v>40739</v>
      </c>
      <c r="C153" s="2" t="s">
        <v>619</v>
      </c>
      <c r="D153" s="2" t="s">
        <v>620</v>
      </c>
      <c r="E153" s="2" t="s">
        <v>1690</v>
      </c>
      <c r="F153" s="2">
        <v>28023894</v>
      </c>
      <c r="G153" s="3">
        <v>35.468493150684928</v>
      </c>
      <c r="H153" s="2" t="s">
        <v>622</v>
      </c>
      <c r="I153" s="2" t="s">
        <v>1691</v>
      </c>
      <c r="J153" s="2" t="str">
        <f>+IF(BD[[#This Row],[DEPARTAMENTO_INSS]]="MANAGUA","_01_","_02_")</f>
        <v>_02_</v>
      </c>
      <c r="K153" s="2" t="str">
        <f>+CONCATENATE(BD[[#This Row],[Columna3]],BD[[#This Row],[Columna4]],BD[[#This Row],[NOMBRE COMPLETO]])</f>
        <v>E003_02_JOSE FRANCISCO RAMIREZ ZAMORA</v>
      </c>
      <c r="L153" s="2" t="s">
        <v>243</v>
      </c>
      <c r="M153" s="2" t="s">
        <v>1692</v>
      </c>
      <c r="N153" s="2" t="s">
        <v>38</v>
      </c>
      <c r="O153" s="2" t="s">
        <v>149</v>
      </c>
      <c r="P153" s="2" t="s">
        <v>649</v>
      </c>
      <c r="Q153" s="2" t="s">
        <v>351</v>
      </c>
      <c r="R153" s="2">
        <v>31850</v>
      </c>
      <c r="S153" s="2">
        <v>31850</v>
      </c>
      <c r="T153" s="2" t="s">
        <v>176</v>
      </c>
      <c r="U153" s="2" t="s">
        <v>691</v>
      </c>
      <c r="V153" s="2" t="s">
        <v>650</v>
      </c>
      <c r="W153" s="2" t="s">
        <v>1693</v>
      </c>
      <c r="X153" s="2" t="s">
        <v>1694</v>
      </c>
      <c r="Y153" s="2" t="s">
        <v>1695</v>
      </c>
      <c r="AA153" s="2" t="s">
        <v>1696</v>
      </c>
      <c r="AB153" s="2" t="s">
        <v>654</v>
      </c>
      <c r="AC153" s="2" t="s">
        <v>632</v>
      </c>
      <c r="AE153" s="2">
        <v>88583599</v>
      </c>
      <c r="AJ153" s="2">
        <v>88583599</v>
      </c>
      <c r="AK153" s="2">
        <v>2</v>
      </c>
      <c r="AL153" s="2" t="s">
        <v>633</v>
      </c>
      <c r="AM153" s="2">
        <v>0</v>
      </c>
      <c r="AN153" s="2">
        <v>0</v>
      </c>
      <c r="AO153" s="2">
        <v>1</v>
      </c>
      <c r="AP153" s="2">
        <v>0</v>
      </c>
      <c r="AQ153" s="2">
        <v>0</v>
      </c>
      <c r="AR153" s="2">
        <v>0</v>
      </c>
      <c r="AS153" s="2">
        <v>0</v>
      </c>
      <c r="AT153" s="2">
        <v>0</v>
      </c>
      <c r="BB153" s="2" t="str">
        <f>+PROPER(BD[[#This Row],[PRIMER_APELLIDO]])</f>
        <v>Ramirez</v>
      </c>
    </row>
    <row r="154" spans="1:54" x14ac:dyDescent="0.25">
      <c r="A154" s="2">
        <v>153</v>
      </c>
      <c r="B154" s="2">
        <v>64481</v>
      </c>
      <c r="C154" s="2" t="s">
        <v>619</v>
      </c>
      <c r="D154" s="2" t="s">
        <v>620</v>
      </c>
      <c r="E154" s="2" t="s">
        <v>1697</v>
      </c>
      <c r="G154" s="3">
        <v>35.468493150684928</v>
      </c>
      <c r="H154" s="2" t="s">
        <v>622</v>
      </c>
      <c r="I154" s="2" t="s">
        <v>1698</v>
      </c>
      <c r="J154" s="2" t="str">
        <f>+IF(BD[[#This Row],[DEPARTAMENTO_INSS]]="MANAGUA","_01_","_02_")</f>
        <v>_02_</v>
      </c>
      <c r="K154" s="2" t="str">
        <f>+CONCATENATE(BD[[#This Row],[Columna3]],BD[[#This Row],[Columna4]],BD[[#This Row],[NOMBRE COMPLETO]])</f>
        <v>E003_02_CARLOS ALBERTO MENA ARAUZ</v>
      </c>
      <c r="L154" s="2" t="s">
        <v>826</v>
      </c>
      <c r="M154" s="2" t="s">
        <v>1699</v>
      </c>
      <c r="N154" s="2" t="s">
        <v>319</v>
      </c>
      <c r="O154" s="2" t="s">
        <v>174</v>
      </c>
      <c r="P154" s="2" t="s">
        <v>649</v>
      </c>
      <c r="Q154" s="2" t="s">
        <v>351</v>
      </c>
      <c r="R154" s="2">
        <v>31850</v>
      </c>
      <c r="S154" s="2">
        <v>31850</v>
      </c>
      <c r="T154" s="2" t="s">
        <v>627</v>
      </c>
      <c r="U154" s="2" t="s">
        <v>669</v>
      </c>
      <c r="V154" s="2" t="s">
        <v>627</v>
      </c>
      <c r="W154" s="2" t="s">
        <v>670</v>
      </c>
      <c r="X154" s="2" t="s">
        <v>1700</v>
      </c>
      <c r="Y154" s="2" t="s">
        <v>1701</v>
      </c>
      <c r="Z154" s="2">
        <v>84960131</v>
      </c>
      <c r="AA154" s="2" t="s">
        <v>1702</v>
      </c>
      <c r="AB154" s="2" t="s">
        <v>654</v>
      </c>
      <c r="AC154" s="2" t="s">
        <v>632</v>
      </c>
      <c r="AD154" s="2">
        <v>84960131</v>
      </c>
      <c r="AE154" s="2">
        <v>84690131</v>
      </c>
      <c r="AJ154" s="2">
        <v>84960131</v>
      </c>
      <c r="AK154" s="2">
        <v>3</v>
      </c>
      <c r="AL154" s="2" t="s">
        <v>633</v>
      </c>
      <c r="AM154" s="2">
        <v>0</v>
      </c>
      <c r="AN154" s="2">
        <v>0</v>
      </c>
      <c r="AO154" s="2">
        <v>1</v>
      </c>
      <c r="AP154" s="2">
        <v>0</v>
      </c>
      <c r="AQ154" s="2">
        <v>0</v>
      </c>
      <c r="AR154" s="2">
        <v>0</v>
      </c>
      <c r="AS154" s="2">
        <v>0</v>
      </c>
      <c r="AT154" s="2">
        <v>0</v>
      </c>
      <c r="BB154" s="2" t="str">
        <f>+PROPER(BD[[#This Row],[PRIMER_APELLIDO]])</f>
        <v>Mena</v>
      </c>
    </row>
    <row r="155" spans="1:54" x14ac:dyDescent="0.25">
      <c r="A155" s="2">
        <v>154</v>
      </c>
      <c r="B155" s="2">
        <v>49229</v>
      </c>
      <c r="C155" s="2" t="s">
        <v>619</v>
      </c>
      <c r="D155" s="2" t="s">
        <v>620</v>
      </c>
      <c r="E155" s="2" t="s">
        <v>1703</v>
      </c>
      <c r="F155" s="2">
        <v>25023893</v>
      </c>
      <c r="G155" s="3">
        <v>35.479452054794521</v>
      </c>
      <c r="H155" s="2" t="s">
        <v>622</v>
      </c>
      <c r="I155" s="2" t="s">
        <v>1704</v>
      </c>
      <c r="J155" s="2" t="str">
        <f>+IF(BD[[#This Row],[DEPARTAMENTO_INSS]]="MANAGUA","_01_","_02_")</f>
        <v>_02_</v>
      </c>
      <c r="K155" s="2" t="str">
        <f>+CONCATENATE(BD[[#This Row],[Columna3]],BD[[#This Row],[Columna4]],BD[[#This Row],[NOMBRE COMPLETO]])</f>
        <v>E003_02_MASSIELL KAROLINA ZELEDON ZELEDON</v>
      </c>
      <c r="L155" s="2" t="s">
        <v>1705</v>
      </c>
      <c r="M155" s="2" t="s">
        <v>1706</v>
      </c>
      <c r="N155" s="2" t="s">
        <v>151</v>
      </c>
      <c r="O155" s="2" t="s">
        <v>151</v>
      </c>
      <c r="P155" s="2" t="s">
        <v>626</v>
      </c>
      <c r="Q155" s="2" t="s">
        <v>351</v>
      </c>
      <c r="R155" s="2">
        <v>31846</v>
      </c>
      <c r="S155" s="2">
        <v>31846</v>
      </c>
      <c r="T155" s="2" t="s">
        <v>691</v>
      </c>
      <c r="U155" s="2" t="s">
        <v>691</v>
      </c>
      <c r="V155" s="2" t="s">
        <v>716</v>
      </c>
      <c r="W155" s="2" t="s">
        <v>691</v>
      </c>
      <c r="X155" s="2" t="s">
        <v>1707</v>
      </c>
      <c r="Y155" s="2" t="s">
        <v>1708</v>
      </c>
      <c r="Z155" s="2">
        <v>88203921</v>
      </c>
      <c r="AA155" s="2">
        <v>89486164</v>
      </c>
      <c r="AB155" s="2" t="s">
        <v>631</v>
      </c>
      <c r="AC155" s="2" t="s">
        <v>632</v>
      </c>
      <c r="AD155" s="2">
        <v>88203921</v>
      </c>
      <c r="AF155" s="2">
        <v>89486164</v>
      </c>
      <c r="AJ155" s="2">
        <v>88203921</v>
      </c>
      <c r="AK155" s="2">
        <v>2</v>
      </c>
      <c r="AL155" s="2" t="s">
        <v>633</v>
      </c>
      <c r="AM155" s="2">
        <v>0</v>
      </c>
      <c r="AN155" s="2">
        <v>0</v>
      </c>
      <c r="AO155" s="2">
        <v>1</v>
      </c>
      <c r="AP155" s="2">
        <v>0</v>
      </c>
      <c r="AQ155" s="2">
        <v>0</v>
      </c>
      <c r="AR155" s="2">
        <v>0</v>
      </c>
      <c r="AS155" s="2">
        <v>0</v>
      </c>
      <c r="AT155" s="2">
        <v>0</v>
      </c>
      <c r="BB155" s="2" t="str">
        <f>+PROPER(BD[[#This Row],[PRIMER_APELLIDO]])</f>
        <v>Zeledon</v>
      </c>
    </row>
    <row r="156" spans="1:54" x14ac:dyDescent="0.25">
      <c r="A156" s="2">
        <v>155</v>
      </c>
      <c r="B156" s="2">
        <v>43617</v>
      </c>
      <c r="C156" s="2" t="s">
        <v>619</v>
      </c>
      <c r="D156" s="2" t="s">
        <v>620</v>
      </c>
      <c r="E156" s="2" t="s">
        <v>1709</v>
      </c>
      <c r="F156" s="2">
        <v>24232911</v>
      </c>
      <c r="G156" s="3">
        <v>35.482191780821921</v>
      </c>
      <c r="H156" s="2" t="s">
        <v>622</v>
      </c>
      <c r="I156" s="2" t="s">
        <v>1710</v>
      </c>
      <c r="J156" s="2" t="str">
        <f>+IF(BD[[#This Row],[DEPARTAMENTO_INSS]]="MANAGUA","_01_","_02_")</f>
        <v>_01_</v>
      </c>
      <c r="K156" s="2" t="str">
        <f>+CONCATENATE(BD[[#This Row],[Columna3]],BD[[#This Row],[Columna4]],BD[[#This Row],[NOMBRE COMPLETO]])</f>
        <v>E003_01_FRANCISCO STEVE CONTRERAS BERMUDEZ</v>
      </c>
      <c r="L156" s="2" t="s">
        <v>1692</v>
      </c>
      <c r="M156" s="2" t="s">
        <v>1711</v>
      </c>
      <c r="N156" s="2" t="s">
        <v>189</v>
      </c>
      <c r="O156" s="2" t="s">
        <v>315</v>
      </c>
      <c r="P156" s="2" t="s">
        <v>649</v>
      </c>
      <c r="Q156" s="2" t="s">
        <v>351</v>
      </c>
      <c r="R156" s="2">
        <v>31845</v>
      </c>
      <c r="S156" s="2">
        <v>31845</v>
      </c>
      <c r="T156" s="2" t="s">
        <v>627</v>
      </c>
      <c r="U156" s="2" t="s">
        <v>627</v>
      </c>
      <c r="V156" s="2" t="s">
        <v>627</v>
      </c>
      <c r="W156" s="2" t="s">
        <v>627</v>
      </c>
      <c r="X156" s="2" t="s">
        <v>1712</v>
      </c>
      <c r="Y156" s="2" t="s">
        <v>1713</v>
      </c>
      <c r="Z156" s="2" t="s">
        <v>1714</v>
      </c>
      <c r="AA156" s="2">
        <v>81468277</v>
      </c>
      <c r="AB156" s="2" t="s">
        <v>654</v>
      </c>
      <c r="AC156" s="2" t="s">
        <v>632</v>
      </c>
      <c r="AD156" s="2">
        <v>58110213</v>
      </c>
      <c r="AE156" s="2">
        <v>81468277</v>
      </c>
      <c r="AJ156" s="2">
        <v>58110213</v>
      </c>
      <c r="AK156" s="2">
        <v>3</v>
      </c>
      <c r="AL156" s="2" t="s">
        <v>633</v>
      </c>
      <c r="AM156" s="2">
        <v>0</v>
      </c>
      <c r="AN156" s="2">
        <v>0</v>
      </c>
      <c r="AO156" s="2">
        <v>1</v>
      </c>
      <c r="AP156" s="2">
        <v>0</v>
      </c>
      <c r="AQ156" s="2">
        <v>0</v>
      </c>
      <c r="AR156" s="2">
        <v>0</v>
      </c>
      <c r="AS156" s="2">
        <v>0</v>
      </c>
      <c r="AT156" s="2">
        <v>0</v>
      </c>
      <c r="AZ156" s="2" t="s">
        <v>1715</v>
      </c>
      <c r="BB156" s="2" t="str">
        <f>+PROPER(BD[[#This Row],[PRIMER_APELLIDO]])</f>
        <v>Contreras</v>
      </c>
    </row>
    <row r="157" spans="1:54" x14ac:dyDescent="0.25">
      <c r="A157" s="2">
        <v>156</v>
      </c>
      <c r="B157" s="2">
        <v>57368</v>
      </c>
      <c r="C157" s="2" t="s">
        <v>619</v>
      </c>
      <c r="D157" s="2" t="s">
        <v>620</v>
      </c>
      <c r="E157" s="2" t="s">
        <v>1716</v>
      </c>
      <c r="G157" s="3">
        <v>35.490410958904107</v>
      </c>
      <c r="H157" s="2" t="s">
        <v>622</v>
      </c>
      <c r="I157" s="2" t="s">
        <v>1717</v>
      </c>
      <c r="J157" s="2" t="str">
        <f>+IF(BD[[#This Row],[DEPARTAMENTO_INSS]]="MANAGUA","_01_","_02_")</f>
        <v>_02_</v>
      </c>
      <c r="K157" s="2" t="str">
        <f>+CONCATENATE(BD[[#This Row],[Columna3]],BD[[#This Row],[Columna4]],BD[[#This Row],[NOMBRE COMPLETO]])</f>
        <v>E003_02_NOEL LEON RUIZ</v>
      </c>
      <c r="L157" s="2" t="s">
        <v>1718</v>
      </c>
      <c r="N157" s="2" t="s">
        <v>176</v>
      </c>
      <c r="O157" s="2" t="s">
        <v>84</v>
      </c>
      <c r="P157" s="2" t="s">
        <v>649</v>
      </c>
      <c r="Q157" s="2" t="s">
        <v>351</v>
      </c>
      <c r="R157" s="2">
        <v>31842</v>
      </c>
      <c r="S157" s="2">
        <v>31842</v>
      </c>
      <c r="T157" s="2" t="s">
        <v>1191</v>
      </c>
      <c r="U157" s="2" t="s">
        <v>1191</v>
      </c>
      <c r="V157" s="2" t="s">
        <v>1300</v>
      </c>
      <c r="W157" s="2" t="s">
        <v>1300</v>
      </c>
      <c r="X157" s="2" t="s">
        <v>1719</v>
      </c>
      <c r="Y157" s="2" t="s">
        <v>1720</v>
      </c>
      <c r="Z157" s="2">
        <v>57508856</v>
      </c>
      <c r="AA157" s="2">
        <v>57508856</v>
      </c>
      <c r="AB157" s="2" t="s">
        <v>798</v>
      </c>
      <c r="AC157" s="2" t="s">
        <v>632</v>
      </c>
      <c r="AD157" s="2">
        <v>57508856</v>
      </c>
      <c r="AJ157" s="2">
        <v>57508856</v>
      </c>
      <c r="AK157" s="2">
        <v>2</v>
      </c>
      <c r="AL157" s="2" t="s">
        <v>633</v>
      </c>
      <c r="AM157" s="2">
        <v>0</v>
      </c>
      <c r="AN157" s="2">
        <v>0</v>
      </c>
      <c r="AO157" s="2">
        <v>1</v>
      </c>
      <c r="AP157" s="2">
        <v>0</v>
      </c>
      <c r="AQ157" s="2">
        <v>0</v>
      </c>
      <c r="AR157" s="2">
        <v>0</v>
      </c>
      <c r="AS157" s="2">
        <v>0</v>
      </c>
      <c r="AT157" s="2">
        <v>0</v>
      </c>
      <c r="AZ157" s="2" t="s">
        <v>1721</v>
      </c>
      <c r="BB157" s="2" t="str">
        <f>+PROPER(BD[[#This Row],[PRIMER_APELLIDO]])</f>
        <v>Leon</v>
      </c>
    </row>
    <row r="158" spans="1:54" x14ac:dyDescent="0.25">
      <c r="A158" s="2">
        <v>157</v>
      </c>
      <c r="B158" s="2">
        <v>37433</v>
      </c>
      <c r="C158" s="2" t="s">
        <v>619</v>
      </c>
      <c r="D158" s="2" t="s">
        <v>620</v>
      </c>
      <c r="E158" s="2" t="s">
        <v>1722</v>
      </c>
      <c r="F158" s="2">
        <v>26870191</v>
      </c>
      <c r="G158" s="3">
        <v>35.493150684931507</v>
      </c>
      <c r="H158" s="2" t="s">
        <v>622</v>
      </c>
      <c r="I158" s="2" t="s">
        <v>1723</v>
      </c>
      <c r="J158" s="2" t="str">
        <f>+IF(BD[[#This Row],[DEPARTAMENTO_INSS]]="MANAGUA","_01_","_02_")</f>
        <v>_01_</v>
      </c>
      <c r="K158" s="2" t="str">
        <f>+CONCATENATE(BD[[#This Row],[Columna3]],BD[[#This Row],[Columna4]],BD[[#This Row],[NOMBRE COMPLETO]])</f>
        <v>E003_01_JOSE RICARGO MENECES PERAZA</v>
      </c>
      <c r="L158" s="2" t="s">
        <v>243</v>
      </c>
      <c r="M158" s="2" t="s">
        <v>1724</v>
      </c>
      <c r="N158" s="2" t="s">
        <v>316</v>
      </c>
      <c r="O158" s="2" t="s">
        <v>1725</v>
      </c>
      <c r="P158" s="2" t="s">
        <v>649</v>
      </c>
      <c r="Q158" s="2" t="s">
        <v>351</v>
      </c>
      <c r="R158" s="2">
        <v>31841</v>
      </c>
      <c r="S158" s="2">
        <v>31841</v>
      </c>
      <c r="U158" s="2" t="s">
        <v>627</v>
      </c>
      <c r="W158" s="2" t="s">
        <v>627</v>
      </c>
      <c r="X158" s="2" t="s">
        <v>1726</v>
      </c>
      <c r="Y158" s="2" t="s">
        <v>1727</v>
      </c>
      <c r="AA158" s="2">
        <v>84840070</v>
      </c>
      <c r="AB158" s="2" t="s">
        <v>654</v>
      </c>
      <c r="AC158" s="2" t="s">
        <v>632</v>
      </c>
      <c r="AD158" s="2">
        <v>84840070</v>
      </c>
      <c r="AJ158" s="2">
        <v>84840070</v>
      </c>
      <c r="AK158" s="2">
        <v>1</v>
      </c>
      <c r="AL158" s="2" t="s">
        <v>633</v>
      </c>
      <c r="AM158" s="2">
        <v>0</v>
      </c>
      <c r="AN158" s="2">
        <v>0</v>
      </c>
      <c r="AO158" s="2">
        <v>1</v>
      </c>
      <c r="AP158" s="2">
        <v>0</v>
      </c>
      <c r="AQ158" s="2">
        <v>0</v>
      </c>
      <c r="AR158" s="2">
        <v>0</v>
      </c>
      <c r="AS158" s="2">
        <v>0</v>
      </c>
      <c r="AT158" s="2">
        <v>0</v>
      </c>
      <c r="BB158" s="2" t="str">
        <f>+PROPER(BD[[#This Row],[PRIMER_APELLIDO]])</f>
        <v>Meneces</v>
      </c>
    </row>
    <row r="159" spans="1:54" x14ac:dyDescent="0.25">
      <c r="A159" s="2">
        <v>158</v>
      </c>
      <c r="B159" s="2">
        <v>58558</v>
      </c>
      <c r="C159" s="2" t="s">
        <v>619</v>
      </c>
      <c r="D159" s="2" t="s">
        <v>620</v>
      </c>
      <c r="E159" s="2" t="s">
        <v>1728</v>
      </c>
      <c r="G159" s="3">
        <v>35.495890410958907</v>
      </c>
      <c r="H159" s="2" t="s">
        <v>622</v>
      </c>
      <c r="I159" s="2" t="s">
        <v>1729</v>
      </c>
      <c r="J159" s="2" t="str">
        <f>+IF(BD[[#This Row],[DEPARTAMENTO_INSS]]="MANAGUA","_01_","_02_")</f>
        <v>_02_</v>
      </c>
      <c r="K159" s="2" t="str">
        <f>+CONCATENATE(BD[[#This Row],[Columna3]],BD[[#This Row],[Columna4]],BD[[#This Row],[NOMBRE COMPLETO]])</f>
        <v>E003_02_JOSE APARICIO ARTOLA NOGUERA</v>
      </c>
      <c r="L159" s="2" t="s">
        <v>243</v>
      </c>
      <c r="M159" s="2" t="s">
        <v>1730</v>
      </c>
      <c r="N159" s="2" t="s">
        <v>298</v>
      </c>
      <c r="O159" s="2" t="s">
        <v>352</v>
      </c>
      <c r="P159" s="2" t="s">
        <v>649</v>
      </c>
      <c r="Q159" s="2" t="s">
        <v>351</v>
      </c>
      <c r="R159" s="2">
        <v>31840</v>
      </c>
      <c r="S159" s="2">
        <v>31840</v>
      </c>
      <c r="T159" s="2" t="s">
        <v>627</v>
      </c>
      <c r="U159" s="2" t="s">
        <v>929</v>
      </c>
      <c r="V159" s="2" t="s">
        <v>1406</v>
      </c>
      <c r="W159" s="2" t="s">
        <v>1731</v>
      </c>
      <c r="X159" s="2" t="s">
        <v>1732</v>
      </c>
      <c r="Y159" s="2" t="s">
        <v>1733</v>
      </c>
      <c r="Z159" s="2">
        <v>84287283</v>
      </c>
      <c r="AA159" s="2">
        <v>58630365</v>
      </c>
      <c r="AB159" s="2" t="s">
        <v>798</v>
      </c>
      <c r="AC159" s="2" t="s">
        <v>632</v>
      </c>
      <c r="AD159" s="2">
        <v>84287283</v>
      </c>
      <c r="AF159" s="2">
        <v>58630365</v>
      </c>
      <c r="AJ159" s="2">
        <v>84287283</v>
      </c>
      <c r="AK159" s="2">
        <v>2</v>
      </c>
      <c r="AL159" s="2" t="s">
        <v>633</v>
      </c>
      <c r="AM159" s="2">
        <v>0</v>
      </c>
      <c r="AN159" s="2">
        <v>0</v>
      </c>
      <c r="AO159" s="2">
        <v>1</v>
      </c>
      <c r="AP159" s="2">
        <v>0</v>
      </c>
      <c r="AQ159" s="2">
        <v>0</v>
      </c>
      <c r="AR159" s="2">
        <v>0</v>
      </c>
      <c r="AS159" s="2">
        <v>0</v>
      </c>
      <c r="AT159" s="2">
        <v>0</v>
      </c>
      <c r="AZ159" s="2" t="s">
        <v>1734</v>
      </c>
      <c r="BB159" s="2" t="str">
        <f>+PROPER(BD[[#This Row],[PRIMER_APELLIDO]])</f>
        <v>Artola</v>
      </c>
    </row>
    <row r="160" spans="1:54" x14ac:dyDescent="0.25">
      <c r="A160" s="2">
        <v>159</v>
      </c>
      <c r="B160" s="2">
        <v>50293</v>
      </c>
      <c r="C160" s="2" t="s">
        <v>619</v>
      </c>
      <c r="D160" s="2" t="s">
        <v>620</v>
      </c>
      <c r="E160" s="2" t="s">
        <v>1735</v>
      </c>
      <c r="F160" s="2">
        <v>25024122</v>
      </c>
      <c r="G160" s="3">
        <v>35.4986301369863</v>
      </c>
      <c r="H160" s="2" t="s">
        <v>622</v>
      </c>
      <c r="I160" s="2" t="s">
        <v>1736</v>
      </c>
      <c r="J160" s="2" t="str">
        <f>+IF(BD[[#This Row],[DEPARTAMENTO_INSS]]="MANAGUA","_01_","_02_")</f>
        <v>_02_</v>
      </c>
      <c r="K160" s="2" t="str">
        <f>+CONCATENATE(BD[[#This Row],[Columna3]],BD[[#This Row],[Columna4]],BD[[#This Row],[NOMBRE COMPLETO]])</f>
        <v>E003_02_ALEYDA MARGARITA AGUINAGA PEREZ</v>
      </c>
      <c r="L160" s="2" t="s">
        <v>1737</v>
      </c>
      <c r="M160" s="2" t="s">
        <v>937</v>
      </c>
      <c r="N160" s="2" t="s">
        <v>386</v>
      </c>
      <c r="O160" s="2" t="s">
        <v>24</v>
      </c>
      <c r="P160" s="2" t="s">
        <v>626</v>
      </c>
      <c r="Q160" s="2" t="s">
        <v>351</v>
      </c>
      <c r="R160" s="2">
        <v>31839</v>
      </c>
      <c r="S160" s="2">
        <v>31839</v>
      </c>
      <c r="T160" s="2" t="s">
        <v>1104</v>
      </c>
      <c r="U160" s="2" t="s">
        <v>1104</v>
      </c>
      <c r="V160" s="2" t="s">
        <v>1738</v>
      </c>
      <c r="W160" s="2" t="s">
        <v>1739</v>
      </c>
      <c r="X160" s="2" t="s">
        <v>1740</v>
      </c>
      <c r="Y160" s="2" t="s">
        <v>1741</v>
      </c>
      <c r="Z160" s="2">
        <v>87301549</v>
      </c>
      <c r="AA160" s="2" t="s">
        <v>1742</v>
      </c>
      <c r="AB160" s="2" t="s">
        <v>631</v>
      </c>
      <c r="AC160" s="2" t="s">
        <v>632</v>
      </c>
      <c r="AD160" s="2">
        <v>87301549</v>
      </c>
      <c r="AE160" s="2">
        <v>88291131</v>
      </c>
      <c r="AJ160" s="2">
        <v>87301549</v>
      </c>
      <c r="AK160" s="2">
        <v>3</v>
      </c>
      <c r="AL160" s="2" t="s">
        <v>633</v>
      </c>
      <c r="AM160" s="2">
        <v>0</v>
      </c>
      <c r="AN160" s="2">
        <v>0</v>
      </c>
      <c r="AO160" s="2">
        <v>1</v>
      </c>
      <c r="AP160" s="2">
        <v>0</v>
      </c>
      <c r="AQ160" s="2">
        <v>0</v>
      </c>
      <c r="AR160" s="2">
        <v>0</v>
      </c>
      <c r="AS160" s="2">
        <v>0</v>
      </c>
      <c r="AT160" s="2">
        <v>0</v>
      </c>
      <c r="BB160" s="2" t="str">
        <f>+PROPER(BD[[#This Row],[PRIMER_APELLIDO]])</f>
        <v>Aguinaga</v>
      </c>
    </row>
    <row r="161" spans="1:54" x14ac:dyDescent="0.25">
      <c r="A161" s="2">
        <v>160</v>
      </c>
      <c r="B161" s="2">
        <v>51816</v>
      </c>
      <c r="C161" s="2" t="s">
        <v>619</v>
      </c>
      <c r="D161" s="2" t="s">
        <v>620</v>
      </c>
      <c r="E161" s="2" t="s">
        <v>1743</v>
      </c>
      <c r="F161" s="2">
        <v>25689484</v>
      </c>
      <c r="G161" s="3">
        <v>35.4986301369863</v>
      </c>
      <c r="H161" s="2" t="s">
        <v>622</v>
      </c>
      <c r="I161" s="2" t="s">
        <v>1744</v>
      </c>
      <c r="J161" s="2" t="str">
        <f>+IF(BD[[#This Row],[DEPARTAMENTO_INSS]]="MANAGUA","_01_","_02_")</f>
        <v>_01_</v>
      </c>
      <c r="K161" s="2" t="str">
        <f>+CONCATENATE(BD[[#This Row],[Columna3]],BD[[#This Row],[Columna4]],BD[[#This Row],[NOMBRE COMPLETO]])</f>
        <v>E003_01_YARA AMANDA ROMERO PASTRAN</v>
      </c>
      <c r="L161" s="2" t="s">
        <v>1745</v>
      </c>
      <c r="M161" s="2" t="s">
        <v>1746</v>
      </c>
      <c r="N161" s="2" t="s">
        <v>41</v>
      </c>
      <c r="O161" s="2" t="s">
        <v>1747</v>
      </c>
      <c r="P161" s="2" t="s">
        <v>626</v>
      </c>
      <c r="Q161" s="2" t="s">
        <v>351</v>
      </c>
      <c r="R161" s="2">
        <v>31839</v>
      </c>
      <c r="S161" s="2">
        <v>31839</v>
      </c>
      <c r="T161" s="2" t="s">
        <v>627</v>
      </c>
      <c r="U161" s="2" t="s">
        <v>627</v>
      </c>
      <c r="V161" s="2" t="s">
        <v>627</v>
      </c>
      <c r="W161" s="2" t="s">
        <v>627</v>
      </c>
      <c r="X161" s="2" t="s">
        <v>1748</v>
      </c>
      <c r="Y161" s="2" t="s">
        <v>1749</v>
      </c>
      <c r="AA161" s="2" t="s">
        <v>1750</v>
      </c>
      <c r="AB161" s="2" t="s">
        <v>642</v>
      </c>
      <c r="AC161" s="2" t="s">
        <v>632</v>
      </c>
      <c r="AE161" s="2">
        <v>88731116</v>
      </c>
      <c r="AJ161" s="2">
        <v>88731116</v>
      </c>
      <c r="AK161" s="2">
        <v>2</v>
      </c>
      <c r="AL161" s="2" t="s">
        <v>633</v>
      </c>
      <c r="AM161" s="2">
        <v>0</v>
      </c>
      <c r="AN161" s="2">
        <v>0</v>
      </c>
      <c r="AO161" s="2">
        <v>1</v>
      </c>
      <c r="AP161" s="2">
        <v>0</v>
      </c>
      <c r="AQ161" s="2">
        <v>0</v>
      </c>
      <c r="AR161" s="2">
        <v>0</v>
      </c>
      <c r="AS161" s="2">
        <v>0</v>
      </c>
      <c r="AT161" s="2">
        <v>0</v>
      </c>
      <c r="BB161" s="2" t="str">
        <f>+PROPER(BD[[#This Row],[PRIMER_APELLIDO]])</f>
        <v>Romero</v>
      </c>
    </row>
    <row r="162" spans="1:54" x14ac:dyDescent="0.25">
      <c r="A162" s="2">
        <v>161</v>
      </c>
      <c r="B162" s="2">
        <v>54421</v>
      </c>
      <c r="C162" s="2" t="s">
        <v>619</v>
      </c>
      <c r="D162" s="2" t="s">
        <v>620</v>
      </c>
      <c r="E162" s="2" t="s">
        <v>1751</v>
      </c>
      <c r="G162" s="3">
        <v>35.4986301369863</v>
      </c>
      <c r="H162" s="2" t="s">
        <v>622</v>
      </c>
      <c r="I162" s="2" t="s">
        <v>1752</v>
      </c>
      <c r="J162" s="2" t="str">
        <f>+IF(BD[[#This Row],[DEPARTAMENTO_INSS]]="MANAGUA","_01_","_02_")</f>
        <v>_02_</v>
      </c>
      <c r="K162" s="2" t="str">
        <f>+CONCATENATE(BD[[#This Row],[Columna3]],BD[[#This Row],[Columna4]],BD[[#This Row],[NOMBRE COMPLETO]])</f>
        <v>E003_02_AMALIA DEL CARMEN ROBLETO SEQUEIRA</v>
      </c>
      <c r="L162" s="2" t="s">
        <v>1753</v>
      </c>
      <c r="M162" s="2" t="s">
        <v>961</v>
      </c>
      <c r="N162" s="2" t="s">
        <v>142</v>
      </c>
      <c r="O162" s="2" t="s">
        <v>348</v>
      </c>
      <c r="P162" s="2" t="s">
        <v>626</v>
      </c>
      <c r="Q162" s="2" t="s">
        <v>351</v>
      </c>
      <c r="R162" s="2">
        <v>31839</v>
      </c>
      <c r="S162" s="2">
        <v>31839</v>
      </c>
      <c r="T162" s="2" t="s">
        <v>186</v>
      </c>
      <c r="U162" s="2" t="s">
        <v>186</v>
      </c>
      <c r="V162" s="2" t="s">
        <v>1754</v>
      </c>
      <c r="W162" s="2" t="s">
        <v>1755</v>
      </c>
      <c r="X162" s="2" t="s">
        <v>1756</v>
      </c>
      <c r="Y162" s="2" t="s">
        <v>1757</v>
      </c>
      <c r="Z162" s="2">
        <v>85743416</v>
      </c>
      <c r="AB162" s="2" t="s">
        <v>654</v>
      </c>
      <c r="AC162" s="2" t="s">
        <v>632</v>
      </c>
      <c r="AD162" s="2">
        <v>85743416</v>
      </c>
      <c r="AJ162" s="2">
        <v>85743416</v>
      </c>
      <c r="AK162" s="2">
        <v>1</v>
      </c>
      <c r="AL162" s="2" t="s">
        <v>633</v>
      </c>
      <c r="AM162" s="2">
        <v>0</v>
      </c>
      <c r="AN162" s="2">
        <v>0</v>
      </c>
      <c r="AO162" s="2">
        <v>1</v>
      </c>
      <c r="AP162" s="2">
        <v>0</v>
      </c>
      <c r="AQ162" s="2">
        <v>0</v>
      </c>
      <c r="AR162" s="2">
        <v>0</v>
      </c>
      <c r="AS162" s="2">
        <v>0</v>
      </c>
      <c r="AT162" s="2">
        <v>0</v>
      </c>
      <c r="AZ162" s="2" t="s">
        <v>1758</v>
      </c>
      <c r="BB162" s="2" t="str">
        <f>+PROPER(BD[[#This Row],[PRIMER_APELLIDO]])</f>
        <v>Robleto</v>
      </c>
    </row>
    <row r="163" spans="1:54" x14ac:dyDescent="0.25">
      <c r="A163" s="2">
        <v>162</v>
      </c>
      <c r="B163" s="2">
        <v>48084</v>
      </c>
      <c r="C163" s="2" t="s">
        <v>619</v>
      </c>
      <c r="D163" s="2" t="s">
        <v>620</v>
      </c>
      <c r="E163" s="2" t="s">
        <v>1759</v>
      </c>
      <c r="F163" s="2">
        <v>25024430</v>
      </c>
      <c r="G163" s="3">
        <v>35.504109589041093</v>
      </c>
      <c r="H163" s="2" t="s">
        <v>622</v>
      </c>
      <c r="I163" s="2" t="s">
        <v>1760</v>
      </c>
      <c r="J163" s="2" t="str">
        <f>+IF(BD[[#This Row],[DEPARTAMENTO_INSS]]="MANAGUA","_01_","_02_")</f>
        <v>_01_</v>
      </c>
      <c r="K163" s="2" t="str">
        <f>+CONCATENATE(BD[[#This Row],[Columna3]],BD[[#This Row],[Columna4]],BD[[#This Row],[NOMBRE COMPLETO]])</f>
        <v>E003_01_JUAN JOSE ALVARADO ESPINOZA</v>
      </c>
      <c r="L163" s="2" t="s">
        <v>825</v>
      </c>
      <c r="M163" s="2" t="s">
        <v>243</v>
      </c>
      <c r="N163" s="2" t="s">
        <v>18</v>
      </c>
      <c r="O163" s="2" t="s">
        <v>235</v>
      </c>
      <c r="P163" s="2" t="s">
        <v>649</v>
      </c>
      <c r="Q163" s="2" t="s">
        <v>351</v>
      </c>
      <c r="R163" s="2">
        <v>31837</v>
      </c>
      <c r="S163" s="2">
        <v>31837</v>
      </c>
      <c r="T163" s="2" t="s">
        <v>627</v>
      </c>
      <c r="U163" s="2" t="s">
        <v>627</v>
      </c>
      <c r="V163" s="2" t="s">
        <v>1459</v>
      </c>
      <c r="W163" s="2" t="s">
        <v>1459</v>
      </c>
      <c r="X163" s="2" t="s">
        <v>1761</v>
      </c>
      <c r="Y163" s="2" t="s">
        <v>1762</v>
      </c>
      <c r="AA163" s="2">
        <v>89755212</v>
      </c>
      <c r="AB163" s="2" t="s">
        <v>798</v>
      </c>
      <c r="AC163" s="2" t="s">
        <v>632</v>
      </c>
      <c r="AD163" s="2">
        <v>89755212</v>
      </c>
      <c r="AJ163" s="2">
        <v>89755212</v>
      </c>
      <c r="AK163" s="2">
        <v>1</v>
      </c>
      <c r="AL163" s="2" t="s">
        <v>633</v>
      </c>
      <c r="AM163" s="2">
        <v>0</v>
      </c>
      <c r="AN163" s="2">
        <v>0</v>
      </c>
      <c r="AO163" s="2">
        <v>1</v>
      </c>
      <c r="AP163" s="2">
        <v>0</v>
      </c>
      <c r="AQ163" s="2">
        <v>0</v>
      </c>
      <c r="AR163" s="2">
        <v>0</v>
      </c>
      <c r="AS163" s="2">
        <v>0</v>
      </c>
      <c r="AT163" s="2">
        <v>0</v>
      </c>
      <c r="BB163" s="2" t="str">
        <f>+PROPER(BD[[#This Row],[PRIMER_APELLIDO]])</f>
        <v>Alvarado</v>
      </c>
    </row>
    <row r="164" spans="1:54" x14ac:dyDescent="0.25">
      <c r="A164" s="2">
        <v>163</v>
      </c>
      <c r="B164" s="2">
        <v>49015</v>
      </c>
      <c r="C164" s="2" t="s">
        <v>619</v>
      </c>
      <c r="D164" s="2" t="s">
        <v>620</v>
      </c>
      <c r="E164" s="2" t="s">
        <v>1763</v>
      </c>
      <c r="F164" s="2">
        <v>26970565</v>
      </c>
      <c r="G164" s="3">
        <v>35.506849315068493</v>
      </c>
      <c r="H164" s="2" t="s">
        <v>622</v>
      </c>
      <c r="I164" s="2" t="s">
        <v>1764</v>
      </c>
      <c r="J164" s="2" t="str">
        <f>+IF(BD[[#This Row],[DEPARTAMENTO_INSS]]="MANAGUA","_01_","_02_")</f>
        <v>_02_</v>
      </c>
      <c r="K164" s="2" t="str">
        <f>+CONCATENATE(BD[[#This Row],[Columna3]],BD[[#This Row],[Columna4]],BD[[#This Row],[NOMBRE COMPLETO]])</f>
        <v>E003_02_FREDDY SANTIAGO OBANDO PEREZ</v>
      </c>
      <c r="L164" s="2" t="s">
        <v>1765</v>
      </c>
      <c r="M164" s="2" t="s">
        <v>1596</v>
      </c>
      <c r="N164" s="2" t="s">
        <v>79</v>
      </c>
      <c r="O164" s="2" t="s">
        <v>24</v>
      </c>
      <c r="P164" s="2" t="s">
        <v>649</v>
      </c>
      <c r="Q164" s="2" t="s">
        <v>351</v>
      </c>
      <c r="R164" s="2">
        <v>31836</v>
      </c>
      <c r="S164" s="2">
        <v>31836</v>
      </c>
      <c r="T164" s="2" t="s">
        <v>133</v>
      </c>
      <c r="U164" s="2" t="s">
        <v>133</v>
      </c>
      <c r="V164" s="2" t="s">
        <v>939</v>
      </c>
      <c r="W164" s="2" t="s">
        <v>939</v>
      </c>
      <c r="X164" s="2" t="s">
        <v>1766</v>
      </c>
      <c r="Y164" s="2" t="s">
        <v>1767</v>
      </c>
      <c r="AA164" s="2">
        <v>86173686</v>
      </c>
      <c r="AB164" s="2" t="s">
        <v>798</v>
      </c>
      <c r="AC164" s="2" t="s">
        <v>632</v>
      </c>
      <c r="AD164" s="2">
        <v>86173686</v>
      </c>
      <c r="AJ164" s="2">
        <v>86173686</v>
      </c>
      <c r="AK164" s="2">
        <v>1</v>
      </c>
      <c r="AL164" s="2" t="s">
        <v>633</v>
      </c>
      <c r="AM164" s="2">
        <v>0</v>
      </c>
      <c r="AN164" s="2">
        <v>0</v>
      </c>
      <c r="AO164" s="2">
        <v>1</v>
      </c>
      <c r="AP164" s="2">
        <v>0</v>
      </c>
      <c r="AQ164" s="2">
        <v>0</v>
      </c>
      <c r="AR164" s="2">
        <v>0</v>
      </c>
      <c r="AS164" s="2">
        <v>0</v>
      </c>
      <c r="AT164" s="2">
        <v>0</v>
      </c>
      <c r="BB164" s="2" t="str">
        <f>+PROPER(BD[[#This Row],[PRIMER_APELLIDO]])</f>
        <v>Obando</v>
      </c>
    </row>
    <row r="165" spans="1:54" x14ac:dyDescent="0.25">
      <c r="A165" s="2">
        <v>164</v>
      </c>
      <c r="B165" s="2">
        <v>51499</v>
      </c>
      <c r="C165" s="2" t="s">
        <v>619</v>
      </c>
      <c r="D165" s="2" t="s">
        <v>620</v>
      </c>
      <c r="E165" s="2" t="s">
        <v>1768</v>
      </c>
      <c r="F165" s="2">
        <v>26963192</v>
      </c>
      <c r="G165" s="3">
        <v>35.509589041095893</v>
      </c>
      <c r="H165" s="2" t="s">
        <v>622</v>
      </c>
      <c r="I165" s="2" t="s">
        <v>1769</v>
      </c>
      <c r="J165" s="2" t="str">
        <f>+IF(BD[[#This Row],[DEPARTAMENTO_INSS]]="MANAGUA","_01_","_02_")</f>
        <v>_02_</v>
      </c>
      <c r="K165" s="2" t="str">
        <f>+CONCATENATE(BD[[#This Row],[Columna3]],BD[[#This Row],[Columna4]],BD[[#This Row],[NOMBRE COMPLETO]])</f>
        <v>E003_02_ISMAEL ISAC ROSALES SANCHEZ</v>
      </c>
      <c r="L165" s="2" t="s">
        <v>1770</v>
      </c>
      <c r="M165" s="2" t="s">
        <v>1771</v>
      </c>
      <c r="N165" s="2" t="s">
        <v>331</v>
      </c>
      <c r="O165" s="2" t="s">
        <v>90</v>
      </c>
      <c r="P165" s="2" t="s">
        <v>649</v>
      </c>
      <c r="Q165" s="2" t="s">
        <v>351</v>
      </c>
      <c r="R165" s="2">
        <v>31835</v>
      </c>
      <c r="S165" s="2">
        <v>31835</v>
      </c>
      <c r="T165" s="2" t="s">
        <v>780</v>
      </c>
      <c r="U165" s="2" t="s">
        <v>780</v>
      </c>
      <c r="V165" s="2" t="s">
        <v>1772</v>
      </c>
      <c r="W165" s="2" t="s">
        <v>1772</v>
      </c>
      <c r="X165" s="2" t="s">
        <v>1773</v>
      </c>
      <c r="Y165" s="2" t="s">
        <v>1774</v>
      </c>
      <c r="AA165" s="2">
        <v>85252167</v>
      </c>
      <c r="AB165" s="2" t="s">
        <v>798</v>
      </c>
      <c r="AC165" s="2" t="s">
        <v>632</v>
      </c>
      <c r="AD165" s="2">
        <v>85252167</v>
      </c>
      <c r="AJ165" s="2">
        <v>85252167</v>
      </c>
      <c r="AK165" s="2">
        <v>1</v>
      </c>
      <c r="AL165" s="2" t="s">
        <v>633</v>
      </c>
      <c r="AM165" s="2">
        <v>0</v>
      </c>
      <c r="AN165" s="2">
        <v>0</v>
      </c>
      <c r="AO165" s="2">
        <v>1</v>
      </c>
      <c r="AP165" s="2">
        <v>0</v>
      </c>
      <c r="AQ165" s="2">
        <v>0</v>
      </c>
      <c r="AR165" s="2">
        <v>0</v>
      </c>
      <c r="AS165" s="2">
        <v>0</v>
      </c>
      <c r="AT165" s="2">
        <v>0</v>
      </c>
      <c r="BB165" s="2" t="str">
        <f>+PROPER(BD[[#This Row],[PRIMER_APELLIDO]])</f>
        <v>Rosales</v>
      </c>
    </row>
    <row r="166" spans="1:54" x14ac:dyDescent="0.25">
      <c r="A166" s="2">
        <v>165</v>
      </c>
      <c r="B166" s="2">
        <v>50226</v>
      </c>
      <c r="C166" s="2" t="s">
        <v>619</v>
      </c>
      <c r="D166" s="2" t="s">
        <v>620</v>
      </c>
      <c r="E166" s="2" t="s">
        <v>1775</v>
      </c>
      <c r="F166" s="2">
        <v>24152077</v>
      </c>
      <c r="G166" s="3">
        <v>35.512328767123286</v>
      </c>
      <c r="H166" s="2" t="s">
        <v>622</v>
      </c>
      <c r="I166" s="2" t="s">
        <v>1776</v>
      </c>
      <c r="J166" s="2" t="str">
        <f>+IF(BD[[#This Row],[DEPARTAMENTO_INSS]]="MANAGUA","_01_","_02_")</f>
        <v>_02_</v>
      </c>
      <c r="K166" s="2" t="str">
        <f>+CONCATENATE(BD[[#This Row],[Columna3]],BD[[#This Row],[Columna4]],BD[[#This Row],[NOMBRE COMPLETO]])</f>
        <v>E003_02_ARELIS EUNISE FLORES ROQUE</v>
      </c>
      <c r="L166" s="2" t="s">
        <v>1777</v>
      </c>
      <c r="M166" s="2" t="s">
        <v>1778</v>
      </c>
      <c r="N166" s="2" t="s">
        <v>58</v>
      </c>
      <c r="O166" s="2" t="s">
        <v>21</v>
      </c>
      <c r="P166" s="2" t="s">
        <v>626</v>
      </c>
      <c r="Q166" s="2" t="s">
        <v>351</v>
      </c>
      <c r="R166" s="2">
        <v>31834</v>
      </c>
      <c r="S166" s="2">
        <v>31834</v>
      </c>
      <c r="T166" s="2" t="s">
        <v>705</v>
      </c>
      <c r="U166" s="2" t="s">
        <v>705</v>
      </c>
      <c r="V166" s="2" t="s">
        <v>725</v>
      </c>
      <c r="W166" s="2" t="s">
        <v>725</v>
      </c>
      <c r="X166" s="2" t="s">
        <v>1779</v>
      </c>
      <c r="Y166" s="2" t="s">
        <v>1780</v>
      </c>
      <c r="AA166" s="2">
        <v>83864636</v>
      </c>
      <c r="AB166" s="2" t="s">
        <v>642</v>
      </c>
      <c r="AC166" s="2" t="s">
        <v>632</v>
      </c>
      <c r="AD166" s="2">
        <v>83864636</v>
      </c>
      <c r="AJ166" s="2">
        <v>83864636</v>
      </c>
      <c r="AK166" s="2">
        <v>1</v>
      </c>
      <c r="AL166" s="2" t="s">
        <v>633</v>
      </c>
      <c r="AM166" s="2">
        <v>0</v>
      </c>
      <c r="AN166" s="2">
        <v>0</v>
      </c>
      <c r="AO166" s="2">
        <v>1</v>
      </c>
      <c r="AP166" s="2">
        <v>0</v>
      </c>
      <c r="AQ166" s="2">
        <v>0</v>
      </c>
      <c r="AR166" s="2">
        <v>0</v>
      </c>
      <c r="AS166" s="2">
        <v>0</v>
      </c>
      <c r="AT166" s="2">
        <v>0</v>
      </c>
      <c r="BB166" s="2" t="str">
        <f>+PROPER(BD[[#This Row],[PRIMER_APELLIDO]])</f>
        <v>Flores</v>
      </c>
    </row>
    <row r="167" spans="1:54" x14ac:dyDescent="0.25">
      <c r="A167" s="2">
        <v>166</v>
      </c>
      <c r="B167" s="2">
        <v>37592</v>
      </c>
      <c r="C167" s="2" t="s">
        <v>619</v>
      </c>
      <c r="D167" s="2" t="s">
        <v>620</v>
      </c>
      <c r="E167" s="2" t="s">
        <v>1781</v>
      </c>
      <c r="F167" s="2">
        <v>15966843</v>
      </c>
      <c r="G167" s="3">
        <v>35.515068493150686</v>
      </c>
      <c r="H167" s="2" t="s">
        <v>622</v>
      </c>
      <c r="I167" s="2" t="s">
        <v>1782</v>
      </c>
      <c r="J167" s="2" t="str">
        <f>+IF(BD[[#This Row],[DEPARTAMENTO_INSS]]="MANAGUA","_01_","_02_")</f>
        <v>_02_</v>
      </c>
      <c r="K167" s="2" t="str">
        <f>+CONCATENATE(BD[[#This Row],[Columna3]],BD[[#This Row],[Columna4]],BD[[#This Row],[NOMBRE COMPLETO]])</f>
        <v>E003_02_EDITH MARGARITA REYES ALVARADO</v>
      </c>
      <c r="L167" s="2" t="s">
        <v>1783</v>
      </c>
      <c r="M167" s="2" t="s">
        <v>937</v>
      </c>
      <c r="N167" s="2" t="s">
        <v>74</v>
      </c>
      <c r="O167" s="2" t="s">
        <v>18</v>
      </c>
      <c r="P167" s="2" t="s">
        <v>626</v>
      </c>
      <c r="Q167" s="2" t="s">
        <v>351</v>
      </c>
      <c r="R167" s="2">
        <v>31833</v>
      </c>
      <c r="S167" s="2">
        <v>31833</v>
      </c>
      <c r="U167" s="2" t="s">
        <v>176</v>
      </c>
      <c r="W167" s="2" t="s">
        <v>176</v>
      </c>
      <c r="X167" s="2" t="s">
        <v>1784</v>
      </c>
      <c r="Y167" s="2" t="s">
        <v>1785</v>
      </c>
      <c r="AA167" s="2">
        <v>23116257</v>
      </c>
      <c r="AB167" s="2" t="s">
        <v>654</v>
      </c>
      <c r="AC167" s="2" t="s">
        <v>632</v>
      </c>
      <c r="AK167" s="2">
        <v>1</v>
      </c>
      <c r="AL167" s="2" t="s">
        <v>633</v>
      </c>
      <c r="AM167" s="2">
        <v>0</v>
      </c>
      <c r="AN167" s="2">
        <v>0</v>
      </c>
      <c r="AO167" s="2">
        <v>1</v>
      </c>
      <c r="AP167" s="2">
        <v>0</v>
      </c>
      <c r="AQ167" s="2">
        <v>0</v>
      </c>
      <c r="AR167" s="2">
        <v>0</v>
      </c>
      <c r="AS167" s="2">
        <v>0</v>
      </c>
      <c r="AT167" s="2">
        <v>0</v>
      </c>
      <c r="BB167" s="2" t="str">
        <f>+PROPER(BD[[#This Row],[PRIMER_APELLIDO]])</f>
        <v>Reyes</v>
      </c>
    </row>
    <row r="168" spans="1:54" x14ac:dyDescent="0.25">
      <c r="A168" s="2">
        <v>167</v>
      </c>
      <c r="B168" s="2">
        <v>48352</v>
      </c>
      <c r="C168" s="2" t="s">
        <v>619</v>
      </c>
      <c r="D168" s="2" t="s">
        <v>620</v>
      </c>
      <c r="E168" s="2" t="s">
        <v>1786</v>
      </c>
      <c r="F168" s="2">
        <v>26963569</v>
      </c>
      <c r="G168" s="3">
        <v>35.517808219178079</v>
      </c>
      <c r="H168" s="2" t="s">
        <v>622</v>
      </c>
      <c r="I168" s="2" t="s">
        <v>1787</v>
      </c>
      <c r="J168" s="2" t="str">
        <f>+IF(BD[[#This Row],[DEPARTAMENTO_INSS]]="MANAGUA","_01_","_02_")</f>
        <v>_02_</v>
      </c>
      <c r="K168" s="2" t="str">
        <f>+CONCATENATE(BD[[#This Row],[Columna3]],BD[[#This Row],[Columna4]],BD[[#This Row],[NOMBRE COMPLETO]])</f>
        <v>E003_02_MARIA JOSE VALLE VASQUEZ</v>
      </c>
      <c r="L168" s="2" t="s">
        <v>724</v>
      </c>
      <c r="M168" s="2" t="s">
        <v>243</v>
      </c>
      <c r="N168" s="2" t="s">
        <v>99</v>
      </c>
      <c r="O168" s="2" t="s">
        <v>52</v>
      </c>
      <c r="P168" s="2" t="s">
        <v>626</v>
      </c>
      <c r="Q168" s="2" t="s">
        <v>351</v>
      </c>
      <c r="R168" s="2">
        <v>31832</v>
      </c>
      <c r="S168" s="2">
        <v>31832</v>
      </c>
      <c r="T168" s="2" t="s">
        <v>740</v>
      </c>
      <c r="U168" s="2" t="s">
        <v>740</v>
      </c>
      <c r="V168" s="2" t="s">
        <v>1788</v>
      </c>
      <c r="W168" s="2" t="s">
        <v>1789</v>
      </c>
      <c r="X168" s="2" t="s">
        <v>1790</v>
      </c>
      <c r="Y168" s="2" t="s">
        <v>1791</v>
      </c>
      <c r="Z168" s="2">
        <v>81187770</v>
      </c>
      <c r="AB168" s="2" t="s">
        <v>631</v>
      </c>
      <c r="AC168" s="2" t="s">
        <v>632</v>
      </c>
      <c r="AD168" s="2">
        <v>81187770</v>
      </c>
      <c r="AJ168" s="2">
        <v>81187770</v>
      </c>
      <c r="AK168" s="2">
        <v>1</v>
      </c>
      <c r="AL168" s="2" t="s">
        <v>633</v>
      </c>
      <c r="AM168" s="2">
        <v>0</v>
      </c>
      <c r="AN168" s="2">
        <v>0</v>
      </c>
      <c r="AO168" s="2">
        <v>1</v>
      </c>
      <c r="AP168" s="2">
        <v>0</v>
      </c>
      <c r="AQ168" s="2">
        <v>0</v>
      </c>
      <c r="AR168" s="2">
        <v>0</v>
      </c>
      <c r="AS168" s="2">
        <v>0</v>
      </c>
      <c r="AT168" s="2">
        <v>0</v>
      </c>
      <c r="BB168" s="2" t="str">
        <f>+PROPER(BD[[#This Row],[PRIMER_APELLIDO]])</f>
        <v>Valle</v>
      </c>
    </row>
    <row r="169" spans="1:54" x14ac:dyDescent="0.25">
      <c r="A169" s="2">
        <v>168</v>
      </c>
      <c r="B169" s="2">
        <v>48910</v>
      </c>
      <c r="C169" s="2" t="s">
        <v>619</v>
      </c>
      <c r="D169" s="2" t="s">
        <v>620</v>
      </c>
      <c r="E169" s="2" t="s">
        <v>1792</v>
      </c>
      <c r="F169" s="2">
        <v>24235507</v>
      </c>
      <c r="G169" s="3">
        <v>35.517808219178079</v>
      </c>
      <c r="H169" s="2" t="s">
        <v>622</v>
      </c>
      <c r="I169" s="2" t="s">
        <v>1793</v>
      </c>
      <c r="J169" s="2" t="str">
        <f>+IF(BD[[#This Row],[DEPARTAMENTO_INSS]]="MANAGUA","_01_","_02_")</f>
        <v>_02_</v>
      </c>
      <c r="K169" s="2" t="str">
        <f>+CONCATENATE(BD[[#This Row],[Columna3]],BD[[#This Row],[Columna4]],BD[[#This Row],[NOMBRE COMPLETO]])</f>
        <v>E003_02_IVETTE CRISTINA REYES BARRETO</v>
      </c>
      <c r="L169" s="2" t="s">
        <v>1794</v>
      </c>
      <c r="M169" s="2" t="s">
        <v>1795</v>
      </c>
      <c r="N169" s="2" t="s">
        <v>74</v>
      </c>
      <c r="O169" s="2" t="s">
        <v>95</v>
      </c>
      <c r="P169" s="2" t="s">
        <v>626</v>
      </c>
      <c r="Q169" s="2" t="s">
        <v>351</v>
      </c>
      <c r="R169" s="2">
        <v>31832</v>
      </c>
      <c r="S169" s="2">
        <v>31832</v>
      </c>
      <c r="T169" s="2" t="s">
        <v>176</v>
      </c>
      <c r="U169" s="2" t="s">
        <v>659</v>
      </c>
      <c r="V169" s="2" t="s">
        <v>1796</v>
      </c>
      <c r="W169" s="2" t="s">
        <v>659</v>
      </c>
      <c r="X169" s="2" t="s">
        <v>1797</v>
      </c>
      <c r="Y169" s="2" t="s">
        <v>1798</v>
      </c>
      <c r="AA169" s="2" t="s">
        <v>1799</v>
      </c>
      <c r="AB169" s="2" t="s">
        <v>654</v>
      </c>
      <c r="AC169" s="2" t="s">
        <v>632</v>
      </c>
      <c r="AE169" s="2">
        <v>57067956</v>
      </c>
      <c r="AJ169" s="2">
        <v>57067956</v>
      </c>
      <c r="AK169" s="2">
        <v>2</v>
      </c>
      <c r="AL169" s="2" t="s">
        <v>633</v>
      </c>
      <c r="AM169" s="2">
        <v>0</v>
      </c>
      <c r="AN169" s="2">
        <v>0</v>
      </c>
      <c r="AO169" s="2">
        <v>1</v>
      </c>
      <c r="AP169" s="2">
        <v>0</v>
      </c>
      <c r="AQ169" s="2">
        <v>0</v>
      </c>
      <c r="AR169" s="2">
        <v>0</v>
      </c>
      <c r="AS169" s="2">
        <v>0</v>
      </c>
      <c r="AT169" s="2">
        <v>0</v>
      </c>
      <c r="BA169" s="2" t="s">
        <v>1800</v>
      </c>
      <c r="BB169" s="2" t="str">
        <f>+PROPER(BD[[#This Row],[PRIMER_APELLIDO]])</f>
        <v>Reyes</v>
      </c>
    </row>
    <row r="170" spans="1:54" x14ac:dyDescent="0.25">
      <c r="A170" s="2">
        <v>169</v>
      </c>
      <c r="B170" s="2">
        <v>56869</v>
      </c>
      <c r="C170" s="2" t="s">
        <v>619</v>
      </c>
      <c r="D170" s="2" t="s">
        <v>620</v>
      </c>
      <c r="E170" s="2" t="s">
        <v>1801</v>
      </c>
      <c r="G170" s="3">
        <v>35.517808219178079</v>
      </c>
      <c r="H170" s="2" t="s">
        <v>622</v>
      </c>
      <c r="I170" s="2" t="s">
        <v>1802</v>
      </c>
      <c r="J170" s="2" t="str">
        <f>+IF(BD[[#This Row],[DEPARTAMENTO_INSS]]="MANAGUA","_01_","_02_")</f>
        <v>_02_</v>
      </c>
      <c r="K170" s="2" t="str">
        <f>+CONCATENATE(BD[[#This Row],[Columna3]],BD[[#This Row],[Columna4]],BD[[#This Row],[NOMBRE COMPLETO]])</f>
        <v>E003_02_JAIRO JASSER CARRION TERCERO</v>
      </c>
      <c r="L170" s="2" t="s">
        <v>1803</v>
      </c>
      <c r="M170" s="2" t="s">
        <v>1804</v>
      </c>
      <c r="N170" s="2" t="s">
        <v>173</v>
      </c>
      <c r="O170" s="2" t="s">
        <v>175</v>
      </c>
      <c r="P170" s="2" t="s">
        <v>649</v>
      </c>
      <c r="Q170" s="2" t="s">
        <v>351</v>
      </c>
      <c r="R170" s="2">
        <v>31832</v>
      </c>
      <c r="S170" s="2">
        <v>31832</v>
      </c>
      <c r="T170" s="2" t="s">
        <v>176</v>
      </c>
      <c r="U170" s="2" t="s">
        <v>176</v>
      </c>
      <c r="V170" s="2" t="s">
        <v>650</v>
      </c>
      <c r="W170" s="2" t="s">
        <v>176</v>
      </c>
      <c r="X170" s="2" t="s">
        <v>1805</v>
      </c>
      <c r="Y170" s="2" t="s">
        <v>1806</v>
      </c>
      <c r="Z170" s="2">
        <v>57338432</v>
      </c>
      <c r="AA170" s="2" t="s">
        <v>1807</v>
      </c>
      <c r="AB170" s="2" t="s">
        <v>654</v>
      </c>
      <c r="AC170" s="2" t="s">
        <v>632</v>
      </c>
      <c r="AD170" s="2">
        <v>57338432</v>
      </c>
      <c r="AE170" s="2">
        <v>84583398</v>
      </c>
      <c r="AF170" s="2">
        <v>88557170</v>
      </c>
      <c r="AJ170" s="2">
        <v>57338432</v>
      </c>
      <c r="AK170" s="2">
        <v>3</v>
      </c>
      <c r="AL170" s="2" t="s">
        <v>633</v>
      </c>
      <c r="AM170" s="2">
        <v>0</v>
      </c>
      <c r="AN170" s="2">
        <v>0</v>
      </c>
      <c r="AO170" s="2">
        <v>1</v>
      </c>
      <c r="AP170" s="2">
        <v>0</v>
      </c>
      <c r="AQ170" s="2">
        <v>0</v>
      </c>
      <c r="AR170" s="2">
        <v>0</v>
      </c>
      <c r="AS170" s="2">
        <v>0</v>
      </c>
      <c r="AT170" s="2">
        <v>0</v>
      </c>
      <c r="AZ170" s="2" t="s">
        <v>1808</v>
      </c>
      <c r="BB170" s="2" t="str">
        <f>+PROPER(BD[[#This Row],[PRIMER_APELLIDO]])</f>
        <v>Carrion</v>
      </c>
    </row>
    <row r="171" spans="1:54" x14ac:dyDescent="0.25">
      <c r="A171" s="2">
        <v>170</v>
      </c>
      <c r="B171" s="2">
        <v>41755</v>
      </c>
      <c r="C171" s="2" t="s">
        <v>619</v>
      </c>
      <c r="D171" s="2" t="s">
        <v>620</v>
      </c>
      <c r="E171" s="2" t="s">
        <v>1809</v>
      </c>
      <c r="F171" s="2">
        <v>23144752</v>
      </c>
      <c r="G171" s="3">
        <v>35.526027397260272</v>
      </c>
      <c r="H171" s="2" t="s">
        <v>622</v>
      </c>
      <c r="I171" s="2" t="s">
        <v>1810</v>
      </c>
      <c r="J171" s="2" t="str">
        <f>+IF(BD[[#This Row],[DEPARTAMENTO_INSS]]="MANAGUA","_01_","_02_")</f>
        <v>_02_</v>
      </c>
      <c r="K171" s="2" t="str">
        <f>+CONCATENATE(BD[[#This Row],[Columna3]],BD[[#This Row],[Columna4]],BD[[#This Row],[NOMBRE COMPLETO]])</f>
        <v>E003_02_SUJEY DEL CARMEN SUAREZ CASTILLO</v>
      </c>
      <c r="L171" s="2" t="s">
        <v>1811</v>
      </c>
      <c r="M171" s="2" t="s">
        <v>961</v>
      </c>
      <c r="N171" s="2" t="s">
        <v>55</v>
      </c>
      <c r="O171" s="2" t="s">
        <v>100</v>
      </c>
      <c r="P171" s="2" t="s">
        <v>626</v>
      </c>
      <c r="Q171" s="2" t="s">
        <v>351</v>
      </c>
      <c r="R171" s="2">
        <v>31829</v>
      </c>
      <c r="S171" s="2">
        <v>31829</v>
      </c>
      <c r="T171" s="2" t="s">
        <v>1104</v>
      </c>
      <c r="U171" s="2" t="s">
        <v>1104</v>
      </c>
      <c r="V171" s="2" t="s">
        <v>1812</v>
      </c>
      <c r="W171" s="2" t="s">
        <v>1813</v>
      </c>
      <c r="X171" s="2" t="s">
        <v>1814</v>
      </c>
      <c r="Y171" s="2" t="s">
        <v>1815</v>
      </c>
      <c r="AA171" s="2">
        <v>57485415</v>
      </c>
      <c r="AB171" s="2" t="s">
        <v>654</v>
      </c>
      <c r="AC171" s="2" t="s">
        <v>632</v>
      </c>
      <c r="AD171" s="2">
        <v>57485415</v>
      </c>
      <c r="AJ171" s="2">
        <v>57485415</v>
      </c>
      <c r="AK171" s="2">
        <v>1</v>
      </c>
      <c r="AL171" s="2" t="s">
        <v>633</v>
      </c>
      <c r="AM171" s="2">
        <v>0</v>
      </c>
      <c r="AN171" s="2">
        <v>0</v>
      </c>
      <c r="AO171" s="2">
        <v>1</v>
      </c>
      <c r="AP171" s="2">
        <v>0</v>
      </c>
      <c r="AQ171" s="2">
        <v>0</v>
      </c>
      <c r="AR171" s="2">
        <v>0</v>
      </c>
      <c r="AS171" s="2">
        <v>0</v>
      </c>
      <c r="AT171" s="2">
        <v>0</v>
      </c>
      <c r="BB171" s="2" t="str">
        <f>+PROPER(BD[[#This Row],[PRIMER_APELLIDO]])</f>
        <v>Suarez</v>
      </c>
    </row>
    <row r="172" spans="1:54" x14ac:dyDescent="0.25">
      <c r="A172" s="2">
        <v>171</v>
      </c>
      <c r="B172" s="2">
        <v>68571</v>
      </c>
      <c r="C172" s="2" t="s">
        <v>619</v>
      </c>
      <c r="D172" s="2" t="s">
        <v>620</v>
      </c>
      <c r="E172" s="2" t="s">
        <v>1816</v>
      </c>
      <c r="G172" s="3">
        <v>35.531506849315072</v>
      </c>
      <c r="H172" s="2" t="s">
        <v>622</v>
      </c>
      <c r="I172" s="2" t="s">
        <v>1817</v>
      </c>
      <c r="J172" s="2" t="str">
        <f>+IF(BD[[#This Row],[DEPARTAMENTO_INSS]]="MANAGUA","_01_","_02_")</f>
        <v>_02_</v>
      </c>
      <c r="K172" s="2" t="str">
        <f>+CONCATENATE(BD[[#This Row],[Columna3]],BD[[#This Row],[Columna4]],BD[[#This Row],[NOMBRE COMPLETO]])</f>
        <v>E003_02_EDDY ALBERTO BLANDON ARAUZ</v>
      </c>
      <c r="L172" s="2" t="s">
        <v>1818</v>
      </c>
      <c r="M172" s="2" t="s">
        <v>1699</v>
      </c>
      <c r="N172" s="2" t="s">
        <v>159</v>
      </c>
      <c r="O172" s="2" t="s">
        <v>174</v>
      </c>
      <c r="P172" s="2" t="s">
        <v>649</v>
      </c>
      <c r="Q172" s="2" t="s">
        <v>351</v>
      </c>
      <c r="R172" s="2">
        <v>31827</v>
      </c>
      <c r="T172" s="2" t="s">
        <v>659</v>
      </c>
      <c r="V172" s="2" t="s">
        <v>1819</v>
      </c>
      <c r="X172" s="2" t="s">
        <v>1820</v>
      </c>
      <c r="Z172" s="2">
        <v>85063181</v>
      </c>
      <c r="AB172" s="2" t="s">
        <v>798</v>
      </c>
      <c r="AC172" s="2" t="s">
        <v>632</v>
      </c>
      <c r="AD172" s="2">
        <v>85063181</v>
      </c>
      <c r="AJ172" s="2">
        <v>85063181</v>
      </c>
      <c r="AK172" s="2">
        <v>1</v>
      </c>
      <c r="AL172" s="2" t="s">
        <v>633</v>
      </c>
      <c r="AM172" s="2">
        <v>0</v>
      </c>
      <c r="AN172" s="2">
        <v>0</v>
      </c>
      <c r="AO172" s="2">
        <v>1</v>
      </c>
      <c r="AP172" s="2">
        <v>0</v>
      </c>
      <c r="AQ172" s="2">
        <v>0</v>
      </c>
      <c r="AR172" s="2">
        <v>0</v>
      </c>
      <c r="AS172" s="2">
        <v>0</v>
      </c>
      <c r="AT172" s="2">
        <v>0</v>
      </c>
      <c r="BB172" s="2" t="str">
        <f>+PROPER(BD[[#This Row],[PRIMER_APELLIDO]])</f>
        <v>Blandon</v>
      </c>
    </row>
    <row r="173" spans="1:54" x14ac:dyDescent="0.25">
      <c r="A173" s="2">
        <v>172</v>
      </c>
      <c r="B173" s="2">
        <v>47032</v>
      </c>
      <c r="C173" s="2" t="s">
        <v>619</v>
      </c>
      <c r="D173" s="2" t="s">
        <v>620</v>
      </c>
      <c r="E173" s="2" t="s">
        <v>1821</v>
      </c>
      <c r="F173" s="2">
        <v>23145012</v>
      </c>
      <c r="G173" s="3">
        <v>35.534246575342465</v>
      </c>
      <c r="H173" s="2" t="s">
        <v>622</v>
      </c>
      <c r="I173" s="2" t="s">
        <v>1822</v>
      </c>
      <c r="J173" s="2" t="str">
        <f>+IF(BD[[#This Row],[DEPARTAMENTO_INSS]]="MANAGUA","_01_","_02_")</f>
        <v>_02_</v>
      </c>
      <c r="K173" s="2" t="str">
        <f>+CONCATENATE(BD[[#This Row],[Columna3]],BD[[#This Row],[Columna4]],BD[[#This Row],[NOMBRE COMPLETO]])</f>
        <v>E003_02_PAOLA MARIZA PRAVIA OROZCO</v>
      </c>
      <c r="L173" s="2" t="s">
        <v>1823</v>
      </c>
      <c r="M173" s="2" t="s">
        <v>1824</v>
      </c>
      <c r="N173" s="2" t="s">
        <v>256</v>
      </c>
      <c r="O173" s="2" t="s">
        <v>254</v>
      </c>
      <c r="P173" s="2" t="s">
        <v>626</v>
      </c>
      <c r="Q173" s="2" t="s">
        <v>351</v>
      </c>
      <c r="R173" s="2">
        <v>31826</v>
      </c>
      <c r="S173" s="2">
        <v>31826</v>
      </c>
      <c r="T173" s="2" t="s">
        <v>1104</v>
      </c>
      <c r="U173" s="2" t="s">
        <v>1104</v>
      </c>
      <c r="V173" s="2" t="s">
        <v>1104</v>
      </c>
      <c r="W173" s="2" t="s">
        <v>1104</v>
      </c>
      <c r="X173" s="2" t="s">
        <v>1825</v>
      </c>
      <c r="Y173" s="2" t="s">
        <v>1826</v>
      </c>
      <c r="Z173" s="2">
        <v>83321064</v>
      </c>
      <c r="AA173" s="2" t="s">
        <v>1827</v>
      </c>
      <c r="AB173" s="2" t="s">
        <v>773</v>
      </c>
      <c r="AC173" s="2" t="s">
        <v>632</v>
      </c>
      <c r="AD173" s="2">
        <v>83321064</v>
      </c>
      <c r="AE173" s="2">
        <v>89257172</v>
      </c>
      <c r="AJ173" s="2">
        <v>83321064</v>
      </c>
      <c r="AK173" s="2">
        <v>3</v>
      </c>
      <c r="AL173" s="2" t="s">
        <v>633</v>
      </c>
      <c r="AM173" s="2">
        <v>0</v>
      </c>
      <c r="AN173" s="2">
        <v>0</v>
      </c>
      <c r="AO173" s="2">
        <v>1</v>
      </c>
      <c r="AP173" s="2">
        <v>0</v>
      </c>
      <c r="AQ173" s="2">
        <v>0</v>
      </c>
      <c r="AR173" s="2">
        <v>0</v>
      </c>
      <c r="AS173" s="2">
        <v>0</v>
      </c>
      <c r="AT173" s="2">
        <v>0</v>
      </c>
      <c r="AZ173" s="2" t="s">
        <v>1828</v>
      </c>
      <c r="BB173" s="2" t="str">
        <f>+PROPER(BD[[#This Row],[PRIMER_APELLIDO]])</f>
        <v>Pravia</v>
      </c>
    </row>
    <row r="174" spans="1:54" x14ac:dyDescent="0.25">
      <c r="A174" s="2">
        <v>173</v>
      </c>
      <c r="B174" s="2">
        <v>42007</v>
      </c>
      <c r="C174" s="2" t="s">
        <v>619</v>
      </c>
      <c r="D174" s="2" t="s">
        <v>620</v>
      </c>
      <c r="E174" s="2" t="s">
        <v>1829</v>
      </c>
      <c r="F174" s="2">
        <v>23142699</v>
      </c>
      <c r="G174" s="3">
        <v>35.539726027397258</v>
      </c>
      <c r="H174" s="2" t="s">
        <v>622</v>
      </c>
      <c r="I174" s="2" t="s">
        <v>1830</v>
      </c>
      <c r="J174" s="2" t="str">
        <f>+IF(BD[[#This Row],[DEPARTAMENTO_INSS]]="MANAGUA","_01_","_02_")</f>
        <v>_02_</v>
      </c>
      <c r="K174" s="2" t="str">
        <f>+CONCATENATE(BD[[#This Row],[Columna3]],BD[[#This Row],[Columna4]],BD[[#This Row],[NOMBRE COMPLETO]])</f>
        <v>E003_02_VANESSA AUXILIADORA CHAVEZ MENOCAL</v>
      </c>
      <c r="L174" s="2" t="s">
        <v>1163</v>
      </c>
      <c r="M174" s="2" t="s">
        <v>970</v>
      </c>
      <c r="N174" s="2" t="s">
        <v>207</v>
      </c>
      <c r="O174" s="2" t="s">
        <v>1831</v>
      </c>
      <c r="P174" s="2" t="s">
        <v>626</v>
      </c>
      <c r="Q174" s="2" t="s">
        <v>351</v>
      </c>
      <c r="R174" s="2">
        <v>31824</v>
      </c>
      <c r="S174" s="2">
        <v>31824</v>
      </c>
      <c r="T174" s="2" t="s">
        <v>740</v>
      </c>
      <c r="U174" s="2" t="s">
        <v>740</v>
      </c>
      <c r="V174" s="2" t="s">
        <v>740</v>
      </c>
      <c r="W174" s="2" t="s">
        <v>740</v>
      </c>
      <c r="X174" s="2" t="s">
        <v>1832</v>
      </c>
      <c r="Y174" s="2" t="s">
        <v>1833</v>
      </c>
      <c r="Z174" s="2">
        <v>89844307</v>
      </c>
      <c r="AA174" s="2" t="s">
        <v>1834</v>
      </c>
      <c r="AB174" s="2" t="s">
        <v>642</v>
      </c>
      <c r="AC174" s="2" t="s">
        <v>632</v>
      </c>
      <c r="AD174" s="2">
        <v>89844307</v>
      </c>
      <c r="AJ174" s="2">
        <v>89844307</v>
      </c>
      <c r="AK174" s="2">
        <v>3</v>
      </c>
      <c r="AL174" s="2" t="s">
        <v>633</v>
      </c>
      <c r="AM174" s="2">
        <v>0</v>
      </c>
      <c r="AN174" s="2">
        <v>0</v>
      </c>
      <c r="AO174" s="2">
        <v>1</v>
      </c>
      <c r="AP174" s="2">
        <v>0</v>
      </c>
      <c r="AQ174" s="2">
        <v>0</v>
      </c>
      <c r="AR174" s="2">
        <v>0</v>
      </c>
      <c r="AS174" s="2">
        <v>0</v>
      </c>
      <c r="AT174" s="2">
        <v>0</v>
      </c>
      <c r="AZ174" s="2" t="s">
        <v>1835</v>
      </c>
      <c r="BB174" s="2" t="str">
        <f>+PROPER(BD[[#This Row],[PRIMER_APELLIDO]])</f>
        <v>Chavez</v>
      </c>
    </row>
    <row r="175" spans="1:54" x14ac:dyDescent="0.25">
      <c r="A175" s="2">
        <v>174</v>
      </c>
      <c r="B175" s="2">
        <v>42374</v>
      </c>
      <c r="C175" s="2" t="s">
        <v>619</v>
      </c>
      <c r="D175" s="2" t="s">
        <v>620</v>
      </c>
      <c r="E175" s="2" t="s">
        <v>1836</v>
      </c>
      <c r="F175" s="2">
        <v>24594330</v>
      </c>
      <c r="G175" s="3">
        <v>35.539726027397258</v>
      </c>
      <c r="H175" s="2" t="s">
        <v>622</v>
      </c>
      <c r="I175" s="2" t="s">
        <v>1837</v>
      </c>
      <c r="J175" s="2" t="str">
        <f>+IF(BD[[#This Row],[DEPARTAMENTO_INSS]]="MANAGUA","_01_","_02_")</f>
        <v>_02_</v>
      </c>
      <c r="K175" s="2" t="str">
        <f>+CONCATENATE(BD[[#This Row],[Columna3]],BD[[#This Row],[Columna4]],BD[[#This Row],[NOMBRE COMPLETO]])</f>
        <v>E003_02_MARIA JOSE SALINAS GARCIA</v>
      </c>
      <c r="L175" s="2" t="s">
        <v>724</v>
      </c>
      <c r="M175" s="2" t="s">
        <v>243</v>
      </c>
      <c r="N175" s="2" t="s">
        <v>114</v>
      </c>
      <c r="O175" s="2" t="s">
        <v>10</v>
      </c>
      <c r="P175" s="2" t="s">
        <v>626</v>
      </c>
      <c r="Q175" s="2" t="s">
        <v>351</v>
      </c>
      <c r="R175" s="2">
        <v>31824</v>
      </c>
      <c r="S175" s="2">
        <v>31824</v>
      </c>
      <c r="T175" s="2" t="s">
        <v>627</v>
      </c>
      <c r="U175" s="2" t="s">
        <v>1044</v>
      </c>
      <c r="V175" s="2" t="s">
        <v>627</v>
      </c>
      <c r="W175" s="2" t="s">
        <v>1838</v>
      </c>
      <c r="X175" s="2" t="s">
        <v>1839</v>
      </c>
      <c r="Y175" s="2" t="s">
        <v>1840</v>
      </c>
      <c r="AA175" s="2">
        <v>86208618</v>
      </c>
      <c r="AB175" s="2" t="s">
        <v>654</v>
      </c>
      <c r="AC175" s="2" t="s">
        <v>632</v>
      </c>
      <c r="AD175" s="2">
        <v>86208618</v>
      </c>
      <c r="AJ175" s="2">
        <v>86208618</v>
      </c>
      <c r="AK175" s="2">
        <v>1</v>
      </c>
      <c r="AL175" s="2" t="s">
        <v>633</v>
      </c>
      <c r="AM175" s="2">
        <v>0</v>
      </c>
      <c r="AN175" s="2">
        <v>0</v>
      </c>
      <c r="AO175" s="2">
        <v>1</v>
      </c>
      <c r="AP175" s="2">
        <v>0</v>
      </c>
      <c r="AQ175" s="2">
        <v>0</v>
      </c>
      <c r="AR175" s="2">
        <v>0</v>
      </c>
      <c r="AS175" s="2">
        <v>0</v>
      </c>
      <c r="AT175" s="2">
        <v>0</v>
      </c>
      <c r="BB175" s="2" t="str">
        <f>+PROPER(BD[[#This Row],[PRIMER_APELLIDO]])</f>
        <v>Salinas</v>
      </c>
    </row>
    <row r="176" spans="1:54" x14ac:dyDescent="0.25">
      <c r="A176" s="2">
        <v>175</v>
      </c>
      <c r="B176" s="2">
        <v>61458</v>
      </c>
      <c r="C176" s="2" t="s">
        <v>619</v>
      </c>
      <c r="D176" s="2" t="s">
        <v>620</v>
      </c>
      <c r="E176" s="2" t="s">
        <v>1841</v>
      </c>
      <c r="G176" s="3">
        <v>35.547945205479451</v>
      </c>
      <c r="H176" s="2" t="s">
        <v>622</v>
      </c>
      <c r="I176" s="2" t="s">
        <v>1842</v>
      </c>
      <c r="J176" s="2" t="str">
        <f>+IF(BD[[#This Row],[DEPARTAMENTO_INSS]]="MANAGUA","_01_","_02_")</f>
        <v>_02_</v>
      </c>
      <c r="K176" s="2" t="str">
        <f>+CONCATENATE(BD[[#This Row],[Columna3]],BD[[#This Row],[Columna4]],BD[[#This Row],[NOMBRE COMPLETO]])</f>
        <v>E003_02_SANDRA AZUCENA IGLESIAS CASCO</v>
      </c>
      <c r="L176" s="2" t="s">
        <v>1843</v>
      </c>
      <c r="M176" s="2" t="s">
        <v>1844</v>
      </c>
      <c r="N176" s="2" t="s">
        <v>435</v>
      </c>
      <c r="O176" s="2" t="s">
        <v>360</v>
      </c>
      <c r="P176" s="2" t="s">
        <v>626</v>
      </c>
      <c r="Q176" s="2" t="s">
        <v>351</v>
      </c>
      <c r="R176" s="2">
        <v>31821</v>
      </c>
      <c r="S176" s="2">
        <v>31821</v>
      </c>
      <c r="T176" s="2" t="s">
        <v>444</v>
      </c>
      <c r="U176" s="2" t="s">
        <v>444</v>
      </c>
      <c r="V176" s="2" t="s">
        <v>947</v>
      </c>
      <c r="W176" s="2" t="s">
        <v>1845</v>
      </c>
      <c r="X176" s="2" t="s">
        <v>1846</v>
      </c>
      <c r="Y176" s="2" t="s">
        <v>1847</v>
      </c>
      <c r="Z176" s="2">
        <v>89341695</v>
      </c>
      <c r="AA176" s="2">
        <v>89341695</v>
      </c>
      <c r="AB176" s="2" t="s">
        <v>1294</v>
      </c>
      <c r="AC176" s="2" t="s">
        <v>632</v>
      </c>
      <c r="AD176" s="2">
        <v>89341695</v>
      </c>
      <c r="AJ176" s="2">
        <v>89341695</v>
      </c>
      <c r="AK176" s="2">
        <v>2</v>
      </c>
      <c r="AL176" s="2" t="s">
        <v>633</v>
      </c>
      <c r="AM176" s="2">
        <v>0</v>
      </c>
      <c r="AN176" s="2">
        <v>0</v>
      </c>
      <c r="AO176" s="2">
        <v>1</v>
      </c>
      <c r="AP176" s="2">
        <v>0</v>
      </c>
      <c r="AQ176" s="2">
        <v>0</v>
      </c>
      <c r="AR176" s="2">
        <v>0</v>
      </c>
      <c r="AS176" s="2">
        <v>0</v>
      </c>
      <c r="AT176" s="2">
        <v>0</v>
      </c>
      <c r="BB176" s="2" t="str">
        <f>+PROPER(BD[[#This Row],[PRIMER_APELLIDO]])</f>
        <v>Iglesias</v>
      </c>
    </row>
    <row r="177" spans="1:54" x14ac:dyDescent="0.25">
      <c r="A177" s="2">
        <v>176</v>
      </c>
      <c r="B177" s="2">
        <v>47783</v>
      </c>
      <c r="C177" s="2" t="s">
        <v>619</v>
      </c>
      <c r="D177" s="2" t="s">
        <v>620</v>
      </c>
      <c r="E177" s="2" t="s">
        <v>1848</v>
      </c>
      <c r="F177" s="2">
        <v>25024575</v>
      </c>
      <c r="G177" s="3">
        <v>35.553424657534244</v>
      </c>
      <c r="H177" s="2" t="s">
        <v>622</v>
      </c>
      <c r="I177" s="2" t="s">
        <v>1849</v>
      </c>
      <c r="J177" s="2" t="str">
        <f>+IF(BD[[#This Row],[DEPARTAMENTO_INSS]]="MANAGUA","_01_","_02_")</f>
        <v>_02_</v>
      </c>
      <c r="K177" s="2" t="str">
        <f>+CONCATENATE(BD[[#This Row],[Columna3]],BD[[#This Row],[Columna4]],BD[[#This Row],[NOMBRE COMPLETO]])</f>
        <v>E003_02_CLAUDIA ELENA CHEVEZ VILLAVICENCIO</v>
      </c>
      <c r="L177" s="2" t="s">
        <v>1850</v>
      </c>
      <c r="M177" s="2" t="s">
        <v>1626</v>
      </c>
      <c r="N177" s="2" t="s">
        <v>199</v>
      </c>
      <c r="O177" s="2" t="s">
        <v>1851</v>
      </c>
      <c r="P177" s="2" t="s">
        <v>626</v>
      </c>
      <c r="Q177" s="2" t="s">
        <v>351</v>
      </c>
      <c r="R177" s="2">
        <v>31819</v>
      </c>
      <c r="S177" s="2">
        <v>31819</v>
      </c>
      <c r="T177" s="2" t="s">
        <v>176</v>
      </c>
      <c r="U177" s="2" t="s">
        <v>176</v>
      </c>
      <c r="V177" s="2" t="s">
        <v>650</v>
      </c>
      <c r="W177" s="2" t="s">
        <v>176</v>
      </c>
      <c r="X177" s="2" t="s">
        <v>1852</v>
      </c>
      <c r="Y177" s="2" t="s">
        <v>1853</v>
      </c>
      <c r="Z177" s="2">
        <v>58690990</v>
      </c>
      <c r="AA177" s="2">
        <v>86138783</v>
      </c>
      <c r="AB177" s="2" t="s">
        <v>631</v>
      </c>
      <c r="AC177" s="2" t="s">
        <v>632</v>
      </c>
      <c r="AD177" s="2">
        <v>58690990</v>
      </c>
      <c r="AE177" s="2">
        <v>86138783</v>
      </c>
      <c r="AJ177" s="2">
        <v>58690990</v>
      </c>
      <c r="AK177" s="2">
        <v>2</v>
      </c>
      <c r="AL177" s="2" t="s">
        <v>633</v>
      </c>
      <c r="AM177" s="2">
        <v>0</v>
      </c>
      <c r="AN177" s="2">
        <v>0</v>
      </c>
      <c r="AO177" s="2">
        <v>1</v>
      </c>
      <c r="AP177" s="2">
        <v>0</v>
      </c>
      <c r="AQ177" s="2">
        <v>0</v>
      </c>
      <c r="AR177" s="2">
        <v>0</v>
      </c>
      <c r="AS177" s="2">
        <v>0</v>
      </c>
      <c r="AT177" s="2">
        <v>0</v>
      </c>
      <c r="BB177" s="2" t="str">
        <f>+PROPER(BD[[#This Row],[PRIMER_APELLIDO]])</f>
        <v>Chevez</v>
      </c>
    </row>
    <row r="178" spans="1:54" x14ac:dyDescent="0.25">
      <c r="A178" s="2">
        <v>177</v>
      </c>
      <c r="B178" s="2">
        <v>48741</v>
      </c>
      <c r="C178" s="2" t="s">
        <v>619</v>
      </c>
      <c r="D178" s="2" t="s">
        <v>620</v>
      </c>
      <c r="E178" s="2" t="s">
        <v>1854</v>
      </c>
      <c r="F178" s="2">
        <v>25020885</v>
      </c>
      <c r="G178" s="3">
        <v>35.553424657534244</v>
      </c>
      <c r="H178" s="2" t="s">
        <v>622</v>
      </c>
      <c r="I178" s="2" t="s">
        <v>1855</v>
      </c>
      <c r="J178" s="2" t="str">
        <f>+IF(BD[[#This Row],[DEPARTAMENTO_INSS]]="MANAGUA","_01_","_02_")</f>
        <v>_02_</v>
      </c>
      <c r="K178" s="2" t="str">
        <f>+CONCATENATE(BD[[#This Row],[Columna3]],BD[[#This Row],[Columna4]],BD[[#This Row],[NOMBRE COMPLETO]])</f>
        <v>E003_02_BAYRON RAFAEL ZEPEDA MARTINES</v>
      </c>
      <c r="L178" s="2" t="s">
        <v>1856</v>
      </c>
      <c r="M178" s="2" t="s">
        <v>1857</v>
      </c>
      <c r="N178" s="2" t="s">
        <v>264</v>
      </c>
      <c r="O178" s="2" t="s">
        <v>1858</v>
      </c>
      <c r="P178" s="2" t="s">
        <v>649</v>
      </c>
      <c r="Q178" s="2" t="s">
        <v>351</v>
      </c>
      <c r="R178" s="2">
        <v>31819</v>
      </c>
      <c r="S178" s="2">
        <v>31819</v>
      </c>
      <c r="T178" s="2" t="s">
        <v>705</v>
      </c>
      <c r="U178" s="2" t="s">
        <v>705</v>
      </c>
      <c r="V178" s="2" t="s">
        <v>1859</v>
      </c>
      <c r="W178" s="2" t="s">
        <v>1860</v>
      </c>
      <c r="X178" s="2" t="s">
        <v>1861</v>
      </c>
      <c r="Y178" s="2" t="s">
        <v>1862</v>
      </c>
      <c r="Z178" s="2">
        <v>82925004</v>
      </c>
      <c r="AA178" s="2">
        <v>82925004</v>
      </c>
      <c r="AB178" s="2" t="s">
        <v>798</v>
      </c>
      <c r="AC178" s="2" t="s">
        <v>632</v>
      </c>
      <c r="AD178" s="2">
        <v>82925004</v>
      </c>
      <c r="AJ178" s="2">
        <v>82925004</v>
      </c>
      <c r="AK178" s="2">
        <v>2</v>
      </c>
      <c r="AL178" s="2" t="s">
        <v>633</v>
      </c>
      <c r="AM178" s="2">
        <v>0</v>
      </c>
      <c r="AN178" s="2">
        <v>0</v>
      </c>
      <c r="AO178" s="2">
        <v>1</v>
      </c>
      <c r="AP178" s="2">
        <v>0</v>
      </c>
      <c r="AQ178" s="2">
        <v>0</v>
      </c>
      <c r="AR178" s="2">
        <v>0</v>
      </c>
      <c r="AS178" s="2">
        <v>0</v>
      </c>
      <c r="AT178" s="2">
        <v>0</v>
      </c>
      <c r="AZ178" s="2" t="s">
        <v>1863</v>
      </c>
      <c r="BB178" s="2" t="str">
        <f>+PROPER(BD[[#This Row],[PRIMER_APELLIDO]])</f>
        <v>Zepeda</v>
      </c>
    </row>
    <row r="179" spans="1:54" x14ac:dyDescent="0.25">
      <c r="A179" s="2">
        <v>178</v>
      </c>
      <c r="B179" s="2">
        <v>43707</v>
      </c>
      <c r="C179" s="2" t="s">
        <v>619</v>
      </c>
      <c r="D179" s="2" t="s">
        <v>620</v>
      </c>
      <c r="E179" s="2" t="s">
        <v>1864</v>
      </c>
      <c r="F179" s="2">
        <v>23142952</v>
      </c>
      <c r="G179" s="3">
        <v>35.556164383561644</v>
      </c>
      <c r="H179" s="2" t="s">
        <v>622</v>
      </c>
      <c r="I179" s="2" t="s">
        <v>1865</v>
      </c>
      <c r="J179" s="2" t="str">
        <f>+IF(BD[[#This Row],[DEPARTAMENTO_INSS]]="MANAGUA","_01_","_02_")</f>
        <v>_01_</v>
      </c>
      <c r="K179" s="2" t="str">
        <f>+CONCATENATE(BD[[#This Row],[Columna3]],BD[[#This Row],[Columna4]],BD[[#This Row],[NOMBRE COMPLETO]])</f>
        <v>E003_01_MARIA GABRIELA PARRALES ESTRADA</v>
      </c>
      <c r="L179" s="2" t="s">
        <v>724</v>
      </c>
      <c r="M179" s="2" t="s">
        <v>1211</v>
      </c>
      <c r="N179" s="2" t="s">
        <v>378</v>
      </c>
      <c r="O179" s="2" t="s">
        <v>225</v>
      </c>
      <c r="P179" s="2" t="s">
        <v>626</v>
      </c>
      <c r="Q179" s="2" t="s">
        <v>351</v>
      </c>
      <c r="R179" s="2">
        <v>31818</v>
      </c>
      <c r="S179" s="2">
        <v>31818</v>
      </c>
      <c r="T179" s="2" t="s">
        <v>740</v>
      </c>
      <c r="U179" s="2" t="s">
        <v>627</v>
      </c>
      <c r="V179" s="2" t="s">
        <v>740</v>
      </c>
      <c r="W179" s="2" t="s">
        <v>1498</v>
      </c>
      <c r="X179" s="2" t="s">
        <v>1866</v>
      </c>
      <c r="Y179" s="2" t="s">
        <v>1867</v>
      </c>
      <c r="AA179" s="2">
        <v>86875883</v>
      </c>
      <c r="AB179" s="2" t="s">
        <v>642</v>
      </c>
      <c r="AC179" s="2" t="s">
        <v>632</v>
      </c>
      <c r="AD179" s="2">
        <v>86875883</v>
      </c>
      <c r="AJ179" s="2">
        <v>86875883</v>
      </c>
      <c r="AK179" s="2">
        <v>1</v>
      </c>
      <c r="AL179" s="2" t="s">
        <v>633</v>
      </c>
      <c r="AM179" s="2">
        <v>0</v>
      </c>
      <c r="AN179" s="2">
        <v>0</v>
      </c>
      <c r="AO179" s="2">
        <v>1</v>
      </c>
      <c r="AP179" s="2">
        <v>0</v>
      </c>
      <c r="AQ179" s="2">
        <v>0</v>
      </c>
      <c r="AR179" s="2">
        <v>0</v>
      </c>
      <c r="AS179" s="2">
        <v>0</v>
      </c>
      <c r="AT179" s="2">
        <v>0</v>
      </c>
      <c r="BB179" s="2" t="str">
        <f>+PROPER(BD[[#This Row],[PRIMER_APELLIDO]])</f>
        <v>Parrales</v>
      </c>
    </row>
    <row r="180" spans="1:54" x14ac:dyDescent="0.25">
      <c r="A180" s="2">
        <v>179</v>
      </c>
      <c r="B180" s="2">
        <v>72996</v>
      </c>
      <c r="C180" s="2" t="s">
        <v>619</v>
      </c>
      <c r="D180" s="2" t="s">
        <v>620</v>
      </c>
      <c r="E180" s="2" t="s">
        <v>1868</v>
      </c>
      <c r="G180" s="3">
        <v>35.556164383561644</v>
      </c>
      <c r="H180" s="2" t="s">
        <v>622</v>
      </c>
      <c r="I180" s="2" t="s">
        <v>1869</v>
      </c>
      <c r="J180" s="2" t="str">
        <f>+IF(BD[[#This Row],[DEPARTAMENTO_INSS]]="MANAGUA","_01_","_02_")</f>
        <v>_01_</v>
      </c>
      <c r="K180" s="2" t="str">
        <f>+CONCATENATE(BD[[#This Row],[Columna3]],BD[[#This Row],[Columna4]],BD[[#This Row],[NOMBRE COMPLETO]])</f>
        <v>E003_01_YURI DEL CARMEN TORREZ NARVAEZ</v>
      </c>
      <c r="L180" s="2" t="s">
        <v>1585</v>
      </c>
      <c r="M180" s="2" t="s">
        <v>961</v>
      </c>
      <c r="N180" s="2" t="s">
        <v>158</v>
      </c>
      <c r="O180" s="2" t="s">
        <v>121</v>
      </c>
      <c r="P180" s="2" t="s">
        <v>626</v>
      </c>
      <c r="Q180" s="2" t="s">
        <v>351</v>
      </c>
      <c r="R180" s="2">
        <v>31818</v>
      </c>
      <c r="S180" s="2">
        <v>31818</v>
      </c>
      <c r="T180" s="2" t="s">
        <v>627</v>
      </c>
      <c r="U180" s="2" t="s">
        <v>627</v>
      </c>
      <c r="V180" s="2" t="s">
        <v>627</v>
      </c>
      <c r="W180" s="2" t="s">
        <v>627</v>
      </c>
      <c r="X180" s="2" t="s">
        <v>1870</v>
      </c>
      <c r="Y180" s="2" t="s">
        <v>1871</v>
      </c>
      <c r="Z180" s="2">
        <v>88735505</v>
      </c>
      <c r="AA180" s="2">
        <v>88735505</v>
      </c>
      <c r="AB180" s="2" t="s">
        <v>894</v>
      </c>
      <c r="AC180" s="2" t="s">
        <v>632</v>
      </c>
      <c r="AD180" s="2">
        <v>88735505</v>
      </c>
      <c r="AJ180" s="2">
        <v>88735505</v>
      </c>
      <c r="AK180" s="2">
        <v>2</v>
      </c>
      <c r="AL180" s="2" t="s">
        <v>633</v>
      </c>
      <c r="AM180" s="2">
        <v>0</v>
      </c>
      <c r="AN180" s="2">
        <v>0</v>
      </c>
      <c r="AO180" s="2">
        <v>1</v>
      </c>
      <c r="AP180" s="2">
        <v>0</v>
      </c>
      <c r="AQ180" s="2">
        <v>0</v>
      </c>
      <c r="AR180" s="2">
        <v>0</v>
      </c>
      <c r="AS180" s="2">
        <v>0</v>
      </c>
      <c r="AT180" s="2">
        <v>0</v>
      </c>
      <c r="AZ180" s="2" t="s">
        <v>1872</v>
      </c>
      <c r="BB180" s="2" t="str">
        <f>+PROPER(BD[[#This Row],[PRIMER_APELLIDO]])</f>
        <v>Torrez</v>
      </c>
    </row>
    <row r="181" spans="1:54" x14ac:dyDescent="0.25">
      <c r="A181" s="2">
        <v>180</v>
      </c>
      <c r="B181" s="2">
        <v>42023</v>
      </c>
      <c r="C181" s="2" t="s">
        <v>619</v>
      </c>
      <c r="D181" s="2" t="s">
        <v>620</v>
      </c>
      <c r="E181" s="2" t="s">
        <v>1873</v>
      </c>
      <c r="F181" s="2">
        <v>24986335</v>
      </c>
      <c r="G181" s="3">
        <v>35.56712328767123</v>
      </c>
      <c r="H181" s="2" t="s">
        <v>622</v>
      </c>
      <c r="I181" s="2" t="s">
        <v>1874</v>
      </c>
      <c r="J181" s="2" t="str">
        <f>+IF(BD[[#This Row],[DEPARTAMENTO_INSS]]="MANAGUA","_01_","_02_")</f>
        <v>_02_</v>
      </c>
      <c r="K181" s="2" t="str">
        <f>+CONCATENATE(BD[[#This Row],[Columna3]],BD[[#This Row],[Columna4]],BD[[#This Row],[NOMBRE COMPLETO]])</f>
        <v>E003_02_GEOVANNY JAVIER PARADA REYES</v>
      </c>
      <c r="L181" s="2" t="s">
        <v>1604</v>
      </c>
      <c r="M181" s="2" t="s">
        <v>975</v>
      </c>
      <c r="N181" s="2" t="s">
        <v>376</v>
      </c>
      <c r="O181" s="2" t="s">
        <v>74</v>
      </c>
      <c r="P181" s="2" t="s">
        <v>649</v>
      </c>
      <c r="Q181" s="2" t="s">
        <v>351</v>
      </c>
      <c r="R181" s="2">
        <v>31814</v>
      </c>
      <c r="S181" s="2">
        <v>31814</v>
      </c>
      <c r="T181" s="2" t="s">
        <v>705</v>
      </c>
      <c r="U181" s="2" t="s">
        <v>705</v>
      </c>
      <c r="V181" s="2" t="s">
        <v>705</v>
      </c>
      <c r="W181" s="2" t="s">
        <v>705</v>
      </c>
      <c r="X181" s="2" t="s">
        <v>1875</v>
      </c>
      <c r="Y181" s="2" t="s">
        <v>1876</v>
      </c>
      <c r="Z181" s="2">
        <v>86773607</v>
      </c>
      <c r="AA181" s="2" t="s">
        <v>1877</v>
      </c>
      <c r="AB181" s="2" t="s">
        <v>798</v>
      </c>
      <c r="AC181" s="2" t="s">
        <v>632</v>
      </c>
      <c r="AD181" s="2">
        <v>86773607</v>
      </c>
      <c r="AJ181" s="2">
        <v>86773607</v>
      </c>
      <c r="AK181" s="2">
        <v>3</v>
      </c>
      <c r="AL181" s="2" t="s">
        <v>633</v>
      </c>
      <c r="AM181" s="2">
        <v>0</v>
      </c>
      <c r="AN181" s="2">
        <v>0</v>
      </c>
      <c r="AO181" s="2">
        <v>1</v>
      </c>
      <c r="AP181" s="2">
        <v>0</v>
      </c>
      <c r="AQ181" s="2">
        <v>0</v>
      </c>
      <c r="AR181" s="2">
        <v>0</v>
      </c>
      <c r="AS181" s="2">
        <v>0</v>
      </c>
      <c r="AT181" s="2">
        <v>0</v>
      </c>
      <c r="BB181" s="2" t="str">
        <f>+PROPER(BD[[#This Row],[PRIMER_APELLIDO]])</f>
        <v>Parada</v>
      </c>
    </row>
    <row r="182" spans="1:54" x14ac:dyDescent="0.25">
      <c r="A182" s="2">
        <v>181</v>
      </c>
      <c r="B182" s="2">
        <v>47106</v>
      </c>
      <c r="C182" s="2" t="s">
        <v>619</v>
      </c>
      <c r="D182" s="2" t="s">
        <v>620</v>
      </c>
      <c r="E182" s="2" t="s">
        <v>1878</v>
      </c>
      <c r="F182" s="2">
        <v>25024980</v>
      </c>
      <c r="G182" s="3">
        <v>35.56986301369863</v>
      </c>
      <c r="H182" s="2" t="s">
        <v>622</v>
      </c>
      <c r="I182" s="2" t="s">
        <v>1879</v>
      </c>
      <c r="J182" s="2" t="str">
        <f>+IF(BD[[#This Row],[DEPARTAMENTO_INSS]]="MANAGUA","_01_","_02_")</f>
        <v>_02_</v>
      </c>
      <c r="K182" s="2" t="str">
        <f>+CONCATENATE(BD[[#This Row],[Columna3]],BD[[#This Row],[Columna4]],BD[[#This Row],[NOMBRE COMPLETO]])</f>
        <v>E003_02_KAHOMARA ELIZABETH SEVILLA OROZCO</v>
      </c>
      <c r="L182" s="2" t="s">
        <v>1880</v>
      </c>
      <c r="M182" s="2" t="s">
        <v>1881</v>
      </c>
      <c r="N182" s="2" t="s">
        <v>280</v>
      </c>
      <c r="O182" s="2" t="s">
        <v>254</v>
      </c>
      <c r="P182" s="2" t="s">
        <v>626</v>
      </c>
      <c r="Q182" s="2" t="s">
        <v>351</v>
      </c>
      <c r="R182" s="2">
        <v>31813</v>
      </c>
      <c r="S182" s="2">
        <v>31813</v>
      </c>
      <c r="T182" s="2" t="s">
        <v>929</v>
      </c>
      <c r="U182" s="2" t="s">
        <v>929</v>
      </c>
      <c r="V182" s="2" t="s">
        <v>1882</v>
      </c>
      <c r="W182" s="2" t="s">
        <v>1882</v>
      </c>
      <c r="X182" s="2" t="s">
        <v>1883</v>
      </c>
      <c r="Y182" s="2" t="s">
        <v>1884</v>
      </c>
      <c r="Z182" s="2">
        <v>86260806</v>
      </c>
      <c r="AA182" s="2">
        <v>86260806</v>
      </c>
      <c r="AB182" s="2" t="s">
        <v>631</v>
      </c>
      <c r="AC182" s="2" t="s">
        <v>632</v>
      </c>
      <c r="AD182" s="2">
        <v>86260806</v>
      </c>
      <c r="AJ182" s="2">
        <v>86260806</v>
      </c>
      <c r="AK182" s="2">
        <v>2</v>
      </c>
      <c r="AL182" s="2" t="s">
        <v>633</v>
      </c>
      <c r="AM182" s="2">
        <v>0</v>
      </c>
      <c r="AN182" s="2">
        <v>0</v>
      </c>
      <c r="AO182" s="2">
        <v>1</v>
      </c>
      <c r="AP182" s="2">
        <v>0</v>
      </c>
      <c r="AQ182" s="2">
        <v>0</v>
      </c>
      <c r="AR182" s="2">
        <v>0</v>
      </c>
      <c r="AS182" s="2">
        <v>0</v>
      </c>
      <c r="AT182" s="2">
        <v>0</v>
      </c>
      <c r="AZ182" s="2" t="s">
        <v>1885</v>
      </c>
      <c r="BB182" s="2" t="str">
        <f>+PROPER(BD[[#This Row],[PRIMER_APELLIDO]])</f>
        <v>Sevilla</v>
      </c>
    </row>
    <row r="183" spans="1:54" x14ac:dyDescent="0.25">
      <c r="A183" s="2">
        <v>182</v>
      </c>
      <c r="B183" s="2">
        <v>71416</v>
      </c>
      <c r="C183" s="2" t="s">
        <v>619</v>
      </c>
      <c r="D183" s="2" t="s">
        <v>620</v>
      </c>
      <c r="E183" s="2" t="s">
        <v>1886</v>
      </c>
      <c r="G183" s="3">
        <v>35.56986301369863</v>
      </c>
      <c r="H183" s="2" t="s">
        <v>622</v>
      </c>
      <c r="I183" s="2" t="s">
        <v>1887</v>
      </c>
      <c r="J183" s="2" t="str">
        <f>+IF(BD[[#This Row],[DEPARTAMENTO_INSS]]="MANAGUA","_01_","_02_")</f>
        <v>_02_</v>
      </c>
      <c r="K183" s="2" t="str">
        <f>+CONCATENATE(BD[[#This Row],[Columna3]],BD[[#This Row],[Columna4]],BD[[#This Row],[NOMBRE COMPLETO]])</f>
        <v>E003_02_REYNALDO JOSE OLIVAS GUTIERREZ</v>
      </c>
      <c r="L183" s="2" t="s">
        <v>1888</v>
      </c>
      <c r="M183" s="2" t="s">
        <v>243</v>
      </c>
      <c r="N183" s="2" t="s">
        <v>322</v>
      </c>
      <c r="O183" s="2" t="s">
        <v>171</v>
      </c>
      <c r="P183" s="2" t="s">
        <v>649</v>
      </c>
      <c r="Q183" s="2" t="s">
        <v>351</v>
      </c>
      <c r="R183" s="2">
        <v>31813</v>
      </c>
      <c r="S183" s="2">
        <v>31813</v>
      </c>
      <c r="T183" s="2" t="s">
        <v>659</v>
      </c>
      <c r="U183" s="2" t="s">
        <v>659</v>
      </c>
      <c r="V183" s="2" t="s">
        <v>659</v>
      </c>
      <c r="W183" s="2" t="s">
        <v>659</v>
      </c>
      <c r="X183" s="2" t="s">
        <v>1889</v>
      </c>
      <c r="Y183" s="2" t="s">
        <v>1890</v>
      </c>
      <c r="Z183" s="2">
        <v>88930117</v>
      </c>
      <c r="AA183" s="2">
        <v>88398881</v>
      </c>
      <c r="AB183" s="2" t="s">
        <v>1891</v>
      </c>
      <c r="AC183" s="2" t="s">
        <v>632</v>
      </c>
      <c r="AD183" s="2">
        <v>88930117</v>
      </c>
      <c r="AF183" s="2">
        <v>88398881</v>
      </c>
      <c r="AJ183" s="2">
        <v>88930117</v>
      </c>
      <c r="AK183" s="2">
        <v>2</v>
      </c>
      <c r="AL183" s="2" t="s">
        <v>633</v>
      </c>
      <c r="AM183" s="2">
        <v>0</v>
      </c>
      <c r="AN183" s="2">
        <v>0</v>
      </c>
      <c r="AO183" s="2">
        <v>1</v>
      </c>
      <c r="AP183" s="2">
        <v>0</v>
      </c>
      <c r="AQ183" s="2">
        <v>0</v>
      </c>
      <c r="AR183" s="2">
        <v>0</v>
      </c>
      <c r="AS183" s="2">
        <v>0</v>
      </c>
      <c r="AT183" s="2">
        <v>0</v>
      </c>
      <c r="AZ183" s="2" t="s">
        <v>1892</v>
      </c>
      <c r="BB183" s="2" t="str">
        <f>+PROPER(BD[[#This Row],[PRIMER_APELLIDO]])</f>
        <v>Olivas</v>
      </c>
    </row>
    <row r="184" spans="1:54" x14ac:dyDescent="0.25">
      <c r="A184" s="2">
        <v>183</v>
      </c>
      <c r="B184" s="2">
        <v>49103</v>
      </c>
      <c r="C184" s="2" t="s">
        <v>619</v>
      </c>
      <c r="D184" s="2" t="s">
        <v>620</v>
      </c>
      <c r="E184" s="2" t="s">
        <v>1893</v>
      </c>
      <c r="F184" s="2">
        <v>25022616</v>
      </c>
      <c r="G184" s="3">
        <v>35.57260273972603</v>
      </c>
      <c r="H184" s="2" t="s">
        <v>622</v>
      </c>
      <c r="I184" s="2" t="s">
        <v>1894</v>
      </c>
      <c r="J184" s="2" t="str">
        <f>+IF(BD[[#This Row],[DEPARTAMENTO_INSS]]="MANAGUA","_01_","_02_")</f>
        <v>_02_</v>
      </c>
      <c r="K184" s="2" t="str">
        <f>+CONCATENATE(BD[[#This Row],[Columna3]],BD[[#This Row],[Columna4]],BD[[#This Row],[NOMBRE COMPLETO]])</f>
        <v>E003_02_YAMILETH DEL CARMEN RIVAS DUARTE</v>
      </c>
      <c r="L184" s="2" t="s">
        <v>1895</v>
      </c>
      <c r="M184" s="2" t="s">
        <v>961</v>
      </c>
      <c r="N184" s="2" t="s">
        <v>186</v>
      </c>
      <c r="O184" s="2" t="s">
        <v>117</v>
      </c>
      <c r="P184" s="2" t="s">
        <v>626</v>
      </c>
      <c r="Q184" s="2" t="s">
        <v>351</v>
      </c>
      <c r="R184" s="2">
        <v>31812</v>
      </c>
      <c r="S184" s="2">
        <v>31812</v>
      </c>
      <c r="T184" s="2" t="s">
        <v>1005</v>
      </c>
      <c r="U184" s="2" t="s">
        <v>1005</v>
      </c>
      <c r="V184" s="2" t="s">
        <v>1184</v>
      </c>
      <c r="W184" s="2" t="s">
        <v>1184</v>
      </c>
      <c r="X184" s="2" t="s">
        <v>1896</v>
      </c>
      <c r="Y184" s="2" t="s">
        <v>1897</v>
      </c>
      <c r="Z184" s="2">
        <v>87186286</v>
      </c>
      <c r="AB184" s="2" t="s">
        <v>631</v>
      </c>
      <c r="AC184" s="2" t="s">
        <v>632</v>
      </c>
      <c r="AD184" s="2">
        <v>87186286</v>
      </c>
      <c r="AJ184" s="2">
        <v>87186286</v>
      </c>
      <c r="AK184" s="2">
        <v>1</v>
      </c>
      <c r="AL184" s="2" t="s">
        <v>633</v>
      </c>
      <c r="AM184" s="2">
        <v>0</v>
      </c>
      <c r="AN184" s="2">
        <v>0</v>
      </c>
      <c r="AO184" s="2">
        <v>1</v>
      </c>
      <c r="AP184" s="2">
        <v>0</v>
      </c>
      <c r="AQ184" s="2">
        <v>0</v>
      </c>
      <c r="AR184" s="2">
        <v>0</v>
      </c>
      <c r="AS184" s="2">
        <v>0</v>
      </c>
      <c r="AT184" s="2">
        <v>0</v>
      </c>
      <c r="BB184" s="2" t="str">
        <f>+PROPER(BD[[#This Row],[PRIMER_APELLIDO]])</f>
        <v>Rivas</v>
      </c>
    </row>
    <row r="185" spans="1:54" x14ac:dyDescent="0.25">
      <c r="A185" s="2">
        <v>184</v>
      </c>
      <c r="B185" s="2">
        <v>54701</v>
      </c>
      <c r="C185" s="2" t="s">
        <v>619</v>
      </c>
      <c r="D185" s="2" t="s">
        <v>620</v>
      </c>
      <c r="E185" s="2" t="s">
        <v>1898</v>
      </c>
      <c r="G185" s="3">
        <v>35.57260273972603</v>
      </c>
      <c r="H185" s="2" t="s">
        <v>622</v>
      </c>
      <c r="I185" s="2" t="s">
        <v>1899</v>
      </c>
      <c r="J185" s="2" t="str">
        <f>+IF(BD[[#This Row],[DEPARTAMENTO_INSS]]="MANAGUA","_01_","_02_")</f>
        <v>_01_</v>
      </c>
      <c r="K185" s="2" t="str">
        <f>+CONCATENATE(BD[[#This Row],[Columna3]],BD[[#This Row],[Columna4]],BD[[#This Row],[NOMBRE COMPLETO]])</f>
        <v>E003_01_TAIRID NAIN ARAUZ GONZALEZ</v>
      </c>
      <c r="L185" s="2" t="s">
        <v>1900</v>
      </c>
      <c r="M185" s="2" t="s">
        <v>1901</v>
      </c>
      <c r="N185" s="2" t="s">
        <v>174</v>
      </c>
      <c r="O185" s="2" t="s">
        <v>14</v>
      </c>
      <c r="P185" s="2" t="s">
        <v>626</v>
      </c>
      <c r="Q185" s="2" t="s">
        <v>351</v>
      </c>
      <c r="R185" s="2">
        <v>31812</v>
      </c>
      <c r="S185" s="2">
        <v>31812</v>
      </c>
      <c r="T185" s="2" t="s">
        <v>627</v>
      </c>
      <c r="U185" s="2" t="s">
        <v>627</v>
      </c>
      <c r="V185" s="2" t="s">
        <v>627</v>
      </c>
      <c r="W185" s="2" t="s">
        <v>627</v>
      </c>
      <c r="X185" s="2" t="s">
        <v>1902</v>
      </c>
      <c r="Y185" s="2" t="s">
        <v>1903</v>
      </c>
      <c r="Z185" s="2">
        <v>83964012</v>
      </c>
      <c r="AA185" s="2">
        <v>83964012</v>
      </c>
      <c r="AB185" s="2" t="s">
        <v>1030</v>
      </c>
      <c r="AC185" s="2" t="s">
        <v>632</v>
      </c>
      <c r="AD185" s="2">
        <v>83964012</v>
      </c>
      <c r="AJ185" s="2">
        <v>83964012</v>
      </c>
      <c r="AK185" s="2">
        <v>2</v>
      </c>
      <c r="AL185" s="2" t="s">
        <v>633</v>
      </c>
      <c r="AM185" s="2">
        <v>0</v>
      </c>
      <c r="AN185" s="2">
        <v>0</v>
      </c>
      <c r="AO185" s="2">
        <v>1</v>
      </c>
      <c r="AP185" s="2">
        <v>0</v>
      </c>
      <c r="AQ185" s="2">
        <v>0</v>
      </c>
      <c r="AR185" s="2">
        <v>0</v>
      </c>
      <c r="AS185" s="2">
        <v>0</v>
      </c>
      <c r="AT185" s="2">
        <v>0</v>
      </c>
      <c r="AZ185" s="2" t="s">
        <v>1904</v>
      </c>
      <c r="BB185" s="2" t="str">
        <f>+PROPER(BD[[#This Row],[PRIMER_APELLIDO]])</f>
        <v>Arauz</v>
      </c>
    </row>
    <row r="186" spans="1:54" x14ac:dyDescent="0.25">
      <c r="A186" s="2">
        <v>185</v>
      </c>
      <c r="B186" s="2">
        <v>31612</v>
      </c>
      <c r="C186" s="2" t="s">
        <v>619</v>
      </c>
      <c r="D186" s="2" t="s">
        <v>620</v>
      </c>
      <c r="E186" s="2" t="s">
        <v>1905</v>
      </c>
      <c r="F186" s="2">
        <v>24607366</v>
      </c>
      <c r="G186" s="3">
        <v>35.580821917808223</v>
      </c>
      <c r="H186" s="2" t="s">
        <v>622</v>
      </c>
      <c r="I186" s="2" t="s">
        <v>1906</v>
      </c>
      <c r="J186" s="2" t="str">
        <f>+IF(BD[[#This Row],[DEPARTAMENTO_INSS]]="MANAGUA","_01_","_02_")</f>
        <v>_02_</v>
      </c>
      <c r="K186" s="2" t="str">
        <f>+CONCATENATE(BD[[#This Row],[Columna3]],BD[[#This Row],[Columna4]],BD[[#This Row],[NOMBRE COMPLETO]])</f>
        <v>E003_02_LOHANA JULISSA ZELEDON</v>
      </c>
      <c r="L186" s="2" t="s">
        <v>1907</v>
      </c>
      <c r="M186" s="2" t="s">
        <v>1908</v>
      </c>
      <c r="N186" s="2" t="s">
        <v>151</v>
      </c>
      <c r="P186" s="2" t="s">
        <v>626</v>
      </c>
      <c r="Q186" s="2" t="s">
        <v>351</v>
      </c>
      <c r="R186" s="2">
        <v>31809</v>
      </c>
      <c r="S186" s="2">
        <v>31809</v>
      </c>
      <c r="T186" s="2" t="s">
        <v>627</v>
      </c>
      <c r="U186" s="2" t="s">
        <v>691</v>
      </c>
      <c r="V186" s="2" t="s">
        <v>627</v>
      </c>
      <c r="W186" s="2" t="s">
        <v>691</v>
      </c>
      <c r="X186" s="2" t="s">
        <v>1909</v>
      </c>
      <c r="Y186" s="2" t="s">
        <v>1910</v>
      </c>
      <c r="AA186" s="2">
        <v>27140342</v>
      </c>
      <c r="AB186" s="2" t="s">
        <v>642</v>
      </c>
      <c r="AC186" s="2" t="s">
        <v>632</v>
      </c>
      <c r="AK186" s="2">
        <v>1</v>
      </c>
      <c r="AL186" s="2" t="s">
        <v>633</v>
      </c>
      <c r="AM186" s="2">
        <v>0</v>
      </c>
      <c r="AN186" s="2">
        <v>0</v>
      </c>
      <c r="AO186" s="2">
        <v>1</v>
      </c>
      <c r="AP186" s="2">
        <v>0</v>
      </c>
      <c r="AQ186" s="2">
        <v>0</v>
      </c>
      <c r="AR186" s="2">
        <v>0</v>
      </c>
      <c r="AS186" s="2">
        <v>0</v>
      </c>
      <c r="AT186" s="2">
        <v>0</v>
      </c>
      <c r="BB186" s="2" t="str">
        <f>+PROPER(BD[[#This Row],[PRIMER_APELLIDO]])</f>
        <v>Zeledon</v>
      </c>
    </row>
    <row r="187" spans="1:54" x14ac:dyDescent="0.25">
      <c r="A187" s="2">
        <v>186</v>
      </c>
      <c r="B187" s="2">
        <v>47697</v>
      </c>
      <c r="C187" s="2" t="s">
        <v>619</v>
      </c>
      <c r="D187" s="2" t="s">
        <v>620</v>
      </c>
      <c r="E187" s="2" t="s">
        <v>1911</v>
      </c>
      <c r="F187" s="2">
        <v>26965570</v>
      </c>
      <c r="G187" s="3">
        <v>35.580821917808223</v>
      </c>
      <c r="H187" s="2" t="s">
        <v>622</v>
      </c>
      <c r="I187" s="2" t="s">
        <v>1912</v>
      </c>
      <c r="J187" s="2" t="str">
        <f>+IF(BD[[#This Row],[DEPARTAMENTO_INSS]]="MANAGUA","_01_","_02_")</f>
        <v>_02_</v>
      </c>
      <c r="K187" s="2" t="str">
        <f>+CONCATENATE(BD[[#This Row],[Columna3]],BD[[#This Row],[Columna4]],BD[[#This Row],[NOMBRE COMPLETO]])</f>
        <v>E003_02_ARIANA PATRICIA RUIZ CHAMORRO</v>
      </c>
      <c r="L187" s="2" t="s">
        <v>1913</v>
      </c>
      <c r="M187" s="2" t="s">
        <v>747</v>
      </c>
      <c r="N187" s="2" t="s">
        <v>84</v>
      </c>
      <c r="O187" s="2" t="s">
        <v>1914</v>
      </c>
      <c r="P187" s="2" t="s">
        <v>626</v>
      </c>
      <c r="Q187" s="2" t="s">
        <v>351</v>
      </c>
      <c r="R187" s="2">
        <v>31809</v>
      </c>
      <c r="S187" s="2">
        <v>31809</v>
      </c>
      <c r="T187" s="2" t="s">
        <v>186</v>
      </c>
      <c r="U187" s="2" t="s">
        <v>186</v>
      </c>
      <c r="V187" s="2" t="s">
        <v>186</v>
      </c>
      <c r="W187" s="2" t="s">
        <v>186</v>
      </c>
      <c r="X187" s="2" t="s">
        <v>1915</v>
      </c>
      <c r="Y187" s="2" t="s">
        <v>1916</v>
      </c>
      <c r="Z187" s="2">
        <v>78338934</v>
      </c>
      <c r="AA187" s="2" t="s">
        <v>1917</v>
      </c>
      <c r="AB187" s="2" t="s">
        <v>798</v>
      </c>
      <c r="AC187" s="2" t="s">
        <v>632</v>
      </c>
      <c r="AD187" s="2">
        <v>78338934</v>
      </c>
      <c r="AE187" s="2">
        <v>89963567</v>
      </c>
      <c r="AF187" s="2">
        <v>85885542</v>
      </c>
      <c r="AJ187" s="2">
        <v>78338934</v>
      </c>
      <c r="AK187" s="2">
        <v>3</v>
      </c>
      <c r="AL187" s="2" t="s">
        <v>633</v>
      </c>
      <c r="AM187" s="2">
        <v>0</v>
      </c>
      <c r="AN187" s="2">
        <v>0</v>
      </c>
      <c r="AO187" s="2">
        <v>1</v>
      </c>
      <c r="AP187" s="2">
        <v>0</v>
      </c>
      <c r="AQ187" s="2">
        <v>0</v>
      </c>
      <c r="AR187" s="2">
        <v>0</v>
      </c>
      <c r="AS187" s="2">
        <v>0</v>
      </c>
      <c r="AT187" s="2">
        <v>0</v>
      </c>
      <c r="AZ187" s="2" t="s">
        <v>1918</v>
      </c>
      <c r="BB187" s="2" t="str">
        <f>+PROPER(BD[[#This Row],[PRIMER_APELLIDO]])</f>
        <v>Ruiz</v>
      </c>
    </row>
    <row r="188" spans="1:54" x14ac:dyDescent="0.25">
      <c r="A188" s="2">
        <v>187</v>
      </c>
      <c r="B188" s="2">
        <v>77539</v>
      </c>
      <c r="C188" s="2" t="s">
        <v>619</v>
      </c>
      <c r="D188" s="2" t="s">
        <v>620</v>
      </c>
      <c r="E188" s="2" t="s">
        <v>1919</v>
      </c>
      <c r="G188" s="3">
        <v>35.586301369863016</v>
      </c>
      <c r="H188" s="2" t="s">
        <v>622</v>
      </c>
      <c r="I188" s="2" t="s">
        <v>1920</v>
      </c>
      <c r="J188" s="2" t="str">
        <f>+IF(BD[[#This Row],[DEPARTAMENTO_INSS]]="MANAGUA","_01_","_02_")</f>
        <v>_02_</v>
      </c>
      <c r="K188" s="2" t="str">
        <f>+CONCATENATE(BD[[#This Row],[Columna3]],BD[[#This Row],[Columna4]],BD[[#This Row],[NOMBRE COMPLETO]])</f>
        <v>E003_02_LUIS CARLOS RODRIGUEZ PEÑA</v>
      </c>
      <c r="L188" s="2" t="s">
        <v>738</v>
      </c>
      <c r="M188" s="2" t="s">
        <v>826</v>
      </c>
      <c r="N188" s="2" t="s">
        <v>185</v>
      </c>
      <c r="O188" s="2" t="s">
        <v>534</v>
      </c>
      <c r="P188" s="2" t="s">
        <v>649</v>
      </c>
      <c r="Q188" s="2" t="s">
        <v>351</v>
      </c>
      <c r="R188" s="2">
        <v>31807</v>
      </c>
      <c r="S188" s="2">
        <v>31807</v>
      </c>
      <c r="T188" s="2" t="s">
        <v>929</v>
      </c>
      <c r="U188" s="2" t="s">
        <v>929</v>
      </c>
      <c r="V188" s="2" t="s">
        <v>1882</v>
      </c>
      <c r="W188" s="2" t="s">
        <v>1882</v>
      </c>
      <c r="X188" s="2" t="s">
        <v>1921</v>
      </c>
      <c r="Y188" s="2" t="s">
        <v>1922</v>
      </c>
      <c r="Z188" s="2">
        <v>85308706</v>
      </c>
      <c r="AA188" s="2">
        <v>85308706</v>
      </c>
      <c r="AB188" s="2" t="s">
        <v>654</v>
      </c>
      <c r="AC188" s="2" t="s">
        <v>632</v>
      </c>
      <c r="AD188" s="2">
        <v>85308706</v>
      </c>
      <c r="AJ188" s="2">
        <v>85308706</v>
      </c>
      <c r="AK188" s="2">
        <v>2</v>
      </c>
      <c r="AL188" s="2" t="s">
        <v>633</v>
      </c>
      <c r="AM188" s="2">
        <v>0</v>
      </c>
      <c r="AN188" s="2">
        <v>0</v>
      </c>
      <c r="AO188" s="2">
        <v>1</v>
      </c>
      <c r="AP188" s="2">
        <v>0</v>
      </c>
      <c r="AQ188" s="2">
        <v>0</v>
      </c>
      <c r="AR188" s="2">
        <v>0</v>
      </c>
      <c r="AS188" s="2">
        <v>0</v>
      </c>
      <c r="AT188" s="2">
        <v>0</v>
      </c>
      <c r="AZ188" s="2" t="s">
        <v>1923</v>
      </c>
      <c r="BB188" s="2" t="str">
        <f>+PROPER(BD[[#This Row],[PRIMER_APELLIDO]])</f>
        <v>Rodriguez</v>
      </c>
    </row>
    <row r="189" spans="1:54" x14ac:dyDescent="0.25">
      <c r="A189" s="2">
        <v>188</v>
      </c>
      <c r="B189" s="2">
        <v>58989</v>
      </c>
      <c r="C189" s="2" t="s">
        <v>619</v>
      </c>
      <c r="D189" s="2" t="s">
        <v>620</v>
      </c>
      <c r="E189" s="2" t="s">
        <v>1924</v>
      </c>
      <c r="G189" s="3">
        <v>35.591780821917808</v>
      </c>
      <c r="H189" s="2" t="s">
        <v>622</v>
      </c>
      <c r="I189" s="2" t="s">
        <v>1925</v>
      </c>
      <c r="J189" s="2" t="str">
        <f>+IF(BD[[#This Row],[DEPARTAMENTO_INSS]]="MANAGUA","_01_","_02_")</f>
        <v>_02_</v>
      </c>
      <c r="K189" s="2" t="str">
        <f>+CONCATENATE(BD[[#This Row],[Columna3]],BD[[#This Row],[Columna4]],BD[[#This Row],[NOMBRE COMPLETO]])</f>
        <v>E003_02_ELIUD NECTALI SANCHEZ SANCHEZ</v>
      </c>
      <c r="L189" s="2" t="s">
        <v>1926</v>
      </c>
      <c r="M189" s="2" t="s">
        <v>1927</v>
      </c>
      <c r="N189" s="2" t="s">
        <v>90</v>
      </c>
      <c r="O189" s="2" t="s">
        <v>90</v>
      </c>
      <c r="P189" s="2" t="s">
        <v>649</v>
      </c>
      <c r="Q189" s="2" t="s">
        <v>351</v>
      </c>
      <c r="R189" s="2">
        <v>31805</v>
      </c>
      <c r="S189" s="2">
        <v>31805</v>
      </c>
      <c r="T189" s="2" t="s">
        <v>1044</v>
      </c>
      <c r="U189" s="2" t="s">
        <v>1044</v>
      </c>
      <c r="V189" s="2" t="s">
        <v>1045</v>
      </c>
      <c r="W189" s="2" t="s">
        <v>1928</v>
      </c>
      <c r="X189" s="2" t="s">
        <v>1929</v>
      </c>
      <c r="Y189" s="2" t="s">
        <v>1930</v>
      </c>
      <c r="Z189" s="2" t="s">
        <v>1931</v>
      </c>
      <c r="AA189" s="2">
        <v>88132865</v>
      </c>
      <c r="AB189" s="2" t="s">
        <v>758</v>
      </c>
      <c r="AC189" s="2" t="s">
        <v>632</v>
      </c>
      <c r="AD189" s="2">
        <v>78609364</v>
      </c>
      <c r="AE189" s="2">
        <v>86340718</v>
      </c>
      <c r="AF189" s="2">
        <v>88132865</v>
      </c>
      <c r="AJ189" s="2">
        <v>78609364</v>
      </c>
      <c r="AK189" s="2">
        <v>3</v>
      </c>
      <c r="AL189" s="2" t="s">
        <v>633</v>
      </c>
      <c r="AM189" s="2">
        <v>0</v>
      </c>
      <c r="AN189" s="2">
        <v>0</v>
      </c>
      <c r="AO189" s="2">
        <v>1</v>
      </c>
      <c r="AP189" s="2">
        <v>0</v>
      </c>
      <c r="AQ189" s="2">
        <v>0</v>
      </c>
      <c r="AR189" s="2">
        <v>0</v>
      </c>
      <c r="AS189" s="2">
        <v>0</v>
      </c>
      <c r="AT189" s="2">
        <v>0</v>
      </c>
      <c r="AZ189" s="2" t="s">
        <v>1932</v>
      </c>
      <c r="BB189" s="2" t="str">
        <f>+PROPER(BD[[#This Row],[PRIMER_APELLIDO]])</f>
        <v>Sanchez</v>
      </c>
    </row>
    <row r="190" spans="1:54" x14ac:dyDescent="0.25">
      <c r="A190" s="2">
        <v>189</v>
      </c>
      <c r="B190" s="2">
        <v>64267</v>
      </c>
      <c r="C190" s="2" t="s">
        <v>619</v>
      </c>
      <c r="D190" s="2" t="s">
        <v>620</v>
      </c>
      <c r="E190" s="2" t="s">
        <v>1933</v>
      </c>
      <c r="G190" s="3">
        <v>35.591780821917808</v>
      </c>
      <c r="H190" s="2" t="s">
        <v>622</v>
      </c>
      <c r="I190" s="2" t="s">
        <v>1934</v>
      </c>
      <c r="J190" s="2" t="str">
        <f>+IF(BD[[#This Row],[DEPARTAMENTO_INSS]]="MANAGUA","_01_","_02_")</f>
        <v>_02_</v>
      </c>
      <c r="K190" s="2" t="str">
        <f>+CONCATENATE(BD[[#This Row],[Columna3]],BD[[#This Row],[Columna4]],BD[[#This Row],[NOMBRE COMPLETO]])</f>
        <v>E003_02_XOCHILT GRICELA ARAUZ MEJIA</v>
      </c>
      <c r="L190" s="2" t="s">
        <v>1935</v>
      </c>
      <c r="M190" s="2" t="s">
        <v>1936</v>
      </c>
      <c r="N190" s="2" t="s">
        <v>174</v>
      </c>
      <c r="O190" s="2" t="s">
        <v>130</v>
      </c>
      <c r="P190" s="2" t="s">
        <v>626</v>
      </c>
      <c r="Q190" s="2" t="s">
        <v>351</v>
      </c>
      <c r="R190" s="2">
        <v>31805</v>
      </c>
      <c r="S190" s="2">
        <v>31805</v>
      </c>
      <c r="T190" s="2" t="s">
        <v>659</v>
      </c>
      <c r="U190" s="2" t="s">
        <v>659</v>
      </c>
      <c r="V190" s="2" t="s">
        <v>659</v>
      </c>
      <c r="W190" s="2" t="s">
        <v>659</v>
      </c>
      <c r="X190" s="2" t="s">
        <v>1937</v>
      </c>
      <c r="Y190" s="2" t="s">
        <v>1938</v>
      </c>
      <c r="Z190" s="2">
        <v>57391037</v>
      </c>
      <c r="AA190" s="2" t="s">
        <v>1939</v>
      </c>
      <c r="AB190" s="2" t="s">
        <v>642</v>
      </c>
      <c r="AC190" s="2" t="s">
        <v>632</v>
      </c>
      <c r="AD190" s="2">
        <v>57391037</v>
      </c>
      <c r="AF190" s="2">
        <v>87391037</v>
      </c>
      <c r="AJ190" s="2">
        <v>57391037</v>
      </c>
      <c r="AK190" s="2">
        <v>3</v>
      </c>
      <c r="AL190" s="2" t="s">
        <v>633</v>
      </c>
      <c r="AM190" s="2">
        <v>0</v>
      </c>
      <c r="AN190" s="2">
        <v>0</v>
      </c>
      <c r="AO190" s="2">
        <v>1</v>
      </c>
      <c r="AP190" s="2">
        <v>0</v>
      </c>
      <c r="AQ190" s="2">
        <v>0</v>
      </c>
      <c r="AR190" s="2">
        <v>0</v>
      </c>
      <c r="AS190" s="2">
        <v>0</v>
      </c>
      <c r="AT190" s="2">
        <v>0</v>
      </c>
      <c r="BB190" s="2" t="str">
        <f>+PROPER(BD[[#This Row],[PRIMER_APELLIDO]])</f>
        <v>Arauz</v>
      </c>
    </row>
    <row r="191" spans="1:54" x14ac:dyDescent="0.25">
      <c r="A191" s="2">
        <v>190</v>
      </c>
      <c r="B191" s="2">
        <v>39134</v>
      </c>
      <c r="C191" s="2" t="s">
        <v>619</v>
      </c>
      <c r="D191" s="2" t="s">
        <v>620</v>
      </c>
      <c r="E191" s="2" t="s">
        <v>1940</v>
      </c>
      <c r="F191" s="2">
        <v>18071061</v>
      </c>
      <c r="G191" s="3">
        <v>35.594520547945208</v>
      </c>
      <c r="H191" s="2" t="s">
        <v>622</v>
      </c>
      <c r="I191" s="2" t="s">
        <v>1941</v>
      </c>
      <c r="J191" s="2" t="str">
        <f>+IF(BD[[#This Row],[DEPARTAMENTO_INSS]]="MANAGUA","_01_","_02_")</f>
        <v>_02_</v>
      </c>
      <c r="K191" s="2" t="str">
        <f>+CONCATENATE(BD[[#This Row],[Columna3]],BD[[#This Row],[Columna4]],BD[[#This Row],[NOMBRE COMPLETO]])</f>
        <v>E003_02_KARELIA LUCIA CRUZ VANEGAS</v>
      </c>
      <c r="L191" s="2" t="s">
        <v>1942</v>
      </c>
      <c r="M191" s="2" t="s">
        <v>676</v>
      </c>
      <c r="N191" s="2" t="s">
        <v>32</v>
      </c>
      <c r="O191" s="2" t="s">
        <v>75</v>
      </c>
      <c r="P191" s="2" t="s">
        <v>626</v>
      </c>
      <c r="Q191" s="2" t="s">
        <v>351</v>
      </c>
      <c r="R191" s="2">
        <v>31804</v>
      </c>
      <c r="S191" s="2">
        <v>31804</v>
      </c>
      <c r="T191" s="2" t="s">
        <v>176</v>
      </c>
      <c r="U191" s="2" t="s">
        <v>176</v>
      </c>
      <c r="V191" s="2" t="s">
        <v>650</v>
      </c>
      <c r="W191" s="2" t="s">
        <v>176</v>
      </c>
      <c r="X191" s="2" t="s">
        <v>1943</v>
      </c>
      <c r="Y191" s="2" t="s">
        <v>1944</v>
      </c>
      <c r="Z191" s="2">
        <v>82230467</v>
      </c>
      <c r="AA191" s="2" t="s">
        <v>1945</v>
      </c>
      <c r="AB191" s="2" t="s">
        <v>654</v>
      </c>
      <c r="AC191" s="2" t="s">
        <v>632</v>
      </c>
      <c r="AD191" s="2">
        <v>82230467</v>
      </c>
      <c r="AJ191" s="2">
        <v>82230467</v>
      </c>
      <c r="AK191" s="2">
        <v>3</v>
      </c>
      <c r="AL191" s="2" t="s">
        <v>633</v>
      </c>
      <c r="AM191" s="2">
        <v>0</v>
      </c>
      <c r="AN191" s="2">
        <v>0</v>
      </c>
      <c r="AO191" s="2">
        <v>1</v>
      </c>
      <c r="AP191" s="2">
        <v>0</v>
      </c>
      <c r="AQ191" s="2">
        <v>0</v>
      </c>
      <c r="AR191" s="2">
        <v>0</v>
      </c>
      <c r="AS191" s="2">
        <v>0</v>
      </c>
      <c r="AT191" s="2">
        <v>0</v>
      </c>
      <c r="AZ191" s="2" t="s">
        <v>1946</v>
      </c>
      <c r="BB191" s="2" t="str">
        <f>+PROPER(BD[[#This Row],[PRIMER_APELLIDO]])</f>
        <v>Cruz</v>
      </c>
    </row>
    <row r="192" spans="1:54" x14ac:dyDescent="0.25">
      <c r="A192" s="2">
        <v>191</v>
      </c>
      <c r="B192" s="2">
        <v>26803</v>
      </c>
      <c r="C192" s="2" t="s">
        <v>619</v>
      </c>
      <c r="D192" s="2" t="s">
        <v>620</v>
      </c>
      <c r="E192" s="2" t="s">
        <v>1947</v>
      </c>
      <c r="F192" s="2">
        <v>30431685</v>
      </c>
      <c r="G192" s="3">
        <v>35.613698630136987</v>
      </c>
      <c r="H192" s="2" t="s">
        <v>622</v>
      </c>
      <c r="I192" s="2" t="s">
        <v>1948</v>
      </c>
      <c r="J192" s="2" t="str">
        <f>+IF(BD[[#This Row],[DEPARTAMENTO_INSS]]="MANAGUA","_01_","_02_")</f>
        <v>_02_</v>
      </c>
      <c r="K192" s="2" t="str">
        <f>+CONCATENATE(BD[[#This Row],[Columna3]],BD[[#This Row],[Columna4]],BD[[#This Row],[NOMBRE COMPLETO]])</f>
        <v>E003_02_GERALEE ALEXA HODGSON BENDLISS</v>
      </c>
      <c r="L192" s="2" t="s">
        <v>1949</v>
      </c>
      <c r="M192" s="2" t="s">
        <v>1950</v>
      </c>
      <c r="N192" s="2" t="s">
        <v>295</v>
      </c>
      <c r="O192" s="2" t="s">
        <v>1951</v>
      </c>
      <c r="P192" s="2" t="s">
        <v>626</v>
      </c>
      <c r="Q192" s="2" t="s">
        <v>351</v>
      </c>
      <c r="R192" s="2">
        <v>31797</v>
      </c>
      <c r="S192" s="2">
        <v>31797</v>
      </c>
      <c r="T192" s="2" t="s">
        <v>780</v>
      </c>
      <c r="U192" s="2" t="s">
        <v>780</v>
      </c>
      <c r="V192" s="2" t="s">
        <v>781</v>
      </c>
      <c r="W192" s="2" t="s">
        <v>781</v>
      </c>
      <c r="X192" s="2" t="s">
        <v>1952</v>
      </c>
      <c r="Y192" s="2" t="s">
        <v>1953</v>
      </c>
      <c r="Z192" s="2">
        <v>84254385</v>
      </c>
      <c r="AA192" s="2">
        <v>84254385</v>
      </c>
      <c r="AB192" s="2" t="s">
        <v>654</v>
      </c>
      <c r="AC192" s="2" t="s">
        <v>632</v>
      </c>
      <c r="AD192" s="2">
        <v>84254385</v>
      </c>
      <c r="AJ192" s="2">
        <v>84254385</v>
      </c>
      <c r="AK192" s="2">
        <v>2</v>
      </c>
      <c r="AL192" s="2" t="s">
        <v>633</v>
      </c>
      <c r="AM192" s="2">
        <v>0</v>
      </c>
      <c r="AN192" s="2">
        <v>0</v>
      </c>
      <c r="AO192" s="2">
        <v>1</v>
      </c>
      <c r="AP192" s="2">
        <v>0</v>
      </c>
      <c r="AQ192" s="2">
        <v>0</v>
      </c>
      <c r="AR192" s="2">
        <v>0</v>
      </c>
      <c r="AS192" s="2">
        <v>0</v>
      </c>
      <c r="AT192" s="2">
        <v>0</v>
      </c>
      <c r="BB192" s="2" t="str">
        <f>+PROPER(BD[[#This Row],[PRIMER_APELLIDO]])</f>
        <v>Hodgson</v>
      </c>
    </row>
    <row r="193" spans="1:54" x14ac:dyDescent="0.25">
      <c r="A193" s="2">
        <v>192</v>
      </c>
      <c r="B193" s="2">
        <v>52729</v>
      </c>
      <c r="C193" s="2" t="s">
        <v>619</v>
      </c>
      <c r="D193" s="2" t="s">
        <v>620</v>
      </c>
      <c r="E193" s="2" t="s">
        <v>1954</v>
      </c>
      <c r="F193" s="2">
        <v>18356388</v>
      </c>
      <c r="G193" s="3">
        <v>35.613698630136987</v>
      </c>
      <c r="H193" s="2" t="s">
        <v>622</v>
      </c>
      <c r="I193" s="2" t="s">
        <v>1955</v>
      </c>
      <c r="J193" s="2" t="str">
        <f>+IF(BD[[#This Row],[DEPARTAMENTO_INSS]]="MANAGUA","_01_","_02_")</f>
        <v>_01_</v>
      </c>
      <c r="K193" s="2" t="str">
        <f>+CONCATENATE(BD[[#This Row],[Columna3]],BD[[#This Row],[Columna4]],BD[[#This Row],[NOMBRE COMPLETO]])</f>
        <v>E003_01_NUBIA PATRICIA BORGE ZAPATA</v>
      </c>
      <c r="L193" s="2" t="s">
        <v>1956</v>
      </c>
      <c r="M193" s="2" t="s">
        <v>747</v>
      </c>
      <c r="N193" s="2" t="s">
        <v>423</v>
      </c>
      <c r="O193" s="2" t="s">
        <v>222</v>
      </c>
      <c r="P193" s="2" t="s">
        <v>626</v>
      </c>
      <c r="Q193" s="2" t="s">
        <v>351</v>
      </c>
      <c r="R193" s="2">
        <v>31797</v>
      </c>
      <c r="S193" s="2">
        <v>31797</v>
      </c>
      <c r="T193" s="2" t="s">
        <v>627</v>
      </c>
      <c r="U193" s="2" t="s">
        <v>627</v>
      </c>
      <c r="V193" s="2" t="s">
        <v>627</v>
      </c>
      <c r="W193" s="2" t="s">
        <v>627</v>
      </c>
      <c r="X193" s="2" t="s">
        <v>1957</v>
      </c>
      <c r="Y193" s="2" t="s">
        <v>1958</v>
      </c>
      <c r="AA193" s="2">
        <v>89449117</v>
      </c>
      <c r="AB193" s="2" t="s">
        <v>642</v>
      </c>
      <c r="AC193" s="2" t="s">
        <v>632</v>
      </c>
      <c r="AD193" s="2">
        <v>89449117</v>
      </c>
      <c r="AJ193" s="2">
        <v>89449117</v>
      </c>
      <c r="AK193" s="2">
        <v>1</v>
      </c>
      <c r="AL193" s="2" t="s">
        <v>633</v>
      </c>
      <c r="AM193" s="2">
        <v>0</v>
      </c>
      <c r="AN193" s="2">
        <v>0</v>
      </c>
      <c r="AO193" s="2">
        <v>1</v>
      </c>
      <c r="AP193" s="2">
        <v>0</v>
      </c>
      <c r="AQ193" s="2">
        <v>0</v>
      </c>
      <c r="AR193" s="2">
        <v>0</v>
      </c>
      <c r="AS193" s="2">
        <v>0</v>
      </c>
      <c r="AT193" s="2">
        <v>0</v>
      </c>
      <c r="BB193" s="2" t="str">
        <f>+PROPER(BD[[#This Row],[PRIMER_APELLIDO]])</f>
        <v>Borge</v>
      </c>
    </row>
    <row r="194" spans="1:54" x14ac:dyDescent="0.25">
      <c r="A194" s="2">
        <v>193</v>
      </c>
      <c r="B194" s="2">
        <v>66085</v>
      </c>
      <c r="C194" s="2" t="s">
        <v>619</v>
      </c>
      <c r="D194" s="2" t="s">
        <v>620</v>
      </c>
      <c r="E194" s="2" t="s">
        <v>1959</v>
      </c>
      <c r="G194" s="3">
        <v>35.61643835616438</v>
      </c>
      <c r="H194" s="2" t="s">
        <v>622</v>
      </c>
      <c r="I194" s="2" t="s">
        <v>1960</v>
      </c>
      <c r="J194" s="2" t="str">
        <f>+IF(BD[[#This Row],[DEPARTAMENTO_INSS]]="MANAGUA","_01_","_02_")</f>
        <v>_02_</v>
      </c>
      <c r="K194" s="2" t="str">
        <f>+CONCATENATE(BD[[#This Row],[Columna3]],BD[[#This Row],[Columna4]],BD[[#This Row],[NOMBRE COMPLETO]])</f>
        <v>E003_02_LUISA MARCELA URBINA MEMBREÑO</v>
      </c>
      <c r="L194" s="2" t="s">
        <v>1961</v>
      </c>
      <c r="M194" s="2" t="s">
        <v>1962</v>
      </c>
      <c r="N194" s="2" t="s">
        <v>86</v>
      </c>
      <c r="O194" s="2" t="s">
        <v>326</v>
      </c>
      <c r="P194" s="2" t="s">
        <v>626</v>
      </c>
      <c r="Q194" s="2" t="s">
        <v>351</v>
      </c>
      <c r="R194" s="2">
        <v>31796</v>
      </c>
      <c r="S194" s="2">
        <v>31796</v>
      </c>
      <c r="T194" s="2" t="s">
        <v>732</v>
      </c>
      <c r="U194" s="2" t="s">
        <v>732</v>
      </c>
      <c r="V194" s="2" t="s">
        <v>962</v>
      </c>
      <c r="W194" s="2" t="s">
        <v>848</v>
      </c>
      <c r="X194" s="2" t="s">
        <v>1963</v>
      </c>
      <c r="Y194" s="2" t="s">
        <v>1964</v>
      </c>
      <c r="Z194" s="2">
        <v>78059974</v>
      </c>
      <c r="AA194" s="2" t="s">
        <v>1965</v>
      </c>
      <c r="AB194" s="2" t="s">
        <v>631</v>
      </c>
      <c r="AC194" s="2" t="s">
        <v>632</v>
      </c>
      <c r="AD194" s="2">
        <v>78059974</v>
      </c>
      <c r="AE194" s="2">
        <v>57623275</v>
      </c>
      <c r="AJ194" s="2">
        <v>78059974</v>
      </c>
      <c r="AK194" s="2">
        <v>3</v>
      </c>
      <c r="AL194" s="2" t="s">
        <v>633</v>
      </c>
      <c r="AM194" s="2">
        <v>0</v>
      </c>
      <c r="AN194" s="2">
        <v>0</v>
      </c>
      <c r="AO194" s="2">
        <v>1</v>
      </c>
      <c r="AP194" s="2">
        <v>0</v>
      </c>
      <c r="AQ194" s="2">
        <v>0</v>
      </c>
      <c r="AR194" s="2">
        <v>0</v>
      </c>
      <c r="AS194" s="2">
        <v>0</v>
      </c>
      <c r="AT194" s="2">
        <v>0</v>
      </c>
      <c r="AZ194" s="2" t="s">
        <v>1966</v>
      </c>
      <c r="BB194" s="2" t="str">
        <f>+PROPER(BD[[#This Row],[PRIMER_APELLIDO]])</f>
        <v>Urbina</v>
      </c>
    </row>
    <row r="195" spans="1:54" x14ac:dyDescent="0.25">
      <c r="A195" s="2">
        <v>194</v>
      </c>
      <c r="B195" s="2">
        <v>52783</v>
      </c>
      <c r="C195" s="2" t="s">
        <v>619</v>
      </c>
      <c r="D195" s="2" t="s">
        <v>620</v>
      </c>
      <c r="E195" s="2" t="s">
        <v>1967</v>
      </c>
      <c r="F195" s="2">
        <v>24986373</v>
      </c>
      <c r="G195" s="3">
        <v>35.62191780821918</v>
      </c>
      <c r="H195" s="2" t="s">
        <v>622</v>
      </c>
      <c r="I195" s="2" t="s">
        <v>1968</v>
      </c>
      <c r="J195" s="2" t="str">
        <f>+IF(BD[[#This Row],[DEPARTAMENTO_INSS]]="MANAGUA","_01_","_02_")</f>
        <v>_02_</v>
      </c>
      <c r="K195" s="2" t="str">
        <f>+CONCATENATE(BD[[#This Row],[Columna3]],BD[[#This Row],[Columna4]],BD[[#This Row],[NOMBRE COMPLETO]])</f>
        <v>E003_02_AUGUSTO CESAR CENTENO LOPEZ</v>
      </c>
      <c r="L195" s="2" t="s">
        <v>1969</v>
      </c>
      <c r="M195" s="2" t="s">
        <v>1223</v>
      </c>
      <c r="N195" s="2" t="s">
        <v>116</v>
      </c>
      <c r="O195" s="2" t="s">
        <v>15</v>
      </c>
      <c r="P195" s="2" t="s">
        <v>649</v>
      </c>
      <c r="Q195" s="2" t="s">
        <v>351</v>
      </c>
      <c r="R195" s="2">
        <v>31794</v>
      </c>
      <c r="S195" s="2">
        <v>31794</v>
      </c>
      <c r="T195" s="2" t="s">
        <v>780</v>
      </c>
      <c r="U195" s="2" t="s">
        <v>780</v>
      </c>
      <c r="V195" s="2" t="s">
        <v>1970</v>
      </c>
      <c r="W195" s="2" t="s">
        <v>781</v>
      </c>
      <c r="X195" s="2" t="s">
        <v>1971</v>
      </c>
      <c r="Y195" s="2" t="s">
        <v>1972</v>
      </c>
      <c r="Z195" s="2">
        <v>87896051</v>
      </c>
      <c r="AA195" s="2">
        <v>87276970</v>
      </c>
      <c r="AB195" s="2" t="s">
        <v>798</v>
      </c>
      <c r="AC195" s="2" t="s">
        <v>632</v>
      </c>
      <c r="AD195" s="2">
        <v>87896051</v>
      </c>
      <c r="AF195" s="2">
        <v>87276970</v>
      </c>
      <c r="AJ195" s="2">
        <v>87896051</v>
      </c>
      <c r="AK195" s="2">
        <v>2</v>
      </c>
      <c r="AL195" s="2" t="s">
        <v>633</v>
      </c>
      <c r="AM195" s="2">
        <v>0</v>
      </c>
      <c r="AN195" s="2">
        <v>0</v>
      </c>
      <c r="AO195" s="2">
        <v>1</v>
      </c>
      <c r="AP195" s="2">
        <v>0</v>
      </c>
      <c r="AQ195" s="2">
        <v>0</v>
      </c>
      <c r="AR195" s="2">
        <v>0</v>
      </c>
      <c r="AS195" s="2">
        <v>0</v>
      </c>
      <c r="AT195" s="2">
        <v>0</v>
      </c>
      <c r="AZ195" s="2" t="s">
        <v>1973</v>
      </c>
      <c r="BB195" s="2" t="str">
        <f>+PROPER(BD[[#This Row],[PRIMER_APELLIDO]])</f>
        <v>Centeno</v>
      </c>
    </row>
    <row r="196" spans="1:54" x14ac:dyDescent="0.25">
      <c r="A196" s="2">
        <v>195</v>
      </c>
      <c r="B196" s="2">
        <v>29886</v>
      </c>
      <c r="C196" s="2" t="s">
        <v>619</v>
      </c>
      <c r="D196" s="2" t="s">
        <v>620</v>
      </c>
      <c r="E196" s="2" t="s">
        <v>1974</v>
      </c>
      <c r="F196" s="2">
        <v>23451223</v>
      </c>
      <c r="G196" s="3">
        <v>35.627397260273973</v>
      </c>
      <c r="H196" s="2" t="s">
        <v>622</v>
      </c>
      <c r="I196" s="2" t="s">
        <v>1975</v>
      </c>
      <c r="J196" s="2" t="str">
        <f>+IF(BD[[#This Row],[DEPARTAMENTO_INSS]]="MANAGUA","_01_","_02_")</f>
        <v>_01_</v>
      </c>
      <c r="K196" s="2" t="str">
        <f>+CONCATENATE(BD[[#This Row],[Columna3]],BD[[#This Row],[Columna4]],BD[[#This Row],[NOMBRE COMPLETO]])</f>
        <v>E003_01_CARLOS ANDRES GUTIERREZ AVILES</v>
      </c>
      <c r="L196" s="2" t="s">
        <v>826</v>
      </c>
      <c r="M196" s="2" t="s">
        <v>953</v>
      </c>
      <c r="N196" s="2" t="s">
        <v>171</v>
      </c>
      <c r="O196" s="2" t="s">
        <v>462</v>
      </c>
      <c r="P196" s="2" t="s">
        <v>649</v>
      </c>
      <c r="Q196" s="2" t="s">
        <v>351</v>
      </c>
      <c r="R196" s="2">
        <v>31792</v>
      </c>
      <c r="S196" s="2">
        <v>31792</v>
      </c>
      <c r="T196" s="2" t="s">
        <v>627</v>
      </c>
      <c r="U196" s="2" t="s">
        <v>627</v>
      </c>
      <c r="V196" s="2" t="s">
        <v>627</v>
      </c>
      <c r="W196" s="2" t="s">
        <v>627</v>
      </c>
      <c r="X196" s="2" t="s">
        <v>1976</v>
      </c>
      <c r="Y196" s="2" t="s">
        <v>1977</v>
      </c>
      <c r="Z196" s="2" t="s">
        <v>1978</v>
      </c>
      <c r="AA196" s="2" t="s">
        <v>1979</v>
      </c>
      <c r="AB196" s="2" t="s">
        <v>654</v>
      </c>
      <c r="AC196" s="2" t="s">
        <v>632</v>
      </c>
      <c r="AD196" s="2">
        <v>88479529</v>
      </c>
      <c r="AE196" s="2">
        <v>89637215</v>
      </c>
      <c r="AG196" s="2">
        <v>88479529</v>
      </c>
      <c r="AJ196" s="2">
        <v>88479529</v>
      </c>
      <c r="AK196" s="2">
        <v>4</v>
      </c>
      <c r="AL196" s="2" t="s">
        <v>633</v>
      </c>
      <c r="AM196" s="2">
        <v>0</v>
      </c>
      <c r="AN196" s="2">
        <v>0</v>
      </c>
      <c r="AO196" s="2">
        <v>1</v>
      </c>
      <c r="AP196" s="2">
        <v>0</v>
      </c>
      <c r="AQ196" s="2">
        <v>0</v>
      </c>
      <c r="AR196" s="2">
        <v>0</v>
      </c>
      <c r="AS196" s="2">
        <v>0</v>
      </c>
      <c r="AT196" s="2">
        <v>0</v>
      </c>
      <c r="AZ196" s="2" t="s">
        <v>1980</v>
      </c>
      <c r="BB196" s="2" t="str">
        <f>+PROPER(BD[[#This Row],[PRIMER_APELLIDO]])</f>
        <v>Gutierrez</v>
      </c>
    </row>
    <row r="197" spans="1:54" x14ac:dyDescent="0.25">
      <c r="A197" s="2">
        <v>196</v>
      </c>
      <c r="B197" s="2">
        <v>39975</v>
      </c>
      <c r="C197" s="2" t="s">
        <v>619</v>
      </c>
      <c r="D197" s="2" t="s">
        <v>620</v>
      </c>
      <c r="E197" s="2" t="s">
        <v>1981</v>
      </c>
      <c r="F197" s="2">
        <v>23147265</v>
      </c>
      <c r="G197" s="3">
        <v>35.627397260273973</v>
      </c>
      <c r="H197" s="2" t="s">
        <v>622</v>
      </c>
      <c r="I197" s="2" t="s">
        <v>1982</v>
      </c>
      <c r="J197" s="2" t="str">
        <f>+IF(BD[[#This Row],[DEPARTAMENTO_INSS]]="MANAGUA","_01_","_02_")</f>
        <v>_02_</v>
      </c>
      <c r="K197" s="2" t="str">
        <f>+CONCATENATE(BD[[#This Row],[Columna3]],BD[[#This Row],[Columna4]],BD[[#This Row],[NOMBRE COMPLETO]])</f>
        <v>E003_02_ITZEL KAROLINA TORRES</v>
      </c>
      <c r="L197" s="2" t="s">
        <v>1983</v>
      </c>
      <c r="M197" s="2" t="s">
        <v>1706</v>
      </c>
      <c r="N197" s="2" t="s">
        <v>132</v>
      </c>
      <c r="P197" s="2" t="s">
        <v>626</v>
      </c>
      <c r="Q197" s="2" t="s">
        <v>351</v>
      </c>
      <c r="R197" s="2">
        <v>31792</v>
      </c>
      <c r="S197" s="2">
        <v>31792</v>
      </c>
      <c r="T197" s="2" t="s">
        <v>176</v>
      </c>
      <c r="U197" s="2" t="s">
        <v>176</v>
      </c>
      <c r="V197" s="2" t="s">
        <v>650</v>
      </c>
      <c r="W197" s="2" t="s">
        <v>176</v>
      </c>
      <c r="X197" s="2" t="s">
        <v>1984</v>
      </c>
      <c r="Y197" s="2" t="s">
        <v>1985</v>
      </c>
      <c r="AA197" s="2">
        <v>23462351</v>
      </c>
      <c r="AB197" s="2" t="s">
        <v>654</v>
      </c>
      <c r="AC197" s="2" t="s">
        <v>632</v>
      </c>
      <c r="AK197" s="2">
        <v>1</v>
      </c>
      <c r="AL197" s="2" t="s">
        <v>633</v>
      </c>
      <c r="AM197" s="2">
        <v>0</v>
      </c>
      <c r="AN197" s="2">
        <v>0</v>
      </c>
      <c r="AO197" s="2">
        <v>1</v>
      </c>
      <c r="AP197" s="2">
        <v>0</v>
      </c>
      <c r="AQ197" s="2">
        <v>0</v>
      </c>
      <c r="AR197" s="2">
        <v>0</v>
      </c>
      <c r="AS197" s="2">
        <v>0</v>
      </c>
      <c r="AT197" s="2">
        <v>0</v>
      </c>
      <c r="BB197" s="2" t="str">
        <f>+PROPER(BD[[#This Row],[PRIMER_APELLIDO]])</f>
        <v>Torres</v>
      </c>
    </row>
    <row r="198" spans="1:54" x14ac:dyDescent="0.25">
      <c r="A198" s="2">
        <v>197</v>
      </c>
      <c r="B198" s="2">
        <v>61527</v>
      </c>
      <c r="C198" s="2" t="s">
        <v>619</v>
      </c>
      <c r="D198" s="2" t="s">
        <v>620</v>
      </c>
      <c r="E198" s="2" t="s">
        <v>1986</v>
      </c>
      <c r="G198" s="3">
        <v>35.630136986301373</v>
      </c>
      <c r="H198" s="2" t="s">
        <v>622</v>
      </c>
      <c r="I198" s="2" t="s">
        <v>1987</v>
      </c>
      <c r="J198" s="2" t="str">
        <f>+IF(BD[[#This Row],[DEPARTAMENTO_INSS]]="MANAGUA","_01_","_02_")</f>
        <v>_02_</v>
      </c>
      <c r="K198" s="2" t="str">
        <f>+CONCATENATE(BD[[#This Row],[Columna3]],BD[[#This Row],[Columna4]],BD[[#This Row],[NOMBRE COMPLETO]])</f>
        <v>E003_02_CESAR AUGUSTO HERNANDEZ BLANDON</v>
      </c>
      <c r="L198" s="2" t="s">
        <v>1223</v>
      </c>
      <c r="M198" s="2" t="s">
        <v>1969</v>
      </c>
      <c r="N198" s="2" t="s">
        <v>11</v>
      </c>
      <c r="O198" s="2" t="s">
        <v>159</v>
      </c>
      <c r="P198" s="2" t="s">
        <v>649</v>
      </c>
      <c r="Q198" s="2" t="s">
        <v>351</v>
      </c>
      <c r="R198" s="2">
        <v>31791</v>
      </c>
      <c r="S198" s="2">
        <v>31791</v>
      </c>
      <c r="T198" s="2" t="s">
        <v>1005</v>
      </c>
      <c r="U198" s="2" t="s">
        <v>1005</v>
      </c>
      <c r="V198" s="2" t="s">
        <v>1184</v>
      </c>
      <c r="W198" s="2" t="s">
        <v>1988</v>
      </c>
      <c r="X198" s="2" t="s">
        <v>1989</v>
      </c>
      <c r="Y198" s="2" t="s">
        <v>1990</v>
      </c>
      <c r="Z198" s="2">
        <v>57875607</v>
      </c>
      <c r="AB198" s="2" t="s">
        <v>654</v>
      </c>
      <c r="AC198" s="2" t="s">
        <v>632</v>
      </c>
      <c r="AD198" s="2">
        <v>57875607</v>
      </c>
      <c r="AJ198" s="2">
        <v>57875607</v>
      </c>
      <c r="AK198" s="2">
        <v>1</v>
      </c>
      <c r="AL198" s="2" t="s">
        <v>633</v>
      </c>
      <c r="AM198" s="2">
        <v>0</v>
      </c>
      <c r="AN198" s="2">
        <v>0</v>
      </c>
      <c r="AO198" s="2">
        <v>1</v>
      </c>
      <c r="AP198" s="2">
        <v>0</v>
      </c>
      <c r="AQ198" s="2">
        <v>0</v>
      </c>
      <c r="AR198" s="2">
        <v>0</v>
      </c>
      <c r="AS198" s="2">
        <v>0</v>
      </c>
      <c r="AT198" s="2">
        <v>0</v>
      </c>
      <c r="AZ198" s="2" t="s">
        <v>1991</v>
      </c>
      <c r="BB198" s="2" t="str">
        <f>+PROPER(BD[[#This Row],[PRIMER_APELLIDO]])</f>
        <v>Hernandez</v>
      </c>
    </row>
    <row r="199" spans="1:54" x14ac:dyDescent="0.25">
      <c r="A199" s="2">
        <v>198</v>
      </c>
      <c r="B199" s="2">
        <v>47586</v>
      </c>
      <c r="C199" s="2" t="s">
        <v>619</v>
      </c>
      <c r="D199" s="2" t="s">
        <v>620</v>
      </c>
      <c r="E199" s="2" t="s">
        <v>1992</v>
      </c>
      <c r="F199" s="2">
        <v>25022557</v>
      </c>
      <c r="G199" s="3">
        <v>35.632876712328766</v>
      </c>
      <c r="H199" s="2" t="s">
        <v>622</v>
      </c>
      <c r="I199" s="2" t="s">
        <v>1993</v>
      </c>
      <c r="J199" s="2" t="str">
        <f>+IF(BD[[#This Row],[DEPARTAMENTO_INSS]]="MANAGUA","_01_","_02_")</f>
        <v>_02_</v>
      </c>
      <c r="K199" s="2" t="str">
        <f>+CONCATENATE(BD[[#This Row],[Columna3]],BD[[#This Row],[Columna4]],BD[[#This Row],[NOMBRE COMPLETO]])</f>
        <v>E003_02_MARIA JOSE BETANCO HERNANDEZ</v>
      </c>
      <c r="L199" s="2" t="s">
        <v>724</v>
      </c>
      <c r="M199" s="2" t="s">
        <v>243</v>
      </c>
      <c r="N199" s="2" t="s">
        <v>253</v>
      </c>
      <c r="O199" s="2" t="s">
        <v>11</v>
      </c>
      <c r="P199" s="2" t="s">
        <v>626</v>
      </c>
      <c r="Q199" s="2" t="s">
        <v>351</v>
      </c>
      <c r="R199" s="2">
        <v>31790</v>
      </c>
      <c r="S199" s="2">
        <v>31790</v>
      </c>
      <c r="T199" s="2" t="s">
        <v>444</v>
      </c>
      <c r="U199" s="2" t="s">
        <v>444</v>
      </c>
      <c r="V199" s="2" t="s">
        <v>764</v>
      </c>
      <c r="W199" s="2" t="s">
        <v>764</v>
      </c>
      <c r="X199" s="2" t="s">
        <v>1994</v>
      </c>
      <c r="Y199" s="2" t="s">
        <v>1995</v>
      </c>
      <c r="Z199" s="2">
        <v>82290431</v>
      </c>
      <c r="AA199" s="2" t="s">
        <v>1996</v>
      </c>
      <c r="AB199" s="2" t="s">
        <v>631</v>
      </c>
      <c r="AC199" s="2" t="s">
        <v>632</v>
      </c>
      <c r="AD199" s="2">
        <v>82290431</v>
      </c>
      <c r="AJ199" s="2">
        <v>82290431</v>
      </c>
      <c r="AK199" s="2">
        <v>3</v>
      </c>
      <c r="AL199" s="2" t="s">
        <v>633</v>
      </c>
      <c r="AM199" s="2">
        <v>0</v>
      </c>
      <c r="AN199" s="2">
        <v>0</v>
      </c>
      <c r="AO199" s="2">
        <v>1</v>
      </c>
      <c r="AP199" s="2">
        <v>0</v>
      </c>
      <c r="AQ199" s="2">
        <v>0</v>
      </c>
      <c r="AR199" s="2">
        <v>0</v>
      </c>
      <c r="AS199" s="2">
        <v>0</v>
      </c>
      <c r="AT199" s="2">
        <v>0</v>
      </c>
      <c r="BB199" s="2" t="str">
        <f>+PROPER(BD[[#This Row],[PRIMER_APELLIDO]])</f>
        <v>Betanco</v>
      </c>
    </row>
    <row r="200" spans="1:54" x14ac:dyDescent="0.25">
      <c r="A200" s="2">
        <v>199</v>
      </c>
      <c r="B200" s="2">
        <v>33657</v>
      </c>
      <c r="C200" s="2" t="s">
        <v>619</v>
      </c>
      <c r="D200" s="2" t="s">
        <v>620</v>
      </c>
      <c r="E200" s="2" t="s">
        <v>1997</v>
      </c>
      <c r="F200" s="2">
        <v>25657960</v>
      </c>
      <c r="G200" s="3">
        <v>35.641095890410959</v>
      </c>
      <c r="H200" s="2" t="s">
        <v>622</v>
      </c>
      <c r="I200" s="2" t="s">
        <v>1998</v>
      </c>
      <c r="J200" s="2" t="str">
        <f>+IF(BD[[#This Row],[DEPARTAMENTO_INSS]]="MANAGUA","_01_","_02_")</f>
        <v>_02_</v>
      </c>
      <c r="K200" s="2" t="str">
        <f>+CONCATENATE(BD[[#This Row],[Columna3]],BD[[#This Row],[Columna4]],BD[[#This Row],[NOMBRE COMPLETO]])</f>
        <v>E003_02_BELLALI DEL CARMEN DIAZ RIVERA</v>
      </c>
      <c r="L200" s="2" t="s">
        <v>1999</v>
      </c>
      <c r="M200" s="2" t="s">
        <v>961</v>
      </c>
      <c r="N200" s="2" t="s">
        <v>91</v>
      </c>
      <c r="O200" s="2" t="s">
        <v>198</v>
      </c>
      <c r="P200" s="2" t="s">
        <v>626</v>
      </c>
      <c r="Q200" s="2" t="s">
        <v>351</v>
      </c>
      <c r="R200" s="2">
        <v>31787</v>
      </c>
      <c r="S200" s="2">
        <v>31787</v>
      </c>
      <c r="T200" s="2" t="s">
        <v>669</v>
      </c>
      <c r="U200" s="2" t="s">
        <v>669</v>
      </c>
      <c r="V200" s="2" t="s">
        <v>670</v>
      </c>
      <c r="W200" s="2" t="s">
        <v>670</v>
      </c>
      <c r="X200" s="2" t="s">
        <v>2000</v>
      </c>
      <c r="Y200" s="2" t="s">
        <v>2001</v>
      </c>
      <c r="AA200" s="2">
        <v>88259761</v>
      </c>
      <c r="AB200" s="2" t="s">
        <v>642</v>
      </c>
      <c r="AC200" s="2" t="s">
        <v>632</v>
      </c>
      <c r="AD200" s="2">
        <v>88259761</v>
      </c>
      <c r="AJ200" s="2">
        <v>88259761</v>
      </c>
      <c r="AK200" s="2">
        <v>1</v>
      </c>
      <c r="AL200" s="2" t="s">
        <v>633</v>
      </c>
      <c r="AM200" s="2">
        <v>0</v>
      </c>
      <c r="AN200" s="2">
        <v>0</v>
      </c>
      <c r="AO200" s="2">
        <v>1</v>
      </c>
      <c r="AP200" s="2">
        <v>0</v>
      </c>
      <c r="AQ200" s="2">
        <v>0</v>
      </c>
      <c r="AR200" s="2">
        <v>0</v>
      </c>
      <c r="AS200" s="2">
        <v>0</v>
      </c>
      <c r="AT200" s="2">
        <v>0</v>
      </c>
      <c r="BB200" s="2" t="str">
        <f>+PROPER(BD[[#This Row],[PRIMER_APELLIDO]])</f>
        <v>Diaz</v>
      </c>
    </row>
    <row r="201" spans="1:54" x14ac:dyDescent="0.25">
      <c r="A201" s="2">
        <v>200</v>
      </c>
      <c r="B201" s="2">
        <v>64148</v>
      </c>
      <c r="C201" s="2" t="s">
        <v>619</v>
      </c>
      <c r="D201" s="2" t="s">
        <v>620</v>
      </c>
      <c r="E201" s="2" t="s">
        <v>2002</v>
      </c>
      <c r="G201" s="3">
        <v>35.649315068493152</v>
      </c>
      <c r="H201" s="2" t="s">
        <v>622</v>
      </c>
      <c r="I201" s="2" t="s">
        <v>2003</v>
      </c>
      <c r="J201" s="2" t="str">
        <f>+IF(BD[[#This Row],[DEPARTAMENTO_INSS]]="MANAGUA","_01_","_02_")</f>
        <v>_01_</v>
      </c>
      <c r="K201" s="2" t="str">
        <f>+CONCATENATE(BD[[#This Row],[Columna3]],BD[[#This Row],[Columna4]],BD[[#This Row],[NOMBRE COMPLETO]])</f>
        <v>E003_01_MARIO ANTONIO GUTIERREZ DOÑA</v>
      </c>
      <c r="L201" s="2" t="s">
        <v>1640</v>
      </c>
      <c r="M201" s="2" t="s">
        <v>904</v>
      </c>
      <c r="N201" s="2" t="s">
        <v>171</v>
      </c>
      <c r="O201" s="2" t="s">
        <v>2004</v>
      </c>
      <c r="P201" s="2" t="s">
        <v>649</v>
      </c>
      <c r="Q201" s="2" t="s">
        <v>351</v>
      </c>
      <c r="R201" s="2">
        <v>31784</v>
      </c>
      <c r="S201" s="2">
        <v>31784</v>
      </c>
      <c r="T201" s="2" t="s">
        <v>627</v>
      </c>
      <c r="U201" s="2" t="s">
        <v>627</v>
      </c>
      <c r="V201" s="2" t="s">
        <v>1251</v>
      </c>
      <c r="W201" s="2" t="s">
        <v>1252</v>
      </c>
      <c r="X201" s="2" t="s">
        <v>2005</v>
      </c>
      <c r="Y201" s="2" t="s">
        <v>2006</v>
      </c>
      <c r="Z201" s="2">
        <v>83500062</v>
      </c>
      <c r="AB201" s="2" t="s">
        <v>798</v>
      </c>
      <c r="AC201" s="2" t="s">
        <v>632</v>
      </c>
      <c r="AD201" s="2">
        <v>83500062</v>
      </c>
      <c r="AJ201" s="2">
        <v>83500062</v>
      </c>
      <c r="AK201" s="2">
        <v>1</v>
      </c>
      <c r="AL201" s="2" t="s">
        <v>633</v>
      </c>
      <c r="AM201" s="2">
        <v>0</v>
      </c>
      <c r="AN201" s="2">
        <v>0</v>
      </c>
      <c r="AO201" s="2">
        <v>1</v>
      </c>
      <c r="AP201" s="2">
        <v>0</v>
      </c>
      <c r="AQ201" s="2">
        <v>0</v>
      </c>
      <c r="AR201" s="2">
        <v>0</v>
      </c>
      <c r="AS201" s="2">
        <v>0</v>
      </c>
      <c r="AT201" s="2">
        <v>0</v>
      </c>
      <c r="BB201" s="2" t="str">
        <f>+PROPER(BD[[#This Row],[PRIMER_APELLIDO]])</f>
        <v>Gutierrez</v>
      </c>
    </row>
    <row r="202" spans="1:54" x14ac:dyDescent="0.25">
      <c r="A202" s="2">
        <v>201</v>
      </c>
      <c r="B202" s="2">
        <v>33790</v>
      </c>
      <c r="C202" s="2" t="s">
        <v>619</v>
      </c>
      <c r="D202" s="2" t="s">
        <v>620</v>
      </c>
      <c r="E202" s="2" t="s">
        <v>2007</v>
      </c>
      <c r="F202" s="2">
        <v>25886359</v>
      </c>
      <c r="G202" s="3">
        <v>35.652054794520545</v>
      </c>
      <c r="H202" s="2" t="s">
        <v>622</v>
      </c>
      <c r="I202" s="2" t="s">
        <v>2008</v>
      </c>
      <c r="J202" s="2" t="str">
        <f>+IF(BD[[#This Row],[DEPARTAMENTO_INSS]]="MANAGUA","_01_","_02_")</f>
        <v>_02_</v>
      </c>
      <c r="K202" s="2" t="str">
        <f>+CONCATENATE(BD[[#This Row],[Columna3]],BD[[#This Row],[Columna4]],BD[[#This Row],[NOMBRE COMPLETO]])</f>
        <v>E003_02_FERNANDO ENMANUEL CALIZ LOAISIGA</v>
      </c>
      <c r="L202" s="2" t="s">
        <v>2009</v>
      </c>
      <c r="M202" s="2" t="s">
        <v>2010</v>
      </c>
      <c r="N202" s="2" t="s">
        <v>270</v>
      </c>
      <c r="O202" s="2" t="s">
        <v>223</v>
      </c>
      <c r="P202" s="2" t="s">
        <v>649</v>
      </c>
      <c r="Q202" s="2" t="s">
        <v>351</v>
      </c>
      <c r="R202" s="2">
        <v>31783</v>
      </c>
      <c r="S202" s="2">
        <v>31783</v>
      </c>
      <c r="T202" s="2" t="s">
        <v>176</v>
      </c>
      <c r="U202" s="2" t="s">
        <v>176</v>
      </c>
      <c r="V202" s="2" t="s">
        <v>650</v>
      </c>
      <c r="W202" s="2" t="s">
        <v>176</v>
      </c>
      <c r="X202" s="2" t="s">
        <v>2011</v>
      </c>
      <c r="Y202" s="2" t="s">
        <v>2012</v>
      </c>
      <c r="Z202" s="2">
        <v>83384567</v>
      </c>
      <c r="AA202" s="2">
        <v>83384567</v>
      </c>
      <c r="AB202" s="2" t="s">
        <v>654</v>
      </c>
      <c r="AC202" s="2" t="s">
        <v>632</v>
      </c>
      <c r="AD202" s="2">
        <v>83384567</v>
      </c>
      <c r="AJ202" s="2">
        <v>83384567</v>
      </c>
      <c r="AK202" s="2">
        <v>2</v>
      </c>
      <c r="AL202" s="2" t="s">
        <v>633</v>
      </c>
      <c r="AM202" s="2">
        <v>0</v>
      </c>
      <c r="AN202" s="2">
        <v>0</v>
      </c>
      <c r="AO202" s="2">
        <v>1</v>
      </c>
      <c r="AP202" s="2">
        <v>0</v>
      </c>
      <c r="AQ202" s="2">
        <v>0</v>
      </c>
      <c r="AR202" s="2">
        <v>0</v>
      </c>
      <c r="AS202" s="2">
        <v>0</v>
      </c>
      <c r="AT202" s="2">
        <v>0</v>
      </c>
      <c r="AZ202" s="2" t="s">
        <v>2013</v>
      </c>
      <c r="BB202" s="2" t="str">
        <f>+PROPER(BD[[#This Row],[PRIMER_APELLIDO]])</f>
        <v>Caliz</v>
      </c>
    </row>
    <row r="203" spans="1:54" x14ac:dyDescent="0.25">
      <c r="A203" s="2">
        <v>202</v>
      </c>
      <c r="B203" s="2">
        <v>54608</v>
      </c>
      <c r="C203" s="2" t="s">
        <v>619</v>
      </c>
      <c r="D203" s="2" t="s">
        <v>620</v>
      </c>
      <c r="E203" s="2" t="s">
        <v>2014</v>
      </c>
      <c r="G203" s="3">
        <v>35.652054794520545</v>
      </c>
      <c r="H203" s="2" t="s">
        <v>622</v>
      </c>
      <c r="I203" s="2" t="s">
        <v>2015</v>
      </c>
      <c r="J203" s="2" t="str">
        <f>+IF(BD[[#This Row],[DEPARTAMENTO_INSS]]="MANAGUA","_01_","_02_")</f>
        <v>_01_</v>
      </c>
      <c r="K203" s="2" t="str">
        <f>+CONCATENATE(BD[[#This Row],[Columna3]],BD[[#This Row],[Columna4]],BD[[#This Row],[NOMBRE COMPLETO]])</f>
        <v>E003_01_REYNALDO MIGUEL OTERO LOPEZ</v>
      </c>
      <c r="L203" s="2" t="s">
        <v>1888</v>
      </c>
      <c r="M203" s="2" t="s">
        <v>2016</v>
      </c>
      <c r="N203" s="2" t="s">
        <v>325</v>
      </c>
      <c r="O203" s="2" t="s">
        <v>15</v>
      </c>
      <c r="P203" s="2" t="s">
        <v>649</v>
      </c>
      <c r="Q203" s="2" t="s">
        <v>351</v>
      </c>
      <c r="R203" s="2">
        <v>31783</v>
      </c>
      <c r="S203" s="2">
        <v>31783</v>
      </c>
      <c r="T203" s="2" t="s">
        <v>627</v>
      </c>
      <c r="U203" s="2" t="s">
        <v>627</v>
      </c>
      <c r="V203" s="2" t="s">
        <v>1406</v>
      </c>
      <c r="W203" s="2" t="s">
        <v>1406</v>
      </c>
      <c r="X203" s="2" t="s">
        <v>2017</v>
      </c>
      <c r="Y203" s="2" t="s">
        <v>2018</v>
      </c>
      <c r="Z203" s="2">
        <v>85057276</v>
      </c>
      <c r="AA203" s="2">
        <v>78572129</v>
      </c>
      <c r="AB203" s="2" t="s">
        <v>654</v>
      </c>
      <c r="AC203" s="2" t="s">
        <v>632</v>
      </c>
      <c r="AD203" s="2">
        <v>85057276</v>
      </c>
      <c r="AF203" s="2">
        <v>78572129</v>
      </c>
      <c r="AJ203" s="2">
        <v>85057276</v>
      </c>
      <c r="AK203" s="2">
        <v>2</v>
      </c>
      <c r="AL203" s="2" t="s">
        <v>633</v>
      </c>
      <c r="AM203" s="2">
        <v>0</v>
      </c>
      <c r="AN203" s="2">
        <v>0</v>
      </c>
      <c r="AO203" s="2">
        <v>1</v>
      </c>
      <c r="AP203" s="2">
        <v>0</v>
      </c>
      <c r="AQ203" s="2">
        <v>0</v>
      </c>
      <c r="AR203" s="2">
        <v>0</v>
      </c>
      <c r="AS203" s="2">
        <v>0</v>
      </c>
      <c r="AT203" s="2">
        <v>0</v>
      </c>
      <c r="AZ203" s="2" t="s">
        <v>2019</v>
      </c>
      <c r="BA203" s="2" t="s">
        <v>2020</v>
      </c>
      <c r="BB203" s="2" t="str">
        <f>+PROPER(BD[[#This Row],[PRIMER_APELLIDO]])</f>
        <v>Otero</v>
      </c>
    </row>
    <row r="204" spans="1:54" x14ac:dyDescent="0.25">
      <c r="A204" s="2">
        <v>203</v>
      </c>
      <c r="B204" s="2">
        <v>49211</v>
      </c>
      <c r="C204" s="2" t="s">
        <v>619</v>
      </c>
      <c r="D204" s="2" t="s">
        <v>620</v>
      </c>
      <c r="E204" s="2" t="s">
        <v>2021</v>
      </c>
      <c r="F204" s="2">
        <v>25624058</v>
      </c>
      <c r="G204" s="3">
        <v>35.657534246575345</v>
      </c>
      <c r="H204" s="2" t="s">
        <v>622</v>
      </c>
      <c r="I204" s="2" t="s">
        <v>2022</v>
      </c>
      <c r="J204" s="2" t="str">
        <f>+IF(BD[[#This Row],[DEPARTAMENTO_INSS]]="MANAGUA","_01_","_02_")</f>
        <v>_01_</v>
      </c>
      <c r="K204" s="2" t="str">
        <f>+CONCATENATE(BD[[#This Row],[Columna3]],BD[[#This Row],[Columna4]],BD[[#This Row],[NOMBRE COMPLETO]])</f>
        <v>E003_01_DOUGLAS HUMBERTO SALAS</v>
      </c>
      <c r="L204" s="2" t="s">
        <v>1603</v>
      </c>
      <c r="M204" s="2" t="s">
        <v>2023</v>
      </c>
      <c r="N204" s="2" t="s">
        <v>375</v>
      </c>
      <c r="P204" s="2" t="s">
        <v>649</v>
      </c>
      <c r="Q204" s="2" t="s">
        <v>351</v>
      </c>
      <c r="R204" s="2">
        <v>31781</v>
      </c>
      <c r="S204" s="2">
        <v>31781</v>
      </c>
      <c r="T204" s="2" t="s">
        <v>627</v>
      </c>
      <c r="U204" s="2" t="s">
        <v>627</v>
      </c>
      <c r="V204" s="2" t="s">
        <v>627</v>
      </c>
      <c r="W204" s="2" t="s">
        <v>627</v>
      </c>
      <c r="X204" s="2" t="s">
        <v>2024</v>
      </c>
      <c r="Y204" s="2" t="s">
        <v>2025</v>
      </c>
      <c r="Z204" s="2">
        <v>86679997</v>
      </c>
      <c r="AA204" s="2">
        <v>86679997</v>
      </c>
      <c r="AB204" s="2" t="s">
        <v>654</v>
      </c>
      <c r="AC204" s="2" t="s">
        <v>632</v>
      </c>
      <c r="AD204" s="2">
        <v>86679997</v>
      </c>
      <c r="AJ204" s="2">
        <v>86679997</v>
      </c>
      <c r="AK204" s="2">
        <v>2</v>
      </c>
      <c r="AL204" s="2" t="s">
        <v>633</v>
      </c>
      <c r="AM204" s="2">
        <v>0</v>
      </c>
      <c r="AN204" s="2">
        <v>0</v>
      </c>
      <c r="AO204" s="2">
        <v>1</v>
      </c>
      <c r="AP204" s="2">
        <v>0</v>
      </c>
      <c r="AQ204" s="2">
        <v>0</v>
      </c>
      <c r="AR204" s="2">
        <v>0</v>
      </c>
      <c r="AS204" s="2">
        <v>0</v>
      </c>
      <c r="AT204" s="2">
        <v>0</v>
      </c>
      <c r="AZ204" s="2" t="s">
        <v>2026</v>
      </c>
      <c r="BB204" s="2" t="str">
        <f>+PROPER(BD[[#This Row],[PRIMER_APELLIDO]])</f>
        <v>Salas</v>
      </c>
    </row>
    <row r="205" spans="1:54" x14ac:dyDescent="0.25">
      <c r="A205" s="2">
        <v>204</v>
      </c>
      <c r="B205" s="2">
        <v>51363</v>
      </c>
      <c r="C205" s="2" t="s">
        <v>619</v>
      </c>
      <c r="D205" s="2" t="s">
        <v>620</v>
      </c>
      <c r="E205" s="2" t="s">
        <v>2027</v>
      </c>
      <c r="F205" s="2">
        <v>25024700</v>
      </c>
      <c r="G205" s="3">
        <v>35.660273972602738</v>
      </c>
      <c r="H205" s="2" t="s">
        <v>622</v>
      </c>
      <c r="I205" s="2" t="s">
        <v>2028</v>
      </c>
      <c r="J205" s="2" t="str">
        <f>+IF(BD[[#This Row],[DEPARTAMENTO_INSS]]="MANAGUA","_01_","_02_")</f>
        <v>_02_</v>
      </c>
      <c r="K205" s="2" t="str">
        <f>+CONCATENATE(BD[[#This Row],[Columna3]],BD[[#This Row],[Columna4]],BD[[#This Row],[NOMBRE COMPLETO]])</f>
        <v>E003_02_INGRID GISELLE NUÑEZ CARVAJAL</v>
      </c>
      <c r="L205" s="2" t="s">
        <v>2029</v>
      </c>
      <c r="M205" s="2" t="s">
        <v>2030</v>
      </c>
      <c r="N205" s="2" t="s">
        <v>166</v>
      </c>
      <c r="O205" s="2" t="s">
        <v>321</v>
      </c>
      <c r="P205" s="2" t="s">
        <v>626</v>
      </c>
      <c r="Q205" s="2" t="s">
        <v>351</v>
      </c>
      <c r="R205" s="2">
        <v>31780</v>
      </c>
      <c r="S205" s="2">
        <v>31780</v>
      </c>
      <c r="T205" s="2" t="s">
        <v>1104</v>
      </c>
      <c r="U205" s="2" t="s">
        <v>176</v>
      </c>
      <c r="V205" s="2" t="s">
        <v>2031</v>
      </c>
      <c r="W205" s="2" t="s">
        <v>176</v>
      </c>
      <c r="X205" s="2" t="s">
        <v>2032</v>
      </c>
      <c r="Y205" s="2" t="s">
        <v>2033</v>
      </c>
      <c r="Z205" s="2">
        <v>55008235</v>
      </c>
      <c r="AA205" s="2">
        <v>55008235</v>
      </c>
      <c r="AB205" s="2" t="s">
        <v>631</v>
      </c>
      <c r="AC205" s="2" t="s">
        <v>632</v>
      </c>
      <c r="AD205" s="2">
        <v>55008235</v>
      </c>
      <c r="AJ205" s="2">
        <v>55008235</v>
      </c>
      <c r="AK205" s="2">
        <v>2</v>
      </c>
      <c r="AL205" s="2" t="s">
        <v>633</v>
      </c>
      <c r="AM205" s="2">
        <v>0</v>
      </c>
      <c r="AN205" s="2">
        <v>0</v>
      </c>
      <c r="AO205" s="2">
        <v>1</v>
      </c>
      <c r="AP205" s="2">
        <v>0</v>
      </c>
      <c r="AQ205" s="2">
        <v>0</v>
      </c>
      <c r="AR205" s="2">
        <v>0</v>
      </c>
      <c r="AS205" s="2">
        <v>0</v>
      </c>
      <c r="AT205" s="2">
        <v>0</v>
      </c>
      <c r="BB205" s="2" t="str">
        <f>+PROPER(BD[[#This Row],[PRIMER_APELLIDO]])</f>
        <v>Nuñez</v>
      </c>
    </row>
    <row r="206" spans="1:54" x14ac:dyDescent="0.25">
      <c r="A206" s="2">
        <v>205</v>
      </c>
      <c r="B206" s="2">
        <v>43513</v>
      </c>
      <c r="C206" s="2" t="s">
        <v>619</v>
      </c>
      <c r="D206" s="2" t="s">
        <v>620</v>
      </c>
      <c r="E206" s="2" t="s">
        <v>2034</v>
      </c>
      <c r="F206" s="2">
        <v>24235268</v>
      </c>
      <c r="G206" s="3">
        <v>35.663013698630138</v>
      </c>
      <c r="H206" s="2" t="s">
        <v>622</v>
      </c>
      <c r="I206" s="2" t="s">
        <v>2035</v>
      </c>
      <c r="J206" s="2" t="str">
        <f>+IF(BD[[#This Row],[DEPARTAMENTO_INSS]]="MANAGUA","_01_","_02_")</f>
        <v>_02_</v>
      </c>
      <c r="K206" s="2" t="str">
        <f>+CONCATENATE(BD[[#This Row],[Columna3]],BD[[#This Row],[Columna4]],BD[[#This Row],[NOMBRE COMPLETO]])</f>
        <v>E003_02_MATELI LUCIA CORREA MARTINEZ</v>
      </c>
      <c r="L206" s="2" t="s">
        <v>2036</v>
      </c>
      <c r="M206" s="2" t="s">
        <v>676</v>
      </c>
      <c r="N206" s="2" t="s">
        <v>241</v>
      </c>
      <c r="O206" s="2" t="s">
        <v>44</v>
      </c>
      <c r="P206" s="2" t="s">
        <v>626</v>
      </c>
      <c r="Q206" s="2" t="s">
        <v>351</v>
      </c>
      <c r="R206" s="2">
        <v>31779</v>
      </c>
      <c r="S206" s="2">
        <v>31779</v>
      </c>
      <c r="T206" s="2" t="s">
        <v>176</v>
      </c>
      <c r="U206" s="2" t="s">
        <v>176</v>
      </c>
      <c r="V206" s="2" t="s">
        <v>650</v>
      </c>
      <c r="W206" s="2" t="s">
        <v>176</v>
      </c>
      <c r="X206" s="2" t="s">
        <v>2037</v>
      </c>
      <c r="Y206" s="2" t="s">
        <v>2038</v>
      </c>
      <c r="AA206" s="2">
        <v>81619658</v>
      </c>
      <c r="AB206" s="2" t="s">
        <v>654</v>
      </c>
      <c r="AC206" s="2" t="s">
        <v>632</v>
      </c>
      <c r="AD206" s="2">
        <v>81619658</v>
      </c>
      <c r="AJ206" s="2">
        <v>81619658</v>
      </c>
      <c r="AK206" s="2">
        <v>1</v>
      </c>
      <c r="AL206" s="2" t="s">
        <v>633</v>
      </c>
      <c r="AM206" s="2">
        <v>0</v>
      </c>
      <c r="AN206" s="2">
        <v>0</v>
      </c>
      <c r="AO206" s="2">
        <v>1</v>
      </c>
      <c r="AP206" s="2">
        <v>0</v>
      </c>
      <c r="AQ206" s="2">
        <v>0</v>
      </c>
      <c r="AR206" s="2">
        <v>0</v>
      </c>
      <c r="AS206" s="2">
        <v>0</v>
      </c>
      <c r="AT206" s="2">
        <v>0</v>
      </c>
      <c r="BB206" s="2" t="str">
        <f>+PROPER(BD[[#This Row],[PRIMER_APELLIDO]])</f>
        <v>Correa</v>
      </c>
    </row>
    <row r="207" spans="1:54" x14ac:dyDescent="0.25">
      <c r="A207" s="2">
        <v>206</v>
      </c>
      <c r="B207" s="2">
        <v>70420</v>
      </c>
      <c r="C207" s="2" t="s">
        <v>619</v>
      </c>
      <c r="D207" s="2" t="s">
        <v>620</v>
      </c>
      <c r="E207" s="2" t="s">
        <v>2039</v>
      </c>
      <c r="G207" s="3">
        <v>35.663013698630138</v>
      </c>
      <c r="H207" s="2" t="s">
        <v>622</v>
      </c>
      <c r="I207" s="2" t="s">
        <v>2040</v>
      </c>
      <c r="J207" s="2" t="str">
        <f>+IF(BD[[#This Row],[DEPARTAMENTO_INSS]]="MANAGUA","_01_","_02_")</f>
        <v>_02_</v>
      </c>
      <c r="K207" s="2" t="str">
        <f>+CONCATENATE(BD[[#This Row],[Columna3]],BD[[#This Row],[Columna4]],BD[[#This Row],[NOMBRE COMPLETO]])</f>
        <v>E003_02_LUIS ALBERTO BOJORGE OVIEDO</v>
      </c>
      <c r="L207" s="2" t="s">
        <v>738</v>
      </c>
      <c r="M207" s="2" t="s">
        <v>1699</v>
      </c>
      <c r="N207" s="2" t="s">
        <v>216</v>
      </c>
      <c r="O207" s="2" t="s">
        <v>464</v>
      </c>
      <c r="P207" s="2" t="s">
        <v>649</v>
      </c>
      <c r="Q207" s="2" t="s">
        <v>351</v>
      </c>
      <c r="R207" s="2">
        <v>31779</v>
      </c>
      <c r="S207" s="2">
        <v>31779</v>
      </c>
      <c r="T207" s="2" t="s">
        <v>705</v>
      </c>
      <c r="U207" s="2" t="s">
        <v>929</v>
      </c>
      <c r="V207" s="2" t="s">
        <v>725</v>
      </c>
      <c r="W207" s="2" t="s">
        <v>1653</v>
      </c>
      <c r="X207" s="2" t="s">
        <v>2041</v>
      </c>
      <c r="Y207" s="2" t="s">
        <v>2042</v>
      </c>
      <c r="Z207" s="2">
        <v>86327337</v>
      </c>
      <c r="AB207" s="2" t="s">
        <v>654</v>
      </c>
      <c r="AC207" s="2" t="s">
        <v>632</v>
      </c>
      <c r="AD207" s="2">
        <v>86327337</v>
      </c>
      <c r="AJ207" s="2">
        <v>86327337</v>
      </c>
      <c r="AK207" s="2">
        <v>1</v>
      </c>
      <c r="AL207" s="2" t="s">
        <v>633</v>
      </c>
      <c r="AM207" s="2">
        <v>0</v>
      </c>
      <c r="AN207" s="2">
        <v>0</v>
      </c>
      <c r="AO207" s="2">
        <v>1</v>
      </c>
      <c r="AP207" s="2">
        <v>0</v>
      </c>
      <c r="AQ207" s="2">
        <v>0</v>
      </c>
      <c r="AR207" s="2">
        <v>0</v>
      </c>
      <c r="AS207" s="2">
        <v>0</v>
      </c>
      <c r="AT207" s="2">
        <v>0</v>
      </c>
      <c r="AZ207" s="2" t="s">
        <v>2043</v>
      </c>
      <c r="BB207" s="2" t="str">
        <f>+PROPER(BD[[#This Row],[PRIMER_APELLIDO]])</f>
        <v>Bojorge</v>
      </c>
    </row>
    <row r="208" spans="1:54" x14ac:dyDescent="0.25">
      <c r="A208" s="2">
        <v>207</v>
      </c>
      <c r="B208" s="2">
        <v>70247</v>
      </c>
      <c r="C208" s="2" t="s">
        <v>619</v>
      </c>
      <c r="D208" s="2" t="s">
        <v>620</v>
      </c>
      <c r="E208" s="2" t="s">
        <v>2044</v>
      </c>
      <c r="G208" s="3">
        <v>35.665753424657531</v>
      </c>
      <c r="H208" s="2" t="s">
        <v>622</v>
      </c>
      <c r="I208" s="2" t="s">
        <v>2045</v>
      </c>
      <c r="J208" s="2" t="str">
        <f>+IF(BD[[#This Row],[DEPARTAMENTO_INSS]]="MANAGUA","_01_","_02_")</f>
        <v>_02_</v>
      </c>
      <c r="K208" s="2" t="str">
        <f>+CONCATENATE(BD[[#This Row],[Columna3]],BD[[#This Row],[Columna4]],BD[[#This Row],[NOMBRE COMPLETO]])</f>
        <v>E003_02_LUIS ALBERTO ARAUZ MAIRENA</v>
      </c>
      <c r="L208" s="2" t="s">
        <v>738</v>
      </c>
      <c r="M208" s="2" t="s">
        <v>1699</v>
      </c>
      <c r="N208" s="2" t="s">
        <v>174</v>
      </c>
      <c r="O208" s="2" t="s">
        <v>427</v>
      </c>
      <c r="P208" s="2" t="s">
        <v>649</v>
      </c>
      <c r="Q208" s="2" t="s">
        <v>351</v>
      </c>
      <c r="R208" s="2">
        <v>31778</v>
      </c>
      <c r="S208" s="2">
        <v>31778</v>
      </c>
      <c r="T208" s="2" t="s">
        <v>780</v>
      </c>
      <c r="U208" s="2" t="s">
        <v>780</v>
      </c>
      <c r="V208" s="2" t="s">
        <v>2046</v>
      </c>
      <c r="W208" s="2" t="s">
        <v>2046</v>
      </c>
      <c r="X208" s="2" t="s">
        <v>2047</v>
      </c>
      <c r="Y208" s="2" t="s">
        <v>2048</v>
      </c>
      <c r="Z208" s="2">
        <v>85576792</v>
      </c>
      <c r="AA208" s="2" t="s">
        <v>2049</v>
      </c>
      <c r="AB208" s="2" t="s">
        <v>798</v>
      </c>
      <c r="AC208" s="2" t="s">
        <v>632</v>
      </c>
      <c r="AD208" s="2">
        <v>85576792</v>
      </c>
      <c r="AE208" s="2">
        <v>83652739</v>
      </c>
      <c r="AJ208" s="2">
        <v>85576792</v>
      </c>
      <c r="AK208" s="2">
        <v>3</v>
      </c>
      <c r="AL208" s="2" t="s">
        <v>633</v>
      </c>
      <c r="AM208" s="2">
        <v>0</v>
      </c>
      <c r="AN208" s="2">
        <v>0</v>
      </c>
      <c r="AO208" s="2">
        <v>1</v>
      </c>
      <c r="AP208" s="2">
        <v>0</v>
      </c>
      <c r="AQ208" s="2">
        <v>0</v>
      </c>
      <c r="AR208" s="2">
        <v>0</v>
      </c>
      <c r="AS208" s="2">
        <v>0</v>
      </c>
      <c r="AT208" s="2">
        <v>0</v>
      </c>
      <c r="AZ208" s="2" t="s">
        <v>2050</v>
      </c>
      <c r="BB208" s="2" t="str">
        <f>+PROPER(BD[[#This Row],[PRIMER_APELLIDO]])</f>
        <v>Arauz</v>
      </c>
    </row>
    <row r="209" spans="1:54" x14ac:dyDescent="0.25">
      <c r="A209" s="2">
        <v>208</v>
      </c>
      <c r="B209" s="2">
        <v>48295</v>
      </c>
      <c r="C209" s="2" t="s">
        <v>619</v>
      </c>
      <c r="D209" s="2" t="s">
        <v>620</v>
      </c>
      <c r="E209" s="2" t="s">
        <v>2051</v>
      </c>
      <c r="G209" s="3">
        <v>35.671232876712331</v>
      </c>
      <c r="H209" s="2" t="s">
        <v>622</v>
      </c>
      <c r="I209" s="2" t="s">
        <v>2052</v>
      </c>
      <c r="J209" s="2" t="str">
        <f>+IF(BD[[#This Row],[DEPARTAMENTO_INSS]]="MANAGUA","_01_","_02_")</f>
        <v>_02_</v>
      </c>
      <c r="K209" s="2" t="str">
        <f>+CONCATENATE(BD[[#This Row],[Columna3]],BD[[#This Row],[Columna4]],BD[[#This Row],[NOMBRE COMPLETO]])</f>
        <v>E003_02_KARELIA MARGARITA MARTINEZ ROCHA</v>
      </c>
      <c r="L209" s="2" t="s">
        <v>1942</v>
      </c>
      <c r="M209" s="2" t="s">
        <v>937</v>
      </c>
      <c r="N209" s="2" t="s">
        <v>44</v>
      </c>
      <c r="O209" s="2" t="s">
        <v>49</v>
      </c>
      <c r="P209" s="2" t="s">
        <v>626</v>
      </c>
      <c r="Q209" s="2" t="s">
        <v>351</v>
      </c>
      <c r="R209" s="2">
        <v>31776</v>
      </c>
      <c r="T209" s="2" t="s">
        <v>929</v>
      </c>
      <c r="V209" s="2" t="s">
        <v>1653</v>
      </c>
      <c r="X209" s="2" t="s">
        <v>2053</v>
      </c>
      <c r="Z209" s="2">
        <v>85213967</v>
      </c>
      <c r="AB209" s="2" t="s">
        <v>631</v>
      </c>
      <c r="AC209" s="2" t="s">
        <v>632</v>
      </c>
      <c r="AD209" s="2">
        <v>85213967</v>
      </c>
      <c r="AJ209" s="2">
        <v>85213967</v>
      </c>
      <c r="AK209" s="2">
        <v>1</v>
      </c>
      <c r="AL209" s="2" t="s">
        <v>633</v>
      </c>
      <c r="AM209" s="2">
        <v>0</v>
      </c>
      <c r="AN209" s="2">
        <v>0</v>
      </c>
      <c r="AO209" s="2">
        <v>1</v>
      </c>
      <c r="AP209" s="2">
        <v>0</v>
      </c>
      <c r="AQ209" s="2">
        <v>0</v>
      </c>
      <c r="AR209" s="2">
        <v>0</v>
      </c>
      <c r="AS209" s="2">
        <v>0</v>
      </c>
      <c r="AT209" s="2">
        <v>0</v>
      </c>
      <c r="BB209" s="2" t="str">
        <f>+PROPER(BD[[#This Row],[PRIMER_APELLIDO]])</f>
        <v>Martinez</v>
      </c>
    </row>
    <row r="210" spans="1:54" x14ac:dyDescent="0.25">
      <c r="A210" s="2">
        <v>209</v>
      </c>
      <c r="B210" s="2">
        <v>73749</v>
      </c>
      <c r="C210" s="2" t="s">
        <v>619</v>
      </c>
      <c r="D210" s="2" t="s">
        <v>620</v>
      </c>
      <c r="E210" s="2" t="s">
        <v>2054</v>
      </c>
      <c r="G210" s="3">
        <v>35.671232876712331</v>
      </c>
      <c r="H210" s="2" t="s">
        <v>622</v>
      </c>
      <c r="I210" s="2" t="s">
        <v>2055</v>
      </c>
      <c r="J210" s="2" t="str">
        <f>+IF(BD[[#This Row],[DEPARTAMENTO_INSS]]="MANAGUA","_01_","_02_")</f>
        <v>_01_</v>
      </c>
      <c r="K210" s="2" t="str">
        <f>+CONCATENATE(BD[[#This Row],[Columna3]],BD[[#This Row],[Columna4]],BD[[#This Row],[NOMBRE COMPLETO]])</f>
        <v>E003_01_RAUL ALFONSO UBEDA TAPIA</v>
      </c>
      <c r="L210" s="2" t="s">
        <v>2056</v>
      </c>
      <c r="M210" s="2" t="s">
        <v>2057</v>
      </c>
      <c r="N210" s="2" t="s">
        <v>76</v>
      </c>
      <c r="O210" s="2" t="s">
        <v>338</v>
      </c>
      <c r="P210" s="2" t="s">
        <v>649</v>
      </c>
      <c r="Q210" s="2" t="s">
        <v>351</v>
      </c>
      <c r="R210" s="2">
        <v>31776</v>
      </c>
      <c r="S210" s="2">
        <v>31776</v>
      </c>
      <c r="T210" s="2" t="s">
        <v>627</v>
      </c>
      <c r="U210" s="2" t="s">
        <v>627</v>
      </c>
      <c r="V210" s="2" t="s">
        <v>1498</v>
      </c>
      <c r="W210" s="2" t="s">
        <v>627</v>
      </c>
      <c r="X210" s="2" t="s">
        <v>2058</v>
      </c>
      <c r="Y210" s="2" t="s">
        <v>2059</v>
      </c>
      <c r="Z210" s="2" t="s">
        <v>2060</v>
      </c>
      <c r="AB210" s="2" t="s">
        <v>654</v>
      </c>
      <c r="AC210" s="2" t="s">
        <v>632</v>
      </c>
      <c r="AD210" s="2">
        <v>57504643</v>
      </c>
      <c r="AE210" s="2">
        <v>85774781</v>
      </c>
      <c r="AJ210" s="2">
        <v>57504643</v>
      </c>
      <c r="AK210" s="2">
        <v>2</v>
      </c>
      <c r="AL210" s="2" t="s">
        <v>633</v>
      </c>
      <c r="AM210" s="2">
        <v>0</v>
      </c>
      <c r="AN210" s="2">
        <v>0</v>
      </c>
      <c r="AO210" s="2">
        <v>1</v>
      </c>
      <c r="AP210" s="2">
        <v>0</v>
      </c>
      <c r="AQ210" s="2">
        <v>0</v>
      </c>
      <c r="AR210" s="2">
        <v>0</v>
      </c>
      <c r="AS210" s="2">
        <v>0</v>
      </c>
      <c r="AT210" s="2">
        <v>0</v>
      </c>
      <c r="AZ210" s="2" t="s">
        <v>2061</v>
      </c>
      <c r="BB210" s="2" t="str">
        <f>+PROPER(BD[[#This Row],[PRIMER_APELLIDO]])</f>
        <v>Ubeda</v>
      </c>
    </row>
    <row r="211" spans="1:54" x14ac:dyDescent="0.25">
      <c r="A211" s="2">
        <v>210</v>
      </c>
      <c r="B211" s="2">
        <v>42830</v>
      </c>
      <c r="C211" s="2" t="s">
        <v>619</v>
      </c>
      <c r="D211" s="2" t="s">
        <v>620</v>
      </c>
      <c r="E211" s="2" t="s">
        <v>2062</v>
      </c>
      <c r="F211" s="2">
        <v>28818258</v>
      </c>
      <c r="G211" s="3">
        <v>35.673972602739724</v>
      </c>
      <c r="H211" s="2" t="s">
        <v>622</v>
      </c>
      <c r="I211" s="2" t="s">
        <v>2063</v>
      </c>
      <c r="J211" s="2" t="str">
        <f>+IF(BD[[#This Row],[DEPARTAMENTO_INSS]]="MANAGUA","_01_","_02_")</f>
        <v>_01_</v>
      </c>
      <c r="K211" s="2" t="str">
        <f>+CONCATENATE(BD[[#This Row],[Columna3]],BD[[#This Row],[Columna4]],BD[[#This Row],[NOMBRE COMPLETO]])</f>
        <v>E003_01_FABIO ENRIQUE VALDIVIA RIVAS</v>
      </c>
      <c r="L211" s="2" t="s">
        <v>2064</v>
      </c>
      <c r="M211" s="2" t="s">
        <v>1480</v>
      </c>
      <c r="N211" s="2" t="s">
        <v>93</v>
      </c>
      <c r="O211" s="2" t="s">
        <v>186</v>
      </c>
      <c r="P211" s="2" t="s">
        <v>649</v>
      </c>
      <c r="Q211" s="2" t="s">
        <v>351</v>
      </c>
      <c r="R211" s="2">
        <v>31775</v>
      </c>
      <c r="S211" s="2">
        <v>31775</v>
      </c>
      <c r="T211" s="2" t="s">
        <v>627</v>
      </c>
      <c r="U211" s="2" t="s">
        <v>627</v>
      </c>
      <c r="V211" s="2" t="s">
        <v>627</v>
      </c>
      <c r="W211" s="2" t="s">
        <v>627</v>
      </c>
      <c r="X211" s="2" t="s">
        <v>2065</v>
      </c>
      <c r="Y211" s="2" t="s">
        <v>2066</v>
      </c>
      <c r="AA211" s="2" t="s">
        <v>2067</v>
      </c>
      <c r="AB211" s="2" t="s">
        <v>654</v>
      </c>
      <c r="AC211" s="2" t="s">
        <v>632</v>
      </c>
      <c r="AE211" s="2">
        <v>88873137</v>
      </c>
      <c r="AJ211" s="2">
        <v>88873137</v>
      </c>
      <c r="AK211" s="2">
        <v>2</v>
      </c>
      <c r="AL211" s="2" t="s">
        <v>633</v>
      </c>
      <c r="AM211" s="2">
        <v>0</v>
      </c>
      <c r="AN211" s="2">
        <v>0</v>
      </c>
      <c r="AO211" s="2">
        <v>1</v>
      </c>
      <c r="AP211" s="2">
        <v>0</v>
      </c>
      <c r="AQ211" s="2">
        <v>0</v>
      </c>
      <c r="AR211" s="2">
        <v>0</v>
      </c>
      <c r="AS211" s="2">
        <v>0</v>
      </c>
      <c r="AT211" s="2">
        <v>0</v>
      </c>
      <c r="BA211" s="2" t="s">
        <v>2068</v>
      </c>
      <c r="BB211" s="2" t="str">
        <f>+PROPER(BD[[#This Row],[PRIMER_APELLIDO]])</f>
        <v>Valdivia</v>
      </c>
    </row>
    <row r="212" spans="1:54" x14ac:dyDescent="0.25">
      <c r="A212" s="2">
        <v>211</v>
      </c>
      <c r="B212" s="2">
        <v>51033</v>
      </c>
      <c r="C212" s="2" t="s">
        <v>619</v>
      </c>
      <c r="D212" s="2" t="s">
        <v>620</v>
      </c>
      <c r="E212" s="2" t="s">
        <v>2069</v>
      </c>
      <c r="F212" s="2">
        <v>25624681</v>
      </c>
      <c r="G212" s="3">
        <v>35.682191780821917</v>
      </c>
      <c r="H212" s="2" t="s">
        <v>622</v>
      </c>
      <c r="I212" s="2" t="s">
        <v>2070</v>
      </c>
      <c r="J212" s="2" t="str">
        <f>+IF(BD[[#This Row],[DEPARTAMENTO_INSS]]="MANAGUA","_01_","_02_")</f>
        <v>_02_</v>
      </c>
      <c r="K212" s="2" t="str">
        <f>+CONCATENATE(BD[[#This Row],[Columna3]],BD[[#This Row],[Columna4]],BD[[#This Row],[NOMBRE COMPLETO]])</f>
        <v>E003_02_SERGIO MANUEL LOPEZ FLOREZ</v>
      </c>
      <c r="L212" s="2" t="s">
        <v>2071</v>
      </c>
      <c r="M212" s="2" t="s">
        <v>648</v>
      </c>
      <c r="N212" s="2" t="s">
        <v>15</v>
      </c>
      <c r="O212" s="2" t="s">
        <v>2072</v>
      </c>
      <c r="P212" s="2" t="s">
        <v>649</v>
      </c>
      <c r="Q212" s="2" t="s">
        <v>351</v>
      </c>
      <c r="R212" s="2">
        <v>31772</v>
      </c>
      <c r="S212" s="2">
        <v>31772</v>
      </c>
      <c r="T212" s="2" t="s">
        <v>780</v>
      </c>
      <c r="U212" s="2" t="s">
        <v>780</v>
      </c>
      <c r="V212" s="2" t="s">
        <v>794</v>
      </c>
      <c r="W212" s="2" t="s">
        <v>2073</v>
      </c>
      <c r="X212" s="2" t="s">
        <v>2074</v>
      </c>
      <c r="Y212" s="2" t="s">
        <v>2075</v>
      </c>
      <c r="Z212" s="2">
        <v>77700346</v>
      </c>
      <c r="AB212" s="2" t="s">
        <v>654</v>
      </c>
      <c r="AC212" s="2" t="s">
        <v>632</v>
      </c>
      <c r="AD212" s="2">
        <v>77700346</v>
      </c>
      <c r="AJ212" s="2">
        <v>77700346</v>
      </c>
      <c r="AK212" s="2">
        <v>1</v>
      </c>
      <c r="AL212" s="2" t="s">
        <v>633</v>
      </c>
      <c r="AM212" s="2">
        <v>0</v>
      </c>
      <c r="AN212" s="2">
        <v>0</v>
      </c>
      <c r="AO212" s="2">
        <v>1</v>
      </c>
      <c r="AP212" s="2">
        <v>0</v>
      </c>
      <c r="AQ212" s="2">
        <v>0</v>
      </c>
      <c r="AR212" s="2">
        <v>0</v>
      </c>
      <c r="AS212" s="2">
        <v>0</v>
      </c>
      <c r="AT212" s="2">
        <v>0</v>
      </c>
      <c r="AZ212" s="2" t="s">
        <v>2076</v>
      </c>
      <c r="BB212" s="2" t="str">
        <f>+PROPER(BD[[#This Row],[PRIMER_APELLIDO]])</f>
        <v>Lopez</v>
      </c>
    </row>
    <row r="213" spans="1:54" x14ac:dyDescent="0.25">
      <c r="A213" s="2">
        <v>212</v>
      </c>
      <c r="B213" s="2">
        <v>52100</v>
      </c>
      <c r="C213" s="2" t="s">
        <v>619</v>
      </c>
      <c r="D213" s="2" t="s">
        <v>620</v>
      </c>
      <c r="E213" s="2" t="s">
        <v>2077</v>
      </c>
      <c r="F213" s="2">
        <v>24237051</v>
      </c>
      <c r="G213" s="3">
        <v>35.684931506849317</v>
      </c>
      <c r="H213" s="2" t="s">
        <v>622</v>
      </c>
      <c r="I213" s="2" t="s">
        <v>2078</v>
      </c>
      <c r="J213" s="2" t="str">
        <f>+IF(BD[[#This Row],[DEPARTAMENTO_INSS]]="MANAGUA","_01_","_02_")</f>
        <v>_02_</v>
      </c>
      <c r="K213" s="2" t="str">
        <f>+CONCATENATE(BD[[#This Row],[Columna3]],BD[[#This Row],[Columna4]],BD[[#This Row],[NOMBRE COMPLETO]])</f>
        <v>E003_02_ILEANA LISSETH JUAREZ DUARTE</v>
      </c>
      <c r="L213" s="2" t="s">
        <v>2079</v>
      </c>
      <c r="M213" s="2" t="s">
        <v>2080</v>
      </c>
      <c r="N213" s="2" t="s">
        <v>344</v>
      </c>
      <c r="O213" s="2" t="s">
        <v>117</v>
      </c>
      <c r="P213" s="2" t="s">
        <v>626</v>
      </c>
      <c r="Q213" s="2" t="s">
        <v>351</v>
      </c>
      <c r="R213" s="2">
        <v>31771</v>
      </c>
      <c r="S213" s="2">
        <v>31771</v>
      </c>
      <c r="T213" s="2" t="s">
        <v>705</v>
      </c>
      <c r="U213" s="2" t="s">
        <v>705</v>
      </c>
      <c r="V213" s="2" t="s">
        <v>1014</v>
      </c>
      <c r="W213" s="2" t="s">
        <v>1014</v>
      </c>
      <c r="X213" s="2" t="s">
        <v>2081</v>
      </c>
      <c r="Y213" s="2" t="s">
        <v>2082</v>
      </c>
      <c r="AA213" s="2">
        <v>85797595</v>
      </c>
      <c r="AB213" s="2" t="s">
        <v>654</v>
      </c>
      <c r="AC213" s="2" t="s">
        <v>632</v>
      </c>
      <c r="AD213" s="2">
        <v>85797595</v>
      </c>
      <c r="AJ213" s="2">
        <v>85797595</v>
      </c>
      <c r="AK213" s="2">
        <v>1</v>
      </c>
      <c r="AL213" s="2" t="s">
        <v>633</v>
      </c>
      <c r="AM213" s="2">
        <v>0</v>
      </c>
      <c r="AN213" s="2">
        <v>0</v>
      </c>
      <c r="AO213" s="2">
        <v>1</v>
      </c>
      <c r="AP213" s="2">
        <v>0</v>
      </c>
      <c r="AQ213" s="2">
        <v>0</v>
      </c>
      <c r="AR213" s="2">
        <v>0</v>
      </c>
      <c r="AS213" s="2">
        <v>0</v>
      </c>
      <c r="AT213" s="2">
        <v>0</v>
      </c>
      <c r="BB213" s="2" t="str">
        <f>+PROPER(BD[[#This Row],[PRIMER_APELLIDO]])</f>
        <v>Juarez</v>
      </c>
    </row>
    <row r="214" spans="1:54" x14ac:dyDescent="0.25">
      <c r="A214" s="2">
        <v>213</v>
      </c>
      <c r="B214" s="2">
        <v>48978</v>
      </c>
      <c r="C214" s="2" t="s">
        <v>619</v>
      </c>
      <c r="D214" s="2" t="s">
        <v>620</v>
      </c>
      <c r="E214" s="2" t="s">
        <v>2083</v>
      </c>
      <c r="F214" s="2">
        <v>25028618</v>
      </c>
      <c r="G214" s="3">
        <v>35.68767123287671</v>
      </c>
      <c r="H214" s="2" t="s">
        <v>622</v>
      </c>
      <c r="I214" s="2" t="s">
        <v>2084</v>
      </c>
      <c r="J214" s="2" t="str">
        <f>+IF(BD[[#This Row],[DEPARTAMENTO_INSS]]="MANAGUA","_01_","_02_")</f>
        <v>_02_</v>
      </c>
      <c r="K214" s="2" t="str">
        <f>+CONCATENATE(BD[[#This Row],[Columna3]],BD[[#This Row],[Columna4]],BD[[#This Row],[NOMBRE COMPLETO]])</f>
        <v>E003_02_MARIA MAGDALENA LAZO MORALES</v>
      </c>
      <c r="L214" s="2" t="s">
        <v>724</v>
      </c>
      <c r="M214" s="2" t="s">
        <v>2085</v>
      </c>
      <c r="N214" s="2" t="s">
        <v>268</v>
      </c>
      <c r="O214" s="2" t="s">
        <v>82</v>
      </c>
      <c r="P214" s="2" t="s">
        <v>626</v>
      </c>
      <c r="Q214" s="2" t="s">
        <v>351</v>
      </c>
      <c r="R214" s="2">
        <v>31770</v>
      </c>
      <c r="S214" s="2">
        <v>31770</v>
      </c>
      <c r="T214" s="2" t="s">
        <v>780</v>
      </c>
      <c r="U214" s="2" t="s">
        <v>780</v>
      </c>
      <c r="V214" s="2" t="s">
        <v>781</v>
      </c>
      <c r="W214" s="2" t="s">
        <v>781</v>
      </c>
      <c r="X214" s="2" t="s">
        <v>2086</v>
      </c>
      <c r="Y214" s="2" t="s">
        <v>2087</v>
      </c>
      <c r="Z214" s="2">
        <v>83698433</v>
      </c>
      <c r="AA214" s="2" t="s">
        <v>2088</v>
      </c>
      <c r="AB214" s="2" t="s">
        <v>631</v>
      </c>
      <c r="AC214" s="2" t="s">
        <v>632</v>
      </c>
      <c r="AD214" s="2">
        <v>83698433</v>
      </c>
      <c r="AE214" s="2">
        <v>81343636</v>
      </c>
      <c r="AF214" s="2">
        <v>82393143</v>
      </c>
      <c r="AJ214" s="2">
        <v>83698433</v>
      </c>
      <c r="AK214" s="2">
        <v>3</v>
      </c>
      <c r="AL214" s="2" t="s">
        <v>633</v>
      </c>
      <c r="AM214" s="2">
        <v>0</v>
      </c>
      <c r="AN214" s="2">
        <v>0</v>
      </c>
      <c r="AO214" s="2">
        <v>1</v>
      </c>
      <c r="AP214" s="2">
        <v>0</v>
      </c>
      <c r="AQ214" s="2">
        <v>0</v>
      </c>
      <c r="AR214" s="2">
        <v>0</v>
      </c>
      <c r="AS214" s="2">
        <v>0</v>
      </c>
      <c r="AT214" s="2">
        <v>0</v>
      </c>
      <c r="AZ214" s="2" t="s">
        <v>2089</v>
      </c>
      <c r="BB214" s="2" t="str">
        <f>+PROPER(BD[[#This Row],[PRIMER_APELLIDO]])</f>
        <v>Lazo</v>
      </c>
    </row>
    <row r="215" spans="1:54" x14ac:dyDescent="0.25">
      <c r="A215" s="2">
        <v>214</v>
      </c>
      <c r="B215" s="2">
        <v>51362</v>
      </c>
      <c r="C215" s="2" t="s">
        <v>619</v>
      </c>
      <c r="D215" s="2" t="s">
        <v>620</v>
      </c>
      <c r="E215" s="2" t="s">
        <v>2090</v>
      </c>
      <c r="F215" s="2">
        <v>26961776</v>
      </c>
      <c r="G215" s="3">
        <v>35.69315068493151</v>
      </c>
      <c r="H215" s="2" t="s">
        <v>622</v>
      </c>
      <c r="I215" s="2" t="s">
        <v>2091</v>
      </c>
      <c r="J215" s="2" t="str">
        <f>+IF(BD[[#This Row],[DEPARTAMENTO_INSS]]="MANAGUA","_01_","_02_")</f>
        <v>_02_</v>
      </c>
      <c r="K215" s="2" t="str">
        <f>+CONCATENATE(BD[[#This Row],[Columna3]],BD[[#This Row],[Columna4]],BD[[#This Row],[NOMBRE COMPLETO]])</f>
        <v>E003_02_MARJURY YAJAIRA BETANCO SANCHEZ</v>
      </c>
      <c r="L215" s="2" t="s">
        <v>2092</v>
      </c>
      <c r="M215" s="2" t="s">
        <v>770</v>
      </c>
      <c r="N215" s="2" t="s">
        <v>253</v>
      </c>
      <c r="O215" s="2" t="s">
        <v>90</v>
      </c>
      <c r="P215" s="2" t="s">
        <v>626</v>
      </c>
      <c r="Q215" s="2" t="s">
        <v>351</v>
      </c>
      <c r="R215" s="2">
        <v>31768</v>
      </c>
      <c r="S215" s="2">
        <v>31768</v>
      </c>
      <c r="T215" s="2" t="s">
        <v>1104</v>
      </c>
      <c r="U215" s="2" t="s">
        <v>176</v>
      </c>
      <c r="V215" s="2" t="s">
        <v>2093</v>
      </c>
      <c r="W215" s="2" t="s">
        <v>1796</v>
      </c>
      <c r="X215" s="2" t="s">
        <v>2094</v>
      </c>
      <c r="Y215" s="2" t="s">
        <v>2095</v>
      </c>
      <c r="Z215" s="2">
        <v>82293115</v>
      </c>
      <c r="AB215" s="2" t="s">
        <v>631</v>
      </c>
      <c r="AC215" s="2" t="s">
        <v>632</v>
      </c>
      <c r="AD215" s="2">
        <v>82293115</v>
      </c>
      <c r="AJ215" s="2">
        <v>82293115</v>
      </c>
      <c r="AK215" s="2">
        <v>1</v>
      </c>
      <c r="AL215" s="2" t="s">
        <v>633</v>
      </c>
      <c r="AM215" s="2">
        <v>0</v>
      </c>
      <c r="AN215" s="2">
        <v>0</v>
      </c>
      <c r="AO215" s="2">
        <v>1</v>
      </c>
      <c r="AP215" s="2">
        <v>0</v>
      </c>
      <c r="AQ215" s="2">
        <v>0</v>
      </c>
      <c r="AR215" s="2">
        <v>0</v>
      </c>
      <c r="AS215" s="2">
        <v>0</v>
      </c>
      <c r="AT215" s="2">
        <v>0</v>
      </c>
      <c r="AZ215" s="2" t="s">
        <v>2096</v>
      </c>
      <c r="BB215" s="2" t="str">
        <f>+PROPER(BD[[#This Row],[PRIMER_APELLIDO]])</f>
        <v>Betanco</v>
      </c>
    </row>
    <row r="216" spans="1:54" x14ac:dyDescent="0.25">
      <c r="A216" s="2">
        <v>215</v>
      </c>
      <c r="B216" s="2">
        <v>43754</v>
      </c>
      <c r="C216" s="2" t="s">
        <v>619</v>
      </c>
      <c r="D216" s="2" t="s">
        <v>620</v>
      </c>
      <c r="E216" s="2" t="s">
        <v>2097</v>
      </c>
      <c r="F216" s="2">
        <v>24237563</v>
      </c>
      <c r="G216" s="3">
        <v>35.698630136986303</v>
      </c>
      <c r="H216" s="2" t="s">
        <v>622</v>
      </c>
      <c r="I216" s="2" t="s">
        <v>2098</v>
      </c>
      <c r="J216" s="2" t="str">
        <f>+IF(BD[[#This Row],[DEPARTAMENTO_INSS]]="MANAGUA","_01_","_02_")</f>
        <v>_01_</v>
      </c>
      <c r="K216" s="2" t="str">
        <f>+CONCATENATE(BD[[#This Row],[Columna3]],BD[[#This Row],[Columna4]],BD[[#This Row],[NOMBRE COMPLETO]])</f>
        <v>E003_01_MILDRED NINET RAMIREZ ROJAS</v>
      </c>
      <c r="L216" s="2" t="s">
        <v>2099</v>
      </c>
      <c r="M216" s="2" t="s">
        <v>811</v>
      </c>
      <c r="N216" s="2" t="s">
        <v>38</v>
      </c>
      <c r="O216" s="2" t="s">
        <v>105</v>
      </c>
      <c r="P216" s="2" t="s">
        <v>626</v>
      </c>
      <c r="Q216" s="2" t="s">
        <v>351</v>
      </c>
      <c r="R216" s="2">
        <v>31766</v>
      </c>
      <c r="S216" s="2">
        <v>31766</v>
      </c>
      <c r="T216" s="2" t="s">
        <v>176</v>
      </c>
      <c r="U216" s="2" t="s">
        <v>627</v>
      </c>
      <c r="V216" s="2" t="s">
        <v>650</v>
      </c>
      <c r="W216" s="2" t="s">
        <v>627</v>
      </c>
      <c r="X216" s="2" t="s">
        <v>2100</v>
      </c>
      <c r="Y216" s="2" t="s">
        <v>2101</v>
      </c>
      <c r="AA216" s="2" t="s">
        <v>2102</v>
      </c>
      <c r="AB216" s="2" t="s">
        <v>654</v>
      </c>
      <c r="AC216" s="2" t="s">
        <v>632</v>
      </c>
      <c r="AE216" s="2">
        <v>83384450</v>
      </c>
      <c r="AJ216" s="2">
        <v>83384450</v>
      </c>
      <c r="AK216" s="2">
        <v>2</v>
      </c>
      <c r="AL216" s="2" t="s">
        <v>633</v>
      </c>
      <c r="AM216" s="2">
        <v>0</v>
      </c>
      <c r="AN216" s="2">
        <v>0</v>
      </c>
      <c r="AO216" s="2">
        <v>1</v>
      </c>
      <c r="AP216" s="2">
        <v>0</v>
      </c>
      <c r="AQ216" s="2">
        <v>0</v>
      </c>
      <c r="AR216" s="2">
        <v>0</v>
      </c>
      <c r="AS216" s="2">
        <v>0</v>
      </c>
      <c r="AT216" s="2">
        <v>0</v>
      </c>
      <c r="BA216" s="2" t="s">
        <v>2103</v>
      </c>
      <c r="BB216" s="2" t="str">
        <f>+PROPER(BD[[#This Row],[PRIMER_APELLIDO]])</f>
        <v>Ramirez</v>
      </c>
    </row>
    <row r="217" spans="1:54" x14ac:dyDescent="0.25">
      <c r="A217" s="2">
        <v>216</v>
      </c>
      <c r="B217" s="2">
        <v>48279</v>
      </c>
      <c r="C217" s="2" t="s">
        <v>619</v>
      </c>
      <c r="D217" s="2" t="s">
        <v>620</v>
      </c>
      <c r="E217" s="2" t="s">
        <v>2104</v>
      </c>
      <c r="F217" s="2">
        <v>25622805</v>
      </c>
      <c r="G217" s="3">
        <v>35.701369863013696</v>
      </c>
      <c r="H217" s="2" t="s">
        <v>622</v>
      </c>
      <c r="I217" s="2" t="s">
        <v>2105</v>
      </c>
      <c r="J217" s="2" t="str">
        <f>+IF(BD[[#This Row],[DEPARTAMENTO_INSS]]="MANAGUA","_01_","_02_")</f>
        <v>_02_</v>
      </c>
      <c r="K217" s="2" t="str">
        <f>+CONCATENATE(BD[[#This Row],[Columna3]],BD[[#This Row],[Columna4]],BD[[#This Row],[NOMBRE COMPLETO]])</f>
        <v>E003_02_MARIA AUXILIADORA RUIZ ROSALES</v>
      </c>
      <c r="L217" s="2" t="s">
        <v>724</v>
      </c>
      <c r="M217" s="2" t="s">
        <v>970</v>
      </c>
      <c r="N217" s="2" t="s">
        <v>84</v>
      </c>
      <c r="O217" s="2" t="s">
        <v>331</v>
      </c>
      <c r="P217" s="2" t="s">
        <v>626</v>
      </c>
      <c r="Q217" s="2" t="s">
        <v>351</v>
      </c>
      <c r="R217" s="2">
        <v>31765</v>
      </c>
      <c r="S217" s="2">
        <v>31765</v>
      </c>
      <c r="T217" s="2" t="s">
        <v>627</v>
      </c>
      <c r="U217" s="2" t="s">
        <v>1191</v>
      </c>
      <c r="V217" s="2" t="s">
        <v>627</v>
      </c>
      <c r="W217" s="2" t="s">
        <v>1300</v>
      </c>
      <c r="X217" s="2" t="s">
        <v>2106</v>
      </c>
      <c r="Y217" s="2" t="s">
        <v>2107</v>
      </c>
      <c r="Z217" s="2">
        <v>84090348</v>
      </c>
      <c r="AA217" s="2" t="s">
        <v>2108</v>
      </c>
      <c r="AB217" s="2" t="s">
        <v>642</v>
      </c>
      <c r="AC217" s="2" t="s">
        <v>632</v>
      </c>
      <c r="AD217" s="2">
        <v>84090348</v>
      </c>
      <c r="AE217" s="2">
        <v>83916641</v>
      </c>
      <c r="AJ217" s="2">
        <v>84090348</v>
      </c>
      <c r="AK217" s="2">
        <v>3</v>
      </c>
      <c r="AL217" s="2" t="s">
        <v>633</v>
      </c>
      <c r="AM217" s="2">
        <v>0</v>
      </c>
      <c r="AN217" s="2">
        <v>0</v>
      </c>
      <c r="AO217" s="2">
        <v>1</v>
      </c>
      <c r="AP217" s="2">
        <v>0</v>
      </c>
      <c r="AQ217" s="2">
        <v>0</v>
      </c>
      <c r="AR217" s="2">
        <v>0</v>
      </c>
      <c r="AS217" s="2">
        <v>0</v>
      </c>
      <c r="AT217" s="2">
        <v>0</v>
      </c>
      <c r="AZ217" s="2" t="s">
        <v>2109</v>
      </c>
      <c r="BB217" s="2" t="str">
        <f>+PROPER(BD[[#This Row],[PRIMER_APELLIDO]])</f>
        <v>Ruiz</v>
      </c>
    </row>
    <row r="218" spans="1:54" x14ac:dyDescent="0.25">
      <c r="A218" s="2">
        <v>217</v>
      </c>
      <c r="B218" s="2">
        <v>50294</v>
      </c>
      <c r="C218" s="2" t="s">
        <v>619</v>
      </c>
      <c r="D218" s="2" t="s">
        <v>620</v>
      </c>
      <c r="E218" s="2" t="s">
        <v>2110</v>
      </c>
      <c r="F218" s="2">
        <v>25021813</v>
      </c>
      <c r="G218" s="3">
        <v>35.704109589041096</v>
      </c>
      <c r="H218" s="2" t="s">
        <v>622</v>
      </c>
      <c r="I218" s="2" t="s">
        <v>2111</v>
      </c>
      <c r="J218" s="2" t="str">
        <f>+IF(BD[[#This Row],[DEPARTAMENTO_INSS]]="MANAGUA","_01_","_02_")</f>
        <v>_02_</v>
      </c>
      <c r="K218" s="2" t="str">
        <f>+CONCATENATE(BD[[#This Row],[Columna3]],BD[[#This Row],[Columna4]],BD[[#This Row],[NOMBRE COMPLETO]])</f>
        <v>E003_02_BETZAYDA YAZAHARA MEMBREÑO OROZCO</v>
      </c>
      <c r="L218" s="2" t="s">
        <v>2112</v>
      </c>
      <c r="M218" s="2" t="s">
        <v>2113</v>
      </c>
      <c r="N218" s="2" t="s">
        <v>326</v>
      </c>
      <c r="O218" s="2" t="s">
        <v>254</v>
      </c>
      <c r="P218" s="2" t="s">
        <v>626</v>
      </c>
      <c r="Q218" s="2" t="s">
        <v>351</v>
      </c>
      <c r="R218" s="2">
        <v>31764</v>
      </c>
      <c r="S218" s="2">
        <v>31764</v>
      </c>
      <c r="T218" s="2" t="s">
        <v>1005</v>
      </c>
      <c r="U218" s="2" t="s">
        <v>1005</v>
      </c>
      <c r="V218" s="2" t="s">
        <v>1988</v>
      </c>
      <c r="W218" s="2" t="s">
        <v>1988</v>
      </c>
      <c r="X218" s="2" t="s">
        <v>2114</v>
      </c>
      <c r="Y218" s="2" t="s">
        <v>2115</v>
      </c>
      <c r="Z218" s="2">
        <v>86440203</v>
      </c>
      <c r="AA218" s="2">
        <v>86440203</v>
      </c>
      <c r="AB218" s="2" t="s">
        <v>631</v>
      </c>
      <c r="AC218" s="2" t="s">
        <v>632</v>
      </c>
      <c r="AD218" s="2">
        <v>86440203</v>
      </c>
      <c r="AJ218" s="2">
        <v>86440203</v>
      </c>
      <c r="AK218" s="2">
        <v>2</v>
      </c>
      <c r="AL218" s="2" t="s">
        <v>633</v>
      </c>
      <c r="AM218" s="2">
        <v>0</v>
      </c>
      <c r="AN218" s="2">
        <v>0</v>
      </c>
      <c r="AO218" s="2">
        <v>1</v>
      </c>
      <c r="AP218" s="2">
        <v>0</v>
      </c>
      <c r="AQ218" s="2">
        <v>0</v>
      </c>
      <c r="AR218" s="2">
        <v>0</v>
      </c>
      <c r="AS218" s="2">
        <v>0</v>
      </c>
      <c r="AT218" s="2">
        <v>0</v>
      </c>
      <c r="BB218" s="2" t="str">
        <f>+PROPER(BD[[#This Row],[PRIMER_APELLIDO]])</f>
        <v>Membreño</v>
      </c>
    </row>
    <row r="219" spans="1:54" x14ac:dyDescent="0.25">
      <c r="A219" s="2">
        <v>218</v>
      </c>
      <c r="B219" s="2">
        <v>56932</v>
      </c>
      <c r="C219" s="2" t="s">
        <v>619</v>
      </c>
      <c r="D219" s="2" t="s">
        <v>620</v>
      </c>
      <c r="E219" s="2" t="s">
        <v>2116</v>
      </c>
      <c r="G219" s="3">
        <v>35.706849315068496</v>
      </c>
      <c r="H219" s="2" t="s">
        <v>622</v>
      </c>
      <c r="I219" s="2" t="s">
        <v>2117</v>
      </c>
      <c r="J219" s="2" t="str">
        <f>+IF(BD[[#This Row],[DEPARTAMENTO_INSS]]="MANAGUA","_01_","_02_")</f>
        <v>_02_</v>
      </c>
      <c r="K219" s="2" t="str">
        <f>+CONCATENATE(BD[[#This Row],[Columna3]],BD[[#This Row],[Columna4]],BD[[#This Row],[NOMBRE COMPLETO]])</f>
        <v>E003_02_JOEL IVAN CHAVEZ PALACIOS</v>
      </c>
      <c r="L219" s="2" t="s">
        <v>2118</v>
      </c>
      <c r="M219" s="2" t="s">
        <v>2119</v>
      </c>
      <c r="N219" s="2" t="s">
        <v>207</v>
      </c>
      <c r="O219" s="2" t="s">
        <v>201</v>
      </c>
      <c r="P219" s="2" t="s">
        <v>649</v>
      </c>
      <c r="Q219" s="2" t="s">
        <v>351</v>
      </c>
      <c r="R219" s="2">
        <v>31763</v>
      </c>
      <c r="S219" s="2">
        <v>31763</v>
      </c>
      <c r="T219" s="2" t="s">
        <v>780</v>
      </c>
      <c r="U219" s="2" t="s">
        <v>186</v>
      </c>
      <c r="V219" s="2" t="s">
        <v>2120</v>
      </c>
      <c r="W219" s="2" t="s">
        <v>1634</v>
      </c>
      <c r="X219" s="2" t="s">
        <v>2121</v>
      </c>
      <c r="Y219" s="2" t="s">
        <v>2122</v>
      </c>
      <c r="Z219" s="2">
        <v>85233431</v>
      </c>
      <c r="AA219" s="2">
        <v>83535312</v>
      </c>
      <c r="AB219" s="2" t="s">
        <v>798</v>
      </c>
      <c r="AC219" s="2" t="s">
        <v>632</v>
      </c>
      <c r="AD219" s="2">
        <v>85233431</v>
      </c>
      <c r="AF219" s="2">
        <v>83535312</v>
      </c>
      <c r="AJ219" s="2">
        <v>85233431</v>
      </c>
      <c r="AK219" s="2">
        <v>2</v>
      </c>
      <c r="AL219" s="2" t="s">
        <v>633</v>
      </c>
      <c r="AM219" s="2">
        <v>0</v>
      </c>
      <c r="AN219" s="2">
        <v>0</v>
      </c>
      <c r="AO219" s="2">
        <v>1</v>
      </c>
      <c r="AP219" s="2">
        <v>0</v>
      </c>
      <c r="AQ219" s="2">
        <v>0</v>
      </c>
      <c r="AR219" s="2">
        <v>0</v>
      </c>
      <c r="AS219" s="2">
        <v>0</v>
      </c>
      <c r="AT219" s="2">
        <v>0</v>
      </c>
      <c r="BB219" s="2" t="str">
        <f>+PROPER(BD[[#This Row],[PRIMER_APELLIDO]])</f>
        <v>Chavez</v>
      </c>
    </row>
    <row r="220" spans="1:54" x14ac:dyDescent="0.25">
      <c r="A220" s="2">
        <v>219</v>
      </c>
      <c r="B220" s="2">
        <v>41386</v>
      </c>
      <c r="C220" s="2" t="s">
        <v>619</v>
      </c>
      <c r="D220" s="2" t="s">
        <v>620</v>
      </c>
      <c r="E220" s="2" t="s">
        <v>2123</v>
      </c>
      <c r="F220" s="2">
        <v>24985985</v>
      </c>
      <c r="G220" s="3">
        <v>35.715068493150682</v>
      </c>
      <c r="H220" s="2" t="s">
        <v>622</v>
      </c>
      <c r="I220" s="2" t="s">
        <v>2124</v>
      </c>
      <c r="J220" s="2" t="str">
        <f>+IF(BD[[#This Row],[DEPARTAMENTO_INSS]]="MANAGUA","_01_","_02_")</f>
        <v>_02_</v>
      </c>
      <c r="K220" s="2" t="str">
        <f>+CONCATENATE(BD[[#This Row],[Columna3]],BD[[#This Row],[Columna4]],BD[[#This Row],[NOMBRE COMPLETO]])</f>
        <v>E003_02_OLIVIA DEL CARMEN SANTANA MEMBREÑO</v>
      </c>
      <c r="L220" s="2" t="s">
        <v>2125</v>
      </c>
      <c r="M220" s="2" t="s">
        <v>961</v>
      </c>
      <c r="N220" s="2" t="s">
        <v>308</v>
      </c>
      <c r="O220" s="2" t="s">
        <v>326</v>
      </c>
      <c r="P220" s="2" t="s">
        <v>626</v>
      </c>
      <c r="Q220" s="2" t="s">
        <v>351</v>
      </c>
      <c r="R220" s="2">
        <v>31760</v>
      </c>
      <c r="S220" s="2">
        <v>31760</v>
      </c>
      <c r="T220" s="2" t="s">
        <v>1104</v>
      </c>
      <c r="U220" s="2" t="s">
        <v>1104</v>
      </c>
      <c r="V220" s="2" t="s">
        <v>1104</v>
      </c>
      <c r="W220" s="2" t="s">
        <v>1104</v>
      </c>
      <c r="X220" s="2" t="s">
        <v>2126</v>
      </c>
      <c r="Y220" s="2" t="s">
        <v>2127</v>
      </c>
      <c r="Z220" s="2">
        <v>86554312</v>
      </c>
      <c r="AA220" s="2">
        <v>86554312</v>
      </c>
      <c r="AB220" s="2" t="s">
        <v>631</v>
      </c>
      <c r="AC220" s="2" t="s">
        <v>632</v>
      </c>
      <c r="AD220" s="2">
        <v>86554312</v>
      </c>
      <c r="AJ220" s="2">
        <v>86554312</v>
      </c>
      <c r="AK220" s="2">
        <v>2</v>
      </c>
      <c r="AL220" s="2" t="s">
        <v>633</v>
      </c>
      <c r="AM220" s="2">
        <v>0</v>
      </c>
      <c r="AN220" s="2">
        <v>0</v>
      </c>
      <c r="AO220" s="2">
        <v>1</v>
      </c>
      <c r="AP220" s="2">
        <v>0</v>
      </c>
      <c r="AQ220" s="2">
        <v>0</v>
      </c>
      <c r="AR220" s="2">
        <v>0</v>
      </c>
      <c r="AS220" s="2">
        <v>0</v>
      </c>
      <c r="AT220" s="2">
        <v>0</v>
      </c>
      <c r="AZ220" s="2" t="s">
        <v>2128</v>
      </c>
      <c r="BB220" s="2" t="str">
        <f>+PROPER(BD[[#This Row],[PRIMER_APELLIDO]])</f>
        <v>Santana</v>
      </c>
    </row>
    <row r="221" spans="1:54" x14ac:dyDescent="0.25">
      <c r="A221" s="2">
        <v>220</v>
      </c>
      <c r="B221" s="2">
        <v>56961</v>
      </c>
      <c r="C221" s="2" t="s">
        <v>619</v>
      </c>
      <c r="D221" s="2" t="s">
        <v>620</v>
      </c>
      <c r="E221" s="2" t="s">
        <v>2129</v>
      </c>
      <c r="G221" s="3">
        <v>35.720547945205482</v>
      </c>
      <c r="H221" s="2" t="s">
        <v>622</v>
      </c>
      <c r="I221" s="2" t="s">
        <v>2130</v>
      </c>
      <c r="J221" s="2" t="str">
        <f>+IF(BD[[#This Row],[DEPARTAMENTO_INSS]]="MANAGUA","_01_","_02_")</f>
        <v>_02_</v>
      </c>
      <c r="K221" s="2" t="str">
        <f>+CONCATENATE(BD[[#This Row],[Columna3]],BD[[#This Row],[Columna4]],BD[[#This Row],[NOMBRE COMPLETO]])</f>
        <v>E003_02_GLORIA ELENA BLAS SEVILLA</v>
      </c>
      <c r="L221" s="2" t="s">
        <v>2131</v>
      </c>
      <c r="M221" s="2" t="s">
        <v>1626</v>
      </c>
      <c r="N221" s="2" t="s">
        <v>251</v>
      </c>
      <c r="O221" s="2" t="s">
        <v>280</v>
      </c>
      <c r="P221" s="2" t="s">
        <v>626</v>
      </c>
      <c r="Q221" s="2" t="s">
        <v>351</v>
      </c>
      <c r="R221" s="2">
        <v>31758</v>
      </c>
      <c r="S221" s="2">
        <v>31758</v>
      </c>
      <c r="T221" s="2" t="s">
        <v>732</v>
      </c>
      <c r="U221" s="2" t="s">
        <v>732</v>
      </c>
      <c r="V221" s="2" t="s">
        <v>1060</v>
      </c>
      <c r="W221" s="2" t="s">
        <v>1061</v>
      </c>
      <c r="X221" s="2" t="s">
        <v>2132</v>
      </c>
      <c r="Y221" s="2" t="s">
        <v>2133</v>
      </c>
      <c r="Z221" s="2">
        <v>88632741</v>
      </c>
      <c r="AA221" s="2">
        <v>81692368</v>
      </c>
      <c r="AB221" s="2" t="s">
        <v>631</v>
      </c>
      <c r="AC221" s="2" t="s">
        <v>632</v>
      </c>
      <c r="AD221" s="2">
        <v>88632741</v>
      </c>
      <c r="AF221" s="2">
        <v>81692368</v>
      </c>
      <c r="AJ221" s="2">
        <v>88632741</v>
      </c>
      <c r="AK221" s="2">
        <v>2</v>
      </c>
      <c r="AL221" s="2" t="s">
        <v>633</v>
      </c>
      <c r="AM221" s="2">
        <v>0</v>
      </c>
      <c r="AN221" s="2">
        <v>0</v>
      </c>
      <c r="AO221" s="2">
        <v>1</v>
      </c>
      <c r="AP221" s="2">
        <v>0</v>
      </c>
      <c r="AQ221" s="2">
        <v>0</v>
      </c>
      <c r="AR221" s="2">
        <v>0</v>
      </c>
      <c r="AS221" s="2">
        <v>0</v>
      </c>
      <c r="AT221" s="2">
        <v>0</v>
      </c>
      <c r="AZ221" s="2" t="s">
        <v>2134</v>
      </c>
      <c r="BB221" s="2" t="str">
        <f>+PROPER(BD[[#This Row],[PRIMER_APELLIDO]])</f>
        <v>Blas</v>
      </c>
    </row>
    <row r="222" spans="1:54" x14ac:dyDescent="0.25">
      <c r="A222" s="2">
        <v>221</v>
      </c>
      <c r="B222" s="2">
        <v>30610</v>
      </c>
      <c r="C222" s="2" t="s">
        <v>619</v>
      </c>
      <c r="D222" s="2" t="s">
        <v>620</v>
      </c>
      <c r="E222" s="2" t="s">
        <v>2135</v>
      </c>
      <c r="F222" s="2">
        <v>18416505</v>
      </c>
      <c r="G222" s="3">
        <v>35.728767123287675</v>
      </c>
      <c r="H222" s="2" t="s">
        <v>622</v>
      </c>
      <c r="I222" s="2" t="s">
        <v>2136</v>
      </c>
      <c r="J222" s="2" t="str">
        <f>+IF(BD[[#This Row],[DEPARTAMENTO_INSS]]="MANAGUA","_01_","_02_")</f>
        <v>_01_</v>
      </c>
      <c r="K222" s="2" t="str">
        <f>+CONCATENATE(BD[[#This Row],[Columna3]],BD[[#This Row],[Columna4]],BD[[#This Row],[NOMBRE COMPLETO]])</f>
        <v>E003_01_SARA MARIA ARTILES MENDIETA</v>
      </c>
      <c r="L222" s="2" t="s">
        <v>2137</v>
      </c>
      <c r="M222" s="2" t="s">
        <v>724</v>
      </c>
      <c r="N222" s="2" t="s">
        <v>422</v>
      </c>
      <c r="O222" s="2" t="s">
        <v>60</v>
      </c>
      <c r="P222" s="2" t="s">
        <v>626</v>
      </c>
      <c r="Q222" s="2" t="s">
        <v>351</v>
      </c>
      <c r="R222" s="2">
        <v>31755</v>
      </c>
      <c r="S222" s="2">
        <v>31755</v>
      </c>
      <c r="T222" s="2" t="s">
        <v>627</v>
      </c>
      <c r="U222" s="2" t="s">
        <v>627</v>
      </c>
      <c r="V222" s="2" t="s">
        <v>627</v>
      </c>
      <c r="W222" s="2" t="s">
        <v>627</v>
      </c>
      <c r="X222" s="2" t="s">
        <v>2138</v>
      </c>
      <c r="Y222" s="2" t="s">
        <v>2139</v>
      </c>
      <c r="AA222" s="2">
        <v>88879222</v>
      </c>
      <c r="AB222" s="2" t="s">
        <v>642</v>
      </c>
      <c r="AC222" s="2" t="s">
        <v>632</v>
      </c>
      <c r="AD222" s="2">
        <v>88879222</v>
      </c>
      <c r="AJ222" s="2">
        <v>88879222</v>
      </c>
      <c r="AK222" s="2">
        <v>1</v>
      </c>
      <c r="AL222" s="2" t="s">
        <v>633</v>
      </c>
      <c r="AM222" s="2">
        <v>0</v>
      </c>
      <c r="AN222" s="2">
        <v>0</v>
      </c>
      <c r="AO222" s="2">
        <v>1</v>
      </c>
      <c r="AP222" s="2">
        <v>0</v>
      </c>
      <c r="AQ222" s="2">
        <v>0</v>
      </c>
      <c r="AR222" s="2">
        <v>0</v>
      </c>
      <c r="AS222" s="2">
        <v>0</v>
      </c>
      <c r="AT222" s="2">
        <v>0</v>
      </c>
      <c r="BB222" s="2" t="str">
        <f>+PROPER(BD[[#This Row],[PRIMER_APELLIDO]])</f>
        <v>Artiles</v>
      </c>
    </row>
    <row r="223" spans="1:54" x14ac:dyDescent="0.25">
      <c r="A223" s="2">
        <v>222</v>
      </c>
      <c r="B223" s="2">
        <v>47775</v>
      </c>
      <c r="C223" s="2" t="s">
        <v>619</v>
      </c>
      <c r="D223" s="2" t="s">
        <v>620</v>
      </c>
      <c r="E223" s="2" t="s">
        <v>2140</v>
      </c>
      <c r="F223" s="2">
        <v>25689408</v>
      </c>
      <c r="G223" s="3">
        <v>35.728767123287675</v>
      </c>
      <c r="H223" s="2" t="s">
        <v>622</v>
      </c>
      <c r="I223" s="2" t="s">
        <v>2141</v>
      </c>
      <c r="J223" s="2" t="str">
        <f>+IF(BD[[#This Row],[DEPARTAMENTO_INSS]]="MANAGUA","_01_","_02_")</f>
        <v>_01_</v>
      </c>
      <c r="K223" s="2" t="str">
        <f>+CONCATENATE(BD[[#This Row],[Columna3]],BD[[#This Row],[Columna4]],BD[[#This Row],[NOMBRE COMPLETO]])</f>
        <v>E003_01_ANA VALERIA QUINTANA JOSE</v>
      </c>
      <c r="L223" s="2" t="s">
        <v>860</v>
      </c>
      <c r="M223" s="2" t="s">
        <v>2142</v>
      </c>
      <c r="N223" s="2" t="s">
        <v>416</v>
      </c>
      <c r="O223" s="2" t="s">
        <v>243</v>
      </c>
      <c r="P223" s="2" t="s">
        <v>626</v>
      </c>
      <c r="Q223" s="2" t="s">
        <v>351</v>
      </c>
      <c r="R223" s="2">
        <v>31755</v>
      </c>
      <c r="S223" s="2">
        <v>31755</v>
      </c>
      <c r="T223" s="2" t="s">
        <v>627</v>
      </c>
      <c r="U223" s="2" t="s">
        <v>627</v>
      </c>
      <c r="V223" s="2" t="s">
        <v>627</v>
      </c>
      <c r="W223" s="2" t="s">
        <v>627</v>
      </c>
      <c r="X223" s="2" t="s">
        <v>2143</v>
      </c>
      <c r="Y223" s="2" t="s">
        <v>2144</v>
      </c>
      <c r="Z223" s="2">
        <v>88572095</v>
      </c>
      <c r="AA223" s="2" t="s">
        <v>2145</v>
      </c>
      <c r="AB223" s="2" t="s">
        <v>642</v>
      </c>
      <c r="AC223" s="2" t="s">
        <v>632</v>
      </c>
      <c r="AD223" s="2">
        <v>88572095</v>
      </c>
      <c r="AJ223" s="2">
        <v>88572095</v>
      </c>
      <c r="AK223" s="2">
        <v>3</v>
      </c>
      <c r="AL223" s="2" t="s">
        <v>633</v>
      </c>
      <c r="AM223" s="2">
        <v>0</v>
      </c>
      <c r="AN223" s="2">
        <v>0</v>
      </c>
      <c r="AO223" s="2">
        <v>1</v>
      </c>
      <c r="AP223" s="2">
        <v>0</v>
      </c>
      <c r="AQ223" s="2">
        <v>0</v>
      </c>
      <c r="AR223" s="2">
        <v>0</v>
      </c>
      <c r="AS223" s="2">
        <v>0</v>
      </c>
      <c r="AT223" s="2">
        <v>0</v>
      </c>
      <c r="AZ223" s="2" t="s">
        <v>2146</v>
      </c>
      <c r="BA223" s="2" t="s">
        <v>2146</v>
      </c>
      <c r="BB223" s="2" t="str">
        <f>+PROPER(BD[[#This Row],[PRIMER_APELLIDO]])</f>
        <v>Quintana</v>
      </c>
    </row>
    <row r="224" spans="1:54" x14ac:dyDescent="0.25">
      <c r="A224" s="2">
        <v>223</v>
      </c>
      <c r="B224" s="2">
        <v>51335</v>
      </c>
      <c r="C224" s="2" t="s">
        <v>619</v>
      </c>
      <c r="D224" s="2" t="s">
        <v>620</v>
      </c>
      <c r="E224" s="2" t="s">
        <v>2147</v>
      </c>
      <c r="F224" s="2">
        <v>31209157</v>
      </c>
      <c r="G224" s="3">
        <v>35.728767123287675</v>
      </c>
      <c r="H224" s="2" t="s">
        <v>622</v>
      </c>
      <c r="I224" s="2" t="s">
        <v>2148</v>
      </c>
      <c r="J224" s="2" t="str">
        <f>+IF(BD[[#This Row],[DEPARTAMENTO_INSS]]="MANAGUA","_01_","_02_")</f>
        <v>_01_</v>
      </c>
      <c r="K224" s="2" t="str">
        <f>+CONCATENATE(BD[[#This Row],[Columna3]],BD[[#This Row],[Columna4]],BD[[#This Row],[NOMBRE COMPLETO]])</f>
        <v>E003_01_FATIMA DEL SOCORRO UBEDA MARTINEZ</v>
      </c>
      <c r="L224" s="2" t="s">
        <v>2149</v>
      </c>
      <c r="M224" s="2" t="s">
        <v>787</v>
      </c>
      <c r="N224" s="2" t="s">
        <v>76</v>
      </c>
      <c r="O224" s="2" t="s">
        <v>44</v>
      </c>
      <c r="P224" s="2" t="s">
        <v>626</v>
      </c>
      <c r="Q224" s="2" t="s">
        <v>351</v>
      </c>
      <c r="R224" s="2">
        <v>31755</v>
      </c>
      <c r="S224" s="2">
        <v>31755</v>
      </c>
      <c r="T224" s="2" t="s">
        <v>627</v>
      </c>
      <c r="U224" s="2" t="s">
        <v>627</v>
      </c>
      <c r="V224" s="2" t="s">
        <v>627</v>
      </c>
      <c r="W224" s="2" t="s">
        <v>627</v>
      </c>
      <c r="X224" s="2" t="s">
        <v>2150</v>
      </c>
      <c r="Y224" s="2" t="s">
        <v>2151</v>
      </c>
      <c r="AA224" s="2">
        <v>22693329</v>
      </c>
      <c r="AB224" s="2" t="s">
        <v>654</v>
      </c>
      <c r="AC224" s="2" t="s">
        <v>632</v>
      </c>
      <c r="AK224" s="2">
        <v>1</v>
      </c>
      <c r="AL224" s="2" t="s">
        <v>633</v>
      </c>
      <c r="AM224" s="2">
        <v>0</v>
      </c>
      <c r="AN224" s="2">
        <v>0</v>
      </c>
      <c r="AO224" s="2">
        <v>1</v>
      </c>
      <c r="AP224" s="2">
        <v>0</v>
      </c>
      <c r="AQ224" s="2">
        <v>0</v>
      </c>
      <c r="AR224" s="2">
        <v>0</v>
      </c>
      <c r="AS224" s="2">
        <v>0</v>
      </c>
      <c r="AT224" s="2">
        <v>0</v>
      </c>
      <c r="BB224" s="2" t="str">
        <f>+PROPER(BD[[#This Row],[PRIMER_APELLIDO]])</f>
        <v>Ubeda</v>
      </c>
    </row>
    <row r="225" spans="1:54" x14ac:dyDescent="0.25">
      <c r="A225" s="2">
        <v>224</v>
      </c>
      <c r="B225" s="2">
        <v>43244</v>
      </c>
      <c r="C225" s="2" t="s">
        <v>619</v>
      </c>
      <c r="D225" s="2" t="s">
        <v>620</v>
      </c>
      <c r="E225" s="2" t="s">
        <v>2152</v>
      </c>
      <c r="F225" s="2">
        <v>24237231</v>
      </c>
      <c r="G225" s="3">
        <v>35.731506849315068</v>
      </c>
      <c r="H225" s="2" t="s">
        <v>622</v>
      </c>
      <c r="I225" s="2" t="s">
        <v>2153</v>
      </c>
      <c r="J225" s="2" t="str">
        <f>+IF(BD[[#This Row],[DEPARTAMENTO_INSS]]="MANAGUA","_01_","_02_")</f>
        <v>_02_</v>
      </c>
      <c r="K225" s="2" t="str">
        <f>+CONCATENATE(BD[[#This Row],[Columna3]],BD[[#This Row],[Columna4]],BD[[#This Row],[NOMBRE COMPLETO]])</f>
        <v>E003_02_CARLOS EDUARDO GONZALEZ GUEVARA</v>
      </c>
      <c r="L225" s="2" t="s">
        <v>826</v>
      </c>
      <c r="M225" s="2" t="s">
        <v>1548</v>
      </c>
      <c r="N225" s="2" t="s">
        <v>14</v>
      </c>
      <c r="O225" s="2" t="s">
        <v>51</v>
      </c>
      <c r="P225" s="2" t="s">
        <v>649</v>
      </c>
      <c r="Q225" s="2" t="s">
        <v>351</v>
      </c>
      <c r="R225" s="2">
        <v>31754</v>
      </c>
      <c r="S225" s="2">
        <v>31754</v>
      </c>
      <c r="T225" s="2" t="s">
        <v>186</v>
      </c>
      <c r="U225" s="2" t="s">
        <v>186</v>
      </c>
      <c r="V225" s="2" t="s">
        <v>186</v>
      </c>
      <c r="W225" s="2" t="s">
        <v>186</v>
      </c>
      <c r="X225" s="2" t="s">
        <v>2154</v>
      </c>
      <c r="Y225" s="2" t="s">
        <v>2155</v>
      </c>
      <c r="Z225" s="2">
        <v>57757223</v>
      </c>
      <c r="AB225" s="2" t="s">
        <v>654</v>
      </c>
      <c r="AC225" s="2" t="s">
        <v>632</v>
      </c>
      <c r="AD225" s="2">
        <v>57757223</v>
      </c>
      <c r="AJ225" s="2">
        <v>57757223</v>
      </c>
      <c r="AK225" s="2">
        <v>1</v>
      </c>
      <c r="AL225" s="2" t="s">
        <v>633</v>
      </c>
      <c r="AM225" s="2">
        <v>0</v>
      </c>
      <c r="AN225" s="2">
        <v>0</v>
      </c>
      <c r="AO225" s="2">
        <v>1</v>
      </c>
      <c r="AP225" s="2">
        <v>0</v>
      </c>
      <c r="AQ225" s="2">
        <v>0</v>
      </c>
      <c r="AR225" s="2">
        <v>0</v>
      </c>
      <c r="AS225" s="2">
        <v>0</v>
      </c>
      <c r="AT225" s="2">
        <v>0</v>
      </c>
      <c r="AZ225" s="2" t="s">
        <v>2156</v>
      </c>
      <c r="BB225" s="2" t="str">
        <f>+PROPER(BD[[#This Row],[PRIMER_APELLIDO]])</f>
        <v>Gonzalez</v>
      </c>
    </row>
    <row r="226" spans="1:54" x14ac:dyDescent="0.25">
      <c r="A226" s="2">
        <v>225</v>
      </c>
      <c r="B226" s="2">
        <v>40164</v>
      </c>
      <c r="C226" s="2" t="s">
        <v>619</v>
      </c>
      <c r="D226" s="2" t="s">
        <v>620</v>
      </c>
      <c r="E226" s="2" t="s">
        <v>2157</v>
      </c>
      <c r="F226" s="2">
        <v>23145427</v>
      </c>
      <c r="G226" s="3">
        <v>35.736986301369861</v>
      </c>
      <c r="H226" s="2" t="s">
        <v>622</v>
      </c>
      <c r="I226" s="2" t="s">
        <v>2158</v>
      </c>
      <c r="J226" s="2" t="str">
        <f>+IF(BD[[#This Row],[DEPARTAMENTO_INSS]]="MANAGUA","_01_","_02_")</f>
        <v>_02_</v>
      </c>
      <c r="K226" s="2" t="str">
        <f>+CONCATENATE(BD[[#This Row],[Columna3]],BD[[#This Row],[Columna4]],BD[[#This Row],[NOMBRE COMPLETO]])</f>
        <v>E003_02_ANA MARIA SILVA PEREZ</v>
      </c>
      <c r="L226" s="2" t="s">
        <v>860</v>
      </c>
      <c r="M226" s="2" t="s">
        <v>724</v>
      </c>
      <c r="N226" s="2" t="s">
        <v>113</v>
      </c>
      <c r="O226" s="2" t="s">
        <v>24</v>
      </c>
      <c r="P226" s="2" t="s">
        <v>626</v>
      </c>
      <c r="Q226" s="2" t="s">
        <v>351</v>
      </c>
      <c r="R226" s="2">
        <v>31752</v>
      </c>
      <c r="S226" s="2">
        <v>31752</v>
      </c>
      <c r="T226" s="2" t="s">
        <v>176</v>
      </c>
      <c r="U226" s="2" t="s">
        <v>176</v>
      </c>
      <c r="V226" s="2" t="s">
        <v>997</v>
      </c>
      <c r="W226" s="2" t="s">
        <v>997</v>
      </c>
      <c r="X226" s="2" t="s">
        <v>2159</v>
      </c>
      <c r="Y226" s="2" t="s">
        <v>2160</v>
      </c>
      <c r="AA226" s="2" t="s">
        <v>2161</v>
      </c>
      <c r="AB226" s="2" t="s">
        <v>642</v>
      </c>
      <c r="AC226" s="2" t="s">
        <v>632</v>
      </c>
      <c r="AE226" s="2">
        <v>88224756</v>
      </c>
      <c r="AJ226" s="2">
        <v>88224756</v>
      </c>
      <c r="AK226" s="2">
        <v>2</v>
      </c>
      <c r="AL226" s="2" t="s">
        <v>633</v>
      </c>
      <c r="AM226" s="2">
        <v>0</v>
      </c>
      <c r="AN226" s="2">
        <v>0</v>
      </c>
      <c r="AO226" s="2">
        <v>1</v>
      </c>
      <c r="AP226" s="2">
        <v>0</v>
      </c>
      <c r="AQ226" s="2">
        <v>0</v>
      </c>
      <c r="AR226" s="2">
        <v>0</v>
      </c>
      <c r="AS226" s="2">
        <v>0</v>
      </c>
      <c r="AT226" s="2">
        <v>0</v>
      </c>
      <c r="BB226" s="2" t="str">
        <f>+PROPER(BD[[#This Row],[PRIMER_APELLIDO]])</f>
        <v>Silva</v>
      </c>
    </row>
    <row r="227" spans="1:54" x14ac:dyDescent="0.25">
      <c r="A227" s="2">
        <v>226</v>
      </c>
      <c r="B227" s="2">
        <v>39927</v>
      </c>
      <c r="C227" s="2" t="s">
        <v>619</v>
      </c>
      <c r="D227" s="2" t="s">
        <v>620</v>
      </c>
      <c r="E227" s="2" t="s">
        <v>2162</v>
      </c>
      <c r="F227" s="2">
        <v>23147746</v>
      </c>
      <c r="G227" s="3">
        <v>35.739726027397261</v>
      </c>
      <c r="H227" s="2" t="s">
        <v>622</v>
      </c>
      <c r="I227" s="2" t="s">
        <v>2163</v>
      </c>
      <c r="J227" s="2" t="str">
        <f>+IF(BD[[#This Row],[DEPARTAMENTO_INSS]]="MANAGUA","_01_","_02_")</f>
        <v>_02_</v>
      </c>
      <c r="K227" s="2" t="str">
        <f>+CONCATENATE(BD[[#This Row],[Columna3]],BD[[#This Row],[Columna4]],BD[[#This Row],[NOMBRE COMPLETO]])</f>
        <v>E003_02_KAREN ADILIA ZAMBRANA SAMPSON</v>
      </c>
      <c r="L227" s="2" t="s">
        <v>1162</v>
      </c>
      <c r="M227" s="2" t="s">
        <v>2164</v>
      </c>
      <c r="N227" s="2" t="s">
        <v>310</v>
      </c>
      <c r="O227" s="2" t="s">
        <v>523</v>
      </c>
      <c r="P227" s="2" t="s">
        <v>626</v>
      </c>
      <c r="Q227" s="2" t="s">
        <v>351</v>
      </c>
      <c r="R227" s="2">
        <v>31751</v>
      </c>
      <c r="S227" s="2">
        <v>31751</v>
      </c>
      <c r="T227" s="2" t="s">
        <v>176</v>
      </c>
      <c r="U227" s="2" t="s">
        <v>176</v>
      </c>
      <c r="V227" s="2" t="s">
        <v>650</v>
      </c>
      <c r="W227" s="2" t="s">
        <v>176</v>
      </c>
      <c r="X227" s="2" t="s">
        <v>2165</v>
      </c>
      <c r="Y227" s="2" t="s">
        <v>2166</v>
      </c>
      <c r="AA227" s="2">
        <v>84502206</v>
      </c>
      <c r="AB227" s="2" t="s">
        <v>654</v>
      </c>
      <c r="AC227" s="2" t="s">
        <v>632</v>
      </c>
      <c r="AD227" s="2">
        <v>84502206</v>
      </c>
      <c r="AJ227" s="2">
        <v>84502206</v>
      </c>
      <c r="AK227" s="2">
        <v>1</v>
      </c>
      <c r="AL227" s="2" t="s">
        <v>633</v>
      </c>
      <c r="AM227" s="2">
        <v>0</v>
      </c>
      <c r="AN227" s="2">
        <v>0</v>
      </c>
      <c r="AO227" s="2">
        <v>1</v>
      </c>
      <c r="AP227" s="2">
        <v>0</v>
      </c>
      <c r="AQ227" s="2">
        <v>0</v>
      </c>
      <c r="AR227" s="2">
        <v>0</v>
      </c>
      <c r="AS227" s="2">
        <v>0</v>
      </c>
      <c r="AT227" s="2">
        <v>0</v>
      </c>
      <c r="BB227" s="2" t="str">
        <f>+PROPER(BD[[#This Row],[PRIMER_APELLIDO]])</f>
        <v>Zambrana</v>
      </c>
    </row>
    <row r="228" spans="1:54" x14ac:dyDescent="0.25">
      <c r="A228" s="2">
        <v>227</v>
      </c>
      <c r="B228" s="2">
        <v>57687</v>
      </c>
      <c r="C228" s="2" t="s">
        <v>619</v>
      </c>
      <c r="D228" s="2" t="s">
        <v>620</v>
      </c>
      <c r="E228" s="2" t="s">
        <v>2167</v>
      </c>
      <c r="G228" s="3">
        <v>35.739726027397261</v>
      </c>
      <c r="H228" s="2" t="s">
        <v>622</v>
      </c>
      <c r="I228" s="2" t="s">
        <v>2168</v>
      </c>
      <c r="J228" s="2" t="str">
        <f>+IF(BD[[#This Row],[DEPARTAMENTO_INSS]]="MANAGUA","_01_","_02_")</f>
        <v>_02_</v>
      </c>
      <c r="K228" s="2" t="str">
        <f>+CONCATENATE(BD[[#This Row],[Columna3]],BD[[#This Row],[Columna4]],BD[[#This Row],[NOMBRE COMPLETO]])</f>
        <v>E003_02_WALMAR EFREN LAGUNA FLORES</v>
      </c>
      <c r="L228" s="2" t="s">
        <v>2169</v>
      </c>
      <c r="M228" s="2" t="s">
        <v>2170</v>
      </c>
      <c r="N228" s="2" t="s">
        <v>320</v>
      </c>
      <c r="O228" s="2" t="s">
        <v>58</v>
      </c>
      <c r="P228" s="2" t="s">
        <v>649</v>
      </c>
      <c r="Q228" s="2" t="s">
        <v>351</v>
      </c>
      <c r="R228" s="2">
        <v>31751</v>
      </c>
      <c r="T228" s="2" t="s">
        <v>691</v>
      </c>
      <c r="V228" s="2" t="s">
        <v>716</v>
      </c>
      <c r="X228" s="2" t="s">
        <v>2171</v>
      </c>
      <c r="Z228" s="2">
        <v>84966643</v>
      </c>
      <c r="AB228" s="2" t="s">
        <v>798</v>
      </c>
      <c r="AC228" s="2" t="s">
        <v>632</v>
      </c>
      <c r="AD228" s="2">
        <v>84966643</v>
      </c>
      <c r="AJ228" s="2">
        <v>84966643</v>
      </c>
      <c r="AK228" s="2">
        <v>1</v>
      </c>
      <c r="AL228" s="2" t="s">
        <v>633</v>
      </c>
      <c r="AM228" s="2">
        <v>0</v>
      </c>
      <c r="AN228" s="2">
        <v>0</v>
      </c>
      <c r="AO228" s="2">
        <v>1</v>
      </c>
      <c r="AP228" s="2">
        <v>0</v>
      </c>
      <c r="AQ228" s="2">
        <v>0</v>
      </c>
      <c r="AR228" s="2">
        <v>0</v>
      </c>
      <c r="AS228" s="2">
        <v>0</v>
      </c>
      <c r="AT228" s="2">
        <v>0</v>
      </c>
      <c r="AZ228" s="2" t="s">
        <v>2172</v>
      </c>
      <c r="BB228" s="2" t="str">
        <f>+PROPER(BD[[#This Row],[PRIMER_APELLIDO]])</f>
        <v>Laguna</v>
      </c>
    </row>
    <row r="229" spans="1:54" x14ac:dyDescent="0.25">
      <c r="A229" s="2">
        <v>228</v>
      </c>
      <c r="B229" s="2">
        <v>46766</v>
      </c>
      <c r="C229" s="2" t="s">
        <v>619</v>
      </c>
      <c r="D229" s="2" t="s">
        <v>620</v>
      </c>
      <c r="E229" s="2" t="s">
        <v>2173</v>
      </c>
      <c r="F229" s="2">
        <v>25026669</v>
      </c>
      <c r="G229" s="3">
        <v>35.742465753424661</v>
      </c>
      <c r="H229" s="2" t="s">
        <v>622</v>
      </c>
      <c r="I229" s="2" t="s">
        <v>2174</v>
      </c>
      <c r="J229" s="2" t="str">
        <f>+IF(BD[[#This Row],[DEPARTAMENTO_INSS]]="MANAGUA","_01_","_02_")</f>
        <v>_02_</v>
      </c>
      <c r="K229" s="2" t="str">
        <f>+CONCATENATE(BD[[#This Row],[Columna3]],BD[[#This Row],[Columna4]],BD[[#This Row],[NOMBRE COMPLETO]])</f>
        <v>E003_02_DANIEL ALEXANDER MEJIA AGUINAGA</v>
      </c>
      <c r="L229" s="2" t="s">
        <v>2175</v>
      </c>
      <c r="M229" s="2" t="s">
        <v>2176</v>
      </c>
      <c r="N229" s="2" t="s">
        <v>130</v>
      </c>
      <c r="O229" s="2" t="s">
        <v>386</v>
      </c>
      <c r="P229" s="2" t="s">
        <v>649</v>
      </c>
      <c r="Q229" s="2" t="s">
        <v>351</v>
      </c>
      <c r="R229" s="2">
        <v>31750</v>
      </c>
      <c r="S229" s="2">
        <v>31750</v>
      </c>
      <c r="T229" s="2" t="s">
        <v>780</v>
      </c>
      <c r="U229" s="2" t="s">
        <v>780</v>
      </c>
      <c r="V229" s="2" t="s">
        <v>1143</v>
      </c>
      <c r="W229" s="2" t="s">
        <v>1143</v>
      </c>
      <c r="X229" s="2" t="s">
        <v>2177</v>
      </c>
      <c r="Y229" s="2" t="s">
        <v>2178</v>
      </c>
      <c r="AA229" s="2">
        <v>86128951</v>
      </c>
      <c r="AB229" s="2" t="s">
        <v>798</v>
      </c>
      <c r="AC229" s="2" t="s">
        <v>632</v>
      </c>
      <c r="AD229" s="2">
        <v>86128951</v>
      </c>
      <c r="AJ229" s="2">
        <v>86128951</v>
      </c>
      <c r="AK229" s="2">
        <v>1</v>
      </c>
      <c r="AL229" s="2" t="s">
        <v>633</v>
      </c>
      <c r="AM229" s="2">
        <v>0</v>
      </c>
      <c r="AN229" s="2">
        <v>0</v>
      </c>
      <c r="AO229" s="2">
        <v>1</v>
      </c>
      <c r="AP229" s="2">
        <v>0</v>
      </c>
      <c r="AQ229" s="2">
        <v>0</v>
      </c>
      <c r="AR229" s="2">
        <v>0</v>
      </c>
      <c r="AS229" s="2">
        <v>0</v>
      </c>
      <c r="AT229" s="2">
        <v>0</v>
      </c>
      <c r="BB229" s="2" t="str">
        <f>+PROPER(BD[[#This Row],[PRIMER_APELLIDO]])</f>
        <v>Mejia</v>
      </c>
    </row>
    <row r="230" spans="1:54" x14ac:dyDescent="0.25">
      <c r="A230" s="2">
        <v>229</v>
      </c>
      <c r="B230" s="2">
        <v>47508</v>
      </c>
      <c r="C230" s="2" t="s">
        <v>619</v>
      </c>
      <c r="D230" s="2" t="s">
        <v>620</v>
      </c>
      <c r="E230" s="2" t="s">
        <v>2179</v>
      </c>
      <c r="F230" s="2">
        <v>25024063</v>
      </c>
      <c r="G230" s="3">
        <v>35.745205479452054</v>
      </c>
      <c r="H230" s="2" t="s">
        <v>622</v>
      </c>
      <c r="I230" s="2" t="s">
        <v>2180</v>
      </c>
      <c r="J230" s="2" t="str">
        <f>+IF(BD[[#This Row],[DEPARTAMENTO_INSS]]="MANAGUA","_01_","_02_")</f>
        <v>_01_</v>
      </c>
      <c r="K230" s="2" t="str">
        <f>+CONCATENATE(BD[[#This Row],[Columna3]],BD[[#This Row],[Columna4]],BD[[#This Row],[NOMBRE COMPLETO]])</f>
        <v>E003_01_ANIA MIREYA MIRANDA MORENO</v>
      </c>
      <c r="L230" s="2" t="s">
        <v>2181</v>
      </c>
      <c r="M230" s="2" t="s">
        <v>2182</v>
      </c>
      <c r="N230" s="2" t="s">
        <v>56</v>
      </c>
      <c r="O230" s="2" t="s">
        <v>430</v>
      </c>
      <c r="P230" s="2" t="s">
        <v>626</v>
      </c>
      <c r="Q230" s="2" t="s">
        <v>351</v>
      </c>
      <c r="R230" s="2">
        <v>31749</v>
      </c>
      <c r="S230" s="2">
        <v>31749</v>
      </c>
      <c r="T230" s="2" t="s">
        <v>627</v>
      </c>
      <c r="U230" s="2" t="s">
        <v>627</v>
      </c>
      <c r="V230" s="2" t="s">
        <v>627</v>
      </c>
      <c r="W230" s="2" t="s">
        <v>627</v>
      </c>
      <c r="X230" s="2" t="s">
        <v>2183</v>
      </c>
      <c r="Y230" s="2" t="s">
        <v>2184</v>
      </c>
      <c r="Z230" s="2">
        <v>77618198</v>
      </c>
      <c r="AA230" s="2" t="s">
        <v>2185</v>
      </c>
      <c r="AB230" s="2" t="s">
        <v>631</v>
      </c>
      <c r="AC230" s="2" t="s">
        <v>632</v>
      </c>
      <c r="AD230" s="2">
        <v>77618198</v>
      </c>
      <c r="AE230" s="2">
        <v>87156712</v>
      </c>
      <c r="AJ230" s="2">
        <v>77618198</v>
      </c>
      <c r="AK230" s="2">
        <v>3</v>
      </c>
      <c r="AL230" s="2" t="s">
        <v>633</v>
      </c>
      <c r="AM230" s="2">
        <v>0</v>
      </c>
      <c r="AN230" s="2">
        <v>0</v>
      </c>
      <c r="AO230" s="2">
        <v>1</v>
      </c>
      <c r="AP230" s="2">
        <v>0</v>
      </c>
      <c r="AQ230" s="2">
        <v>0</v>
      </c>
      <c r="AR230" s="2">
        <v>0</v>
      </c>
      <c r="AS230" s="2">
        <v>0</v>
      </c>
      <c r="AT230" s="2">
        <v>0</v>
      </c>
      <c r="AZ230" s="2" t="s">
        <v>2186</v>
      </c>
      <c r="BB230" s="2" t="str">
        <f>+PROPER(BD[[#This Row],[PRIMER_APELLIDO]])</f>
        <v>Miranda</v>
      </c>
    </row>
    <row r="231" spans="1:54" x14ac:dyDescent="0.25">
      <c r="A231" s="2">
        <v>230</v>
      </c>
      <c r="B231" s="2">
        <v>56852</v>
      </c>
      <c r="C231" s="2" t="s">
        <v>619</v>
      </c>
      <c r="D231" s="2" t="s">
        <v>620</v>
      </c>
      <c r="E231" s="2" t="s">
        <v>2187</v>
      </c>
      <c r="G231" s="3">
        <v>35.745205479452054</v>
      </c>
      <c r="H231" s="2" t="s">
        <v>622</v>
      </c>
      <c r="I231" s="2" t="s">
        <v>2188</v>
      </c>
      <c r="J231" s="2" t="str">
        <f>+IF(BD[[#This Row],[DEPARTAMENTO_INSS]]="MANAGUA","_01_","_02_")</f>
        <v>_02_</v>
      </c>
      <c r="K231" s="2" t="str">
        <f>+CONCATENATE(BD[[#This Row],[Columna3]],BD[[#This Row],[Columna4]],BD[[#This Row],[NOMBRE COMPLETO]])</f>
        <v>E003_02_JOSE LUIS AGUILAR ANGULO</v>
      </c>
      <c r="L231" s="2" t="s">
        <v>243</v>
      </c>
      <c r="M231" s="2" t="s">
        <v>738</v>
      </c>
      <c r="N231" s="2" t="s">
        <v>141</v>
      </c>
      <c r="O231" s="2" t="s">
        <v>2189</v>
      </c>
      <c r="P231" s="2" t="s">
        <v>649</v>
      </c>
      <c r="Q231" s="2" t="s">
        <v>351</v>
      </c>
      <c r="R231" s="2">
        <v>31749</v>
      </c>
      <c r="S231" s="2">
        <v>31749</v>
      </c>
      <c r="T231" s="2" t="s">
        <v>780</v>
      </c>
      <c r="U231" s="2" t="s">
        <v>780</v>
      </c>
      <c r="V231" s="2" t="s">
        <v>1143</v>
      </c>
      <c r="W231" s="2" t="s">
        <v>1143</v>
      </c>
      <c r="X231" s="2" t="s">
        <v>2190</v>
      </c>
      <c r="Y231" s="2" t="s">
        <v>2191</v>
      </c>
      <c r="Z231" s="2">
        <v>86308956</v>
      </c>
      <c r="AA231" s="2">
        <v>86308956</v>
      </c>
      <c r="AB231" s="2" t="s">
        <v>798</v>
      </c>
      <c r="AC231" s="2" t="s">
        <v>632</v>
      </c>
      <c r="AD231" s="2">
        <v>86308956</v>
      </c>
      <c r="AJ231" s="2">
        <v>86308956</v>
      </c>
      <c r="AK231" s="2">
        <v>2</v>
      </c>
      <c r="AL231" s="2" t="s">
        <v>633</v>
      </c>
      <c r="AM231" s="2">
        <v>0</v>
      </c>
      <c r="AN231" s="2">
        <v>0</v>
      </c>
      <c r="AO231" s="2">
        <v>1</v>
      </c>
      <c r="AP231" s="2">
        <v>0</v>
      </c>
      <c r="AQ231" s="2">
        <v>0</v>
      </c>
      <c r="AR231" s="2">
        <v>0</v>
      </c>
      <c r="AS231" s="2">
        <v>0</v>
      </c>
      <c r="AT231" s="2">
        <v>0</v>
      </c>
      <c r="AZ231" s="2" t="s">
        <v>2192</v>
      </c>
      <c r="BB231" s="2" t="str">
        <f>+PROPER(BD[[#This Row],[PRIMER_APELLIDO]])</f>
        <v>Aguilar</v>
      </c>
    </row>
    <row r="232" spans="1:54" x14ac:dyDescent="0.25">
      <c r="A232" s="2">
        <v>231</v>
      </c>
      <c r="B232" s="2">
        <v>48011</v>
      </c>
      <c r="C232" s="2" t="s">
        <v>619</v>
      </c>
      <c r="D232" s="2" t="s">
        <v>620</v>
      </c>
      <c r="E232" s="2" t="s">
        <v>2193</v>
      </c>
      <c r="F232" s="2">
        <v>26962012</v>
      </c>
      <c r="G232" s="3">
        <v>35.747945205479454</v>
      </c>
      <c r="H232" s="2" t="s">
        <v>622</v>
      </c>
      <c r="I232" s="2" t="s">
        <v>2194</v>
      </c>
      <c r="J232" s="2" t="str">
        <f>+IF(BD[[#This Row],[DEPARTAMENTO_INSS]]="MANAGUA","_01_","_02_")</f>
        <v>_01_</v>
      </c>
      <c r="K232" s="2" t="str">
        <f>+CONCATENATE(BD[[#This Row],[Columna3]],BD[[#This Row],[Columna4]],BD[[#This Row],[NOMBRE COMPLETO]])</f>
        <v>E003_01_HECTOR OSVALDO ESTAY SERRANO</v>
      </c>
      <c r="L232" s="2" t="s">
        <v>2195</v>
      </c>
      <c r="M232" s="2" t="s">
        <v>2196</v>
      </c>
      <c r="N232" s="2" t="s">
        <v>62</v>
      </c>
      <c r="O232" s="2" t="s">
        <v>221</v>
      </c>
      <c r="P232" s="2" t="s">
        <v>649</v>
      </c>
      <c r="Q232" s="2" t="s">
        <v>351</v>
      </c>
      <c r="R232" s="2">
        <v>31748</v>
      </c>
      <c r="S232" s="2">
        <v>31748</v>
      </c>
      <c r="U232" s="2" t="s">
        <v>627</v>
      </c>
      <c r="W232" s="2" t="s">
        <v>627</v>
      </c>
      <c r="X232" s="2" t="s">
        <v>2197</v>
      </c>
      <c r="Y232" s="2" t="s">
        <v>2198</v>
      </c>
      <c r="AA232" s="2" t="s">
        <v>2199</v>
      </c>
      <c r="AB232" s="2" t="s">
        <v>798</v>
      </c>
      <c r="AC232" s="2" t="s">
        <v>632</v>
      </c>
      <c r="AE232" s="2">
        <v>85845661</v>
      </c>
      <c r="AJ232" s="2">
        <v>85845661</v>
      </c>
      <c r="AK232" s="2">
        <v>2</v>
      </c>
      <c r="AL232" s="2" t="s">
        <v>633</v>
      </c>
      <c r="AM232" s="2">
        <v>0</v>
      </c>
      <c r="AN232" s="2">
        <v>0</v>
      </c>
      <c r="AO232" s="2">
        <v>1</v>
      </c>
      <c r="AP232" s="2">
        <v>0</v>
      </c>
      <c r="AQ232" s="2">
        <v>0</v>
      </c>
      <c r="AR232" s="2">
        <v>0</v>
      </c>
      <c r="AS232" s="2">
        <v>0</v>
      </c>
      <c r="AT232" s="2">
        <v>0</v>
      </c>
      <c r="BB232" s="2" t="str">
        <f>+PROPER(BD[[#This Row],[PRIMER_APELLIDO]])</f>
        <v>Estay</v>
      </c>
    </row>
    <row r="233" spans="1:54" x14ac:dyDescent="0.25">
      <c r="A233" s="2">
        <v>232</v>
      </c>
      <c r="B233" s="2">
        <v>55666</v>
      </c>
      <c r="C233" s="2" t="s">
        <v>619</v>
      </c>
      <c r="D233" s="2" t="s">
        <v>620</v>
      </c>
      <c r="E233" s="2" t="s">
        <v>2200</v>
      </c>
      <c r="G233" s="3">
        <v>35.750684931506846</v>
      </c>
      <c r="H233" s="2" t="s">
        <v>622</v>
      </c>
      <c r="I233" s="2" t="s">
        <v>2201</v>
      </c>
      <c r="J233" s="2" t="str">
        <f>+IF(BD[[#This Row],[DEPARTAMENTO_INSS]]="MANAGUA","_01_","_02_")</f>
        <v>_02_</v>
      </c>
      <c r="K233" s="2" t="str">
        <f>+CONCATENATE(BD[[#This Row],[Columna3]],BD[[#This Row],[Columna4]],BD[[#This Row],[NOMBRE COMPLETO]])</f>
        <v>E003_02_RONNIEL ELIGIO MELENDEZ MAIRENA</v>
      </c>
      <c r="L233" s="2" t="s">
        <v>2202</v>
      </c>
      <c r="M233" s="2" t="s">
        <v>2203</v>
      </c>
      <c r="N233" s="2" t="s">
        <v>228</v>
      </c>
      <c r="O233" s="2" t="s">
        <v>427</v>
      </c>
      <c r="P233" s="2" t="s">
        <v>649</v>
      </c>
      <c r="Q233" s="2" t="s">
        <v>351</v>
      </c>
      <c r="R233" s="2">
        <v>31747</v>
      </c>
      <c r="S233" s="2">
        <v>31747</v>
      </c>
      <c r="T233" s="2" t="s">
        <v>705</v>
      </c>
      <c r="U233" s="2" t="s">
        <v>705</v>
      </c>
      <c r="V233" s="2" t="s">
        <v>1859</v>
      </c>
      <c r="W233" s="2" t="s">
        <v>1860</v>
      </c>
      <c r="X233" s="2" t="s">
        <v>2204</v>
      </c>
      <c r="Y233" s="2" t="s">
        <v>2205</v>
      </c>
      <c r="Z233" s="2">
        <v>77842863</v>
      </c>
      <c r="AA233" s="2">
        <v>89607351</v>
      </c>
      <c r="AB233" s="2" t="s">
        <v>758</v>
      </c>
      <c r="AC233" s="2" t="s">
        <v>632</v>
      </c>
      <c r="AD233" s="2">
        <v>77842863</v>
      </c>
      <c r="AF233" s="2">
        <v>89607351</v>
      </c>
      <c r="AJ233" s="2">
        <v>77842863</v>
      </c>
      <c r="AK233" s="2">
        <v>2</v>
      </c>
      <c r="AL233" s="2" t="s">
        <v>633</v>
      </c>
      <c r="AM233" s="2">
        <v>0</v>
      </c>
      <c r="AN233" s="2">
        <v>0</v>
      </c>
      <c r="AO233" s="2">
        <v>1</v>
      </c>
      <c r="AP233" s="2">
        <v>0</v>
      </c>
      <c r="AQ233" s="2">
        <v>0</v>
      </c>
      <c r="AR233" s="2">
        <v>0</v>
      </c>
      <c r="AS233" s="2">
        <v>0</v>
      </c>
      <c r="AT233" s="2">
        <v>0</v>
      </c>
      <c r="AZ233" s="2" t="s">
        <v>2206</v>
      </c>
      <c r="BB233" s="2" t="str">
        <f>+PROPER(BD[[#This Row],[PRIMER_APELLIDO]])</f>
        <v>Melendez</v>
      </c>
    </row>
    <row r="234" spans="1:54" x14ac:dyDescent="0.25">
      <c r="A234" s="2">
        <v>233</v>
      </c>
      <c r="B234" s="2">
        <v>39099</v>
      </c>
      <c r="C234" s="2" t="s">
        <v>619</v>
      </c>
      <c r="D234" s="2" t="s">
        <v>620</v>
      </c>
      <c r="E234" s="2" t="s">
        <v>2207</v>
      </c>
      <c r="F234" s="2">
        <v>22139016</v>
      </c>
      <c r="G234" s="3">
        <v>35.756164383561647</v>
      </c>
      <c r="H234" s="2" t="s">
        <v>622</v>
      </c>
      <c r="I234" s="2" t="s">
        <v>2208</v>
      </c>
      <c r="J234" s="2" t="str">
        <f>+IF(BD[[#This Row],[DEPARTAMENTO_INSS]]="MANAGUA","_01_","_02_")</f>
        <v>_01_</v>
      </c>
      <c r="K234" s="2" t="str">
        <f>+CONCATENATE(BD[[#This Row],[Columna3]],BD[[#This Row],[Columna4]],BD[[#This Row],[NOMBRE COMPLETO]])</f>
        <v>E003_01_YANIRA JULIETH QUEZADA GONZALEZ</v>
      </c>
      <c r="L234" s="2" t="s">
        <v>2209</v>
      </c>
      <c r="M234" s="2" t="s">
        <v>2210</v>
      </c>
      <c r="N234" s="2" t="s">
        <v>297</v>
      </c>
      <c r="O234" s="2" t="s">
        <v>14</v>
      </c>
      <c r="P234" s="2" t="s">
        <v>626</v>
      </c>
      <c r="Q234" s="2" t="s">
        <v>351</v>
      </c>
      <c r="R234" s="2">
        <v>31745</v>
      </c>
      <c r="S234" s="2">
        <v>31745</v>
      </c>
      <c r="T234" s="2" t="s">
        <v>627</v>
      </c>
      <c r="U234" s="2" t="s">
        <v>627</v>
      </c>
      <c r="V234" s="2" t="s">
        <v>627</v>
      </c>
      <c r="W234" s="2" t="s">
        <v>627</v>
      </c>
      <c r="X234" s="2" t="s">
        <v>2211</v>
      </c>
      <c r="Y234" s="2" t="s">
        <v>2212</v>
      </c>
      <c r="Z234" s="2">
        <v>87777756</v>
      </c>
      <c r="AB234" s="2" t="s">
        <v>642</v>
      </c>
      <c r="AC234" s="2" t="s">
        <v>632</v>
      </c>
      <c r="AD234" s="2">
        <v>87777756</v>
      </c>
      <c r="AJ234" s="2">
        <v>87777756</v>
      </c>
      <c r="AK234" s="2">
        <v>1</v>
      </c>
      <c r="AL234" s="2" t="s">
        <v>633</v>
      </c>
      <c r="AM234" s="2">
        <v>0</v>
      </c>
      <c r="AN234" s="2">
        <v>0</v>
      </c>
      <c r="AO234" s="2">
        <v>1</v>
      </c>
      <c r="AP234" s="2">
        <v>0</v>
      </c>
      <c r="AQ234" s="2">
        <v>0</v>
      </c>
      <c r="AR234" s="2">
        <v>0</v>
      </c>
      <c r="AS234" s="2">
        <v>0</v>
      </c>
      <c r="AT234" s="2">
        <v>0</v>
      </c>
      <c r="AZ234" s="2" t="s">
        <v>2213</v>
      </c>
      <c r="BB234" s="2" t="str">
        <f>+PROPER(BD[[#This Row],[PRIMER_APELLIDO]])</f>
        <v>Quezada</v>
      </c>
    </row>
    <row r="235" spans="1:54" x14ac:dyDescent="0.25">
      <c r="A235" s="2">
        <v>234</v>
      </c>
      <c r="B235" s="2">
        <v>64830</v>
      </c>
      <c r="C235" s="2" t="s">
        <v>619</v>
      </c>
      <c r="D235" s="2" t="s">
        <v>620</v>
      </c>
      <c r="E235" s="2" t="s">
        <v>2214</v>
      </c>
      <c r="G235" s="3">
        <v>35.758904109589039</v>
      </c>
      <c r="H235" s="2" t="s">
        <v>622</v>
      </c>
      <c r="I235" s="2" t="s">
        <v>2215</v>
      </c>
      <c r="J235" s="2" t="str">
        <f>+IF(BD[[#This Row],[DEPARTAMENTO_INSS]]="MANAGUA","_01_","_02_")</f>
        <v>_02_</v>
      </c>
      <c r="K235" s="2" t="str">
        <f>+CONCATENATE(BD[[#This Row],[Columna3]],BD[[#This Row],[Columna4]],BD[[#This Row],[NOMBRE COMPLETO]])</f>
        <v>E003_02_EDWING REYES SANCHEZ</v>
      </c>
      <c r="L235" s="2" t="s">
        <v>2216</v>
      </c>
      <c r="N235" s="2" t="s">
        <v>74</v>
      </c>
      <c r="O235" s="2" t="s">
        <v>90</v>
      </c>
      <c r="P235" s="2" t="s">
        <v>649</v>
      </c>
      <c r="Q235" s="2" t="s">
        <v>351</v>
      </c>
      <c r="R235" s="2">
        <v>31744</v>
      </c>
      <c r="S235" s="2">
        <v>31744</v>
      </c>
      <c r="T235" s="2" t="s">
        <v>1191</v>
      </c>
      <c r="U235" s="2" t="s">
        <v>1191</v>
      </c>
      <c r="V235" s="2" t="s">
        <v>1300</v>
      </c>
      <c r="W235" s="2" t="s">
        <v>1300</v>
      </c>
      <c r="X235" s="2" t="s">
        <v>2217</v>
      </c>
      <c r="Y235" s="2" t="s">
        <v>2218</v>
      </c>
      <c r="Z235" s="2">
        <v>57124791</v>
      </c>
      <c r="AA235" s="2">
        <v>57124791</v>
      </c>
      <c r="AB235" s="2" t="s">
        <v>798</v>
      </c>
      <c r="AC235" s="2" t="s">
        <v>632</v>
      </c>
      <c r="AD235" s="2">
        <v>57124791</v>
      </c>
      <c r="AJ235" s="2">
        <v>57124791</v>
      </c>
      <c r="AK235" s="2">
        <v>2</v>
      </c>
      <c r="AL235" s="2" t="s">
        <v>633</v>
      </c>
      <c r="AM235" s="2">
        <v>0</v>
      </c>
      <c r="AN235" s="2">
        <v>0</v>
      </c>
      <c r="AO235" s="2">
        <v>1</v>
      </c>
      <c r="AP235" s="2">
        <v>0</v>
      </c>
      <c r="AQ235" s="2">
        <v>0</v>
      </c>
      <c r="AR235" s="2">
        <v>0</v>
      </c>
      <c r="AS235" s="2">
        <v>0</v>
      </c>
      <c r="AT235" s="2">
        <v>0</v>
      </c>
      <c r="AZ235" s="2" t="s">
        <v>2219</v>
      </c>
      <c r="BB235" s="2" t="str">
        <f>+PROPER(BD[[#This Row],[PRIMER_APELLIDO]])</f>
        <v>Reyes</v>
      </c>
    </row>
    <row r="236" spans="1:54" x14ac:dyDescent="0.25">
      <c r="A236" s="2">
        <v>235</v>
      </c>
      <c r="B236" s="2">
        <v>45372</v>
      </c>
      <c r="C236" s="2" t="s">
        <v>619</v>
      </c>
      <c r="D236" s="2" t="s">
        <v>620</v>
      </c>
      <c r="E236" s="2" t="s">
        <v>2220</v>
      </c>
      <c r="F236" s="2">
        <v>24233956</v>
      </c>
      <c r="G236" s="3">
        <v>35.761643835616439</v>
      </c>
      <c r="H236" s="2" t="s">
        <v>622</v>
      </c>
      <c r="I236" s="2" t="s">
        <v>2221</v>
      </c>
      <c r="J236" s="2" t="str">
        <f>+IF(BD[[#This Row],[DEPARTAMENTO_INSS]]="MANAGUA","_01_","_02_")</f>
        <v>_02_</v>
      </c>
      <c r="K236" s="2" t="str">
        <f>+CONCATENATE(BD[[#This Row],[Columna3]],BD[[#This Row],[Columna4]],BD[[#This Row],[NOMBRE COMPLETO]])</f>
        <v>E003_02_INDIRA VALERIA MAYORGA COCA</v>
      </c>
      <c r="L236" s="2" t="s">
        <v>1091</v>
      </c>
      <c r="M236" s="2" t="s">
        <v>2142</v>
      </c>
      <c r="N236" s="2" t="s">
        <v>53</v>
      </c>
      <c r="O236" s="2" t="s">
        <v>2222</v>
      </c>
      <c r="P236" s="2" t="s">
        <v>626</v>
      </c>
      <c r="Q236" s="2" t="s">
        <v>351</v>
      </c>
      <c r="R236" s="2">
        <v>31743</v>
      </c>
      <c r="S236" s="2">
        <v>31743</v>
      </c>
      <c r="T236" s="2" t="s">
        <v>133</v>
      </c>
      <c r="U236" s="2" t="s">
        <v>133</v>
      </c>
      <c r="V236" s="2" t="s">
        <v>841</v>
      </c>
      <c r="W236" s="2" t="s">
        <v>841</v>
      </c>
      <c r="Y236" s="2" t="s">
        <v>2223</v>
      </c>
      <c r="AA236" s="2">
        <v>88245377</v>
      </c>
      <c r="AB236" s="2" t="s">
        <v>654</v>
      </c>
      <c r="AC236" s="2" t="s">
        <v>632</v>
      </c>
      <c r="AD236" s="2">
        <v>88245377</v>
      </c>
      <c r="AJ236" s="2">
        <v>88245377</v>
      </c>
      <c r="AK236" s="2">
        <v>1</v>
      </c>
      <c r="AL236" s="2" t="s">
        <v>633</v>
      </c>
      <c r="AM236" s="2">
        <v>0</v>
      </c>
      <c r="AN236" s="2">
        <v>0</v>
      </c>
      <c r="AO236" s="2">
        <v>1</v>
      </c>
      <c r="AP236" s="2">
        <v>0</v>
      </c>
      <c r="AQ236" s="2">
        <v>0</v>
      </c>
      <c r="AR236" s="2">
        <v>0</v>
      </c>
      <c r="AS236" s="2">
        <v>0</v>
      </c>
      <c r="AT236" s="2">
        <v>0</v>
      </c>
      <c r="BB236" s="2" t="str">
        <f>+PROPER(BD[[#This Row],[PRIMER_APELLIDO]])</f>
        <v>Mayorga</v>
      </c>
    </row>
    <row r="237" spans="1:54" x14ac:dyDescent="0.25">
      <c r="A237" s="2">
        <v>236</v>
      </c>
      <c r="B237" s="2">
        <v>60805</v>
      </c>
      <c r="C237" s="2" t="s">
        <v>619</v>
      </c>
      <c r="D237" s="2" t="s">
        <v>620</v>
      </c>
      <c r="E237" s="2" t="s">
        <v>2224</v>
      </c>
      <c r="G237" s="3">
        <v>35.761643835616439</v>
      </c>
      <c r="H237" s="2" t="s">
        <v>622</v>
      </c>
      <c r="I237" s="2" t="s">
        <v>2225</v>
      </c>
      <c r="J237" s="2" t="str">
        <f>+IF(BD[[#This Row],[DEPARTAMENTO_INSS]]="MANAGUA","_01_","_02_")</f>
        <v>_01_</v>
      </c>
      <c r="K237" s="2" t="str">
        <f>+CONCATENATE(BD[[#This Row],[Columna3]],BD[[#This Row],[Columna4]],BD[[#This Row],[NOMBRE COMPLETO]])</f>
        <v>E003_01_BRAYSIS ALEYMA ROSELL RODRIGUIEZ</v>
      </c>
      <c r="L237" s="2" t="s">
        <v>2226</v>
      </c>
      <c r="M237" s="2" t="s">
        <v>2227</v>
      </c>
      <c r="N237" s="2" t="s">
        <v>245</v>
      </c>
      <c r="O237" s="2" t="s">
        <v>2228</v>
      </c>
      <c r="P237" s="2" t="s">
        <v>626</v>
      </c>
      <c r="Q237" s="2" t="s">
        <v>351</v>
      </c>
      <c r="R237" s="2">
        <v>31743</v>
      </c>
      <c r="S237" s="2">
        <v>31743</v>
      </c>
      <c r="T237" s="2" t="s">
        <v>627</v>
      </c>
      <c r="U237" s="2" t="s">
        <v>627</v>
      </c>
      <c r="V237" s="2" t="s">
        <v>627</v>
      </c>
      <c r="W237" s="2" t="s">
        <v>627</v>
      </c>
      <c r="X237" s="2" t="s">
        <v>2229</v>
      </c>
      <c r="Y237" s="2" t="s">
        <v>2230</v>
      </c>
      <c r="AA237" s="2" t="s">
        <v>2231</v>
      </c>
      <c r="AB237" s="2" t="s">
        <v>654</v>
      </c>
      <c r="AC237" s="2" t="s">
        <v>632</v>
      </c>
      <c r="AD237" s="2">
        <v>82047473</v>
      </c>
      <c r="AE237" s="2">
        <v>86918925</v>
      </c>
      <c r="AJ237" s="2">
        <v>82047473</v>
      </c>
      <c r="AK237" s="2">
        <v>2</v>
      </c>
      <c r="AL237" s="2" t="s">
        <v>633</v>
      </c>
      <c r="AM237" s="2">
        <v>0</v>
      </c>
      <c r="AN237" s="2">
        <v>0</v>
      </c>
      <c r="AO237" s="2">
        <v>1</v>
      </c>
      <c r="AP237" s="2">
        <v>0</v>
      </c>
      <c r="AQ237" s="2">
        <v>0</v>
      </c>
      <c r="AR237" s="2">
        <v>0</v>
      </c>
      <c r="AS237" s="2">
        <v>0</v>
      </c>
      <c r="AT237" s="2">
        <v>0</v>
      </c>
      <c r="BB237" s="2" t="str">
        <f>+PROPER(BD[[#This Row],[PRIMER_APELLIDO]])</f>
        <v>Rosell</v>
      </c>
    </row>
    <row r="238" spans="1:54" x14ac:dyDescent="0.25">
      <c r="A238" s="2">
        <v>237</v>
      </c>
      <c r="B238" s="2">
        <v>49727</v>
      </c>
      <c r="C238" s="2" t="s">
        <v>619</v>
      </c>
      <c r="D238" s="2" t="s">
        <v>620</v>
      </c>
      <c r="E238" s="2" t="s">
        <v>2232</v>
      </c>
      <c r="F238" s="2">
        <v>32582709</v>
      </c>
      <c r="G238" s="3">
        <v>35.767123287671232</v>
      </c>
      <c r="H238" s="2" t="s">
        <v>622</v>
      </c>
      <c r="I238" s="2" t="s">
        <v>2233</v>
      </c>
      <c r="J238" s="2" t="str">
        <f>+IF(BD[[#This Row],[DEPARTAMENTO_INSS]]="MANAGUA","_01_","_02_")</f>
        <v>_02_</v>
      </c>
      <c r="K238" s="2" t="str">
        <f>+CONCATENATE(BD[[#This Row],[Columna3]],BD[[#This Row],[Columna4]],BD[[#This Row],[NOMBRE COMPLETO]])</f>
        <v>E003_02_ERASMO ANTONIO CARVAJAL MORA</v>
      </c>
      <c r="L238" s="2" t="s">
        <v>2234</v>
      </c>
      <c r="M238" s="2" t="s">
        <v>904</v>
      </c>
      <c r="N238" s="2" t="s">
        <v>321</v>
      </c>
      <c r="O238" s="2" t="s">
        <v>394</v>
      </c>
      <c r="P238" s="2" t="s">
        <v>649</v>
      </c>
      <c r="Q238" s="2" t="s">
        <v>351</v>
      </c>
      <c r="R238" s="2">
        <v>31741</v>
      </c>
      <c r="S238" s="2">
        <v>31741</v>
      </c>
      <c r="T238" s="2" t="s">
        <v>186</v>
      </c>
      <c r="U238" s="2" t="s">
        <v>186</v>
      </c>
      <c r="V238" s="2" t="s">
        <v>2235</v>
      </c>
      <c r="W238" s="2" t="s">
        <v>2235</v>
      </c>
      <c r="X238" s="2" t="s">
        <v>2236</v>
      </c>
      <c r="Y238" s="2" t="s">
        <v>2237</v>
      </c>
      <c r="Z238" s="2">
        <v>84966745</v>
      </c>
      <c r="AA238" s="2">
        <v>25633295</v>
      </c>
      <c r="AB238" s="2" t="s">
        <v>984</v>
      </c>
      <c r="AC238" s="2" t="s">
        <v>632</v>
      </c>
      <c r="AD238" s="2">
        <v>84966745</v>
      </c>
      <c r="AJ238" s="2">
        <v>84966745</v>
      </c>
      <c r="AK238" s="2">
        <v>2</v>
      </c>
      <c r="AL238" s="2" t="s">
        <v>633</v>
      </c>
      <c r="AM238" s="2">
        <v>0</v>
      </c>
      <c r="AN238" s="2">
        <v>0</v>
      </c>
      <c r="AO238" s="2">
        <v>1</v>
      </c>
      <c r="AP238" s="2">
        <v>0</v>
      </c>
      <c r="AQ238" s="2">
        <v>0</v>
      </c>
      <c r="AR238" s="2">
        <v>0</v>
      </c>
      <c r="AS238" s="2">
        <v>0</v>
      </c>
      <c r="AT238" s="2">
        <v>0</v>
      </c>
      <c r="AZ238" s="2" t="s">
        <v>2238</v>
      </c>
      <c r="BB238" s="2" t="str">
        <f>+PROPER(BD[[#This Row],[PRIMER_APELLIDO]])</f>
        <v>Carvajal</v>
      </c>
    </row>
    <row r="239" spans="1:54" x14ac:dyDescent="0.25">
      <c r="A239" s="2">
        <v>238</v>
      </c>
      <c r="B239" s="2">
        <v>54112</v>
      </c>
      <c r="C239" s="2" t="s">
        <v>619</v>
      </c>
      <c r="D239" s="2" t="s">
        <v>620</v>
      </c>
      <c r="E239" s="2" t="s">
        <v>2239</v>
      </c>
      <c r="G239" s="3">
        <v>35.772602739726025</v>
      </c>
      <c r="H239" s="2" t="s">
        <v>622</v>
      </c>
      <c r="I239" s="2" t="s">
        <v>2240</v>
      </c>
      <c r="J239" s="2" t="str">
        <f>+IF(BD[[#This Row],[DEPARTAMENTO_INSS]]="MANAGUA","_01_","_02_")</f>
        <v>_02_</v>
      </c>
      <c r="K239" s="2" t="str">
        <f>+CONCATENATE(BD[[#This Row],[Columna3]],BD[[#This Row],[Columna4]],BD[[#This Row],[NOMBRE COMPLETO]])</f>
        <v>E003_02_JAIME JOSE HERNANDEZ VALDIVIA</v>
      </c>
      <c r="L239" s="2" t="s">
        <v>242</v>
      </c>
      <c r="M239" s="2" t="s">
        <v>243</v>
      </c>
      <c r="N239" s="2" t="s">
        <v>11</v>
      </c>
      <c r="O239" s="2" t="s">
        <v>93</v>
      </c>
      <c r="P239" s="2" t="s">
        <v>649</v>
      </c>
      <c r="Q239" s="2" t="s">
        <v>351</v>
      </c>
      <c r="R239" s="2">
        <v>31739</v>
      </c>
      <c r="S239" s="2">
        <v>31739</v>
      </c>
      <c r="T239" s="2" t="s">
        <v>176</v>
      </c>
      <c r="U239" s="2" t="s">
        <v>176</v>
      </c>
      <c r="V239" s="2" t="s">
        <v>650</v>
      </c>
      <c r="W239" s="2" t="s">
        <v>176</v>
      </c>
      <c r="X239" s="2" t="s">
        <v>2241</v>
      </c>
      <c r="Y239" s="2" t="s">
        <v>2242</v>
      </c>
      <c r="Z239" s="2">
        <v>57546228</v>
      </c>
      <c r="AA239" s="2" t="s">
        <v>2243</v>
      </c>
      <c r="AB239" s="2" t="s">
        <v>654</v>
      </c>
      <c r="AC239" s="2" t="s">
        <v>632</v>
      </c>
      <c r="AD239" s="2">
        <v>57546228</v>
      </c>
      <c r="AE239" s="2">
        <v>86469472</v>
      </c>
      <c r="AH239" s="2">
        <v>58050349</v>
      </c>
      <c r="AJ239" s="2">
        <v>57546228</v>
      </c>
      <c r="AK239" s="2">
        <v>4</v>
      </c>
      <c r="AL239" s="2" t="s">
        <v>633</v>
      </c>
      <c r="AM239" s="2">
        <v>0</v>
      </c>
      <c r="AN239" s="2">
        <v>0</v>
      </c>
      <c r="AO239" s="2">
        <v>1</v>
      </c>
      <c r="AP239" s="2">
        <v>0</v>
      </c>
      <c r="AQ239" s="2">
        <v>0</v>
      </c>
      <c r="AR239" s="2">
        <v>0</v>
      </c>
      <c r="AS239" s="2">
        <v>0</v>
      </c>
      <c r="AT239" s="2">
        <v>0</v>
      </c>
      <c r="AZ239" s="2" t="s">
        <v>2244</v>
      </c>
      <c r="BB239" s="2" t="str">
        <f>+PROPER(BD[[#This Row],[PRIMER_APELLIDO]])</f>
        <v>Hernandez</v>
      </c>
    </row>
    <row r="240" spans="1:54" x14ac:dyDescent="0.25">
      <c r="A240" s="2">
        <v>239</v>
      </c>
      <c r="B240" s="2">
        <v>55729</v>
      </c>
      <c r="C240" s="2" t="s">
        <v>619</v>
      </c>
      <c r="D240" s="2" t="s">
        <v>620</v>
      </c>
      <c r="E240" s="2" t="s">
        <v>2245</v>
      </c>
      <c r="G240" s="3">
        <v>35.775342465753425</v>
      </c>
      <c r="H240" s="2" t="s">
        <v>622</v>
      </c>
      <c r="I240" s="2" t="s">
        <v>2246</v>
      </c>
      <c r="J240" s="2" t="str">
        <f>+IF(BD[[#This Row],[DEPARTAMENTO_INSS]]="MANAGUA","_01_","_02_")</f>
        <v>_02_</v>
      </c>
      <c r="K240" s="2" t="str">
        <f>+CONCATENATE(BD[[#This Row],[Columna3]],BD[[#This Row],[Columna4]],BD[[#This Row],[NOMBRE COMPLETO]])</f>
        <v>E003_02_GERALD MERCEDES TOVAL DUARTE</v>
      </c>
      <c r="L240" s="2" t="s">
        <v>2247</v>
      </c>
      <c r="M240" s="2" t="s">
        <v>769</v>
      </c>
      <c r="N240" s="2" t="s">
        <v>347</v>
      </c>
      <c r="O240" s="2" t="s">
        <v>117</v>
      </c>
      <c r="P240" s="2" t="s">
        <v>649</v>
      </c>
      <c r="Q240" s="2" t="s">
        <v>351</v>
      </c>
      <c r="R240" s="2">
        <v>31738</v>
      </c>
      <c r="S240" s="2">
        <v>31738</v>
      </c>
      <c r="T240" s="2" t="s">
        <v>176</v>
      </c>
      <c r="U240" s="2" t="s">
        <v>176</v>
      </c>
      <c r="V240" s="2" t="s">
        <v>748</v>
      </c>
      <c r="W240" s="2" t="s">
        <v>748</v>
      </c>
      <c r="X240" s="2" t="s">
        <v>2248</v>
      </c>
      <c r="Y240" s="2" t="s">
        <v>2249</v>
      </c>
      <c r="Z240" s="2">
        <v>86021383</v>
      </c>
      <c r="AA240" s="2">
        <v>86021383</v>
      </c>
      <c r="AB240" s="2" t="s">
        <v>758</v>
      </c>
      <c r="AC240" s="2" t="s">
        <v>632</v>
      </c>
      <c r="AD240" s="2">
        <v>86021383</v>
      </c>
      <c r="AJ240" s="2">
        <v>86021383</v>
      </c>
      <c r="AK240" s="2">
        <v>2</v>
      </c>
      <c r="AL240" s="2" t="s">
        <v>633</v>
      </c>
      <c r="AM240" s="2">
        <v>0</v>
      </c>
      <c r="AN240" s="2">
        <v>0</v>
      </c>
      <c r="AO240" s="2">
        <v>1</v>
      </c>
      <c r="AP240" s="2">
        <v>0</v>
      </c>
      <c r="AQ240" s="2">
        <v>0</v>
      </c>
      <c r="AR240" s="2">
        <v>0</v>
      </c>
      <c r="AS240" s="2">
        <v>0</v>
      </c>
      <c r="AT240" s="2">
        <v>0</v>
      </c>
      <c r="AZ240" s="2" t="s">
        <v>2250</v>
      </c>
      <c r="BB240" s="2" t="str">
        <f>+PROPER(BD[[#This Row],[PRIMER_APELLIDO]])</f>
        <v>Toval</v>
      </c>
    </row>
    <row r="241" spans="1:54" x14ac:dyDescent="0.25">
      <c r="A241" s="2">
        <v>240</v>
      </c>
      <c r="B241" s="2">
        <v>61795</v>
      </c>
      <c r="C241" s="2" t="s">
        <v>619</v>
      </c>
      <c r="D241" s="2" t="s">
        <v>620</v>
      </c>
      <c r="E241" s="2" t="s">
        <v>2251</v>
      </c>
      <c r="G241" s="3">
        <v>35.778082191780825</v>
      </c>
      <c r="H241" s="2" t="s">
        <v>622</v>
      </c>
      <c r="I241" s="2" t="s">
        <v>2252</v>
      </c>
      <c r="J241" s="2" t="str">
        <f>+IF(BD[[#This Row],[DEPARTAMENTO_INSS]]="MANAGUA","_01_","_02_")</f>
        <v>_02_</v>
      </c>
      <c r="K241" s="2" t="str">
        <f>+CONCATENATE(BD[[#This Row],[Columna3]],BD[[#This Row],[Columna4]],BD[[#This Row],[NOMBRE COMPLETO]])</f>
        <v>E003_02_JAVIERA ESMERALDA VIVAS LOPEZ</v>
      </c>
      <c r="L241" s="2" t="s">
        <v>2253</v>
      </c>
      <c r="M241" s="2" t="s">
        <v>1177</v>
      </c>
      <c r="N241" s="2" t="s">
        <v>138</v>
      </c>
      <c r="O241" s="2" t="s">
        <v>15</v>
      </c>
      <c r="P241" s="2" t="s">
        <v>626</v>
      </c>
      <c r="Q241" s="2" t="s">
        <v>351</v>
      </c>
      <c r="R241" s="2">
        <v>31737</v>
      </c>
      <c r="S241" s="2">
        <v>31737</v>
      </c>
      <c r="T241" s="2" t="s">
        <v>732</v>
      </c>
      <c r="U241" s="2" t="s">
        <v>732</v>
      </c>
      <c r="V241" s="2" t="s">
        <v>732</v>
      </c>
      <c r="W241" s="2" t="s">
        <v>732</v>
      </c>
      <c r="X241" s="2" t="s">
        <v>2254</v>
      </c>
      <c r="Y241" s="2" t="s">
        <v>2255</v>
      </c>
      <c r="Z241" s="2" t="s">
        <v>2256</v>
      </c>
      <c r="AA241" s="2" t="s">
        <v>2257</v>
      </c>
      <c r="AB241" s="2" t="s">
        <v>773</v>
      </c>
      <c r="AC241" s="2" t="s">
        <v>632</v>
      </c>
      <c r="AE241" s="2">
        <v>57832215</v>
      </c>
      <c r="AJ241" s="2">
        <v>57832215</v>
      </c>
      <c r="AK241" s="2">
        <v>4</v>
      </c>
      <c r="AL241" s="2" t="s">
        <v>633</v>
      </c>
      <c r="AM241" s="2">
        <v>0</v>
      </c>
      <c r="AN241" s="2">
        <v>0</v>
      </c>
      <c r="AO241" s="2">
        <v>1</v>
      </c>
      <c r="AP241" s="2">
        <v>0</v>
      </c>
      <c r="AQ241" s="2">
        <v>0</v>
      </c>
      <c r="AR241" s="2">
        <v>0</v>
      </c>
      <c r="AS241" s="2">
        <v>0</v>
      </c>
      <c r="AT241" s="2">
        <v>0</v>
      </c>
      <c r="AZ241" s="2" t="s">
        <v>2258</v>
      </c>
      <c r="BB241" s="2" t="str">
        <f>+PROPER(BD[[#This Row],[PRIMER_APELLIDO]])</f>
        <v>Vivas</v>
      </c>
    </row>
    <row r="242" spans="1:54" x14ac:dyDescent="0.25">
      <c r="A242" s="2">
        <v>241</v>
      </c>
      <c r="B242" s="2">
        <v>78087</v>
      </c>
      <c r="C242" s="2" t="s">
        <v>619</v>
      </c>
      <c r="D242" s="2" t="s">
        <v>620</v>
      </c>
      <c r="E242" s="2" t="s">
        <v>2259</v>
      </c>
      <c r="G242" s="3">
        <v>35.778082191780825</v>
      </c>
      <c r="H242" s="2" t="s">
        <v>622</v>
      </c>
      <c r="I242" s="2" t="s">
        <v>2260</v>
      </c>
      <c r="J242" s="2" t="str">
        <f>+IF(BD[[#This Row],[DEPARTAMENTO_INSS]]="MANAGUA","_01_","_02_")</f>
        <v>_02_</v>
      </c>
      <c r="K242" s="2" t="str">
        <f>+CONCATENATE(BD[[#This Row],[Columna3]],BD[[#This Row],[Columna4]],BD[[#This Row],[NOMBRE COMPLETO]])</f>
        <v>E003_02_FRANCELA CAROLINA ESQUIVEL BERMUDEZ</v>
      </c>
      <c r="L242" s="2" t="s">
        <v>2261</v>
      </c>
      <c r="M242" s="2" t="s">
        <v>714</v>
      </c>
      <c r="N242" s="2" t="s">
        <v>233</v>
      </c>
      <c r="O242" s="2" t="s">
        <v>315</v>
      </c>
      <c r="P242" s="2" t="s">
        <v>626</v>
      </c>
      <c r="Q242" s="2" t="s">
        <v>351</v>
      </c>
      <c r="R242" s="2">
        <v>31737</v>
      </c>
      <c r="S242" s="2">
        <v>31737</v>
      </c>
      <c r="T242" s="2" t="s">
        <v>732</v>
      </c>
      <c r="U242" s="2" t="s">
        <v>705</v>
      </c>
      <c r="V242" s="2" t="s">
        <v>732</v>
      </c>
      <c r="W242" s="2" t="s">
        <v>705</v>
      </c>
      <c r="X242" s="2" t="s">
        <v>2262</v>
      </c>
      <c r="Y242" s="2" t="s">
        <v>2263</v>
      </c>
      <c r="Z242" s="2">
        <v>78620666</v>
      </c>
      <c r="AA242" s="2">
        <v>78620666</v>
      </c>
      <c r="AB242" s="2" t="s">
        <v>654</v>
      </c>
      <c r="AC242" s="2" t="s">
        <v>632</v>
      </c>
      <c r="AD242" s="2">
        <v>78620666</v>
      </c>
      <c r="AJ242" s="2">
        <v>78620666</v>
      </c>
      <c r="AK242" s="2">
        <v>2</v>
      </c>
      <c r="AL242" s="2" t="s">
        <v>633</v>
      </c>
      <c r="AM242" s="2">
        <v>0</v>
      </c>
      <c r="AN242" s="2">
        <v>0</v>
      </c>
      <c r="AO242" s="2">
        <v>1</v>
      </c>
      <c r="AP242" s="2">
        <v>0</v>
      </c>
      <c r="AQ242" s="2">
        <v>0</v>
      </c>
      <c r="AR242" s="2">
        <v>0</v>
      </c>
      <c r="AS242" s="2">
        <v>0</v>
      </c>
      <c r="AT242" s="2">
        <v>0</v>
      </c>
      <c r="AZ242" s="2" t="s">
        <v>2264</v>
      </c>
      <c r="BA242" s="2" t="s">
        <v>2265</v>
      </c>
      <c r="BB242" s="2" t="str">
        <f>+PROPER(BD[[#This Row],[PRIMER_APELLIDO]])</f>
        <v>Esquivel</v>
      </c>
    </row>
    <row r="243" spans="1:54" x14ac:dyDescent="0.25">
      <c r="A243" s="2">
        <v>242</v>
      </c>
      <c r="B243" s="2">
        <v>35600</v>
      </c>
      <c r="C243" s="2" t="s">
        <v>619</v>
      </c>
      <c r="D243" s="2" t="s">
        <v>620</v>
      </c>
      <c r="E243" s="2" t="s">
        <v>2266</v>
      </c>
      <c r="F243" s="2">
        <v>22139078</v>
      </c>
      <c r="G243" s="3">
        <v>35.783561643835618</v>
      </c>
      <c r="H243" s="2" t="s">
        <v>622</v>
      </c>
      <c r="I243" s="2" t="s">
        <v>2267</v>
      </c>
      <c r="J243" s="2" t="str">
        <f>+IF(BD[[#This Row],[DEPARTAMENTO_INSS]]="MANAGUA","_01_","_02_")</f>
        <v>_01_</v>
      </c>
      <c r="K243" s="2" t="str">
        <f>+CONCATENATE(BD[[#This Row],[Columna3]],BD[[#This Row],[Columna4]],BD[[#This Row],[NOMBRE COMPLETO]])</f>
        <v>E003_01_JOSELINE VIRGINIA PEREZ CHACON</v>
      </c>
      <c r="L243" s="2" t="s">
        <v>2268</v>
      </c>
      <c r="M243" s="2" t="s">
        <v>2269</v>
      </c>
      <c r="N243" s="2" t="s">
        <v>24</v>
      </c>
      <c r="O243" s="2" t="s">
        <v>2270</v>
      </c>
      <c r="P243" s="2" t="s">
        <v>626</v>
      </c>
      <c r="Q243" s="2" t="s">
        <v>351</v>
      </c>
      <c r="R243" s="2">
        <v>31735</v>
      </c>
      <c r="S243" s="2">
        <v>31735</v>
      </c>
      <c r="T243" s="2" t="s">
        <v>627</v>
      </c>
      <c r="U243" s="2" t="s">
        <v>627</v>
      </c>
      <c r="V243" s="2" t="s">
        <v>627</v>
      </c>
      <c r="W243" s="2" t="s">
        <v>627</v>
      </c>
      <c r="X243" s="2" t="s">
        <v>2271</v>
      </c>
      <c r="Y243" s="2" t="s">
        <v>2272</v>
      </c>
      <c r="AA243" s="2" t="s">
        <v>2273</v>
      </c>
      <c r="AB243" s="2" t="s">
        <v>642</v>
      </c>
      <c r="AC243" s="2" t="s">
        <v>632</v>
      </c>
      <c r="AE243" s="2">
        <v>86686044</v>
      </c>
      <c r="AJ243" s="2">
        <v>86686044</v>
      </c>
      <c r="AK243" s="2">
        <v>2</v>
      </c>
      <c r="AL243" s="2" t="s">
        <v>633</v>
      </c>
      <c r="AM243" s="2">
        <v>0</v>
      </c>
      <c r="AN243" s="2">
        <v>0</v>
      </c>
      <c r="AO243" s="2">
        <v>1</v>
      </c>
      <c r="AP243" s="2">
        <v>0</v>
      </c>
      <c r="AQ243" s="2">
        <v>0</v>
      </c>
      <c r="AR243" s="2">
        <v>0</v>
      </c>
      <c r="AS243" s="2">
        <v>0</v>
      </c>
      <c r="AT243" s="2">
        <v>0</v>
      </c>
      <c r="BB243" s="2" t="str">
        <f>+PROPER(BD[[#This Row],[PRIMER_APELLIDO]])</f>
        <v>Perez</v>
      </c>
    </row>
    <row r="244" spans="1:54" x14ac:dyDescent="0.25">
      <c r="A244" s="2">
        <v>243</v>
      </c>
      <c r="B244" s="2">
        <v>68586</v>
      </c>
      <c r="C244" s="2" t="s">
        <v>619</v>
      </c>
      <c r="D244" s="2" t="s">
        <v>620</v>
      </c>
      <c r="E244" s="2" t="s">
        <v>2274</v>
      </c>
      <c r="G244" s="3">
        <v>35.786301369863011</v>
      </c>
      <c r="H244" s="2" t="s">
        <v>622</v>
      </c>
      <c r="I244" s="2" t="s">
        <v>2275</v>
      </c>
      <c r="J244" s="2" t="str">
        <f>+IF(BD[[#This Row],[DEPARTAMENTO_INSS]]="MANAGUA","_01_","_02_")</f>
        <v>_02_</v>
      </c>
      <c r="K244" s="2" t="str">
        <f>+CONCATENATE(BD[[#This Row],[Columna3]],BD[[#This Row],[Columna4]],BD[[#This Row],[NOMBRE COMPLETO]])</f>
        <v>E003_02_MARTHA LORENA HERRERA NOVOA</v>
      </c>
      <c r="L244" s="2" t="s">
        <v>1333</v>
      </c>
      <c r="M244" s="2" t="s">
        <v>1263</v>
      </c>
      <c r="N244" s="2" t="s">
        <v>179</v>
      </c>
      <c r="O244" s="2" t="s">
        <v>160</v>
      </c>
      <c r="P244" s="2" t="s">
        <v>626</v>
      </c>
      <c r="Q244" s="2" t="s">
        <v>351</v>
      </c>
      <c r="R244" s="2">
        <v>31734</v>
      </c>
      <c r="S244" s="2">
        <v>31734</v>
      </c>
      <c r="T244" s="2" t="s">
        <v>659</v>
      </c>
      <c r="U244" s="2" t="s">
        <v>659</v>
      </c>
      <c r="V244" s="2" t="s">
        <v>659</v>
      </c>
      <c r="W244" s="2" t="s">
        <v>659</v>
      </c>
      <c r="X244" s="2" t="s">
        <v>2276</v>
      </c>
      <c r="Y244" s="2" t="s">
        <v>2277</v>
      </c>
      <c r="Z244" s="2">
        <v>57662570</v>
      </c>
      <c r="AA244" s="2">
        <v>57662570</v>
      </c>
      <c r="AB244" s="2" t="s">
        <v>2278</v>
      </c>
      <c r="AC244" s="2" t="s">
        <v>632</v>
      </c>
      <c r="AD244" s="2">
        <v>57662570</v>
      </c>
      <c r="AJ244" s="2">
        <v>57662570</v>
      </c>
      <c r="AK244" s="2">
        <v>2</v>
      </c>
      <c r="AL244" s="2" t="s">
        <v>633</v>
      </c>
      <c r="AM244" s="2">
        <v>0</v>
      </c>
      <c r="AN244" s="2">
        <v>0</v>
      </c>
      <c r="AO244" s="2">
        <v>1</v>
      </c>
      <c r="AP244" s="2">
        <v>0</v>
      </c>
      <c r="AQ244" s="2">
        <v>0</v>
      </c>
      <c r="AR244" s="2">
        <v>0</v>
      </c>
      <c r="AS244" s="2">
        <v>0</v>
      </c>
      <c r="AT244" s="2">
        <v>0</v>
      </c>
      <c r="AZ244" s="2" t="s">
        <v>2279</v>
      </c>
      <c r="BB244" s="2" t="str">
        <f>+PROPER(BD[[#This Row],[PRIMER_APELLIDO]])</f>
        <v>Herrera</v>
      </c>
    </row>
    <row r="245" spans="1:54" x14ac:dyDescent="0.25">
      <c r="A245" s="2">
        <v>244</v>
      </c>
      <c r="B245" s="2">
        <v>41540</v>
      </c>
      <c r="C245" s="2" t="s">
        <v>619</v>
      </c>
      <c r="D245" s="2" t="s">
        <v>620</v>
      </c>
      <c r="E245" s="2" t="s">
        <v>2280</v>
      </c>
      <c r="F245" s="2">
        <v>23140460</v>
      </c>
      <c r="G245" s="3">
        <v>35.794520547945204</v>
      </c>
      <c r="H245" s="2" t="s">
        <v>622</v>
      </c>
      <c r="I245" s="2" t="s">
        <v>2281</v>
      </c>
      <c r="J245" s="2" t="str">
        <f>+IF(BD[[#This Row],[DEPARTAMENTO_INSS]]="MANAGUA","_01_","_02_")</f>
        <v>_02_</v>
      </c>
      <c r="K245" s="2" t="str">
        <f>+CONCATENATE(BD[[#This Row],[Columna3]],BD[[#This Row],[Columna4]],BD[[#This Row],[NOMBRE COMPLETO]])</f>
        <v>E003_02_LIDIETH DE LOS ANGELES MEDINA FLORES</v>
      </c>
      <c r="L245" s="2" t="s">
        <v>2282</v>
      </c>
      <c r="M245" s="2" t="s">
        <v>683</v>
      </c>
      <c r="N245" s="2" t="s">
        <v>104</v>
      </c>
      <c r="O245" s="2" t="s">
        <v>58</v>
      </c>
      <c r="P245" s="2" t="s">
        <v>626</v>
      </c>
      <c r="Q245" s="2" t="s">
        <v>351</v>
      </c>
      <c r="R245" s="2">
        <v>31731</v>
      </c>
      <c r="S245" s="2">
        <v>31731</v>
      </c>
      <c r="T245" s="2" t="s">
        <v>176</v>
      </c>
      <c r="U245" s="2" t="s">
        <v>176</v>
      </c>
      <c r="V245" s="2" t="s">
        <v>650</v>
      </c>
      <c r="W245" s="2" t="s">
        <v>176</v>
      </c>
      <c r="X245" s="2" t="s">
        <v>2283</v>
      </c>
      <c r="Y245" s="2" t="s">
        <v>2284</v>
      </c>
      <c r="AA245" s="2" t="s">
        <v>2285</v>
      </c>
      <c r="AB245" s="2" t="s">
        <v>654</v>
      </c>
      <c r="AC245" s="2" t="s">
        <v>632</v>
      </c>
      <c r="AE245" s="2">
        <v>82373391</v>
      </c>
      <c r="AJ245" s="2">
        <v>82373391</v>
      </c>
      <c r="AK245" s="2">
        <v>2</v>
      </c>
      <c r="AL245" s="2" t="s">
        <v>633</v>
      </c>
      <c r="AM245" s="2">
        <v>0</v>
      </c>
      <c r="AN245" s="2">
        <v>0</v>
      </c>
      <c r="AO245" s="2">
        <v>1</v>
      </c>
      <c r="AP245" s="2">
        <v>0</v>
      </c>
      <c r="AQ245" s="2">
        <v>0</v>
      </c>
      <c r="AR245" s="2">
        <v>0</v>
      </c>
      <c r="AS245" s="2">
        <v>0</v>
      </c>
      <c r="AT245" s="2">
        <v>0</v>
      </c>
      <c r="BA245" s="2" t="s">
        <v>2286</v>
      </c>
      <c r="BB245" s="2" t="str">
        <f>+PROPER(BD[[#This Row],[PRIMER_APELLIDO]])</f>
        <v>Medina</v>
      </c>
    </row>
    <row r="246" spans="1:54" x14ac:dyDescent="0.25">
      <c r="A246" s="2">
        <v>245</v>
      </c>
      <c r="B246" s="2">
        <v>35729</v>
      </c>
      <c r="C246" s="2" t="s">
        <v>619</v>
      </c>
      <c r="D246" s="2" t="s">
        <v>620</v>
      </c>
      <c r="E246" s="2" t="s">
        <v>2287</v>
      </c>
      <c r="F246" s="2">
        <v>22185466</v>
      </c>
      <c r="G246" s="3">
        <v>35.797260273972604</v>
      </c>
      <c r="H246" s="2" t="s">
        <v>622</v>
      </c>
      <c r="I246" s="2" t="s">
        <v>2288</v>
      </c>
      <c r="J246" s="2" t="str">
        <f>+IF(BD[[#This Row],[DEPARTAMENTO_INSS]]="MANAGUA","_01_","_02_")</f>
        <v>_02_</v>
      </c>
      <c r="K246" s="2" t="str">
        <f>+CONCATENATE(BD[[#This Row],[Columna3]],BD[[#This Row],[Columna4]],BD[[#This Row],[NOMBRE COMPLETO]])</f>
        <v>E003_02_TANNYA MARIA ESPINOZA SERRANO</v>
      </c>
      <c r="L246" s="2" t="s">
        <v>2289</v>
      </c>
      <c r="M246" s="2" t="s">
        <v>724</v>
      </c>
      <c r="N246" s="2" t="s">
        <v>235</v>
      </c>
      <c r="O246" s="2" t="s">
        <v>221</v>
      </c>
      <c r="P246" s="2" t="s">
        <v>626</v>
      </c>
      <c r="Q246" s="2" t="s">
        <v>351</v>
      </c>
      <c r="R246" s="2">
        <v>31730</v>
      </c>
      <c r="S246" s="2">
        <v>31730</v>
      </c>
      <c r="T246" s="2" t="s">
        <v>133</v>
      </c>
      <c r="U246" s="2" t="s">
        <v>133</v>
      </c>
      <c r="V246" s="2" t="s">
        <v>869</v>
      </c>
      <c r="W246" s="2" t="s">
        <v>869</v>
      </c>
      <c r="X246" s="2" t="s">
        <v>2290</v>
      </c>
      <c r="Y246" s="2" t="s">
        <v>2291</v>
      </c>
      <c r="Z246" s="2">
        <v>89498518</v>
      </c>
      <c r="AA246" s="2" t="s">
        <v>2292</v>
      </c>
      <c r="AB246" s="2" t="s">
        <v>642</v>
      </c>
      <c r="AC246" s="2" t="s">
        <v>632</v>
      </c>
      <c r="AD246" s="2">
        <v>89498518</v>
      </c>
      <c r="AJ246" s="2">
        <v>89498518</v>
      </c>
      <c r="AK246" s="2">
        <v>3</v>
      </c>
      <c r="AL246" s="2" t="s">
        <v>633</v>
      </c>
      <c r="AM246" s="2">
        <v>0</v>
      </c>
      <c r="AN246" s="2">
        <v>0</v>
      </c>
      <c r="AO246" s="2">
        <v>1</v>
      </c>
      <c r="AP246" s="2">
        <v>0</v>
      </c>
      <c r="AQ246" s="2">
        <v>0</v>
      </c>
      <c r="AR246" s="2">
        <v>0</v>
      </c>
      <c r="AS246" s="2">
        <v>0</v>
      </c>
      <c r="AT246" s="2">
        <v>0</v>
      </c>
      <c r="BB246" s="2" t="str">
        <f>+PROPER(BD[[#This Row],[PRIMER_APELLIDO]])</f>
        <v>Espinoza</v>
      </c>
    </row>
    <row r="247" spans="1:54" x14ac:dyDescent="0.25">
      <c r="A247" s="2">
        <v>246</v>
      </c>
      <c r="B247" s="2">
        <v>58939</v>
      </c>
      <c r="C247" s="2" t="s">
        <v>619</v>
      </c>
      <c r="D247" s="2" t="s">
        <v>2293</v>
      </c>
      <c r="E247" s="2">
        <v>200920120066</v>
      </c>
      <c r="G247" s="3">
        <v>35.797260273972604</v>
      </c>
      <c r="H247" s="2" t="s">
        <v>622</v>
      </c>
      <c r="I247" s="2" t="s">
        <v>2294</v>
      </c>
      <c r="J247" s="2" t="str">
        <f>+IF(BD[[#This Row],[DEPARTAMENTO_INSS]]="MANAGUA","_01_","_02_")</f>
        <v>_02_</v>
      </c>
      <c r="K247" s="2" t="str">
        <f>+CONCATENATE(BD[[#This Row],[Columna3]],BD[[#This Row],[Columna4]],BD[[#This Row],[NOMBRE COMPLETO]])</f>
        <v>E003_02_AHJI KIM</v>
      </c>
      <c r="L247" s="2" t="s">
        <v>2295</v>
      </c>
      <c r="N247" s="2" t="s">
        <v>269</v>
      </c>
      <c r="P247" s="2" t="s">
        <v>626</v>
      </c>
      <c r="Q247" s="2" t="s">
        <v>2296</v>
      </c>
      <c r="R247" s="2">
        <v>31730</v>
      </c>
      <c r="T247" s="2" t="s">
        <v>627</v>
      </c>
      <c r="V247" s="2" t="s">
        <v>627</v>
      </c>
      <c r="X247" s="2" t="s">
        <v>2297</v>
      </c>
      <c r="Z247" s="2">
        <v>83372070</v>
      </c>
      <c r="AB247" s="2" t="s">
        <v>642</v>
      </c>
      <c r="AC247" s="2" t="s">
        <v>632</v>
      </c>
      <c r="AD247" s="2">
        <v>83372070</v>
      </c>
      <c r="AJ247" s="2">
        <v>83372070</v>
      </c>
      <c r="AK247" s="2">
        <v>1</v>
      </c>
      <c r="AL247" s="2" t="s">
        <v>633</v>
      </c>
      <c r="AM247" s="2">
        <v>0</v>
      </c>
      <c r="AN247" s="2">
        <v>0</v>
      </c>
      <c r="AO247" s="2">
        <v>1</v>
      </c>
      <c r="AP247" s="2">
        <v>0</v>
      </c>
      <c r="AQ247" s="2">
        <v>0</v>
      </c>
      <c r="AR247" s="2">
        <v>0</v>
      </c>
      <c r="AS247" s="2">
        <v>0</v>
      </c>
      <c r="AT247" s="2">
        <v>0</v>
      </c>
      <c r="AZ247" s="2" t="s">
        <v>2298</v>
      </c>
      <c r="BB247" s="2" t="str">
        <f>+PROPER(BD[[#This Row],[PRIMER_APELLIDO]])</f>
        <v>Kim</v>
      </c>
    </row>
    <row r="248" spans="1:54" x14ac:dyDescent="0.25">
      <c r="A248" s="2">
        <v>247</v>
      </c>
      <c r="B248" s="2">
        <v>43259</v>
      </c>
      <c r="C248" s="2" t="s">
        <v>619</v>
      </c>
      <c r="D248" s="2" t="s">
        <v>620</v>
      </c>
      <c r="E248" s="2" t="s">
        <v>2299</v>
      </c>
      <c r="F248" s="2">
        <v>20371070</v>
      </c>
      <c r="G248" s="3">
        <v>35.799999999999997</v>
      </c>
      <c r="H248" s="2" t="s">
        <v>622</v>
      </c>
      <c r="I248" s="2" t="s">
        <v>2300</v>
      </c>
      <c r="J248" s="2" t="str">
        <f>+IF(BD[[#This Row],[DEPARTAMENTO_INSS]]="MANAGUA","_01_","_02_")</f>
        <v>_01_</v>
      </c>
      <c r="K248" s="2" t="str">
        <f>+CONCATENATE(BD[[#This Row],[Columna3]],BD[[#This Row],[Columna4]],BD[[#This Row],[NOMBRE COMPLETO]])</f>
        <v>E003_01_ALEJANDRO DAVID ROCHA CALERO</v>
      </c>
      <c r="L248" s="2" t="s">
        <v>1554</v>
      </c>
      <c r="M248" s="2" t="s">
        <v>916</v>
      </c>
      <c r="N248" s="2" t="s">
        <v>49</v>
      </c>
      <c r="O248" s="2" t="s">
        <v>80</v>
      </c>
      <c r="P248" s="2" t="s">
        <v>649</v>
      </c>
      <c r="Q248" s="2" t="s">
        <v>351</v>
      </c>
      <c r="R248" s="2">
        <v>31729</v>
      </c>
      <c r="S248" s="2">
        <v>31729</v>
      </c>
      <c r="T248" s="2" t="s">
        <v>627</v>
      </c>
      <c r="U248" s="2" t="s">
        <v>627</v>
      </c>
      <c r="V248" s="2" t="s">
        <v>627</v>
      </c>
      <c r="W248" s="2" t="s">
        <v>627</v>
      </c>
      <c r="Y248" s="2" t="s">
        <v>2301</v>
      </c>
      <c r="AA248" s="2" t="s">
        <v>2302</v>
      </c>
      <c r="AB248" s="2" t="s">
        <v>654</v>
      </c>
      <c r="AC248" s="2" t="s">
        <v>632</v>
      </c>
      <c r="AE248" s="2">
        <v>86534633</v>
      </c>
      <c r="AJ248" s="2">
        <v>86534633</v>
      </c>
      <c r="AK248" s="2">
        <v>2</v>
      </c>
      <c r="AL248" s="2" t="s">
        <v>633</v>
      </c>
      <c r="AM248" s="2">
        <v>0</v>
      </c>
      <c r="AN248" s="2">
        <v>0</v>
      </c>
      <c r="AO248" s="2">
        <v>1</v>
      </c>
      <c r="AP248" s="2">
        <v>0</v>
      </c>
      <c r="AQ248" s="2">
        <v>0</v>
      </c>
      <c r="AR248" s="2">
        <v>0</v>
      </c>
      <c r="AS248" s="2">
        <v>0</v>
      </c>
      <c r="AT248" s="2">
        <v>0</v>
      </c>
      <c r="BB248" s="2" t="str">
        <f>+PROPER(BD[[#This Row],[PRIMER_APELLIDO]])</f>
        <v>Rocha</v>
      </c>
    </row>
    <row r="249" spans="1:54" x14ac:dyDescent="0.25">
      <c r="A249" s="2">
        <v>248</v>
      </c>
      <c r="B249" s="2">
        <v>45341</v>
      </c>
      <c r="C249" s="2" t="s">
        <v>619</v>
      </c>
      <c r="D249" s="2" t="s">
        <v>620</v>
      </c>
      <c r="E249" s="2" t="s">
        <v>2303</v>
      </c>
      <c r="F249" s="2">
        <v>20200949</v>
      </c>
      <c r="G249" s="3">
        <v>35.799999999999997</v>
      </c>
      <c r="H249" s="2" t="s">
        <v>622</v>
      </c>
      <c r="I249" s="2" t="s">
        <v>2304</v>
      </c>
      <c r="J249" s="2" t="str">
        <f>+IF(BD[[#This Row],[DEPARTAMENTO_INSS]]="MANAGUA","_01_","_02_")</f>
        <v>_02_</v>
      </c>
      <c r="K249" s="2" t="str">
        <f>+CONCATENATE(BD[[#This Row],[Columna3]],BD[[#This Row],[Columna4]],BD[[#This Row],[NOMBRE COMPLETO]])</f>
        <v>E003_02_TANIA KATYUSSHAS ESPINOZA MORENO</v>
      </c>
      <c r="L249" s="2" t="s">
        <v>2305</v>
      </c>
      <c r="M249" s="2" t="s">
        <v>2306</v>
      </c>
      <c r="N249" s="2" t="s">
        <v>235</v>
      </c>
      <c r="O249" s="2" t="s">
        <v>430</v>
      </c>
      <c r="P249" s="2" t="s">
        <v>626</v>
      </c>
      <c r="Q249" s="2" t="s">
        <v>351</v>
      </c>
      <c r="R249" s="2">
        <v>31729</v>
      </c>
      <c r="S249" s="2">
        <v>31729</v>
      </c>
      <c r="T249" s="2" t="s">
        <v>705</v>
      </c>
      <c r="U249" s="2" t="s">
        <v>705</v>
      </c>
      <c r="V249" s="2" t="s">
        <v>705</v>
      </c>
      <c r="W249" s="2" t="s">
        <v>1014</v>
      </c>
      <c r="Y249" s="2" t="s">
        <v>2307</v>
      </c>
      <c r="AA249" s="2">
        <v>87353537</v>
      </c>
      <c r="AB249" s="2" t="s">
        <v>642</v>
      </c>
      <c r="AC249" s="2" t="s">
        <v>632</v>
      </c>
      <c r="AD249" s="2">
        <v>87353537</v>
      </c>
      <c r="AJ249" s="2">
        <v>87353537</v>
      </c>
      <c r="AK249" s="2">
        <v>1</v>
      </c>
      <c r="AL249" s="2" t="s">
        <v>633</v>
      </c>
      <c r="AM249" s="2">
        <v>0</v>
      </c>
      <c r="AN249" s="2">
        <v>0</v>
      </c>
      <c r="AO249" s="2">
        <v>1</v>
      </c>
      <c r="AP249" s="2">
        <v>0</v>
      </c>
      <c r="AQ249" s="2">
        <v>0</v>
      </c>
      <c r="AR249" s="2">
        <v>0</v>
      </c>
      <c r="AS249" s="2">
        <v>0</v>
      </c>
      <c r="AT249" s="2">
        <v>0</v>
      </c>
      <c r="BB249" s="2" t="str">
        <f>+PROPER(BD[[#This Row],[PRIMER_APELLIDO]])</f>
        <v>Espinoza</v>
      </c>
    </row>
    <row r="250" spans="1:54" x14ac:dyDescent="0.25">
      <c r="A250" s="2">
        <v>249</v>
      </c>
      <c r="B250" s="2">
        <v>42071</v>
      </c>
      <c r="C250" s="2" t="s">
        <v>619</v>
      </c>
      <c r="D250" s="2" t="s">
        <v>620</v>
      </c>
      <c r="E250" s="2" t="s">
        <v>2308</v>
      </c>
      <c r="F250" s="2">
        <v>23960297</v>
      </c>
      <c r="G250" s="3">
        <v>35.805479452054797</v>
      </c>
      <c r="H250" s="2" t="s">
        <v>622</v>
      </c>
      <c r="I250" s="2" t="s">
        <v>2309</v>
      </c>
      <c r="J250" s="2" t="str">
        <f>+IF(BD[[#This Row],[DEPARTAMENTO_INSS]]="MANAGUA","_01_","_02_")</f>
        <v>_01_</v>
      </c>
      <c r="K250" s="2" t="str">
        <f>+CONCATENATE(BD[[#This Row],[Columna3]],BD[[#This Row],[Columna4]],BD[[#This Row],[NOMBRE COMPLETO]])</f>
        <v>E003_01_MAYDEN ELIZABETH LEIVA GAITAN</v>
      </c>
      <c r="L250" s="2" t="s">
        <v>2310</v>
      </c>
      <c r="M250" s="2" t="s">
        <v>1881</v>
      </c>
      <c r="N250" s="2" t="s">
        <v>177</v>
      </c>
      <c r="O250" s="2" t="s">
        <v>54</v>
      </c>
      <c r="P250" s="2" t="s">
        <v>626</v>
      </c>
      <c r="Q250" s="2" t="s">
        <v>351</v>
      </c>
      <c r="R250" s="2">
        <v>31727</v>
      </c>
      <c r="S250" s="2">
        <v>31727</v>
      </c>
      <c r="T250" s="2" t="s">
        <v>929</v>
      </c>
      <c r="U250" s="2" t="s">
        <v>627</v>
      </c>
      <c r="V250" s="2" t="s">
        <v>2311</v>
      </c>
      <c r="W250" s="2" t="s">
        <v>627</v>
      </c>
      <c r="X250" s="2" t="s">
        <v>2312</v>
      </c>
      <c r="Y250" s="2" t="s">
        <v>2313</v>
      </c>
      <c r="Z250" s="2">
        <v>86153131</v>
      </c>
      <c r="AA250" s="2">
        <v>86153131</v>
      </c>
      <c r="AB250" s="2" t="s">
        <v>631</v>
      </c>
      <c r="AC250" s="2" t="s">
        <v>632</v>
      </c>
      <c r="AD250" s="2">
        <v>86153131</v>
      </c>
      <c r="AJ250" s="2">
        <v>86153131</v>
      </c>
      <c r="AK250" s="2">
        <v>2</v>
      </c>
      <c r="AL250" s="2" t="s">
        <v>633</v>
      </c>
      <c r="AM250" s="2">
        <v>0</v>
      </c>
      <c r="AN250" s="2">
        <v>0</v>
      </c>
      <c r="AO250" s="2">
        <v>1</v>
      </c>
      <c r="AP250" s="2">
        <v>0</v>
      </c>
      <c r="AQ250" s="2">
        <v>0</v>
      </c>
      <c r="AR250" s="2">
        <v>0</v>
      </c>
      <c r="AS250" s="2">
        <v>0</v>
      </c>
      <c r="AT250" s="2">
        <v>0</v>
      </c>
      <c r="AZ250" s="2" t="s">
        <v>2314</v>
      </c>
      <c r="BB250" s="2" t="str">
        <f>+PROPER(BD[[#This Row],[PRIMER_APELLIDO]])</f>
        <v>Leiva</v>
      </c>
    </row>
    <row r="251" spans="1:54" x14ac:dyDescent="0.25">
      <c r="A251" s="2">
        <v>250</v>
      </c>
      <c r="B251" s="2">
        <v>47189</v>
      </c>
      <c r="C251" s="2" t="s">
        <v>619</v>
      </c>
      <c r="D251" s="2" t="s">
        <v>620</v>
      </c>
      <c r="E251" s="2" t="s">
        <v>2315</v>
      </c>
      <c r="F251" s="2">
        <v>25024018</v>
      </c>
      <c r="G251" s="3">
        <v>35.805479452054797</v>
      </c>
      <c r="H251" s="2" t="s">
        <v>622</v>
      </c>
      <c r="I251" s="2" t="s">
        <v>2316</v>
      </c>
      <c r="J251" s="2" t="str">
        <f>+IF(BD[[#This Row],[DEPARTAMENTO_INSS]]="MANAGUA","_01_","_02_")</f>
        <v>_02_</v>
      </c>
      <c r="K251" s="2" t="str">
        <f>+CONCATENATE(BD[[#This Row],[Columna3]],BD[[#This Row],[Columna4]],BD[[#This Row],[NOMBRE COMPLETO]])</f>
        <v>E003_02_FANNY ALBERTINA URBINA CASTILLO</v>
      </c>
      <c r="L251" s="2" t="s">
        <v>2317</v>
      </c>
      <c r="M251" s="2" t="s">
        <v>2318</v>
      </c>
      <c r="N251" s="2" t="s">
        <v>86</v>
      </c>
      <c r="O251" s="2" t="s">
        <v>100</v>
      </c>
      <c r="P251" s="2" t="s">
        <v>626</v>
      </c>
      <c r="Q251" s="2" t="s">
        <v>351</v>
      </c>
      <c r="R251" s="2">
        <v>31727</v>
      </c>
      <c r="S251" s="2">
        <v>31727</v>
      </c>
      <c r="T251" s="2" t="s">
        <v>705</v>
      </c>
      <c r="U251" s="2" t="s">
        <v>705</v>
      </c>
      <c r="V251" s="2" t="s">
        <v>2319</v>
      </c>
      <c r="W251" s="2" t="s">
        <v>2319</v>
      </c>
      <c r="X251" s="2" t="s">
        <v>2320</v>
      </c>
      <c r="Y251" s="2" t="s">
        <v>2321</v>
      </c>
      <c r="Z251" s="2">
        <v>81406672</v>
      </c>
      <c r="AB251" s="2" t="s">
        <v>631</v>
      </c>
      <c r="AC251" s="2" t="s">
        <v>632</v>
      </c>
      <c r="AD251" s="2">
        <v>81406672</v>
      </c>
      <c r="AJ251" s="2">
        <v>81406672</v>
      </c>
      <c r="AK251" s="2">
        <v>1</v>
      </c>
      <c r="AL251" s="2" t="s">
        <v>633</v>
      </c>
      <c r="AM251" s="2">
        <v>0</v>
      </c>
      <c r="AN251" s="2">
        <v>0</v>
      </c>
      <c r="AO251" s="2">
        <v>1</v>
      </c>
      <c r="AP251" s="2">
        <v>0</v>
      </c>
      <c r="AQ251" s="2">
        <v>0</v>
      </c>
      <c r="AR251" s="2">
        <v>0</v>
      </c>
      <c r="AS251" s="2">
        <v>0</v>
      </c>
      <c r="AT251" s="2">
        <v>0</v>
      </c>
      <c r="BB251" s="2" t="str">
        <f>+PROPER(BD[[#This Row],[PRIMER_APELLIDO]])</f>
        <v>Urbina</v>
      </c>
    </row>
    <row r="252" spans="1:54" x14ac:dyDescent="0.25">
      <c r="A252" s="2">
        <v>251</v>
      </c>
      <c r="B252" s="2">
        <v>45409</v>
      </c>
      <c r="C252" s="2" t="s">
        <v>619</v>
      </c>
      <c r="D252" s="2" t="s">
        <v>620</v>
      </c>
      <c r="E252" s="2" t="s">
        <v>2322</v>
      </c>
      <c r="F252" s="2">
        <v>24236874</v>
      </c>
      <c r="G252" s="3">
        <v>35.81095890410959</v>
      </c>
      <c r="H252" s="2" t="s">
        <v>622</v>
      </c>
      <c r="I252" s="2" t="s">
        <v>2323</v>
      </c>
      <c r="J252" s="2" t="str">
        <f>+IF(BD[[#This Row],[DEPARTAMENTO_INSS]]="MANAGUA","_01_","_02_")</f>
        <v>_02_</v>
      </c>
      <c r="K252" s="2" t="str">
        <f>+CONCATENATE(BD[[#This Row],[Columna3]],BD[[#This Row],[Columna4]],BD[[#This Row],[NOMBRE COMPLETO]])</f>
        <v>E003_02_GERALD MAURICIO ARCE MARQUEZ</v>
      </c>
      <c r="L252" s="2" t="s">
        <v>2247</v>
      </c>
      <c r="M252" s="2" t="s">
        <v>2324</v>
      </c>
      <c r="N252" s="2" t="s">
        <v>421</v>
      </c>
      <c r="O252" s="2" t="s">
        <v>33</v>
      </c>
      <c r="P252" s="2" t="s">
        <v>649</v>
      </c>
      <c r="Q252" s="2" t="s">
        <v>351</v>
      </c>
      <c r="R252" s="2">
        <v>31725</v>
      </c>
      <c r="S252" s="2">
        <v>31725</v>
      </c>
      <c r="T252" s="2" t="s">
        <v>705</v>
      </c>
      <c r="U252" s="2" t="s">
        <v>705</v>
      </c>
      <c r="V252" s="2" t="s">
        <v>705</v>
      </c>
      <c r="W252" s="2" t="s">
        <v>1014</v>
      </c>
      <c r="X252" s="2" t="s">
        <v>2325</v>
      </c>
      <c r="Y252" s="2" t="s">
        <v>2325</v>
      </c>
      <c r="AA252" s="2" t="s">
        <v>2326</v>
      </c>
      <c r="AB252" s="2" t="s">
        <v>654</v>
      </c>
      <c r="AC252" s="2" t="s">
        <v>632</v>
      </c>
      <c r="AD252" s="2">
        <v>88855245</v>
      </c>
      <c r="AE252" s="2">
        <v>84487366</v>
      </c>
      <c r="AJ252" s="2">
        <v>88855245</v>
      </c>
      <c r="AK252" s="2">
        <v>2</v>
      </c>
      <c r="AL252" s="2" t="s">
        <v>633</v>
      </c>
      <c r="AM252" s="2">
        <v>0</v>
      </c>
      <c r="AN252" s="2">
        <v>0</v>
      </c>
      <c r="AO252" s="2">
        <v>1</v>
      </c>
      <c r="AP252" s="2">
        <v>0</v>
      </c>
      <c r="AQ252" s="2">
        <v>0</v>
      </c>
      <c r="AR252" s="2">
        <v>0</v>
      </c>
      <c r="AS252" s="2">
        <v>0</v>
      </c>
      <c r="AT252" s="2">
        <v>0</v>
      </c>
      <c r="BA252" s="2" t="s">
        <v>2327</v>
      </c>
      <c r="BB252" s="2" t="str">
        <f>+PROPER(BD[[#This Row],[PRIMER_APELLIDO]])</f>
        <v>Arce</v>
      </c>
    </row>
    <row r="253" spans="1:54" x14ac:dyDescent="0.25">
      <c r="A253" s="2">
        <v>252</v>
      </c>
      <c r="B253" s="2">
        <v>57662</v>
      </c>
      <c r="C253" s="2" t="s">
        <v>619</v>
      </c>
      <c r="D253" s="2" t="s">
        <v>620</v>
      </c>
      <c r="E253" s="2" t="s">
        <v>2328</v>
      </c>
      <c r="G253" s="3">
        <v>35.81095890410959</v>
      </c>
      <c r="H253" s="2" t="s">
        <v>622</v>
      </c>
      <c r="I253" s="2" t="s">
        <v>2329</v>
      </c>
      <c r="J253" s="2" t="str">
        <f>+IF(BD[[#This Row],[DEPARTAMENTO_INSS]]="MANAGUA","_01_","_02_")</f>
        <v>_02_</v>
      </c>
      <c r="K253" s="2" t="str">
        <f>+CONCATENATE(BD[[#This Row],[Columna3]],BD[[#This Row],[Columna4]],BD[[#This Row],[NOMBRE COMPLETO]])</f>
        <v>E003_02_YEVONY SUMIRE ALVARADO SOZA</v>
      </c>
      <c r="L253" s="2" t="s">
        <v>2330</v>
      </c>
      <c r="M253" s="2" t="s">
        <v>2331</v>
      </c>
      <c r="N253" s="2" t="s">
        <v>18</v>
      </c>
      <c r="O253" s="2" t="s">
        <v>211</v>
      </c>
      <c r="P253" s="2" t="s">
        <v>626</v>
      </c>
      <c r="Q253" s="2" t="s">
        <v>351</v>
      </c>
      <c r="R253" s="2">
        <v>31725</v>
      </c>
      <c r="S253" s="2">
        <v>31725</v>
      </c>
      <c r="T253" s="2" t="s">
        <v>1044</v>
      </c>
      <c r="U253" s="2" t="s">
        <v>1044</v>
      </c>
      <c r="V253" s="2" t="s">
        <v>1045</v>
      </c>
      <c r="W253" s="2" t="s">
        <v>1045</v>
      </c>
      <c r="X253" s="2" t="s">
        <v>2332</v>
      </c>
      <c r="Y253" s="2" t="s">
        <v>2333</v>
      </c>
      <c r="Z253" s="2">
        <v>89465668</v>
      </c>
      <c r="AA253" s="2">
        <v>82429419</v>
      </c>
      <c r="AB253" s="2" t="s">
        <v>631</v>
      </c>
      <c r="AC253" s="2" t="s">
        <v>632</v>
      </c>
      <c r="AD253" s="2">
        <v>89465668</v>
      </c>
      <c r="AF253" s="2">
        <v>82429419</v>
      </c>
      <c r="AJ253" s="2">
        <v>89465668</v>
      </c>
      <c r="AK253" s="2">
        <v>2</v>
      </c>
      <c r="AL253" s="2" t="s">
        <v>633</v>
      </c>
      <c r="AM253" s="2">
        <v>0</v>
      </c>
      <c r="AN253" s="2">
        <v>0</v>
      </c>
      <c r="AO253" s="2">
        <v>1</v>
      </c>
      <c r="AP253" s="2">
        <v>0</v>
      </c>
      <c r="AQ253" s="2">
        <v>0</v>
      </c>
      <c r="AR253" s="2">
        <v>0</v>
      </c>
      <c r="AS253" s="2">
        <v>0</v>
      </c>
      <c r="AT253" s="2">
        <v>0</v>
      </c>
      <c r="BB253" s="2" t="str">
        <f>+PROPER(BD[[#This Row],[PRIMER_APELLIDO]])</f>
        <v>Alvarado</v>
      </c>
    </row>
    <row r="254" spans="1:54" x14ac:dyDescent="0.25">
      <c r="A254" s="2">
        <v>253</v>
      </c>
      <c r="B254" s="2">
        <v>56812</v>
      </c>
      <c r="C254" s="2" t="s">
        <v>619</v>
      </c>
      <c r="D254" s="2" t="s">
        <v>620</v>
      </c>
      <c r="E254" s="2" t="s">
        <v>2334</v>
      </c>
      <c r="G254" s="3">
        <v>35.816438356164383</v>
      </c>
      <c r="H254" s="2" t="s">
        <v>622</v>
      </c>
      <c r="I254" s="2" t="s">
        <v>2335</v>
      </c>
      <c r="J254" s="2" t="str">
        <f>+IF(BD[[#This Row],[DEPARTAMENTO_INSS]]="MANAGUA","_01_","_02_")</f>
        <v>_02_</v>
      </c>
      <c r="K254" s="2" t="str">
        <f>+CONCATENATE(BD[[#This Row],[Columna3]],BD[[#This Row],[Columna4]],BD[[#This Row],[NOMBRE COMPLETO]])</f>
        <v>E003_02_NORA ELIETH CHAVARRIA SALGADO</v>
      </c>
      <c r="L254" s="2" t="s">
        <v>2336</v>
      </c>
      <c r="M254" s="2" t="s">
        <v>2337</v>
      </c>
      <c r="N254" s="2" t="s">
        <v>98</v>
      </c>
      <c r="O254" s="2" t="s">
        <v>126</v>
      </c>
      <c r="P254" s="2" t="s">
        <v>626</v>
      </c>
      <c r="Q254" s="2" t="s">
        <v>351</v>
      </c>
      <c r="R254" s="2">
        <v>31723</v>
      </c>
      <c r="S254" s="2">
        <v>31723</v>
      </c>
      <c r="T254" s="2" t="s">
        <v>1005</v>
      </c>
      <c r="U254" s="2" t="s">
        <v>1005</v>
      </c>
      <c r="V254" s="2" t="s">
        <v>1006</v>
      </c>
      <c r="W254" s="2" t="s">
        <v>1006</v>
      </c>
      <c r="X254" s="2" t="s">
        <v>2338</v>
      </c>
      <c r="Y254" s="2" t="s">
        <v>2339</v>
      </c>
      <c r="Z254" s="2">
        <v>58161287</v>
      </c>
      <c r="AA254" s="2" t="s">
        <v>2340</v>
      </c>
      <c r="AB254" s="2" t="s">
        <v>642</v>
      </c>
      <c r="AC254" s="2" t="s">
        <v>632</v>
      </c>
      <c r="AD254" s="2">
        <v>58161287</v>
      </c>
      <c r="AE254" s="2">
        <v>86365976</v>
      </c>
      <c r="AJ254" s="2">
        <v>58161287</v>
      </c>
      <c r="AK254" s="2">
        <v>3</v>
      </c>
      <c r="AL254" s="2" t="s">
        <v>633</v>
      </c>
      <c r="AM254" s="2">
        <v>0</v>
      </c>
      <c r="AN254" s="2">
        <v>0</v>
      </c>
      <c r="AO254" s="2">
        <v>1</v>
      </c>
      <c r="AP254" s="2">
        <v>0</v>
      </c>
      <c r="AQ254" s="2">
        <v>0</v>
      </c>
      <c r="AR254" s="2">
        <v>0</v>
      </c>
      <c r="AS254" s="2">
        <v>0</v>
      </c>
      <c r="AT254" s="2">
        <v>0</v>
      </c>
      <c r="BB254" s="2" t="str">
        <f>+PROPER(BD[[#This Row],[PRIMER_APELLIDO]])</f>
        <v>Chavarria</v>
      </c>
    </row>
    <row r="255" spans="1:54" x14ac:dyDescent="0.25">
      <c r="A255" s="2">
        <v>254</v>
      </c>
      <c r="B255" s="2">
        <v>42185</v>
      </c>
      <c r="C255" s="2" t="s">
        <v>619</v>
      </c>
      <c r="D255" s="2" t="s">
        <v>620</v>
      </c>
      <c r="E255" s="2" t="s">
        <v>2341</v>
      </c>
      <c r="F255" s="2">
        <v>24159630</v>
      </c>
      <c r="G255" s="3">
        <v>35.819178082191783</v>
      </c>
      <c r="H255" s="2" t="s">
        <v>622</v>
      </c>
      <c r="I255" s="2" t="s">
        <v>2342</v>
      </c>
      <c r="J255" s="2" t="str">
        <f>+IF(BD[[#This Row],[DEPARTAMENTO_INSS]]="MANAGUA","_01_","_02_")</f>
        <v>_02_</v>
      </c>
      <c r="K255" s="2" t="str">
        <f>+CONCATENATE(BD[[#This Row],[Columna3]],BD[[#This Row],[Columna4]],BD[[#This Row],[NOMBRE COMPLETO]])</f>
        <v>E003_02_AMADA CHRISTINA SUAREZ CASTILBLANCO</v>
      </c>
      <c r="L255" s="2" t="s">
        <v>2343</v>
      </c>
      <c r="M255" s="2" t="s">
        <v>2344</v>
      </c>
      <c r="N255" s="2" t="s">
        <v>55</v>
      </c>
      <c r="O255" s="2" t="s">
        <v>1519</v>
      </c>
      <c r="P255" s="2" t="s">
        <v>626</v>
      </c>
      <c r="Q255" s="2" t="s">
        <v>351</v>
      </c>
      <c r="R255" s="2">
        <v>31722</v>
      </c>
      <c r="S255" s="2">
        <v>31722</v>
      </c>
      <c r="T255" s="2" t="s">
        <v>627</v>
      </c>
      <c r="U255" s="2" t="s">
        <v>732</v>
      </c>
      <c r="V255" s="2" t="s">
        <v>627</v>
      </c>
      <c r="W255" s="2" t="s">
        <v>848</v>
      </c>
      <c r="X255" s="2" t="s">
        <v>2345</v>
      </c>
      <c r="Y255" s="2" t="s">
        <v>2346</v>
      </c>
      <c r="AA255" s="2">
        <v>76656565</v>
      </c>
      <c r="AB255" s="2" t="s">
        <v>654</v>
      </c>
      <c r="AC255" s="2" t="s">
        <v>632</v>
      </c>
      <c r="AD255" s="2">
        <v>76656565</v>
      </c>
      <c r="AJ255" s="2">
        <v>76656565</v>
      </c>
      <c r="AK255" s="2">
        <v>1</v>
      </c>
      <c r="AL255" s="2" t="s">
        <v>633</v>
      </c>
      <c r="AM255" s="2">
        <v>0</v>
      </c>
      <c r="AN255" s="2">
        <v>0</v>
      </c>
      <c r="AO255" s="2">
        <v>1</v>
      </c>
      <c r="AP255" s="2">
        <v>0</v>
      </c>
      <c r="AQ255" s="2">
        <v>0</v>
      </c>
      <c r="AR255" s="2">
        <v>0</v>
      </c>
      <c r="AS255" s="2">
        <v>0</v>
      </c>
      <c r="AT255" s="2">
        <v>0</v>
      </c>
      <c r="BA255" s="2" t="s">
        <v>2347</v>
      </c>
      <c r="BB255" s="2" t="str">
        <f>+PROPER(BD[[#This Row],[PRIMER_APELLIDO]])</f>
        <v>Suarez</v>
      </c>
    </row>
    <row r="256" spans="1:54" x14ac:dyDescent="0.25">
      <c r="A256" s="2">
        <v>255</v>
      </c>
      <c r="B256" s="2">
        <v>69214</v>
      </c>
      <c r="C256" s="2" t="s">
        <v>619</v>
      </c>
      <c r="D256" s="2" t="s">
        <v>620</v>
      </c>
      <c r="E256" s="2" t="s">
        <v>2348</v>
      </c>
      <c r="G256" s="3">
        <v>35.819178082191783</v>
      </c>
      <c r="H256" s="2" t="s">
        <v>622</v>
      </c>
      <c r="I256" s="2" t="s">
        <v>2349</v>
      </c>
      <c r="J256" s="2" t="str">
        <f>+IF(BD[[#This Row],[DEPARTAMENTO_INSS]]="MANAGUA","_01_","_02_")</f>
        <v>_02_</v>
      </c>
      <c r="K256" s="2" t="str">
        <f>+CONCATENATE(BD[[#This Row],[Columna3]],BD[[#This Row],[Columna4]],BD[[#This Row],[NOMBRE COMPLETO]])</f>
        <v>E003_02_JOHAN ANDRONIS LOPEZ LOPEZ</v>
      </c>
      <c r="L256" s="2" t="s">
        <v>2350</v>
      </c>
      <c r="M256" s="2" t="s">
        <v>2351</v>
      </c>
      <c r="N256" s="2" t="s">
        <v>15</v>
      </c>
      <c r="O256" s="2" t="s">
        <v>15</v>
      </c>
      <c r="P256" s="2" t="s">
        <v>649</v>
      </c>
      <c r="Q256" s="2" t="s">
        <v>351</v>
      </c>
      <c r="R256" s="2">
        <v>31722</v>
      </c>
      <c r="S256" s="2">
        <v>31722</v>
      </c>
      <c r="T256" s="2" t="s">
        <v>732</v>
      </c>
      <c r="U256" s="2" t="s">
        <v>732</v>
      </c>
      <c r="V256" s="2" t="s">
        <v>732</v>
      </c>
      <c r="W256" s="2" t="s">
        <v>732</v>
      </c>
      <c r="X256" s="2" t="s">
        <v>2352</v>
      </c>
      <c r="Y256" s="2" t="s">
        <v>2353</v>
      </c>
      <c r="Z256" s="2">
        <v>87327336</v>
      </c>
      <c r="AA256" s="2">
        <v>87353854</v>
      </c>
      <c r="AB256" s="2" t="s">
        <v>654</v>
      </c>
      <c r="AC256" s="2" t="s">
        <v>632</v>
      </c>
      <c r="AD256" s="2">
        <v>87327336</v>
      </c>
      <c r="AF256" s="2">
        <v>87353854</v>
      </c>
      <c r="AJ256" s="2">
        <v>87327336</v>
      </c>
      <c r="AK256" s="2">
        <v>2</v>
      </c>
      <c r="AL256" s="2" t="s">
        <v>633</v>
      </c>
      <c r="AM256" s="2">
        <v>0</v>
      </c>
      <c r="AN256" s="2">
        <v>0</v>
      </c>
      <c r="AO256" s="2">
        <v>1</v>
      </c>
      <c r="AP256" s="2">
        <v>0</v>
      </c>
      <c r="AQ256" s="2">
        <v>0</v>
      </c>
      <c r="AR256" s="2">
        <v>0</v>
      </c>
      <c r="AS256" s="2">
        <v>0</v>
      </c>
      <c r="AT256" s="2">
        <v>0</v>
      </c>
      <c r="AZ256" s="2" t="s">
        <v>2354</v>
      </c>
      <c r="BB256" s="2" t="str">
        <f>+PROPER(BD[[#This Row],[PRIMER_APELLIDO]])</f>
        <v>Lopez</v>
      </c>
    </row>
    <row r="257" spans="1:54" x14ac:dyDescent="0.25">
      <c r="A257" s="2">
        <v>256</v>
      </c>
      <c r="B257" s="2">
        <v>39202</v>
      </c>
      <c r="C257" s="2" t="s">
        <v>619</v>
      </c>
      <c r="D257" s="2" t="s">
        <v>620</v>
      </c>
      <c r="E257" s="2" t="s">
        <v>2355</v>
      </c>
      <c r="F257" s="2">
        <v>23107513</v>
      </c>
      <c r="G257" s="3">
        <v>35.824657534246576</v>
      </c>
      <c r="H257" s="2" t="s">
        <v>622</v>
      </c>
      <c r="I257" s="2" t="s">
        <v>2356</v>
      </c>
      <c r="J257" s="2" t="str">
        <f>+IF(BD[[#This Row],[DEPARTAMENTO_INSS]]="MANAGUA","_01_","_02_")</f>
        <v>_02_</v>
      </c>
      <c r="K257" s="2" t="str">
        <f>+CONCATENATE(BD[[#This Row],[Columna3]],BD[[#This Row],[Columna4]],BD[[#This Row],[NOMBRE COMPLETO]])</f>
        <v>E003_02_EFREN ROLANDO VALLADARES PEREZ</v>
      </c>
      <c r="L257" s="2" t="s">
        <v>2170</v>
      </c>
      <c r="M257" s="2" t="s">
        <v>2357</v>
      </c>
      <c r="N257" s="2" t="s">
        <v>69</v>
      </c>
      <c r="O257" s="2" t="s">
        <v>24</v>
      </c>
      <c r="P257" s="2" t="s">
        <v>649</v>
      </c>
      <c r="Q257" s="2" t="s">
        <v>351</v>
      </c>
      <c r="R257" s="2">
        <v>31720</v>
      </c>
      <c r="S257" s="2">
        <v>31720</v>
      </c>
      <c r="T257" s="2" t="s">
        <v>133</v>
      </c>
      <c r="U257" s="2" t="s">
        <v>133</v>
      </c>
      <c r="V257" s="2" t="s">
        <v>841</v>
      </c>
      <c r="W257" s="2" t="s">
        <v>841</v>
      </c>
      <c r="X257" s="2" t="s">
        <v>2358</v>
      </c>
      <c r="Y257" s="2" t="s">
        <v>2359</v>
      </c>
      <c r="AA257" s="2">
        <v>25342494</v>
      </c>
      <c r="AB257" s="2" t="s">
        <v>654</v>
      </c>
      <c r="AC257" s="2" t="s">
        <v>632</v>
      </c>
      <c r="AK257" s="2">
        <v>1</v>
      </c>
      <c r="AL257" s="2" t="s">
        <v>633</v>
      </c>
      <c r="AM257" s="2">
        <v>0</v>
      </c>
      <c r="AN257" s="2">
        <v>0</v>
      </c>
      <c r="AO257" s="2">
        <v>1</v>
      </c>
      <c r="AP257" s="2">
        <v>0</v>
      </c>
      <c r="AQ257" s="2">
        <v>0</v>
      </c>
      <c r="AR257" s="2">
        <v>0</v>
      </c>
      <c r="AS257" s="2">
        <v>0</v>
      </c>
      <c r="AT257" s="2">
        <v>0</v>
      </c>
      <c r="BB257" s="2" t="str">
        <f>+PROPER(BD[[#This Row],[PRIMER_APELLIDO]])</f>
        <v>Valladares</v>
      </c>
    </row>
    <row r="258" spans="1:54" x14ac:dyDescent="0.25">
      <c r="A258" s="2">
        <v>257</v>
      </c>
      <c r="B258" s="2">
        <v>39087</v>
      </c>
      <c r="C258" s="2" t="s">
        <v>619</v>
      </c>
      <c r="D258" s="2" t="s">
        <v>620</v>
      </c>
      <c r="E258" s="2" t="s">
        <v>2360</v>
      </c>
      <c r="F258" s="2">
        <v>23720143</v>
      </c>
      <c r="G258" s="3">
        <v>35.827397260273976</v>
      </c>
      <c r="H258" s="2" t="s">
        <v>622</v>
      </c>
      <c r="I258" s="2" t="s">
        <v>2361</v>
      </c>
      <c r="J258" s="2" t="str">
        <f>+IF(BD[[#This Row],[DEPARTAMENTO_INSS]]="MANAGUA","_01_","_02_")</f>
        <v>_02_</v>
      </c>
      <c r="K258" s="2" t="str">
        <f>+CONCATENATE(BD[[#This Row],[Columna3]],BD[[#This Row],[Columna4]],BD[[#This Row],[NOMBRE COMPLETO]])</f>
        <v>E003_02_YUSELY DEL CARMEN RODRIGUEZ RODRIGUEZ</v>
      </c>
      <c r="L258" s="2" t="s">
        <v>2362</v>
      </c>
      <c r="M258" s="2" t="s">
        <v>961</v>
      </c>
      <c r="N258" s="2" t="s">
        <v>185</v>
      </c>
      <c r="O258" s="2" t="s">
        <v>185</v>
      </c>
      <c r="P258" s="2" t="s">
        <v>626</v>
      </c>
      <c r="Q258" s="2" t="s">
        <v>351</v>
      </c>
      <c r="R258" s="2">
        <v>31719</v>
      </c>
      <c r="S258" s="2">
        <v>31719</v>
      </c>
      <c r="T258" s="2" t="s">
        <v>780</v>
      </c>
      <c r="U258" s="2" t="s">
        <v>929</v>
      </c>
      <c r="V258" s="2" t="s">
        <v>794</v>
      </c>
      <c r="W258" s="2" t="s">
        <v>930</v>
      </c>
      <c r="X258" s="2" t="s">
        <v>2363</v>
      </c>
      <c r="Y258" s="2" t="s">
        <v>2364</v>
      </c>
      <c r="AA258" s="2" t="s">
        <v>2365</v>
      </c>
      <c r="AB258" s="2" t="s">
        <v>631</v>
      </c>
      <c r="AC258" s="2" t="s">
        <v>632</v>
      </c>
      <c r="AD258" s="2">
        <v>86206159</v>
      </c>
      <c r="AE258" s="2">
        <v>87345982</v>
      </c>
      <c r="AJ258" s="2">
        <v>86206159</v>
      </c>
      <c r="AK258" s="2">
        <v>2</v>
      </c>
      <c r="AL258" s="2" t="s">
        <v>633</v>
      </c>
      <c r="AM258" s="2">
        <v>0</v>
      </c>
      <c r="AN258" s="2">
        <v>0</v>
      </c>
      <c r="AO258" s="2">
        <v>1</v>
      </c>
      <c r="AP258" s="2">
        <v>0</v>
      </c>
      <c r="AQ258" s="2">
        <v>0</v>
      </c>
      <c r="AR258" s="2">
        <v>0</v>
      </c>
      <c r="AS258" s="2">
        <v>0</v>
      </c>
      <c r="AT258" s="2">
        <v>0</v>
      </c>
      <c r="BB258" s="2" t="str">
        <f>+PROPER(BD[[#This Row],[PRIMER_APELLIDO]])</f>
        <v>Rodriguez</v>
      </c>
    </row>
    <row r="259" spans="1:54" x14ac:dyDescent="0.25">
      <c r="A259" s="2">
        <v>258</v>
      </c>
      <c r="B259" s="2">
        <v>48816</v>
      </c>
      <c r="C259" s="2" t="s">
        <v>619</v>
      </c>
      <c r="D259" s="2" t="s">
        <v>620</v>
      </c>
      <c r="E259" s="2" t="s">
        <v>2366</v>
      </c>
      <c r="F259" s="2">
        <v>25022201</v>
      </c>
      <c r="G259" s="3">
        <v>35.827397260273976</v>
      </c>
      <c r="H259" s="2" t="s">
        <v>622</v>
      </c>
      <c r="I259" s="2" t="s">
        <v>2367</v>
      </c>
      <c r="J259" s="2" t="str">
        <f>+IF(BD[[#This Row],[DEPARTAMENTO_INSS]]="MANAGUA","_01_","_02_")</f>
        <v>_02_</v>
      </c>
      <c r="K259" s="2" t="str">
        <f>+CONCATENATE(BD[[#This Row],[Columna3]],BD[[#This Row],[Columna4]],BD[[#This Row],[NOMBRE COMPLETO]])</f>
        <v>E003_02_MARTIN JAVIER HERRERA FLORES</v>
      </c>
      <c r="L259" s="2" t="s">
        <v>1183</v>
      </c>
      <c r="M259" s="2" t="s">
        <v>975</v>
      </c>
      <c r="N259" s="2" t="s">
        <v>179</v>
      </c>
      <c r="O259" s="2" t="s">
        <v>58</v>
      </c>
      <c r="P259" s="2" t="s">
        <v>649</v>
      </c>
      <c r="Q259" s="2" t="s">
        <v>351</v>
      </c>
      <c r="R259" s="2">
        <v>31719</v>
      </c>
      <c r="S259" s="2">
        <v>31719</v>
      </c>
      <c r="T259" s="2" t="s">
        <v>659</v>
      </c>
      <c r="U259" s="2" t="s">
        <v>659</v>
      </c>
      <c r="V259" s="2" t="s">
        <v>659</v>
      </c>
      <c r="W259" s="2" t="s">
        <v>661</v>
      </c>
      <c r="X259" s="2" t="s">
        <v>2368</v>
      </c>
      <c r="Y259" s="2" t="s">
        <v>2369</v>
      </c>
      <c r="AA259" s="2">
        <v>77796446</v>
      </c>
      <c r="AB259" s="2" t="s">
        <v>798</v>
      </c>
      <c r="AC259" s="2" t="s">
        <v>632</v>
      </c>
      <c r="AD259" s="2">
        <v>77796446</v>
      </c>
      <c r="AJ259" s="2">
        <v>77796446</v>
      </c>
      <c r="AK259" s="2">
        <v>1</v>
      </c>
      <c r="AL259" s="2" t="s">
        <v>633</v>
      </c>
      <c r="AM259" s="2">
        <v>0</v>
      </c>
      <c r="AN259" s="2">
        <v>0</v>
      </c>
      <c r="AO259" s="2">
        <v>1</v>
      </c>
      <c r="AP259" s="2">
        <v>0</v>
      </c>
      <c r="AQ259" s="2">
        <v>0</v>
      </c>
      <c r="AR259" s="2">
        <v>0</v>
      </c>
      <c r="AS259" s="2">
        <v>0</v>
      </c>
      <c r="AT259" s="2">
        <v>0</v>
      </c>
      <c r="BB259" s="2" t="str">
        <f>+PROPER(BD[[#This Row],[PRIMER_APELLIDO]])</f>
        <v>Herrera</v>
      </c>
    </row>
    <row r="260" spans="1:54" x14ac:dyDescent="0.25">
      <c r="A260" s="2">
        <v>259</v>
      </c>
      <c r="B260" s="2">
        <v>46695</v>
      </c>
      <c r="C260" s="2" t="s">
        <v>619</v>
      </c>
      <c r="D260" s="2" t="s">
        <v>620</v>
      </c>
      <c r="E260" s="2" t="s">
        <v>2370</v>
      </c>
      <c r="F260" s="2">
        <v>25021415</v>
      </c>
      <c r="G260" s="3">
        <v>35.830136986301369</v>
      </c>
      <c r="H260" s="2" t="s">
        <v>622</v>
      </c>
      <c r="I260" s="2" t="s">
        <v>2371</v>
      </c>
      <c r="J260" s="2" t="str">
        <f>+IF(BD[[#This Row],[DEPARTAMENTO_INSS]]="MANAGUA","_01_","_02_")</f>
        <v>_02_</v>
      </c>
      <c r="K260" s="2" t="str">
        <f>+CONCATENATE(BD[[#This Row],[Columna3]],BD[[#This Row],[Columna4]],BD[[#This Row],[NOMBRE COMPLETO]])</f>
        <v>E003_02_GUILLERMO SALAZAR HICHERS</v>
      </c>
      <c r="L260" s="2" t="s">
        <v>1620</v>
      </c>
      <c r="N260" s="2" t="s">
        <v>165</v>
      </c>
      <c r="O260" s="2" t="s">
        <v>2372</v>
      </c>
      <c r="P260" s="2" t="s">
        <v>649</v>
      </c>
      <c r="Q260" s="2" t="s">
        <v>351</v>
      </c>
      <c r="R260" s="2">
        <v>31718</v>
      </c>
      <c r="S260" s="2">
        <v>31718</v>
      </c>
      <c r="T260" s="2" t="s">
        <v>669</v>
      </c>
      <c r="U260" s="2" t="s">
        <v>669</v>
      </c>
      <c r="V260" s="2" t="s">
        <v>670</v>
      </c>
      <c r="W260" s="2" t="s">
        <v>670</v>
      </c>
      <c r="X260" s="2" t="s">
        <v>2373</v>
      </c>
      <c r="Y260" s="2" t="s">
        <v>2374</v>
      </c>
      <c r="Z260" s="2">
        <v>87285216</v>
      </c>
      <c r="AA260" s="2">
        <v>87255216</v>
      </c>
      <c r="AB260" s="2" t="s">
        <v>798</v>
      </c>
      <c r="AC260" s="2" t="s">
        <v>632</v>
      </c>
      <c r="AD260" s="2">
        <v>87285216</v>
      </c>
      <c r="AF260" s="2">
        <v>87255216</v>
      </c>
      <c r="AJ260" s="2">
        <v>87285216</v>
      </c>
      <c r="AK260" s="2">
        <v>2</v>
      </c>
      <c r="AL260" s="2" t="s">
        <v>633</v>
      </c>
      <c r="AM260" s="2">
        <v>0</v>
      </c>
      <c r="AN260" s="2">
        <v>0</v>
      </c>
      <c r="AO260" s="2">
        <v>1</v>
      </c>
      <c r="AP260" s="2">
        <v>0</v>
      </c>
      <c r="AQ260" s="2">
        <v>0</v>
      </c>
      <c r="AR260" s="2">
        <v>0</v>
      </c>
      <c r="AS260" s="2">
        <v>0</v>
      </c>
      <c r="AT260" s="2">
        <v>0</v>
      </c>
      <c r="AZ260" s="2" t="s">
        <v>2375</v>
      </c>
      <c r="BB260" s="2" t="str">
        <f>+PROPER(BD[[#This Row],[PRIMER_APELLIDO]])</f>
        <v>Salazar</v>
      </c>
    </row>
    <row r="261" spans="1:54" x14ac:dyDescent="0.25">
      <c r="A261" s="2">
        <v>260</v>
      </c>
      <c r="B261" s="2">
        <v>74263</v>
      </c>
      <c r="C261" s="2" t="s">
        <v>619</v>
      </c>
      <c r="D261" s="2" t="s">
        <v>620</v>
      </c>
      <c r="E261" s="2" t="s">
        <v>2376</v>
      </c>
      <c r="G261" s="3">
        <v>35.832876712328769</v>
      </c>
      <c r="H261" s="2" t="s">
        <v>622</v>
      </c>
      <c r="I261" s="2" t="s">
        <v>2377</v>
      </c>
      <c r="J261" s="2" t="str">
        <f>+IF(BD[[#This Row],[DEPARTAMENTO_INSS]]="MANAGUA","_01_","_02_")</f>
        <v>_01_</v>
      </c>
      <c r="K261" s="2" t="str">
        <f>+CONCATENATE(BD[[#This Row],[Columna3]],BD[[#This Row],[Columna4]],BD[[#This Row],[NOMBRE COMPLETO]])</f>
        <v>E003_01_MELISA YAHOSKA CASTILLO DIAZ</v>
      </c>
      <c r="L261" s="2" t="s">
        <v>2378</v>
      </c>
      <c r="M261" s="2" t="s">
        <v>2379</v>
      </c>
      <c r="N261" s="2" t="s">
        <v>100</v>
      </c>
      <c r="O261" s="2" t="s">
        <v>91</v>
      </c>
      <c r="P261" s="2" t="s">
        <v>626</v>
      </c>
      <c r="Q261" s="2" t="s">
        <v>351</v>
      </c>
      <c r="R261" s="2">
        <v>31717</v>
      </c>
      <c r="S261" s="2">
        <v>31717</v>
      </c>
      <c r="T261" s="2" t="s">
        <v>627</v>
      </c>
      <c r="U261" s="2" t="s">
        <v>627</v>
      </c>
      <c r="V261" s="2" t="s">
        <v>627</v>
      </c>
      <c r="W261" s="2" t="s">
        <v>627</v>
      </c>
      <c r="X261" s="2" t="s">
        <v>2380</v>
      </c>
      <c r="Y261" s="2" t="s">
        <v>2381</v>
      </c>
      <c r="Z261" s="2">
        <v>81943677</v>
      </c>
      <c r="AA261" s="2">
        <v>82634303</v>
      </c>
      <c r="AB261" s="2" t="s">
        <v>2382</v>
      </c>
      <c r="AC261" s="2" t="s">
        <v>632</v>
      </c>
      <c r="AD261" s="2">
        <v>81943677</v>
      </c>
      <c r="AF261" s="2">
        <v>82634303</v>
      </c>
      <c r="AJ261" s="2">
        <v>81943677</v>
      </c>
      <c r="AK261" s="2">
        <v>2</v>
      </c>
      <c r="AL261" s="2" t="s">
        <v>633</v>
      </c>
      <c r="AM261" s="2">
        <v>0</v>
      </c>
      <c r="AN261" s="2">
        <v>0</v>
      </c>
      <c r="AO261" s="2">
        <v>1</v>
      </c>
      <c r="AP261" s="2">
        <v>0</v>
      </c>
      <c r="AQ261" s="2">
        <v>0</v>
      </c>
      <c r="AR261" s="2">
        <v>0</v>
      </c>
      <c r="AS261" s="2">
        <v>0</v>
      </c>
      <c r="AT261" s="2">
        <v>0</v>
      </c>
      <c r="AZ261" s="2" t="s">
        <v>2383</v>
      </c>
      <c r="BB261" s="2" t="str">
        <f>+PROPER(BD[[#This Row],[PRIMER_APELLIDO]])</f>
        <v>Castillo</v>
      </c>
    </row>
    <row r="262" spans="1:54" x14ac:dyDescent="0.25">
      <c r="A262" s="2">
        <v>261</v>
      </c>
      <c r="B262" s="2">
        <v>35217</v>
      </c>
      <c r="C262" s="2" t="s">
        <v>619</v>
      </c>
      <c r="D262" s="2" t="s">
        <v>620</v>
      </c>
      <c r="E262" s="2" t="s">
        <v>2384</v>
      </c>
      <c r="F262" s="2">
        <v>22190091</v>
      </c>
      <c r="G262" s="3">
        <v>35.841095890410962</v>
      </c>
      <c r="H262" s="2" t="s">
        <v>622</v>
      </c>
      <c r="I262" s="2" t="s">
        <v>2385</v>
      </c>
      <c r="J262" s="2" t="str">
        <f>+IF(BD[[#This Row],[DEPARTAMENTO_INSS]]="MANAGUA","_01_","_02_")</f>
        <v>_02_</v>
      </c>
      <c r="K262" s="2" t="str">
        <f>+CONCATENATE(BD[[#This Row],[Columna3]],BD[[#This Row],[Columna4]],BD[[#This Row],[NOMBRE COMPLETO]])</f>
        <v>E003_02_YANIRA CAROLINA MORA HERNANDEZ</v>
      </c>
      <c r="L262" s="2" t="s">
        <v>2209</v>
      </c>
      <c r="M262" s="2" t="s">
        <v>714</v>
      </c>
      <c r="N262" s="2" t="s">
        <v>394</v>
      </c>
      <c r="O262" s="2" t="s">
        <v>11</v>
      </c>
      <c r="P262" s="2" t="s">
        <v>626</v>
      </c>
      <c r="Q262" s="2" t="s">
        <v>351</v>
      </c>
      <c r="R262" s="2">
        <v>31714</v>
      </c>
      <c r="S262" s="2">
        <v>31714</v>
      </c>
      <c r="T262" s="2" t="s">
        <v>133</v>
      </c>
      <c r="U262" s="2" t="s">
        <v>133</v>
      </c>
      <c r="V262" s="2" t="s">
        <v>869</v>
      </c>
      <c r="W262" s="2" t="s">
        <v>869</v>
      </c>
      <c r="X262" s="2" t="s">
        <v>2386</v>
      </c>
      <c r="Y262" s="2" t="s">
        <v>2387</v>
      </c>
      <c r="Z262" s="2">
        <v>87721623</v>
      </c>
      <c r="AA262" s="2" t="s">
        <v>2388</v>
      </c>
      <c r="AB262" s="2" t="s">
        <v>642</v>
      </c>
      <c r="AC262" s="2" t="s">
        <v>632</v>
      </c>
      <c r="AD262" s="2">
        <v>87721623</v>
      </c>
      <c r="AE262" s="2">
        <v>86217677</v>
      </c>
      <c r="AJ262" s="2">
        <v>87721623</v>
      </c>
      <c r="AK262" s="2">
        <v>3</v>
      </c>
      <c r="AL262" s="2" t="s">
        <v>633</v>
      </c>
      <c r="AM262" s="2">
        <v>0</v>
      </c>
      <c r="AN262" s="2">
        <v>0</v>
      </c>
      <c r="AO262" s="2">
        <v>1</v>
      </c>
      <c r="AP262" s="2">
        <v>0</v>
      </c>
      <c r="AQ262" s="2">
        <v>0</v>
      </c>
      <c r="AR262" s="2">
        <v>0</v>
      </c>
      <c r="AS262" s="2">
        <v>0</v>
      </c>
      <c r="AT262" s="2">
        <v>0</v>
      </c>
      <c r="AZ262" s="2" t="s">
        <v>2389</v>
      </c>
      <c r="BB262" s="2" t="str">
        <f>+PROPER(BD[[#This Row],[PRIMER_APELLIDO]])</f>
        <v>Mora</v>
      </c>
    </row>
    <row r="263" spans="1:54" x14ac:dyDescent="0.25">
      <c r="A263" s="2">
        <v>262</v>
      </c>
      <c r="B263" s="2">
        <v>43828</v>
      </c>
      <c r="C263" s="2" t="s">
        <v>619</v>
      </c>
      <c r="D263" s="2" t="s">
        <v>620</v>
      </c>
      <c r="E263" s="2" t="s">
        <v>2390</v>
      </c>
      <c r="F263" s="2">
        <v>24233510</v>
      </c>
      <c r="G263" s="3">
        <v>35.843835616438355</v>
      </c>
      <c r="H263" s="2" t="s">
        <v>622</v>
      </c>
      <c r="I263" s="2" t="s">
        <v>2391</v>
      </c>
      <c r="J263" s="2" t="str">
        <f>+IF(BD[[#This Row],[DEPARTAMENTO_INSS]]="MANAGUA","_01_","_02_")</f>
        <v>_02_</v>
      </c>
      <c r="K263" s="2" t="str">
        <f>+CONCATENATE(BD[[#This Row],[Columna3]],BD[[#This Row],[Columna4]],BD[[#This Row],[NOMBRE COMPLETO]])</f>
        <v>E003_02_FRANIA MARIA TERCERO DUARTE</v>
      </c>
      <c r="L263" s="2" t="s">
        <v>2392</v>
      </c>
      <c r="M263" s="2" t="s">
        <v>724</v>
      </c>
      <c r="N263" s="2" t="s">
        <v>175</v>
      </c>
      <c r="O263" s="2" t="s">
        <v>117</v>
      </c>
      <c r="P263" s="2" t="s">
        <v>626</v>
      </c>
      <c r="Q263" s="2" t="s">
        <v>351</v>
      </c>
      <c r="R263" s="2">
        <v>31713</v>
      </c>
      <c r="S263" s="2">
        <v>31713</v>
      </c>
      <c r="T263" s="2" t="s">
        <v>176</v>
      </c>
      <c r="U263" s="2" t="s">
        <v>176</v>
      </c>
      <c r="V263" s="2" t="s">
        <v>650</v>
      </c>
      <c r="W263" s="2" t="s">
        <v>176</v>
      </c>
      <c r="X263" s="2" t="s">
        <v>2393</v>
      </c>
      <c r="Y263" s="2" t="s">
        <v>2394</v>
      </c>
      <c r="AA263" s="2">
        <v>88325856</v>
      </c>
      <c r="AB263" s="2" t="s">
        <v>642</v>
      </c>
      <c r="AC263" s="2" t="s">
        <v>632</v>
      </c>
      <c r="AD263" s="2">
        <v>88325856</v>
      </c>
      <c r="AJ263" s="2">
        <v>88325856</v>
      </c>
      <c r="AK263" s="2">
        <v>1</v>
      </c>
      <c r="AL263" s="2" t="s">
        <v>633</v>
      </c>
      <c r="AM263" s="2">
        <v>0</v>
      </c>
      <c r="AN263" s="2">
        <v>0</v>
      </c>
      <c r="AO263" s="2">
        <v>1</v>
      </c>
      <c r="AP263" s="2">
        <v>0</v>
      </c>
      <c r="AQ263" s="2">
        <v>0</v>
      </c>
      <c r="AR263" s="2">
        <v>0</v>
      </c>
      <c r="AS263" s="2">
        <v>0</v>
      </c>
      <c r="AT263" s="2">
        <v>0</v>
      </c>
      <c r="BA263" s="2" t="s">
        <v>2395</v>
      </c>
      <c r="BB263" s="2" t="str">
        <f>+PROPER(BD[[#This Row],[PRIMER_APELLIDO]])</f>
        <v>Tercero</v>
      </c>
    </row>
    <row r="264" spans="1:54" x14ac:dyDescent="0.25">
      <c r="A264" s="2">
        <v>263</v>
      </c>
      <c r="B264" s="2">
        <v>36193</v>
      </c>
      <c r="C264" s="2" t="s">
        <v>619</v>
      </c>
      <c r="D264" s="2" t="s">
        <v>620</v>
      </c>
      <c r="E264" s="2" t="s">
        <v>2396</v>
      </c>
      <c r="F264" s="2">
        <v>15709381</v>
      </c>
      <c r="G264" s="3">
        <v>35.846575342465755</v>
      </c>
      <c r="H264" s="2" t="s">
        <v>622</v>
      </c>
      <c r="I264" s="2" t="s">
        <v>2397</v>
      </c>
      <c r="J264" s="2" t="str">
        <f>+IF(BD[[#This Row],[DEPARTAMENTO_INSS]]="MANAGUA","_01_","_02_")</f>
        <v>_02_</v>
      </c>
      <c r="K264" s="2" t="str">
        <f>+CONCATENATE(BD[[#This Row],[Columna3]],BD[[#This Row],[Columna4]],BD[[#This Row],[NOMBRE COMPLETO]])</f>
        <v>E003_02_SCARLET GABRIELA GARCIA HERNANDEZ</v>
      </c>
      <c r="L264" s="2" t="s">
        <v>2398</v>
      </c>
      <c r="M264" s="2" t="s">
        <v>1211</v>
      </c>
      <c r="N264" s="2" t="s">
        <v>10</v>
      </c>
      <c r="O264" s="2" t="s">
        <v>11</v>
      </c>
      <c r="P264" s="2" t="s">
        <v>626</v>
      </c>
      <c r="Q264" s="2" t="s">
        <v>351</v>
      </c>
      <c r="R264" s="2">
        <v>31712</v>
      </c>
      <c r="S264" s="2">
        <v>31712</v>
      </c>
      <c r="T264" s="2" t="s">
        <v>176</v>
      </c>
      <c r="U264" s="2" t="s">
        <v>176</v>
      </c>
      <c r="V264" s="2" t="s">
        <v>650</v>
      </c>
      <c r="W264" s="2" t="s">
        <v>176</v>
      </c>
      <c r="Y264" s="2" t="s">
        <v>2399</v>
      </c>
      <c r="AA264" s="2">
        <v>86053534</v>
      </c>
      <c r="AB264" s="2" t="s">
        <v>654</v>
      </c>
      <c r="AC264" s="2" t="s">
        <v>632</v>
      </c>
      <c r="AD264" s="2">
        <v>86053534</v>
      </c>
      <c r="AJ264" s="2">
        <v>86053534</v>
      </c>
      <c r="AK264" s="2">
        <v>1</v>
      </c>
      <c r="AL264" s="2" t="s">
        <v>633</v>
      </c>
      <c r="AM264" s="2">
        <v>0</v>
      </c>
      <c r="AN264" s="2">
        <v>0</v>
      </c>
      <c r="AO264" s="2">
        <v>1</v>
      </c>
      <c r="AP264" s="2">
        <v>0</v>
      </c>
      <c r="AQ264" s="2">
        <v>0</v>
      </c>
      <c r="AR264" s="2">
        <v>0</v>
      </c>
      <c r="AS264" s="2">
        <v>0</v>
      </c>
      <c r="AT264" s="2">
        <v>0</v>
      </c>
      <c r="BB264" s="2" t="str">
        <f>+PROPER(BD[[#This Row],[PRIMER_APELLIDO]])</f>
        <v>Garcia</v>
      </c>
    </row>
    <row r="265" spans="1:54" x14ac:dyDescent="0.25">
      <c r="A265" s="2">
        <v>264</v>
      </c>
      <c r="B265" s="2">
        <v>58361</v>
      </c>
      <c r="C265" s="2" t="s">
        <v>619</v>
      </c>
      <c r="D265" s="2" t="s">
        <v>620</v>
      </c>
      <c r="E265" s="2" t="s">
        <v>2400</v>
      </c>
      <c r="G265" s="3">
        <v>35.846575342465755</v>
      </c>
      <c r="H265" s="2" t="s">
        <v>622</v>
      </c>
      <c r="I265" s="2" t="s">
        <v>2401</v>
      </c>
      <c r="J265" s="2" t="str">
        <f>+IF(BD[[#This Row],[DEPARTAMENTO_INSS]]="MANAGUA","_01_","_02_")</f>
        <v>_02_</v>
      </c>
      <c r="K265" s="2" t="str">
        <f>+CONCATENATE(BD[[#This Row],[Columna3]],BD[[#This Row],[Columna4]],BD[[#This Row],[NOMBRE COMPLETO]])</f>
        <v>E003_02_ELVER AUDEL LUNA BIATORO</v>
      </c>
      <c r="L265" s="2" t="s">
        <v>2402</v>
      </c>
      <c r="M265" s="2" t="s">
        <v>2403</v>
      </c>
      <c r="N265" s="2" t="s">
        <v>329</v>
      </c>
      <c r="O265" s="2" t="s">
        <v>2404</v>
      </c>
      <c r="P265" s="2" t="s">
        <v>649</v>
      </c>
      <c r="Q265" s="2" t="s">
        <v>351</v>
      </c>
      <c r="R265" s="2">
        <v>31712</v>
      </c>
      <c r="S265" s="2">
        <v>31712</v>
      </c>
      <c r="T265" s="2" t="s">
        <v>1005</v>
      </c>
      <c r="U265" s="2" t="s">
        <v>1005</v>
      </c>
      <c r="V265" s="2" t="s">
        <v>2405</v>
      </c>
      <c r="W265" s="2" t="s">
        <v>2406</v>
      </c>
      <c r="X265" s="2" t="s">
        <v>2407</v>
      </c>
      <c r="Y265" s="2" t="s">
        <v>2408</v>
      </c>
      <c r="Z265" s="2">
        <v>85327443</v>
      </c>
      <c r="AB265" s="2" t="s">
        <v>758</v>
      </c>
      <c r="AC265" s="2" t="s">
        <v>632</v>
      </c>
      <c r="AD265" s="2">
        <v>85327443</v>
      </c>
      <c r="AJ265" s="2">
        <v>85327443</v>
      </c>
      <c r="AK265" s="2">
        <v>1</v>
      </c>
      <c r="AL265" s="2" t="s">
        <v>633</v>
      </c>
      <c r="AM265" s="2">
        <v>0</v>
      </c>
      <c r="AN265" s="2">
        <v>0</v>
      </c>
      <c r="AO265" s="2">
        <v>1</v>
      </c>
      <c r="AP265" s="2">
        <v>0</v>
      </c>
      <c r="AQ265" s="2">
        <v>0</v>
      </c>
      <c r="AR265" s="2">
        <v>0</v>
      </c>
      <c r="AS265" s="2">
        <v>0</v>
      </c>
      <c r="AT265" s="2">
        <v>0</v>
      </c>
      <c r="AZ265" s="2" t="s">
        <v>2409</v>
      </c>
      <c r="BB265" s="2" t="str">
        <f>+PROPER(BD[[#This Row],[PRIMER_APELLIDO]])</f>
        <v>Luna</v>
      </c>
    </row>
    <row r="266" spans="1:54" x14ac:dyDescent="0.25">
      <c r="A266" s="2">
        <v>265</v>
      </c>
      <c r="B266" s="2">
        <v>43147</v>
      </c>
      <c r="C266" s="2" t="s">
        <v>619</v>
      </c>
      <c r="D266" s="2" t="s">
        <v>620</v>
      </c>
      <c r="E266" s="2" t="s">
        <v>2410</v>
      </c>
      <c r="F266" s="2">
        <v>22158729</v>
      </c>
      <c r="G266" s="3">
        <v>35.852054794520548</v>
      </c>
      <c r="H266" s="2" t="s">
        <v>622</v>
      </c>
      <c r="I266" s="2" t="s">
        <v>2411</v>
      </c>
      <c r="J266" s="2" t="str">
        <f>+IF(BD[[#This Row],[DEPARTAMENTO_INSS]]="MANAGUA","_01_","_02_")</f>
        <v>_02_</v>
      </c>
      <c r="K266" s="2" t="str">
        <f>+CONCATENATE(BD[[#This Row],[Columna3]],BD[[#This Row],[Columna4]],BD[[#This Row],[NOMBRE COMPLETO]])</f>
        <v>E003_02_JOSE LEONEL HURTADO NARVAEZ</v>
      </c>
      <c r="L266" s="2" t="s">
        <v>243</v>
      </c>
      <c r="M266" s="2" t="s">
        <v>903</v>
      </c>
      <c r="N266" s="2" t="s">
        <v>107</v>
      </c>
      <c r="O266" s="2" t="s">
        <v>121</v>
      </c>
      <c r="P266" s="2" t="s">
        <v>649</v>
      </c>
      <c r="Q266" s="2" t="s">
        <v>351</v>
      </c>
      <c r="R266" s="2">
        <v>31710</v>
      </c>
      <c r="S266" s="2">
        <v>31710</v>
      </c>
      <c r="T266" s="2" t="s">
        <v>176</v>
      </c>
      <c r="U266" s="2" t="s">
        <v>176</v>
      </c>
      <c r="V266" s="2" t="s">
        <v>650</v>
      </c>
      <c r="W266" s="2" t="s">
        <v>176</v>
      </c>
      <c r="X266" s="2" t="s">
        <v>2412</v>
      </c>
      <c r="Y266" s="2" t="s">
        <v>2413</v>
      </c>
      <c r="AA266" s="2">
        <v>23115991</v>
      </c>
      <c r="AB266" s="2" t="s">
        <v>654</v>
      </c>
      <c r="AC266" s="2" t="s">
        <v>632</v>
      </c>
      <c r="AK266" s="2">
        <v>1</v>
      </c>
      <c r="AL266" s="2" t="s">
        <v>633</v>
      </c>
      <c r="AM266" s="2">
        <v>0</v>
      </c>
      <c r="AN266" s="2">
        <v>0</v>
      </c>
      <c r="AO266" s="2">
        <v>1</v>
      </c>
      <c r="AP266" s="2">
        <v>0</v>
      </c>
      <c r="AQ266" s="2">
        <v>0</v>
      </c>
      <c r="AR266" s="2">
        <v>0</v>
      </c>
      <c r="AS266" s="2">
        <v>0</v>
      </c>
      <c r="AT266" s="2">
        <v>0</v>
      </c>
      <c r="AZ266" s="2" t="s">
        <v>2414</v>
      </c>
      <c r="BB266" s="2" t="str">
        <f>+PROPER(BD[[#This Row],[PRIMER_APELLIDO]])</f>
        <v>Hurtado</v>
      </c>
    </row>
    <row r="267" spans="1:54" x14ac:dyDescent="0.25">
      <c r="A267" s="2">
        <v>266</v>
      </c>
      <c r="B267" s="2">
        <v>66602</v>
      </c>
      <c r="C267" s="2" t="s">
        <v>619</v>
      </c>
      <c r="D267" s="2" t="s">
        <v>620</v>
      </c>
      <c r="E267" s="2" t="s">
        <v>2415</v>
      </c>
      <c r="G267" s="3">
        <v>35.852054794520548</v>
      </c>
      <c r="H267" s="2" t="s">
        <v>622</v>
      </c>
      <c r="I267" s="2" t="s">
        <v>2416</v>
      </c>
      <c r="J267" s="2" t="str">
        <f>+IF(BD[[#This Row],[DEPARTAMENTO_INSS]]="MANAGUA","_01_","_02_")</f>
        <v>_01_</v>
      </c>
      <c r="K267" s="2" t="str">
        <f>+CONCATENATE(BD[[#This Row],[Columna3]],BD[[#This Row],[Columna4]],BD[[#This Row],[NOMBRE COMPLETO]])</f>
        <v>E003_01_EVA MERCEDES BODAN</v>
      </c>
      <c r="L267" s="2" t="s">
        <v>2417</v>
      </c>
      <c r="M267" s="2" t="s">
        <v>769</v>
      </c>
      <c r="N267" s="2" t="s">
        <v>336</v>
      </c>
      <c r="P267" s="2" t="s">
        <v>626</v>
      </c>
      <c r="Q267" s="2" t="s">
        <v>351</v>
      </c>
      <c r="R267" s="2">
        <v>31710</v>
      </c>
      <c r="S267" s="2">
        <v>31710</v>
      </c>
      <c r="T267" s="2" t="s">
        <v>780</v>
      </c>
      <c r="U267" s="2" t="s">
        <v>627</v>
      </c>
      <c r="V267" s="2" t="s">
        <v>781</v>
      </c>
      <c r="W267" s="2" t="s">
        <v>627</v>
      </c>
      <c r="X267" s="2" t="s">
        <v>2418</v>
      </c>
      <c r="Y267" s="2" t="s">
        <v>2419</v>
      </c>
      <c r="Z267" s="2">
        <v>85468765</v>
      </c>
      <c r="AA267" s="2" t="s">
        <v>2420</v>
      </c>
      <c r="AB267" s="2" t="s">
        <v>654</v>
      </c>
      <c r="AC267" s="2" t="s">
        <v>632</v>
      </c>
      <c r="AD267" s="2">
        <v>85468765</v>
      </c>
      <c r="AE267" s="2">
        <v>84050341</v>
      </c>
      <c r="AF267" s="2">
        <v>85468761</v>
      </c>
      <c r="AJ267" s="2">
        <v>85468765</v>
      </c>
      <c r="AK267" s="2">
        <v>3</v>
      </c>
      <c r="AL267" s="2" t="s">
        <v>633</v>
      </c>
      <c r="AM267" s="2">
        <v>0</v>
      </c>
      <c r="AN267" s="2">
        <v>0</v>
      </c>
      <c r="AO267" s="2">
        <v>1</v>
      </c>
      <c r="AP267" s="2">
        <v>0</v>
      </c>
      <c r="AQ267" s="2">
        <v>0</v>
      </c>
      <c r="AR267" s="2">
        <v>0</v>
      </c>
      <c r="AS267" s="2">
        <v>0</v>
      </c>
      <c r="AT267" s="2">
        <v>0</v>
      </c>
      <c r="AZ267" s="2" t="s">
        <v>2421</v>
      </c>
      <c r="BA267" s="2" t="s">
        <v>2422</v>
      </c>
      <c r="BB267" s="2" t="str">
        <f>+PROPER(BD[[#This Row],[PRIMER_APELLIDO]])</f>
        <v>Bodan</v>
      </c>
    </row>
    <row r="268" spans="1:54" x14ac:dyDescent="0.25">
      <c r="A268" s="2">
        <v>267</v>
      </c>
      <c r="B268" s="2">
        <v>50915</v>
      </c>
      <c r="C268" s="2" t="s">
        <v>619</v>
      </c>
      <c r="D268" s="2" t="s">
        <v>620</v>
      </c>
      <c r="E268" s="2" t="s">
        <v>2423</v>
      </c>
      <c r="F268" s="2">
        <v>25024641</v>
      </c>
      <c r="G268" s="3">
        <v>35.854794520547948</v>
      </c>
      <c r="H268" s="2" t="s">
        <v>622</v>
      </c>
      <c r="I268" s="2" t="s">
        <v>2424</v>
      </c>
      <c r="J268" s="2" t="str">
        <f>+IF(BD[[#This Row],[DEPARTAMENTO_INSS]]="MANAGUA","_01_","_02_")</f>
        <v>_02_</v>
      </c>
      <c r="K268" s="2" t="str">
        <f>+CONCATENATE(BD[[#This Row],[Columna3]],BD[[#This Row],[Columna4]],BD[[#This Row],[NOMBRE COMPLETO]])</f>
        <v>E003_02_GADYEL MARDOQUEDO SOLANO MARTINEZ</v>
      </c>
      <c r="L268" s="2" t="s">
        <v>2425</v>
      </c>
      <c r="M268" s="2" t="s">
        <v>2426</v>
      </c>
      <c r="N268" s="2" t="s">
        <v>318</v>
      </c>
      <c r="O268" s="2" t="s">
        <v>44</v>
      </c>
      <c r="P268" s="2" t="s">
        <v>649</v>
      </c>
      <c r="Q268" s="2" t="s">
        <v>351</v>
      </c>
      <c r="R268" s="2">
        <v>31709</v>
      </c>
      <c r="S268" s="2">
        <v>31709</v>
      </c>
      <c r="T268" s="2" t="s">
        <v>669</v>
      </c>
      <c r="U268" s="2" t="s">
        <v>929</v>
      </c>
      <c r="V268" s="2" t="s">
        <v>2427</v>
      </c>
      <c r="W268" s="2" t="s">
        <v>1731</v>
      </c>
      <c r="X268" s="2" t="s">
        <v>2428</v>
      </c>
      <c r="Y268" s="2" t="s">
        <v>2429</v>
      </c>
      <c r="Z268" s="2">
        <v>84932484</v>
      </c>
      <c r="AA268" s="2">
        <v>84932484</v>
      </c>
      <c r="AB268" s="2" t="s">
        <v>798</v>
      </c>
      <c r="AC268" s="2" t="s">
        <v>632</v>
      </c>
      <c r="AD268" s="2">
        <v>84932484</v>
      </c>
      <c r="AJ268" s="2">
        <v>84932484</v>
      </c>
      <c r="AK268" s="2">
        <v>2</v>
      </c>
      <c r="AL268" s="2" t="s">
        <v>633</v>
      </c>
      <c r="AM268" s="2">
        <v>0</v>
      </c>
      <c r="AN268" s="2">
        <v>0</v>
      </c>
      <c r="AO268" s="2">
        <v>1</v>
      </c>
      <c r="AP268" s="2">
        <v>0</v>
      </c>
      <c r="AQ268" s="2">
        <v>0</v>
      </c>
      <c r="AR268" s="2">
        <v>0</v>
      </c>
      <c r="AS268" s="2">
        <v>0</v>
      </c>
      <c r="AT268" s="2">
        <v>0</v>
      </c>
      <c r="AZ268" s="2" t="s">
        <v>2430</v>
      </c>
      <c r="BB268" s="2" t="str">
        <f>+PROPER(BD[[#This Row],[PRIMER_APELLIDO]])</f>
        <v>Solano</v>
      </c>
    </row>
    <row r="269" spans="1:54" x14ac:dyDescent="0.25">
      <c r="A269" s="2">
        <v>268</v>
      </c>
      <c r="B269" s="2">
        <v>48333</v>
      </c>
      <c r="C269" s="2" t="s">
        <v>619</v>
      </c>
      <c r="D269" s="2" t="s">
        <v>620</v>
      </c>
      <c r="E269" s="2" t="s">
        <v>2431</v>
      </c>
      <c r="F269" s="2">
        <v>18349915</v>
      </c>
      <c r="G269" s="3">
        <v>35.857534246575341</v>
      </c>
      <c r="H269" s="2" t="s">
        <v>622</v>
      </c>
      <c r="I269" s="2" t="s">
        <v>2432</v>
      </c>
      <c r="J269" s="2" t="str">
        <f>+IF(BD[[#This Row],[DEPARTAMENTO_INSS]]="MANAGUA","_01_","_02_")</f>
        <v>_01_</v>
      </c>
      <c r="K269" s="2" t="str">
        <f>+CONCATENATE(BD[[#This Row],[Columna3]],BD[[#This Row],[Columna4]],BD[[#This Row],[NOMBRE COMPLETO]])</f>
        <v>E003_01_SILVIA ELENA MURILLO MENBREÑO</v>
      </c>
      <c r="L269" s="2" t="s">
        <v>638</v>
      </c>
      <c r="M269" s="2" t="s">
        <v>1626</v>
      </c>
      <c r="N269" s="2" t="s">
        <v>118</v>
      </c>
      <c r="O269" s="2" t="s">
        <v>2433</v>
      </c>
      <c r="P269" s="2" t="s">
        <v>626</v>
      </c>
      <c r="Q269" s="2" t="s">
        <v>351</v>
      </c>
      <c r="R269" s="2">
        <v>31708</v>
      </c>
      <c r="S269" s="2">
        <v>31708</v>
      </c>
      <c r="T269" s="2" t="s">
        <v>627</v>
      </c>
      <c r="U269" s="2" t="s">
        <v>627</v>
      </c>
      <c r="V269" s="2" t="s">
        <v>627</v>
      </c>
      <c r="W269" s="2" t="s">
        <v>627</v>
      </c>
      <c r="X269" s="2" t="s">
        <v>2434</v>
      </c>
      <c r="Y269" s="2" t="s">
        <v>2435</v>
      </c>
      <c r="Z269" s="2">
        <v>81656606</v>
      </c>
      <c r="AA269" s="2">
        <v>22334577</v>
      </c>
      <c r="AB269" s="2" t="s">
        <v>642</v>
      </c>
      <c r="AC269" s="2" t="s">
        <v>632</v>
      </c>
      <c r="AD269" s="2">
        <v>81656606</v>
      </c>
      <c r="AJ269" s="2">
        <v>81656606</v>
      </c>
      <c r="AK269" s="2">
        <v>2</v>
      </c>
      <c r="AL269" s="2" t="s">
        <v>633</v>
      </c>
      <c r="AM269" s="2">
        <v>0</v>
      </c>
      <c r="AN269" s="2">
        <v>0</v>
      </c>
      <c r="AO269" s="2">
        <v>1</v>
      </c>
      <c r="AP269" s="2">
        <v>0</v>
      </c>
      <c r="AQ269" s="2">
        <v>0</v>
      </c>
      <c r="AR269" s="2">
        <v>0</v>
      </c>
      <c r="AS269" s="2">
        <v>0</v>
      </c>
      <c r="AT269" s="2">
        <v>0</v>
      </c>
      <c r="AZ269" s="2" t="s">
        <v>2436</v>
      </c>
      <c r="BB269" s="2" t="str">
        <f>+PROPER(BD[[#This Row],[PRIMER_APELLIDO]])</f>
        <v>Murillo</v>
      </c>
    </row>
    <row r="270" spans="1:54" x14ac:dyDescent="0.25">
      <c r="A270" s="2">
        <v>269</v>
      </c>
      <c r="B270" s="2">
        <v>47583</v>
      </c>
      <c r="C270" s="2" t="s">
        <v>619</v>
      </c>
      <c r="D270" s="2" t="s">
        <v>620</v>
      </c>
      <c r="E270" s="2" t="s">
        <v>2437</v>
      </c>
      <c r="F270" s="2">
        <v>17631826</v>
      </c>
      <c r="G270" s="3">
        <v>35.863013698630134</v>
      </c>
      <c r="H270" s="2" t="s">
        <v>622</v>
      </c>
      <c r="I270" s="2" t="s">
        <v>2438</v>
      </c>
      <c r="J270" s="2" t="str">
        <f>+IF(BD[[#This Row],[DEPARTAMENTO_INSS]]="MANAGUA","_01_","_02_")</f>
        <v>_02_</v>
      </c>
      <c r="K270" s="2" t="str">
        <f>+CONCATENATE(BD[[#This Row],[Columna3]],BD[[#This Row],[Columna4]],BD[[#This Row],[NOMBRE COMPLETO]])</f>
        <v>E003_02_YADIRA JESSENIA LANZAS MARTINEZ</v>
      </c>
      <c r="L270" s="2" t="s">
        <v>2439</v>
      </c>
      <c r="M270" s="2" t="s">
        <v>1119</v>
      </c>
      <c r="N270" s="2" t="s">
        <v>170</v>
      </c>
      <c r="O270" s="2" t="s">
        <v>44</v>
      </c>
      <c r="P270" s="2" t="s">
        <v>626</v>
      </c>
      <c r="Q270" s="2" t="s">
        <v>351</v>
      </c>
      <c r="R270" s="2">
        <v>31706</v>
      </c>
      <c r="S270" s="2">
        <v>31706</v>
      </c>
      <c r="T270" s="2" t="s">
        <v>627</v>
      </c>
      <c r="U270" s="2" t="s">
        <v>1104</v>
      </c>
      <c r="V270" s="2" t="s">
        <v>627</v>
      </c>
      <c r="W270" s="2" t="s">
        <v>1104</v>
      </c>
      <c r="X270" s="2" t="s">
        <v>2440</v>
      </c>
      <c r="Y270" s="2" t="s">
        <v>2441</v>
      </c>
      <c r="Z270" s="2">
        <v>86672845</v>
      </c>
      <c r="AA270" s="2">
        <v>57381463</v>
      </c>
      <c r="AB270" s="2" t="s">
        <v>631</v>
      </c>
      <c r="AC270" s="2" t="s">
        <v>632</v>
      </c>
      <c r="AD270" s="2">
        <v>86672845</v>
      </c>
      <c r="AF270" s="2">
        <v>57381463</v>
      </c>
      <c r="AJ270" s="2">
        <v>86672845</v>
      </c>
      <c r="AK270" s="2">
        <v>2</v>
      </c>
      <c r="AL270" s="2" t="s">
        <v>633</v>
      </c>
      <c r="AM270" s="2">
        <v>0</v>
      </c>
      <c r="AN270" s="2">
        <v>0</v>
      </c>
      <c r="AO270" s="2">
        <v>1</v>
      </c>
      <c r="AP270" s="2">
        <v>0</v>
      </c>
      <c r="AQ270" s="2">
        <v>0</v>
      </c>
      <c r="AR270" s="2">
        <v>0</v>
      </c>
      <c r="AS270" s="2">
        <v>0</v>
      </c>
      <c r="AT270" s="2">
        <v>0</v>
      </c>
      <c r="AZ270" s="2" t="s">
        <v>2442</v>
      </c>
      <c r="BB270" s="2" t="str">
        <f>+PROPER(BD[[#This Row],[PRIMER_APELLIDO]])</f>
        <v>Lanzas</v>
      </c>
    </row>
    <row r="271" spans="1:54" x14ac:dyDescent="0.25">
      <c r="A271" s="2">
        <v>270</v>
      </c>
      <c r="B271" s="2">
        <v>42505</v>
      </c>
      <c r="C271" s="2" t="s">
        <v>619</v>
      </c>
      <c r="D271" s="2" t="s">
        <v>620</v>
      </c>
      <c r="E271" s="2" t="s">
        <v>2443</v>
      </c>
      <c r="F271" s="2">
        <v>23144617</v>
      </c>
      <c r="G271" s="3">
        <v>35.865753424657534</v>
      </c>
      <c r="H271" s="2" t="s">
        <v>622</v>
      </c>
      <c r="I271" s="2" t="s">
        <v>2444</v>
      </c>
      <c r="J271" s="2" t="str">
        <f>+IF(BD[[#This Row],[DEPARTAMENTO_INSS]]="MANAGUA","_01_","_02_")</f>
        <v>_02_</v>
      </c>
      <c r="K271" s="2" t="str">
        <f>+CONCATENATE(BD[[#This Row],[Columna3]],BD[[#This Row],[Columna4]],BD[[#This Row],[NOMBRE COMPLETO]])</f>
        <v>E003_02_VIVIAN IRENE HUERTA NARVAEZ</v>
      </c>
      <c r="L271" s="2" t="s">
        <v>2445</v>
      </c>
      <c r="M271" s="2" t="s">
        <v>2446</v>
      </c>
      <c r="N271" s="2" t="s">
        <v>411</v>
      </c>
      <c r="O271" s="2" t="s">
        <v>121</v>
      </c>
      <c r="P271" s="2" t="s">
        <v>626</v>
      </c>
      <c r="Q271" s="2" t="s">
        <v>351</v>
      </c>
      <c r="R271" s="2">
        <v>31705</v>
      </c>
      <c r="S271" s="2">
        <v>31705</v>
      </c>
      <c r="T271" s="2" t="s">
        <v>176</v>
      </c>
      <c r="U271" s="2" t="s">
        <v>176</v>
      </c>
      <c r="V271" s="2" t="s">
        <v>650</v>
      </c>
      <c r="W271" s="2" t="s">
        <v>176</v>
      </c>
      <c r="X271" s="2" t="s">
        <v>2447</v>
      </c>
      <c r="Y271" s="2" t="s">
        <v>2448</v>
      </c>
      <c r="Z271" s="2">
        <v>88483451</v>
      </c>
      <c r="AA271" s="2">
        <v>88483451</v>
      </c>
      <c r="AB271" s="2" t="s">
        <v>642</v>
      </c>
      <c r="AC271" s="2" t="s">
        <v>632</v>
      </c>
      <c r="AD271" s="2">
        <v>88483451</v>
      </c>
      <c r="AJ271" s="2">
        <v>88483451</v>
      </c>
      <c r="AK271" s="2">
        <v>2</v>
      </c>
      <c r="AL271" s="2" t="s">
        <v>633</v>
      </c>
      <c r="AM271" s="2">
        <v>0</v>
      </c>
      <c r="AN271" s="2">
        <v>0</v>
      </c>
      <c r="AO271" s="2">
        <v>1</v>
      </c>
      <c r="AP271" s="2">
        <v>0</v>
      </c>
      <c r="AQ271" s="2">
        <v>0</v>
      </c>
      <c r="AR271" s="2">
        <v>0</v>
      </c>
      <c r="AS271" s="2">
        <v>0</v>
      </c>
      <c r="AT271" s="2">
        <v>0</v>
      </c>
      <c r="AZ271" s="2" t="s">
        <v>2449</v>
      </c>
      <c r="BB271" s="2" t="str">
        <f>+PROPER(BD[[#This Row],[PRIMER_APELLIDO]])</f>
        <v>Huerta</v>
      </c>
    </row>
    <row r="272" spans="1:54" x14ac:dyDescent="0.25">
      <c r="A272" s="2">
        <v>271</v>
      </c>
      <c r="B272" s="2">
        <v>32325</v>
      </c>
      <c r="C272" s="2" t="s">
        <v>619</v>
      </c>
      <c r="D272" s="2" t="s">
        <v>620</v>
      </c>
      <c r="E272" s="2" t="s">
        <v>2450</v>
      </c>
      <c r="F272" s="2">
        <v>22261568</v>
      </c>
      <c r="G272" s="3">
        <v>35.868493150684934</v>
      </c>
      <c r="H272" s="2" t="s">
        <v>622</v>
      </c>
      <c r="I272" s="2" t="s">
        <v>2451</v>
      </c>
      <c r="J272" s="2" t="str">
        <f>+IF(BD[[#This Row],[DEPARTAMENTO_INSS]]="MANAGUA","_01_","_02_")</f>
        <v>_01_</v>
      </c>
      <c r="K272" s="2" t="str">
        <f>+CONCATENATE(BD[[#This Row],[Columna3]],BD[[#This Row],[Columna4]],BD[[#This Row],[NOMBRE COMPLETO]])</f>
        <v>E003_01_MELINA DEL CARMEN VANEGAS MARTINEZ</v>
      </c>
      <c r="L272" s="2" t="s">
        <v>2452</v>
      </c>
      <c r="M272" s="2" t="s">
        <v>961</v>
      </c>
      <c r="N272" s="2" t="s">
        <v>75</v>
      </c>
      <c r="O272" s="2" t="s">
        <v>44</v>
      </c>
      <c r="P272" s="2" t="s">
        <v>626</v>
      </c>
      <c r="Q272" s="2" t="s">
        <v>351</v>
      </c>
      <c r="R272" s="2">
        <v>31704</v>
      </c>
      <c r="S272" s="2">
        <v>31704</v>
      </c>
      <c r="T272" s="2" t="s">
        <v>627</v>
      </c>
      <c r="U272" s="2" t="s">
        <v>627</v>
      </c>
      <c r="V272" s="2" t="s">
        <v>1498</v>
      </c>
      <c r="W272" s="2" t="s">
        <v>1498</v>
      </c>
      <c r="X272" s="2" t="s">
        <v>2453</v>
      </c>
      <c r="Y272" s="2" t="s">
        <v>2454</v>
      </c>
      <c r="AA272" s="2" t="s">
        <v>2455</v>
      </c>
      <c r="AB272" s="2" t="s">
        <v>642</v>
      </c>
      <c r="AC272" s="2" t="s">
        <v>632</v>
      </c>
      <c r="AE272" s="2">
        <v>89409592</v>
      </c>
      <c r="AJ272" s="2">
        <v>89409592</v>
      </c>
      <c r="AK272" s="2">
        <v>2</v>
      </c>
      <c r="AL272" s="2" t="s">
        <v>633</v>
      </c>
      <c r="AM272" s="2">
        <v>0</v>
      </c>
      <c r="AN272" s="2">
        <v>0</v>
      </c>
      <c r="AO272" s="2">
        <v>1</v>
      </c>
      <c r="AP272" s="2">
        <v>0</v>
      </c>
      <c r="AQ272" s="2">
        <v>0</v>
      </c>
      <c r="AR272" s="2">
        <v>0</v>
      </c>
      <c r="AS272" s="2">
        <v>0</v>
      </c>
      <c r="AT272" s="2">
        <v>0</v>
      </c>
      <c r="BA272" s="2" t="s">
        <v>2456</v>
      </c>
      <c r="BB272" s="2" t="str">
        <f>+PROPER(BD[[#This Row],[PRIMER_APELLIDO]])</f>
        <v>Vanegas</v>
      </c>
    </row>
    <row r="273" spans="1:54" x14ac:dyDescent="0.25">
      <c r="A273" s="2">
        <v>272</v>
      </c>
      <c r="B273" s="2">
        <v>49690</v>
      </c>
      <c r="C273" s="2" t="s">
        <v>619</v>
      </c>
      <c r="D273" s="2" t="s">
        <v>620</v>
      </c>
      <c r="E273" s="2" t="s">
        <v>2457</v>
      </c>
      <c r="F273" s="2">
        <v>25028784</v>
      </c>
      <c r="G273" s="3">
        <v>35.873972602739727</v>
      </c>
      <c r="H273" s="2" t="s">
        <v>622</v>
      </c>
      <c r="I273" s="2" t="s">
        <v>2458</v>
      </c>
      <c r="J273" s="2" t="str">
        <f>+IF(BD[[#This Row],[DEPARTAMENTO_INSS]]="MANAGUA","_01_","_02_")</f>
        <v>_02_</v>
      </c>
      <c r="K273" s="2" t="str">
        <f>+CONCATENATE(BD[[#This Row],[Columna3]],BD[[#This Row],[Columna4]],BD[[#This Row],[NOMBRE COMPLETO]])</f>
        <v>E003_02_SHANNA MAE DOWNS PERALTA</v>
      </c>
      <c r="L273" s="2" t="s">
        <v>2459</v>
      </c>
      <c r="M273" s="2" t="s">
        <v>2460</v>
      </c>
      <c r="N273" s="2" t="s">
        <v>380</v>
      </c>
      <c r="O273" s="2" t="s">
        <v>396</v>
      </c>
      <c r="P273" s="2" t="s">
        <v>626</v>
      </c>
      <c r="Q273" s="2" t="s">
        <v>351</v>
      </c>
      <c r="R273" s="2">
        <v>31702</v>
      </c>
      <c r="S273" s="2">
        <v>31702</v>
      </c>
      <c r="T273" s="2" t="s">
        <v>780</v>
      </c>
      <c r="U273" s="2" t="s">
        <v>780</v>
      </c>
      <c r="V273" s="2" t="s">
        <v>781</v>
      </c>
      <c r="W273" s="2" t="s">
        <v>781</v>
      </c>
      <c r="X273" s="2" t="s">
        <v>2461</v>
      </c>
      <c r="Y273" s="2" t="s">
        <v>2462</v>
      </c>
      <c r="Z273" s="2">
        <v>87084319</v>
      </c>
      <c r="AA273" s="2">
        <v>25721902</v>
      </c>
      <c r="AB273" s="2" t="s">
        <v>631</v>
      </c>
      <c r="AC273" s="2" t="s">
        <v>632</v>
      </c>
      <c r="AD273" s="2">
        <v>87084319</v>
      </c>
      <c r="AJ273" s="2">
        <v>87084319</v>
      </c>
      <c r="AK273" s="2">
        <v>2</v>
      </c>
      <c r="AL273" s="2" t="s">
        <v>633</v>
      </c>
      <c r="AM273" s="2">
        <v>0</v>
      </c>
      <c r="AN273" s="2">
        <v>0</v>
      </c>
      <c r="AO273" s="2">
        <v>1</v>
      </c>
      <c r="AP273" s="2">
        <v>0</v>
      </c>
      <c r="AQ273" s="2">
        <v>0</v>
      </c>
      <c r="AR273" s="2">
        <v>0</v>
      </c>
      <c r="AS273" s="2">
        <v>0</v>
      </c>
      <c r="AT273" s="2">
        <v>0</v>
      </c>
      <c r="BB273" s="2" t="str">
        <f>+PROPER(BD[[#This Row],[PRIMER_APELLIDO]])</f>
        <v>Downs</v>
      </c>
    </row>
    <row r="274" spans="1:54" x14ac:dyDescent="0.25">
      <c r="A274" s="2">
        <v>273</v>
      </c>
      <c r="B274" s="2">
        <v>62758</v>
      </c>
      <c r="C274" s="2" t="s">
        <v>619</v>
      </c>
      <c r="D274" s="2" t="s">
        <v>620</v>
      </c>
      <c r="E274" s="2" t="s">
        <v>2463</v>
      </c>
      <c r="G274" s="3">
        <v>35.88219178082192</v>
      </c>
      <c r="H274" s="2" t="s">
        <v>622</v>
      </c>
      <c r="I274" s="2" t="s">
        <v>2464</v>
      </c>
      <c r="J274" s="2" t="str">
        <f>+IF(BD[[#This Row],[DEPARTAMENTO_INSS]]="MANAGUA","_01_","_02_")</f>
        <v>_02_</v>
      </c>
      <c r="K274" s="2" t="str">
        <f>+CONCATENATE(BD[[#This Row],[Columna3]],BD[[#This Row],[Columna4]],BD[[#This Row],[NOMBRE COMPLETO]])</f>
        <v>E003_02_BELKISS MARINA GUTIERREZ PALMA</v>
      </c>
      <c r="L274" s="2" t="s">
        <v>2465</v>
      </c>
      <c r="M274" s="2" t="s">
        <v>2466</v>
      </c>
      <c r="N274" s="2" t="s">
        <v>171</v>
      </c>
      <c r="O274" s="2" t="s">
        <v>78</v>
      </c>
      <c r="P274" s="2" t="s">
        <v>626</v>
      </c>
      <c r="Q274" s="2" t="s">
        <v>351</v>
      </c>
      <c r="R274" s="2">
        <v>31699</v>
      </c>
      <c r="S274" s="2">
        <v>31699</v>
      </c>
      <c r="T274" s="2" t="s">
        <v>691</v>
      </c>
      <c r="U274" s="2" t="s">
        <v>691</v>
      </c>
      <c r="V274" s="2" t="s">
        <v>2467</v>
      </c>
      <c r="W274" s="2" t="s">
        <v>2467</v>
      </c>
      <c r="X274" s="2" t="s">
        <v>2468</v>
      </c>
      <c r="Y274" s="2" t="s">
        <v>2469</v>
      </c>
      <c r="Z274" s="2">
        <v>84959911</v>
      </c>
      <c r="AA274" s="2">
        <v>84959911</v>
      </c>
      <c r="AB274" s="2" t="s">
        <v>1294</v>
      </c>
      <c r="AC274" s="2" t="s">
        <v>632</v>
      </c>
      <c r="AD274" s="2">
        <v>84959911</v>
      </c>
      <c r="AJ274" s="2">
        <v>84959911</v>
      </c>
      <c r="AK274" s="2">
        <v>2</v>
      </c>
      <c r="AL274" s="2" t="s">
        <v>633</v>
      </c>
      <c r="AM274" s="2">
        <v>0</v>
      </c>
      <c r="AN274" s="2">
        <v>0</v>
      </c>
      <c r="AO274" s="2">
        <v>1</v>
      </c>
      <c r="AP274" s="2">
        <v>0</v>
      </c>
      <c r="AQ274" s="2">
        <v>0</v>
      </c>
      <c r="AR274" s="2">
        <v>0</v>
      </c>
      <c r="AS274" s="2">
        <v>0</v>
      </c>
      <c r="AT274" s="2">
        <v>0</v>
      </c>
      <c r="BB274" s="2" t="str">
        <f>+PROPER(BD[[#This Row],[PRIMER_APELLIDO]])</f>
        <v>Gutierrez</v>
      </c>
    </row>
    <row r="275" spans="1:54" x14ac:dyDescent="0.25">
      <c r="A275" s="2">
        <v>274</v>
      </c>
      <c r="B275" s="2">
        <v>47582</v>
      </c>
      <c r="C275" s="2" t="s">
        <v>619</v>
      </c>
      <c r="D275" s="2" t="s">
        <v>620</v>
      </c>
      <c r="E275" s="2" t="s">
        <v>2470</v>
      </c>
      <c r="F275" s="2">
        <v>25023921</v>
      </c>
      <c r="G275" s="3">
        <v>35.887671232876713</v>
      </c>
      <c r="H275" s="2" t="s">
        <v>622</v>
      </c>
      <c r="I275" s="2" t="s">
        <v>2471</v>
      </c>
      <c r="J275" s="2" t="str">
        <f>+IF(BD[[#This Row],[DEPARTAMENTO_INSS]]="MANAGUA","_01_","_02_")</f>
        <v>_02_</v>
      </c>
      <c r="K275" s="2" t="str">
        <f>+CONCATENATE(BD[[#This Row],[Columna3]],BD[[#This Row],[Columna4]],BD[[#This Row],[NOMBRE COMPLETO]])</f>
        <v>E003_02_MELIDA ARIANA ALANIZ GARCIA</v>
      </c>
      <c r="L275" s="2" t="s">
        <v>2472</v>
      </c>
      <c r="M275" s="2" t="s">
        <v>1913</v>
      </c>
      <c r="N275" s="2" t="s">
        <v>168</v>
      </c>
      <c r="O275" s="2" t="s">
        <v>10</v>
      </c>
      <c r="P275" s="2" t="s">
        <v>626</v>
      </c>
      <c r="Q275" s="2" t="s">
        <v>351</v>
      </c>
      <c r="R275" s="2">
        <v>31697</v>
      </c>
      <c r="S275" s="2">
        <v>31697</v>
      </c>
      <c r="T275" s="2" t="s">
        <v>1104</v>
      </c>
      <c r="U275" s="2" t="s">
        <v>1104</v>
      </c>
      <c r="V275" s="2" t="s">
        <v>1104</v>
      </c>
      <c r="W275" s="2" t="s">
        <v>1104</v>
      </c>
      <c r="X275" s="2" t="s">
        <v>2473</v>
      </c>
      <c r="Y275" s="2" t="s">
        <v>2474</v>
      </c>
      <c r="Z275" s="2">
        <v>57089012</v>
      </c>
      <c r="AA275" s="2">
        <v>57089012</v>
      </c>
      <c r="AB275" s="2" t="s">
        <v>631</v>
      </c>
      <c r="AC275" s="2" t="s">
        <v>632</v>
      </c>
      <c r="AD275" s="2">
        <v>57089012</v>
      </c>
      <c r="AJ275" s="2">
        <v>57089012</v>
      </c>
      <c r="AK275" s="2">
        <v>2</v>
      </c>
      <c r="AL275" s="2" t="s">
        <v>633</v>
      </c>
      <c r="AM275" s="2">
        <v>0</v>
      </c>
      <c r="AN275" s="2">
        <v>0</v>
      </c>
      <c r="AO275" s="2">
        <v>1</v>
      </c>
      <c r="AP275" s="2">
        <v>0</v>
      </c>
      <c r="AQ275" s="2">
        <v>0</v>
      </c>
      <c r="AR275" s="2">
        <v>0</v>
      </c>
      <c r="AS275" s="2">
        <v>0</v>
      </c>
      <c r="AT275" s="2">
        <v>0</v>
      </c>
      <c r="AZ275" s="2" t="s">
        <v>2475</v>
      </c>
      <c r="BB275" s="2" t="str">
        <f>+PROPER(BD[[#This Row],[PRIMER_APELLIDO]])</f>
        <v>Alaniz</v>
      </c>
    </row>
    <row r="276" spans="1:54" x14ac:dyDescent="0.25">
      <c r="A276" s="2">
        <v>275</v>
      </c>
      <c r="B276" s="2">
        <v>48010</v>
      </c>
      <c r="C276" s="2" t="s">
        <v>619</v>
      </c>
      <c r="D276" s="2" t="s">
        <v>620</v>
      </c>
      <c r="E276" s="2" t="s">
        <v>2476</v>
      </c>
      <c r="F276" s="2">
        <v>17285108</v>
      </c>
      <c r="G276" s="3">
        <v>35.887671232876713</v>
      </c>
      <c r="H276" s="2" t="s">
        <v>622</v>
      </c>
      <c r="I276" s="2" t="s">
        <v>2477</v>
      </c>
      <c r="J276" s="2" t="str">
        <f>+IF(BD[[#This Row],[DEPARTAMENTO_INSS]]="MANAGUA","_01_","_02_")</f>
        <v>_02_</v>
      </c>
      <c r="K276" s="2" t="str">
        <f>+CONCATENATE(BD[[#This Row],[Columna3]],BD[[#This Row],[Columna4]],BD[[#This Row],[NOMBRE COMPLETO]])</f>
        <v>E003_02_KESTHER OMAIRA ROCHA LOPEZ</v>
      </c>
      <c r="L276" s="2" t="s">
        <v>2478</v>
      </c>
      <c r="M276" s="2" t="s">
        <v>2479</v>
      </c>
      <c r="N276" s="2" t="s">
        <v>49</v>
      </c>
      <c r="O276" s="2" t="s">
        <v>15</v>
      </c>
      <c r="P276" s="2" t="s">
        <v>626</v>
      </c>
      <c r="Q276" s="2" t="s">
        <v>351</v>
      </c>
      <c r="R276" s="2">
        <v>31697</v>
      </c>
      <c r="S276" s="2">
        <v>31697</v>
      </c>
      <c r="T276" s="2" t="s">
        <v>133</v>
      </c>
      <c r="U276" s="2" t="s">
        <v>133</v>
      </c>
      <c r="V276" s="2" t="s">
        <v>841</v>
      </c>
      <c r="W276" s="2" t="s">
        <v>841</v>
      </c>
      <c r="X276" s="2" t="s">
        <v>2480</v>
      </c>
      <c r="Y276" s="2" t="s">
        <v>2481</v>
      </c>
      <c r="AA276" s="2">
        <v>83845326</v>
      </c>
      <c r="AB276" s="2" t="s">
        <v>631</v>
      </c>
      <c r="AC276" s="2" t="s">
        <v>632</v>
      </c>
      <c r="AD276" s="2">
        <v>83845326</v>
      </c>
      <c r="AJ276" s="2">
        <v>83845326</v>
      </c>
      <c r="AK276" s="2">
        <v>1</v>
      </c>
      <c r="AL276" s="2" t="s">
        <v>633</v>
      </c>
      <c r="AM276" s="2">
        <v>0</v>
      </c>
      <c r="AN276" s="2">
        <v>0</v>
      </c>
      <c r="AO276" s="2">
        <v>1</v>
      </c>
      <c r="AP276" s="2">
        <v>0</v>
      </c>
      <c r="AQ276" s="2">
        <v>0</v>
      </c>
      <c r="AR276" s="2">
        <v>0</v>
      </c>
      <c r="AS276" s="2">
        <v>0</v>
      </c>
      <c r="AT276" s="2">
        <v>0</v>
      </c>
      <c r="BA276" s="2" t="s">
        <v>2482</v>
      </c>
      <c r="BB276" s="2" t="str">
        <f>+PROPER(BD[[#This Row],[PRIMER_APELLIDO]])</f>
        <v>Rocha</v>
      </c>
    </row>
    <row r="277" spans="1:54" x14ac:dyDescent="0.25">
      <c r="A277" s="2">
        <v>276</v>
      </c>
      <c r="B277" s="2">
        <v>41420</v>
      </c>
      <c r="C277" s="2" t="s">
        <v>619</v>
      </c>
      <c r="D277" s="2" t="s">
        <v>620</v>
      </c>
      <c r="E277" s="2" t="s">
        <v>2483</v>
      </c>
      <c r="F277" s="2">
        <v>23141104</v>
      </c>
      <c r="G277" s="3">
        <v>35.890410958904113</v>
      </c>
      <c r="H277" s="2" t="s">
        <v>622</v>
      </c>
      <c r="I277" s="2" t="s">
        <v>2484</v>
      </c>
      <c r="J277" s="2" t="str">
        <f>+IF(BD[[#This Row],[DEPARTAMENTO_INSS]]="MANAGUA","_01_","_02_")</f>
        <v>_02_</v>
      </c>
      <c r="K277" s="2" t="str">
        <f>+CONCATENATE(BD[[#This Row],[Columna3]],BD[[#This Row],[Columna4]],BD[[#This Row],[NOMBRE COMPLETO]])</f>
        <v>E003_02_GERMAN URIEL GARCIA MARTINEZ</v>
      </c>
      <c r="L277" s="2" t="s">
        <v>2485</v>
      </c>
      <c r="M277" s="2" t="s">
        <v>2486</v>
      </c>
      <c r="N277" s="2" t="s">
        <v>10</v>
      </c>
      <c r="O277" s="2" t="s">
        <v>44</v>
      </c>
      <c r="P277" s="2" t="s">
        <v>649</v>
      </c>
      <c r="Q277" s="2" t="s">
        <v>351</v>
      </c>
      <c r="R277" s="2">
        <v>31696</v>
      </c>
      <c r="S277" s="2">
        <v>31696</v>
      </c>
      <c r="U277" s="2" t="s">
        <v>176</v>
      </c>
      <c r="W277" s="2" t="s">
        <v>176</v>
      </c>
      <c r="Y277" s="2" t="s">
        <v>2487</v>
      </c>
      <c r="AA277" s="2">
        <v>58780300</v>
      </c>
      <c r="AB277" s="2" t="s">
        <v>654</v>
      </c>
      <c r="AC277" s="2" t="s">
        <v>632</v>
      </c>
      <c r="AD277" s="2">
        <v>58780300</v>
      </c>
      <c r="AJ277" s="2">
        <v>58780300</v>
      </c>
      <c r="AK277" s="2">
        <v>1</v>
      </c>
      <c r="AL277" s="2" t="s">
        <v>633</v>
      </c>
      <c r="AM277" s="2">
        <v>0</v>
      </c>
      <c r="AN277" s="2">
        <v>0</v>
      </c>
      <c r="AO277" s="2">
        <v>1</v>
      </c>
      <c r="AP277" s="2">
        <v>0</v>
      </c>
      <c r="AQ277" s="2">
        <v>0</v>
      </c>
      <c r="AR277" s="2">
        <v>0</v>
      </c>
      <c r="AS277" s="2">
        <v>0</v>
      </c>
      <c r="AT277" s="2">
        <v>0</v>
      </c>
      <c r="BB277" s="2" t="str">
        <f>+PROPER(BD[[#This Row],[PRIMER_APELLIDO]])</f>
        <v>Garcia</v>
      </c>
    </row>
    <row r="278" spans="1:54" x14ac:dyDescent="0.25">
      <c r="A278" s="2">
        <v>277</v>
      </c>
      <c r="B278" s="2">
        <v>48054</v>
      </c>
      <c r="C278" s="2" t="s">
        <v>619</v>
      </c>
      <c r="D278" s="2" t="s">
        <v>620</v>
      </c>
      <c r="E278" s="2" t="s">
        <v>2488</v>
      </c>
      <c r="F278" s="2">
        <v>21688555</v>
      </c>
      <c r="G278" s="3">
        <v>35.890410958904113</v>
      </c>
      <c r="H278" s="2" t="s">
        <v>622</v>
      </c>
      <c r="I278" s="2" t="s">
        <v>2489</v>
      </c>
      <c r="J278" s="2" t="str">
        <f>+IF(BD[[#This Row],[DEPARTAMENTO_INSS]]="MANAGUA","_01_","_02_")</f>
        <v>_01_</v>
      </c>
      <c r="K278" s="2" t="str">
        <f>+CONCATENATE(BD[[#This Row],[Columna3]],BD[[#This Row],[Columna4]],BD[[#This Row],[NOMBRE COMPLETO]])</f>
        <v>E003_01_ZOYLA INDIRA MEDRANO CALERO</v>
      </c>
      <c r="L278" s="2" t="s">
        <v>2490</v>
      </c>
      <c r="M278" s="2" t="s">
        <v>1091</v>
      </c>
      <c r="N278" s="2" t="s">
        <v>45</v>
      </c>
      <c r="O278" s="2" t="s">
        <v>80</v>
      </c>
      <c r="P278" s="2" t="s">
        <v>626</v>
      </c>
      <c r="Q278" s="2" t="s">
        <v>351</v>
      </c>
      <c r="R278" s="2">
        <v>31696</v>
      </c>
      <c r="S278" s="2">
        <v>31696</v>
      </c>
      <c r="T278" s="2" t="s">
        <v>1104</v>
      </c>
      <c r="U278" s="2" t="s">
        <v>627</v>
      </c>
      <c r="V278" s="2" t="s">
        <v>1104</v>
      </c>
      <c r="W278" s="2" t="s">
        <v>692</v>
      </c>
      <c r="X278" s="2" t="s">
        <v>2491</v>
      </c>
      <c r="Y278" s="2" t="s">
        <v>2492</v>
      </c>
      <c r="AA278" s="2" t="s">
        <v>2493</v>
      </c>
      <c r="AB278" s="2" t="s">
        <v>642</v>
      </c>
      <c r="AC278" s="2" t="s">
        <v>632</v>
      </c>
      <c r="AE278" s="2">
        <v>84811804</v>
      </c>
      <c r="AJ278" s="2">
        <v>84811804</v>
      </c>
      <c r="AK278" s="2">
        <v>2</v>
      </c>
      <c r="AL278" s="2" t="s">
        <v>633</v>
      </c>
      <c r="AM278" s="2">
        <v>0</v>
      </c>
      <c r="AN278" s="2">
        <v>0</v>
      </c>
      <c r="AO278" s="2">
        <v>1</v>
      </c>
      <c r="AP278" s="2">
        <v>0</v>
      </c>
      <c r="AQ278" s="2">
        <v>0</v>
      </c>
      <c r="AR278" s="2">
        <v>0</v>
      </c>
      <c r="AS278" s="2">
        <v>0</v>
      </c>
      <c r="AT278" s="2">
        <v>0</v>
      </c>
      <c r="BB278" s="2" t="str">
        <f>+PROPER(BD[[#This Row],[PRIMER_APELLIDO]])</f>
        <v>Medrano</v>
      </c>
    </row>
    <row r="279" spans="1:54" x14ac:dyDescent="0.25">
      <c r="A279" s="2">
        <v>278</v>
      </c>
      <c r="B279" s="2">
        <v>46737</v>
      </c>
      <c r="C279" s="2" t="s">
        <v>619</v>
      </c>
      <c r="D279" s="2" t="s">
        <v>620</v>
      </c>
      <c r="E279" s="2" t="s">
        <v>2494</v>
      </c>
      <c r="F279" s="2">
        <v>25029134</v>
      </c>
      <c r="G279" s="3">
        <v>35.893150684931506</v>
      </c>
      <c r="H279" s="2" t="s">
        <v>622</v>
      </c>
      <c r="I279" s="2" t="s">
        <v>2495</v>
      </c>
      <c r="J279" s="2" t="str">
        <f>+IF(BD[[#This Row],[DEPARTAMENTO_INSS]]="MANAGUA","_01_","_02_")</f>
        <v>_01_</v>
      </c>
      <c r="K279" s="2" t="str">
        <f>+CONCATENATE(BD[[#This Row],[Columna3]],BD[[#This Row],[Columna4]],BD[[#This Row],[NOMBRE COMPLETO]])</f>
        <v>E003_01_WALQUIRIA ANGELINA LOPEZ MERCADO</v>
      </c>
      <c r="L279" s="2" t="s">
        <v>2496</v>
      </c>
      <c r="M279" s="2" t="s">
        <v>2497</v>
      </c>
      <c r="N279" s="2" t="s">
        <v>15</v>
      </c>
      <c r="O279" s="2" t="s">
        <v>250</v>
      </c>
      <c r="P279" s="2" t="s">
        <v>626</v>
      </c>
      <c r="Q279" s="2" t="s">
        <v>351</v>
      </c>
      <c r="R279" s="2">
        <v>31695</v>
      </c>
      <c r="S279" s="2">
        <v>31695</v>
      </c>
      <c r="T279" s="2" t="s">
        <v>627</v>
      </c>
      <c r="U279" s="2" t="s">
        <v>627</v>
      </c>
      <c r="V279" s="2" t="s">
        <v>627</v>
      </c>
      <c r="W279" s="2" t="s">
        <v>627</v>
      </c>
      <c r="X279" s="2" t="s">
        <v>2498</v>
      </c>
      <c r="Y279" s="2" t="s">
        <v>2499</v>
      </c>
      <c r="AA279" s="2">
        <v>88521044</v>
      </c>
      <c r="AB279" s="2" t="s">
        <v>631</v>
      </c>
      <c r="AC279" s="2" t="s">
        <v>632</v>
      </c>
      <c r="AD279" s="2">
        <v>88521044</v>
      </c>
      <c r="AJ279" s="2">
        <v>88521044</v>
      </c>
      <c r="AK279" s="2">
        <v>1</v>
      </c>
      <c r="AL279" s="2" t="s">
        <v>633</v>
      </c>
      <c r="AM279" s="2">
        <v>0</v>
      </c>
      <c r="AN279" s="2">
        <v>0</v>
      </c>
      <c r="AO279" s="2">
        <v>1</v>
      </c>
      <c r="AP279" s="2">
        <v>0</v>
      </c>
      <c r="AQ279" s="2">
        <v>0</v>
      </c>
      <c r="AR279" s="2">
        <v>0</v>
      </c>
      <c r="AS279" s="2">
        <v>0</v>
      </c>
      <c r="AT279" s="2">
        <v>0</v>
      </c>
      <c r="BB279" s="2" t="str">
        <f>+PROPER(BD[[#This Row],[PRIMER_APELLIDO]])</f>
        <v>Lopez</v>
      </c>
    </row>
    <row r="280" spans="1:54" x14ac:dyDescent="0.25">
      <c r="A280" s="2">
        <v>279</v>
      </c>
      <c r="B280" s="2">
        <v>32831</v>
      </c>
      <c r="C280" s="2" t="s">
        <v>619</v>
      </c>
      <c r="D280" s="2" t="s">
        <v>620</v>
      </c>
      <c r="E280" s="2" t="s">
        <v>2500</v>
      </c>
      <c r="F280" s="2">
        <v>24416300</v>
      </c>
      <c r="G280" s="3">
        <v>35.895890410958906</v>
      </c>
      <c r="H280" s="2" t="s">
        <v>622</v>
      </c>
      <c r="I280" s="2" t="s">
        <v>2501</v>
      </c>
      <c r="J280" s="2" t="str">
        <f>+IF(BD[[#This Row],[DEPARTAMENTO_INSS]]="MANAGUA","_01_","_02_")</f>
        <v>_02_</v>
      </c>
      <c r="K280" s="2" t="str">
        <f>+CONCATENATE(BD[[#This Row],[Columna3]],BD[[#This Row],[Columna4]],BD[[#This Row],[NOMBRE COMPLETO]])</f>
        <v>E003_02_JOSE ABRAHAN ZUNIGA PEÑET</v>
      </c>
      <c r="L280" s="2" t="s">
        <v>243</v>
      </c>
      <c r="M280" s="2" t="s">
        <v>2502</v>
      </c>
      <c r="N280" s="2" t="s">
        <v>110</v>
      </c>
      <c r="O280" s="2" t="s">
        <v>2503</v>
      </c>
      <c r="P280" s="2" t="s">
        <v>649</v>
      </c>
      <c r="Q280" s="2" t="s">
        <v>351</v>
      </c>
      <c r="R280" s="2">
        <v>31694</v>
      </c>
      <c r="S280" s="2">
        <v>31694</v>
      </c>
      <c r="T280" s="2" t="s">
        <v>740</v>
      </c>
      <c r="U280" s="2" t="s">
        <v>732</v>
      </c>
      <c r="V280" s="2" t="s">
        <v>1788</v>
      </c>
      <c r="W280" s="2" t="s">
        <v>848</v>
      </c>
      <c r="X280" s="2" t="s">
        <v>2504</v>
      </c>
      <c r="Y280" s="2" t="s">
        <v>2505</v>
      </c>
      <c r="Z280" s="2">
        <v>88362356</v>
      </c>
      <c r="AA280" s="2" t="s">
        <v>2506</v>
      </c>
      <c r="AB280" s="2" t="s">
        <v>654</v>
      </c>
      <c r="AC280" s="2" t="s">
        <v>632</v>
      </c>
      <c r="AD280" s="2">
        <v>88362356</v>
      </c>
      <c r="AJ280" s="2">
        <v>88362356</v>
      </c>
      <c r="AK280" s="2">
        <v>3</v>
      </c>
      <c r="AL280" s="2" t="s">
        <v>633</v>
      </c>
      <c r="AM280" s="2">
        <v>0</v>
      </c>
      <c r="AN280" s="2">
        <v>0</v>
      </c>
      <c r="AO280" s="2">
        <v>1</v>
      </c>
      <c r="AP280" s="2">
        <v>0</v>
      </c>
      <c r="AQ280" s="2">
        <v>0</v>
      </c>
      <c r="AR280" s="2">
        <v>0</v>
      </c>
      <c r="AS280" s="2">
        <v>0</v>
      </c>
      <c r="AT280" s="2">
        <v>0</v>
      </c>
      <c r="AZ280" s="2" t="s">
        <v>2507</v>
      </c>
      <c r="BA280" s="2" t="s">
        <v>2508</v>
      </c>
      <c r="BB280" s="2" t="str">
        <f>+PROPER(BD[[#This Row],[PRIMER_APELLIDO]])</f>
        <v>Zuniga</v>
      </c>
    </row>
    <row r="281" spans="1:54" x14ac:dyDescent="0.25">
      <c r="A281" s="2">
        <v>280</v>
      </c>
      <c r="B281" s="2">
        <v>54472</v>
      </c>
      <c r="C281" s="2" t="s">
        <v>619</v>
      </c>
      <c r="D281" s="2" t="s">
        <v>620</v>
      </c>
      <c r="E281" s="2" t="s">
        <v>2509</v>
      </c>
      <c r="G281" s="3">
        <v>35.895890410958906</v>
      </c>
      <c r="H281" s="2" t="s">
        <v>622</v>
      </c>
      <c r="I281" s="2" t="s">
        <v>2510</v>
      </c>
      <c r="J281" s="2" t="str">
        <f>+IF(BD[[#This Row],[DEPARTAMENTO_INSS]]="MANAGUA","_01_","_02_")</f>
        <v>_02_</v>
      </c>
      <c r="K281" s="2" t="str">
        <f>+CONCATENATE(BD[[#This Row],[Columna3]],BD[[#This Row],[Columna4]],BD[[#This Row],[NOMBRE COMPLETO]])</f>
        <v>E003_02_LUIS RODOLFO IBARRA ZELEDON</v>
      </c>
      <c r="L281" s="2" t="s">
        <v>738</v>
      </c>
      <c r="M281" s="2" t="s">
        <v>2511</v>
      </c>
      <c r="N281" s="2" t="s">
        <v>383</v>
      </c>
      <c r="O281" s="2" t="s">
        <v>151</v>
      </c>
      <c r="P281" s="2" t="s">
        <v>649</v>
      </c>
      <c r="Q281" s="2" t="s">
        <v>351</v>
      </c>
      <c r="R281" s="2">
        <v>31694</v>
      </c>
      <c r="S281" s="2">
        <v>31694</v>
      </c>
      <c r="T281" s="2" t="s">
        <v>691</v>
      </c>
      <c r="U281" s="2" t="s">
        <v>691</v>
      </c>
      <c r="V281" s="2" t="s">
        <v>716</v>
      </c>
      <c r="W281" s="2" t="s">
        <v>691</v>
      </c>
      <c r="X281" s="2" t="s">
        <v>2512</v>
      </c>
      <c r="Y281" s="2" t="s">
        <v>2513</v>
      </c>
      <c r="Z281" s="2">
        <v>87166076</v>
      </c>
      <c r="AA281" s="2">
        <v>88425333</v>
      </c>
      <c r="AB281" s="2" t="s">
        <v>798</v>
      </c>
      <c r="AC281" s="2" t="s">
        <v>632</v>
      </c>
      <c r="AD281" s="2">
        <v>87166076</v>
      </c>
      <c r="AF281" s="2">
        <v>88425333</v>
      </c>
      <c r="AJ281" s="2">
        <v>87166076</v>
      </c>
      <c r="AK281" s="2">
        <v>2</v>
      </c>
      <c r="AL281" s="2" t="s">
        <v>633</v>
      </c>
      <c r="AM281" s="2">
        <v>0</v>
      </c>
      <c r="AN281" s="2">
        <v>0</v>
      </c>
      <c r="AO281" s="2">
        <v>1</v>
      </c>
      <c r="AP281" s="2">
        <v>0</v>
      </c>
      <c r="AQ281" s="2">
        <v>0</v>
      </c>
      <c r="AR281" s="2">
        <v>0</v>
      </c>
      <c r="AS281" s="2">
        <v>0</v>
      </c>
      <c r="AT281" s="2">
        <v>0</v>
      </c>
      <c r="AZ281" s="2" t="s">
        <v>2514</v>
      </c>
      <c r="BB281" s="2" t="str">
        <f>+PROPER(BD[[#This Row],[PRIMER_APELLIDO]])</f>
        <v>Ibarra</v>
      </c>
    </row>
    <row r="282" spans="1:54" x14ac:dyDescent="0.25">
      <c r="A282" s="2">
        <v>281</v>
      </c>
      <c r="B282" s="2">
        <v>35307</v>
      </c>
      <c r="C282" s="2" t="s">
        <v>619</v>
      </c>
      <c r="D282" s="2" t="s">
        <v>620</v>
      </c>
      <c r="E282" s="2" t="s">
        <v>2515</v>
      </c>
      <c r="F282" s="2">
        <v>22190617</v>
      </c>
      <c r="G282" s="3">
        <v>35.898630136986299</v>
      </c>
      <c r="H282" s="2" t="s">
        <v>622</v>
      </c>
      <c r="I282" s="2" t="s">
        <v>2516</v>
      </c>
      <c r="J282" s="2" t="str">
        <f>+IF(BD[[#This Row],[DEPARTAMENTO_INSS]]="MANAGUA","_01_","_02_")</f>
        <v>_02_</v>
      </c>
      <c r="K282" s="2" t="str">
        <f>+CONCATENATE(BD[[#This Row],[Columna3]],BD[[#This Row],[Columna4]],BD[[#This Row],[NOMBRE COMPLETO]])</f>
        <v>E003_02_VICTOR HUGO GOMEZ HUERTA</v>
      </c>
      <c r="L282" s="2" t="s">
        <v>1314</v>
      </c>
      <c r="M282" s="2" t="s">
        <v>1222</v>
      </c>
      <c r="N282" s="2" t="s">
        <v>43</v>
      </c>
      <c r="O282" s="2" t="s">
        <v>411</v>
      </c>
      <c r="P282" s="2" t="s">
        <v>649</v>
      </c>
      <c r="Q282" s="2" t="s">
        <v>351</v>
      </c>
      <c r="R282" s="2">
        <v>31693</v>
      </c>
      <c r="S282" s="2">
        <v>31693</v>
      </c>
      <c r="T282" s="2" t="s">
        <v>133</v>
      </c>
      <c r="U282" s="2" t="s">
        <v>133</v>
      </c>
      <c r="V282" s="2" t="s">
        <v>841</v>
      </c>
      <c r="W282" s="2" t="s">
        <v>841</v>
      </c>
      <c r="X282" s="2" t="s">
        <v>2517</v>
      </c>
      <c r="Y282" s="2" t="s">
        <v>2518</v>
      </c>
      <c r="Z282" s="2">
        <v>89126498</v>
      </c>
      <c r="AA282" s="2">
        <v>83352744</v>
      </c>
      <c r="AB282" s="2" t="s">
        <v>654</v>
      </c>
      <c r="AC282" s="2" t="s">
        <v>632</v>
      </c>
      <c r="AD282" s="2">
        <v>89126498</v>
      </c>
      <c r="AF282" s="2">
        <v>83352744</v>
      </c>
      <c r="AJ282" s="2">
        <v>89126498</v>
      </c>
      <c r="AK282" s="2">
        <v>2</v>
      </c>
      <c r="AL282" s="2" t="s">
        <v>633</v>
      </c>
      <c r="AM282" s="2">
        <v>0</v>
      </c>
      <c r="AN282" s="2">
        <v>0</v>
      </c>
      <c r="AO282" s="2">
        <v>1</v>
      </c>
      <c r="AP282" s="2">
        <v>0</v>
      </c>
      <c r="AQ282" s="2">
        <v>0</v>
      </c>
      <c r="AR282" s="2">
        <v>0</v>
      </c>
      <c r="AS282" s="2">
        <v>0</v>
      </c>
      <c r="AT282" s="2">
        <v>0</v>
      </c>
      <c r="AZ282" s="2" t="s">
        <v>2519</v>
      </c>
      <c r="BB282" s="2" t="str">
        <f>+PROPER(BD[[#This Row],[PRIMER_APELLIDO]])</f>
        <v>Gomez</v>
      </c>
    </row>
    <row r="283" spans="1:54" x14ac:dyDescent="0.25">
      <c r="A283" s="2">
        <v>282</v>
      </c>
      <c r="B283" s="2">
        <v>52369</v>
      </c>
      <c r="C283" s="2" t="s">
        <v>619</v>
      </c>
      <c r="D283" s="2" t="s">
        <v>620</v>
      </c>
      <c r="E283" s="2" t="s">
        <v>2520</v>
      </c>
      <c r="F283" s="2">
        <v>26589640</v>
      </c>
      <c r="G283" s="3">
        <v>35.901369863013699</v>
      </c>
      <c r="H283" s="2" t="s">
        <v>622</v>
      </c>
      <c r="I283" s="2" t="s">
        <v>2521</v>
      </c>
      <c r="J283" s="2" t="str">
        <f>+IF(BD[[#This Row],[DEPARTAMENTO_INSS]]="MANAGUA","_01_","_02_")</f>
        <v>_02_</v>
      </c>
      <c r="K283" s="2" t="str">
        <f>+CONCATENATE(BD[[#This Row],[Columna3]],BD[[#This Row],[Columna4]],BD[[#This Row],[NOMBRE COMPLETO]])</f>
        <v>E003_02_IGNACIO ANTONIO CASTILLO BARAHONA</v>
      </c>
      <c r="L283" s="2" t="s">
        <v>2522</v>
      </c>
      <c r="M283" s="2" t="s">
        <v>904</v>
      </c>
      <c r="N283" s="2" t="s">
        <v>100</v>
      </c>
      <c r="O283" s="2" t="s">
        <v>2523</v>
      </c>
      <c r="P283" s="2" t="s">
        <v>649</v>
      </c>
      <c r="Q283" s="2" t="s">
        <v>351</v>
      </c>
      <c r="R283" s="2">
        <v>31692</v>
      </c>
      <c r="S283" s="2">
        <v>31692</v>
      </c>
      <c r="T283" s="2" t="s">
        <v>740</v>
      </c>
      <c r="U283" s="2" t="s">
        <v>740</v>
      </c>
      <c r="V283" s="2" t="s">
        <v>740</v>
      </c>
      <c r="W283" s="2" t="s">
        <v>740</v>
      </c>
      <c r="X283" s="2" t="s">
        <v>2524</v>
      </c>
      <c r="Y283" s="2" t="s">
        <v>2525</v>
      </c>
      <c r="Z283" s="2">
        <v>81917758</v>
      </c>
      <c r="AA283" s="2">
        <v>86516594</v>
      </c>
      <c r="AB283" s="2" t="s">
        <v>798</v>
      </c>
      <c r="AC283" s="2" t="s">
        <v>632</v>
      </c>
      <c r="AD283" s="2">
        <v>81917758</v>
      </c>
      <c r="AF283" s="2">
        <v>86516594</v>
      </c>
      <c r="AJ283" s="2">
        <v>81917758</v>
      </c>
      <c r="AK283" s="2">
        <v>2</v>
      </c>
      <c r="AL283" s="2" t="s">
        <v>633</v>
      </c>
      <c r="AM283" s="2">
        <v>0</v>
      </c>
      <c r="AN283" s="2">
        <v>0</v>
      </c>
      <c r="AO283" s="2">
        <v>1</v>
      </c>
      <c r="AP283" s="2">
        <v>0</v>
      </c>
      <c r="AQ283" s="2">
        <v>0</v>
      </c>
      <c r="AR283" s="2">
        <v>0</v>
      </c>
      <c r="AS283" s="2">
        <v>0</v>
      </c>
      <c r="AT283" s="2">
        <v>0</v>
      </c>
      <c r="AZ283" s="2" t="s">
        <v>2526</v>
      </c>
      <c r="BB283" s="2" t="str">
        <f>+PROPER(BD[[#This Row],[PRIMER_APELLIDO]])</f>
        <v>Castillo</v>
      </c>
    </row>
    <row r="284" spans="1:54" x14ac:dyDescent="0.25">
      <c r="A284" s="2">
        <v>283</v>
      </c>
      <c r="B284" s="2">
        <v>41385</v>
      </c>
      <c r="C284" s="2" t="s">
        <v>619</v>
      </c>
      <c r="D284" s="2" t="s">
        <v>620</v>
      </c>
      <c r="E284" s="2" t="s">
        <v>2527</v>
      </c>
      <c r="F284" s="2">
        <v>24986072</v>
      </c>
      <c r="G284" s="3">
        <v>35.906849315068492</v>
      </c>
      <c r="H284" s="2" t="s">
        <v>622</v>
      </c>
      <c r="I284" s="2" t="s">
        <v>2528</v>
      </c>
      <c r="J284" s="2" t="str">
        <f>+IF(BD[[#This Row],[DEPARTAMENTO_INSS]]="MANAGUA","_01_","_02_")</f>
        <v>_02_</v>
      </c>
      <c r="K284" s="2" t="str">
        <f>+CONCATENATE(BD[[#This Row],[Columna3]],BD[[#This Row],[Columna4]],BD[[#This Row],[NOMBRE COMPLETO]])</f>
        <v>E003_02_INDIRA MASSIEL VALENZUELA ZAVALA</v>
      </c>
      <c r="L284" s="2" t="s">
        <v>1091</v>
      </c>
      <c r="M284" s="2" t="s">
        <v>2529</v>
      </c>
      <c r="N284" s="2" t="s">
        <v>309</v>
      </c>
      <c r="O284" s="2" t="s">
        <v>258</v>
      </c>
      <c r="P284" s="2" t="s">
        <v>626</v>
      </c>
      <c r="Q284" s="2" t="s">
        <v>351</v>
      </c>
      <c r="R284" s="2">
        <v>31690</v>
      </c>
      <c r="S284" s="2">
        <v>31690</v>
      </c>
      <c r="T284" s="2" t="s">
        <v>1044</v>
      </c>
      <c r="U284" s="2" t="s">
        <v>1044</v>
      </c>
      <c r="V284" s="2" t="s">
        <v>1045</v>
      </c>
      <c r="W284" s="2" t="s">
        <v>1045</v>
      </c>
      <c r="X284" s="2" t="s">
        <v>2530</v>
      </c>
      <c r="Y284" s="2" t="s">
        <v>2531</v>
      </c>
      <c r="Z284" s="2">
        <v>84476379</v>
      </c>
      <c r="AA284" s="2">
        <v>58008235</v>
      </c>
      <c r="AB284" s="2" t="s">
        <v>631</v>
      </c>
      <c r="AC284" s="2" t="s">
        <v>632</v>
      </c>
      <c r="AD284" s="2">
        <v>84476379</v>
      </c>
      <c r="AF284" s="2">
        <v>58008235</v>
      </c>
      <c r="AJ284" s="2">
        <v>84476379</v>
      </c>
      <c r="AK284" s="2">
        <v>2</v>
      </c>
      <c r="AL284" s="2" t="s">
        <v>633</v>
      </c>
      <c r="AM284" s="2">
        <v>0</v>
      </c>
      <c r="AN284" s="2">
        <v>0</v>
      </c>
      <c r="AO284" s="2">
        <v>1</v>
      </c>
      <c r="AP284" s="2">
        <v>0</v>
      </c>
      <c r="AQ284" s="2">
        <v>0</v>
      </c>
      <c r="AR284" s="2">
        <v>0</v>
      </c>
      <c r="AS284" s="2">
        <v>0</v>
      </c>
      <c r="AT284" s="2">
        <v>0</v>
      </c>
      <c r="BB284" s="2" t="str">
        <f>+PROPER(BD[[#This Row],[PRIMER_APELLIDO]])</f>
        <v>Valenzuela</v>
      </c>
    </row>
    <row r="285" spans="1:54" x14ac:dyDescent="0.25">
      <c r="A285" s="2">
        <v>284</v>
      </c>
      <c r="B285" s="2">
        <v>39485</v>
      </c>
      <c r="C285" s="2" t="s">
        <v>619</v>
      </c>
      <c r="D285" s="2" t="s">
        <v>620</v>
      </c>
      <c r="E285" s="2" t="s">
        <v>2532</v>
      </c>
      <c r="F285" s="2">
        <v>22005726</v>
      </c>
      <c r="G285" s="3">
        <v>35.915068493150685</v>
      </c>
      <c r="H285" s="2" t="s">
        <v>622</v>
      </c>
      <c r="I285" s="2" t="s">
        <v>2533</v>
      </c>
      <c r="J285" s="2" t="str">
        <f>+IF(BD[[#This Row],[DEPARTAMENTO_INSS]]="MANAGUA","_01_","_02_")</f>
        <v>_02_</v>
      </c>
      <c r="K285" s="2" t="str">
        <f>+CONCATENATE(BD[[#This Row],[Columna3]],BD[[#This Row],[Columna4]],BD[[#This Row],[NOMBRE COMPLETO]])</f>
        <v>E003_02_LUIS ALEXANDER ABURTO MARTINEZ</v>
      </c>
      <c r="L285" s="2" t="s">
        <v>738</v>
      </c>
      <c r="M285" s="2" t="s">
        <v>2176</v>
      </c>
      <c r="N285" s="2" t="s">
        <v>35</v>
      </c>
      <c r="O285" s="2" t="s">
        <v>44</v>
      </c>
      <c r="P285" s="2" t="s">
        <v>649</v>
      </c>
      <c r="Q285" s="2" t="s">
        <v>351</v>
      </c>
      <c r="R285" s="2">
        <v>31687</v>
      </c>
      <c r="S285" s="2">
        <v>31687</v>
      </c>
      <c r="T285" s="2" t="s">
        <v>780</v>
      </c>
      <c r="U285" s="2" t="s">
        <v>780</v>
      </c>
      <c r="V285" s="2" t="s">
        <v>781</v>
      </c>
      <c r="W285" s="2" t="s">
        <v>781</v>
      </c>
      <c r="X285" s="2" t="s">
        <v>2534</v>
      </c>
      <c r="Y285" s="2" t="s">
        <v>2535</v>
      </c>
      <c r="Z285" s="2">
        <v>83689018</v>
      </c>
      <c r="AA285" s="2">
        <v>88144818</v>
      </c>
      <c r="AB285" s="2" t="s">
        <v>654</v>
      </c>
      <c r="AC285" s="2" t="s">
        <v>632</v>
      </c>
      <c r="AD285" s="2">
        <v>83689018</v>
      </c>
      <c r="AF285" s="2">
        <v>88144818</v>
      </c>
      <c r="AJ285" s="2">
        <v>83689018</v>
      </c>
      <c r="AK285" s="2">
        <v>2</v>
      </c>
      <c r="AL285" s="2" t="s">
        <v>633</v>
      </c>
      <c r="AM285" s="2">
        <v>0</v>
      </c>
      <c r="AN285" s="2">
        <v>0</v>
      </c>
      <c r="AO285" s="2">
        <v>1</v>
      </c>
      <c r="AP285" s="2">
        <v>0</v>
      </c>
      <c r="AQ285" s="2">
        <v>0</v>
      </c>
      <c r="AR285" s="2">
        <v>0</v>
      </c>
      <c r="AS285" s="2">
        <v>0</v>
      </c>
      <c r="AT285" s="2">
        <v>0</v>
      </c>
      <c r="AZ285" s="2" t="s">
        <v>2536</v>
      </c>
      <c r="BB285" s="2" t="str">
        <f>+PROPER(BD[[#This Row],[PRIMER_APELLIDO]])</f>
        <v>Aburto</v>
      </c>
    </row>
    <row r="286" spans="1:54" x14ac:dyDescent="0.25">
      <c r="A286" s="2">
        <v>285</v>
      </c>
      <c r="B286" s="2">
        <v>80302</v>
      </c>
      <c r="C286" s="2" t="s">
        <v>619</v>
      </c>
      <c r="D286" s="2" t="s">
        <v>620</v>
      </c>
      <c r="E286" s="2" t="s">
        <v>2537</v>
      </c>
      <c r="G286" s="3">
        <v>35.915068493150685</v>
      </c>
      <c r="H286" s="2" t="s">
        <v>622</v>
      </c>
      <c r="I286" s="2" t="s">
        <v>2538</v>
      </c>
      <c r="J286" s="2" t="str">
        <f>+IF(BD[[#This Row],[DEPARTAMENTO_INSS]]="MANAGUA","_01_","_02_")</f>
        <v>_01_</v>
      </c>
      <c r="K286" s="2" t="str">
        <f>+CONCATENATE(BD[[#This Row],[Columna3]],BD[[#This Row],[Columna4]],BD[[#This Row],[NOMBRE COMPLETO]])</f>
        <v>E003_01_OSCAR DANILO HALFTERMEYER</v>
      </c>
      <c r="L286" s="2" t="s">
        <v>2539</v>
      </c>
      <c r="M286" s="2" t="s">
        <v>1659</v>
      </c>
      <c r="N286" s="2" t="s">
        <v>229</v>
      </c>
      <c r="P286" s="2" t="s">
        <v>649</v>
      </c>
      <c r="Q286" s="2" t="s">
        <v>351</v>
      </c>
      <c r="R286" s="2">
        <v>31687</v>
      </c>
      <c r="S286" s="2">
        <v>31687</v>
      </c>
      <c r="T286" s="2" t="s">
        <v>627</v>
      </c>
      <c r="U286" s="2" t="s">
        <v>627</v>
      </c>
      <c r="V286" s="2" t="s">
        <v>627</v>
      </c>
      <c r="W286" s="2" t="s">
        <v>627</v>
      </c>
      <c r="X286" s="2" t="s">
        <v>2540</v>
      </c>
      <c r="Y286" s="2" t="s">
        <v>2541</v>
      </c>
      <c r="Z286" s="2">
        <v>78160260</v>
      </c>
      <c r="AB286" s="2" t="s">
        <v>654</v>
      </c>
      <c r="AC286" s="2" t="s">
        <v>632</v>
      </c>
      <c r="AD286" s="2">
        <v>78160260</v>
      </c>
      <c r="AJ286" s="2">
        <v>78160260</v>
      </c>
      <c r="AK286" s="2">
        <v>1</v>
      </c>
      <c r="AL286" s="2" t="s">
        <v>633</v>
      </c>
      <c r="AM286" s="2">
        <v>0</v>
      </c>
      <c r="AN286" s="2">
        <v>0</v>
      </c>
      <c r="AO286" s="2">
        <v>1</v>
      </c>
      <c r="AP286" s="2">
        <v>0</v>
      </c>
      <c r="AQ286" s="2">
        <v>0</v>
      </c>
      <c r="AR286" s="2">
        <v>0</v>
      </c>
      <c r="AS286" s="2">
        <v>0</v>
      </c>
      <c r="AT286" s="2">
        <v>0</v>
      </c>
      <c r="AZ286" s="2" t="s">
        <v>2542</v>
      </c>
      <c r="BB286" s="2" t="str">
        <f>+PROPER(BD[[#This Row],[PRIMER_APELLIDO]])</f>
        <v>Halftermeyer</v>
      </c>
    </row>
    <row r="287" spans="1:54" x14ac:dyDescent="0.25">
      <c r="A287" s="2">
        <v>286</v>
      </c>
      <c r="B287" s="2">
        <v>77118</v>
      </c>
      <c r="C287" s="2" t="s">
        <v>619</v>
      </c>
      <c r="D287" s="2" t="s">
        <v>620</v>
      </c>
      <c r="E287" s="2" t="s">
        <v>2543</v>
      </c>
      <c r="G287" s="3">
        <v>35.917808219178085</v>
      </c>
      <c r="H287" s="2" t="s">
        <v>622</v>
      </c>
      <c r="I287" s="2" t="s">
        <v>2544</v>
      </c>
      <c r="J287" s="2" t="str">
        <f>+IF(BD[[#This Row],[DEPARTAMENTO_INSS]]="MANAGUA","_01_","_02_")</f>
        <v>_02_</v>
      </c>
      <c r="K287" s="2" t="str">
        <f>+CONCATENATE(BD[[#This Row],[Columna3]],BD[[#This Row],[Columna4]],BD[[#This Row],[NOMBRE COMPLETO]])</f>
        <v>E003_02_RAQUEL DEL SOCORRO ALGUERA PEREIRA</v>
      </c>
      <c r="L287" s="2" t="s">
        <v>2545</v>
      </c>
      <c r="M287" s="2" t="s">
        <v>787</v>
      </c>
      <c r="N287" s="2" t="s">
        <v>265</v>
      </c>
      <c r="O287" s="2" t="s">
        <v>447</v>
      </c>
      <c r="P287" s="2" t="s">
        <v>626</v>
      </c>
      <c r="Q287" s="2" t="s">
        <v>351</v>
      </c>
      <c r="R287" s="2">
        <v>31686</v>
      </c>
      <c r="S287" s="2">
        <v>31686</v>
      </c>
      <c r="T287" s="2" t="s">
        <v>740</v>
      </c>
      <c r="U287" s="2" t="s">
        <v>740</v>
      </c>
      <c r="V287" s="2" t="s">
        <v>740</v>
      </c>
      <c r="W287" s="2" t="s">
        <v>740</v>
      </c>
      <c r="X287" s="2" t="s">
        <v>2546</v>
      </c>
      <c r="Y287" s="2" t="s">
        <v>2547</v>
      </c>
      <c r="Z287" s="2">
        <v>82953142</v>
      </c>
      <c r="AB287" s="2" t="s">
        <v>642</v>
      </c>
      <c r="AC287" s="2" t="s">
        <v>632</v>
      </c>
      <c r="AD287" s="2">
        <v>82953142</v>
      </c>
      <c r="AJ287" s="2">
        <v>82953142</v>
      </c>
      <c r="AK287" s="2">
        <v>1</v>
      </c>
      <c r="AL287" s="2" t="s">
        <v>633</v>
      </c>
      <c r="AM287" s="2">
        <v>0</v>
      </c>
      <c r="AN287" s="2">
        <v>0</v>
      </c>
      <c r="AO287" s="2">
        <v>1</v>
      </c>
      <c r="AP287" s="2">
        <v>0</v>
      </c>
      <c r="AQ287" s="2">
        <v>0</v>
      </c>
      <c r="AR287" s="2">
        <v>0</v>
      </c>
      <c r="AS287" s="2">
        <v>0</v>
      </c>
      <c r="AT287" s="2">
        <v>0</v>
      </c>
      <c r="AZ287" s="2" t="s">
        <v>2548</v>
      </c>
      <c r="BB287" s="2" t="str">
        <f>+PROPER(BD[[#This Row],[PRIMER_APELLIDO]])</f>
        <v>Alguera</v>
      </c>
    </row>
    <row r="288" spans="1:54" x14ac:dyDescent="0.25">
      <c r="A288" s="2">
        <v>287</v>
      </c>
      <c r="B288" s="2">
        <v>51236</v>
      </c>
      <c r="C288" s="2" t="s">
        <v>619</v>
      </c>
      <c r="D288" s="2" t="s">
        <v>620</v>
      </c>
      <c r="E288" s="2" t="s">
        <v>2549</v>
      </c>
      <c r="F288" s="2">
        <v>16577002</v>
      </c>
      <c r="G288" s="3">
        <v>35.934246575342463</v>
      </c>
      <c r="H288" s="2" t="s">
        <v>622</v>
      </c>
      <c r="I288" s="2" t="s">
        <v>2550</v>
      </c>
      <c r="J288" s="2" t="str">
        <f>+IF(BD[[#This Row],[DEPARTAMENTO_INSS]]="MANAGUA","_01_","_02_")</f>
        <v>_02_</v>
      </c>
      <c r="K288" s="2" t="str">
        <f>+CONCATENATE(BD[[#This Row],[Columna3]],BD[[#This Row],[Columna4]],BD[[#This Row],[NOMBRE COMPLETO]])</f>
        <v>E003_02_KENIA DE JESUS ENRIQUEZ GAITAN</v>
      </c>
      <c r="L288" s="2" t="s">
        <v>802</v>
      </c>
      <c r="M288" s="2" t="s">
        <v>2551</v>
      </c>
      <c r="N288" s="2" t="s">
        <v>452</v>
      </c>
      <c r="O288" s="2" t="s">
        <v>54</v>
      </c>
      <c r="P288" s="2" t="s">
        <v>626</v>
      </c>
      <c r="Q288" s="2" t="s">
        <v>351</v>
      </c>
      <c r="R288" s="2">
        <v>31680</v>
      </c>
      <c r="S288" s="2">
        <v>31680</v>
      </c>
      <c r="T288" s="2" t="s">
        <v>732</v>
      </c>
      <c r="U288" s="2" t="s">
        <v>732</v>
      </c>
      <c r="V288" s="2" t="s">
        <v>2552</v>
      </c>
      <c r="W288" s="2" t="s">
        <v>2552</v>
      </c>
      <c r="X288" s="2" t="s">
        <v>2553</v>
      </c>
      <c r="Y288" s="2" t="s">
        <v>2554</v>
      </c>
      <c r="Z288" s="2">
        <v>89992044</v>
      </c>
      <c r="AB288" s="2" t="s">
        <v>631</v>
      </c>
      <c r="AC288" s="2" t="s">
        <v>632</v>
      </c>
      <c r="AD288" s="2">
        <v>89992044</v>
      </c>
      <c r="AJ288" s="2">
        <v>89992044</v>
      </c>
      <c r="AK288" s="2">
        <v>1</v>
      </c>
      <c r="AL288" s="2" t="s">
        <v>633</v>
      </c>
      <c r="AM288" s="2">
        <v>0</v>
      </c>
      <c r="AN288" s="2">
        <v>0</v>
      </c>
      <c r="AO288" s="2">
        <v>1</v>
      </c>
      <c r="AP288" s="2">
        <v>0</v>
      </c>
      <c r="AQ288" s="2">
        <v>0</v>
      </c>
      <c r="AR288" s="2">
        <v>0</v>
      </c>
      <c r="AS288" s="2">
        <v>0</v>
      </c>
      <c r="AT288" s="2">
        <v>0</v>
      </c>
      <c r="AZ288" s="2" t="s">
        <v>2555</v>
      </c>
      <c r="BB288" s="2" t="str">
        <f>+PROPER(BD[[#This Row],[PRIMER_APELLIDO]])</f>
        <v>Enriquez</v>
      </c>
    </row>
    <row r="289" spans="1:54" x14ac:dyDescent="0.25">
      <c r="A289" s="2">
        <v>288</v>
      </c>
      <c r="B289" s="2">
        <v>50605</v>
      </c>
      <c r="C289" s="2" t="s">
        <v>619</v>
      </c>
      <c r="D289" s="2" t="s">
        <v>620</v>
      </c>
      <c r="E289" s="2" t="s">
        <v>2556</v>
      </c>
      <c r="F289" s="2">
        <v>18377642</v>
      </c>
      <c r="G289" s="3">
        <v>35.942465753424656</v>
      </c>
      <c r="H289" s="2" t="s">
        <v>622</v>
      </c>
      <c r="I289" s="2" t="s">
        <v>2557</v>
      </c>
      <c r="J289" s="2" t="str">
        <f>+IF(BD[[#This Row],[DEPARTAMENTO_INSS]]="MANAGUA","_01_","_02_")</f>
        <v>_01_</v>
      </c>
      <c r="K289" s="2" t="str">
        <f>+CONCATENATE(BD[[#This Row],[Columna3]],BD[[#This Row],[Columna4]],BD[[#This Row],[NOMBRE COMPLETO]])</f>
        <v>E003_01_JOULISSA MARIA SARAVIA LOPEZ</v>
      </c>
      <c r="L289" s="2" t="s">
        <v>2558</v>
      </c>
      <c r="M289" s="2" t="s">
        <v>724</v>
      </c>
      <c r="N289" s="2" t="s">
        <v>388</v>
      </c>
      <c r="O289" s="2" t="s">
        <v>15</v>
      </c>
      <c r="P289" s="2" t="s">
        <v>626</v>
      </c>
      <c r="Q289" s="2" t="s">
        <v>351</v>
      </c>
      <c r="R289" s="2">
        <v>31677</v>
      </c>
      <c r="S289" s="2">
        <v>31677</v>
      </c>
      <c r="T289" s="2" t="s">
        <v>627</v>
      </c>
      <c r="U289" s="2" t="s">
        <v>627</v>
      </c>
      <c r="V289" s="2" t="s">
        <v>627</v>
      </c>
      <c r="W289" s="2" t="s">
        <v>627</v>
      </c>
      <c r="X289" s="2" t="s">
        <v>2559</v>
      </c>
      <c r="Y289" s="2" t="s">
        <v>2560</v>
      </c>
      <c r="AA289" s="2">
        <v>88992748</v>
      </c>
      <c r="AB289" s="2" t="s">
        <v>642</v>
      </c>
      <c r="AC289" s="2" t="s">
        <v>632</v>
      </c>
      <c r="AD289" s="2">
        <v>88992748</v>
      </c>
      <c r="AJ289" s="2">
        <v>88992748</v>
      </c>
      <c r="AK289" s="2">
        <v>1</v>
      </c>
      <c r="AL289" s="2" t="s">
        <v>633</v>
      </c>
      <c r="AM289" s="2">
        <v>0</v>
      </c>
      <c r="AN289" s="2">
        <v>0</v>
      </c>
      <c r="AO289" s="2">
        <v>1</v>
      </c>
      <c r="AP289" s="2">
        <v>0</v>
      </c>
      <c r="AQ289" s="2">
        <v>0</v>
      </c>
      <c r="AR289" s="2">
        <v>0</v>
      </c>
      <c r="AS289" s="2">
        <v>0</v>
      </c>
      <c r="AT289" s="2">
        <v>0</v>
      </c>
      <c r="BB289" s="2" t="str">
        <f>+PROPER(BD[[#This Row],[PRIMER_APELLIDO]])</f>
        <v>Saravia</v>
      </c>
    </row>
    <row r="290" spans="1:54" x14ac:dyDescent="0.25">
      <c r="A290" s="2">
        <v>289</v>
      </c>
      <c r="B290" s="2">
        <v>45739</v>
      </c>
      <c r="C290" s="2" t="s">
        <v>619</v>
      </c>
      <c r="D290" s="2" t="s">
        <v>620</v>
      </c>
      <c r="E290" s="2" t="s">
        <v>2561</v>
      </c>
      <c r="F290" s="2">
        <v>22352091</v>
      </c>
      <c r="G290" s="3">
        <v>35.947945205479449</v>
      </c>
      <c r="H290" s="2" t="s">
        <v>622</v>
      </c>
      <c r="I290" s="2" t="s">
        <v>2562</v>
      </c>
      <c r="J290" s="2" t="str">
        <f>+IF(BD[[#This Row],[DEPARTAMENTO_INSS]]="MANAGUA","_01_","_02_")</f>
        <v>_02_</v>
      </c>
      <c r="K290" s="2" t="str">
        <f>+CONCATENATE(BD[[#This Row],[Columna3]],BD[[#This Row],[Columna4]],BD[[#This Row],[NOMBRE COMPLETO]])</f>
        <v>E003_02_MARBELLY DE LOS ANGELES MOLINA ESPINOZA</v>
      </c>
      <c r="L290" s="2" t="s">
        <v>2563</v>
      </c>
      <c r="M290" s="2" t="s">
        <v>683</v>
      </c>
      <c r="N290" s="2" t="s">
        <v>63</v>
      </c>
      <c r="O290" s="2" t="s">
        <v>235</v>
      </c>
      <c r="P290" s="2" t="s">
        <v>626</v>
      </c>
      <c r="Q290" s="2" t="s">
        <v>351</v>
      </c>
      <c r="R290" s="2">
        <v>31675</v>
      </c>
      <c r="S290" s="2">
        <v>31675</v>
      </c>
      <c r="T290" s="2" t="s">
        <v>705</v>
      </c>
      <c r="U290" s="2" t="s">
        <v>705</v>
      </c>
      <c r="V290" s="2" t="s">
        <v>1014</v>
      </c>
      <c r="W290" s="2" t="s">
        <v>1014</v>
      </c>
      <c r="Y290" s="2" t="s">
        <v>2564</v>
      </c>
      <c r="AA290" s="2" t="s">
        <v>2565</v>
      </c>
      <c r="AB290" s="2" t="s">
        <v>642</v>
      </c>
      <c r="AC290" s="2" t="s">
        <v>632</v>
      </c>
      <c r="AD290" s="2">
        <v>82955853</v>
      </c>
      <c r="AE290" s="2">
        <v>87845874</v>
      </c>
      <c r="AJ290" s="2">
        <v>82955853</v>
      </c>
      <c r="AK290" s="2">
        <v>2</v>
      </c>
      <c r="AL290" s="2" t="s">
        <v>633</v>
      </c>
      <c r="AM290" s="2">
        <v>0</v>
      </c>
      <c r="AN290" s="2">
        <v>0</v>
      </c>
      <c r="AO290" s="2">
        <v>1</v>
      </c>
      <c r="AP290" s="2">
        <v>0</v>
      </c>
      <c r="AQ290" s="2">
        <v>0</v>
      </c>
      <c r="AR290" s="2">
        <v>0</v>
      </c>
      <c r="AS290" s="2">
        <v>0</v>
      </c>
      <c r="AT290" s="2">
        <v>0</v>
      </c>
      <c r="BB290" s="2" t="str">
        <f>+PROPER(BD[[#This Row],[PRIMER_APELLIDO]])</f>
        <v>Molina</v>
      </c>
    </row>
    <row r="291" spans="1:54" x14ac:dyDescent="0.25">
      <c r="A291" s="2">
        <v>290</v>
      </c>
      <c r="B291" s="2">
        <v>39300</v>
      </c>
      <c r="C291" s="2" t="s">
        <v>619</v>
      </c>
      <c r="D291" s="2" t="s">
        <v>620</v>
      </c>
      <c r="E291" s="2" t="s">
        <v>2566</v>
      </c>
      <c r="F291" s="2">
        <v>22523316</v>
      </c>
      <c r="G291" s="3">
        <v>35.953424657534249</v>
      </c>
      <c r="H291" s="2" t="s">
        <v>622</v>
      </c>
      <c r="I291" s="2" t="s">
        <v>2567</v>
      </c>
      <c r="J291" s="2" t="str">
        <f>+IF(BD[[#This Row],[DEPARTAMENTO_INSS]]="MANAGUA","_01_","_02_")</f>
        <v>_02_</v>
      </c>
      <c r="K291" s="2" t="str">
        <f>+CONCATENATE(BD[[#This Row],[Columna3]],BD[[#This Row],[Columna4]],BD[[#This Row],[NOMBRE COMPLETO]])</f>
        <v>E003_02_MICHAEL DE LOS MILAGROS CAMPOS LOPEZ</v>
      </c>
      <c r="L291" s="2" t="s">
        <v>2568</v>
      </c>
      <c r="M291" s="2" t="s">
        <v>2569</v>
      </c>
      <c r="N291" s="2" t="s">
        <v>232</v>
      </c>
      <c r="O291" s="2" t="s">
        <v>15</v>
      </c>
      <c r="P291" s="2" t="s">
        <v>626</v>
      </c>
      <c r="Q291" s="2" t="s">
        <v>351</v>
      </c>
      <c r="R291" s="2">
        <v>31673</v>
      </c>
      <c r="S291" s="2">
        <v>31673</v>
      </c>
      <c r="T291" s="2" t="s">
        <v>732</v>
      </c>
      <c r="U291" s="2" t="s">
        <v>732</v>
      </c>
      <c r="V291" s="2" t="s">
        <v>1321</v>
      </c>
      <c r="W291" s="2" t="s">
        <v>1321</v>
      </c>
      <c r="X291" s="2" t="s">
        <v>2570</v>
      </c>
      <c r="Y291" s="2" t="s">
        <v>2571</v>
      </c>
      <c r="AA291" s="2">
        <v>78507882</v>
      </c>
      <c r="AB291" s="2" t="s">
        <v>654</v>
      </c>
      <c r="AC291" s="2" t="s">
        <v>632</v>
      </c>
      <c r="AD291" s="2">
        <v>78507882</v>
      </c>
      <c r="AJ291" s="2">
        <v>78507882</v>
      </c>
      <c r="AK291" s="2">
        <v>1</v>
      </c>
      <c r="AL291" s="2" t="s">
        <v>633</v>
      </c>
      <c r="AM291" s="2">
        <v>0</v>
      </c>
      <c r="AN291" s="2">
        <v>0</v>
      </c>
      <c r="AO291" s="2">
        <v>1</v>
      </c>
      <c r="AP291" s="2">
        <v>0</v>
      </c>
      <c r="AQ291" s="2">
        <v>0</v>
      </c>
      <c r="AR291" s="2">
        <v>0</v>
      </c>
      <c r="AS291" s="2">
        <v>0</v>
      </c>
      <c r="AT291" s="2">
        <v>0</v>
      </c>
      <c r="BB291" s="2" t="str">
        <f>+PROPER(BD[[#This Row],[PRIMER_APELLIDO]])</f>
        <v>Campos</v>
      </c>
    </row>
    <row r="292" spans="1:54" x14ac:dyDescent="0.25">
      <c r="A292" s="2">
        <v>291</v>
      </c>
      <c r="B292" s="2">
        <v>33035</v>
      </c>
      <c r="C292" s="2" t="s">
        <v>619</v>
      </c>
      <c r="D292" s="2" t="s">
        <v>620</v>
      </c>
      <c r="E292" s="2" t="s">
        <v>2572</v>
      </c>
      <c r="F292" s="2">
        <v>24642743</v>
      </c>
      <c r="G292" s="3">
        <v>35.961643835616435</v>
      </c>
      <c r="H292" s="2" t="s">
        <v>622</v>
      </c>
      <c r="I292" s="2" t="s">
        <v>2573</v>
      </c>
      <c r="J292" s="2" t="str">
        <f>+IF(BD[[#This Row],[DEPARTAMENTO_INSS]]="MANAGUA","_01_","_02_")</f>
        <v>_01_</v>
      </c>
      <c r="K292" s="2" t="str">
        <f>+CONCATENATE(BD[[#This Row],[Columna3]],BD[[#This Row],[Columna4]],BD[[#This Row],[NOMBRE COMPLETO]])</f>
        <v>E003_01_DEBORAH ELIZABETH MEDRANO PATIÑO</v>
      </c>
      <c r="L292" s="2" t="s">
        <v>2574</v>
      </c>
      <c r="M292" s="2" t="s">
        <v>1881</v>
      </c>
      <c r="N292" s="2" t="s">
        <v>45</v>
      </c>
      <c r="O292" s="2" t="s">
        <v>2575</v>
      </c>
      <c r="P292" s="2" t="s">
        <v>626</v>
      </c>
      <c r="Q292" s="2" t="s">
        <v>351</v>
      </c>
      <c r="R292" s="2">
        <v>31670</v>
      </c>
      <c r="S292" s="2">
        <v>31670</v>
      </c>
      <c r="T292" s="2" t="s">
        <v>627</v>
      </c>
      <c r="U292" s="2" t="s">
        <v>627</v>
      </c>
      <c r="V292" s="2" t="s">
        <v>627</v>
      </c>
      <c r="W292" s="2" t="s">
        <v>627</v>
      </c>
      <c r="X292" s="2" t="s">
        <v>2576</v>
      </c>
      <c r="Y292" s="2" t="s">
        <v>2577</v>
      </c>
      <c r="AA292" s="2">
        <v>22795225</v>
      </c>
      <c r="AB292" s="2" t="s">
        <v>654</v>
      </c>
      <c r="AC292" s="2" t="s">
        <v>632</v>
      </c>
      <c r="AK292" s="2">
        <v>1</v>
      </c>
      <c r="AL292" s="2" t="s">
        <v>633</v>
      </c>
      <c r="AM292" s="2">
        <v>0</v>
      </c>
      <c r="AN292" s="2">
        <v>0</v>
      </c>
      <c r="AO292" s="2">
        <v>1</v>
      </c>
      <c r="AP292" s="2">
        <v>0</v>
      </c>
      <c r="AQ292" s="2">
        <v>0</v>
      </c>
      <c r="AR292" s="2">
        <v>0</v>
      </c>
      <c r="AS292" s="2">
        <v>0</v>
      </c>
      <c r="AT292" s="2">
        <v>0</v>
      </c>
      <c r="BB292" s="2" t="str">
        <f>+PROPER(BD[[#This Row],[PRIMER_APELLIDO]])</f>
        <v>Medrano</v>
      </c>
    </row>
    <row r="293" spans="1:54" x14ac:dyDescent="0.25">
      <c r="A293" s="2">
        <v>292</v>
      </c>
      <c r="B293" s="2">
        <v>35204</v>
      </c>
      <c r="C293" s="2" t="s">
        <v>619</v>
      </c>
      <c r="D293" s="2" t="s">
        <v>620</v>
      </c>
      <c r="E293" s="2" t="s">
        <v>2578</v>
      </c>
      <c r="F293" s="2">
        <v>20157043</v>
      </c>
      <c r="G293" s="3">
        <v>35.961643835616435</v>
      </c>
      <c r="H293" s="2" t="s">
        <v>622</v>
      </c>
      <c r="I293" s="2" t="s">
        <v>2579</v>
      </c>
      <c r="J293" s="2" t="str">
        <f>+IF(BD[[#This Row],[DEPARTAMENTO_INSS]]="MANAGUA","_01_","_02_")</f>
        <v>_01_</v>
      </c>
      <c r="K293" s="2" t="str">
        <f>+CONCATENATE(BD[[#This Row],[Columna3]],BD[[#This Row],[Columna4]],BD[[#This Row],[NOMBRE COMPLETO]])</f>
        <v>E003_01_NINETT LUCIA MONTALVAN SUAREZ</v>
      </c>
      <c r="L293" s="2" t="s">
        <v>2580</v>
      </c>
      <c r="M293" s="2" t="s">
        <v>676</v>
      </c>
      <c r="N293" s="2" t="s">
        <v>27</v>
      </c>
      <c r="O293" s="2" t="s">
        <v>55</v>
      </c>
      <c r="P293" s="2" t="s">
        <v>626</v>
      </c>
      <c r="Q293" s="2" t="s">
        <v>351</v>
      </c>
      <c r="R293" s="2">
        <v>31670</v>
      </c>
      <c r="S293" s="2">
        <v>31670</v>
      </c>
      <c r="T293" s="2" t="s">
        <v>627</v>
      </c>
      <c r="U293" s="2" t="s">
        <v>627</v>
      </c>
      <c r="V293" s="2" t="s">
        <v>627</v>
      </c>
      <c r="W293" s="2" t="s">
        <v>1498</v>
      </c>
      <c r="X293" s="2" t="s">
        <v>2581</v>
      </c>
      <c r="Y293" s="2" t="s">
        <v>2582</v>
      </c>
      <c r="Z293" s="2">
        <v>89928247</v>
      </c>
      <c r="AA293" s="2">
        <v>89672983</v>
      </c>
      <c r="AB293" s="2" t="s">
        <v>642</v>
      </c>
      <c r="AC293" s="2" t="s">
        <v>632</v>
      </c>
      <c r="AD293" s="2">
        <v>89928247</v>
      </c>
      <c r="AF293" s="2">
        <v>89672983</v>
      </c>
      <c r="AJ293" s="2">
        <v>89928247</v>
      </c>
      <c r="AK293" s="2">
        <v>2</v>
      </c>
      <c r="AL293" s="2" t="s">
        <v>633</v>
      </c>
      <c r="AM293" s="2">
        <v>0</v>
      </c>
      <c r="AN293" s="2">
        <v>0</v>
      </c>
      <c r="AO293" s="2">
        <v>1</v>
      </c>
      <c r="AP293" s="2">
        <v>0</v>
      </c>
      <c r="AQ293" s="2">
        <v>0</v>
      </c>
      <c r="AR293" s="2">
        <v>0</v>
      </c>
      <c r="AS293" s="2">
        <v>0</v>
      </c>
      <c r="AT293" s="2">
        <v>0</v>
      </c>
      <c r="AZ293" s="2" t="s">
        <v>2583</v>
      </c>
      <c r="BB293" s="2" t="str">
        <f>+PROPER(BD[[#This Row],[PRIMER_APELLIDO]])</f>
        <v>Montalvan</v>
      </c>
    </row>
    <row r="294" spans="1:54" x14ac:dyDescent="0.25">
      <c r="A294" s="2">
        <v>293</v>
      </c>
      <c r="B294" s="2">
        <v>33929</v>
      </c>
      <c r="C294" s="2" t="s">
        <v>619</v>
      </c>
      <c r="D294" s="2" t="s">
        <v>620</v>
      </c>
      <c r="E294" s="2" t="s">
        <v>2584</v>
      </c>
      <c r="G294" s="3">
        <v>35.964383561643835</v>
      </c>
      <c r="H294" s="2" t="s">
        <v>622</v>
      </c>
      <c r="I294" s="2" t="s">
        <v>2585</v>
      </c>
      <c r="J294" s="2" t="str">
        <f>+IF(BD[[#This Row],[DEPARTAMENTO_INSS]]="MANAGUA","_01_","_02_")</f>
        <v>_02_</v>
      </c>
      <c r="K294" s="2" t="str">
        <f>+CONCATENATE(BD[[#This Row],[Columna3]],BD[[#This Row],[Columna4]],BD[[#This Row],[NOMBRE COMPLETO]])</f>
        <v>E003_02_GRETHEL LUCIA RODRIGUEZ ALDANA</v>
      </c>
      <c r="L294" s="2" t="s">
        <v>2586</v>
      </c>
      <c r="M294" s="2" t="s">
        <v>676</v>
      </c>
      <c r="N294" s="2" t="s">
        <v>185</v>
      </c>
      <c r="O294" s="2" t="s">
        <v>2587</v>
      </c>
      <c r="P294" s="2" t="s">
        <v>626</v>
      </c>
      <c r="Q294" s="2" t="s">
        <v>351</v>
      </c>
      <c r="R294" s="2">
        <v>31669</v>
      </c>
      <c r="S294" s="2">
        <v>31669</v>
      </c>
      <c r="T294" s="2" t="s">
        <v>1104</v>
      </c>
      <c r="U294" s="2" t="s">
        <v>1104</v>
      </c>
      <c r="V294" s="2" t="s">
        <v>1104</v>
      </c>
      <c r="W294" s="2" t="s">
        <v>1104</v>
      </c>
      <c r="X294" s="2" t="s">
        <v>2588</v>
      </c>
      <c r="Y294" s="2" t="s">
        <v>2589</v>
      </c>
      <c r="Z294" s="2">
        <v>88578024</v>
      </c>
      <c r="AA294" s="2" t="s">
        <v>2590</v>
      </c>
      <c r="AB294" s="2" t="s">
        <v>642</v>
      </c>
      <c r="AC294" s="2" t="s">
        <v>632</v>
      </c>
      <c r="AD294" s="2">
        <v>88578024</v>
      </c>
      <c r="AJ294" s="2">
        <v>88578024</v>
      </c>
      <c r="AK294" s="2">
        <v>3</v>
      </c>
      <c r="AL294" s="2" t="s">
        <v>633</v>
      </c>
      <c r="AM294" s="2">
        <v>0</v>
      </c>
      <c r="AN294" s="2">
        <v>0</v>
      </c>
      <c r="AO294" s="2">
        <v>1</v>
      </c>
      <c r="AP294" s="2">
        <v>0</v>
      </c>
      <c r="AQ294" s="2">
        <v>0</v>
      </c>
      <c r="AR294" s="2">
        <v>0</v>
      </c>
      <c r="AS294" s="2">
        <v>0</v>
      </c>
      <c r="AT294" s="2">
        <v>0</v>
      </c>
      <c r="AZ294" s="2" t="s">
        <v>2591</v>
      </c>
      <c r="BB294" s="2" t="str">
        <f>+PROPER(BD[[#This Row],[PRIMER_APELLIDO]])</f>
        <v>Rodriguez</v>
      </c>
    </row>
    <row r="295" spans="1:54" x14ac:dyDescent="0.25">
      <c r="A295" s="2">
        <v>294</v>
      </c>
      <c r="B295" s="2">
        <v>39289</v>
      </c>
      <c r="C295" s="2" t="s">
        <v>619</v>
      </c>
      <c r="D295" s="2" t="s">
        <v>620</v>
      </c>
      <c r="E295" s="2" t="s">
        <v>2592</v>
      </c>
      <c r="F295" s="2">
        <v>23143485</v>
      </c>
      <c r="G295" s="3">
        <v>35.964383561643835</v>
      </c>
      <c r="H295" s="2" t="s">
        <v>622</v>
      </c>
      <c r="I295" s="2" t="s">
        <v>2593</v>
      </c>
      <c r="J295" s="2" t="str">
        <f>+IF(BD[[#This Row],[DEPARTAMENTO_INSS]]="MANAGUA","_01_","_02_")</f>
        <v>_02_</v>
      </c>
      <c r="K295" s="2" t="str">
        <f>+CONCATENATE(BD[[#This Row],[Columna3]],BD[[#This Row],[Columna4]],BD[[#This Row],[NOMBRE COMPLETO]])</f>
        <v>E003_02_ROSA MARIA PARADA ESQUIVEL</v>
      </c>
      <c r="L295" s="2" t="s">
        <v>667</v>
      </c>
      <c r="M295" s="2" t="s">
        <v>724</v>
      </c>
      <c r="N295" s="2" t="s">
        <v>376</v>
      </c>
      <c r="O295" s="2" t="s">
        <v>233</v>
      </c>
      <c r="P295" s="2" t="s">
        <v>626</v>
      </c>
      <c r="Q295" s="2" t="s">
        <v>351</v>
      </c>
      <c r="R295" s="2">
        <v>31669</v>
      </c>
      <c r="S295" s="2">
        <v>31669</v>
      </c>
      <c r="T295" s="2" t="s">
        <v>176</v>
      </c>
      <c r="U295" s="2" t="s">
        <v>176</v>
      </c>
      <c r="V295" s="2" t="s">
        <v>650</v>
      </c>
      <c r="W295" s="2" t="s">
        <v>176</v>
      </c>
      <c r="X295" s="2" t="s">
        <v>2594</v>
      </c>
      <c r="Y295" s="2" t="s">
        <v>2595</v>
      </c>
      <c r="Z295" s="2">
        <v>89664905</v>
      </c>
      <c r="AA295" s="2">
        <v>87935612</v>
      </c>
      <c r="AB295" s="2" t="s">
        <v>642</v>
      </c>
      <c r="AC295" s="2" t="s">
        <v>632</v>
      </c>
      <c r="AD295" s="2">
        <v>89664905</v>
      </c>
      <c r="AF295" s="2">
        <v>87935612</v>
      </c>
      <c r="AJ295" s="2">
        <v>89664905</v>
      </c>
      <c r="AK295" s="2">
        <v>2</v>
      </c>
      <c r="AL295" s="2" t="s">
        <v>633</v>
      </c>
      <c r="AM295" s="2">
        <v>0</v>
      </c>
      <c r="AN295" s="2">
        <v>0</v>
      </c>
      <c r="AO295" s="2">
        <v>1</v>
      </c>
      <c r="AP295" s="2">
        <v>0</v>
      </c>
      <c r="AQ295" s="2">
        <v>0</v>
      </c>
      <c r="AR295" s="2">
        <v>0</v>
      </c>
      <c r="AS295" s="2">
        <v>0</v>
      </c>
      <c r="AT295" s="2">
        <v>0</v>
      </c>
      <c r="BB295" s="2" t="str">
        <f>+PROPER(BD[[#This Row],[PRIMER_APELLIDO]])</f>
        <v>Parada</v>
      </c>
    </row>
    <row r="296" spans="1:54" x14ac:dyDescent="0.25">
      <c r="A296" s="2">
        <v>295</v>
      </c>
      <c r="B296" s="2">
        <v>39403</v>
      </c>
      <c r="C296" s="2" t="s">
        <v>619</v>
      </c>
      <c r="D296" s="2" t="s">
        <v>620</v>
      </c>
      <c r="E296" s="2" t="s">
        <v>2596</v>
      </c>
      <c r="F296" s="2">
        <v>23104024</v>
      </c>
      <c r="G296" s="3">
        <v>35.967123287671235</v>
      </c>
      <c r="H296" s="2" t="s">
        <v>622</v>
      </c>
      <c r="I296" s="2" t="s">
        <v>2597</v>
      </c>
      <c r="J296" s="2" t="str">
        <f>+IF(BD[[#This Row],[DEPARTAMENTO_INSS]]="MANAGUA","_01_","_02_")</f>
        <v>_01_</v>
      </c>
      <c r="K296" s="2" t="str">
        <f>+CONCATENATE(BD[[#This Row],[Columna3]],BD[[#This Row],[Columna4]],BD[[#This Row],[NOMBRE COMPLETO]])</f>
        <v>E003_01_TERENCE ENMANUELLE MAYORGA RODRIGUEZ</v>
      </c>
      <c r="L296" s="2" t="s">
        <v>2598</v>
      </c>
      <c r="M296" s="2" t="s">
        <v>2599</v>
      </c>
      <c r="N296" s="2" t="s">
        <v>53</v>
      </c>
      <c r="O296" s="2" t="s">
        <v>185</v>
      </c>
      <c r="P296" s="2" t="s">
        <v>649</v>
      </c>
      <c r="Q296" s="2" t="s">
        <v>351</v>
      </c>
      <c r="R296" s="2">
        <v>31668</v>
      </c>
      <c r="S296" s="2">
        <v>31668</v>
      </c>
      <c r="T296" s="2" t="s">
        <v>732</v>
      </c>
      <c r="U296" s="2" t="s">
        <v>627</v>
      </c>
      <c r="V296" s="2" t="s">
        <v>732</v>
      </c>
      <c r="W296" s="2" t="s">
        <v>627</v>
      </c>
      <c r="X296" s="2" t="s">
        <v>2600</v>
      </c>
      <c r="Y296" s="2" t="s">
        <v>2601</v>
      </c>
      <c r="AA296" s="2">
        <v>88196679</v>
      </c>
      <c r="AB296" s="2" t="s">
        <v>654</v>
      </c>
      <c r="AC296" s="2" t="s">
        <v>632</v>
      </c>
      <c r="AD296" s="2">
        <v>88196679</v>
      </c>
      <c r="AJ296" s="2">
        <v>88196679</v>
      </c>
      <c r="AK296" s="2">
        <v>1</v>
      </c>
      <c r="AL296" s="2" t="s">
        <v>633</v>
      </c>
      <c r="AM296" s="2">
        <v>0</v>
      </c>
      <c r="AN296" s="2">
        <v>0</v>
      </c>
      <c r="AO296" s="2">
        <v>1</v>
      </c>
      <c r="AP296" s="2">
        <v>0</v>
      </c>
      <c r="AQ296" s="2">
        <v>0</v>
      </c>
      <c r="AR296" s="2">
        <v>0</v>
      </c>
      <c r="AS296" s="2">
        <v>0</v>
      </c>
      <c r="AT296" s="2">
        <v>0</v>
      </c>
      <c r="BB296" s="2" t="str">
        <f>+PROPER(BD[[#This Row],[PRIMER_APELLIDO]])</f>
        <v>Mayorga</v>
      </c>
    </row>
    <row r="297" spans="1:54" x14ac:dyDescent="0.25">
      <c r="A297" s="2">
        <v>296</v>
      </c>
      <c r="B297" s="2">
        <v>50208</v>
      </c>
      <c r="C297" s="2" t="s">
        <v>619</v>
      </c>
      <c r="D297" s="2" t="s">
        <v>620</v>
      </c>
      <c r="E297" s="2" t="s">
        <v>2602</v>
      </c>
      <c r="F297" s="2">
        <v>26968391</v>
      </c>
      <c r="G297" s="3">
        <v>35.972602739726028</v>
      </c>
      <c r="H297" s="2" t="s">
        <v>622</v>
      </c>
      <c r="I297" s="2" t="s">
        <v>2603</v>
      </c>
      <c r="J297" s="2" t="str">
        <f>+IF(BD[[#This Row],[DEPARTAMENTO_INSS]]="MANAGUA","_01_","_02_")</f>
        <v>_02_</v>
      </c>
      <c r="K297" s="2" t="str">
        <f>+CONCATENATE(BD[[#This Row],[Columna3]],BD[[#This Row],[Columna4]],BD[[#This Row],[NOMBRE COMPLETO]])</f>
        <v>E003_02_RAQUEL DE LOS ANGELES CHAVEZ MENA</v>
      </c>
      <c r="L297" s="2" t="s">
        <v>2545</v>
      </c>
      <c r="M297" s="2" t="s">
        <v>683</v>
      </c>
      <c r="N297" s="2" t="s">
        <v>207</v>
      </c>
      <c r="O297" s="2" t="s">
        <v>319</v>
      </c>
      <c r="P297" s="2" t="s">
        <v>626</v>
      </c>
      <c r="Q297" s="2" t="s">
        <v>351</v>
      </c>
      <c r="R297" s="2">
        <v>31666</v>
      </c>
      <c r="S297" s="2">
        <v>31666</v>
      </c>
      <c r="T297" s="2" t="s">
        <v>1044</v>
      </c>
      <c r="U297" s="2" t="s">
        <v>1044</v>
      </c>
      <c r="V297" s="2" t="s">
        <v>1045</v>
      </c>
      <c r="W297" s="2" t="s">
        <v>1045</v>
      </c>
      <c r="X297" s="2" t="s">
        <v>2604</v>
      </c>
      <c r="Y297" s="2" t="s">
        <v>2605</v>
      </c>
      <c r="AA297" s="2">
        <v>86279925</v>
      </c>
      <c r="AB297" s="2" t="s">
        <v>631</v>
      </c>
      <c r="AC297" s="2" t="s">
        <v>632</v>
      </c>
      <c r="AD297" s="2">
        <v>86279925</v>
      </c>
      <c r="AJ297" s="2">
        <v>86279925</v>
      </c>
      <c r="AK297" s="2">
        <v>1</v>
      </c>
      <c r="AL297" s="2" t="s">
        <v>633</v>
      </c>
      <c r="AM297" s="2">
        <v>0</v>
      </c>
      <c r="AN297" s="2">
        <v>0</v>
      </c>
      <c r="AO297" s="2">
        <v>1</v>
      </c>
      <c r="AP297" s="2">
        <v>0</v>
      </c>
      <c r="AQ297" s="2">
        <v>0</v>
      </c>
      <c r="AR297" s="2">
        <v>0</v>
      </c>
      <c r="AS297" s="2">
        <v>0</v>
      </c>
      <c r="AT297" s="2">
        <v>0</v>
      </c>
      <c r="BB297" s="2" t="str">
        <f>+PROPER(BD[[#This Row],[PRIMER_APELLIDO]])</f>
        <v>Chavez</v>
      </c>
    </row>
    <row r="298" spans="1:54" x14ac:dyDescent="0.25">
      <c r="A298" s="2">
        <v>297</v>
      </c>
      <c r="B298" s="2">
        <v>55602</v>
      </c>
      <c r="C298" s="2" t="s">
        <v>619</v>
      </c>
      <c r="D298" s="2" t="s">
        <v>620</v>
      </c>
      <c r="E298" s="2" t="s">
        <v>2606</v>
      </c>
      <c r="G298" s="3">
        <v>35.972602739726028</v>
      </c>
      <c r="H298" s="2" t="s">
        <v>622</v>
      </c>
      <c r="I298" s="2" t="s">
        <v>2607</v>
      </c>
      <c r="J298" s="2" t="str">
        <f>+IF(BD[[#This Row],[DEPARTAMENTO_INSS]]="MANAGUA","_01_","_02_")</f>
        <v>_02_</v>
      </c>
      <c r="K298" s="2" t="str">
        <f>+CONCATENATE(BD[[#This Row],[Columna3]],BD[[#This Row],[Columna4]],BD[[#This Row],[NOMBRE COMPLETO]])</f>
        <v>E003_02_PATRICIA ARACELLY REYES GARCIA</v>
      </c>
      <c r="L298" s="2" t="s">
        <v>747</v>
      </c>
      <c r="M298" s="2" t="s">
        <v>2608</v>
      </c>
      <c r="N298" s="2" t="s">
        <v>74</v>
      </c>
      <c r="O298" s="2" t="s">
        <v>10</v>
      </c>
      <c r="P298" s="2" t="s">
        <v>626</v>
      </c>
      <c r="Q298" s="2" t="s">
        <v>351</v>
      </c>
      <c r="R298" s="2">
        <v>31666</v>
      </c>
      <c r="S298" s="2">
        <v>31666</v>
      </c>
      <c r="T298" s="2" t="s">
        <v>176</v>
      </c>
      <c r="U298" s="2" t="s">
        <v>176</v>
      </c>
      <c r="V298" s="2" t="s">
        <v>2609</v>
      </c>
      <c r="W298" s="2" t="s">
        <v>2609</v>
      </c>
      <c r="X298" s="2" t="s">
        <v>2610</v>
      </c>
      <c r="Y298" s="2" t="s">
        <v>2611</v>
      </c>
      <c r="Z298" s="2">
        <v>82410392</v>
      </c>
      <c r="AA298" s="2">
        <v>82410392</v>
      </c>
      <c r="AB298" s="2" t="s">
        <v>642</v>
      </c>
      <c r="AC298" s="2" t="s">
        <v>632</v>
      </c>
      <c r="AD298" s="2">
        <v>82410392</v>
      </c>
      <c r="AJ298" s="2">
        <v>82410392</v>
      </c>
      <c r="AK298" s="2">
        <v>2</v>
      </c>
      <c r="AL298" s="2" t="s">
        <v>633</v>
      </c>
      <c r="AM298" s="2">
        <v>0</v>
      </c>
      <c r="AN298" s="2">
        <v>0</v>
      </c>
      <c r="AO298" s="2">
        <v>1</v>
      </c>
      <c r="AP298" s="2">
        <v>0</v>
      </c>
      <c r="AQ298" s="2">
        <v>0</v>
      </c>
      <c r="AR298" s="2">
        <v>0</v>
      </c>
      <c r="AS298" s="2">
        <v>0</v>
      </c>
      <c r="AT298" s="2">
        <v>0</v>
      </c>
      <c r="AZ298" s="2" t="s">
        <v>2612</v>
      </c>
      <c r="BB298" s="2" t="str">
        <f>+PROPER(BD[[#This Row],[PRIMER_APELLIDO]])</f>
        <v>Reyes</v>
      </c>
    </row>
    <row r="299" spans="1:54" x14ac:dyDescent="0.25">
      <c r="A299" s="2">
        <v>298</v>
      </c>
      <c r="B299" s="2">
        <v>32253</v>
      </c>
      <c r="C299" s="2" t="s">
        <v>619</v>
      </c>
      <c r="D299" s="2" t="s">
        <v>620</v>
      </c>
      <c r="E299" s="2" t="s">
        <v>2613</v>
      </c>
      <c r="F299" s="2">
        <v>24462954</v>
      </c>
      <c r="G299" s="3">
        <v>35.980821917808221</v>
      </c>
      <c r="H299" s="2" t="s">
        <v>622</v>
      </c>
      <c r="I299" s="2" t="s">
        <v>2614</v>
      </c>
      <c r="J299" s="2" t="str">
        <f>+IF(BD[[#This Row],[DEPARTAMENTO_INSS]]="MANAGUA","_01_","_02_")</f>
        <v>_02_</v>
      </c>
      <c r="K299" s="2" t="str">
        <f>+CONCATENATE(BD[[#This Row],[Columna3]],BD[[#This Row],[Columna4]],BD[[#This Row],[NOMBRE COMPLETO]])</f>
        <v>E003_02_GABRIEL ANTONIO OLIVAS LAGOS</v>
      </c>
      <c r="L299" s="2" t="s">
        <v>1646</v>
      </c>
      <c r="M299" s="2" t="s">
        <v>904</v>
      </c>
      <c r="N299" s="2" t="s">
        <v>322</v>
      </c>
      <c r="O299" s="2" t="s">
        <v>506</v>
      </c>
      <c r="P299" s="2" t="s">
        <v>649</v>
      </c>
      <c r="Q299" s="2" t="s">
        <v>351</v>
      </c>
      <c r="R299" s="2">
        <v>31663</v>
      </c>
      <c r="S299" s="2">
        <v>31663</v>
      </c>
      <c r="T299" s="2" t="s">
        <v>627</v>
      </c>
      <c r="U299" s="2" t="s">
        <v>691</v>
      </c>
      <c r="V299" s="2" t="s">
        <v>627</v>
      </c>
      <c r="W299" s="2" t="s">
        <v>691</v>
      </c>
      <c r="X299" s="2" t="s">
        <v>2615</v>
      </c>
      <c r="Y299" s="2" t="s">
        <v>2616</v>
      </c>
      <c r="Z299" s="2">
        <v>84990498</v>
      </c>
      <c r="AB299" s="2" t="s">
        <v>654</v>
      </c>
      <c r="AC299" s="2" t="s">
        <v>632</v>
      </c>
      <c r="AD299" s="2">
        <v>84990498</v>
      </c>
      <c r="AJ299" s="2">
        <v>84990498</v>
      </c>
      <c r="AK299" s="2">
        <v>1</v>
      </c>
      <c r="AL299" s="2" t="s">
        <v>633</v>
      </c>
      <c r="AM299" s="2">
        <v>0</v>
      </c>
      <c r="AN299" s="2">
        <v>0</v>
      </c>
      <c r="AO299" s="2">
        <v>1</v>
      </c>
      <c r="AP299" s="2">
        <v>0</v>
      </c>
      <c r="AQ299" s="2">
        <v>0</v>
      </c>
      <c r="AR299" s="2">
        <v>0</v>
      </c>
      <c r="AS299" s="2">
        <v>0</v>
      </c>
      <c r="AT299" s="2">
        <v>0</v>
      </c>
      <c r="AZ299" s="2" t="s">
        <v>2617</v>
      </c>
      <c r="BB299" s="2" t="str">
        <f>+PROPER(BD[[#This Row],[PRIMER_APELLIDO]])</f>
        <v>Olivas</v>
      </c>
    </row>
    <row r="300" spans="1:54" x14ac:dyDescent="0.25">
      <c r="A300" s="2">
        <v>299</v>
      </c>
      <c r="B300" s="2">
        <v>62821</v>
      </c>
      <c r="C300" s="2" t="s">
        <v>619</v>
      </c>
      <c r="D300" s="2" t="s">
        <v>620</v>
      </c>
      <c r="E300" s="2" t="s">
        <v>2618</v>
      </c>
      <c r="G300" s="3">
        <v>35.980821917808221</v>
      </c>
      <c r="H300" s="2" t="s">
        <v>622</v>
      </c>
      <c r="I300" s="2" t="s">
        <v>2619</v>
      </c>
      <c r="J300" s="2" t="str">
        <f>+IF(BD[[#This Row],[DEPARTAMENTO_INSS]]="MANAGUA","_01_","_02_")</f>
        <v>_01_</v>
      </c>
      <c r="K300" s="2" t="str">
        <f>+CONCATENATE(BD[[#This Row],[Columna3]],BD[[#This Row],[Columna4]],BD[[#This Row],[NOMBRE COMPLETO]])</f>
        <v>E003_01_OSWALDO JAVIER LEZAMA HERNANDEZ</v>
      </c>
      <c r="L300" s="2" t="s">
        <v>698</v>
      </c>
      <c r="M300" s="2" t="s">
        <v>975</v>
      </c>
      <c r="N300" s="2" t="s">
        <v>335</v>
      </c>
      <c r="O300" s="2" t="s">
        <v>11</v>
      </c>
      <c r="P300" s="2" t="s">
        <v>649</v>
      </c>
      <c r="Q300" s="2" t="s">
        <v>351</v>
      </c>
      <c r="R300" s="2">
        <v>31663</v>
      </c>
      <c r="S300" s="2">
        <v>31663</v>
      </c>
      <c r="T300" s="2" t="s">
        <v>627</v>
      </c>
      <c r="U300" s="2" t="s">
        <v>627</v>
      </c>
      <c r="V300" s="2" t="s">
        <v>627</v>
      </c>
      <c r="W300" s="2" t="s">
        <v>627</v>
      </c>
      <c r="X300" s="2" t="s">
        <v>2620</v>
      </c>
      <c r="Y300" s="2" t="s">
        <v>2621</v>
      </c>
      <c r="Z300" s="2">
        <v>85381021</v>
      </c>
      <c r="AA300" s="2">
        <v>84340571</v>
      </c>
      <c r="AB300" s="2" t="s">
        <v>654</v>
      </c>
      <c r="AC300" s="2" t="s">
        <v>632</v>
      </c>
      <c r="AD300" s="2">
        <v>85381021</v>
      </c>
      <c r="AF300" s="2">
        <v>84340571</v>
      </c>
      <c r="AJ300" s="2">
        <v>85381021</v>
      </c>
      <c r="AK300" s="2">
        <v>2</v>
      </c>
      <c r="AL300" s="2" t="s">
        <v>633</v>
      </c>
      <c r="AM300" s="2">
        <v>0</v>
      </c>
      <c r="AN300" s="2">
        <v>0</v>
      </c>
      <c r="AO300" s="2">
        <v>1</v>
      </c>
      <c r="AP300" s="2">
        <v>0</v>
      </c>
      <c r="AQ300" s="2">
        <v>0</v>
      </c>
      <c r="AR300" s="2">
        <v>0</v>
      </c>
      <c r="AS300" s="2">
        <v>0</v>
      </c>
      <c r="AT300" s="2">
        <v>0</v>
      </c>
      <c r="BB300" s="2" t="str">
        <f>+PROPER(BD[[#This Row],[PRIMER_APELLIDO]])</f>
        <v>Lezama</v>
      </c>
    </row>
    <row r="301" spans="1:54" x14ac:dyDescent="0.25">
      <c r="A301" s="2">
        <v>300</v>
      </c>
      <c r="B301" s="2">
        <v>24132</v>
      </c>
      <c r="C301" s="2" t="s">
        <v>619</v>
      </c>
      <c r="D301" s="2" t="s">
        <v>620</v>
      </c>
      <c r="E301" s="2" t="s">
        <v>2622</v>
      </c>
      <c r="F301" s="2">
        <v>20099875</v>
      </c>
      <c r="G301" s="3">
        <v>35.989041095890414</v>
      </c>
      <c r="H301" s="2" t="s">
        <v>622</v>
      </c>
      <c r="I301" s="2" t="s">
        <v>2623</v>
      </c>
      <c r="J301" s="2" t="str">
        <f>+IF(BD[[#This Row],[DEPARTAMENTO_INSS]]="MANAGUA","_01_","_02_")</f>
        <v>_01_</v>
      </c>
      <c r="K301" s="2" t="str">
        <f>+CONCATENATE(BD[[#This Row],[Columna3]],BD[[#This Row],[Columna4]],BD[[#This Row],[NOMBRE COMPLETO]])</f>
        <v>E003_01_MANUELA SABINA SORIANO RODRIGUEZ</v>
      </c>
      <c r="L301" s="2" t="s">
        <v>2624</v>
      </c>
      <c r="M301" s="2" t="s">
        <v>2625</v>
      </c>
      <c r="N301" s="2" t="s">
        <v>451</v>
      </c>
      <c r="O301" s="2" t="s">
        <v>185</v>
      </c>
      <c r="P301" s="2" t="s">
        <v>626</v>
      </c>
      <c r="Q301" s="2" t="s">
        <v>351</v>
      </c>
      <c r="R301" s="2">
        <v>31660</v>
      </c>
      <c r="S301" s="2">
        <v>31660</v>
      </c>
      <c r="T301" s="2" t="s">
        <v>627</v>
      </c>
      <c r="U301" s="2" t="s">
        <v>627</v>
      </c>
      <c r="V301" s="2" t="s">
        <v>627</v>
      </c>
      <c r="W301" s="2" t="s">
        <v>627</v>
      </c>
      <c r="X301" s="2" t="s">
        <v>2626</v>
      </c>
      <c r="Y301" s="2" t="s">
        <v>2627</v>
      </c>
      <c r="Z301" s="2">
        <v>89970524</v>
      </c>
      <c r="AA301" s="2" t="s">
        <v>2628</v>
      </c>
      <c r="AB301" s="2" t="s">
        <v>2629</v>
      </c>
      <c r="AC301" s="2" t="s">
        <v>632</v>
      </c>
      <c r="AD301" s="2">
        <v>89970524</v>
      </c>
      <c r="AJ301" s="2">
        <v>89970524</v>
      </c>
      <c r="AK301" s="2">
        <v>3</v>
      </c>
      <c r="AL301" s="2" t="s">
        <v>633</v>
      </c>
      <c r="AM301" s="2">
        <v>0</v>
      </c>
      <c r="AN301" s="2">
        <v>0</v>
      </c>
      <c r="AO301" s="2">
        <v>1</v>
      </c>
      <c r="AP301" s="2">
        <v>0</v>
      </c>
      <c r="AQ301" s="2">
        <v>0</v>
      </c>
      <c r="AR301" s="2">
        <v>0</v>
      </c>
      <c r="AS301" s="2">
        <v>0</v>
      </c>
      <c r="AT301" s="2">
        <v>0</v>
      </c>
      <c r="AZ301" s="2" t="s">
        <v>2630</v>
      </c>
      <c r="BA301" s="2" t="s">
        <v>2631</v>
      </c>
      <c r="BB301" s="2" t="str">
        <f>+PROPER(BD[[#This Row],[PRIMER_APELLIDO]])</f>
        <v>Soriano</v>
      </c>
    </row>
    <row r="302" spans="1:54" x14ac:dyDescent="0.25">
      <c r="A302" s="2">
        <v>301</v>
      </c>
      <c r="B302" s="2">
        <v>42011</v>
      </c>
      <c r="C302" s="2" t="s">
        <v>619</v>
      </c>
      <c r="D302" s="2" t="s">
        <v>620</v>
      </c>
      <c r="E302" s="2" t="s">
        <v>2632</v>
      </c>
      <c r="F302" s="2">
        <v>24986304</v>
      </c>
      <c r="G302" s="3">
        <v>36</v>
      </c>
      <c r="H302" s="2" t="s">
        <v>622</v>
      </c>
      <c r="I302" s="2" t="s">
        <v>2633</v>
      </c>
      <c r="J302" s="2" t="str">
        <f>+IF(BD[[#This Row],[DEPARTAMENTO_INSS]]="MANAGUA","_01_","_02_")</f>
        <v>_02_</v>
      </c>
      <c r="K302" s="2" t="str">
        <f>+CONCATENATE(BD[[#This Row],[Columna3]],BD[[#This Row],[Columna4]],BD[[#This Row],[NOMBRE COMPLETO]])</f>
        <v>E003_02_MARIELA DEL CARMEN LEIVA MELENDEZ</v>
      </c>
      <c r="L302" s="2" t="s">
        <v>2634</v>
      </c>
      <c r="M302" s="2" t="s">
        <v>961</v>
      </c>
      <c r="N302" s="2" t="s">
        <v>177</v>
      </c>
      <c r="O302" s="2" t="s">
        <v>228</v>
      </c>
      <c r="P302" s="2" t="s">
        <v>626</v>
      </c>
      <c r="Q302" s="2" t="s">
        <v>351</v>
      </c>
      <c r="R302" s="2">
        <v>31656</v>
      </c>
      <c r="S302" s="2">
        <v>31656</v>
      </c>
      <c r="T302" s="2" t="s">
        <v>732</v>
      </c>
      <c r="U302" s="2" t="s">
        <v>732</v>
      </c>
      <c r="V302" s="2" t="s">
        <v>1060</v>
      </c>
      <c r="W302" s="2" t="s">
        <v>1061</v>
      </c>
      <c r="X302" s="2" t="s">
        <v>2635</v>
      </c>
      <c r="Y302" s="2" t="s">
        <v>2636</v>
      </c>
      <c r="Z302" s="2">
        <v>87193469</v>
      </c>
      <c r="AA302" s="2">
        <v>22681027</v>
      </c>
      <c r="AB302" s="2" t="s">
        <v>631</v>
      </c>
      <c r="AC302" s="2" t="s">
        <v>632</v>
      </c>
      <c r="AD302" s="2">
        <v>87193469</v>
      </c>
      <c r="AJ302" s="2">
        <v>87193469</v>
      </c>
      <c r="AK302" s="2">
        <v>2</v>
      </c>
      <c r="AL302" s="2" t="s">
        <v>633</v>
      </c>
      <c r="AM302" s="2">
        <v>0</v>
      </c>
      <c r="AN302" s="2">
        <v>0</v>
      </c>
      <c r="AO302" s="2">
        <v>1</v>
      </c>
      <c r="AP302" s="2">
        <v>0</v>
      </c>
      <c r="AQ302" s="2">
        <v>0</v>
      </c>
      <c r="AR302" s="2">
        <v>0</v>
      </c>
      <c r="AS302" s="2">
        <v>0</v>
      </c>
      <c r="AT302" s="2">
        <v>0</v>
      </c>
      <c r="BB302" s="2" t="str">
        <f>+PROPER(BD[[#This Row],[PRIMER_APELLIDO]])</f>
        <v>Leiva</v>
      </c>
    </row>
    <row r="303" spans="1:54" x14ac:dyDescent="0.25">
      <c r="A303" s="2">
        <v>302</v>
      </c>
      <c r="B303" s="2">
        <v>40659</v>
      </c>
      <c r="C303" s="2" t="s">
        <v>619</v>
      </c>
      <c r="D303" s="2" t="s">
        <v>620</v>
      </c>
      <c r="E303" s="2" t="s">
        <v>2637</v>
      </c>
      <c r="F303" s="2">
        <v>23143236</v>
      </c>
      <c r="G303" s="3">
        <v>36.0027397260274</v>
      </c>
      <c r="H303" s="2" t="s">
        <v>622</v>
      </c>
      <c r="I303" s="2" t="s">
        <v>2638</v>
      </c>
      <c r="J303" s="2" t="str">
        <f>+IF(BD[[#This Row],[DEPARTAMENTO_INSS]]="MANAGUA","_01_","_02_")</f>
        <v>_02_</v>
      </c>
      <c r="K303" s="2" t="str">
        <f>+CONCATENATE(BD[[#This Row],[Columna3]],BD[[#This Row],[Columna4]],BD[[#This Row],[NOMBRE COMPLETO]])</f>
        <v>E003_02_KALIA LUCIA BLANDON VARGAS</v>
      </c>
      <c r="L303" s="2" t="s">
        <v>2639</v>
      </c>
      <c r="M303" s="2" t="s">
        <v>676</v>
      </c>
      <c r="N303" s="2" t="s">
        <v>159</v>
      </c>
      <c r="O303" s="2" t="s">
        <v>34</v>
      </c>
      <c r="P303" s="2" t="s">
        <v>626</v>
      </c>
      <c r="Q303" s="2" t="s">
        <v>351</v>
      </c>
      <c r="R303" s="2">
        <v>31655</v>
      </c>
      <c r="S303" s="2">
        <v>31655</v>
      </c>
      <c r="T303" s="2" t="s">
        <v>176</v>
      </c>
      <c r="U303" s="2" t="s">
        <v>176</v>
      </c>
      <c r="V303" s="2" t="s">
        <v>650</v>
      </c>
      <c r="W303" s="2" t="s">
        <v>176</v>
      </c>
      <c r="X303" s="2" t="s">
        <v>2640</v>
      </c>
      <c r="Y303" s="2" t="s">
        <v>2641</v>
      </c>
      <c r="AA303" s="2">
        <v>84261555</v>
      </c>
      <c r="AB303" s="2" t="s">
        <v>654</v>
      </c>
      <c r="AC303" s="2" t="s">
        <v>632</v>
      </c>
      <c r="AD303" s="2">
        <v>84261555</v>
      </c>
      <c r="AJ303" s="2">
        <v>84261555</v>
      </c>
      <c r="AK303" s="2">
        <v>1</v>
      </c>
      <c r="AL303" s="2" t="s">
        <v>633</v>
      </c>
      <c r="AM303" s="2">
        <v>0</v>
      </c>
      <c r="AN303" s="2">
        <v>0</v>
      </c>
      <c r="AO303" s="2">
        <v>1</v>
      </c>
      <c r="AP303" s="2">
        <v>0</v>
      </c>
      <c r="AQ303" s="2">
        <v>0</v>
      </c>
      <c r="AR303" s="2">
        <v>0</v>
      </c>
      <c r="AS303" s="2">
        <v>0</v>
      </c>
      <c r="AT303" s="2">
        <v>0</v>
      </c>
      <c r="BB303" s="2" t="str">
        <f>+PROPER(BD[[#This Row],[PRIMER_APELLIDO]])</f>
        <v>Blandon</v>
      </c>
    </row>
    <row r="304" spans="1:54" x14ac:dyDescent="0.25">
      <c r="A304" s="2">
        <v>303</v>
      </c>
      <c r="B304" s="2">
        <v>40988</v>
      </c>
      <c r="C304" s="2" t="s">
        <v>619</v>
      </c>
      <c r="D304" s="2" t="s">
        <v>620</v>
      </c>
      <c r="E304" s="2" t="s">
        <v>2642</v>
      </c>
      <c r="F304" s="2">
        <v>23144406</v>
      </c>
      <c r="G304" s="3">
        <v>36.010958904109586</v>
      </c>
      <c r="H304" s="2" t="s">
        <v>622</v>
      </c>
      <c r="I304" s="2" t="s">
        <v>2643</v>
      </c>
      <c r="J304" s="2" t="str">
        <f>+IF(BD[[#This Row],[DEPARTAMENTO_INSS]]="MANAGUA","_01_","_02_")</f>
        <v>_02_</v>
      </c>
      <c r="K304" s="2" t="str">
        <f>+CONCATENATE(BD[[#This Row],[Columna3]],BD[[#This Row],[Columna4]],BD[[#This Row],[NOMBRE COMPLETO]])</f>
        <v>E003_02_AURA LILA ZUNIGA GARCIA</v>
      </c>
      <c r="L304" s="2" t="s">
        <v>875</v>
      </c>
      <c r="M304" s="2" t="s">
        <v>2644</v>
      </c>
      <c r="N304" s="2" t="s">
        <v>110</v>
      </c>
      <c r="O304" s="2" t="s">
        <v>10</v>
      </c>
      <c r="P304" s="2" t="s">
        <v>626</v>
      </c>
      <c r="Q304" s="2" t="s">
        <v>351</v>
      </c>
      <c r="R304" s="2">
        <v>31652</v>
      </c>
      <c r="S304" s="2">
        <v>31652</v>
      </c>
      <c r="T304" s="2" t="s">
        <v>732</v>
      </c>
      <c r="U304" s="2" t="s">
        <v>732</v>
      </c>
      <c r="V304" s="2" t="s">
        <v>732</v>
      </c>
      <c r="W304" s="2" t="s">
        <v>732</v>
      </c>
      <c r="X304" s="2" t="s">
        <v>2645</v>
      </c>
      <c r="Y304" s="2" t="s">
        <v>2646</v>
      </c>
      <c r="AA304" s="2">
        <v>77263820</v>
      </c>
      <c r="AB304" s="2" t="s">
        <v>642</v>
      </c>
      <c r="AC304" s="2" t="s">
        <v>632</v>
      </c>
      <c r="AD304" s="2">
        <v>77263820</v>
      </c>
      <c r="AJ304" s="2">
        <v>77263820</v>
      </c>
      <c r="AK304" s="2">
        <v>1</v>
      </c>
      <c r="AL304" s="2" t="s">
        <v>633</v>
      </c>
      <c r="AM304" s="2">
        <v>0</v>
      </c>
      <c r="AN304" s="2">
        <v>0</v>
      </c>
      <c r="AO304" s="2">
        <v>1</v>
      </c>
      <c r="AP304" s="2">
        <v>0</v>
      </c>
      <c r="AQ304" s="2">
        <v>0</v>
      </c>
      <c r="AR304" s="2">
        <v>0</v>
      </c>
      <c r="AS304" s="2">
        <v>0</v>
      </c>
      <c r="AT304" s="2">
        <v>0</v>
      </c>
      <c r="BB304" s="2" t="str">
        <f>+PROPER(BD[[#This Row],[PRIMER_APELLIDO]])</f>
        <v>Zuniga</v>
      </c>
    </row>
    <row r="305" spans="1:54" x14ac:dyDescent="0.25">
      <c r="A305" s="2">
        <v>304</v>
      </c>
      <c r="B305" s="2">
        <v>42276</v>
      </c>
      <c r="C305" s="2" t="s">
        <v>619</v>
      </c>
      <c r="D305" s="2" t="s">
        <v>620</v>
      </c>
      <c r="E305" s="2" t="s">
        <v>2647</v>
      </c>
      <c r="F305" s="2">
        <v>26195492</v>
      </c>
      <c r="G305" s="3">
        <v>36.013698630136986</v>
      </c>
      <c r="H305" s="2" t="s">
        <v>622</v>
      </c>
      <c r="I305" s="2" t="s">
        <v>2648</v>
      </c>
      <c r="J305" s="2" t="str">
        <f>+IF(BD[[#This Row],[DEPARTAMENTO_INSS]]="MANAGUA","_01_","_02_")</f>
        <v>_02_</v>
      </c>
      <c r="K305" s="2" t="str">
        <f>+CONCATENATE(BD[[#This Row],[Columna3]],BD[[#This Row],[Columna4]],BD[[#This Row],[NOMBRE COMPLETO]])</f>
        <v>E003_02_ISHELL YOLANDA HODGSON RUGAMA</v>
      </c>
      <c r="L305" s="2" t="s">
        <v>2649</v>
      </c>
      <c r="M305" s="2" t="s">
        <v>2650</v>
      </c>
      <c r="N305" s="2" t="s">
        <v>295</v>
      </c>
      <c r="O305" s="2" t="s">
        <v>182</v>
      </c>
      <c r="P305" s="2" t="s">
        <v>626</v>
      </c>
      <c r="Q305" s="2" t="s">
        <v>351</v>
      </c>
      <c r="R305" s="2">
        <v>31651</v>
      </c>
      <c r="S305" s="2">
        <v>31651</v>
      </c>
      <c r="T305" s="2" t="s">
        <v>780</v>
      </c>
      <c r="U305" s="2" t="s">
        <v>780</v>
      </c>
      <c r="V305" s="2" t="s">
        <v>781</v>
      </c>
      <c r="W305" s="2" t="s">
        <v>781</v>
      </c>
      <c r="X305" s="2" t="s">
        <v>2651</v>
      </c>
      <c r="Y305" s="2" t="s">
        <v>2652</v>
      </c>
      <c r="AA305" s="2">
        <v>86427431</v>
      </c>
      <c r="AB305" s="2" t="s">
        <v>642</v>
      </c>
      <c r="AC305" s="2" t="s">
        <v>632</v>
      </c>
      <c r="AD305" s="2">
        <v>86427431</v>
      </c>
      <c r="AJ305" s="2">
        <v>86427431</v>
      </c>
      <c r="AK305" s="2">
        <v>1</v>
      </c>
      <c r="AL305" s="2" t="s">
        <v>633</v>
      </c>
      <c r="AM305" s="2">
        <v>0</v>
      </c>
      <c r="AN305" s="2">
        <v>0</v>
      </c>
      <c r="AO305" s="2">
        <v>1</v>
      </c>
      <c r="AP305" s="2">
        <v>0</v>
      </c>
      <c r="AQ305" s="2">
        <v>0</v>
      </c>
      <c r="AR305" s="2">
        <v>0</v>
      </c>
      <c r="AS305" s="2">
        <v>0</v>
      </c>
      <c r="AT305" s="2">
        <v>0</v>
      </c>
      <c r="BB305" s="2" t="str">
        <f>+PROPER(BD[[#This Row],[PRIMER_APELLIDO]])</f>
        <v>Hodgson</v>
      </c>
    </row>
    <row r="306" spans="1:54" x14ac:dyDescent="0.25">
      <c r="A306" s="2">
        <v>305</v>
      </c>
      <c r="B306" s="2">
        <v>49066</v>
      </c>
      <c r="C306" s="2" t="s">
        <v>619</v>
      </c>
      <c r="D306" s="2" t="s">
        <v>620</v>
      </c>
      <c r="E306" s="2" t="s">
        <v>2653</v>
      </c>
      <c r="F306" s="2">
        <v>26970378</v>
      </c>
      <c r="G306" s="3">
        <v>36.027397260273972</v>
      </c>
      <c r="H306" s="2" t="s">
        <v>622</v>
      </c>
      <c r="I306" s="2" t="s">
        <v>2654</v>
      </c>
      <c r="J306" s="2" t="str">
        <f>+IF(BD[[#This Row],[DEPARTAMENTO_INSS]]="MANAGUA","_01_","_02_")</f>
        <v>_02_</v>
      </c>
      <c r="K306" s="2" t="str">
        <f>+CONCATENATE(BD[[#This Row],[Columna3]],BD[[#This Row],[Columna4]],BD[[#This Row],[NOMBRE COMPLETO]])</f>
        <v>E003_02_WALKIRIA MARIA HERNANDEZ LOPEZ</v>
      </c>
      <c r="L306" s="2" t="s">
        <v>2655</v>
      </c>
      <c r="M306" s="2" t="s">
        <v>724</v>
      </c>
      <c r="N306" s="2" t="s">
        <v>11</v>
      </c>
      <c r="O306" s="2" t="s">
        <v>15</v>
      </c>
      <c r="P306" s="2" t="s">
        <v>626</v>
      </c>
      <c r="Q306" s="2" t="s">
        <v>351</v>
      </c>
      <c r="R306" s="2">
        <v>31646</v>
      </c>
      <c r="S306" s="2">
        <v>31646</v>
      </c>
      <c r="T306" s="2" t="s">
        <v>176</v>
      </c>
      <c r="U306" s="2" t="s">
        <v>176</v>
      </c>
      <c r="V306" s="2" t="s">
        <v>748</v>
      </c>
      <c r="W306" s="2" t="s">
        <v>748</v>
      </c>
      <c r="X306" s="2" t="s">
        <v>2656</v>
      </c>
      <c r="Y306" s="2" t="s">
        <v>2657</v>
      </c>
      <c r="Z306" s="2">
        <v>87164741</v>
      </c>
      <c r="AA306" s="2" t="s">
        <v>2658</v>
      </c>
      <c r="AB306" s="2" t="s">
        <v>631</v>
      </c>
      <c r="AC306" s="2" t="s">
        <v>632</v>
      </c>
      <c r="AD306" s="2">
        <v>87164741</v>
      </c>
      <c r="AE306" s="2">
        <v>88203273</v>
      </c>
      <c r="AJ306" s="2">
        <v>87164741</v>
      </c>
      <c r="AK306" s="2">
        <v>3</v>
      </c>
      <c r="AL306" s="2" t="s">
        <v>633</v>
      </c>
      <c r="AM306" s="2">
        <v>0</v>
      </c>
      <c r="AN306" s="2">
        <v>0</v>
      </c>
      <c r="AO306" s="2">
        <v>1</v>
      </c>
      <c r="AP306" s="2">
        <v>0</v>
      </c>
      <c r="AQ306" s="2">
        <v>0</v>
      </c>
      <c r="AR306" s="2">
        <v>0</v>
      </c>
      <c r="AS306" s="2">
        <v>0</v>
      </c>
      <c r="AT306" s="2">
        <v>0</v>
      </c>
      <c r="BB306" s="2" t="str">
        <f>+PROPER(BD[[#This Row],[PRIMER_APELLIDO]])</f>
        <v>Hernandez</v>
      </c>
    </row>
    <row r="307" spans="1:54" x14ac:dyDescent="0.25">
      <c r="A307" s="2">
        <v>306</v>
      </c>
      <c r="B307" s="2">
        <v>33825</v>
      </c>
      <c r="C307" s="2" t="s">
        <v>619</v>
      </c>
      <c r="D307" s="2" t="s">
        <v>620</v>
      </c>
      <c r="E307" s="2" t="s">
        <v>2659</v>
      </c>
      <c r="F307" s="2">
        <v>24992486</v>
      </c>
      <c r="G307" s="3">
        <v>36.054794520547944</v>
      </c>
      <c r="H307" s="2" t="s">
        <v>622</v>
      </c>
      <c r="I307" s="2" t="s">
        <v>2660</v>
      </c>
      <c r="J307" s="2" t="str">
        <f>+IF(BD[[#This Row],[DEPARTAMENTO_INSS]]="MANAGUA","_01_","_02_")</f>
        <v>_02_</v>
      </c>
      <c r="K307" s="2" t="str">
        <f>+CONCATENATE(BD[[#This Row],[Columna3]],BD[[#This Row],[Columna4]],BD[[#This Row],[NOMBRE COMPLETO]])</f>
        <v>E003_02_MARIBEL EUGENIA SALINAS BONILLA</v>
      </c>
      <c r="L307" s="2" t="s">
        <v>2661</v>
      </c>
      <c r="M307" s="2" t="s">
        <v>2662</v>
      </c>
      <c r="N307" s="2" t="s">
        <v>114</v>
      </c>
      <c r="O307" s="2" t="s">
        <v>407</v>
      </c>
      <c r="P307" s="2" t="s">
        <v>626</v>
      </c>
      <c r="Q307" s="2" t="s">
        <v>351</v>
      </c>
      <c r="R307" s="2">
        <v>31636</v>
      </c>
      <c r="S307" s="2">
        <v>31636</v>
      </c>
      <c r="T307" s="2" t="s">
        <v>176</v>
      </c>
      <c r="U307" s="2" t="s">
        <v>176</v>
      </c>
      <c r="V307" s="2" t="s">
        <v>650</v>
      </c>
      <c r="W307" s="2" t="s">
        <v>176</v>
      </c>
      <c r="X307" s="2" t="s">
        <v>2663</v>
      </c>
      <c r="Y307" s="2" t="s">
        <v>2664</v>
      </c>
      <c r="AA307" s="2" t="s">
        <v>2665</v>
      </c>
      <c r="AB307" s="2" t="s">
        <v>642</v>
      </c>
      <c r="AC307" s="2" t="s">
        <v>632</v>
      </c>
      <c r="AE307" s="2">
        <v>55005893</v>
      </c>
      <c r="AJ307" s="2">
        <v>55005893</v>
      </c>
      <c r="AK307" s="2">
        <v>2</v>
      </c>
      <c r="AL307" s="2" t="s">
        <v>633</v>
      </c>
      <c r="AM307" s="2">
        <v>0</v>
      </c>
      <c r="AN307" s="2">
        <v>0</v>
      </c>
      <c r="AO307" s="2">
        <v>1</v>
      </c>
      <c r="AP307" s="2">
        <v>0</v>
      </c>
      <c r="AQ307" s="2">
        <v>0</v>
      </c>
      <c r="AR307" s="2">
        <v>0</v>
      </c>
      <c r="AS307" s="2">
        <v>0</v>
      </c>
      <c r="AT307" s="2">
        <v>0</v>
      </c>
      <c r="BB307" s="2" t="str">
        <f>+PROPER(BD[[#This Row],[PRIMER_APELLIDO]])</f>
        <v>Salinas</v>
      </c>
    </row>
    <row r="308" spans="1:54" x14ac:dyDescent="0.25">
      <c r="A308" s="2">
        <v>307</v>
      </c>
      <c r="B308" s="2">
        <v>39874</v>
      </c>
      <c r="C308" s="2" t="s">
        <v>619</v>
      </c>
      <c r="D308" s="2" t="s">
        <v>620</v>
      </c>
      <c r="E308" s="2" t="s">
        <v>2666</v>
      </c>
      <c r="F308" s="2">
        <v>23143409</v>
      </c>
      <c r="G308" s="3">
        <v>36.054794520547944</v>
      </c>
      <c r="H308" s="2" t="s">
        <v>622</v>
      </c>
      <c r="I308" s="2" t="s">
        <v>2667</v>
      </c>
      <c r="J308" s="2" t="str">
        <f>+IF(BD[[#This Row],[DEPARTAMENTO_INSS]]="MANAGUA","_01_","_02_")</f>
        <v>_02_</v>
      </c>
      <c r="K308" s="2" t="str">
        <f>+CONCATENATE(BD[[#This Row],[Columna3]],BD[[#This Row],[Columna4]],BD[[#This Row],[NOMBRE COMPLETO]])</f>
        <v>E003_02_ANGELICA MARIA ZUNIGA DAVILA</v>
      </c>
      <c r="L308" s="2" t="s">
        <v>1170</v>
      </c>
      <c r="M308" s="2" t="s">
        <v>724</v>
      </c>
      <c r="N308" s="2" t="s">
        <v>110</v>
      </c>
      <c r="O308" s="2" t="s">
        <v>88</v>
      </c>
      <c r="P308" s="2" t="s">
        <v>626</v>
      </c>
      <c r="Q308" s="2" t="s">
        <v>351</v>
      </c>
      <c r="R308" s="2">
        <v>31636</v>
      </c>
      <c r="S308" s="2">
        <v>31636</v>
      </c>
      <c r="T308" s="2" t="s">
        <v>176</v>
      </c>
      <c r="U308" s="2" t="s">
        <v>176</v>
      </c>
      <c r="V308" s="2" t="s">
        <v>650</v>
      </c>
      <c r="W308" s="2" t="s">
        <v>176</v>
      </c>
      <c r="X308" s="2" t="s">
        <v>2668</v>
      </c>
      <c r="Y308" s="2" t="s">
        <v>2669</v>
      </c>
      <c r="Z308" s="2" t="s">
        <v>2670</v>
      </c>
      <c r="AA308" s="2" t="s">
        <v>2671</v>
      </c>
      <c r="AB308" s="2" t="s">
        <v>642</v>
      </c>
      <c r="AC308" s="2" t="s">
        <v>632</v>
      </c>
      <c r="AD308" s="2">
        <v>89114304</v>
      </c>
      <c r="AE308" s="2">
        <v>78098631</v>
      </c>
      <c r="AJ308" s="2">
        <v>89114304</v>
      </c>
      <c r="AK308" s="2">
        <v>4</v>
      </c>
      <c r="AL308" s="2" t="s">
        <v>633</v>
      </c>
      <c r="AM308" s="2">
        <v>0</v>
      </c>
      <c r="AN308" s="2">
        <v>0</v>
      </c>
      <c r="AO308" s="2">
        <v>1</v>
      </c>
      <c r="AP308" s="2">
        <v>0</v>
      </c>
      <c r="AQ308" s="2">
        <v>0</v>
      </c>
      <c r="AR308" s="2">
        <v>0</v>
      </c>
      <c r="AS308" s="2">
        <v>0</v>
      </c>
      <c r="AT308" s="2">
        <v>0</v>
      </c>
      <c r="AZ308" s="2" t="s">
        <v>2672</v>
      </c>
      <c r="BB308" s="2" t="str">
        <f>+PROPER(BD[[#This Row],[PRIMER_APELLIDO]])</f>
        <v>Zuniga</v>
      </c>
    </row>
    <row r="309" spans="1:54" x14ac:dyDescent="0.25">
      <c r="A309" s="2">
        <v>308</v>
      </c>
      <c r="B309" s="2">
        <v>47013</v>
      </c>
      <c r="C309" s="2" t="s">
        <v>619</v>
      </c>
      <c r="D309" s="2" t="s">
        <v>620</v>
      </c>
      <c r="E309" s="2" t="s">
        <v>2673</v>
      </c>
      <c r="F309" s="2">
        <v>25024544</v>
      </c>
      <c r="G309" s="3">
        <v>36.054794520547944</v>
      </c>
      <c r="H309" s="2" t="s">
        <v>622</v>
      </c>
      <c r="I309" s="2" t="s">
        <v>2674</v>
      </c>
      <c r="J309" s="2" t="str">
        <f>+IF(BD[[#This Row],[DEPARTAMENTO_INSS]]="MANAGUA","_01_","_02_")</f>
        <v>_02_</v>
      </c>
      <c r="K309" s="2" t="str">
        <f>+CONCATENATE(BD[[#This Row],[Columna3]],BD[[#This Row],[Columna4]],BD[[#This Row],[NOMBRE COMPLETO]])</f>
        <v>E003_02_ELSA NOHEMI CACERES CACERES</v>
      </c>
      <c r="L309" s="2" t="s">
        <v>2675</v>
      </c>
      <c r="M309" s="2" t="s">
        <v>2676</v>
      </c>
      <c r="N309" s="2" t="s">
        <v>125</v>
      </c>
      <c r="O309" s="2" t="s">
        <v>125</v>
      </c>
      <c r="P309" s="2" t="s">
        <v>626</v>
      </c>
      <c r="Q309" s="2" t="s">
        <v>351</v>
      </c>
      <c r="R309" s="2">
        <v>31636</v>
      </c>
      <c r="S309" s="2">
        <v>31636</v>
      </c>
      <c r="T309" s="2" t="s">
        <v>1044</v>
      </c>
      <c r="U309" s="2" t="s">
        <v>1044</v>
      </c>
      <c r="V309" s="2" t="s">
        <v>1838</v>
      </c>
      <c r="W309" s="2" t="s">
        <v>1838</v>
      </c>
      <c r="X309" s="2" t="s">
        <v>2677</v>
      </c>
      <c r="Y309" s="2" t="s">
        <v>2678</v>
      </c>
      <c r="Z309" s="2">
        <v>89342985</v>
      </c>
      <c r="AA309" s="2">
        <v>89342985</v>
      </c>
      <c r="AB309" s="2" t="s">
        <v>631</v>
      </c>
      <c r="AC309" s="2" t="s">
        <v>632</v>
      </c>
      <c r="AD309" s="2">
        <v>89342985</v>
      </c>
      <c r="AJ309" s="2">
        <v>89342985</v>
      </c>
      <c r="AK309" s="2">
        <v>2</v>
      </c>
      <c r="AL309" s="2" t="s">
        <v>633</v>
      </c>
      <c r="AM309" s="2">
        <v>0</v>
      </c>
      <c r="AN309" s="2">
        <v>0</v>
      </c>
      <c r="AO309" s="2">
        <v>1</v>
      </c>
      <c r="AP309" s="2">
        <v>0</v>
      </c>
      <c r="AQ309" s="2">
        <v>0</v>
      </c>
      <c r="AR309" s="2">
        <v>0</v>
      </c>
      <c r="AS309" s="2">
        <v>0</v>
      </c>
      <c r="AT309" s="2">
        <v>0</v>
      </c>
      <c r="BB309" s="2" t="str">
        <f>+PROPER(BD[[#This Row],[PRIMER_APELLIDO]])</f>
        <v>Caceres</v>
      </c>
    </row>
    <row r="310" spans="1:54" x14ac:dyDescent="0.25">
      <c r="A310" s="2">
        <v>309</v>
      </c>
      <c r="B310" s="2">
        <v>52184</v>
      </c>
      <c r="C310" s="2" t="s">
        <v>619</v>
      </c>
      <c r="D310" s="2" t="s">
        <v>620</v>
      </c>
      <c r="E310" s="2" t="s">
        <v>2679</v>
      </c>
      <c r="F310" s="2">
        <v>27184011</v>
      </c>
      <c r="G310" s="3">
        <v>36.060273972602737</v>
      </c>
      <c r="H310" s="2" t="s">
        <v>622</v>
      </c>
      <c r="I310" s="2" t="s">
        <v>2680</v>
      </c>
      <c r="J310" s="2" t="str">
        <f>+IF(BD[[#This Row],[DEPARTAMENTO_INSS]]="MANAGUA","_01_","_02_")</f>
        <v>_01_</v>
      </c>
      <c r="K310" s="2" t="str">
        <f>+CONCATENATE(BD[[#This Row],[Columna3]],BD[[#This Row],[Columna4]],BD[[#This Row],[NOMBRE COMPLETO]])</f>
        <v>E003_01_KLONDY ESMERALDA ZELAYA</v>
      </c>
      <c r="L310" s="2" t="s">
        <v>2681</v>
      </c>
      <c r="M310" s="2" t="s">
        <v>1177</v>
      </c>
      <c r="N310" s="2" t="s">
        <v>72</v>
      </c>
      <c r="P310" s="2" t="s">
        <v>626</v>
      </c>
      <c r="Q310" s="2" t="s">
        <v>351</v>
      </c>
      <c r="R310" s="2">
        <v>31634</v>
      </c>
      <c r="S310" s="2">
        <v>31634</v>
      </c>
      <c r="T310" s="2" t="s">
        <v>627</v>
      </c>
      <c r="U310" s="2" t="s">
        <v>627</v>
      </c>
      <c r="V310" s="2" t="s">
        <v>627</v>
      </c>
      <c r="W310" s="2" t="s">
        <v>627</v>
      </c>
      <c r="X310" s="2" t="s">
        <v>2682</v>
      </c>
      <c r="Y310" s="2" t="s">
        <v>2683</v>
      </c>
      <c r="AA310" s="2" t="s">
        <v>2684</v>
      </c>
      <c r="AB310" s="2" t="s">
        <v>642</v>
      </c>
      <c r="AC310" s="2" t="s">
        <v>632</v>
      </c>
      <c r="AE310" s="2">
        <v>58366881</v>
      </c>
      <c r="AJ310" s="2">
        <v>58366881</v>
      </c>
      <c r="AK310" s="2">
        <v>2</v>
      </c>
      <c r="AL310" s="2" t="s">
        <v>633</v>
      </c>
      <c r="AM310" s="2">
        <v>0</v>
      </c>
      <c r="AN310" s="2">
        <v>0</v>
      </c>
      <c r="AO310" s="2">
        <v>1</v>
      </c>
      <c r="AP310" s="2">
        <v>0</v>
      </c>
      <c r="AQ310" s="2">
        <v>0</v>
      </c>
      <c r="AR310" s="2">
        <v>0</v>
      </c>
      <c r="AS310" s="2">
        <v>0</v>
      </c>
      <c r="AT310" s="2">
        <v>0</v>
      </c>
      <c r="BB310" s="2" t="str">
        <f>+PROPER(BD[[#This Row],[PRIMER_APELLIDO]])</f>
        <v>Zelaya</v>
      </c>
    </row>
    <row r="311" spans="1:54" x14ac:dyDescent="0.25">
      <c r="A311" s="2">
        <v>310</v>
      </c>
      <c r="B311" s="2">
        <v>38974</v>
      </c>
      <c r="C311" s="2" t="s">
        <v>619</v>
      </c>
      <c r="D311" s="2" t="s">
        <v>620</v>
      </c>
      <c r="E311" s="2" t="s">
        <v>2685</v>
      </c>
      <c r="F311" s="2">
        <v>23154472</v>
      </c>
      <c r="G311" s="3">
        <v>36.065753424657537</v>
      </c>
      <c r="H311" s="2" t="s">
        <v>622</v>
      </c>
      <c r="I311" s="2" t="s">
        <v>2686</v>
      </c>
      <c r="J311" s="2" t="str">
        <f>+IF(BD[[#This Row],[DEPARTAMENTO_INSS]]="MANAGUA","_01_","_02_")</f>
        <v>_01_</v>
      </c>
      <c r="K311" s="2" t="str">
        <f>+CONCATENATE(BD[[#This Row],[Columna3]],BD[[#This Row],[Columna4]],BD[[#This Row],[NOMBRE COMPLETO]])</f>
        <v>E003_01_MARIA JOSE GUTIERREZ GARCIA</v>
      </c>
      <c r="L311" s="2" t="s">
        <v>724</v>
      </c>
      <c r="M311" s="2" t="s">
        <v>243</v>
      </c>
      <c r="N311" s="2" t="s">
        <v>171</v>
      </c>
      <c r="O311" s="2" t="s">
        <v>10</v>
      </c>
      <c r="P311" s="2" t="s">
        <v>626</v>
      </c>
      <c r="Q311" s="2" t="s">
        <v>351</v>
      </c>
      <c r="R311" s="2">
        <v>31632</v>
      </c>
      <c r="S311" s="2">
        <v>31632</v>
      </c>
      <c r="T311" s="2" t="s">
        <v>627</v>
      </c>
      <c r="U311" s="2" t="s">
        <v>627</v>
      </c>
      <c r="V311" s="2" t="s">
        <v>627</v>
      </c>
      <c r="W311" s="2" t="s">
        <v>627</v>
      </c>
      <c r="X311" s="2" t="s">
        <v>2687</v>
      </c>
      <c r="Y311" s="2" t="s">
        <v>2688</v>
      </c>
      <c r="Z311" s="2">
        <v>84795716</v>
      </c>
      <c r="AA311" s="2">
        <v>89392514</v>
      </c>
      <c r="AB311" s="2" t="s">
        <v>642</v>
      </c>
      <c r="AC311" s="2" t="s">
        <v>632</v>
      </c>
      <c r="AD311" s="2">
        <v>84795716</v>
      </c>
      <c r="AF311" s="2">
        <v>89392514</v>
      </c>
      <c r="AJ311" s="2">
        <v>84795716</v>
      </c>
      <c r="AK311" s="2">
        <v>2</v>
      </c>
      <c r="AL311" s="2" t="s">
        <v>633</v>
      </c>
      <c r="AM311" s="2">
        <v>0</v>
      </c>
      <c r="AN311" s="2">
        <v>0</v>
      </c>
      <c r="AO311" s="2">
        <v>1</v>
      </c>
      <c r="AP311" s="2">
        <v>0</v>
      </c>
      <c r="AQ311" s="2">
        <v>0</v>
      </c>
      <c r="AR311" s="2">
        <v>0</v>
      </c>
      <c r="AS311" s="2">
        <v>0</v>
      </c>
      <c r="AT311" s="2">
        <v>0</v>
      </c>
      <c r="AZ311" s="2" t="s">
        <v>2689</v>
      </c>
      <c r="BA311" s="2" t="s">
        <v>2689</v>
      </c>
      <c r="BB311" s="2" t="str">
        <f>+PROPER(BD[[#This Row],[PRIMER_APELLIDO]])</f>
        <v>Gutierrez</v>
      </c>
    </row>
    <row r="312" spans="1:54" x14ac:dyDescent="0.25">
      <c r="A312" s="2">
        <v>311</v>
      </c>
      <c r="B312" s="2">
        <v>54562</v>
      </c>
      <c r="C312" s="2" t="s">
        <v>619</v>
      </c>
      <c r="D312" s="2" t="s">
        <v>620</v>
      </c>
      <c r="E312" s="2" t="s">
        <v>2690</v>
      </c>
      <c r="G312" s="3">
        <v>36.065753424657537</v>
      </c>
      <c r="H312" s="2" t="s">
        <v>622</v>
      </c>
      <c r="I312" s="2" t="s">
        <v>2691</v>
      </c>
      <c r="J312" s="2" t="str">
        <f>+IF(BD[[#This Row],[DEPARTAMENTO_INSS]]="MANAGUA","_01_","_02_")</f>
        <v>_02_</v>
      </c>
      <c r="K312" s="2" t="str">
        <f>+CONCATENATE(BD[[#This Row],[Columna3]],BD[[#This Row],[Columna4]],BD[[#This Row],[NOMBRE COMPLETO]])</f>
        <v>E003_02_KARLA VANESSA RIOS HERNANDEZ</v>
      </c>
      <c r="L312" s="2" t="s">
        <v>746</v>
      </c>
      <c r="M312" s="2" t="s">
        <v>1163</v>
      </c>
      <c r="N312" s="2" t="s">
        <v>164</v>
      </c>
      <c r="O312" s="2" t="s">
        <v>11</v>
      </c>
      <c r="P312" s="2" t="s">
        <v>626</v>
      </c>
      <c r="Q312" s="2" t="s">
        <v>351</v>
      </c>
      <c r="R312" s="2">
        <v>31632</v>
      </c>
      <c r="S312" s="2">
        <v>31632</v>
      </c>
      <c r="T312" s="2" t="s">
        <v>705</v>
      </c>
      <c r="U312" s="2" t="s">
        <v>705</v>
      </c>
      <c r="V312" s="2" t="s">
        <v>1538</v>
      </c>
      <c r="W312" s="2" t="s">
        <v>1538</v>
      </c>
      <c r="X312" s="2" t="s">
        <v>2692</v>
      </c>
      <c r="Y312" s="2" t="s">
        <v>2693</v>
      </c>
      <c r="Z312" s="2">
        <v>87564395</v>
      </c>
      <c r="AA312" s="2">
        <v>78520388</v>
      </c>
      <c r="AB312" s="2" t="s">
        <v>631</v>
      </c>
      <c r="AC312" s="2" t="s">
        <v>632</v>
      </c>
      <c r="AD312" s="2">
        <v>87564395</v>
      </c>
      <c r="AF312" s="2">
        <v>78520388</v>
      </c>
      <c r="AJ312" s="2">
        <v>87564395</v>
      </c>
      <c r="AK312" s="2">
        <v>2</v>
      </c>
      <c r="AL312" s="2" t="s">
        <v>633</v>
      </c>
      <c r="AM312" s="2">
        <v>0</v>
      </c>
      <c r="AN312" s="2">
        <v>0</v>
      </c>
      <c r="AO312" s="2">
        <v>1</v>
      </c>
      <c r="AP312" s="2">
        <v>0</v>
      </c>
      <c r="AQ312" s="2">
        <v>0</v>
      </c>
      <c r="AR312" s="2">
        <v>0</v>
      </c>
      <c r="AS312" s="2">
        <v>0</v>
      </c>
      <c r="AT312" s="2">
        <v>0</v>
      </c>
      <c r="BB312" s="2" t="str">
        <f>+PROPER(BD[[#This Row],[PRIMER_APELLIDO]])</f>
        <v>Rios</v>
      </c>
    </row>
    <row r="313" spans="1:54" x14ac:dyDescent="0.25">
      <c r="A313" s="2">
        <v>312</v>
      </c>
      <c r="B313" s="2">
        <v>48643</v>
      </c>
      <c r="C313" s="2" t="s">
        <v>619</v>
      </c>
      <c r="D313" s="2" t="s">
        <v>620</v>
      </c>
      <c r="E313" s="2" t="s">
        <v>2694</v>
      </c>
      <c r="F313" s="2">
        <v>26962216</v>
      </c>
      <c r="G313" s="3">
        <v>36.06849315068493</v>
      </c>
      <c r="H313" s="2" t="s">
        <v>622</v>
      </c>
      <c r="I313" s="2" t="s">
        <v>2695</v>
      </c>
      <c r="J313" s="2" t="str">
        <f>+IF(BD[[#This Row],[DEPARTAMENTO_INSS]]="MANAGUA","_01_","_02_")</f>
        <v>_01_</v>
      </c>
      <c r="K313" s="2" t="str">
        <f>+CONCATENATE(BD[[#This Row],[Columna3]],BD[[#This Row],[Columna4]],BD[[#This Row],[NOMBRE COMPLETO]])</f>
        <v>E003_01_MADELYN DEL SOCORRO ARANSIBIA RIVERA</v>
      </c>
      <c r="L313" s="2" t="s">
        <v>2696</v>
      </c>
      <c r="M313" s="2" t="s">
        <v>787</v>
      </c>
      <c r="N313" s="2" t="s">
        <v>57</v>
      </c>
      <c r="O313" s="2" t="s">
        <v>198</v>
      </c>
      <c r="P313" s="2" t="s">
        <v>626</v>
      </c>
      <c r="Q313" s="2" t="s">
        <v>351</v>
      </c>
      <c r="R313" s="2">
        <v>31631</v>
      </c>
      <c r="S313" s="2">
        <v>31631</v>
      </c>
      <c r="T313" s="2" t="s">
        <v>627</v>
      </c>
      <c r="U313" s="2" t="s">
        <v>627</v>
      </c>
      <c r="V313" s="2" t="s">
        <v>627</v>
      </c>
      <c r="W313" s="2" t="s">
        <v>627</v>
      </c>
      <c r="X313" s="2" t="s">
        <v>2697</v>
      </c>
      <c r="Y313" s="2" t="s">
        <v>2698</v>
      </c>
      <c r="AA313" s="2">
        <v>22516556</v>
      </c>
      <c r="AB313" s="2" t="s">
        <v>631</v>
      </c>
      <c r="AC313" s="2" t="s">
        <v>632</v>
      </c>
      <c r="AK313" s="2">
        <v>1</v>
      </c>
      <c r="AL313" s="2" t="s">
        <v>633</v>
      </c>
      <c r="AM313" s="2">
        <v>0</v>
      </c>
      <c r="AN313" s="2">
        <v>0</v>
      </c>
      <c r="AO313" s="2">
        <v>1</v>
      </c>
      <c r="AP313" s="2">
        <v>0</v>
      </c>
      <c r="AQ313" s="2">
        <v>0</v>
      </c>
      <c r="AR313" s="2">
        <v>0</v>
      </c>
      <c r="AS313" s="2">
        <v>0</v>
      </c>
      <c r="AT313" s="2">
        <v>0</v>
      </c>
      <c r="BB313" s="2" t="str">
        <f>+PROPER(BD[[#This Row],[PRIMER_APELLIDO]])</f>
        <v>Aransibia</v>
      </c>
    </row>
    <row r="314" spans="1:54" x14ac:dyDescent="0.25">
      <c r="A314" s="2">
        <v>313</v>
      </c>
      <c r="B314" s="2">
        <v>39210</v>
      </c>
      <c r="C314" s="2" t="s">
        <v>619</v>
      </c>
      <c r="D314" s="2" t="s">
        <v>620</v>
      </c>
      <c r="E314" s="2" t="s">
        <v>2699</v>
      </c>
      <c r="F314" s="2">
        <v>23154313</v>
      </c>
      <c r="G314" s="3">
        <v>36.07123287671233</v>
      </c>
      <c r="H314" s="2" t="s">
        <v>622</v>
      </c>
      <c r="I314" s="2" t="s">
        <v>2700</v>
      </c>
      <c r="J314" s="2" t="str">
        <f>+IF(BD[[#This Row],[DEPARTAMENTO_INSS]]="MANAGUA","_01_","_02_")</f>
        <v>_01_</v>
      </c>
      <c r="K314" s="2" t="str">
        <f>+CONCATENATE(BD[[#This Row],[Columna3]],BD[[#This Row],[Columna4]],BD[[#This Row],[NOMBRE COMPLETO]])</f>
        <v>E003_01_ROMMEL EZEQUIEL CANO BUSTAMANTE</v>
      </c>
      <c r="L314" s="2" t="s">
        <v>2701</v>
      </c>
      <c r="M314" s="2" t="s">
        <v>854</v>
      </c>
      <c r="N314" s="2" t="s">
        <v>340</v>
      </c>
      <c r="O314" s="2" t="s">
        <v>289</v>
      </c>
      <c r="P314" s="2" t="s">
        <v>649</v>
      </c>
      <c r="Q314" s="2" t="s">
        <v>351</v>
      </c>
      <c r="R314" s="2">
        <v>31630</v>
      </c>
      <c r="S314" s="2">
        <v>31630</v>
      </c>
      <c r="T314" s="2" t="s">
        <v>627</v>
      </c>
      <c r="U314" s="2" t="s">
        <v>627</v>
      </c>
      <c r="V314" s="2" t="s">
        <v>627</v>
      </c>
      <c r="W314" s="2" t="s">
        <v>627</v>
      </c>
      <c r="X314" s="2" t="s">
        <v>2702</v>
      </c>
      <c r="Y314" s="2" t="s">
        <v>2703</v>
      </c>
      <c r="AA314" s="2">
        <v>86107561</v>
      </c>
      <c r="AB314" s="2" t="s">
        <v>654</v>
      </c>
      <c r="AC314" s="2" t="s">
        <v>632</v>
      </c>
      <c r="AD314" s="2">
        <v>86107561</v>
      </c>
      <c r="AJ314" s="2">
        <v>86107561</v>
      </c>
      <c r="AK314" s="2">
        <v>1</v>
      </c>
      <c r="AL314" s="2" t="s">
        <v>633</v>
      </c>
      <c r="AM314" s="2">
        <v>0</v>
      </c>
      <c r="AN314" s="2">
        <v>0</v>
      </c>
      <c r="AO314" s="2">
        <v>1</v>
      </c>
      <c r="AP314" s="2">
        <v>0</v>
      </c>
      <c r="AQ314" s="2">
        <v>0</v>
      </c>
      <c r="AR314" s="2">
        <v>0</v>
      </c>
      <c r="AS314" s="2">
        <v>0</v>
      </c>
      <c r="AT314" s="2">
        <v>0</v>
      </c>
      <c r="BA314" s="2" t="s">
        <v>2704</v>
      </c>
      <c r="BB314" s="2" t="str">
        <f>+PROPER(BD[[#This Row],[PRIMER_APELLIDO]])</f>
        <v>Cano</v>
      </c>
    </row>
    <row r="315" spans="1:54" x14ac:dyDescent="0.25">
      <c r="A315" s="2">
        <v>314</v>
      </c>
      <c r="B315" s="2">
        <v>39799</v>
      </c>
      <c r="C315" s="2" t="s">
        <v>619</v>
      </c>
      <c r="D315" s="2" t="s">
        <v>620</v>
      </c>
      <c r="E315" s="2" t="s">
        <v>2705</v>
      </c>
      <c r="F315" s="2">
        <v>23108994</v>
      </c>
      <c r="G315" s="3">
        <v>36.087671232876716</v>
      </c>
      <c r="H315" s="2" t="s">
        <v>622</v>
      </c>
      <c r="I315" s="2" t="s">
        <v>2706</v>
      </c>
      <c r="J315" s="2" t="str">
        <f>+IF(BD[[#This Row],[DEPARTAMENTO_INSS]]="MANAGUA","_01_","_02_")</f>
        <v>_02_</v>
      </c>
      <c r="K315" s="2" t="str">
        <f>+CONCATENATE(BD[[#This Row],[Columna3]],BD[[#This Row],[Columna4]],BD[[#This Row],[NOMBRE COMPLETO]])</f>
        <v>E003_02_VERONICA ESPERANZA MUNGUIA HERNANDEZ</v>
      </c>
      <c r="L315" s="2" t="s">
        <v>1464</v>
      </c>
      <c r="M315" s="2" t="s">
        <v>2707</v>
      </c>
      <c r="N315" s="2" t="s">
        <v>197</v>
      </c>
      <c r="O315" s="2" t="s">
        <v>11</v>
      </c>
      <c r="P315" s="2" t="s">
        <v>626</v>
      </c>
      <c r="Q315" s="2" t="s">
        <v>351</v>
      </c>
      <c r="R315" s="2">
        <v>31624</v>
      </c>
      <c r="S315" s="2">
        <v>31624</v>
      </c>
      <c r="T315" s="2" t="s">
        <v>1044</v>
      </c>
      <c r="U315" s="2" t="s">
        <v>1044</v>
      </c>
      <c r="V315" s="2" t="s">
        <v>2708</v>
      </c>
      <c r="W315" s="2" t="s">
        <v>2709</v>
      </c>
      <c r="X315" s="2" t="s">
        <v>2710</v>
      </c>
      <c r="Y315" s="2" t="s">
        <v>2711</v>
      </c>
      <c r="Z315" s="2">
        <v>87081253</v>
      </c>
      <c r="AA315" s="2">
        <v>87081253</v>
      </c>
      <c r="AB315" s="2" t="s">
        <v>642</v>
      </c>
      <c r="AC315" s="2" t="s">
        <v>632</v>
      </c>
      <c r="AD315" s="2">
        <v>87081253</v>
      </c>
      <c r="AJ315" s="2">
        <v>87081253</v>
      </c>
      <c r="AK315" s="2">
        <v>2</v>
      </c>
      <c r="AL315" s="2" t="s">
        <v>633</v>
      </c>
      <c r="AM315" s="2">
        <v>0</v>
      </c>
      <c r="AN315" s="2">
        <v>0</v>
      </c>
      <c r="AO315" s="2">
        <v>1</v>
      </c>
      <c r="AP315" s="2">
        <v>0</v>
      </c>
      <c r="AQ315" s="2">
        <v>0</v>
      </c>
      <c r="AR315" s="2">
        <v>0</v>
      </c>
      <c r="AS315" s="2">
        <v>0</v>
      </c>
      <c r="AT315" s="2">
        <v>0</v>
      </c>
      <c r="AZ315" s="2" t="s">
        <v>2712</v>
      </c>
      <c r="BB315" s="2" t="str">
        <f>+PROPER(BD[[#This Row],[PRIMER_APELLIDO]])</f>
        <v>Munguia</v>
      </c>
    </row>
    <row r="316" spans="1:54" x14ac:dyDescent="0.25">
      <c r="A316" s="2">
        <v>315</v>
      </c>
      <c r="B316" s="2">
        <v>48742</v>
      </c>
      <c r="C316" s="2" t="s">
        <v>619</v>
      </c>
      <c r="D316" s="2" t="s">
        <v>620</v>
      </c>
      <c r="E316" s="2" t="s">
        <v>2713</v>
      </c>
      <c r="F316" s="2">
        <v>16550805</v>
      </c>
      <c r="G316" s="3">
        <v>36.087671232876716</v>
      </c>
      <c r="H316" s="2" t="s">
        <v>622</v>
      </c>
      <c r="I316" s="2" t="s">
        <v>2714</v>
      </c>
      <c r="J316" s="2" t="str">
        <f>+IF(BD[[#This Row],[DEPARTAMENTO_INSS]]="MANAGUA","_01_","_02_")</f>
        <v>_02_</v>
      </c>
      <c r="K316" s="2" t="str">
        <f>+CONCATENATE(BD[[#This Row],[Columna3]],BD[[#This Row],[Columna4]],BD[[#This Row],[NOMBRE COMPLETO]])</f>
        <v>E003_02_GUSTAVO ADOLFO SARAVIA JUAREZ</v>
      </c>
      <c r="L316" s="2" t="s">
        <v>2715</v>
      </c>
      <c r="M316" s="2" t="s">
        <v>2716</v>
      </c>
      <c r="N316" s="2" t="s">
        <v>388</v>
      </c>
      <c r="O316" s="2" t="s">
        <v>344</v>
      </c>
      <c r="P316" s="2" t="s">
        <v>649</v>
      </c>
      <c r="Q316" s="2" t="s">
        <v>351</v>
      </c>
      <c r="R316" s="2">
        <v>31624</v>
      </c>
      <c r="S316" s="2">
        <v>31624</v>
      </c>
      <c r="T316" s="2" t="s">
        <v>705</v>
      </c>
      <c r="U316" s="2" t="s">
        <v>705</v>
      </c>
      <c r="V316" s="2" t="s">
        <v>725</v>
      </c>
      <c r="W316" s="2" t="s">
        <v>725</v>
      </c>
      <c r="X316" s="2" t="s">
        <v>2717</v>
      </c>
      <c r="Y316" s="2" t="s">
        <v>2718</v>
      </c>
      <c r="Z316" s="2">
        <v>87409239</v>
      </c>
      <c r="AA316" s="2">
        <v>84974221</v>
      </c>
      <c r="AB316" s="2" t="s">
        <v>798</v>
      </c>
      <c r="AC316" s="2" t="s">
        <v>632</v>
      </c>
      <c r="AD316" s="2">
        <v>87409239</v>
      </c>
      <c r="AF316" s="2">
        <v>84974221</v>
      </c>
      <c r="AJ316" s="2">
        <v>87409239</v>
      </c>
      <c r="AK316" s="2">
        <v>2</v>
      </c>
      <c r="AL316" s="2" t="s">
        <v>633</v>
      </c>
      <c r="AM316" s="2">
        <v>0</v>
      </c>
      <c r="AN316" s="2">
        <v>0</v>
      </c>
      <c r="AO316" s="2">
        <v>1</v>
      </c>
      <c r="AP316" s="2">
        <v>0</v>
      </c>
      <c r="AQ316" s="2">
        <v>0</v>
      </c>
      <c r="AR316" s="2">
        <v>0</v>
      </c>
      <c r="AS316" s="2">
        <v>0</v>
      </c>
      <c r="AT316" s="2">
        <v>0</v>
      </c>
      <c r="AZ316" s="2" t="s">
        <v>2719</v>
      </c>
      <c r="BB316" s="2" t="str">
        <f>+PROPER(BD[[#This Row],[PRIMER_APELLIDO]])</f>
        <v>Saravia</v>
      </c>
    </row>
    <row r="317" spans="1:54" x14ac:dyDescent="0.25">
      <c r="A317" s="2">
        <v>316</v>
      </c>
      <c r="B317" s="2">
        <v>72054</v>
      </c>
      <c r="C317" s="2" t="s">
        <v>619</v>
      </c>
      <c r="D317" s="2" t="s">
        <v>620</v>
      </c>
      <c r="E317" s="2" t="s">
        <v>2720</v>
      </c>
      <c r="G317" s="3">
        <v>36.087671232876716</v>
      </c>
      <c r="H317" s="2" t="s">
        <v>622</v>
      </c>
      <c r="I317" s="2" t="s">
        <v>2721</v>
      </c>
      <c r="J317" s="2" t="str">
        <f>+IF(BD[[#This Row],[DEPARTAMENTO_INSS]]="MANAGUA","_01_","_02_")</f>
        <v>_02_</v>
      </c>
      <c r="K317" s="2" t="str">
        <f>+CONCATENATE(BD[[#This Row],[Columna3]],BD[[#This Row],[Columna4]],BD[[#This Row],[NOMBRE COMPLETO]])</f>
        <v>E003_02_DEYDE DENDANEA CHAVEZ VANEGAS</v>
      </c>
      <c r="L317" s="2" t="s">
        <v>2722</v>
      </c>
      <c r="M317" s="2" t="s">
        <v>2723</v>
      </c>
      <c r="N317" s="2" t="s">
        <v>207</v>
      </c>
      <c r="O317" s="2" t="s">
        <v>75</v>
      </c>
      <c r="P317" s="2" t="s">
        <v>626</v>
      </c>
      <c r="Q317" s="2" t="s">
        <v>351</v>
      </c>
      <c r="R317" s="2">
        <v>31624</v>
      </c>
      <c r="S317" s="2">
        <v>31624</v>
      </c>
      <c r="T317" s="2" t="s">
        <v>1005</v>
      </c>
      <c r="U317" s="2" t="s">
        <v>186</v>
      </c>
      <c r="V317" s="2" t="s">
        <v>2405</v>
      </c>
      <c r="W317" s="2" t="s">
        <v>186</v>
      </c>
      <c r="X317" s="2" t="s">
        <v>2724</v>
      </c>
      <c r="Y317" s="2" t="s">
        <v>2725</v>
      </c>
      <c r="Z317" s="2">
        <v>75223122</v>
      </c>
      <c r="AA317" s="2">
        <v>58246691</v>
      </c>
      <c r="AB317" s="2" t="s">
        <v>631</v>
      </c>
      <c r="AC317" s="2" t="s">
        <v>632</v>
      </c>
      <c r="AD317" s="2">
        <v>75223122</v>
      </c>
      <c r="AF317" s="2">
        <v>58246691</v>
      </c>
      <c r="AJ317" s="2">
        <v>75223122</v>
      </c>
      <c r="AK317" s="2">
        <v>2</v>
      </c>
      <c r="AL317" s="2" t="s">
        <v>633</v>
      </c>
      <c r="AM317" s="2">
        <v>0</v>
      </c>
      <c r="AN317" s="2">
        <v>0</v>
      </c>
      <c r="AO317" s="2">
        <v>1</v>
      </c>
      <c r="AP317" s="2">
        <v>0</v>
      </c>
      <c r="AQ317" s="2">
        <v>0</v>
      </c>
      <c r="AR317" s="2">
        <v>0</v>
      </c>
      <c r="AS317" s="2">
        <v>0</v>
      </c>
      <c r="AT317" s="2">
        <v>0</v>
      </c>
      <c r="BB317" s="2" t="str">
        <f>+PROPER(BD[[#This Row],[PRIMER_APELLIDO]])</f>
        <v>Chavez</v>
      </c>
    </row>
    <row r="318" spans="1:54" x14ac:dyDescent="0.25">
      <c r="A318" s="2">
        <v>317</v>
      </c>
      <c r="B318" s="2">
        <v>36583</v>
      </c>
      <c r="C318" s="2" t="s">
        <v>619</v>
      </c>
      <c r="D318" s="2" t="s">
        <v>620</v>
      </c>
      <c r="E318" s="2" t="s">
        <v>2726</v>
      </c>
      <c r="F318" s="2">
        <v>18351532</v>
      </c>
      <c r="G318" s="3">
        <v>36.090410958904108</v>
      </c>
      <c r="H318" s="2" t="s">
        <v>622</v>
      </c>
      <c r="I318" s="2" t="s">
        <v>2727</v>
      </c>
      <c r="J318" s="2" t="str">
        <f>+IF(BD[[#This Row],[DEPARTAMENTO_INSS]]="MANAGUA","_01_","_02_")</f>
        <v>_01_</v>
      </c>
      <c r="K318" s="2" t="str">
        <f>+CONCATENATE(BD[[#This Row],[Columna3]],BD[[#This Row],[Columna4]],BD[[#This Row],[NOMBRE COMPLETO]])</f>
        <v>E003_01_SARAH ARCANA MAROTZKE MAYORGA</v>
      </c>
      <c r="L318" s="2" t="s">
        <v>2728</v>
      </c>
      <c r="M318" s="2" t="s">
        <v>2729</v>
      </c>
      <c r="N318" s="2" t="s">
        <v>67</v>
      </c>
      <c r="O318" s="2" t="s">
        <v>53</v>
      </c>
      <c r="P318" s="2" t="s">
        <v>626</v>
      </c>
      <c r="Q318" s="2" t="s">
        <v>351</v>
      </c>
      <c r="R318" s="2">
        <v>31623</v>
      </c>
      <c r="S318" s="2">
        <v>31623</v>
      </c>
      <c r="T318" s="2" t="s">
        <v>627</v>
      </c>
      <c r="U318" s="2" t="s">
        <v>627</v>
      </c>
      <c r="V318" s="2" t="s">
        <v>627</v>
      </c>
      <c r="W318" s="2" t="s">
        <v>627</v>
      </c>
      <c r="X318" s="2" t="s">
        <v>2730</v>
      </c>
      <c r="Y318" s="2" t="s">
        <v>2731</v>
      </c>
      <c r="AA318" s="2">
        <v>22658612</v>
      </c>
      <c r="AB318" s="2" t="s">
        <v>642</v>
      </c>
      <c r="AC318" s="2" t="s">
        <v>632</v>
      </c>
      <c r="AK318" s="2">
        <v>1</v>
      </c>
      <c r="AL318" s="2" t="s">
        <v>633</v>
      </c>
      <c r="AM318" s="2">
        <v>0</v>
      </c>
      <c r="AN318" s="2">
        <v>0</v>
      </c>
      <c r="AO318" s="2">
        <v>1</v>
      </c>
      <c r="AP318" s="2">
        <v>0</v>
      </c>
      <c r="AQ318" s="2">
        <v>0</v>
      </c>
      <c r="AR318" s="2">
        <v>0</v>
      </c>
      <c r="AS318" s="2">
        <v>0</v>
      </c>
      <c r="AT318" s="2">
        <v>0</v>
      </c>
      <c r="BB318" s="2" t="str">
        <f>+PROPER(BD[[#This Row],[PRIMER_APELLIDO]])</f>
        <v>Marotzke</v>
      </c>
    </row>
    <row r="319" spans="1:54" x14ac:dyDescent="0.25">
      <c r="A319" s="2">
        <v>318</v>
      </c>
      <c r="B319" s="2">
        <v>40037</v>
      </c>
      <c r="C319" s="2" t="s">
        <v>619</v>
      </c>
      <c r="D319" s="2" t="s">
        <v>620</v>
      </c>
      <c r="E319" s="2" t="s">
        <v>2732</v>
      </c>
      <c r="F319" s="2">
        <v>20572929</v>
      </c>
      <c r="G319" s="3">
        <v>36.090410958904108</v>
      </c>
      <c r="H319" s="2" t="s">
        <v>622</v>
      </c>
      <c r="I319" s="2" t="s">
        <v>2733</v>
      </c>
      <c r="J319" s="2" t="str">
        <f>+IF(BD[[#This Row],[DEPARTAMENTO_INSS]]="MANAGUA","_01_","_02_")</f>
        <v>_02_</v>
      </c>
      <c r="K319" s="2" t="str">
        <f>+CONCATENATE(BD[[#This Row],[Columna3]],BD[[#This Row],[Columna4]],BD[[#This Row],[NOMBRE COMPLETO]])</f>
        <v>E003_02_GRETHEL LUCIA SOMARRIBA URCUYO</v>
      </c>
      <c r="L319" s="2" t="s">
        <v>2586</v>
      </c>
      <c r="M319" s="2" t="s">
        <v>676</v>
      </c>
      <c r="N319" s="2" t="s">
        <v>50</v>
      </c>
      <c r="O319" s="2" t="s">
        <v>2734</v>
      </c>
      <c r="P319" s="2" t="s">
        <v>626</v>
      </c>
      <c r="Q319" s="2" t="s">
        <v>351</v>
      </c>
      <c r="R319" s="2">
        <v>31623</v>
      </c>
      <c r="S319" s="2">
        <v>31623</v>
      </c>
      <c r="T319" s="2" t="s">
        <v>176</v>
      </c>
      <c r="U319" s="2" t="s">
        <v>176</v>
      </c>
      <c r="V319" s="2" t="s">
        <v>650</v>
      </c>
      <c r="W319" s="2" t="s">
        <v>176</v>
      </c>
      <c r="X319" s="2" t="s">
        <v>2735</v>
      </c>
      <c r="Y319" s="2" t="s">
        <v>2736</v>
      </c>
      <c r="AA319" s="2">
        <v>23155390</v>
      </c>
      <c r="AB319" s="2" t="s">
        <v>654</v>
      </c>
      <c r="AC319" s="2" t="s">
        <v>632</v>
      </c>
      <c r="AK319" s="2">
        <v>1</v>
      </c>
      <c r="AL319" s="2" t="s">
        <v>633</v>
      </c>
      <c r="AM319" s="2">
        <v>0</v>
      </c>
      <c r="AN319" s="2">
        <v>0</v>
      </c>
      <c r="AO319" s="2">
        <v>1</v>
      </c>
      <c r="AP319" s="2">
        <v>0</v>
      </c>
      <c r="AQ319" s="2">
        <v>0</v>
      </c>
      <c r="AR319" s="2">
        <v>0</v>
      </c>
      <c r="AS319" s="2">
        <v>0</v>
      </c>
      <c r="AT319" s="2">
        <v>0</v>
      </c>
      <c r="BB319" s="2" t="str">
        <f>+PROPER(BD[[#This Row],[PRIMER_APELLIDO]])</f>
        <v>Somarriba</v>
      </c>
    </row>
    <row r="320" spans="1:54" x14ac:dyDescent="0.25">
      <c r="A320" s="2">
        <v>319</v>
      </c>
      <c r="B320" s="2">
        <v>43928</v>
      </c>
      <c r="C320" s="2" t="s">
        <v>619</v>
      </c>
      <c r="D320" s="2" t="s">
        <v>620</v>
      </c>
      <c r="E320" s="2" t="s">
        <v>2737</v>
      </c>
      <c r="F320" s="2">
        <v>24235400</v>
      </c>
      <c r="G320" s="3">
        <v>36.093150684931508</v>
      </c>
      <c r="H320" s="2" t="s">
        <v>622</v>
      </c>
      <c r="I320" s="2" t="s">
        <v>2738</v>
      </c>
      <c r="J320" s="2" t="str">
        <f>+IF(BD[[#This Row],[DEPARTAMENTO_INSS]]="MANAGUA","_01_","_02_")</f>
        <v>_02_</v>
      </c>
      <c r="K320" s="2" t="str">
        <f>+CONCATENATE(BD[[#This Row],[Columna3]],BD[[#This Row],[Columna4]],BD[[#This Row],[NOMBRE COMPLETO]])</f>
        <v>E003_02_FREIDEL JESUS ULLOA MEZA</v>
      </c>
      <c r="L320" s="2" t="s">
        <v>2739</v>
      </c>
      <c r="M320" s="2" t="s">
        <v>2740</v>
      </c>
      <c r="N320" s="2" t="s">
        <v>25</v>
      </c>
      <c r="O320" s="2" t="s">
        <v>218</v>
      </c>
      <c r="P320" s="2" t="s">
        <v>626</v>
      </c>
      <c r="Q320" s="2" t="s">
        <v>351</v>
      </c>
      <c r="R320" s="2">
        <v>31622</v>
      </c>
      <c r="S320" s="2">
        <v>31622</v>
      </c>
      <c r="T320" s="2" t="s">
        <v>705</v>
      </c>
      <c r="U320" s="2" t="s">
        <v>705</v>
      </c>
      <c r="V320" s="2" t="s">
        <v>725</v>
      </c>
      <c r="W320" s="2" t="s">
        <v>725</v>
      </c>
      <c r="X320" s="2" t="s">
        <v>2741</v>
      </c>
      <c r="Y320" s="2" t="s">
        <v>2742</v>
      </c>
      <c r="Z320" s="2">
        <v>58322083</v>
      </c>
      <c r="AA320" s="2" t="s">
        <v>2743</v>
      </c>
      <c r="AB320" s="2" t="s">
        <v>642</v>
      </c>
      <c r="AC320" s="2" t="s">
        <v>632</v>
      </c>
      <c r="AD320" s="2">
        <v>58322083</v>
      </c>
      <c r="AE320" s="2">
        <v>84261358</v>
      </c>
      <c r="AF320" s="2">
        <v>87773726</v>
      </c>
      <c r="AJ320" s="2">
        <v>58322083</v>
      </c>
      <c r="AK320" s="2">
        <v>3</v>
      </c>
      <c r="AL320" s="2" t="s">
        <v>633</v>
      </c>
      <c r="AM320" s="2">
        <v>0</v>
      </c>
      <c r="AN320" s="2">
        <v>0</v>
      </c>
      <c r="AO320" s="2">
        <v>1</v>
      </c>
      <c r="AP320" s="2">
        <v>0</v>
      </c>
      <c r="AQ320" s="2">
        <v>0</v>
      </c>
      <c r="AR320" s="2">
        <v>0</v>
      </c>
      <c r="AS320" s="2">
        <v>0</v>
      </c>
      <c r="AT320" s="2">
        <v>0</v>
      </c>
      <c r="AZ320" s="2" t="s">
        <v>2744</v>
      </c>
      <c r="BB320" s="2" t="str">
        <f>+PROPER(BD[[#This Row],[PRIMER_APELLIDO]])</f>
        <v>Ulloa</v>
      </c>
    </row>
    <row r="321" spans="1:54" x14ac:dyDescent="0.25">
      <c r="A321" s="2">
        <v>320</v>
      </c>
      <c r="B321" s="2">
        <v>39372</v>
      </c>
      <c r="C321" s="2" t="s">
        <v>619</v>
      </c>
      <c r="D321" s="2" t="s">
        <v>620</v>
      </c>
      <c r="E321" s="2" t="s">
        <v>2745</v>
      </c>
      <c r="F321" s="2">
        <v>23146974</v>
      </c>
      <c r="G321" s="3">
        <v>36.112328767123287</v>
      </c>
      <c r="H321" s="2" t="s">
        <v>622</v>
      </c>
      <c r="I321" s="2" t="s">
        <v>2746</v>
      </c>
      <c r="J321" s="2" t="str">
        <f>+IF(BD[[#This Row],[DEPARTAMENTO_INSS]]="MANAGUA","_01_","_02_")</f>
        <v>_02_</v>
      </c>
      <c r="K321" s="2" t="str">
        <f>+CONCATENATE(BD[[#This Row],[Columna3]],BD[[#This Row],[Columna4]],BD[[#This Row],[NOMBRE COMPLETO]])</f>
        <v>E003_02_MARIA INGILENE BLANDON PADILLA</v>
      </c>
      <c r="L321" s="2" t="s">
        <v>724</v>
      </c>
      <c r="M321" s="2" t="s">
        <v>2747</v>
      </c>
      <c r="N321" s="2" t="s">
        <v>159</v>
      </c>
      <c r="O321" s="2" t="s">
        <v>262</v>
      </c>
      <c r="P321" s="2" t="s">
        <v>626</v>
      </c>
      <c r="Q321" s="2" t="s">
        <v>351</v>
      </c>
      <c r="R321" s="2">
        <v>31615</v>
      </c>
      <c r="S321" s="2">
        <v>31615</v>
      </c>
      <c r="T321" s="2" t="s">
        <v>176</v>
      </c>
      <c r="U321" s="2" t="s">
        <v>176</v>
      </c>
      <c r="V321" s="2" t="s">
        <v>2609</v>
      </c>
      <c r="W321" s="2" t="s">
        <v>2609</v>
      </c>
      <c r="X321" s="2" t="s">
        <v>2748</v>
      </c>
      <c r="Y321" s="2" t="s">
        <v>2749</v>
      </c>
      <c r="AA321" s="2">
        <v>84502734</v>
      </c>
      <c r="AB321" s="2" t="s">
        <v>654</v>
      </c>
      <c r="AC321" s="2" t="s">
        <v>632</v>
      </c>
      <c r="AD321" s="2">
        <v>84502734</v>
      </c>
      <c r="AJ321" s="2">
        <v>84502734</v>
      </c>
      <c r="AK321" s="2">
        <v>1</v>
      </c>
      <c r="AL321" s="2" t="s">
        <v>633</v>
      </c>
      <c r="AM321" s="2">
        <v>0</v>
      </c>
      <c r="AN321" s="2">
        <v>0</v>
      </c>
      <c r="AO321" s="2">
        <v>1</v>
      </c>
      <c r="AP321" s="2">
        <v>0</v>
      </c>
      <c r="AQ321" s="2">
        <v>0</v>
      </c>
      <c r="AR321" s="2">
        <v>0</v>
      </c>
      <c r="AS321" s="2">
        <v>0</v>
      </c>
      <c r="AT321" s="2">
        <v>0</v>
      </c>
      <c r="BB321" s="2" t="str">
        <f>+PROPER(BD[[#This Row],[PRIMER_APELLIDO]])</f>
        <v>Blandon</v>
      </c>
    </row>
    <row r="322" spans="1:54" x14ac:dyDescent="0.25">
      <c r="A322" s="2">
        <v>321</v>
      </c>
      <c r="B322" s="2">
        <v>47581</v>
      </c>
      <c r="C322" s="2" t="s">
        <v>619</v>
      </c>
      <c r="D322" s="2" t="s">
        <v>620</v>
      </c>
      <c r="E322" s="2" t="s">
        <v>2750</v>
      </c>
      <c r="F322" s="2">
        <v>16556838</v>
      </c>
      <c r="G322" s="3">
        <v>36.112328767123287</v>
      </c>
      <c r="H322" s="2" t="s">
        <v>622</v>
      </c>
      <c r="I322" s="2" t="s">
        <v>2751</v>
      </c>
      <c r="J322" s="2" t="str">
        <f>+IF(BD[[#This Row],[DEPARTAMENTO_INSS]]="MANAGUA","_01_","_02_")</f>
        <v>_02_</v>
      </c>
      <c r="K322" s="2" t="str">
        <f>+CONCATENATE(BD[[#This Row],[Columna3]],BD[[#This Row],[Columna4]],BD[[#This Row],[NOMBRE COMPLETO]])</f>
        <v>E003_02_YAHINNIER EDUARDO PEREZ DOLMUS</v>
      </c>
      <c r="L322" s="2" t="s">
        <v>2752</v>
      </c>
      <c r="M322" s="2" t="s">
        <v>1548</v>
      </c>
      <c r="N322" s="2" t="s">
        <v>24</v>
      </c>
      <c r="O322" s="2" t="s">
        <v>2753</v>
      </c>
      <c r="P322" s="2" t="s">
        <v>649</v>
      </c>
      <c r="Q322" s="2" t="s">
        <v>351</v>
      </c>
      <c r="R322" s="2">
        <v>31615</v>
      </c>
      <c r="S322" s="2">
        <v>31615</v>
      </c>
      <c r="T322" s="2" t="s">
        <v>176</v>
      </c>
      <c r="U322" s="2" t="s">
        <v>176</v>
      </c>
      <c r="V322" s="2" t="s">
        <v>1105</v>
      </c>
      <c r="W322" s="2" t="s">
        <v>2754</v>
      </c>
      <c r="X322" s="2" t="s">
        <v>2755</v>
      </c>
      <c r="Y322" s="2" t="s">
        <v>2756</v>
      </c>
      <c r="Z322" s="2">
        <v>84404958</v>
      </c>
      <c r="AA322" s="2">
        <v>84404958</v>
      </c>
      <c r="AB322" s="2" t="s">
        <v>798</v>
      </c>
      <c r="AC322" s="2" t="s">
        <v>632</v>
      </c>
      <c r="AD322" s="2">
        <v>84404958</v>
      </c>
      <c r="AJ322" s="2">
        <v>84404958</v>
      </c>
      <c r="AK322" s="2">
        <v>2</v>
      </c>
      <c r="AL322" s="2" t="s">
        <v>633</v>
      </c>
      <c r="AM322" s="2">
        <v>0</v>
      </c>
      <c r="AN322" s="2">
        <v>0</v>
      </c>
      <c r="AO322" s="2">
        <v>1</v>
      </c>
      <c r="AP322" s="2">
        <v>0</v>
      </c>
      <c r="AQ322" s="2">
        <v>0</v>
      </c>
      <c r="AR322" s="2">
        <v>0</v>
      </c>
      <c r="AS322" s="2">
        <v>0</v>
      </c>
      <c r="AT322" s="2">
        <v>0</v>
      </c>
      <c r="AZ322" s="2" t="s">
        <v>2757</v>
      </c>
      <c r="BB322" s="2" t="str">
        <f>+PROPER(BD[[#This Row],[PRIMER_APELLIDO]])</f>
        <v>Perez</v>
      </c>
    </row>
    <row r="323" spans="1:54" x14ac:dyDescent="0.25">
      <c r="A323" s="2">
        <v>322</v>
      </c>
      <c r="B323" s="2">
        <v>69209</v>
      </c>
      <c r="C323" s="2" t="s">
        <v>619</v>
      </c>
      <c r="D323" s="2" t="s">
        <v>620</v>
      </c>
      <c r="E323" s="2" t="s">
        <v>2758</v>
      </c>
      <c r="G323" s="3">
        <v>36.115068493150687</v>
      </c>
      <c r="H323" s="2" t="s">
        <v>622</v>
      </c>
      <c r="I323" s="2" t="s">
        <v>2759</v>
      </c>
      <c r="J323" s="2" t="str">
        <f>+IF(BD[[#This Row],[DEPARTAMENTO_INSS]]="MANAGUA","_01_","_02_")</f>
        <v>_02_</v>
      </c>
      <c r="K323" s="2" t="str">
        <f>+CONCATENATE(BD[[#This Row],[Columna3]],BD[[#This Row],[Columna4]],BD[[#This Row],[NOMBRE COMPLETO]])</f>
        <v>E003_02_KARLA PATRICIA MIRANDA CALERO</v>
      </c>
      <c r="L323" s="2" t="s">
        <v>746</v>
      </c>
      <c r="M323" s="2" t="s">
        <v>747</v>
      </c>
      <c r="N323" s="2" t="s">
        <v>56</v>
      </c>
      <c r="O323" s="2" t="s">
        <v>80</v>
      </c>
      <c r="P323" s="2" t="s">
        <v>626</v>
      </c>
      <c r="Q323" s="2" t="s">
        <v>351</v>
      </c>
      <c r="R323" s="2">
        <v>31614</v>
      </c>
      <c r="S323" s="2">
        <v>31614</v>
      </c>
      <c r="T323" s="2" t="s">
        <v>691</v>
      </c>
      <c r="U323" s="2" t="s">
        <v>691</v>
      </c>
      <c r="V323" s="2" t="s">
        <v>716</v>
      </c>
      <c r="W323" s="2" t="s">
        <v>691</v>
      </c>
      <c r="X323" s="2" t="s">
        <v>2760</v>
      </c>
      <c r="Y323" s="2" t="s">
        <v>2761</v>
      </c>
      <c r="Z323" s="2">
        <v>85121234</v>
      </c>
      <c r="AA323" s="2">
        <v>85121234</v>
      </c>
      <c r="AB323" s="2" t="s">
        <v>984</v>
      </c>
      <c r="AC323" s="2" t="s">
        <v>632</v>
      </c>
      <c r="AD323" s="2">
        <v>85121234</v>
      </c>
      <c r="AJ323" s="2">
        <v>85121234</v>
      </c>
      <c r="AK323" s="2">
        <v>2</v>
      </c>
      <c r="AL323" s="2" t="s">
        <v>633</v>
      </c>
      <c r="AM323" s="2">
        <v>0</v>
      </c>
      <c r="AN323" s="2">
        <v>0</v>
      </c>
      <c r="AO323" s="2">
        <v>1</v>
      </c>
      <c r="AP323" s="2">
        <v>0</v>
      </c>
      <c r="AQ323" s="2">
        <v>0</v>
      </c>
      <c r="AR323" s="2">
        <v>0</v>
      </c>
      <c r="AS323" s="2">
        <v>0</v>
      </c>
      <c r="AT323" s="2">
        <v>0</v>
      </c>
      <c r="AZ323" s="2" t="s">
        <v>2762</v>
      </c>
      <c r="BB323" s="2" t="str">
        <f>+PROPER(BD[[#This Row],[PRIMER_APELLIDO]])</f>
        <v>Miranda</v>
      </c>
    </row>
    <row r="324" spans="1:54" x14ac:dyDescent="0.25">
      <c r="A324" s="2">
        <v>323</v>
      </c>
      <c r="B324" s="2">
        <v>52141</v>
      </c>
      <c r="C324" s="2" t="s">
        <v>619</v>
      </c>
      <c r="D324" s="2" t="s">
        <v>620</v>
      </c>
      <c r="E324" s="2" t="s">
        <v>2763</v>
      </c>
      <c r="F324" s="2">
        <v>25023284</v>
      </c>
      <c r="G324" s="3">
        <v>36.12054794520548</v>
      </c>
      <c r="H324" s="2" t="s">
        <v>622</v>
      </c>
      <c r="I324" s="2" t="s">
        <v>2764</v>
      </c>
      <c r="J324" s="2" t="str">
        <f>+IF(BD[[#This Row],[DEPARTAMENTO_INSS]]="MANAGUA","_01_","_02_")</f>
        <v>_02_</v>
      </c>
      <c r="K324" s="2" t="str">
        <f>+CONCATENATE(BD[[#This Row],[Columna3]],BD[[#This Row],[Columna4]],BD[[#This Row],[NOMBRE COMPLETO]])</f>
        <v>E003_02_GEMA LIBERTAD CARRANZA MATUTE</v>
      </c>
      <c r="L324" s="2" t="s">
        <v>786</v>
      </c>
      <c r="M324" s="2" t="s">
        <v>2765</v>
      </c>
      <c r="N324" s="2" t="s">
        <v>260</v>
      </c>
      <c r="O324" s="2" t="s">
        <v>353</v>
      </c>
      <c r="P324" s="2" t="s">
        <v>626</v>
      </c>
      <c r="Q324" s="2" t="s">
        <v>351</v>
      </c>
      <c r="R324" s="2">
        <v>31612</v>
      </c>
      <c r="S324" s="2">
        <v>31612</v>
      </c>
      <c r="T324" s="2" t="s">
        <v>444</v>
      </c>
      <c r="U324" s="2" t="s">
        <v>444</v>
      </c>
      <c r="V324" s="2" t="s">
        <v>764</v>
      </c>
      <c r="W324" s="2" t="s">
        <v>764</v>
      </c>
      <c r="X324" s="2" t="s">
        <v>2766</v>
      </c>
      <c r="Y324" s="2" t="s">
        <v>2767</v>
      </c>
      <c r="Z324" s="2">
        <v>83508246</v>
      </c>
      <c r="AA324" s="2" t="s">
        <v>2768</v>
      </c>
      <c r="AB324" s="2" t="s">
        <v>631</v>
      </c>
      <c r="AC324" s="2" t="s">
        <v>632</v>
      </c>
      <c r="AD324" s="2">
        <v>83508246</v>
      </c>
      <c r="AE324" s="2">
        <v>87876145</v>
      </c>
      <c r="AJ324" s="2">
        <v>83508246</v>
      </c>
      <c r="AK324" s="2">
        <v>3</v>
      </c>
      <c r="AL324" s="2" t="s">
        <v>633</v>
      </c>
      <c r="AM324" s="2">
        <v>0</v>
      </c>
      <c r="AN324" s="2">
        <v>0</v>
      </c>
      <c r="AO324" s="2">
        <v>1</v>
      </c>
      <c r="AP324" s="2">
        <v>0</v>
      </c>
      <c r="AQ324" s="2">
        <v>0</v>
      </c>
      <c r="AR324" s="2">
        <v>0</v>
      </c>
      <c r="AS324" s="2">
        <v>0</v>
      </c>
      <c r="AT324" s="2">
        <v>0</v>
      </c>
      <c r="AZ324" s="2" t="s">
        <v>2769</v>
      </c>
      <c r="BB324" s="2" t="str">
        <f>+PROPER(BD[[#This Row],[PRIMER_APELLIDO]])</f>
        <v>Carranza</v>
      </c>
    </row>
    <row r="325" spans="1:54" x14ac:dyDescent="0.25">
      <c r="A325" s="2">
        <v>324</v>
      </c>
      <c r="B325" s="2">
        <v>47636</v>
      </c>
      <c r="C325" s="2" t="s">
        <v>619</v>
      </c>
      <c r="D325" s="2" t="s">
        <v>620</v>
      </c>
      <c r="E325" s="2" t="s">
        <v>2770</v>
      </c>
      <c r="F325" s="2">
        <v>25210688</v>
      </c>
      <c r="G325" s="3">
        <v>36.131506849315066</v>
      </c>
      <c r="H325" s="2" t="s">
        <v>622</v>
      </c>
      <c r="I325" s="2" t="s">
        <v>2771</v>
      </c>
      <c r="J325" s="2" t="str">
        <f>+IF(BD[[#This Row],[DEPARTAMENTO_INSS]]="MANAGUA","_01_","_02_")</f>
        <v>_02_</v>
      </c>
      <c r="K325" s="2" t="str">
        <f>+CONCATENATE(BD[[#This Row],[Columna3]],BD[[#This Row],[Columna4]],BD[[#This Row],[NOMBRE COMPLETO]])</f>
        <v>E003_02_WALTER NOEL RODRIGUEZ TORREZ</v>
      </c>
      <c r="L325" s="2" t="s">
        <v>2772</v>
      </c>
      <c r="M325" s="2" t="s">
        <v>1718</v>
      </c>
      <c r="N325" s="2" t="s">
        <v>185</v>
      </c>
      <c r="O325" s="2" t="s">
        <v>158</v>
      </c>
      <c r="P325" s="2" t="s">
        <v>649</v>
      </c>
      <c r="Q325" s="2" t="s">
        <v>351</v>
      </c>
      <c r="R325" s="2">
        <v>31608</v>
      </c>
      <c r="S325" s="2">
        <v>31608</v>
      </c>
      <c r="T325" s="2" t="s">
        <v>669</v>
      </c>
      <c r="U325" s="2" t="s">
        <v>659</v>
      </c>
      <c r="V325" s="2" t="s">
        <v>669</v>
      </c>
      <c r="W325" s="2" t="s">
        <v>659</v>
      </c>
      <c r="X325" s="2" t="s">
        <v>2773</v>
      </c>
      <c r="Y325" s="2" t="s">
        <v>2774</v>
      </c>
      <c r="AA325" s="2" t="s">
        <v>2775</v>
      </c>
      <c r="AB325" s="2" t="s">
        <v>798</v>
      </c>
      <c r="AC325" s="2" t="s">
        <v>632</v>
      </c>
      <c r="AD325" s="2">
        <v>89487635</v>
      </c>
      <c r="AE325" s="2">
        <v>86396646</v>
      </c>
      <c r="AJ325" s="2">
        <v>89487635</v>
      </c>
      <c r="AK325" s="2">
        <v>2</v>
      </c>
      <c r="AL325" s="2" t="s">
        <v>633</v>
      </c>
      <c r="AM325" s="2">
        <v>0</v>
      </c>
      <c r="AN325" s="2">
        <v>0</v>
      </c>
      <c r="AO325" s="2">
        <v>1</v>
      </c>
      <c r="AP325" s="2">
        <v>0</v>
      </c>
      <c r="AQ325" s="2">
        <v>0</v>
      </c>
      <c r="AR325" s="2">
        <v>0</v>
      </c>
      <c r="AS325" s="2">
        <v>0</v>
      </c>
      <c r="AT325" s="2">
        <v>0</v>
      </c>
      <c r="BB325" s="2" t="str">
        <f>+PROPER(BD[[#This Row],[PRIMER_APELLIDO]])</f>
        <v>Rodriguez</v>
      </c>
    </row>
    <row r="326" spans="1:54" x14ac:dyDescent="0.25">
      <c r="A326" s="2">
        <v>325</v>
      </c>
      <c r="B326" s="2">
        <v>35248</v>
      </c>
      <c r="C326" s="2" t="s">
        <v>619</v>
      </c>
      <c r="D326" s="2" t="s">
        <v>620</v>
      </c>
      <c r="E326" s="2" t="s">
        <v>2776</v>
      </c>
      <c r="F326" s="2">
        <v>22139061</v>
      </c>
      <c r="G326" s="3">
        <v>36.134246575342466</v>
      </c>
      <c r="H326" s="2" t="s">
        <v>622</v>
      </c>
      <c r="I326" s="2" t="s">
        <v>2777</v>
      </c>
      <c r="J326" s="2" t="str">
        <f>+IF(BD[[#This Row],[DEPARTAMENTO_INSS]]="MANAGUA","_01_","_02_")</f>
        <v>_01_</v>
      </c>
      <c r="K326" s="2" t="str">
        <f>+CONCATENATE(BD[[#This Row],[Columna3]],BD[[#This Row],[Columna4]],BD[[#This Row],[NOMBRE COMPLETO]])</f>
        <v>E003_01_BETSABE CAROLINA SILVA BELL</v>
      </c>
      <c r="L326" s="2" t="s">
        <v>2778</v>
      </c>
      <c r="M326" s="2" t="s">
        <v>714</v>
      </c>
      <c r="N326" s="2" t="s">
        <v>113</v>
      </c>
      <c r="O326" s="2" t="s">
        <v>2779</v>
      </c>
      <c r="P326" s="2" t="s">
        <v>626</v>
      </c>
      <c r="Q326" s="2" t="s">
        <v>351</v>
      </c>
      <c r="R326" s="2">
        <v>31607</v>
      </c>
      <c r="S326" s="2">
        <v>31607</v>
      </c>
      <c r="T326" s="2" t="s">
        <v>627</v>
      </c>
      <c r="U326" s="2" t="s">
        <v>627</v>
      </c>
      <c r="V326" s="2" t="s">
        <v>627</v>
      </c>
      <c r="W326" s="2" t="s">
        <v>627</v>
      </c>
      <c r="X326" s="2" t="s">
        <v>2780</v>
      </c>
      <c r="Y326" s="2" t="s">
        <v>2781</v>
      </c>
      <c r="AA326" s="2">
        <v>83303452</v>
      </c>
      <c r="AB326" s="2" t="s">
        <v>654</v>
      </c>
      <c r="AC326" s="2" t="s">
        <v>632</v>
      </c>
      <c r="AD326" s="2">
        <v>83303452</v>
      </c>
      <c r="AJ326" s="2">
        <v>83303452</v>
      </c>
      <c r="AK326" s="2">
        <v>1</v>
      </c>
      <c r="AL326" s="2" t="s">
        <v>633</v>
      </c>
      <c r="AM326" s="2">
        <v>0</v>
      </c>
      <c r="AN326" s="2">
        <v>0</v>
      </c>
      <c r="AO326" s="2">
        <v>1</v>
      </c>
      <c r="AP326" s="2">
        <v>0</v>
      </c>
      <c r="AQ326" s="2">
        <v>0</v>
      </c>
      <c r="AR326" s="2">
        <v>0</v>
      </c>
      <c r="AS326" s="2">
        <v>0</v>
      </c>
      <c r="AT326" s="2">
        <v>0</v>
      </c>
      <c r="BA326" s="2" t="s">
        <v>2782</v>
      </c>
      <c r="BB326" s="2" t="str">
        <f>+PROPER(BD[[#This Row],[PRIMER_APELLIDO]])</f>
        <v>Silva</v>
      </c>
    </row>
    <row r="327" spans="1:54" x14ac:dyDescent="0.25">
      <c r="A327" s="2">
        <v>326</v>
      </c>
      <c r="B327" s="2">
        <v>39052</v>
      </c>
      <c r="C327" s="2" t="s">
        <v>619</v>
      </c>
      <c r="D327" s="2" t="s">
        <v>620</v>
      </c>
      <c r="E327" s="2" t="s">
        <v>2783</v>
      </c>
      <c r="F327" s="2">
        <v>23113792</v>
      </c>
      <c r="G327" s="3">
        <v>36.136986301369866</v>
      </c>
      <c r="H327" s="2" t="s">
        <v>622</v>
      </c>
      <c r="I327" s="2" t="s">
        <v>2784</v>
      </c>
      <c r="J327" s="2" t="str">
        <f>+IF(BD[[#This Row],[DEPARTAMENTO_INSS]]="MANAGUA","_01_","_02_")</f>
        <v>_01_</v>
      </c>
      <c r="K327" s="2" t="str">
        <f>+CONCATENATE(BD[[#This Row],[Columna3]],BD[[#This Row],[Columna4]],BD[[#This Row],[NOMBRE COMPLETO]])</f>
        <v>E003_01_MEYLING LIZETH BRENES CALDERON</v>
      </c>
      <c r="L327" s="2" t="s">
        <v>2785</v>
      </c>
      <c r="M327" s="2" t="s">
        <v>1069</v>
      </c>
      <c r="N327" s="2" t="s">
        <v>230</v>
      </c>
      <c r="O327" s="2" t="s">
        <v>474</v>
      </c>
      <c r="P327" s="2" t="s">
        <v>626</v>
      </c>
      <c r="Q327" s="2" t="s">
        <v>351</v>
      </c>
      <c r="R327" s="2">
        <v>31606</v>
      </c>
      <c r="S327" s="2">
        <v>31606</v>
      </c>
      <c r="T327" s="2" t="s">
        <v>627</v>
      </c>
      <c r="U327" s="2" t="s">
        <v>627</v>
      </c>
      <c r="V327" s="2" t="s">
        <v>627</v>
      </c>
      <c r="W327" s="2" t="s">
        <v>627</v>
      </c>
      <c r="X327" s="2" t="s">
        <v>2786</v>
      </c>
      <c r="Y327" s="2" t="s">
        <v>2787</v>
      </c>
      <c r="Z327" s="2">
        <v>81307918</v>
      </c>
      <c r="AA327" s="2">
        <v>85106825</v>
      </c>
      <c r="AB327" s="2" t="s">
        <v>642</v>
      </c>
      <c r="AC327" s="2" t="s">
        <v>632</v>
      </c>
      <c r="AD327" s="2">
        <v>81307918</v>
      </c>
      <c r="AF327" s="2">
        <v>85106825</v>
      </c>
      <c r="AJ327" s="2">
        <v>81307918</v>
      </c>
      <c r="AK327" s="2">
        <v>2</v>
      </c>
      <c r="AL327" s="2" t="s">
        <v>633</v>
      </c>
      <c r="AM327" s="2">
        <v>0</v>
      </c>
      <c r="AN327" s="2">
        <v>0</v>
      </c>
      <c r="AO327" s="2">
        <v>1</v>
      </c>
      <c r="AP327" s="2">
        <v>0</v>
      </c>
      <c r="AQ327" s="2">
        <v>0</v>
      </c>
      <c r="AR327" s="2">
        <v>0</v>
      </c>
      <c r="AS327" s="2">
        <v>0</v>
      </c>
      <c r="AT327" s="2">
        <v>0</v>
      </c>
      <c r="AZ327" s="2" t="s">
        <v>2788</v>
      </c>
      <c r="BB327" s="2" t="str">
        <f>+PROPER(BD[[#This Row],[PRIMER_APELLIDO]])</f>
        <v>Brenes</v>
      </c>
    </row>
    <row r="328" spans="1:54" x14ac:dyDescent="0.25">
      <c r="A328" s="2">
        <v>327</v>
      </c>
      <c r="B328" s="2">
        <v>48161</v>
      </c>
      <c r="C328" s="2" t="s">
        <v>619</v>
      </c>
      <c r="D328" s="2" t="s">
        <v>620</v>
      </c>
      <c r="E328" s="2" t="s">
        <v>2789</v>
      </c>
      <c r="F328" s="2">
        <v>25024184</v>
      </c>
      <c r="G328" s="3">
        <v>36.147945205479452</v>
      </c>
      <c r="H328" s="2" t="s">
        <v>622</v>
      </c>
      <c r="I328" s="2" t="s">
        <v>2790</v>
      </c>
      <c r="J328" s="2" t="str">
        <f>+IF(BD[[#This Row],[DEPARTAMENTO_INSS]]="MANAGUA","_01_","_02_")</f>
        <v>_02_</v>
      </c>
      <c r="K328" s="2" t="str">
        <f>+CONCATENATE(BD[[#This Row],[Columna3]],BD[[#This Row],[Columna4]],BD[[#This Row],[NOMBRE COMPLETO]])</f>
        <v>E003_02_DUGLAS BLADIMIR RUIZ NICARAGUA</v>
      </c>
      <c r="L328" s="2" t="s">
        <v>2791</v>
      </c>
      <c r="M328" s="2" t="s">
        <v>2792</v>
      </c>
      <c r="N328" s="2" t="s">
        <v>84</v>
      </c>
      <c r="O328" s="2" t="s">
        <v>351</v>
      </c>
      <c r="P328" s="2" t="s">
        <v>649</v>
      </c>
      <c r="Q328" s="2" t="s">
        <v>351</v>
      </c>
      <c r="R328" s="2">
        <v>31602</v>
      </c>
      <c r="S328" s="2">
        <v>31602</v>
      </c>
      <c r="T328" s="2" t="s">
        <v>732</v>
      </c>
      <c r="U328" s="2" t="s">
        <v>732</v>
      </c>
      <c r="V328" s="2" t="s">
        <v>2793</v>
      </c>
      <c r="W328" s="2" t="s">
        <v>2793</v>
      </c>
      <c r="X328" s="2" t="s">
        <v>2794</v>
      </c>
      <c r="Y328" s="2" t="s">
        <v>2795</v>
      </c>
      <c r="Z328" s="2">
        <v>86128576</v>
      </c>
      <c r="AA328" s="2">
        <v>86128576</v>
      </c>
      <c r="AB328" s="2" t="s">
        <v>798</v>
      </c>
      <c r="AC328" s="2" t="s">
        <v>632</v>
      </c>
      <c r="AD328" s="2">
        <v>86128576</v>
      </c>
      <c r="AJ328" s="2">
        <v>86128576</v>
      </c>
      <c r="AK328" s="2">
        <v>2</v>
      </c>
      <c r="AL328" s="2" t="s">
        <v>633</v>
      </c>
      <c r="AM328" s="2">
        <v>0</v>
      </c>
      <c r="AN328" s="2">
        <v>0</v>
      </c>
      <c r="AO328" s="2">
        <v>1</v>
      </c>
      <c r="AP328" s="2">
        <v>0</v>
      </c>
      <c r="AQ328" s="2">
        <v>0</v>
      </c>
      <c r="AR328" s="2">
        <v>0</v>
      </c>
      <c r="AS328" s="2">
        <v>0</v>
      </c>
      <c r="AT328" s="2">
        <v>0</v>
      </c>
      <c r="AZ328" s="2" t="s">
        <v>2796</v>
      </c>
      <c r="BB328" s="2" t="str">
        <f>+PROPER(BD[[#This Row],[PRIMER_APELLIDO]])</f>
        <v>Ruiz</v>
      </c>
    </row>
    <row r="329" spans="1:54" x14ac:dyDescent="0.25">
      <c r="A329" s="2">
        <v>328</v>
      </c>
      <c r="B329" s="2">
        <v>51393</v>
      </c>
      <c r="C329" s="2" t="s">
        <v>619</v>
      </c>
      <c r="D329" s="2" t="s">
        <v>620</v>
      </c>
      <c r="E329" s="2" t="s">
        <v>2797</v>
      </c>
      <c r="F329" s="2">
        <v>20954024</v>
      </c>
      <c r="G329" s="3">
        <v>36.150684931506852</v>
      </c>
      <c r="H329" s="2" t="s">
        <v>622</v>
      </c>
      <c r="I329" s="2" t="s">
        <v>2798</v>
      </c>
      <c r="J329" s="2" t="str">
        <f>+IF(BD[[#This Row],[DEPARTAMENTO_INSS]]="MANAGUA","_01_","_02_")</f>
        <v>_01_</v>
      </c>
      <c r="K329" s="2" t="str">
        <f>+CONCATENATE(BD[[#This Row],[Columna3]],BD[[#This Row],[Columna4]],BD[[#This Row],[NOMBRE COMPLETO]])</f>
        <v>E003_01_CARLOS MAXIMINO MOLINA MACHADO</v>
      </c>
      <c r="L329" s="2" t="s">
        <v>826</v>
      </c>
      <c r="M329" s="2" t="s">
        <v>2799</v>
      </c>
      <c r="N329" s="2" t="s">
        <v>63</v>
      </c>
      <c r="O329" s="2" t="s">
        <v>2800</v>
      </c>
      <c r="P329" s="2" t="s">
        <v>649</v>
      </c>
      <c r="Q329" s="2" t="s">
        <v>351</v>
      </c>
      <c r="R329" s="2">
        <v>31601</v>
      </c>
      <c r="S329" s="2">
        <v>31601</v>
      </c>
      <c r="T329" s="2" t="s">
        <v>627</v>
      </c>
      <c r="U329" s="2" t="s">
        <v>627</v>
      </c>
      <c r="V329" s="2" t="s">
        <v>627</v>
      </c>
      <c r="W329" s="2" t="s">
        <v>627</v>
      </c>
      <c r="X329" s="2" t="s">
        <v>2801</v>
      </c>
      <c r="Y329" s="2" t="s">
        <v>2802</v>
      </c>
      <c r="Z329" s="2">
        <v>75318104</v>
      </c>
      <c r="AA329" s="2">
        <v>75318104</v>
      </c>
      <c r="AB329" s="2" t="s">
        <v>798</v>
      </c>
      <c r="AC329" s="2" t="s">
        <v>632</v>
      </c>
      <c r="AD329" s="2">
        <v>75318104</v>
      </c>
      <c r="AJ329" s="2">
        <v>75318104</v>
      </c>
      <c r="AK329" s="2">
        <v>2</v>
      </c>
      <c r="AL329" s="2" t="s">
        <v>633</v>
      </c>
      <c r="AM329" s="2">
        <v>0</v>
      </c>
      <c r="AN329" s="2">
        <v>0</v>
      </c>
      <c r="AO329" s="2">
        <v>1</v>
      </c>
      <c r="AP329" s="2">
        <v>0</v>
      </c>
      <c r="AQ329" s="2">
        <v>0</v>
      </c>
      <c r="AR329" s="2">
        <v>0</v>
      </c>
      <c r="AS329" s="2">
        <v>0</v>
      </c>
      <c r="AT329" s="2">
        <v>0</v>
      </c>
      <c r="AZ329" s="2" t="s">
        <v>2803</v>
      </c>
      <c r="BB329" s="2" t="str">
        <f>+PROPER(BD[[#This Row],[PRIMER_APELLIDO]])</f>
        <v>Molina</v>
      </c>
    </row>
    <row r="330" spans="1:54" x14ac:dyDescent="0.25">
      <c r="A330" s="2">
        <v>329</v>
      </c>
      <c r="B330" s="2">
        <v>48449</v>
      </c>
      <c r="C330" s="2" t="s">
        <v>619</v>
      </c>
      <c r="D330" s="2" t="s">
        <v>620</v>
      </c>
      <c r="E330" s="2" t="s">
        <v>2804</v>
      </c>
      <c r="F330" s="2">
        <v>25029006</v>
      </c>
      <c r="G330" s="3">
        <v>36.164383561643838</v>
      </c>
      <c r="H330" s="2" t="s">
        <v>622</v>
      </c>
      <c r="I330" s="2" t="s">
        <v>2805</v>
      </c>
      <c r="J330" s="2" t="str">
        <f>+IF(BD[[#This Row],[DEPARTAMENTO_INSS]]="MANAGUA","_01_","_02_")</f>
        <v>_01_</v>
      </c>
      <c r="K330" s="2" t="str">
        <f>+CONCATENATE(BD[[#This Row],[Columna3]],BD[[#This Row],[Columna4]],BD[[#This Row],[NOMBRE COMPLETO]])</f>
        <v>E003_01_VANESSA FABIOLA VALDEZ MARTINEZ</v>
      </c>
      <c r="L330" s="2" t="s">
        <v>1163</v>
      </c>
      <c r="M330" s="2" t="s">
        <v>2806</v>
      </c>
      <c r="N330" s="2" t="s">
        <v>284</v>
      </c>
      <c r="O330" s="2" t="s">
        <v>44</v>
      </c>
      <c r="P330" s="2" t="s">
        <v>626</v>
      </c>
      <c r="Q330" s="2" t="s">
        <v>351</v>
      </c>
      <c r="R330" s="2">
        <v>31596</v>
      </c>
      <c r="S330" s="2">
        <v>31596</v>
      </c>
      <c r="T330" s="2" t="s">
        <v>780</v>
      </c>
      <c r="U330" s="2" t="s">
        <v>627</v>
      </c>
      <c r="V330" s="2" t="s">
        <v>781</v>
      </c>
      <c r="W330" s="2" t="s">
        <v>627</v>
      </c>
      <c r="X330" s="2" t="s">
        <v>2807</v>
      </c>
      <c r="Y330" s="2" t="s">
        <v>2808</v>
      </c>
      <c r="Z330" s="2">
        <v>84009390</v>
      </c>
      <c r="AA330" s="2" t="s">
        <v>2809</v>
      </c>
      <c r="AB330" s="2" t="s">
        <v>631</v>
      </c>
      <c r="AC330" s="2" t="s">
        <v>632</v>
      </c>
      <c r="AD330" s="2">
        <v>84009390</v>
      </c>
      <c r="AJ330" s="2">
        <v>84009390</v>
      </c>
      <c r="AK330" s="2">
        <v>3</v>
      </c>
      <c r="AL330" s="2" t="s">
        <v>633</v>
      </c>
      <c r="AM330" s="2">
        <v>0</v>
      </c>
      <c r="AN330" s="2">
        <v>0</v>
      </c>
      <c r="AO330" s="2">
        <v>1</v>
      </c>
      <c r="AP330" s="2">
        <v>0</v>
      </c>
      <c r="AQ330" s="2">
        <v>0</v>
      </c>
      <c r="AR330" s="2">
        <v>0</v>
      </c>
      <c r="AS330" s="2">
        <v>0</v>
      </c>
      <c r="AT330" s="2">
        <v>0</v>
      </c>
      <c r="AZ330" s="2" t="s">
        <v>2810</v>
      </c>
      <c r="BB330" s="2" t="str">
        <f>+PROPER(BD[[#This Row],[PRIMER_APELLIDO]])</f>
        <v>Valdez</v>
      </c>
    </row>
    <row r="331" spans="1:54" x14ac:dyDescent="0.25">
      <c r="A331" s="2">
        <v>330</v>
      </c>
      <c r="B331" s="2">
        <v>49936</v>
      </c>
      <c r="C331" s="2" t="s">
        <v>619</v>
      </c>
      <c r="D331" s="2" t="s">
        <v>620</v>
      </c>
      <c r="E331" s="2" t="s">
        <v>2811</v>
      </c>
      <c r="F331" s="2">
        <v>25028580</v>
      </c>
      <c r="G331" s="3">
        <v>36.167123287671231</v>
      </c>
      <c r="H331" s="2" t="s">
        <v>622</v>
      </c>
      <c r="I331" s="2" t="s">
        <v>2812</v>
      </c>
      <c r="J331" s="2" t="str">
        <f>+IF(BD[[#This Row],[DEPARTAMENTO_INSS]]="MANAGUA","_01_","_02_")</f>
        <v>_02_</v>
      </c>
      <c r="K331" s="2" t="str">
        <f>+CONCATENATE(BD[[#This Row],[Columna3]],BD[[#This Row],[Columna4]],BD[[#This Row],[NOMBRE COMPLETO]])</f>
        <v>E003_02_INGRID MARGELA CARCACHE JIMENEZ</v>
      </c>
      <c r="L331" s="2" t="s">
        <v>2029</v>
      </c>
      <c r="M331" s="2" t="s">
        <v>2813</v>
      </c>
      <c r="N331" s="2" t="s">
        <v>437</v>
      </c>
      <c r="O331" s="2" t="s">
        <v>467</v>
      </c>
      <c r="P331" s="2" t="s">
        <v>626</v>
      </c>
      <c r="Q331" s="2" t="s">
        <v>351</v>
      </c>
      <c r="R331" s="2">
        <v>31595</v>
      </c>
      <c r="S331" s="2">
        <v>31595</v>
      </c>
      <c r="T331" s="2" t="s">
        <v>176</v>
      </c>
      <c r="U331" s="2" t="s">
        <v>780</v>
      </c>
      <c r="V331" s="2" t="s">
        <v>997</v>
      </c>
      <c r="W331" s="2" t="s">
        <v>781</v>
      </c>
      <c r="X331" s="2" t="s">
        <v>2814</v>
      </c>
      <c r="Y331" s="2" t="s">
        <v>2815</v>
      </c>
      <c r="Z331" s="2">
        <v>89407388</v>
      </c>
      <c r="AA331" s="2">
        <v>23130902</v>
      </c>
      <c r="AB331" s="2" t="s">
        <v>631</v>
      </c>
      <c r="AC331" s="2" t="s">
        <v>632</v>
      </c>
      <c r="AD331" s="2">
        <v>89407388</v>
      </c>
      <c r="AJ331" s="2">
        <v>89407388</v>
      </c>
      <c r="AK331" s="2">
        <v>2</v>
      </c>
      <c r="AL331" s="2" t="s">
        <v>633</v>
      </c>
      <c r="AM331" s="2">
        <v>0</v>
      </c>
      <c r="AN331" s="2">
        <v>0</v>
      </c>
      <c r="AO331" s="2">
        <v>1</v>
      </c>
      <c r="AP331" s="2">
        <v>0</v>
      </c>
      <c r="AQ331" s="2">
        <v>0</v>
      </c>
      <c r="AR331" s="2">
        <v>0</v>
      </c>
      <c r="AS331" s="2">
        <v>0</v>
      </c>
      <c r="AT331" s="2">
        <v>0</v>
      </c>
      <c r="AZ331" s="2" t="s">
        <v>2816</v>
      </c>
      <c r="BB331" s="2" t="str">
        <f>+PROPER(BD[[#This Row],[PRIMER_APELLIDO]])</f>
        <v>Carcache</v>
      </c>
    </row>
    <row r="332" spans="1:54" x14ac:dyDescent="0.25">
      <c r="A332" s="2">
        <v>331</v>
      </c>
      <c r="B332" s="2">
        <v>50448</v>
      </c>
      <c r="C332" s="2" t="s">
        <v>619</v>
      </c>
      <c r="D332" s="2" t="s">
        <v>620</v>
      </c>
      <c r="E332" s="2" t="s">
        <v>2817</v>
      </c>
      <c r="F332" s="2">
        <v>27352124</v>
      </c>
      <c r="G332" s="3">
        <v>36.167123287671231</v>
      </c>
      <c r="H332" s="2" t="s">
        <v>622</v>
      </c>
      <c r="I332" s="2" t="s">
        <v>2818</v>
      </c>
      <c r="J332" s="2" t="str">
        <f>+IF(BD[[#This Row],[DEPARTAMENTO_INSS]]="MANAGUA","_01_","_02_")</f>
        <v>_01_</v>
      </c>
      <c r="K332" s="2" t="str">
        <f>+CONCATENATE(BD[[#This Row],[Columna3]],BD[[#This Row],[Columna4]],BD[[#This Row],[NOMBRE COMPLETO]])</f>
        <v>E003_01_MARIA JOSE ROMERO RUIZ</v>
      </c>
      <c r="L332" s="2" t="s">
        <v>724</v>
      </c>
      <c r="M332" s="2" t="s">
        <v>243</v>
      </c>
      <c r="N332" s="2" t="s">
        <v>41</v>
      </c>
      <c r="O332" s="2" t="s">
        <v>84</v>
      </c>
      <c r="P332" s="2" t="s">
        <v>626</v>
      </c>
      <c r="Q332" s="2" t="s">
        <v>351</v>
      </c>
      <c r="R332" s="2">
        <v>31595</v>
      </c>
      <c r="S332" s="2">
        <v>31595</v>
      </c>
      <c r="T332" s="2" t="s">
        <v>627</v>
      </c>
      <c r="U332" s="2" t="s">
        <v>627</v>
      </c>
      <c r="V332" s="2" t="s">
        <v>627</v>
      </c>
      <c r="W332" s="2" t="s">
        <v>627</v>
      </c>
      <c r="X332" s="2" t="s">
        <v>2819</v>
      </c>
      <c r="Y332" s="2" t="s">
        <v>2820</v>
      </c>
      <c r="AA332" s="2" t="s">
        <v>2821</v>
      </c>
      <c r="AB332" s="2" t="s">
        <v>642</v>
      </c>
      <c r="AC332" s="2" t="s">
        <v>632</v>
      </c>
      <c r="AE332" s="2">
        <v>86790664</v>
      </c>
      <c r="AJ332" s="2">
        <v>86790664</v>
      </c>
      <c r="AK332" s="2">
        <v>2</v>
      </c>
      <c r="AL332" s="2" t="s">
        <v>633</v>
      </c>
      <c r="AM332" s="2">
        <v>0</v>
      </c>
      <c r="AN332" s="2">
        <v>0</v>
      </c>
      <c r="AO332" s="2">
        <v>1</v>
      </c>
      <c r="AP332" s="2">
        <v>0</v>
      </c>
      <c r="AQ332" s="2">
        <v>0</v>
      </c>
      <c r="AR332" s="2">
        <v>0</v>
      </c>
      <c r="AS332" s="2">
        <v>0</v>
      </c>
      <c r="AT332" s="2">
        <v>0</v>
      </c>
      <c r="BA332" s="2" t="s">
        <v>2822</v>
      </c>
      <c r="BB332" s="2" t="str">
        <f>+PROPER(BD[[#This Row],[PRIMER_APELLIDO]])</f>
        <v>Romero</v>
      </c>
    </row>
    <row r="333" spans="1:54" x14ac:dyDescent="0.25">
      <c r="A333" s="2">
        <v>332</v>
      </c>
      <c r="B333" s="2">
        <v>80448</v>
      </c>
      <c r="C333" s="2" t="s">
        <v>619</v>
      </c>
      <c r="D333" s="2" t="s">
        <v>620</v>
      </c>
      <c r="E333" s="2" t="s">
        <v>2823</v>
      </c>
      <c r="G333" s="3">
        <v>36.167123287671231</v>
      </c>
      <c r="H333" s="2" t="s">
        <v>622</v>
      </c>
      <c r="I333" s="2" t="s">
        <v>2824</v>
      </c>
      <c r="J333" s="2" t="str">
        <f>+IF(BD[[#This Row],[DEPARTAMENTO_INSS]]="MANAGUA","_01_","_02_")</f>
        <v>_02_</v>
      </c>
      <c r="K333" s="2" t="str">
        <f>+CONCATENATE(BD[[#This Row],[Columna3]],BD[[#This Row],[Columna4]],BD[[#This Row],[NOMBRE COMPLETO]])</f>
        <v>E003_02_RUTH DE LOS ANGELES HERNANDEZ GARCIA</v>
      </c>
      <c r="L333" s="2" t="s">
        <v>2825</v>
      </c>
      <c r="M333" s="2" t="s">
        <v>683</v>
      </c>
      <c r="N333" s="2" t="s">
        <v>11</v>
      </c>
      <c r="O333" s="2" t="s">
        <v>10</v>
      </c>
      <c r="P333" s="2" t="s">
        <v>626</v>
      </c>
      <c r="Q333" s="2" t="s">
        <v>351</v>
      </c>
      <c r="R333" s="2">
        <v>31595</v>
      </c>
      <c r="S333" s="2">
        <v>31595</v>
      </c>
      <c r="T333" s="2" t="s">
        <v>1104</v>
      </c>
      <c r="U333" s="2" t="s">
        <v>1104</v>
      </c>
      <c r="V333" s="2" t="s">
        <v>1104</v>
      </c>
      <c r="W333" s="2" t="s">
        <v>1104</v>
      </c>
      <c r="X333" s="2" t="s">
        <v>2826</v>
      </c>
      <c r="Y333" s="2" t="s">
        <v>2827</v>
      </c>
      <c r="Z333" s="2" t="s">
        <v>2828</v>
      </c>
      <c r="AA333" s="2" t="s">
        <v>2829</v>
      </c>
      <c r="AB333" s="2" t="s">
        <v>654</v>
      </c>
      <c r="AC333" s="2" t="s">
        <v>632</v>
      </c>
      <c r="AE333" s="2">
        <v>87525000</v>
      </c>
      <c r="AH333" s="2">
        <v>89770189</v>
      </c>
      <c r="AJ333" s="2">
        <v>87525000</v>
      </c>
      <c r="AK333" s="2">
        <v>5</v>
      </c>
      <c r="AL333" s="2" t="s">
        <v>633</v>
      </c>
      <c r="AM333" s="2">
        <v>0</v>
      </c>
      <c r="AN333" s="2">
        <v>0</v>
      </c>
      <c r="AO333" s="2">
        <v>1</v>
      </c>
      <c r="AP333" s="2">
        <v>0</v>
      </c>
      <c r="AQ333" s="2">
        <v>0</v>
      </c>
      <c r="AR333" s="2">
        <v>0</v>
      </c>
      <c r="AS333" s="2">
        <v>0</v>
      </c>
      <c r="AT333" s="2">
        <v>0</v>
      </c>
      <c r="AZ333" s="2" t="s">
        <v>2830</v>
      </c>
      <c r="BB333" s="2" t="str">
        <f>+PROPER(BD[[#This Row],[PRIMER_APELLIDO]])</f>
        <v>Hernandez</v>
      </c>
    </row>
    <row r="334" spans="1:54" x14ac:dyDescent="0.25">
      <c r="A334" s="2">
        <v>333</v>
      </c>
      <c r="B334" s="2">
        <v>39009</v>
      </c>
      <c r="C334" s="2" t="s">
        <v>619</v>
      </c>
      <c r="D334" s="2" t="s">
        <v>620</v>
      </c>
      <c r="E334" s="2" t="s">
        <v>2831</v>
      </c>
      <c r="F334" s="2">
        <v>23154555</v>
      </c>
      <c r="G334" s="3">
        <v>36.169863013698631</v>
      </c>
      <c r="H334" s="2" t="s">
        <v>622</v>
      </c>
      <c r="I334" s="2" t="s">
        <v>2832</v>
      </c>
      <c r="J334" s="2" t="str">
        <f>+IF(BD[[#This Row],[DEPARTAMENTO_INSS]]="MANAGUA","_01_","_02_")</f>
        <v>_01_</v>
      </c>
      <c r="K334" s="2" t="str">
        <f>+CONCATENATE(BD[[#This Row],[Columna3]],BD[[#This Row],[Columna4]],BD[[#This Row],[NOMBRE COMPLETO]])</f>
        <v>E003_01_SEYDI MARION MURILLO SIRIAS</v>
      </c>
      <c r="L334" s="2" t="s">
        <v>2833</v>
      </c>
      <c r="M334" s="2" t="s">
        <v>2834</v>
      </c>
      <c r="N334" s="2" t="s">
        <v>118</v>
      </c>
      <c r="O334" s="2" t="s">
        <v>465</v>
      </c>
      <c r="P334" s="2" t="s">
        <v>626</v>
      </c>
      <c r="Q334" s="2" t="s">
        <v>351</v>
      </c>
      <c r="R334" s="2">
        <v>31594</v>
      </c>
      <c r="S334" s="2">
        <v>31594</v>
      </c>
      <c r="T334" s="2" t="s">
        <v>627</v>
      </c>
      <c r="U334" s="2" t="s">
        <v>627</v>
      </c>
      <c r="V334" s="2" t="s">
        <v>627</v>
      </c>
      <c r="W334" s="2" t="s">
        <v>627</v>
      </c>
      <c r="X334" s="2" t="s">
        <v>2835</v>
      </c>
      <c r="Y334" s="2" t="s">
        <v>2836</v>
      </c>
      <c r="Z334" s="2">
        <v>88939547</v>
      </c>
      <c r="AA334" s="2">
        <v>88939547</v>
      </c>
      <c r="AB334" s="2" t="s">
        <v>642</v>
      </c>
      <c r="AC334" s="2" t="s">
        <v>632</v>
      </c>
      <c r="AD334" s="2">
        <v>88939547</v>
      </c>
      <c r="AJ334" s="2">
        <v>88939547</v>
      </c>
      <c r="AK334" s="2">
        <v>2</v>
      </c>
      <c r="AL334" s="2" t="s">
        <v>633</v>
      </c>
      <c r="AM334" s="2">
        <v>0</v>
      </c>
      <c r="AN334" s="2">
        <v>0</v>
      </c>
      <c r="AO334" s="2">
        <v>1</v>
      </c>
      <c r="AP334" s="2">
        <v>0</v>
      </c>
      <c r="AQ334" s="2">
        <v>0</v>
      </c>
      <c r="AR334" s="2">
        <v>0</v>
      </c>
      <c r="AS334" s="2">
        <v>0</v>
      </c>
      <c r="AT334" s="2">
        <v>0</v>
      </c>
      <c r="BB334" s="2" t="str">
        <f>+PROPER(BD[[#This Row],[PRIMER_APELLIDO]])</f>
        <v>Murillo</v>
      </c>
    </row>
    <row r="335" spans="1:54" x14ac:dyDescent="0.25">
      <c r="A335" s="2">
        <v>334</v>
      </c>
      <c r="B335" s="2">
        <v>66345</v>
      </c>
      <c r="C335" s="2" t="s">
        <v>619</v>
      </c>
      <c r="D335" s="2" t="s">
        <v>620</v>
      </c>
      <c r="E335" s="2" t="s">
        <v>2837</v>
      </c>
      <c r="G335" s="3">
        <v>36.175342465753424</v>
      </c>
      <c r="H335" s="2" t="s">
        <v>622</v>
      </c>
      <c r="I335" s="2" t="s">
        <v>2838</v>
      </c>
      <c r="J335" s="2" t="str">
        <f>+IF(BD[[#This Row],[DEPARTAMENTO_INSS]]="MANAGUA","_01_","_02_")</f>
        <v>_02_</v>
      </c>
      <c r="K335" s="2" t="str">
        <f>+CONCATENATE(BD[[#This Row],[Columna3]],BD[[#This Row],[Columna4]],BD[[#This Row],[NOMBRE COMPLETO]])</f>
        <v>E003_02_JUAN PABLO AGUIRRE SANCHEZ</v>
      </c>
      <c r="L335" s="2" t="s">
        <v>825</v>
      </c>
      <c r="M335" s="2" t="s">
        <v>2839</v>
      </c>
      <c r="N335" s="2" t="s">
        <v>255</v>
      </c>
      <c r="O335" s="2" t="s">
        <v>90</v>
      </c>
      <c r="P335" s="2" t="s">
        <v>649</v>
      </c>
      <c r="Q335" s="2" t="s">
        <v>351</v>
      </c>
      <c r="R335" s="2">
        <v>31592</v>
      </c>
      <c r="S335" s="2">
        <v>31592</v>
      </c>
      <c r="T335" s="2" t="s">
        <v>176</v>
      </c>
      <c r="U335" s="2" t="s">
        <v>1104</v>
      </c>
      <c r="V335" s="2" t="s">
        <v>897</v>
      </c>
      <c r="W335" s="2" t="s">
        <v>2840</v>
      </c>
      <c r="X335" s="2" t="s">
        <v>2841</v>
      </c>
      <c r="Y335" s="2" t="s">
        <v>2842</v>
      </c>
      <c r="Z335" s="2">
        <v>86579496</v>
      </c>
      <c r="AA335" s="2">
        <v>85204473</v>
      </c>
      <c r="AB335" s="2" t="s">
        <v>798</v>
      </c>
      <c r="AC335" s="2" t="s">
        <v>632</v>
      </c>
      <c r="AD335" s="2">
        <v>86579496</v>
      </c>
      <c r="AF335" s="2">
        <v>85204473</v>
      </c>
      <c r="AJ335" s="2">
        <v>86579496</v>
      </c>
      <c r="AK335" s="2">
        <v>2</v>
      </c>
      <c r="AL335" s="2" t="s">
        <v>633</v>
      </c>
      <c r="AM335" s="2">
        <v>0</v>
      </c>
      <c r="AN335" s="2">
        <v>0</v>
      </c>
      <c r="AO335" s="2">
        <v>1</v>
      </c>
      <c r="AP335" s="2">
        <v>0</v>
      </c>
      <c r="AQ335" s="2">
        <v>0</v>
      </c>
      <c r="AR335" s="2">
        <v>0</v>
      </c>
      <c r="AS335" s="2">
        <v>0</v>
      </c>
      <c r="AT335" s="2">
        <v>0</v>
      </c>
      <c r="AZ335" s="2" t="s">
        <v>2843</v>
      </c>
      <c r="BB335" s="2" t="str">
        <f>+PROPER(BD[[#This Row],[PRIMER_APELLIDO]])</f>
        <v>Aguirre</v>
      </c>
    </row>
    <row r="336" spans="1:54" x14ac:dyDescent="0.25">
      <c r="A336" s="2">
        <v>335</v>
      </c>
      <c r="B336" s="2">
        <v>35520</v>
      </c>
      <c r="C336" s="2" t="s">
        <v>619</v>
      </c>
      <c r="D336" s="2" t="s">
        <v>620</v>
      </c>
      <c r="E336" s="2" t="s">
        <v>2844</v>
      </c>
      <c r="F336" s="2">
        <v>16984293</v>
      </c>
      <c r="G336" s="3">
        <v>36.180821917808217</v>
      </c>
      <c r="H336" s="2" t="s">
        <v>622</v>
      </c>
      <c r="I336" s="2" t="s">
        <v>2845</v>
      </c>
      <c r="J336" s="2" t="str">
        <f>+IF(BD[[#This Row],[DEPARTAMENTO_INSS]]="MANAGUA","_01_","_02_")</f>
        <v>_02_</v>
      </c>
      <c r="K336" s="2" t="str">
        <f>+CONCATENATE(BD[[#This Row],[Columna3]],BD[[#This Row],[Columna4]],BD[[#This Row],[NOMBRE COMPLETO]])</f>
        <v>E003_02_MARYIRIT DEL SOCORRO TORREZ ZELAYA</v>
      </c>
      <c r="L336" s="2" t="s">
        <v>2846</v>
      </c>
      <c r="M336" s="2" t="s">
        <v>787</v>
      </c>
      <c r="N336" s="2" t="s">
        <v>158</v>
      </c>
      <c r="O336" s="2" t="s">
        <v>72</v>
      </c>
      <c r="P336" s="2" t="s">
        <v>626</v>
      </c>
      <c r="Q336" s="2" t="s">
        <v>351</v>
      </c>
      <c r="R336" s="2">
        <v>31590</v>
      </c>
      <c r="S336" s="2">
        <v>31590</v>
      </c>
      <c r="T336" s="2" t="s">
        <v>659</v>
      </c>
      <c r="U336" s="2" t="s">
        <v>659</v>
      </c>
      <c r="V336" s="2" t="s">
        <v>659</v>
      </c>
      <c r="W336" s="2" t="s">
        <v>659</v>
      </c>
      <c r="X336" s="2" t="s">
        <v>2847</v>
      </c>
      <c r="Y336" s="2" t="s">
        <v>2848</v>
      </c>
      <c r="AA336" s="2" t="s">
        <v>2849</v>
      </c>
      <c r="AB336" s="2" t="s">
        <v>654</v>
      </c>
      <c r="AC336" s="2" t="s">
        <v>632</v>
      </c>
      <c r="AE336" s="2">
        <v>89497782</v>
      </c>
      <c r="AJ336" s="2">
        <v>89497782</v>
      </c>
      <c r="AK336" s="2">
        <v>2</v>
      </c>
      <c r="AL336" s="2" t="s">
        <v>633</v>
      </c>
      <c r="AM336" s="2">
        <v>0</v>
      </c>
      <c r="AN336" s="2">
        <v>0</v>
      </c>
      <c r="AO336" s="2">
        <v>1</v>
      </c>
      <c r="AP336" s="2">
        <v>0</v>
      </c>
      <c r="AQ336" s="2">
        <v>0</v>
      </c>
      <c r="AR336" s="2">
        <v>0</v>
      </c>
      <c r="AS336" s="2">
        <v>0</v>
      </c>
      <c r="AT336" s="2">
        <v>0</v>
      </c>
      <c r="BB336" s="2" t="str">
        <f>+PROPER(BD[[#This Row],[PRIMER_APELLIDO]])</f>
        <v>Torrez</v>
      </c>
    </row>
    <row r="337" spans="1:54" x14ac:dyDescent="0.25">
      <c r="A337" s="2">
        <v>336</v>
      </c>
      <c r="B337" s="2">
        <v>46739</v>
      </c>
      <c r="C337" s="2" t="s">
        <v>619</v>
      </c>
      <c r="D337" s="2" t="s">
        <v>620</v>
      </c>
      <c r="E337" s="2" t="s">
        <v>2850</v>
      </c>
      <c r="F337" s="2">
        <v>17530763</v>
      </c>
      <c r="G337" s="3">
        <v>36.183561643835617</v>
      </c>
      <c r="H337" s="2" t="s">
        <v>622</v>
      </c>
      <c r="I337" s="2" t="s">
        <v>2851</v>
      </c>
      <c r="J337" s="2" t="str">
        <f>+IF(BD[[#This Row],[DEPARTAMENTO_INSS]]="MANAGUA","_01_","_02_")</f>
        <v>_02_</v>
      </c>
      <c r="K337" s="2" t="str">
        <f>+CONCATENATE(BD[[#This Row],[Columna3]],BD[[#This Row],[Columna4]],BD[[#This Row],[NOMBRE COMPLETO]])</f>
        <v>E003_02_MILTON DE JESUS FUNES NARVAEZ</v>
      </c>
      <c r="L337" s="2" t="s">
        <v>1204</v>
      </c>
      <c r="M337" s="2" t="s">
        <v>2551</v>
      </c>
      <c r="N337" s="2" t="s">
        <v>365</v>
      </c>
      <c r="O337" s="2" t="s">
        <v>121</v>
      </c>
      <c r="P337" s="2" t="s">
        <v>649</v>
      </c>
      <c r="Q337" s="2" t="s">
        <v>351</v>
      </c>
      <c r="R337" s="2">
        <v>31589</v>
      </c>
      <c r="S337" s="2">
        <v>31589</v>
      </c>
      <c r="T337" s="2" t="s">
        <v>176</v>
      </c>
      <c r="U337" s="2" t="s">
        <v>176</v>
      </c>
      <c r="V337" s="2" t="s">
        <v>650</v>
      </c>
      <c r="W337" s="2" t="s">
        <v>176</v>
      </c>
      <c r="X337" s="2" t="s">
        <v>2852</v>
      </c>
      <c r="Y337" s="2" t="s">
        <v>2853</v>
      </c>
      <c r="AA337" s="2">
        <v>86340079</v>
      </c>
      <c r="AB337" s="2" t="s">
        <v>654</v>
      </c>
      <c r="AC337" s="2" t="s">
        <v>632</v>
      </c>
      <c r="AD337" s="2">
        <v>86340079</v>
      </c>
      <c r="AJ337" s="2">
        <v>86340079</v>
      </c>
      <c r="AK337" s="2">
        <v>1</v>
      </c>
      <c r="AL337" s="2" t="s">
        <v>633</v>
      </c>
      <c r="AM337" s="2">
        <v>0</v>
      </c>
      <c r="AN337" s="2">
        <v>0</v>
      </c>
      <c r="AO337" s="2">
        <v>1</v>
      </c>
      <c r="AP337" s="2">
        <v>0</v>
      </c>
      <c r="AQ337" s="2">
        <v>0</v>
      </c>
      <c r="AR337" s="2">
        <v>0</v>
      </c>
      <c r="AS337" s="2">
        <v>0</v>
      </c>
      <c r="AT337" s="2">
        <v>0</v>
      </c>
      <c r="BB337" s="2" t="str">
        <f>+PROPER(BD[[#This Row],[PRIMER_APELLIDO]])</f>
        <v>Funes</v>
      </c>
    </row>
    <row r="338" spans="1:54" x14ac:dyDescent="0.25">
      <c r="A338" s="2">
        <v>337</v>
      </c>
      <c r="B338" s="2">
        <v>33791</v>
      </c>
      <c r="C338" s="2" t="s">
        <v>619</v>
      </c>
      <c r="D338" s="2" t="s">
        <v>620</v>
      </c>
      <c r="E338" s="2" t="s">
        <v>2854</v>
      </c>
      <c r="F338" s="2">
        <v>24516802</v>
      </c>
      <c r="G338" s="3">
        <v>36.197260273972603</v>
      </c>
      <c r="H338" s="2" t="s">
        <v>622</v>
      </c>
      <c r="I338" s="2" t="s">
        <v>2855</v>
      </c>
      <c r="J338" s="2" t="str">
        <f>+IF(BD[[#This Row],[DEPARTAMENTO_INSS]]="MANAGUA","_01_","_02_")</f>
        <v>_02_</v>
      </c>
      <c r="K338" s="2" t="str">
        <f>+CONCATENATE(BD[[#This Row],[Columna3]],BD[[#This Row],[Columna4]],BD[[#This Row],[NOMBRE COMPLETO]])</f>
        <v>E003_02_ENMA FADELING LUMBI SEQUEIRA</v>
      </c>
      <c r="L338" s="2" t="s">
        <v>2856</v>
      </c>
      <c r="M338" s="2" t="s">
        <v>2857</v>
      </c>
      <c r="N338" s="2" t="s">
        <v>13</v>
      </c>
      <c r="O338" s="2" t="s">
        <v>348</v>
      </c>
      <c r="P338" s="2" t="s">
        <v>626</v>
      </c>
      <c r="Q338" s="2" t="s">
        <v>351</v>
      </c>
      <c r="R338" s="2">
        <v>31584</v>
      </c>
      <c r="S338" s="2">
        <v>31584</v>
      </c>
      <c r="T338" s="2" t="s">
        <v>1104</v>
      </c>
      <c r="U338" s="2" t="s">
        <v>1104</v>
      </c>
      <c r="V338" s="2" t="s">
        <v>2858</v>
      </c>
      <c r="W338" s="2" t="s">
        <v>2859</v>
      </c>
      <c r="X338" s="2" t="s">
        <v>2860</v>
      </c>
      <c r="Y338" s="2" t="s">
        <v>2861</v>
      </c>
      <c r="AA338" s="2">
        <v>86627720</v>
      </c>
      <c r="AB338" s="2" t="s">
        <v>642</v>
      </c>
      <c r="AC338" s="2" t="s">
        <v>632</v>
      </c>
      <c r="AD338" s="2">
        <v>86627720</v>
      </c>
      <c r="AJ338" s="2">
        <v>86627720</v>
      </c>
      <c r="AK338" s="2">
        <v>1</v>
      </c>
      <c r="AL338" s="2" t="s">
        <v>633</v>
      </c>
      <c r="AM338" s="2">
        <v>0</v>
      </c>
      <c r="AN338" s="2">
        <v>0</v>
      </c>
      <c r="AO338" s="2">
        <v>1</v>
      </c>
      <c r="AP338" s="2">
        <v>0</v>
      </c>
      <c r="AQ338" s="2">
        <v>0</v>
      </c>
      <c r="AR338" s="2">
        <v>0</v>
      </c>
      <c r="AS338" s="2">
        <v>0</v>
      </c>
      <c r="AT338" s="2">
        <v>0</v>
      </c>
      <c r="BB338" s="2" t="str">
        <f>+PROPER(BD[[#This Row],[PRIMER_APELLIDO]])</f>
        <v>Lumbi</v>
      </c>
    </row>
    <row r="339" spans="1:54" x14ac:dyDescent="0.25">
      <c r="A339" s="2">
        <v>338</v>
      </c>
      <c r="B339" s="2">
        <v>31130</v>
      </c>
      <c r="C339" s="2" t="s">
        <v>619</v>
      </c>
      <c r="D339" s="2" t="s">
        <v>620</v>
      </c>
      <c r="E339" s="2" t="s">
        <v>2862</v>
      </c>
      <c r="F339" s="2">
        <v>21672428</v>
      </c>
      <c r="G339" s="3">
        <v>36.202739726027396</v>
      </c>
      <c r="H339" s="2" t="s">
        <v>622</v>
      </c>
      <c r="I339" s="2" t="s">
        <v>2863</v>
      </c>
      <c r="J339" s="2" t="str">
        <f>+IF(BD[[#This Row],[DEPARTAMENTO_INSS]]="MANAGUA","_01_","_02_")</f>
        <v>_02_</v>
      </c>
      <c r="K339" s="2" t="str">
        <f>+CONCATENATE(BD[[#This Row],[Columna3]],BD[[#This Row],[Columna4]],BD[[#This Row],[NOMBRE COMPLETO]])</f>
        <v>E003_02_ROGER MARTIN VEGA BLANCO</v>
      </c>
      <c r="L339" s="2" t="s">
        <v>1298</v>
      </c>
      <c r="M339" s="2" t="s">
        <v>1183</v>
      </c>
      <c r="N339" s="2" t="s">
        <v>140</v>
      </c>
      <c r="O339" s="2" t="s">
        <v>28</v>
      </c>
      <c r="P339" s="2" t="s">
        <v>649</v>
      </c>
      <c r="Q339" s="2" t="s">
        <v>351</v>
      </c>
      <c r="R339" s="2">
        <v>31582</v>
      </c>
      <c r="S339" s="2">
        <v>31582</v>
      </c>
      <c r="T339" s="2" t="s">
        <v>732</v>
      </c>
      <c r="U339" s="2" t="s">
        <v>732</v>
      </c>
      <c r="V339" s="2" t="s">
        <v>732</v>
      </c>
      <c r="W339" s="2" t="s">
        <v>732</v>
      </c>
      <c r="X339" s="2" t="s">
        <v>2864</v>
      </c>
      <c r="Y339" s="2" t="s">
        <v>2865</v>
      </c>
      <c r="AA339" s="2">
        <v>25226820</v>
      </c>
      <c r="AB339" s="2" t="s">
        <v>654</v>
      </c>
      <c r="AC339" s="2" t="s">
        <v>632</v>
      </c>
      <c r="AK339" s="2">
        <v>1</v>
      </c>
      <c r="AL339" s="2" t="s">
        <v>633</v>
      </c>
      <c r="AM339" s="2">
        <v>0</v>
      </c>
      <c r="AN339" s="2">
        <v>0</v>
      </c>
      <c r="AO339" s="2">
        <v>1</v>
      </c>
      <c r="AP339" s="2">
        <v>0</v>
      </c>
      <c r="AQ339" s="2">
        <v>0</v>
      </c>
      <c r="AR339" s="2">
        <v>0</v>
      </c>
      <c r="AS339" s="2">
        <v>0</v>
      </c>
      <c r="AT339" s="2">
        <v>0</v>
      </c>
      <c r="BB339" s="2" t="str">
        <f>+PROPER(BD[[#This Row],[PRIMER_APELLIDO]])</f>
        <v>Vega</v>
      </c>
    </row>
    <row r="340" spans="1:54" x14ac:dyDescent="0.25">
      <c r="A340" s="2">
        <v>339</v>
      </c>
      <c r="B340" s="2">
        <v>59016</v>
      </c>
      <c r="C340" s="2" t="s">
        <v>619</v>
      </c>
      <c r="D340" s="2" t="s">
        <v>620</v>
      </c>
      <c r="E340" s="2" t="s">
        <v>2866</v>
      </c>
      <c r="G340" s="3">
        <v>36.205479452054796</v>
      </c>
      <c r="H340" s="2" t="s">
        <v>622</v>
      </c>
      <c r="I340" s="2" t="s">
        <v>2867</v>
      </c>
      <c r="J340" s="2" t="str">
        <f>+IF(BD[[#This Row],[DEPARTAMENTO_INSS]]="MANAGUA","_01_","_02_")</f>
        <v>_02_</v>
      </c>
      <c r="K340" s="2" t="str">
        <f>+CONCATENATE(BD[[#This Row],[Columna3]],BD[[#This Row],[Columna4]],BD[[#This Row],[NOMBRE COMPLETO]])</f>
        <v>E003_02_LUIS ANTONIO JOSEPH LACAYO</v>
      </c>
      <c r="L340" s="2" t="s">
        <v>738</v>
      </c>
      <c r="M340" s="2" t="s">
        <v>904</v>
      </c>
      <c r="N340" s="2" t="s">
        <v>150</v>
      </c>
      <c r="O340" s="2" t="s">
        <v>148</v>
      </c>
      <c r="P340" s="2" t="s">
        <v>649</v>
      </c>
      <c r="Q340" s="2" t="s">
        <v>351</v>
      </c>
      <c r="R340" s="2">
        <v>31581</v>
      </c>
      <c r="S340" s="2">
        <v>31581</v>
      </c>
      <c r="T340" s="2" t="s">
        <v>780</v>
      </c>
      <c r="U340" s="2" t="s">
        <v>780</v>
      </c>
      <c r="V340" s="2" t="s">
        <v>781</v>
      </c>
      <c r="W340" s="2" t="s">
        <v>2868</v>
      </c>
      <c r="X340" s="2" t="s">
        <v>2869</v>
      </c>
      <c r="Y340" s="2" t="s">
        <v>2870</v>
      </c>
      <c r="Z340" s="2" t="s">
        <v>2871</v>
      </c>
      <c r="AA340" s="2">
        <v>58405281</v>
      </c>
      <c r="AB340" s="2" t="s">
        <v>654</v>
      </c>
      <c r="AC340" s="2" t="s">
        <v>632</v>
      </c>
      <c r="AE340" s="2">
        <v>58405281</v>
      </c>
      <c r="AJ340" s="2">
        <v>58405281</v>
      </c>
      <c r="AK340" s="2">
        <v>3</v>
      </c>
      <c r="AL340" s="2" t="s">
        <v>633</v>
      </c>
      <c r="AM340" s="2">
        <v>0</v>
      </c>
      <c r="AN340" s="2">
        <v>0</v>
      </c>
      <c r="AO340" s="2">
        <v>1</v>
      </c>
      <c r="AP340" s="2">
        <v>0</v>
      </c>
      <c r="AQ340" s="2">
        <v>0</v>
      </c>
      <c r="AR340" s="2">
        <v>0</v>
      </c>
      <c r="AS340" s="2">
        <v>0</v>
      </c>
      <c r="AT340" s="2">
        <v>0</v>
      </c>
      <c r="AZ340" s="2" t="s">
        <v>2872</v>
      </c>
      <c r="BB340" s="2" t="str">
        <f>+PROPER(BD[[#This Row],[PRIMER_APELLIDO]])</f>
        <v>Joseph</v>
      </c>
    </row>
    <row r="341" spans="1:54" x14ac:dyDescent="0.25">
      <c r="A341" s="2">
        <v>340</v>
      </c>
      <c r="B341" s="2">
        <v>34939</v>
      </c>
      <c r="C341" s="2" t="s">
        <v>619</v>
      </c>
      <c r="D341" s="2" t="s">
        <v>620</v>
      </c>
      <c r="E341" s="2" t="s">
        <v>2873</v>
      </c>
      <c r="F341" s="2">
        <v>22736204</v>
      </c>
      <c r="G341" s="3">
        <v>36.208219178082189</v>
      </c>
      <c r="H341" s="2" t="s">
        <v>622</v>
      </c>
      <c r="I341" s="2" t="s">
        <v>2874</v>
      </c>
      <c r="J341" s="2" t="str">
        <f>+IF(BD[[#This Row],[DEPARTAMENTO_INSS]]="MANAGUA","_01_","_02_")</f>
        <v>_01_</v>
      </c>
      <c r="K341" s="2" t="str">
        <f>+CONCATENATE(BD[[#This Row],[Columna3]],BD[[#This Row],[Columna4]],BD[[#This Row],[NOMBRE COMPLETO]])</f>
        <v>E003_01_DALIA SIELEMA DE ARMAS ROMERO</v>
      </c>
      <c r="L341" s="2" t="s">
        <v>2875</v>
      </c>
      <c r="M341" s="2" t="s">
        <v>2876</v>
      </c>
      <c r="N341" s="2" t="s">
        <v>433</v>
      </c>
      <c r="O341" s="2" t="s">
        <v>41</v>
      </c>
      <c r="P341" s="2" t="s">
        <v>626</v>
      </c>
      <c r="Q341" s="2" t="s">
        <v>351</v>
      </c>
      <c r="R341" s="2">
        <v>31580</v>
      </c>
      <c r="S341" s="2">
        <v>31580</v>
      </c>
      <c r="T341" s="2" t="s">
        <v>627</v>
      </c>
      <c r="U341" s="2" t="s">
        <v>627</v>
      </c>
      <c r="V341" s="2" t="s">
        <v>1498</v>
      </c>
      <c r="W341" s="2" t="s">
        <v>1498</v>
      </c>
      <c r="X341" s="2" t="s">
        <v>2877</v>
      </c>
      <c r="Y341" s="2" t="s">
        <v>2878</v>
      </c>
      <c r="Z341" s="2">
        <v>89293145</v>
      </c>
      <c r="AA341" s="2" t="s">
        <v>2879</v>
      </c>
      <c r="AB341" s="2" t="s">
        <v>798</v>
      </c>
      <c r="AC341" s="2" t="s">
        <v>632</v>
      </c>
      <c r="AD341" s="2">
        <v>89293145</v>
      </c>
      <c r="AJ341" s="2">
        <v>89293145</v>
      </c>
      <c r="AK341" s="2">
        <v>3</v>
      </c>
      <c r="AL341" s="2" t="s">
        <v>633</v>
      </c>
      <c r="AM341" s="2">
        <v>0</v>
      </c>
      <c r="AN341" s="2">
        <v>0</v>
      </c>
      <c r="AO341" s="2">
        <v>1</v>
      </c>
      <c r="AP341" s="2">
        <v>0</v>
      </c>
      <c r="AQ341" s="2">
        <v>0</v>
      </c>
      <c r="AR341" s="2">
        <v>0</v>
      </c>
      <c r="AS341" s="2">
        <v>0</v>
      </c>
      <c r="AT341" s="2">
        <v>0</v>
      </c>
      <c r="AZ341" s="2" t="s">
        <v>2880</v>
      </c>
      <c r="BB341" s="2" t="str">
        <f>+PROPER(BD[[#This Row],[PRIMER_APELLIDO]])</f>
        <v>De Armas</v>
      </c>
    </row>
    <row r="342" spans="1:54" x14ac:dyDescent="0.25">
      <c r="A342" s="2">
        <v>341</v>
      </c>
      <c r="B342" s="2">
        <v>35576</v>
      </c>
      <c r="C342" s="2" t="s">
        <v>619</v>
      </c>
      <c r="D342" s="2" t="s">
        <v>620</v>
      </c>
      <c r="E342" s="2" t="s">
        <v>2881</v>
      </c>
      <c r="F342" s="2">
        <v>22184151</v>
      </c>
      <c r="G342" s="3">
        <v>36.208219178082189</v>
      </c>
      <c r="H342" s="2" t="s">
        <v>622</v>
      </c>
      <c r="I342" s="2" t="s">
        <v>2882</v>
      </c>
      <c r="J342" s="2" t="str">
        <f>+IF(BD[[#This Row],[DEPARTAMENTO_INSS]]="MANAGUA","_01_","_02_")</f>
        <v>_01_</v>
      </c>
      <c r="K342" s="2" t="str">
        <f>+CONCATENATE(BD[[#This Row],[Columna3]],BD[[#This Row],[Columna4]],BD[[#This Row],[NOMBRE COMPLETO]])</f>
        <v>E003_01_GABRIELLA ALEXIA WOO MORENO</v>
      </c>
      <c r="L342" s="2" t="s">
        <v>2883</v>
      </c>
      <c r="M342" s="2" t="s">
        <v>2884</v>
      </c>
      <c r="N342" s="2" t="s">
        <v>47</v>
      </c>
      <c r="O342" s="2" t="s">
        <v>430</v>
      </c>
      <c r="P342" s="2" t="s">
        <v>626</v>
      </c>
      <c r="Q342" s="2" t="s">
        <v>351</v>
      </c>
      <c r="R342" s="2">
        <v>31580</v>
      </c>
      <c r="S342" s="2">
        <v>31580</v>
      </c>
      <c r="T342" s="2" t="s">
        <v>929</v>
      </c>
      <c r="U342" s="2" t="s">
        <v>627</v>
      </c>
      <c r="V342" s="2" t="s">
        <v>2885</v>
      </c>
      <c r="W342" s="2" t="s">
        <v>627</v>
      </c>
      <c r="X342" s="2" t="s">
        <v>2886</v>
      </c>
      <c r="Y342" s="2" t="s">
        <v>2887</v>
      </c>
      <c r="Z342" s="2" t="s">
        <v>2888</v>
      </c>
      <c r="AA342" s="2" t="s">
        <v>2889</v>
      </c>
      <c r="AB342" s="2" t="s">
        <v>642</v>
      </c>
      <c r="AC342" s="2" t="s">
        <v>632</v>
      </c>
      <c r="AD342" s="2">
        <v>57554201</v>
      </c>
      <c r="AJ342" s="2">
        <v>57554201</v>
      </c>
      <c r="AK342" s="2">
        <v>4</v>
      </c>
      <c r="AL342" s="2" t="s">
        <v>633</v>
      </c>
      <c r="AM342" s="2">
        <v>0</v>
      </c>
      <c r="AN342" s="2">
        <v>0</v>
      </c>
      <c r="AO342" s="2">
        <v>1</v>
      </c>
      <c r="AP342" s="2">
        <v>0</v>
      </c>
      <c r="AQ342" s="2">
        <v>0</v>
      </c>
      <c r="AR342" s="2">
        <v>0</v>
      </c>
      <c r="AS342" s="2">
        <v>0</v>
      </c>
      <c r="AT342" s="2">
        <v>0</v>
      </c>
      <c r="AZ342" s="2" t="s">
        <v>2890</v>
      </c>
      <c r="BA342" s="2" t="s">
        <v>2890</v>
      </c>
      <c r="BB342" s="2" t="str">
        <f>+PROPER(BD[[#This Row],[PRIMER_APELLIDO]])</f>
        <v>Woo</v>
      </c>
    </row>
    <row r="343" spans="1:54" x14ac:dyDescent="0.25">
      <c r="A343" s="2">
        <v>342</v>
      </c>
      <c r="B343" s="2">
        <v>36449</v>
      </c>
      <c r="C343" s="2" t="s">
        <v>619</v>
      </c>
      <c r="D343" s="2" t="s">
        <v>620</v>
      </c>
      <c r="E343" s="2" t="s">
        <v>2891</v>
      </c>
      <c r="F343" s="2">
        <v>31708878</v>
      </c>
      <c r="G343" s="3">
        <v>36.208219178082189</v>
      </c>
      <c r="H343" s="2" t="s">
        <v>622</v>
      </c>
      <c r="I343" s="2" t="s">
        <v>2892</v>
      </c>
      <c r="J343" s="2" t="str">
        <f>+IF(BD[[#This Row],[DEPARTAMENTO_INSS]]="MANAGUA","_01_","_02_")</f>
        <v>_02_</v>
      </c>
      <c r="K343" s="2" t="str">
        <f>+CONCATENATE(BD[[#This Row],[Columna3]],BD[[#This Row],[Columna4]],BD[[#This Row],[NOMBRE COMPLETO]])</f>
        <v>E003_02_JUAN ANTONIO DUARTE BÁEZ</v>
      </c>
      <c r="L343" s="2" t="s">
        <v>825</v>
      </c>
      <c r="M343" s="2" t="s">
        <v>904</v>
      </c>
      <c r="N343" s="2" t="s">
        <v>117</v>
      </c>
      <c r="O343" s="2" t="s">
        <v>2893</v>
      </c>
      <c r="P343" s="2" t="s">
        <v>649</v>
      </c>
      <c r="Q343" s="2" t="s">
        <v>351</v>
      </c>
      <c r="R343" s="2">
        <v>31580</v>
      </c>
      <c r="S343" s="2">
        <v>31580</v>
      </c>
      <c r="T343" s="2" t="s">
        <v>669</v>
      </c>
      <c r="U343" s="2" t="s">
        <v>669</v>
      </c>
      <c r="V343" s="2" t="s">
        <v>670</v>
      </c>
      <c r="W343" s="2" t="s">
        <v>670</v>
      </c>
      <c r="X343" s="2" t="s">
        <v>2894</v>
      </c>
      <c r="Y343" s="2" t="s">
        <v>2895</v>
      </c>
      <c r="Z343" s="2">
        <v>89359941</v>
      </c>
      <c r="AA343" s="2" t="s">
        <v>2896</v>
      </c>
      <c r="AB343" s="2" t="s">
        <v>654</v>
      </c>
      <c r="AC343" s="2" t="s">
        <v>632</v>
      </c>
      <c r="AD343" s="2">
        <v>89359941</v>
      </c>
      <c r="AF343" s="2">
        <v>89923317</v>
      </c>
      <c r="AJ343" s="2">
        <v>89359941</v>
      </c>
      <c r="AK343" s="2">
        <v>3</v>
      </c>
      <c r="AL343" s="2" t="s">
        <v>633</v>
      </c>
      <c r="AM343" s="2">
        <v>0</v>
      </c>
      <c r="AN343" s="2">
        <v>0</v>
      </c>
      <c r="AO343" s="2">
        <v>1</v>
      </c>
      <c r="AP343" s="2">
        <v>0</v>
      </c>
      <c r="AQ343" s="2">
        <v>0</v>
      </c>
      <c r="AR343" s="2">
        <v>0</v>
      </c>
      <c r="AS343" s="2">
        <v>0</v>
      </c>
      <c r="AT343" s="2">
        <v>0</v>
      </c>
      <c r="AZ343" s="2" t="s">
        <v>2897</v>
      </c>
      <c r="BA343" s="2" t="s">
        <v>2897</v>
      </c>
      <c r="BB343" s="2" t="str">
        <f>+PROPER(BD[[#This Row],[PRIMER_APELLIDO]])</f>
        <v>Duarte</v>
      </c>
    </row>
    <row r="344" spans="1:54" x14ac:dyDescent="0.25">
      <c r="A344" s="2">
        <v>343</v>
      </c>
      <c r="B344" s="2">
        <v>43893</v>
      </c>
      <c r="C344" s="2" t="s">
        <v>619</v>
      </c>
      <c r="D344" s="2" t="s">
        <v>620</v>
      </c>
      <c r="E344" s="2" t="s">
        <v>2898</v>
      </c>
      <c r="F344" s="2">
        <v>17887720</v>
      </c>
      <c r="G344" s="3">
        <v>36.208219178082189</v>
      </c>
      <c r="H344" s="2" t="s">
        <v>622</v>
      </c>
      <c r="I344" s="2" t="s">
        <v>2899</v>
      </c>
      <c r="J344" s="2" t="str">
        <f>+IF(BD[[#This Row],[DEPARTAMENTO_INSS]]="MANAGUA","_01_","_02_")</f>
        <v>_01_</v>
      </c>
      <c r="K344" s="2" t="str">
        <f>+CONCATENATE(BD[[#This Row],[Columna3]],BD[[#This Row],[Columna4]],BD[[#This Row],[NOMBRE COMPLETO]])</f>
        <v>E003_01_SUYEN ALEJANDRA DAVILA JIMENEZ</v>
      </c>
      <c r="L344" s="2" t="s">
        <v>890</v>
      </c>
      <c r="M344" s="2" t="s">
        <v>1242</v>
      </c>
      <c r="N344" s="2" t="s">
        <v>88</v>
      </c>
      <c r="O344" s="2" t="s">
        <v>467</v>
      </c>
      <c r="P344" s="2" t="s">
        <v>626</v>
      </c>
      <c r="Q344" s="2" t="s">
        <v>351</v>
      </c>
      <c r="R344" s="2">
        <v>31580</v>
      </c>
      <c r="S344" s="2">
        <v>31580</v>
      </c>
      <c r="T344" s="2" t="s">
        <v>627</v>
      </c>
      <c r="U344" s="2" t="s">
        <v>627</v>
      </c>
      <c r="V344" s="2" t="s">
        <v>627</v>
      </c>
      <c r="W344" s="2" t="s">
        <v>627</v>
      </c>
      <c r="X344" s="2" t="s">
        <v>2900</v>
      </c>
      <c r="Y344" s="2" t="s">
        <v>2901</v>
      </c>
      <c r="Z344" s="2" t="s">
        <v>2902</v>
      </c>
      <c r="AA344" s="2">
        <v>84794858</v>
      </c>
      <c r="AB344" s="2" t="s">
        <v>654</v>
      </c>
      <c r="AC344" s="2" t="s">
        <v>632</v>
      </c>
      <c r="AE344" s="2">
        <v>84794858</v>
      </c>
      <c r="AJ344" s="2">
        <v>84794858</v>
      </c>
      <c r="AK344" s="2">
        <v>3</v>
      </c>
      <c r="AL344" s="2" t="s">
        <v>633</v>
      </c>
      <c r="AM344" s="2">
        <v>0</v>
      </c>
      <c r="AN344" s="2">
        <v>0</v>
      </c>
      <c r="AO344" s="2">
        <v>1</v>
      </c>
      <c r="AP344" s="2">
        <v>0</v>
      </c>
      <c r="AQ344" s="2">
        <v>0</v>
      </c>
      <c r="AR344" s="2">
        <v>0</v>
      </c>
      <c r="AS344" s="2">
        <v>0</v>
      </c>
      <c r="AT344" s="2">
        <v>0</v>
      </c>
      <c r="AZ344" s="2" t="s">
        <v>2903</v>
      </c>
      <c r="BB344" s="2" t="str">
        <f>+PROPER(BD[[#This Row],[PRIMER_APELLIDO]])</f>
        <v>Davila</v>
      </c>
    </row>
    <row r="345" spans="1:54" x14ac:dyDescent="0.25">
      <c r="A345" s="2">
        <v>344</v>
      </c>
      <c r="B345" s="2">
        <v>56278</v>
      </c>
      <c r="C345" s="2" t="s">
        <v>619</v>
      </c>
      <c r="D345" s="2" t="s">
        <v>620</v>
      </c>
      <c r="E345" s="2" t="s">
        <v>2904</v>
      </c>
      <c r="G345" s="3">
        <v>36.208219178082189</v>
      </c>
      <c r="H345" s="2" t="s">
        <v>622</v>
      </c>
      <c r="I345" s="2" t="s">
        <v>2905</v>
      </c>
      <c r="J345" s="2" t="str">
        <f>+IF(BD[[#This Row],[DEPARTAMENTO_INSS]]="MANAGUA","_01_","_02_")</f>
        <v>_02_</v>
      </c>
      <c r="K345" s="2" t="str">
        <f>+CONCATENATE(BD[[#This Row],[Columna3]],BD[[#This Row],[Columna4]],BD[[#This Row],[NOMBRE COMPLETO]])</f>
        <v>E003_02_JUAN GILBERTO GUTIERREZ JACOBO</v>
      </c>
      <c r="L345" s="2" t="s">
        <v>825</v>
      </c>
      <c r="M345" s="2" t="s">
        <v>2906</v>
      </c>
      <c r="N345" s="2" t="s">
        <v>171</v>
      </c>
      <c r="O345" s="2" t="s">
        <v>2907</v>
      </c>
      <c r="P345" s="2" t="s">
        <v>649</v>
      </c>
      <c r="Q345" s="2" t="s">
        <v>351</v>
      </c>
      <c r="R345" s="2">
        <v>31580</v>
      </c>
      <c r="S345" s="2">
        <v>31580</v>
      </c>
      <c r="T345" s="2" t="s">
        <v>1005</v>
      </c>
      <c r="U345" s="2" t="s">
        <v>1005</v>
      </c>
      <c r="V345" s="2" t="s">
        <v>2908</v>
      </c>
      <c r="W345" s="2" t="s">
        <v>2908</v>
      </c>
      <c r="X345" s="2" t="s">
        <v>2909</v>
      </c>
      <c r="Y345" s="2" t="s">
        <v>2910</v>
      </c>
      <c r="Z345" s="2">
        <v>86030760</v>
      </c>
      <c r="AA345" s="2" t="s">
        <v>2911</v>
      </c>
      <c r="AB345" s="2" t="s">
        <v>798</v>
      </c>
      <c r="AC345" s="2" t="s">
        <v>632</v>
      </c>
      <c r="AD345" s="2">
        <v>86030760</v>
      </c>
      <c r="AJ345" s="2">
        <v>86030760</v>
      </c>
      <c r="AK345" s="2">
        <v>3</v>
      </c>
      <c r="AL345" s="2" t="s">
        <v>633</v>
      </c>
      <c r="AM345" s="2">
        <v>0</v>
      </c>
      <c r="AN345" s="2">
        <v>0</v>
      </c>
      <c r="AO345" s="2">
        <v>1</v>
      </c>
      <c r="AP345" s="2">
        <v>0</v>
      </c>
      <c r="AQ345" s="2">
        <v>0</v>
      </c>
      <c r="AR345" s="2">
        <v>0</v>
      </c>
      <c r="AS345" s="2">
        <v>0</v>
      </c>
      <c r="AT345" s="2">
        <v>0</v>
      </c>
      <c r="BB345" s="2" t="str">
        <f>+PROPER(BD[[#This Row],[PRIMER_APELLIDO]])</f>
        <v>Gutierrez</v>
      </c>
    </row>
    <row r="346" spans="1:54" x14ac:dyDescent="0.25">
      <c r="A346" s="2">
        <v>345</v>
      </c>
      <c r="B346" s="2">
        <v>67149</v>
      </c>
      <c r="C346" s="2" t="s">
        <v>619</v>
      </c>
      <c r="D346" s="2" t="s">
        <v>620</v>
      </c>
      <c r="E346" s="2" t="s">
        <v>2912</v>
      </c>
      <c r="G346" s="3">
        <v>36.208219178082189</v>
      </c>
      <c r="H346" s="2" t="s">
        <v>622</v>
      </c>
      <c r="I346" s="2" t="s">
        <v>2913</v>
      </c>
      <c r="J346" s="2" t="str">
        <f>+IF(BD[[#This Row],[DEPARTAMENTO_INSS]]="MANAGUA","_01_","_02_")</f>
        <v>_01_</v>
      </c>
      <c r="K346" s="2" t="str">
        <f>+CONCATENATE(BD[[#This Row],[Columna3]],BD[[#This Row],[Columna4]],BD[[#This Row],[NOMBRE COMPLETO]])</f>
        <v>E003_01_MEYLIN DEL CARMEN BALTODANO CASTILLO</v>
      </c>
      <c r="L346" s="2" t="s">
        <v>2914</v>
      </c>
      <c r="M346" s="2" t="s">
        <v>961</v>
      </c>
      <c r="N346" s="2" t="s">
        <v>112</v>
      </c>
      <c r="O346" s="2" t="s">
        <v>100</v>
      </c>
      <c r="P346" s="2" t="s">
        <v>626</v>
      </c>
      <c r="Q346" s="2" t="s">
        <v>351</v>
      </c>
      <c r="R346" s="2">
        <v>31580</v>
      </c>
      <c r="S346" s="2">
        <v>31580</v>
      </c>
      <c r="T346" s="2" t="s">
        <v>627</v>
      </c>
      <c r="U346" s="2" t="s">
        <v>627</v>
      </c>
      <c r="V346" s="2" t="s">
        <v>1251</v>
      </c>
      <c r="W346" s="2" t="s">
        <v>2915</v>
      </c>
      <c r="X346" s="2" t="s">
        <v>2916</v>
      </c>
      <c r="Y346" s="2" t="s">
        <v>2917</v>
      </c>
      <c r="Z346" s="2">
        <v>84343025</v>
      </c>
      <c r="AA346" s="2">
        <v>78159735</v>
      </c>
      <c r="AB346" s="2" t="s">
        <v>2918</v>
      </c>
      <c r="AC346" s="2" t="s">
        <v>632</v>
      </c>
      <c r="AD346" s="2">
        <v>84343025</v>
      </c>
      <c r="AF346" s="2">
        <v>78159735</v>
      </c>
      <c r="AJ346" s="2">
        <v>84343025</v>
      </c>
      <c r="AK346" s="2">
        <v>2</v>
      </c>
      <c r="AL346" s="2" t="s">
        <v>633</v>
      </c>
      <c r="AM346" s="2">
        <v>0</v>
      </c>
      <c r="AN346" s="2">
        <v>0</v>
      </c>
      <c r="AO346" s="2">
        <v>1</v>
      </c>
      <c r="AP346" s="2">
        <v>0</v>
      </c>
      <c r="AQ346" s="2">
        <v>0</v>
      </c>
      <c r="AR346" s="2">
        <v>0</v>
      </c>
      <c r="AS346" s="2">
        <v>0</v>
      </c>
      <c r="AT346" s="2">
        <v>0</v>
      </c>
      <c r="AZ346" s="2" t="s">
        <v>2919</v>
      </c>
      <c r="BB346" s="2" t="str">
        <f>+PROPER(BD[[#This Row],[PRIMER_APELLIDO]])</f>
        <v>Baltodano</v>
      </c>
    </row>
    <row r="347" spans="1:54" x14ac:dyDescent="0.25">
      <c r="A347" s="2">
        <v>346</v>
      </c>
      <c r="B347" s="2">
        <v>49035</v>
      </c>
      <c r="C347" s="2" t="s">
        <v>619</v>
      </c>
      <c r="D347" s="2" t="s">
        <v>620</v>
      </c>
      <c r="E347" s="2" t="s">
        <v>2920</v>
      </c>
      <c r="F347" s="2">
        <v>25022744</v>
      </c>
      <c r="G347" s="3">
        <v>36.210958904109589</v>
      </c>
      <c r="H347" s="2" t="s">
        <v>622</v>
      </c>
      <c r="I347" s="2" t="s">
        <v>2921</v>
      </c>
      <c r="J347" s="2" t="str">
        <f>+IF(BD[[#This Row],[DEPARTAMENTO_INSS]]="MANAGUA","_01_","_02_")</f>
        <v>_02_</v>
      </c>
      <c r="K347" s="2" t="str">
        <f>+CONCATENATE(BD[[#This Row],[Columna3]],BD[[#This Row],[Columna4]],BD[[#This Row],[NOMBRE COMPLETO]])</f>
        <v>E003_02_YESSICA MARYURI PONCE</v>
      </c>
      <c r="L347" s="2" t="s">
        <v>2922</v>
      </c>
      <c r="M347" s="2" t="s">
        <v>1120</v>
      </c>
      <c r="N347" s="2" t="s">
        <v>226</v>
      </c>
      <c r="P347" s="2" t="s">
        <v>626</v>
      </c>
      <c r="Q347" s="2" t="s">
        <v>351</v>
      </c>
      <c r="R347" s="2">
        <v>31579</v>
      </c>
      <c r="S347" s="2">
        <v>31579</v>
      </c>
      <c r="T347" s="2" t="s">
        <v>780</v>
      </c>
      <c r="U347" s="2" t="s">
        <v>444</v>
      </c>
      <c r="V347" s="2" t="s">
        <v>781</v>
      </c>
      <c r="W347" s="2" t="s">
        <v>764</v>
      </c>
      <c r="X347" s="2" t="s">
        <v>2923</v>
      </c>
      <c r="Y347" s="2" t="s">
        <v>2924</v>
      </c>
      <c r="AA347" s="2">
        <v>84308528</v>
      </c>
      <c r="AB347" s="2" t="s">
        <v>631</v>
      </c>
      <c r="AC347" s="2" t="s">
        <v>632</v>
      </c>
      <c r="AD347" s="2">
        <v>84308528</v>
      </c>
      <c r="AJ347" s="2">
        <v>84308528</v>
      </c>
      <c r="AK347" s="2">
        <v>1</v>
      </c>
      <c r="AL347" s="2" t="s">
        <v>633</v>
      </c>
      <c r="AM347" s="2">
        <v>0</v>
      </c>
      <c r="AN347" s="2">
        <v>0</v>
      </c>
      <c r="AO347" s="2">
        <v>1</v>
      </c>
      <c r="AP347" s="2">
        <v>0</v>
      </c>
      <c r="AQ347" s="2">
        <v>0</v>
      </c>
      <c r="AR347" s="2">
        <v>0</v>
      </c>
      <c r="AS347" s="2">
        <v>0</v>
      </c>
      <c r="AT347" s="2">
        <v>0</v>
      </c>
      <c r="BB347" s="2" t="str">
        <f>+PROPER(BD[[#This Row],[PRIMER_APELLIDO]])</f>
        <v>Ponce</v>
      </c>
    </row>
    <row r="348" spans="1:54" x14ac:dyDescent="0.25">
      <c r="A348" s="2">
        <v>347</v>
      </c>
      <c r="B348" s="2">
        <v>49898</v>
      </c>
      <c r="C348" s="2" t="s">
        <v>619</v>
      </c>
      <c r="D348" s="2" t="s">
        <v>620</v>
      </c>
      <c r="E348" s="2" t="s">
        <v>2925</v>
      </c>
      <c r="F348" s="2">
        <v>26965916</v>
      </c>
      <c r="G348" s="3">
        <v>36.213698630136989</v>
      </c>
      <c r="H348" s="2" t="s">
        <v>622</v>
      </c>
      <c r="I348" s="2" t="s">
        <v>2926</v>
      </c>
      <c r="J348" s="2" t="str">
        <f>+IF(BD[[#This Row],[DEPARTAMENTO_INSS]]="MANAGUA","_01_","_02_")</f>
        <v>_02_</v>
      </c>
      <c r="K348" s="2" t="str">
        <f>+CONCATENATE(BD[[#This Row],[Columna3]],BD[[#This Row],[Columna4]],BD[[#This Row],[NOMBRE COMPLETO]])</f>
        <v>E003_02_GLADYS DEL CARMEN DIAZ RAMOS</v>
      </c>
      <c r="L348" s="2" t="s">
        <v>1198</v>
      </c>
      <c r="M348" s="2" t="s">
        <v>961</v>
      </c>
      <c r="N348" s="2" t="s">
        <v>91</v>
      </c>
      <c r="O348" s="2" t="s">
        <v>247</v>
      </c>
      <c r="P348" s="2" t="s">
        <v>626</v>
      </c>
      <c r="Q348" s="2" t="s">
        <v>351</v>
      </c>
      <c r="R348" s="2">
        <v>31578</v>
      </c>
      <c r="S348" s="2">
        <v>31578</v>
      </c>
      <c r="T348" s="2" t="s">
        <v>705</v>
      </c>
      <c r="U348" s="2" t="s">
        <v>705</v>
      </c>
      <c r="V348" s="2" t="s">
        <v>1538</v>
      </c>
      <c r="W348" s="2" t="s">
        <v>1538</v>
      </c>
      <c r="X348" s="2" t="s">
        <v>2927</v>
      </c>
      <c r="Y348" s="2" t="s">
        <v>2928</v>
      </c>
      <c r="Z348" s="2">
        <v>78338353</v>
      </c>
      <c r="AA348" s="2">
        <v>85763356</v>
      </c>
      <c r="AB348" s="2" t="s">
        <v>631</v>
      </c>
      <c r="AC348" s="2" t="s">
        <v>632</v>
      </c>
      <c r="AD348" s="2">
        <v>78338353</v>
      </c>
      <c r="AF348" s="2">
        <v>85763356</v>
      </c>
      <c r="AJ348" s="2">
        <v>78338353</v>
      </c>
      <c r="AK348" s="2">
        <v>2</v>
      </c>
      <c r="AL348" s="2" t="s">
        <v>633</v>
      </c>
      <c r="AM348" s="2">
        <v>0</v>
      </c>
      <c r="AN348" s="2">
        <v>0</v>
      </c>
      <c r="AO348" s="2">
        <v>1</v>
      </c>
      <c r="AP348" s="2">
        <v>0</v>
      </c>
      <c r="AQ348" s="2">
        <v>0</v>
      </c>
      <c r="AR348" s="2">
        <v>0</v>
      </c>
      <c r="AS348" s="2">
        <v>0</v>
      </c>
      <c r="AT348" s="2">
        <v>0</v>
      </c>
      <c r="AZ348" s="2" t="s">
        <v>2929</v>
      </c>
      <c r="BB348" s="2" t="str">
        <f>+PROPER(BD[[#This Row],[PRIMER_APELLIDO]])</f>
        <v>Diaz</v>
      </c>
    </row>
    <row r="349" spans="1:54" x14ac:dyDescent="0.25">
      <c r="A349" s="2">
        <v>348</v>
      </c>
      <c r="B349" s="2">
        <v>39017</v>
      </c>
      <c r="C349" s="2" t="s">
        <v>619</v>
      </c>
      <c r="D349" s="2" t="s">
        <v>620</v>
      </c>
      <c r="E349" s="2" t="s">
        <v>2930</v>
      </c>
      <c r="F349" s="2">
        <v>23147760</v>
      </c>
      <c r="G349" s="3">
        <v>36.216438356164382</v>
      </c>
      <c r="H349" s="2" t="s">
        <v>622</v>
      </c>
      <c r="I349" s="2" t="s">
        <v>2931</v>
      </c>
      <c r="J349" s="2" t="str">
        <f>+IF(BD[[#This Row],[DEPARTAMENTO_INSS]]="MANAGUA","_01_","_02_")</f>
        <v>_02_</v>
      </c>
      <c r="K349" s="2" t="str">
        <f>+CONCATENATE(BD[[#This Row],[Columna3]],BD[[#This Row],[Columna4]],BD[[#This Row],[NOMBRE COMPLETO]])</f>
        <v>E003_02_INDIRA MERCEDES ANDINO ANTON</v>
      </c>
      <c r="L349" s="2" t="s">
        <v>1091</v>
      </c>
      <c r="M349" s="2" t="s">
        <v>769</v>
      </c>
      <c r="N349" s="2" t="s">
        <v>370</v>
      </c>
      <c r="O349" s="2" t="s">
        <v>210</v>
      </c>
      <c r="P349" s="2" t="s">
        <v>626</v>
      </c>
      <c r="Q349" s="2" t="s">
        <v>351</v>
      </c>
      <c r="R349" s="2">
        <v>31577</v>
      </c>
      <c r="S349" s="2">
        <v>31577</v>
      </c>
      <c r="T349" s="2" t="s">
        <v>176</v>
      </c>
      <c r="U349" s="2" t="s">
        <v>176</v>
      </c>
      <c r="V349" s="2" t="s">
        <v>650</v>
      </c>
      <c r="W349" s="2" t="s">
        <v>176</v>
      </c>
      <c r="X349" s="2" t="s">
        <v>2932</v>
      </c>
      <c r="Y349" s="2" t="s">
        <v>2933</v>
      </c>
      <c r="Z349" s="2">
        <v>86575232</v>
      </c>
      <c r="AA349" s="2" t="s">
        <v>2934</v>
      </c>
      <c r="AB349" s="2" t="s">
        <v>642</v>
      </c>
      <c r="AC349" s="2" t="s">
        <v>632</v>
      </c>
      <c r="AD349" s="2">
        <v>86575232</v>
      </c>
      <c r="AE349" s="2">
        <v>76111476</v>
      </c>
      <c r="AJ349" s="2">
        <v>86575232</v>
      </c>
      <c r="AK349" s="2">
        <v>3</v>
      </c>
      <c r="AL349" s="2" t="s">
        <v>633</v>
      </c>
      <c r="AM349" s="2">
        <v>0</v>
      </c>
      <c r="AN349" s="2">
        <v>0</v>
      </c>
      <c r="AO349" s="2">
        <v>1</v>
      </c>
      <c r="AP349" s="2">
        <v>0</v>
      </c>
      <c r="AQ349" s="2">
        <v>0</v>
      </c>
      <c r="AR349" s="2">
        <v>0</v>
      </c>
      <c r="AS349" s="2">
        <v>0</v>
      </c>
      <c r="AT349" s="2">
        <v>0</v>
      </c>
      <c r="AZ349" s="2" t="s">
        <v>2935</v>
      </c>
      <c r="BA349" s="2" t="s">
        <v>2936</v>
      </c>
      <c r="BB349" s="2" t="str">
        <f>+PROPER(BD[[#This Row],[PRIMER_APELLIDO]])</f>
        <v>Andino</v>
      </c>
    </row>
    <row r="350" spans="1:54" x14ac:dyDescent="0.25">
      <c r="A350" s="2">
        <v>349</v>
      </c>
      <c r="B350" s="2">
        <v>54444</v>
      </c>
      <c r="C350" s="2" t="s">
        <v>619</v>
      </c>
      <c r="D350" s="2" t="s">
        <v>620</v>
      </c>
      <c r="E350" s="2" t="s">
        <v>2937</v>
      </c>
      <c r="G350" s="3">
        <v>36.219178082191782</v>
      </c>
      <c r="H350" s="2" t="s">
        <v>622</v>
      </c>
      <c r="I350" s="2" t="s">
        <v>2938</v>
      </c>
      <c r="J350" s="2" t="str">
        <f>+IF(BD[[#This Row],[DEPARTAMENTO_INSS]]="MANAGUA","_01_","_02_")</f>
        <v>_02_</v>
      </c>
      <c r="K350" s="2" t="str">
        <f>+CONCATENATE(BD[[#This Row],[Columna3]],BD[[#This Row],[Columna4]],BD[[#This Row],[NOMBRE COMPLETO]])</f>
        <v>E003_02_HARVYN DANIEL OBANDO QUIÑONEZ</v>
      </c>
      <c r="L350" s="2" t="s">
        <v>2939</v>
      </c>
      <c r="M350" s="2" t="s">
        <v>2175</v>
      </c>
      <c r="N350" s="2" t="s">
        <v>79</v>
      </c>
      <c r="O350" s="2" t="s">
        <v>2940</v>
      </c>
      <c r="P350" s="2" t="s">
        <v>649</v>
      </c>
      <c r="Q350" s="2" t="s">
        <v>351</v>
      </c>
      <c r="R350" s="2">
        <v>31576</v>
      </c>
      <c r="S350" s="2">
        <v>31576</v>
      </c>
      <c r="T350" s="2" t="s">
        <v>176</v>
      </c>
      <c r="U350" s="2" t="s">
        <v>176</v>
      </c>
      <c r="V350" s="2" t="s">
        <v>897</v>
      </c>
      <c r="W350" s="2" t="s">
        <v>897</v>
      </c>
      <c r="X350" s="2" t="s">
        <v>2941</v>
      </c>
      <c r="Y350" s="2" t="s">
        <v>2942</v>
      </c>
      <c r="AA350" s="2">
        <v>86590477</v>
      </c>
      <c r="AB350" s="2" t="s">
        <v>654</v>
      </c>
      <c r="AC350" s="2" t="s">
        <v>632</v>
      </c>
      <c r="AD350" s="2">
        <v>86590477</v>
      </c>
      <c r="AJ350" s="2">
        <v>86590477</v>
      </c>
      <c r="AK350" s="2">
        <v>1</v>
      </c>
      <c r="AL350" s="2" t="s">
        <v>633</v>
      </c>
      <c r="AM350" s="2">
        <v>0</v>
      </c>
      <c r="AN350" s="2">
        <v>0</v>
      </c>
      <c r="AO350" s="2">
        <v>1</v>
      </c>
      <c r="AP350" s="2">
        <v>0</v>
      </c>
      <c r="AQ350" s="2">
        <v>0</v>
      </c>
      <c r="AR350" s="2">
        <v>0</v>
      </c>
      <c r="AS350" s="2">
        <v>0</v>
      </c>
      <c r="AT350" s="2">
        <v>0</v>
      </c>
      <c r="BB350" s="2" t="str">
        <f>+PROPER(BD[[#This Row],[PRIMER_APELLIDO]])</f>
        <v>Obando</v>
      </c>
    </row>
    <row r="351" spans="1:54" x14ac:dyDescent="0.25">
      <c r="A351" s="2">
        <v>350</v>
      </c>
      <c r="B351" s="2">
        <v>43165</v>
      </c>
      <c r="C351" s="2" t="s">
        <v>619</v>
      </c>
      <c r="D351" s="2" t="s">
        <v>620</v>
      </c>
      <c r="E351" s="2" t="s">
        <v>2943</v>
      </c>
      <c r="F351" s="2">
        <v>24237262</v>
      </c>
      <c r="G351" s="3">
        <v>36.221917808219175</v>
      </c>
      <c r="H351" s="2" t="s">
        <v>622</v>
      </c>
      <c r="I351" s="2" t="s">
        <v>2944</v>
      </c>
      <c r="J351" s="2" t="str">
        <f>+IF(BD[[#This Row],[DEPARTAMENTO_INSS]]="MANAGUA","_01_","_02_")</f>
        <v>_02_</v>
      </c>
      <c r="K351" s="2" t="str">
        <f>+CONCATENATE(BD[[#This Row],[Columna3]],BD[[#This Row],[Columna4]],BD[[#This Row],[NOMBRE COMPLETO]])</f>
        <v>E003_02_JUAN ANTONIO GAMBOA SANCHEZ</v>
      </c>
      <c r="L351" s="2" t="s">
        <v>825</v>
      </c>
      <c r="M351" s="2" t="s">
        <v>904</v>
      </c>
      <c r="N351" s="2" t="s">
        <v>259</v>
      </c>
      <c r="O351" s="2" t="s">
        <v>90</v>
      </c>
      <c r="P351" s="2" t="s">
        <v>649</v>
      </c>
      <c r="Q351" s="2" t="s">
        <v>351</v>
      </c>
      <c r="R351" s="2">
        <v>31575</v>
      </c>
      <c r="S351" s="2">
        <v>31575</v>
      </c>
      <c r="T351" s="2" t="s">
        <v>732</v>
      </c>
      <c r="U351" s="2" t="s">
        <v>732</v>
      </c>
      <c r="V351" s="2" t="s">
        <v>732</v>
      </c>
      <c r="W351" s="2" t="s">
        <v>732</v>
      </c>
      <c r="X351" s="2" t="s">
        <v>2945</v>
      </c>
      <c r="Y351" s="2" t="s">
        <v>2946</v>
      </c>
      <c r="Z351" s="2">
        <v>82572143</v>
      </c>
      <c r="AA351" s="2">
        <v>82572143</v>
      </c>
      <c r="AB351" s="2" t="s">
        <v>654</v>
      </c>
      <c r="AC351" s="2" t="s">
        <v>632</v>
      </c>
      <c r="AD351" s="2">
        <v>82572143</v>
      </c>
      <c r="AJ351" s="2">
        <v>82572143</v>
      </c>
      <c r="AK351" s="2">
        <v>2</v>
      </c>
      <c r="AL351" s="2" t="s">
        <v>633</v>
      </c>
      <c r="AM351" s="2">
        <v>0</v>
      </c>
      <c r="AN351" s="2">
        <v>0</v>
      </c>
      <c r="AO351" s="2">
        <v>1</v>
      </c>
      <c r="AP351" s="2">
        <v>0</v>
      </c>
      <c r="AQ351" s="2">
        <v>0</v>
      </c>
      <c r="AR351" s="2">
        <v>0</v>
      </c>
      <c r="AS351" s="2">
        <v>0</v>
      </c>
      <c r="AT351" s="2">
        <v>0</v>
      </c>
      <c r="AZ351" s="2" t="s">
        <v>2947</v>
      </c>
      <c r="BB351" s="2" t="str">
        <f>+PROPER(BD[[#This Row],[PRIMER_APELLIDO]])</f>
        <v>Gamboa</v>
      </c>
    </row>
    <row r="352" spans="1:54" x14ac:dyDescent="0.25">
      <c r="A352" s="2">
        <v>351</v>
      </c>
      <c r="B352" s="2">
        <v>39021</v>
      </c>
      <c r="C352" s="2" t="s">
        <v>619</v>
      </c>
      <c r="D352" s="2" t="s">
        <v>620</v>
      </c>
      <c r="E352" s="2" t="s">
        <v>2948</v>
      </c>
      <c r="F352" s="2">
        <v>23104000</v>
      </c>
      <c r="G352" s="3">
        <v>36.227397260273975</v>
      </c>
      <c r="H352" s="2" t="s">
        <v>622</v>
      </c>
      <c r="I352" s="2" t="s">
        <v>2949</v>
      </c>
      <c r="J352" s="2" t="str">
        <f>+IF(BD[[#This Row],[DEPARTAMENTO_INSS]]="MANAGUA","_01_","_02_")</f>
        <v>_01_</v>
      </c>
      <c r="K352" s="2" t="str">
        <f>+CONCATENATE(BD[[#This Row],[Columna3]],BD[[#This Row],[Columna4]],BD[[#This Row],[NOMBRE COMPLETO]])</f>
        <v>E003_01_CARMEN EUGENIA ARANA GALO</v>
      </c>
      <c r="L352" s="2" t="s">
        <v>1241</v>
      </c>
      <c r="M352" s="2" t="s">
        <v>2662</v>
      </c>
      <c r="N352" s="2" t="s">
        <v>40</v>
      </c>
      <c r="O352" s="2" t="s">
        <v>2950</v>
      </c>
      <c r="P352" s="2" t="s">
        <v>626</v>
      </c>
      <c r="Q352" s="2" t="s">
        <v>351</v>
      </c>
      <c r="R352" s="2">
        <v>31573</v>
      </c>
      <c r="S352" s="2">
        <v>31573</v>
      </c>
      <c r="T352" s="2" t="s">
        <v>627</v>
      </c>
      <c r="U352" s="2" t="s">
        <v>627</v>
      </c>
      <c r="V352" s="2" t="s">
        <v>627</v>
      </c>
      <c r="W352" s="2" t="s">
        <v>627</v>
      </c>
      <c r="X352" s="2" t="s">
        <v>2951</v>
      </c>
      <c r="Y352" s="2" t="s">
        <v>2952</v>
      </c>
      <c r="AA352" s="2" t="s">
        <v>2953</v>
      </c>
      <c r="AB352" s="2" t="s">
        <v>642</v>
      </c>
      <c r="AC352" s="2" t="s">
        <v>632</v>
      </c>
      <c r="AE352" s="2">
        <v>81892416</v>
      </c>
      <c r="AH352" s="2">
        <v>89561067</v>
      </c>
      <c r="AI352" s="2">
        <v>87475274</v>
      </c>
      <c r="AJ352" s="2">
        <v>81892416</v>
      </c>
      <c r="AK352" s="2">
        <v>4</v>
      </c>
      <c r="AL352" s="2" t="s">
        <v>633</v>
      </c>
      <c r="AM352" s="2">
        <v>0</v>
      </c>
      <c r="AN352" s="2">
        <v>0</v>
      </c>
      <c r="AO352" s="2">
        <v>1</v>
      </c>
      <c r="AP352" s="2">
        <v>0</v>
      </c>
      <c r="AQ352" s="2">
        <v>0</v>
      </c>
      <c r="AR352" s="2">
        <v>0</v>
      </c>
      <c r="AS352" s="2">
        <v>0</v>
      </c>
      <c r="AT352" s="2">
        <v>0</v>
      </c>
      <c r="BB352" s="2" t="str">
        <f>+PROPER(BD[[#This Row],[PRIMER_APELLIDO]])</f>
        <v>Arana</v>
      </c>
    </row>
    <row r="353" spans="1:54" x14ac:dyDescent="0.25">
      <c r="A353" s="2">
        <v>352</v>
      </c>
      <c r="B353" s="2">
        <v>58221</v>
      </c>
      <c r="C353" s="2" t="s">
        <v>619</v>
      </c>
      <c r="D353" s="2" t="s">
        <v>620</v>
      </c>
      <c r="E353" s="2" t="s">
        <v>2954</v>
      </c>
      <c r="G353" s="3">
        <v>36.230136986301368</v>
      </c>
      <c r="H353" s="2" t="s">
        <v>622</v>
      </c>
      <c r="I353" s="2" t="s">
        <v>2955</v>
      </c>
      <c r="J353" s="2" t="str">
        <f>+IF(BD[[#This Row],[DEPARTAMENTO_INSS]]="MANAGUA","_01_","_02_")</f>
        <v>_02_</v>
      </c>
      <c r="K353" s="2" t="str">
        <f>+CONCATENATE(BD[[#This Row],[Columna3]],BD[[#This Row],[Columna4]],BD[[#This Row],[NOMBRE COMPLETO]])</f>
        <v>E003_02_ISIS NAIN HERRERA OCHOA</v>
      </c>
      <c r="L353" s="2" t="s">
        <v>2956</v>
      </c>
      <c r="M353" s="2" t="s">
        <v>1901</v>
      </c>
      <c r="N353" s="2" t="s">
        <v>179</v>
      </c>
      <c r="O353" s="2" t="s">
        <v>391</v>
      </c>
      <c r="P353" s="2" t="s">
        <v>626</v>
      </c>
      <c r="Q353" s="2" t="s">
        <v>351</v>
      </c>
      <c r="R353" s="2">
        <v>31572</v>
      </c>
      <c r="S353" s="2">
        <v>31572</v>
      </c>
      <c r="T353" s="2" t="s">
        <v>133</v>
      </c>
      <c r="U353" s="2" t="s">
        <v>133</v>
      </c>
      <c r="V353" s="2" t="s">
        <v>841</v>
      </c>
      <c r="W353" s="2" t="s">
        <v>841</v>
      </c>
      <c r="X353" s="2" t="s">
        <v>2957</v>
      </c>
      <c r="Y353" s="2" t="s">
        <v>2958</v>
      </c>
      <c r="Z353" s="2">
        <v>87360358</v>
      </c>
      <c r="AA353" s="2">
        <v>87360358</v>
      </c>
      <c r="AB353" s="2" t="s">
        <v>642</v>
      </c>
      <c r="AC353" s="2" t="s">
        <v>632</v>
      </c>
      <c r="AD353" s="2">
        <v>87360358</v>
      </c>
      <c r="AJ353" s="2">
        <v>87360358</v>
      </c>
      <c r="AK353" s="2">
        <v>2</v>
      </c>
      <c r="AL353" s="2" t="s">
        <v>633</v>
      </c>
      <c r="AM353" s="2">
        <v>0</v>
      </c>
      <c r="AN353" s="2">
        <v>0</v>
      </c>
      <c r="AO353" s="2">
        <v>1</v>
      </c>
      <c r="AP353" s="2">
        <v>0</v>
      </c>
      <c r="AQ353" s="2">
        <v>0</v>
      </c>
      <c r="AR353" s="2">
        <v>0</v>
      </c>
      <c r="AS353" s="2">
        <v>0</v>
      </c>
      <c r="AT353" s="2">
        <v>0</v>
      </c>
      <c r="BB353" s="2" t="str">
        <f>+PROPER(BD[[#This Row],[PRIMER_APELLIDO]])</f>
        <v>Herrera</v>
      </c>
    </row>
    <row r="354" spans="1:54" x14ac:dyDescent="0.25">
      <c r="A354" s="2">
        <v>353</v>
      </c>
      <c r="B354" s="2">
        <v>67659</v>
      </c>
      <c r="C354" s="2" t="s">
        <v>619</v>
      </c>
      <c r="D354" s="2" t="s">
        <v>620</v>
      </c>
      <c r="E354" s="2" t="s">
        <v>2959</v>
      </c>
      <c r="G354" s="3">
        <v>36.232876712328768</v>
      </c>
      <c r="H354" s="2" t="s">
        <v>622</v>
      </c>
      <c r="I354" s="2" t="s">
        <v>2960</v>
      </c>
      <c r="J354" s="2" t="str">
        <f>+IF(BD[[#This Row],[DEPARTAMENTO_INSS]]="MANAGUA","_01_","_02_")</f>
        <v>_02_</v>
      </c>
      <c r="K354" s="2" t="str">
        <f>+CONCATENATE(BD[[#This Row],[Columna3]],BD[[#This Row],[Columna4]],BD[[#This Row],[NOMBRE COMPLETO]])</f>
        <v>E003_02_JENNIFER DOLORES REYES BLANCO</v>
      </c>
      <c r="L354" s="2" t="s">
        <v>2961</v>
      </c>
      <c r="M354" s="2" t="s">
        <v>891</v>
      </c>
      <c r="N354" s="2" t="s">
        <v>74</v>
      </c>
      <c r="O354" s="2" t="s">
        <v>28</v>
      </c>
      <c r="P354" s="2" t="s">
        <v>626</v>
      </c>
      <c r="Q354" s="2" t="s">
        <v>351</v>
      </c>
      <c r="R354" s="2">
        <v>31571</v>
      </c>
      <c r="S354" s="2">
        <v>31571</v>
      </c>
      <c r="T354" s="2" t="s">
        <v>691</v>
      </c>
      <c r="U354" s="2" t="s">
        <v>740</v>
      </c>
      <c r="V354" s="2" t="s">
        <v>716</v>
      </c>
      <c r="W354" s="2" t="s">
        <v>1334</v>
      </c>
      <c r="X354" s="2" t="s">
        <v>2962</v>
      </c>
      <c r="Y354" s="2" t="s">
        <v>2963</v>
      </c>
      <c r="Z354" s="2">
        <v>87922112</v>
      </c>
      <c r="AA354" s="2">
        <v>87922112</v>
      </c>
      <c r="AB354" s="2" t="s">
        <v>654</v>
      </c>
      <c r="AC354" s="2" t="s">
        <v>632</v>
      </c>
      <c r="AD354" s="2">
        <v>87922112</v>
      </c>
      <c r="AJ354" s="2">
        <v>87922112</v>
      </c>
      <c r="AK354" s="2">
        <v>2</v>
      </c>
      <c r="AL354" s="2" t="s">
        <v>633</v>
      </c>
      <c r="AM354" s="2">
        <v>0</v>
      </c>
      <c r="AN354" s="2">
        <v>0</v>
      </c>
      <c r="AO354" s="2">
        <v>1</v>
      </c>
      <c r="AP354" s="2">
        <v>0</v>
      </c>
      <c r="AQ354" s="2">
        <v>0</v>
      </c>
      <c r="AR354" s="2">
        <v>0</v>
      </c>
      <c r="AS354" s="2">
        <v>0</v>
      </c>
      <c r="AT354" s="2">
        <v>0</v>
      </c>
      <c r="AZ354" s="2" t="s">
        <v>2964</v>
      </c>
      <c r="BB354" s="2" t="str">
        <f>+PROPER(BD[[#This Row],[PRIMER_APELLIDO]])</f>
        <v>Reyes</v>
      </c>
    </row>
    <row r="355" spans="1:54" x14ac:dyDescent="0.25">
      <c r="A355" s="2">
        <v>354</v>
      </c>
      <c r="B355" s="2">
        <v>52348</v>
      </c>
      <c r="C355" s="2" t="s">
        <v>619</v>
      </c>
      <c r="D355" s="2" t="s">
        <v>620</v>
      </c>
      <c r="E355" s="2" t="s">
        <v>2965</v>
      </c>
      <c r="G355" s="3">
        <v>36.235616438356168</v>
      </c>
      <c r="H355" s="2" t="s">
        <v>622</v>
      </c>
      <c r="I355" s="2" t="s">
        <v>2966</v>
      </c>
      <c r="J355" s="2" t="str">
        <f>+IF(BD[[#This Row],[DEPARTAMENTO_INSS]]="MANAGUA","_01_","_02_")</f>
        <v>_02_</v>
      </c>
      <c r="K355" s="2" t="str">
        <f>+CONCATENATE(BD[[#This Row],[Columna3]],BD[[#This Row],[Columna4]],BD[[#This Row],[NOMBRE COMPLETO]])</f>
        <v>E003_02_ENMANUEL ANTONIO VALLEJOS ROJAS</v>
      </c>
      <c r="L355" s="2" t="s">
        <v>2010</v>
      </c>
      <c r="M355" s="2" t="s">
        <v>904</v>
      </c>
      <c r="N355" s="2" t="s">
        <v>102</v>
      </c>
      <c r="O355" s="2" t="s">
        <v>105</v>
      </c>
      <c r="P355" s="2" t="s">
        <v>649</v>
      </c>
      <c r="Q355" s="2" t="s">
        <v>351</v>
      </c>
      <c r="R355" s="2">
        <v>31570</v>
      </c>
      <c r="S355" s="2">
        <v>31570</v>
      </c>
      <c r="T355" s="2" t="s">
        <v>176</v>
      </c>
      <c r="U355" s="2" t="s">
        <v>176</v>
      </c>
      <c r="V355" s="2" t="s">
        <v>2967</v>
      </c>
      <c r="W355" s="2" t="s">
        <v>1796</v>
      </c>
      <c r="X355" s="2" t="s">
        <v>2968</v>
      </c>
      <c r="Y355" s="2" t="s">
        <v>2969</v>
      </c>
      <c r="Z355" s="2">
        <v>82085632</v>
      </c>
      <c r="AA355" s="2">
        <v>82085632</v>
      </c>
      <c r="AB355" s="2" t="s">
        <v>798</v>
      </c>
      <c r="AC355" s="2" t="s">
        <v>632</v>
      </c>
      <c r="AD355" s="2">
        <v>82085632</v>
      </c>
      <c r="AJ355" s="2">
        <v>82085632</v>
      </c>
      <c r="AK355" s="2">
        <v>2</v>
      </c>
      <c r="AL355" s="2" t="s">
        <v>633</v>
      </c>
      <c r="AM355" s="2">
        <v>0</v>
      </c>
      <c r="AN355" s="2">
        <v>0</v>
      </c>
      <c r="AO355" s="2">
        <v>1</v>
      </c>
      <c r="AP355" s="2">
        <v>0</v>
      </c>
      <c r="AQ355" s="2">
        <v>0</v>
      </c>
      <c r="AR355" s="2">
        <v>0</v>
      </c>
      <c r="AS355" s="2">
        <v>0</v>
      </c>
      <c r="AT355" s="2">
        <v>0</v>
      </c>
      <c r="BB355" s="2" t="str">
        <f>+PROPER(BD[[#This Row],[PRIMER_APELLIDO]])</f>
        <v>Vallejos</v>
      </c>
    </row>
    <row r="356" spans="1:54" x14ac:dyDescent="0.25">
      <c r="A356" s="2">
        <v>355</v>
      </c>
      <c r="B356" s="2">
        <v>46837</v>
      </c>
      <c r="C356" s="2" t="s">
        <v>619</v>
      </c>
      <c r="D356" s="2" t="s">
        <v>620</v>
      </c>
      <c r="E356" s="2" t="s">
        <v>2970</v>
      </c>
      <c r="F356" s="2">
        <v>30832576</v>
      </c>
      <c r="G356" s="3">
        <v>36.241095890410961</v>
      </c>
      <c r="H356" s="2" t="s">
        <v>622</v>
      </c>
      <c r="I356" s="2" t="s">
        <v>2971</v>
      </c>
      <c r="J356" s="2" t="str">
        <f>+IF(BD[[#This Row],[DEPARTAMENTO_INSS]]="MANAGUA","_01_","_02_")</f>
        <v>_02_</v>
      </c>
      <c r="K356" s="2" t="str">
        <f>+CONCATENATE(BD[[#This Row],[Columna3]],BD[[#This Row],[Columna4]],BD[[#This Row],[NOMBRE COMPLETO]])</f>
        <v>E003_02_MARIA JOSE ALTAMIRANO SOLIS</v>
      </c>
      <c r="L356" s="2" t="s">
        <v>724</v>
      </c>
      <c r="M356" s="2" t="s">
        <v>243</v>
      </c>
      <c r="N356" s="2" t="s">
        <v>73</v>
      </c>
      <c r="O356" s="2" t="s">
        <v>111</v>
      </c>
      <c r="P356" s="2" t="s">
        <v>626</v>
      </c>
      <c r="Q356" s="2" t="s">
        <v>351</v>
      </c>
      <c r="R356" s="2">
        <v>31568</v>
      </c>
      <c r="S356" s="2">
        <v>31568</v>
      </c>
      <c r="T356" s="2" t="s">
        <v>186</v>
      </c>
      <c r="U356" s="2" t="s">
        <v>186</v>
      </c>
      <c r="V356" s="2" t="s">
        <v>186</v>
      </c>
      <c r="W356" s="2" t="s">
        <v>186</v>
      </c>
      <c r="X356" s="2" t="s">
        <v>2972</v>
      </c>
      <c r="Y356" s="2" t="s">
        <v>2973</v>
      </c>
      <c r="Z356" s="2">
        <v>78681111</v>
      </c>
      <c r="AA356" s="2">
        <v>86540646</v>
      </c>
      <c r="AB356" s="2" t="s">
        <v>631</v>
      </c>
      <c r="AC356" s="2" t="s">
        <v>632</v>
      </c>
      <c r="AD356" s="2">
        <v>78681111</v>
      </c>
      <c r="AF356" s="2">
        <v>86540646</v>
      </c>
      <c r="AJ356" s="2">
        <v>78681111</v>
      </c>
      <c r="AK356" s="2">
        <v>2</v>
      </c>
      <c r="AL356" s="2" t="s">
        <v>633</v>
      </c>
      <c r="AM356" s="2">
        <v>0</v>
      </c>
      <c r="AN356" s="2">
        <v>0</v>
      </c>
      <c r="AO356" s="2">
        <v>1</v>
      </c>
      <c r="AP356" s="2">
        <v>0</v>
      </c>
      <c r="AQ356" s="2">
        <v>0</v>
      </c>
      <c r="AR356" s="2">
        <v>0</v>
      </c>
      <c r="AS356" s="2">
        <v>0</v>
      </c>
      <c r="AT356" s="2">
        <v>0</v>
      </c>
      <c r="AZ356" s="2" t="s">
        <v>2974</v>
      </c>
      <c r="BA356" s="2" t="s">
        <v>2975</v>
      </c>
      <c r="BB356" s="2" t="str">
        <f>+PROPER(BD[[#This Row],[PRIMER_APELLIDO]])</f>
        <v>Altamirano</v>
      </c>
    </row>
    <row r="357" spans="1:54" x14ac:dyDescent="0.25">
      <c r="A357" s="2">
        <v>356</v>
      </c>
      <c r="B357" s="2">
        <v>58027</v>
      </c>
      <c r="C357" s="2" t="s">
        <v>619</v>
      </c>
      <c r="D357" s="2" t="s">
        <v>620</v>
      </c>
      <c r="E357" s="2" t="s">
        <v>2976</v>
      </c>
      <c r="G357" s="3">
        <v>36.249315068493154</v>
      </c>
      <c r="H357" s="2" t="s">
        <v>622</v>
      </c>
      <c r="I357" s="2" t="s">
        <v>2977</v>
      </c>
      <c r="J357" s="2" t="str">
        <f>+IF(BD[[#This Row],[DEPARTAMENTO_INSS]]="MANAGUA","_01_","_02_")</f>
        <v>_02_</v>
      </c>
      <c r="K357" s="2" t="str">
        <f>+CONCATENATE(BD[[#This Row],[Columna3]],BD[[#This Row],[Columna4]],BD[[#This Row],[NOMBRE COMPLETO]])</f>
        <v>E003_02_DAYRA DEL CARMEN BALTODANO SOTELO</v>
      </c>
      <c r="L357" s="2" t="s">
        <v>2978</v>
      </c>
      <c r="M357" s="2" t="s">
        <v>961</v>
      </c>
      <c r="N357" s="2" t="s">
        <v>112</v>
      </c>
      <c r="O357" s="2" t="s">
        <v>2979</v>
      </c>
      <c r="P357" s="2" t="s">
        <v>626</v>
      </c>
      <c r="Q357" s="2" t="s">
        <v>351</v>
      </c>
      <c r="R357" s="2">
        <v>31565</v>
      </c>
      <c r="S357" s="2">
        <v>31565</v>
      </c>
      <c r="T357" s="2" t="s">
        <v>732</v>
      </c>
      <c r="U357" s="2" t="s">
        <v>732</v>
      </c>
      <c r="V357" s="2" t="s">
        <v>1321</v>
      </c>
      <c r="W357" s="2" t="s">
        <v>1321</v>
      </c>
      <c r="X357" s="2" t="s">
        <v>2980</v>
      </c>
      <c r="Y357" s="2" t="s">
        <v>2981</v>
      </c>
      <c r="Z357" s="2">
        <v>57006473</v>
      </c>
      <c r="AB357" s="2" t="s">
        <v>798</v>
      </c>
      <c r="AC357" s="2" t="s">
        <v>632</v>
      </c>
      <c r="AD357" s="2">
        <v>57006473</v>
      </c>
      <c r="AJ357" s="2">
        <v>57006473</v>
      </c>
      <c r="AK357" s="2">
        <v>1</v>
      </c>
      <c r="AL357" s="2" t="s">
        <v>633</v>
      </c>
      <c r="AM357" s="2">
        <v>0</v>
      </c>
      <c r="AN357" s="2">
        <v>0</v>
      </c>
      <c r="AO357" s="2">
        <v>1</v>
      </c>
      <c r="AP357" s="2">
        <v>0</v>
      </c>
      <c r="AQ357" s="2">
        <v>0</v>
      </c>
      <c r="AR357" s="2">
        <v>0</v>
      </c>
      <c r="AS357" s="2">
        <v>0</v>
      </c>
      <c r="AT357" s="2">
        <v>0</v>
      </c>
      <c r="BB357" s="2" t="str">
        <f>+PROPER(BD[[#This Row],[PRIMER_APELLIDO]])</f>
        <v>Baltodano</v>
      </c>
    </row>
    <row r="358" spans="1:54" x14ac:dyDescent="0.25">
      <c r="A358" s="2">
        <v>357</v>
      </c>
      <c r="B358" s="2">
        <v>47734</v>
      </c>
      <c r="C358" s="2" t="s">
        <v>619</v>
      </c>
      <c r="D358" s="2" t="s">
        <v>620</v>
      </c>
      <c r="E358" s="2" t="s">
        <v>2982</v>
      </c>
      <c r="F358" s="2">
        <v>25022841</v>
      </c>
      <c r="G358" s="3">
        <v>36.265753424657532</v>
      </c>
      <c r="H358" s="2" t="s">
        <v>622</v>
      </c>
      <c r="I358" s="2" t="s">
        <v>2983</v>
      </c>
      <c r="J358" s="2" t="str">
        <f>+IF(BD[[#This Row],[DEPARTAMENTO_INSS]]="MANAGUA","_01_","_02_")</f>
        <v>_02_</v>
      </c>
      <c r="K358" s="2" t="str">
        <f>+CONCATENATE(BD[[#This Row],[Columna3]],BD[[#This Row],[Columna4]],BD[[#This Row],[NOMBRE COMPLETO]])</f>
        <v>E003_02_ELIMAR SOBALVARRO CRUZ</v>
      </c>
      <c r="L358" s="2" t="s">
        <v>2984</v>
      </c>
      <c r="N358" s="2" t="s">
        <v>144</v>
      </c>
      <c r="O358" s="2" t="s">
        <v>32</v>
      </c>
      <c r="P358" s="2" t="s">
        <v>626</v>
      </c>
      <c r="Q358" s="2" t="s">
        <v>351</v>
      </c>
      <c r="R358" s="2">
        <v>31559</v>
      </c>
      <c r="S358" s="2">
        <v>31559</v>
      </c>
      <c r="T358" s="2" t="s">
        <v>1044</v>
      </c>
      <c r="U358" s="2" t="s">
        <v>1191</v>
      </c>
      <c r="V358" s="2" t="s">
        <v>1045</v>
      </c>
      <c r="W358" s="2" t="s">
        <v>1300</v>
      </c>
      <c r="X358" s="2" t="s">
        <v>2985</v>
      </c>
      <c r="Y358" s="2" t="s">
        <v>2986</v>
      </c>
      <c r="Z358" s="2">
        <v>86293260</v>
      </c>
      <c r="AB358" s="2" t="s">
        <v>631</v>
      </c>
      <c r="AC358" s="2" t="s">
        <v>632</v>
      </c>
      <c r="AD358" s="2">
        <v>86293260</v>
      </c>
      <c r="AJ358" s="2">
        <v>86293260</v>
      </c>
      <c r="AK358" s="2">
        <v>1</v>
      </c>
      <c r="AL358" s="2" t="s">
        <v>633</v>
      </c>
      <c r="AM358" s="2">
        <v>0</v>
      </c>
      <c r="AN358" s="2">
        <v>0</v>
      </c>
      <c r="AO358" s="2">
        <v>1</v>
      </c>
      <c r="AP358" s="2">
        <v>0</v>
      </c>
      <c r="AQ358" s="2">
        <v>0</v>
      </c>
      <c r="AR358" s="2">
        <v>0</v>
      </c>
      <c r="AS358" s="2">
        <v>0</v>
      </c>
      <c r="AT358" s="2">
        <v>0</v>
      </c>
      <c r="AZ358" s="2" t="s">
        <v>2987</v>
      </c>
      <c r="BB358" s="2" t="str">
        <f>+PROPER(BD[[#This Row],[PRIMER_APELLIDO]])</f>
        <v>Sobalvarro</v>
      </c>
    </row>
    <row r="359" spans="1:54" x14ac:dyDescent="0.25">
      <c r="A359" s="2">
        <v>358</v>
      </c>
      <c r="B359" s="2">
        <v>61642</v>
      </c>
      <c r="C359" s="2" t="s">
        <v>619</v>
      </c>
      <c r="D359" s="2" t="s">
        <v>620</v>
      </c>
      <c r="E359" s="2" t="s">
        <v>2988</v>
      </c>
      <c r="G359" s="3">
        <v>36.268493150684932</v>
      </c>
      <c r="H359" s="2" t="s">
        <v>622</v>
      </c>
      <c r="I359" s="2" t="s">
        <v>2989</v>
      </c>
      <c r="J359" s="2" t="str">
        <f>+IF(BD[[#This Row],[DEPARTAMENTO_INSS]]="MANAGUA","_01_","_02_")</f>
        <v>_01_</v>
      </c>
      <c r="K359" s="2" t="str">
        <f>+CONCATENATE(BD[[#This Row],[Columna3]],BD[[#This Row],[Columna4]],BD[[#This Row],[NOMBRE COMPLETO]])</f>
        <v>E003_01_SERGIO EZEQUIEL MOLINA HERRERA</v>
      </c>
      <c r="L359" s="2" t="s">
        <v>2071</v>
      </c>
      <c r="M359" s="2" t="s">
        <v>854</v>
      </c>
      <c r="N359" s="2" t="s">
        <v>63</v>
      </c>
      <c r="O359" s="2" t="s">
        <v>179</v>
      </c>
      <c r="P359" s="2" t="s">
        <v>649</v>
      </c>
      <c r="Q359" s="2" t="s">
        <v>351</v>
      </c>
      <c r="R359" s="2">
        <v>31558</v>
      </c>
      <c r="S359" s="2">
        <v>31558</v>
      </c>
      <c r="T359" s="2" t="s">
        <v>627</v>
      </c>
      <c r="U359" s="2" t="s">
        <v>627</v>
      </c>
      <c r="V359" s="2" t="s">
        <v>2915</v>
      </c>
      <c r="W359" s="2" t="s">
        <v>2915</v>
      </c>
      <c r="X359" s="2" t="s">
        <v>2990</v>
      </c>
      <c r="Y359" s="2" t="s">
        <v>2991</v>
      </c>
      <c r="AA359" s="2" t="s">
        <v>2992</v>
      </c>
      <c r="AB359" s="2" t="s">
        <v>654</v>
      </c>
      <c r="AC359" s="2" t="s">
        <v>632</v>
      </c>
      <c r="AD359" s="2">
        <v>89737259</v>
      </c>
      <c r="AE359" s="2">
        <v>82342856</v>
      </c>
      <c r="AJ359" s="2">
        <v>89737259</v>
      </c>
      <c r="AK359" s="2">
        <v>2</v>
      </c>
      <c r="AL359" s="2" t="s">
        <v>633</v>
      </c>
      <c r="AM359" s="2">
        <v>0</v>
      </c>
      <c r="AN359" s="2">
        <v>0</v>
      </c>
      <c r="AO359" s="2">
        <v>1</v>
      </c>
      <c r="AP359" s="2">
        <v>0</v>
      </c>
      <c r="AQ359" s="2">
        <v>0</v>
      </c>
      <c r="AR359" s="2">
        <v>0</v>
      </c>
      <c r="AS359" s="2">
        <v>0</v>
      </c>
      <c r="AT359" s="2">
        <v>0</v>
      </c>
      <c r="BA359" s="2" t="s">
        <v>2993</v>
      </c>
      <c r="BB359" s="2" t="str">
        <f>+PROPER(BD[[#This Row],[PRIMER_APELLIDO]])</f>
        <v>Molina</v>
      </c>
    </row>
    <row r="360" spans="1:54" x14ac:dyDescent="0.25">
      <c r="A360" s="2">
        <v>359</v>
      </c>
      <c r="B360" s="2">
        <v>30476</v>
      </c>
      <c r="C360" s="2" t="s">
        <v>619</v>
      </c>
      <c r="D360" s="2" t="s">
        <v>620</v>
      </c>
      <c r="E360" s="2" t="s">
        <v>2994</v>
      </c>
      <c r="F360" s="2">
        <v>22208475</v>
      </c>
      <c r="G360" s="3">
        <v>36.276712328767125</v>
      </c>
      <c r="H360" s="2" t="s">
        <v>622</v>
      </c>
      <c r="I360" s="2" t="s">
        <v>2995</v>
      </c>
      <c r="J360" s="2" t="str">
        <f>+IF(BD[[#This Row],[DEPARTAMENTO_INSS]]="MANAGUA","_01_","_02_")</f>
        <v>_01_</v>
      </c>
      <c r="K360" s="2" t="str">
        <f>+CONCATENATE(BD[[#This Row],[Columna3]],BD[[#This Row],[Columna4]],BD[[#This Row],[NOMBRE COMPLETO]])</f>
        <v>E003_01_OMAR MOISES GARCÍA HERNANDEZ</v>
      </c>
      <c r="L360" s="2" t="s">
        <v>2996</v>
      </c>
      <c r="M360" s="2" t="s">
        <v>1512</v>
      </c>
      <c r="N360" s="2" t="s">
        <v>342</v>
      </c>
      <c r="O360" s="2" t="s">
        <v>11</v>
      </c>
      <c r="P360" s="2" t="s">
        <v>649</v>
      </c>
      <c r="Q360" s="2" t="s">
        <v>351</v>
      </c>
      <c r="R360" s="2">
        <v>31555</v>
      </c>
      <c r="S360" s="2">
        <v>31555</v>
      </c>
      <c r="T360" s="2" t="s">
        <v>627</v>
      </c>
      <c r="U360" s="2" t="s">
        <v>627</v>
      </c>
      <c r="V360" s="2" t="s">
        <v>627</v>
      </c>
      <c r="W360" s="2" t="s">
        <v>627</v>
      </c>
      <c r="X360" s="2" t="s">
        <v>2997</v>
      </c>
      <c r="Y360" s="2" t="s">
        <v>2998</v>
      </c>
      <c r="Z360" s="2">
        <v>85714629</v>
      </c>
      <c r="AA360" s="2">
        <v>85714629</v>
      </c>
      <c r="AB360" s="2" t="s">
        <v>654</v>
      </c>
      <c r="AC360" s="2" t="s">
        <v>632</v>
      </c>
      <c r="AD360" s="2">
        <v>85714629</v>
      </c>
      <c r="AJ360" s="2">
        <v>85714629</v>
      </c>
      <c r="AK360" s="2">
        <v>2</v>
      </c>
      <c r="AL360" s="2" t="s">
        <v>633</v>
      </c>
      <c r="AM360" s="2">
        <v>0</v>
      </c>
      <c r="AN360" s="2">
        <v>0</v>
      </c>
      <c r="AO360" s="2">
        <v>1</v>
      </c>
      <c r="AP360" s="2">
        <v>0</v>
      </c>
      <c r="AQ360" s="2">
        <v>0</v>
      </c>
      <c r="AR360" s="2">
        <v>0</v>
      </c>
      <c r="AS360" s="2">
        <v>0</v>
      </c>
      <c r="AT360" s="2">
        <v>0</v>
      </c>
      <c r="AZ360" s="2" t="s">
        <v>2999</v>
      </c>
      <c r="BB360" s="2" t="str">
        <f>+PROPER(BD[[#This Row],[PRIMER_APELLIDO]])</f>
        <v>García</v>
      </c>
    </row>
    <row r="361" spans="1:54" x14ac:dyDescent="0.25">
      <c r="A361" s="2">
        <v>360</v>
      </c>
      <c r="B361" s="2">
        <v>50233</v>
      </c>
      <c r="C361" s="2" t="s">
        <v>619</v>
      </c>
      <c r="D361" s="2" t="s">
        <v>620</v>
      </c>
      <c r="E361" s="2" t="s">
        <v>3000</v>
      </c>
      <c r="F361" s="2">
        <v>17499806</v>
      </c>
      <c r="G361" s="3">
        <v>36.276712328767125</v>
      </c>
      <c r="H361" s="2" t="s">
        <v>622</v>
      </c>
      <c r="I361" s="2" t="s">
        <v>3001</v>
      </c>
      <c r="J361" s="2" t="str">
        <f>+IF(BD[[#This Row],[DEPARTAMENTO_INSS]]="MANAGUA","_01_","_02_")</f>
        <v>_01_</v>
      </c>
      <c r="K361" s="2" t="str">
        <f>+CONCATENATE(BD[[#This Row],[Columna3]],BD[[#This Row],[Columna4]],BD[[#This Row],[NOMBRE COMPLETO]])</f>
        <v>E003_01_DOUGLAS DAVID VASQUEZ PEREIRA</v>
      </c>
      <c r="L361" s="2" t="s">
        <v>1603</v>
      </c>
      <c r="M361" s="2" t="s">
        <v>916</v>
      </c>
      <c r="N361" s="2" t="s">
        <v>52</v>
      </c>
      <c r="O361" s="2" t="s">
        <v>447</v>
      </c>
      <c r="P361" s="2" t="s">
        <v>649</v>
      </c>
      <c r="Q361" s="2" t="s">
        <v>351</v>
      </c>
      <c r="R361" s="2">
        <v>31555</v>
      </c>
      <c r="S361" s="2">
        <v>31555</v>
      </c>
      <c r="T361" s="2" t="s">
        <v>705</v>
      </c>
      <c r="U361" s="2" t="s">
        <v>627</v>
      </c>
      <c r="V361" s="2" t="s">
        <v>705</v>
      </c>
      <c r="W361" s="2" t="s">
        <v>627</v>
      </c>
      <c r="X361" s="2" t="s">
        <v>3002</v>
      </c>
      <c r="Y361" s="2" t="s">
        <v>3003</v>
      </c>
      <c r="AA361" s="2">
        <v>88779280</v>
      </c>
      <c r="AB361" s="2" t="s">
        <v>654</v>
      </c>
      <c r="AC361" s="2" t="s">
        <v>632</v>
      </c>
      <c r="AD361" s="2">
        <v>88779280</v>
      </c>
      <c r="AJ361" s="2">
        <v>88779280</v>
      </c>
      <c r="AK361" s="2">
        <v>1</v>
      </c>
      <c r="AL361" s="2" t="s">
        <v>633</v>
      </c>
      <c r="AM361" s="2">
        <v>0</v>
      </c>
      <c r="AN361" s="2">
        <v>0</v>
      </c>
      <c r="AO361" s="2">
        <v>1</v>
      </c>
      <c r="AP361" s="2">
        <v>0</v>
      </c>
      <c r="AQ361" s="2">
        <v>0</v>
      </c>
      <c r="AR361" s="2">
        <v>0</v>
      </c>
      <c r="AS361" s="2">
        <v>0</v>
      </c>
      <c r="AT361" s="2">
        <v>0</v>
      </c>
      <c r="BA361" s="2" t="s">
        <v>3004</v>
      </c>
      <c r="BB361" s="2" t="str">
        <f>+PROPER(BD[[#This Row],[PRIMER_APELLIDO]])</f>
        <v>Vasquez</v>
      </c>
    </row>
    <row r="362" spans="1:54" x14ac:dyDescent="0.25">
      <c r="A362" s="2">
        <v>361</v>
      </c>
      <c r="B362" s="2">
        <v>55643</v>
      </c>
      <c r="C362" s="2" t="s">
        <v>619</v>
      </c>
      <c r="D362" s="2" t="s">
        <v>620</v>
      </c>
      <c r="E362" s="2" t="s">
        <v>3005</v>
      </c>
      <c r="G362" s="3">
        <v>36.276712328767125</v>
      </c>
      <c r="H362" s="2" t="s">
        <v>622</v>
      </c>
      <c r="I362" s="2" t="s">
        <v>3006</v>
      </c>
      <c r="J362" s="2" t="str">
        <f>+IF(BD[[#This Row],[DEPARTAMENTO_INSS]]="MANAGUA","_01_","_02_")</f>
        <v>_01_</v>
      </c>
      <c r="K362" s="2" t="str">
        <f>+CONCATENATE(BD[[#This Row],[Columna3]],BD[[#This Row],[Columna4]],BD[[#This Row],[NOMBRE COMPLETO]])</f>
        <v>E003_01_OSMAN ALCIDES MARTINEZ SEQUEIRA</v>
      </c>
      <c r="L362" s="2" t="s">
        <v>3007</v>
      </c>
      <c r="M362" s="2" t="s">
        <v>3008</v>
      </c>
      <c r="N362" s="2" t="s">
        <v>44</v>
      </c>
      <c r="O362" s="2" t="s">
        <v>348</v>
      </c>
      <c r="P362" s="2" t="s">
        <v>649</v>
      </c>
      <c r="Q362" s="2" t="s">
        <v>351</v>
      </c>
      <c r="R362" s="2">
        <v>31555</v>
      </c>
      <c r="S362" s="2">
        <v>31555</v>
      </c>
      <c r="T362" s="2" t="s">
        <v>627</v>
      </c>
      <c r="U362" s="2" t="s">
        <v>627</v>
      </c>
      <c r="V362" s="2" t="s">
        <v>1498</v>
      </c>
      <c r="W362" s="2" t="s">
        <v>627</v>
      </c>
      <c r="X362" s="2" t="s">
        <v>3009</v>
      </c>
      <c r="Y362" s="2" t="s">
        <v>3010</v>
      </c>
      <c r="Z362" s="2" t="s">
        <v>3011</v>
      </c>
      <c r="AB362" s="2" t="s">
        <v>798</v>
      </c>
      <c r="AC362" s="2" t="s">
        <v>632</v>
      </c>
      <c r="AD362" s="2">
        <v>77305131</v>
      </c>
      <c r="AE362" s="2">
        <v>82161435</v>
      </c>
      <c r="AJ362" s="2">
        <v>77305131</v>
      </c>
      <c r="AK362" s="2">
        <v>2</v>
      </c>
      <c r="AL362" s="2" t="s">
        <v>633</v>
      </c>
      <c r="AM362" s="2">
        <v>0</v>
      </c>
      <c r="AN362" s="2">
        <v>0</v>
      </c>
      <c r="AO362" s="2">
        <v>1</v>
      </c>
      <c r="AP362" s="2">
        <v>0</v>
      </c>
      <c r="AQ362" s="2">
        <v>0</v>
      </c>
      <c r="AR362" s="2">
        <v>0</v>
      </c>
      <c r="AS362" s="2">
        <v>0</v>
      </c>
      <c r="AT362" s="2">
        <v>0</v>
      </c>
      <c r="AZ362" s="2" t="s">
        <v>3012</v>
      </c>
      <c r="BB362" s="2" t="str">
        <f>+PROPER(BD[[#This Row],[PRIMER_APELLIDO]])</f>
        <v>Martinez</v>
      </c>
    </row>
    <row r="363" spans="1:54" x14ac:dyDescent="0.25">
      <c r="A363" s="2">
        <v>362</v>
      </c>
      <c r="B363" s="2">
        <v>67950</v>
      </c>
      <c r="C363" s="2" t="s">
        <v>619</v>
      </c>
      <c r="D363" s="2" t="s">
        <v>620</v>
      </c>
      <c r="E363" s="2" t="s">
        <v>3013</v>
      </c>
      <c r="G363" s="3">
        <v>36.276712328767125</v>
      </c>
      <c r="H363" s="2" t="s">
        <v>622</v>
      </c>
      <c r="I363" s="2" t="s">
        <v>3014</v>
      </c>
      <c r="J363" s="2" t="str">
        <f>+IF(BD[[#This Row],[DEPARTAMENTO_INSS]]="MANAGUA","_01_","_02_")</f>
        <v>_01_</v>
      </c>
      <c r="K363" s="2" t="str">
        <f>+CONCATENATE(BD[[#This Row],[Columna3]],BD[[#This Row],[Columna4]],BD[[#This Row],[NOMBRE COMPLETO]])</f>
        <v>E003_01_JOVANY JOSUE PEREZ CRUZ</v>
      </c>
      <c r="L363" s="2" t="s">
        <v>3015</v>
      </c>
      <c r="M363" s="2" t="s">
        <v>1058</v>
      </c>
      <c r="N363" s="2" t="s">
        <v>24</v>
      </c>
      <c r="O363" s="2" t="s">
        <v>32</v>
      </c>
      <c r="P363" s="2" t="s">
        <v>649</v>
      </c>
      <c r="Q363" s="2" t="s">
        <v>351</v>
      </c>
      <c r="R363" s="2">
        <v>31555</v>
      </c>
      <c r="S363" s="2">
        <v>31555</v>
      </c>
      <c r="T363" s="2" t="s">
        <v>627</v>
      </c>
      <c r="U363" s="2" t="s">
        <v>627</v>
      </c>
      <c r="V363" s="2" t="s">
        <v>627</v>
      </c>
      <c r="W363" s="2" t="s">
        <v>627</v>
      </c>
      <c r="X363" s="2" t="s">
        <v>3016</v>
      </c>
      <c r="Y363" s="2" t="s">
        <v>3017</v>
      </c>
      <c r="Z363" s="2">
        <v>77970298</v>
      </c>
      <c r="AA363" s="2">
        <v>88078001</v>
      </c>
      <c r="AB363" s="2" t="s">
        <v>3018</v>
      </c>
      <c r="AC363" s="2" t="s">
        <v>632</v>
      </c>
      <c r="AD363" s="2">
        <v>77970298</v>
      </c>
      <c r="AF363" s="2">
        <v>88078001</v>
      </c>
      <c r="AJ363" s="2">
        <v>77970298</v>
      </c>
      <c r="AK363" s="2">
        <v>2</v>
      </c>
      <c r="AL363" s="2" t="s">
        <v>633</v>
      </c>
      <c r="AM363" s="2">
        <v>0</v>
      </c>
      <c r="AN363" s="2">
        <v>0</v>
      </c>
      <c r="AO363" s="2">
        <v>1</v>
      </c>
      <c r="AP363" s="2">
        <v>0</v>
      </c>
      <c r="AQ363" s="2">
        <v>0</v>
      </c>
      <c r="AR363" s="2">
        <v>0</v>
      </c>
      <c r="AS363" s="2">
        <v>0</v>
      </c>
      <c r="AT363" s="2">
        <v>0</v>
      </c>
      <c r="AZ363" s="2" t="s">
        <v>3019</v>
      </c>
      <c r="BB363" s="2" t="str">
        <f>+PROPER(BD[[#This Row],[PRIMER_APELLIDO]])</f>
        <v>Perez</v>
      </c>
    </row>
    <row r="364" spans="1:54" x14ac:dyDescent="0.25">
      <c r="A364" s="2">
        <v>363</v>
      </c>
      <c r="B364" s="2">
        <v>32344</v>
      </c>
      <c r="C364" s="2" t="s">
        <v>619</v>
      </c>
      <c r="D364" s="2" t="s">
        <v>620</v>
      </c>
      <c r="E364" s="2" t="s">
        <v>3020</v>
      </c>
      <c r="F364" s="2">
        <v>23160305</v>
      </c>
      <c r="G364" s="3">
        <v>36.279452054794518</v>
      </c>
      <c r="H364" s="2" t="s">
        <v>622</v>
      </c>
      <c r="I364" s="2" t="s">
        <v>3021</v>
      </c>
      <c r="J364" s="2" t="str">
        <f>+IF(BD[[#This Row],[DEPARTAMENTO_INSS]]="MANAGUA","_01_","_02_")</f>
        <v>_02_</v>
      </c>
      <c r="K364" s="2" t="str">
        <f>+CONCATENATE(BD[[#This Row],[Columna3]],BD[[#This Row],[Columna4]],BD[[#This Row],[NOMBRE COMPLETO]])</f>
        <v>E003_02_AMERICA TATIANA NOVOA BUITRAGO</v>
      </c>
      <c r="L364" s="2" t="s">
        <v>3022</v>
      </c>
      <c r="M364" s="2" t="s">
        <v>3023</v>
      </c>
      <c r="N364" s="2" t="s">
        <v>160</v>
      </c>
      <c r="O364" s="2" t="s">
        <v>3024</v>
      </c>
      <c r="P364" s="2" t="s">
        <v>626</v>
      </c>
      <c r="Q364" s="2" t="s">
        <v>351</v>
      </c>
      <c r="R364" s="2">
        <v>31554</v>
      </c>
      <c r="S364" s="2">
        <v>31554</v>
      </c>
      <c r="T364" s="2" t="s">
        <v>627</v>
      </c>
      <c r="U364" s="2" t="s">
        <v>1005</v>
      </c>
      <c r="V364" s="2" t="s">
        <v>627</v>
      </c>
      <c r="W364" s="2" t="s">
        <v>1006</v>
      </c>
      <c r="X364" s="2" t="s">
        <v>3025</v>
      </c>
      <c r="Y364" s="2" t="s">
        <v>3026</v>
      </c>
      <c r="AA364" s="2">
        <v>27922279</v>
      </c>
      <c r="AB364" s="2" t="s">
        <v>642</v>
      </c>
      <c r="AC364" s="2" t="s">
        <v>632</v>
      </c>
      <c r="AK364" s="2">
        <v>1</v>
      </c>
      <c r="AL364" s="2" t="s">
        <v>633</v>
      </c>
      <c r="AM364" s="2">
        <v>0</v>
      </c>
      <c r="AN364" s="2">
        <v>0</v>
      </c>
      <c r="AO364" s="2">
        <v>1</v>
      </c>
      <c r="AP364" s="2">
        <v>0</v>
      </c>
      <c r="AQ364" s="2">
        <v>0</v>
      </c>
      <c r="AR364" s="2">
        <v>0</v>
      </c>
      <c r="AS364" s="2">
        <v>0</v>
      </c>
      <c r="AT364" s="2">
        <v>0</v>
      </c>
      <c r="BB364" s="2" t="str">
        <f>+PROPER(BD[[#This Row],[PRIMER_APELLIDO]])</f>
        <v>Novoa</v>
      </c>
    </row>
    <row r="365" spans="1:54" x14ac:dyDescent="0.25">
      <c r="A365" s="2">
        <v>364</v>
      </c>
      <c r="B365" s="2">
        <v>47870</v>
      </c>
      <c r="C365" s="2" t="s">
        <v>619</v>
      </c>
      <c r="D365" s="2" t="s">
        <v>620</v>
      </c>
      <c r="E365" s="2" t="s">
        <v>3027</v>
      </c>
      <c r="F365" s="2">
        <v>25023765</v>
      </c>
      <c r="G365" s="3">
        <v>36.284931506849318</v>
      </c>
      <c r="H365" s="2" t="s">
        <v>622</v>
      </c>
      <c r="I365" s="2" t="s">
        <v>3028</v>
      </c>
      <c r="J365" s="2" t="str">
        <f>+IF(BD[[#This Row],[DEPARTAMENTO_INSS]]="MANAGUA","_01_","_02_")</f>
        <v>_02_</v>
      </c>
      <c r="K365" s="2" t="str">
        <f>+CONCATENATE(BD[[#This Row],[Columna3]],BD[[#This Row],[Columna4]],BD[[#This Row],[NOMBRE COMPLETO]])</f>
        <v>E003_02_YURI MABEL ALVARADO ESTRADA</v>
      </c>
      <c r="L365" s="2" t="s">
        <v>1585</v>
      </c>
      <c r="M365" s="2" t="s">
        <v>3029</v>
      </c>
      <c r="N365" s="2" t="s">
        <v>18</v>
      </c>
      <c r="O365" s="2" t="s">
        <v>225</v>
      </c>
      <c r="P365" s="2" t="s">
        <v>626</v>
      </c>
      <c r="Q365" s="2" t="s">
        <v>351</v>
      </c>
      <c r="R365" s="2">
        <v>31552</v>
      </c>
      <c r="S365" s="2">
        <v>31552</v>
      </c>
      <c r="T365" s="2" t="s">
        <v>659</v>
      </c>
      <c r="U365" s="2" t="s">
        <v>659</v>
      </c>
      <c r="V365" s="2" t="s">
        <v>659</v>
      </c>
      <c r="W365" s="2" t="s">
        <v>1036</v>
      </c>
      <c r="X365" s="2" t="s">
        <v>3030</v>
      </c>
      <c r="Y365" s="2" t="s">
        <v>3031</v>
      </c>
      <c r="Z365" s="2">
        <v>88595472</v>
      </c>
      <c r="AA365" s="2">
        <v>88595472</v>
      </c>
      <c r="AB365" s="2" t="s">
        <v>631</v>
      </c>
      <c r="AC365" s="2" t="s">
        <v>632</v>
      </c>
      <c r="AD365" s="2">
        <v>88595472</v>
      </c>
      <c r="AJ365" s="2">
        <v>88595472</v>
      </c>
      <c r="AK365" s="2">
        <v>2</v>
      </c>
      <c r="AL365" s="2" t="s">
        <v>633</v>
      </c>
      <c r="AM365" s="2">
        <v>0</v>
      </c>
      <c r="AN365" s="2">
        <v>0</v>
      </c>
      <c r="AO365" s="2">
        <v>1</v>
      </c>
      <c r="AP365" s="2">
        <v>0</v>
      </c>
      <c r="AQ365" s="2">
        <v>0</v>
      </c>
      <c r="AR365" s="2">
        <v>0</v>
      </c>
      <c r="AS365" s="2">
        <v>0</v>
      </c>
      <c r="AT365" s="2">
        <v>0</v>
      </c>
      <c r="AZ365" s="2" t="s">
        <v>3032</v>
      </c>
      <c r="BB365" s="2" t="str">
        <f>+PROPER(BD[[#This Row],[PRIMER_APELLIDO]])</f>
        <v>Alvarado</v>
      </c>
    </row>
    <row r="366" spans="1:54" x14ac:dyDescent="0.25">
      <c r="A366" s="2">
        <v>365</v>
      </c>
      <c r="B366" s="2">
        <v>66009</v>
      </c>
      <c r="C366" s="2" t="s">
        <v>619</v>
      </c>
      <c r="D366" s="2" t="s">
        <v>620</v>
      </c>
      <c r="E366" s="2" t="s">
        <v>3033</v>
      </c>
      <c r="G366" s="3">
        <v>36.284931506849318</v>
      </c>
      <c r="H366" s="2" t="s">
        <v>622</v>
      </c>
      <c r="I366" s="2" t="s">
        <v>3034</v>
      </c>
      <c r="J366" s="2" t="str">
        <f>+IF(BD[[#This Row],[DEPARTAMENTO_INSS]]="MANAGUA","_01_","_02_")</f>
        <v>_02_</v>
      </c>
      <c r="K366" s="2" t="str">
        <f>+CONCATENATE(BD[[#This Row],[Columna3]],BD[[#This Row],[Columna4]],BD[[#This Row],[NOMBRE COMPLETO]])</f>
        <v>E003_02_ROBERTO CARLOS LACAYO NARVAEZ</v>
      </c>
      <c r="L366" s="2" t="s">
        <v>1057</v>
      </c>
      <c r="M366" s="2" t="s">
        <v>826</v>
      </c>
      <c r="N366" s="2" t="s">
        <v>148</v>
      </c>
      <c r="O366" s="2" t="s">
        <v>121</v>
      </c>
      <c r="P366" s="2" t="s">
        <v>649</v>
      </c>
      <c r="Q366" s="2" t="s">
        <v>351</v>
      </c>
      <c r="R366" s="2">
        <v>31552</v>
      </c>
      <c r="S366" s="2">
        <v>31552</v>
      </c>
      <c r="T366" s="2" t="s">
        <v>133</v>
      </c>
      <c r="U366" s="2" t="s">
        <v>133</v>
      </c>
      <c r="V366" s="2" t="s">
        <v>869</v>
      </c>
      <c r="W366" s="2" t="s">
        <v>869</v>
      </c>
      <c r="X366" s="2" t="s">
        <v>3035</v>
      </c>
      <c r="Y366" s="2" t="s">
        <v>3036</v>
      </c>
      <c r="Z366" s="2">
        <v>89785223</v>
      </c>
      <c r="AA366" s="2">
        <v>89785223</v>
      </c>
      <c r="AB366" s="2" t="s">
        <v>654</v>
      </c>
      <c r="AC366" s="2" t="s">
        <v>632</v>
      </c>
      <c r="AD366" s="2">
        <v>89785223</v>
      </c>
      <c r="AJ366" s="2">
        <v>89785223</v>
      </c>
      <c r="AK366" s="2">
        <v>2</v>
      </c>
      <c r="AL366" s="2" t="s">
        <v>633</v>
      </c>
      <c r="AM366" s="2">
        <v>0</v>
      </c>
      <c r="AN366" s="2">
        <v>0</v>
      </c>
      <c r="AO366" s="2">
        <v>1</v>
      </c>
      <c r="AP366" s="2">
        <v>0</v>
      </c>
      <c r="AQ366" s="2">
        <v>0</v>
      </c>
      <c r="AR366" s="2">
        <v>0</v>
      </c>
      <c r="AS366" s="2">
        <v>0</v>
      </c>
      <c r="AT366" s="2">
        <v>0</v>
      </c>
      <c r="AZ366" s="2" t="s">
        <v>3037</v>
      </c>
      <c r="BB366" s="2" t="str">
        <f>+PROPER(BD[[#This Row],[PRIMER_APELLIDO]])</f>
        <v>Lacayo</v>
      </c>
    </row>
    <row r="367" spans="1:54" x14ac:dyDescent="0.25">
      <c r="A367" s="2">
        <v>366</v>
      </c>
      <c r="B367" s="2">
        <v>36072</v>
      </c>
      <c r="C367" s="2" t="s">
        <v>619</v>
      </c>
      <c r="D367" s="2" t="s">
        <v>620</v>
      </c>
      <c r="E367" s="2" t="s">
        <v>3038</v>
      </c>
      <c r="F367" s="2">
        <v>22087854</v>
      </c>
      <c r="G367" s="3">
        <v>36.304109589041097</v>
      </c>
      <c r="H367" s="2" t="s">
        <v>622</v>
      </c>
      <c r="I367" s="2" t="s">
        <v>3039</v>
      </c>
      <c r="J367" s="2" t="str">
        <f>+IF(BD[[#This Row],[DEPARTAMENTO_INSS]]="MANAGUA","_01_","_02_")</f>
        <v>_02_</v>
      </c>
      <c r="K367" s="2" t="str">
        <f>+CONCATENATE(BD[[#This Row],[Columna3]],BD[[#This Row],[Columna4]],BD[[#This Row],[NOMBRE COMPLETO]])</f>
        <v>E003_02_NELSON BISMARK DELGADO CASTILLO</v>
      </c>
      <c r="L367" s="2" t="s">
        <v>3040</v>
      </c>
      <c r="M367" s="2" t="s">
        <v>3041</v>
      </c>
      <c r="N367" s="2" t="s">
        <v>363</v>
      </c>
      <c r="O367" s="2" t="s">
        <v>100</v>
      </c>
      <c r="P367" s="2" t="s">
        <v>649</v>
      </c>
      <c r="Q367" s="2" t="s">
        <v>351</v>
      </c>
      <c r="R367" s="2">
        <v>31545</v>
      </c>
      <c r="S367" s="2">
        <v>31545</v>
      </c>
      <c r="T367" s="2" t="s">
        <v>176</v>
      </c>
      <c r="U367" s="2" t="s">
        <v>176</v>
      </c>
      <c r="V367" s="2" t="s">
        <v>748</v>
      </c>
      <c r="W367" s="2" t="s">
        <v>748</v>
      </c>
      <c r="X367" s="2" t="s">
        <v>3042</v>
      </c>
      <c r="Y367" s="2" t="s">
        <v>3043</v>
      </c>
      <c r="Z367" s="2">
        <v>86305292</v>
      </c>
      <c r="AA367" s="2">
        <v>86305292</v>
      </c>
      <c r="AB367" s="2" t="s">
        <v>654</v>
      </c>
      <c r="AC367" s="2" t="s">
        <v>632</v>
      </c>
      <c r="AD367" s="2">
        <v>86305292</v>
      </c>
      <c r="AJ367" s="2">
        <v>86305292</v>
      </c>
      <c r="AK367" s="2">
        <v>2</v>
      </c>
      <c r="AL367" s="2" t="s">
        <v>633</v>
      </c>
      <c r="AM367" s="2">
        <v>0</v>
      </c>
      <c r="AN367" s="2">
        <v>0</v>
      </c>
      <c r="AO367" s="2">
        <v>1</v>
      </c>
      <c r="AP367" s="2">
        <v>0</v>
      </c>
      <c r="AQ367" s="2">
        <v>0</v>
      </c>
      <c r="AR367" s="2">
        <v>0</v>
      </c>
      <c r="AS367" s="2">
        <v>0</v>
      </c>
      <c r="AT367" s="2">
        <v>0</v>
      </c>
      <c r="AZ367" s="2" t="s">
        <v>3044</v>
      </c>
      <c r="BB367" s="2" t="str">
        <f>+PROPER(BD[[#This Row],[PRIMER_APELLIDO]])</f>
        <v>Delgado</v>
      </c>
    </row>
    <row r="368" spans="1:54" x14ac:dyDescent="0.25">
      <c r="A368" s="2">
        <v>367</v>
      </c>
      <c r="B368" s="2">
        <v>58979</v>
      </c>
      <c r="C368" s="2" t="s">
        <v>619</v>
      </c>
      <c r="D368" s="2" t="s">
        <v>620</v>
      </c>
      <c r="E368" s="2" t="s">
        <v>3045</v>
      </c>
      <c r="G368" s="3">
        <v>36.304109589041097</v>
      </c>
      <c r="H368" s="2" t="s">
        <v>622</v>
      </c>
      <c r="I368" s="2" t="s">
        <v>3046</v>
      </c>
      <c r="J368" s="2" t="str">
        <f>+IF(BD[[#This Row],[DEPARTAMENTO_INSS]]="MANAGUA","_01_","_02_")</f>
        <v>_02_</v>
      </c>
      <c r="K368" s="2" t="str">
        <f>+CONCATENATE(BD[[#This Row],[Columna3]],BD[[#This Row],[Columna4]],BD[[#This Row],[NOMBRE COMPLETO]])</f>
        <v>E003_02_ZENEYDA JAQUELINE SIMONS ZELAYA</v>
      </c>
      <c r="L368" s="2" t="s">
        <v>3047</v>
      </c>
      <c r="M368" s="2" t="s">
        <v>3048</v>
      </c>
      <c r="N368" s="2" t="s">
        <v>429</v>
      </c>
      <c r="O368" s="2" t="s">
        <v>72</v>
      </c>
      <c r="P368" s="2" t="s">
        <v>626</v>
      </c>
      <c r="Q368" s="2" t="s">
        <v>351</v>
      </c>
      <c r="R368" s="2">
        <v>31545</v>
      </c>
      <c r="S368" s="2">
        <v>31545</v>
      </c>
      <c r="T368" s="2" t="s">
        <v>780</v>
      </c>
      <c r="U368" s="2" t="s">
        <v>780</v>
      </c>
      <c r="V368" s="2" t="s">
        <v>781</v>
      </c>
      <c r="W368" s="2" t="s">
        <v>781</v>
      </c>
      <c r="X368" s="2" t="s">
        <v>3049</v>
      </c>
      <c r="Y368" s="2" t="s">
        <v>3050</v>
      </c>
      <c r="Z368" s="2">
        <v>89149210</v>
      </c>
      <c r="AA368" s="2">
        <v>87476279</v>
      </c>
      <c r="AB368" s="2" t="s">
        <v>654</v>
      </c>
      <c r="AC368" s="2" t="s">
        <v>632</v>
      </c>
      <c r="AD368" s="2">
        <v>89149210</v>
      </c>
      <c r="AF368" s="2">
        <v>87476279</v>
      </c>
      <c r="AJ368" s="2">
        <v>89149210</v>
      </c>
      <c r="AK368" s="2">
        <v>2</v>
      </c>
      <c r="AL368" s="2" t="s">
        <v>633</v>
      </c>
      <c r="AM368" s="2">
        <v>0</v>
      </c>
      <c r="AN368" s="2">
        <v>0</v>
      </c>
      <c r="AO368" s="2">
        <v>1</v>
      </c>
      <c r="AP368" s="2">
        <v>0</v>
      </c>
      <c r="AQ368" s="2">
        <v>0</v>
      </c>
      <c r="AR368" s="2">
        <v>0</v>
      </c>
      <c r="AS368" s="2">
        <v>0</v>
      </c>
      <c r="AT368" s="2">
        <v>0</v>
      </c>
      <c r="AZ368" s="2" t="s">
        <v>3051</v>
      </c>
      <c r="BB368" s="2" t="str">
        <f>+PROPER(BD[[#This Row],[PRIMER_APELLIDO]])</f>
        <v>Simons</v>
      </c>
    </row>
    <row r="369" spans="1:54" x14ac:dyDescent="0.25">
      <c r="A369" s="2">
        <v>368</v>
      </c>
      <c r="B369" s="2">
        <v>59818</v>
      </c>
      <c r="C369" s="2" t="s">
        <v>619</v>
      </c>
      <c r="D369" s="2" t="s">
        <v>620</v>
      </c>
      <c r="E369" s="2" t="s">
        <v>3052</v>
      </c>
      <c r="G369" s="3">
        <v>36.30684931506849</v>
      </c>
      <c r="H369" s="2" t="s">
        <v>622</v>
      </c>
      <c r="I369" s="2" t="s">
        <v>3053</v>
      </c>
      <c r="J369" s="2" t="str">
        <f>+IF(BD[[#This Row],[DEPARTAMENTO_INSS]]="MANAGUA","_01_","_02_")</f>
        <v>_02_</v>
      </c>
      <c r="K369" s="2" t="str">
        <f>+CONCATENATE(BD[[#This Row],[Columna3]],BD[[#This Row],[Columna4]],BD[[#This Row],[NOMBRE COMPLETO]])</f>
        <v>E003_02_SOFIA IVANIA SABALLO RODRIGUEZ</v>
      </c>
      <c r="L369" s="2" t="s">
        <v>1307</v>
      </c>
      <c r="M369" s="2" t="s">
        <v>1419</v>
      </c>
      <c r="N369" s="2" t="s">
        <v>162</v>
      </c>
      <c r="O369" s="2" t="s">
        <v>185</v>
      </c>
      <c r="P369" s="2" t="s">
        <v>626</v>
      </c>
      <c r="Q369" s="2" t="s">
        <v>351</v>
      </c>
      <c r="R369" s="2">
        <v>31544</v>
      </c>
      <c r="S369" s="2">
        <v>31544</v>
      </c>
      <c r="T369" s="2" t="s">
        <v>1005</v>
      </c>
      <c r="U369" s="2" t="s">
        <v>1005</v>
      </c>
      <c r="V369" s="2" t="s">
        <v>1006</v>
      </c>
      <c r="W369" s="2" t="s">
        <v>1006</v>
      </c>
      <c r="X369" s="2" t="s">
        <v>3054</v>
      </c>
      <c r="Y369" s="2" t="s">
        <v>3055</v>
      </c>
      <c r="AA369" s="2" t="s">
        <v>3056</v>
      </c>
      <c r="AB369" s="2" t="s">
        <v>1294</v>
      </c>
      <c r="AC369" s="2" t="s">
        <v>632</v>
      </c>
      <c r="AD369" s="2">
        <v>55231841</v>
      </c>
      <c r="AJ369" s="2">
        <v>55231841</v>
      </c>
      <c r="AK369" s="2">
        <v>2</v>
      </c>
      <c r="AL369" s="2" t="s">
        <v>633</v>
      </c>
      <c r="AM369" s="2">
        <v>0</v>
      </c>
      <c r="AN369" s="2">
        <v>0</v>
      </c>
      <c r="AO369" s="2">
        <v>1</v>
      </c>
      <c r="AP369" s="2">
        <v>0</v>
      </c>
      <c r="AQ369" s="2">
        <v>0</v>
      </c>
      <c r="AR369" s="2">
        <v>0</v>
      </c>
      <c r="AS369" s="2">
        <v>0</v>
      </c>
      <c r="AT369" s="2">
        <v>0</v>
      </c>
      <c r="BB369" s="2" t="str">
        <f>+PROPER(BD[[#This Row],[PRIMER_APELLIDO]])</f>
        <v>Saballo</v>
      </c>
    </row>
    <row r="370" spans="1:54" x14ac:dyDescent="0.25">
      <c r="A370" s="2">
        <v>369</v>
      </c>
      <c r="B370" s="2">
        <v>48979</v>
      </c>
      <c r="C370" s="2" t="s">
        <v>619</v>
      </c>
      <c r="D370" s="2" t="s">
        <v>620</v>
      </c>
      <c r="E370" s="2" t="s">
        <v>3057</v>
      </c>
      <c r="F370" s="2">
        <v>25020823</v>
      </c>
      <c r="G370" s="3">
        <v>36.317808219178083</v>
      </c>
      <c r="H370" s="2" t="s">
        <v>622</v>
      </c>
      <c r="I370" s="2" t="s">
        <v>3058</v>
      </c>
      <c r="J370" s="2" t="str">
        <f>+IF(BD[[#This Row],[DEPARTAMENTO_INSS]]="MANAGUA","_01_","_02_")</f>
        <v>_02_</v>
      </c>
      <c r="K370" s="2" t="str">
        <f>+CONCATENATE(BD[[#This Row],[Columna3]],BD[[#This Row],[Columna4]],BD[[#This Row],[NOMBRE COMPLETO]])</f>
        <v>E003_02_CARMELA AUXILIADORA ROMERO ROBLETO</v>
      </c>
      <c r="L370" s="2" t="s">
        <v>3059</v>
      </c>
      <c r="M370" s="2" t="s">
        <v>970</v>
      </c>
      <c r="N370" s="2" t="s">
        <v>41</v>
      </c>
      <c r="O370" s="2" t="s">
        <v>142</v>
      </c>
      <c r="P370" s="2" t="s">
        <v>626</v>
      </c>
      <c r="Q370" s="2" t="s">
        <v>351</v>
      </c>
      <c r="R370" s="2">
        <v>31540</v>
      </c>
      <c r="S370" s="2">
        <v>31540</v>
      </c>
      <c r="T370" s="2" t="s">
        <v>1191</v>
      </c>
      <c r="U370" s="2" t="s">
        <v>1191</v>
      </c>
      <c r="V370" s="2" t="s">
        <v>3060</v>
      </c>
      <c r="W370" s="2" t="s">
        <v>3060</v>
      </c>
      <c r="X370" s="2" t="s">
        <v>3061</v>
      </c>
      <c r="Y370" s="2" t="s">
        <v>3062</v>
      </c>
      <c r="Z370" s="2">
        <v>84473274</v>
      </c>
      <c r="AA370" s="2">
        <v>84473274</v>
      </c>
      <c r="AB370" s="2" t="s">
        <v>631</v>
      </c>
      <c r="AC370" s="2" t="s">
        <v>632</v>
      </c>
      <c r="AD370" s="2">
        <v>84473274</v>
      </c>
      <c r="AJ370" s="2">
        <v>84473274</v>
      </c>
      <c r="AK370" s="2">
        <v>2</v>
      </c>
      <c r="AL370" s="2" t="s">
        <v>633</v>
      </c>
      <c r="AM370" s="2">
        <v>0</v>
      </c>
      <c r="AN370" s="2">
        <v>0</v>
      </c>
      <c r="AO370" s="2">
        <v>1</v>
      </c>
      <c r="AP370" s="2">
        <v>0</v>
      </c>
      <c r="AQ370" s="2">
        <v>0</v>
      </c>
      <c r="AR370" s="2">
        <v>0</v>
      </c>
      <c r="AS370" s="2">
        <v>0</v>
      </c>
      <c r="AT370" s="2">
        <v>0</v>
      </c>
      <c r="BB370" s="2" t="str">
        <f>+PROPER(BD[[#This Row],[PRIMER_APELLIDO]])</f>
        <v>Romero</v>
      </c>
    </row>
    <row r="371" spans="1:54" x14ac:dyDescent="0.25">
      <c r="A371" s="2">
        <v>370</v>
      </c>
      <c r="B371" s="2">
        <v>52173</v>
      </c>
      <c r="C371" s="2" t="s">
        <v>619</v>
      </c>
      <c r="D371" s="2" t="s">
        <v>620</v>
      </c>
      <c r="E371" s="2" t="s">
        <v>3063</v>
      </c>
      <c r="F371" s="2">
        <v>25021453</v>
      </c>
      <c r="G371" s="3">
        <v>36.323287671232876</v>
      </c>
      <c r="H371" s="2" t="s">
        <v>622</v>
      </c>
      <c r="I371" s="2" t="s">
        <v>3064</v>
      </c>
      <c r="J371" s="2" t="str">
        <f>+IF(BD[[#This Row],[DEPARTAMENTO_INSS]]="MANAGUA","_01_","_02_")</f>
        <v>_02_</v>
      </c>
      <c r="K371" s="2" t="str">
        <f>+CONCATENATE(BD[[#This Row],[Columna3]],BD[[#This Row],[Columna4]],BD[[#This Row],[NOMBRE COMPLETO]])</f>
        <v>E003_02_DERLING ANTONIO ALARCON JARQUIN</v>
      </c>
      <c r="L371" s="2" t="s">
        <v>3065</v>
      </c>
      <c r="M371" s="2" t="s">
        <v>904</v>
      </c>
      <c r="N371" s="2" t="s">
        <v>438</v>
      </c>
      <c r="O371" s="2" t="s">
        <v>85</v>
      </c>
      <c r="P371" s="2" t="s">
        <v>649</v>
      </c>
      <c r="Q371" s="2" t="s">
        <v>351</v>
      </c>
      <c r="R371" s="2">
        <v>31538</v>
      </c>
      <c r="S371" s="2">
        <v>31538</v>
      </c>
      <c r="T371" s="2" t="s">
        <v>1104</v>
      </c>
      <c r="U371" s="2" t="s">
        <v>1104</v>
      </c>
      <c r="V371" s="2" t="s">
        <v>3066</v>
      </c>
      <c r="W371" s="2" t="s">
        <v>2840</v>
      </c>
      <c r="X371" s="2" t="s">
        <v>3067</v>
      </c>
      <c r="Y371" s="2" t="s">
        <v>3068</v>
      </c>
      <c r="Z371" s="2">
        <v>89437353</v>
      </c>
      <c r="AB371" s="2" t="s">
        <v>798</v>
      </c>
      <c r="AC371" s="2" t="s">
        <v>632</v>
      </c>
      <c r="AD371" s="2">
        <v>89437353</v>
      </c>
      <c r="AJ371" s="2">
        <v>89437353</v>
      </c>
      <c r="AK371" s="2">
        <v>1</v>
      </c>
      <c r="AL371" s="2" t="s">
        <v>633</v>
      </c>
      <c r="AM371" s="2">
        <v>0</v>
      </c>
      <c r="AN371" s="2">
        <v>0</v>
      </c>
      <c r="AO371" s="2">
        <v>1</v>
      </c>
      <c r="AP371" s="2">
        <v>0</v>
      </c>
      <c r="AQ371" s="2">
        <v>0</v>
      </c>
      <c r="AR371" s="2">
        <v>0</v>
      </c>
      <c r="AS371" s="2">
        <v>0</v>
      </c>
      <c r="AT371" s="2">
        <v>0</v>
      </c>
      <c r="AZ371" s="2" t="s">
        <v>3069</v>
      </c>
      <c r="BB371" s="2" t="str">
        <f>+PROPER(BD[[#This Row],[PRIMER_APELLIDO]])</f>
        <v>Alarcon</v>
      </c>
    </row>
    <row r="372" spans="1:54" x14ac:dyDescent="0.25">
      <c r="A372" s="2">
        <v>371</v>
      </c>
      <c r="B372" s="2">
        <v>53911</v>
      </c>
      <c r="C372" s="2" t="s">
        <v>619</v>
      </c>
      <c r="D372" s="2" t="s">
        <v>620</v>
      </c>
      <c r="E372" s="2" t="s">
        <v>3070</v>
      </c>
      <c r="G372" s="3">
        <v>36.326027397260276</v>
      </c>
      <c r="H372" s="2" t="s">
        <v>622</v>
      </c>
      <c r="I372" s="2" t="s">
        <v>3071</v>
      </c>
      <c r="J372" s="2" t="str">
        <f>+IF(BD[[#This Row],[DEPARTAMENTO_INSS]]="MANAGUA","_01_","_02_")</f>
        <v>_01_</v>
      </c>
      <c r="K372" s="2" t="str">
        <f>+CONCATENATE(BD[[#This Row],[Columna3]],BD[[#This Row],[Columna4]],BD[[#This Row],[NOMBRE COMPLETO]])</f>
        <v>E003_01_ELISAMA DE LOS ANGELES FLORES DAVILA</v>
      </c>
      <c r="L372" s="2" t="s">
        <v>3072</v>
      </c>
      <c r="M372" s="2" t="s">
        <v>683</v>
      </c>
      <c r="N372" s="2" t="s">
        <v>58</v>
      </c>
      <c r="O372" s="2" t="s">
        <v>88</v>
      </c>
      <c r="P372" s="2" t="s">
        <v>626</v>
      </c>
      <c r="Q372" s="2" t="s">
        <v>351</v>
      </c>
      <c r="R372" s="2">
        <v>31537</v>
      </c>
      <c r="S372" s="2">
        <v>31537</v>
      </c>
      <c r="T372" s="2" t="s">
        <v>627</v>
      </c>
      <c r="U372" s="2" t="s">
        <v>627</v>
      </c>
      <c r="V372" s="2" t="s">
        <v>627</v>
      </c>
      <c r="W372" s="2" t="s">
        <v>627</v>
      </c>
      <c r="X372" s="2" t="s">
        <v>3073</v>
      </c>
      <c r="Y372" s="2" t="s">
        <v>3074</v>
      </c>
      <c r="AA372" s="2">
        <v>85674441</v>
      </c>
      <c r="AB372" s="2" t="s">
        <v>642</v>
      </c>
      <c r="AC372" s="2" t="s">
        <v>632</v>
      </c>
      <c r="AD372" s="2">
        <v>85674441</v>
      </c>
      <c r="AJ372" s="2">
        <v>85674441</v>
      </c>
      <c r="AK372" s="2">
        <v>1</v>
      </c>
      <c r="AL372" s="2" t="s">
        <v>633</v>
      </c>
      <c r="AM372" s="2">
        <v>0</v>
      </c>
      <c r="AN372" s="2">
        <v>0</v>
      </c>
      <c r="AO372" s="2">
        <v>1</v>
      </c>
      <c r="AP372" s="2">
        <v>0</v>
      </c>
      <c r="AQ372" s="2">
        <v>0</v>
      </c>
      <c r="AR372" s="2">
        <v>0</v>
      </c>
      <c r="AS372" s="2">
        <v>0</v>
      </c>
      <c r="AT372" s="2">
        <v>0</v>
      </c>
      <c r="BB372" s="2" t="str">
        <f>+PROPER(BD[[#This Row],[PRIMER_APELLIDO]])</f>
        <v>Flores</v>
      </c>
    </row>
    <row r="373" spans="1:54" x14ac:dyDescent="0.25">
      <c r="A373" s="2">
        <v>372</v>
      </c>
      <c r="B373" s="2">
        <v>49487</v>
      </c>
      <c r="C373" s="2" t="s">
        <v>619</v>
      </c>
      <c r="D373" s="2" t="s">
        <v>620</v>
      </c>
      <c r="E373" s="2" t="s">
        <v>3075</v>
      </c>
      <c r="F373" s="2">
        <v>25623369</v>
      </c>
      <c r="G373" s="3">
        <v>36.331506849315069</v>
      </c>
      <c r="H373" s="2" t="s">
        <v>622</v>
      </c>
      <c r="I373" s="2" t="s">
        <v>3076</v>
      </c>
      <c r="J373" s="2" t="str">
        <f>+IF(BD[[#This Row],[DEPARTAMENTO_INSS]]="MANAGUA","_01_","_02_")</f>
        <v>_02_</v>
      </c>
      <c r="K373" s="2" t="str">
        <f>+CONCATENATE(BD[[#This Row],[Columna3]],BD[[#This Row],[Columna4]],BD[[#This Row],[NOMBRE COMPLETO]])</f>
        <v>E003_02_NARDELYS MASSIEL CRUZ ESPINOZA</v>
      </c>
      <c r="L373" s="2" t="s">
        <v>3077</v>
      </c>
      <c r="M373" s="2" t="s">
        <v>2529</v>
      </c>
      <c r="N373" s="2" t="s">
        <v>32</v>
      </c>
      <c r="O373" s="2" t="s">
        <v>235</v>
      </c>
      <c r="P373" s="2" t="s">
        <v>626</v>
      </c>
      <c r="Q373" s="2" t="s">
        <v>351</v>
      </c>
      <c r="R373" s="2">
        <v>31535</v>
      </c>
      <c r="S373" s="2">
        <v>31535</v>
      </c>
      <c r="T373" s="2" t="s">
        <v>1104</v>
      </c>
      <c r="U373" s="2" t="s">
        <v>1104</v>
      </c>
      <c r="V373" s="2" t="s">
        <v>3078</v>
      </c>
      <c r="W373" s="2" t="s">
        <v>3078</v>
      </c>
      <c r="X373" s="2" t="s">
        <v>3079</v>
      </c>
      <c r="Y373" s="2" t="s">
        <v>3080</v>
      </c>
      <c r="Z373" s="2">
        <v>83548775</v>
      </c>
      <c r="AA373" s="2">
        <v>83548775</v>
      </c>
      <c r="AB373" s="2" t="s">
        <v>642</v>
      </c>
      <c r="AC373" s="2" t="s">
        <v>632</v>
      </c>
      <c r="AD373" s="2">
        <v>83548775</v>
      </c>
      <c r="AJ373" s="2">
        <v>83548775</v>
      </c>
      <c r="AK373" s="2">
        <v>2</v>
      </c>
      <c r="AL373" s="2" t="s">
        <v>633</v>
      </c>
      <c r="AM373" s="2">
        <v>0</v>
      </c>
      <c r="AN373" s="2">
        <v>0</v>
      </c>
      <c r="AO373" s="2">
        <v>1</v>
      </c>
      <c r="AP373" s="2">
        <v>0</v>
      </c>
      <c r="AQ373" s="2">
        <v>0</v>
      </c>
      <c r="AR373" s="2">
        <v>0</v>
      </c>
      <c r="AS373" s="2">
        <v>0</v>
      </c>
      <c r="AT373" s="2">
        <v>0</v>
      </c>
      <c r="AZ373" s="2" t="s">
        <v>3081</v>
      </c>
      <c r="BB373" s="2" t="str">
        <f>+PROPER(BD[[#This Row],[PRIMER_APELLIDO]])</f>
        <v>Cruz</v>
      </c>
    </row>
    <row r="374" spans="1:54" x14ac:dyDescent="0.25">
      <c r="A374" s="2">
        <v>373</v>
      </c>
      <c r="B374" s="2">
        <v>34162</v>
      </c>
      <c r="C374" s="2" t="s">
        <v>619</v>
      </c>
      <c r="D374" s="2" t="s">
        <v>620</v>
      </c>
      <c r="E374" s="2" t="s">
        <v>3082</v>
      </c>
      <c r="F374" s="2">
        <v>22948261</v>
      </c>
      <c r="G374" s="3">
        <v>36.342465753424655</v>
      </c>
      <c r="H374" s="2" t="s">
        <v>622</v>
      </c>
      <c r="I374" s="2" t="s">
        <v>3083</v>
      </c>
      <c r="J374" s="2" t="str">
        <f>+IF(BD[[#This Row],[DEPARTAMENTO_INSS]]="MANAGUA","_01_","_02_")</f>
        <v>_02_</v>
      </c>
      <c r="K374" s="2" t="str">
        <f>+CONCATENATE(BD[[#This Row],[Columna3]],BD[[#This Row],[Columna4]],BD[[#This Row],[NOMBRE COMPLETO]])</f>
        <v>E003_02_ANA PATRICIA SERRA ARROLIGA</v>
      </c>
      <c r="L374" s="2" t="s">
        <v>860</v>
      </c>
      <c r="M374" s="2" t="s">
        <v>747</v>
      </c>
      <c r="N374" s="2" t="s">
        <v>124</v>
      </c>
      <c r="O374" s="2" t="s">
        <v>87</v>
      </c>
      <c r="P374" s="2" t="s">
        <v>626</v>
      </c>
      <c r="Q374" s="2" t="s">
        <v>351</v>
      </c>
      <c r="R374" s="2">
        <v>31531</v>
      </c>
      <c r="S374" s="2">
        <v>31531</v>
      </c>
      <c r="T374" s="2" t="s">
        <v>705</v>
      </c>
      <c r="U374" s="2" t="s">
        <v>705</v>
      </c>
      <c r="V374" s="2" t="s">
        <v>705</v>
      </c>
      <c r="W374" s="2" t="s">
        <v>705</v>
      </c>
      <c r="X374" s="2" t="s">
        <v>3084</v>
      </c>
      <c r="Y374" s="2" t="s">
        <v>3085</v>
      </c>
      <c r="AA374" s="2">
        <v>23413295</v>
      </c>
      <c r="AB374" s="2" t="s">
        <v>798</v>
      </c>
      <c r="AC374" s="2" t="s">
        <v>632</v>
      </c>
      <c r="AK374" s="2">
        <v>1</v>
      </c>
      <c r="AL374" s="2" t="s">
        <v>633</v>
      </c>
      <c r="AM374" s="2">
        <v>0</v>
      </c>
      <c r="AN374" s="2">
        <v>0</v>
      </c>
      <c r="AO374" s="2">
        <v>1</v>
      </c>
      <c r="AP374" s="2">
        <v>0</v>
      </c>
      <c r="AQ374" s="2">
        <v>0</v>
      </c>
      <c r="AR374" s="2">
        <v>0</v>
      </c>
      <c r="AS374" s="2">
        <v>0</v>
      </c>
      <c r="AT374" s="2">
        <v>0</v>
      </c>
      <c r="BB374" s="2" t="str">
        <f>+PROPER(BD[[#This Row],[PRIMER_APELLIDO]])</f>
        <v>Serra</v>
      </c>
    </row>
    <row r="375" spans="1:54" x14ac:dyDescent="0.25">
      <c r="A375" s="2">
        <v>374</v>
      </c>
      <c r="B375" s="2">
        <v>35363</v>
      </c>
      <c r="C375" s="2" t="s">
        <v>619</v>
      </c>
      <c r="D375" s="2" t="s">
        <v>620</v>
      </c>
      <c r="E375" s="2" t="s">
        <v>3086</v>
      </c>
      <c r="F375" s="2">
        <v>22135423</v>
      </c>
      <c r="G375" s="3">
        <v>36.345205479452055</v>
      </c>
      <c r="H375" s="2" t="s">
        <v>622</v>
      </c>
      <c r="I375" s="2" t="s">
        <v>3087</v>
      </c>
      <c r="J375" s="2" t="str">
        <f>+IF(BD[[#This Row],[DEPARTAMENTO_INSS]]="MANAGUA","_01_","_02_")</f>
        <v>_01_</v>
      </c>
      <c r="K375" s="2" t="str">
        <f>+CONCATENATE(BD[[#This Row],[Columna3]],BD[[#This Row],[Columna4]],BD[[#This Row],[NOMBRE COMPLETO]])</f>
        <v>E003_01_ARIANNE ZASLAYA GUTIERREZ BONILLA</v>
      </c>
      <c r="L375" s="2" t="s">
        <v>3088</v>
      </c>
      <c r="M375" s="2" t="s">
        <v>3089</v>
      </c>
      <c r="N375" s="2" t="s">
        <v>171</v>
      </c>
      <c r="O375" s="2" t="s">
        <v>407</v>
      </c>
      <c r="P375" s="2" t="s">
        <v>626</v>
      </c>
      <c r="Q375" s="2" t="s">
        <v>351</v>
      </c>
      <c r="R375" s="2">
        <v>31530</v>
      </c>
      <c r="S375" s="2">
        <v>31530</v>
      </c>
      <c r="T375" s="2" t="s">
        <v>627</v>
      </c>
      <c r="U375" s="2" t="s">
        <v>627</v>
      </c>
      <c r="V375" s="2" t="s">
        <v>627</v>
      </c>
      <c r="W375" s="2" t="s">
        <v>627</v>
      </c>
      <c r="X375" s="2" t="s">
        <v>3090</v>
      </c>
      <c r="Y375" s="2" t="s">
        <v>3091</v>
      </c>
      <c r="AA375" s="2" t="s">
        <v>3092</v>
      </c>
      <c r="AB375" s="2" t="s">
        <v>642</v>
      </c>
      <c r="AC375" s="2" t="s">
        <v>632</v>
      </c>
      <c r="AD375" s="2">
        <v>82887780</v>
      </c>
      <c r="AE375" s="2">
        <v>87253462</v>
      </c>
      <c r="AJ375" s="2">
        <v>82887780</v>
      </c>
      <c r="AK375" s="2">
        <v>2</v>
      </c>
      <c r="AL375" s="2" t="s">
        <v>633</v>
      </c>
      <c r="AM375" s="2">
        <v>0</v>
      </c>
      <c r="AN375" s="2">
        <v>0</v>
      </c>
      <c r="AO375" s="2">
        <v>1</v>
      </c>
      <c r="AP375" s="2">
        <v>0</v>
      </c>
      <c r="AQ375" s="2">
        <v>0</v>
      </c>
      <c r="AR375" s="2">
        <v>0</v>
      </c>
      <c r="AS375" s="2">
        <v>0</v>
      </c>
      <c r="AT375" s="2">
        <v>0</v>
      </c>
      <c r="BB375" s="2" t="str">
        <f>+PROPER(BD[[#This Row],[PRIMER_APELLIDO]])</f>
        <v>Gutierrez</v>
      </c>
    </row>
    <row r="376" spans="1:54" x14ac:dyDescent="0.25">
      <c r="A376" s="2">
        <v>375</v>
      </c>
      <c r="B376" s="2">
        <v>57934</v>
      </c>
      <c r="C376" s="2" t="s">
        <v>619</v>
      </c>
      <c r="D376" s="2" t="s">
        <v>620</v>
      </c>
      <c r="E376" s="2" t="s">
        <v>3093</v>
      </c>
      <c r="G376" s="3">
        <v>36.345205479452055</v>
      </c>
      <c r="H376" s="2" t="s">
        <v>622</v>
      </c>
      <c r="I376" s="2" t="s">
        <v>3094</v>
      </c>
      <c r="J376" s="2" t="str">
        <f>+IF(BD[[#This Row],[DEPARTAMENTO_INSS]]="MANAGUA","_01_","_02_")</f>
        <v>_01_</v>
      </c>
      <c r="K376" s="2" t="str">
        <f>+CONCATENATE(BD[[#This Row],[Columna3]],BD[[#This Row],[Columna4]],BD[[#This Row],[NOMBRE COMPLETO]])</f>
        <v>E003_01_REYNA ERNESTINA VILCHEZ CALERO</v>
      </c>
      <c r="L376" s="2" t="s">
        <v>3095</v>
      </c>
      <c r="M376" s="2" t="s">
        <v>3096</v>
      </c>
      <c r="N376" s="2" t="s">
        <v>239</v>
      </c>
      <c r="O376" s="2" t="s">
        <v>80</v>
      </c>
      <c r="P376" s="2" t="s">
        <v>626</v>
      </c>
      <c r="Q376" s="2" t="s">
        <v>351</v>
      </c>
      <c r="R376" s="2">
        <v>31530</v>
      </c>
      <c r="S376" s="2">
        <v>31530</v>
      </c>
      <c r="T376" s="2" t="s">
        <v>627</v>
      </c>
      <c r="U376" s="2" t="s">
        <v>627</v>
      </c>
      <c r="V376" s="2" t="s">
        <v>2915</v>
      </c>
      <c r="W376" s="2" t="s">
        <v>1406</v>
      </c>
      <c r="X376" s="2" t="s">
        <v>3097</v>
      </c>
      <c r="Y376" s="2" t="s">
        <v>3098</v>
      </c>
      <c r="Z376" s="2">
        <v>81488211</v>
      </c>
      <c r="AA376" s="2">
        <v>81488211</v>
      </c>
      <c r="AB376" s="2" t="s">
        <v>642</v>
      </c>
      <c r="AC376" s="2" t="s">
        <v>632</v>
      </c>
      <c r="AD376" s="2">
        <v>81488211</v>
      </c>
      <c r="AJ376" s="2">
        <v>81488211</v>
      </c>
      <c r="AK376" s="2">
        <v>2</v>
      </c>
      <c r="AL376" s="2" t="s">
        <v>633</v>
      </c>
      <c r="AM376" s="2">
        <v>0</v>
      </c>
      <c r="AN376" s="2">
        <v>0</v>
      </c>
      <c r="AO376" s="2">
        <v>1</v>
      </c>
      <c r="AP376" s="2">
        <v>0</v>
      </c>
      <c r="AQ376" s="2">
        <v>0</v>
      </c>
      <c r="AR376" s="2">
        <v>0</v>
      </c>
      <c r="AS376" s="2">
        <v>0</v>
      </c>
      <c r="AT376" s="2">
        <v>0</v>
      </c>
      <c r="BB376" s="2" t="str">
        <f>+PROPER(BD[[#This Row],[PRIMER_APELLIDO]])</f>
        <v>Vilchez</v>
      </c>
    </row>
    <row r="377" spans="1:54" x14ac:dyDescent="0.25">
      <c r="A377" s="2">
        <v>376</v>
      </c>
      <c r="B377" s="2">
        <v>70625</v>
      </c>
      <c r="C377" s="2" t="s">
        <v>619</v>
      </c>
      <c r="D377" s="2" t="s">
        <v>620</v>
      </c>
      <c r="E377" s="2" t="s">
        <v>3099</v>
      </c>
      <c r="G377" s="3">
        <v>36.353424657534248</v>
      </c>
      <c r="H377" s="2" t="s">
        <v>622</v>
      </c>
      <c r="I377" s="2" t="s">
        <v>3100</v>
      </c>
      <c r="J377" s="2" t="str">
        <f>+IF(BD[[#This Row],[DEPARTAMENTO_INSS]]="MANAGUA","_01_","_02_")</f>
        <v>_02_</v>
      </c>
      <c r="K377" s="2" t="str">
        <f>+CONCATENATE(BD[[#This Row],[Columna3]],BD[[#This Row],[Columna4]],BD[[#This Row],[NOMBRE COMPLETO]])</f>
        <v>E003_02_ARLEN AURORA RUGAMA MORALES</v>
      </c>
      <c r="L377" s="2" t="s">
        <v>624</v>
      </c>
      <c r="M377" s="2" t="s">
        <v>3101</v>
      </c>
      <c r="N377" s="2" t="s">
        <v>182</v>
      </c>
      <c r="O377" s="2" t="s">
        <v>82</v>
      </c>
      <c r="P377" s="2" t="s">
        <v>626</v>
      </c>
      <c r="Q377" s="2" t="s">
        <v>351</v>
      </c>
      <c r="R377" s="2">
        <v>31527</v>
      </c>
      <c r="S377" s="2">
        <v>31527</v>
      </c>
      <c r="T377" s="2" t="s">
        <v>176</v>
      </c>
      <c r="U377" s="2" t="s">
        <v>176</v>
      </c>
      <c r="V377" s="2" t="s">
        <v>650</v>
      </c>
      <c r="W377" s="2" t="s">
        <v>176</v>
      </c>
      <c r="X377" s="2" t="s">
        <v>3102</v>
      </c>
      <c r="Y377" s="2" t="s">
        <v>3103</v>
      </c>
      <c r="Z377" s="2">
        <v>57784077</v>
      </c>
      <c r="AA377" s="2">
        <v>89112744</v>
      </c>
      <c r="AB377" s="2" t="s">
        <v>654</v>
      </c>
      <c r="AC377" s="2" t="s">
        <v>632</v>
      </c>
      <c r="AD377" s="2">
        <v>57784077</v>
      </c>
      <c r="AF377" s="2">
        <v>89112744</v>
      </c>
      <c r="AJ377" s="2">
        <v>57784077</v>
      </c>
      <c r="AK377" s="2">
        <v>2</v>
      </c>
      <c r="AL377" s="2" t="s">
        <v>633</v>
      </c>
      <c r="AM377" s="2">
        <v>0</v>
      </c>
      <c r="AN377" s="2">
        <v>0</v>
      </c>
      <c r="AO377" s="2">
        <v>1</v>
      </c>
      <c r="AP377" s="2">
        <v>0</v>
      </c>
      <c r="AQ377" s="2">
        <v>0</v>
      </c>
      <c r="AR377" s="2">
        <v>0</v>
      </c>
      <c r="AS377" s="2">
        <v>0</v>
      </c>
      <c r="AT377" s="2">
        <v>0</v>
      </c>
      <c r="AZ377" s="2" t="s">
        <v>3104</v>
      </c>
      <c r="BB377" s="2" t="str">
        <f>+PROPER(BD[[#This Row],[PRIMER_APELLIDO]])</f>
        <v>Rugama</v>
      </c>
    </row>
    <row r="378" spans="1:54" x14ac:dyDescent="0.25">
      <c r="A378" s="2">
        <v>377</v>
      </c>
      <c r="B378" s="2">
        <v>47585</v>
      </c>
      <c r="C378" s="2" t="s">
        <v>619</v>
      </c>
      <c r="D378" s="2" t="s">
        <v>620</v>
      </c>
      <c r="E378" s="2" t="s">
        <v>3105</v>
      </c>
      <c r="F378" s="2">
        <v>25022076</v>
      </c>
      <c r="G378" s="3">
        <v>36.356164383561641</v>
      </c>
      <c r="H378" s="2" t="s">
        <v>622</v>
      </c>
      <c r="I378" s="2" t="s">
        <v>3106</v>
      </c>
      <c r="J378" s="2" t="str">
        <f>+IF(BD[[#This Row],[DEPARTAMENTO_INSS]]="MANAGUA","_01_","_02_")</f>
        <v>_02_</v>
      </c>
      <c r="K378" s="2" t="str">
        <f>+CONCATENATE(BD[[#This Row],[Columna3]],BD[[#This Row],[Columna4]],BD[[#This Row],[NOMBRE COMPLETO]])</f>
        <v>E003_02_CARLOS FERNANDO LUMBI</v>
      </c>
      <c r="L378" s="2" t="s">
        <v>826</v>
      </c>
      <c r="M378" s="2" t="s">
        <v>2009</v>
      </c>
      <c r="N378" s="2" t="s">
        <v>13</v>
      </c>
      <c r="P378" s="2" t="s">
        <v>649</v>
      </c>
      <c r="Q378" s="2" t="s">
        <v>351</v>
      </c>
      <c r="R378" s="2">
        <v>31526</v>
      </c>
      <c r="S378" s="2">
        <v>31526</v>
      </c>
      <c r="T378" s="2" t="s">
        <v>1104</v>
      </c>
      <c r="U378" s="2" t="s">
        <v>1104</v>
      </c>
      <c r="V378" s="2" t="s">
        <v>1104</v>
      </c>
      <c r="W378" s="2" t="s">
        <v>1104</v>
      </c>
      <c r="X378" s="2" t="s">
        <v>3107</v>
      </c>
      <c r="Y378" s="2" t="s">
        <v>3108</v>
      </c>
      <c r="Z378" s="2">
        <v>86320755</v>
      </c>
      <c r="AA378" s="2">
        <v>86320755</v>
      </c>
      <c r="AB378" s="2" t="s">
        <v>798</v>
      </c>
      <c r="AC378" s="2" t="s">
        <v>632</v>
      </c>
      <c r="AD378" s="2">
        <v>86320755</v>
      </c>
      <c r="AJ378" s="2">
        <v>86320755</v>
      </c>
      <c r="AK378" s="2">
        <v>2</v>
      </c>
      <c r="AL378" s="2" t="s">
        <v>633</v>
      </c>
      <c r="AM378" s="2">
        <v>0</v>
      </c>
      <c r="AN378" s="2">
        <v>0</v>
      </c>
      <c r="AO378" s="2">
        <v>1</v>
      </c>
      <c r="AP378" s="2">
        <v>0</v>
      </c>
      <c r="AQ378" s="2">
        <v>0</v>
      </c>
      <c r="AR378" s="2">
        <v>0</v>
      </c>
      <c r="AS378" s="2">
        <v>0</v>
      </c>
      <c r="AT378" s="2">
        <v>0</v>
      </c>
      <c r="AZ378" s="2" t="s">
        <v>3109</v>
      </c>
      <c r="BB378" s="2" t="str">
        <f>+PROPER(BD[[#This Row],[PRIMER_APELLIDO]])</f>
        <v>Lumbi</v>
      </c>
    </row>
    <row r="379" spans="1:54" x14ac:dyDescent="0.25">
      <c r="A379" s="2">
        <v>378</v>
      </c>
      <c r="B379" s="2">
        <v>57950</v>
      </c>
      <c r="C379" s="2" t="s">
        <v>619</v>
      </c>
      <c r="D379" s="2" t="s">
        <v>620</v>
      </c>
      <c r="E379" s="2" t="s">
        <v>3110</v>
      </c>
      <c r="G379" s="3">
        <v>36.356164383561641</v>
      </c>
      <c r="H379" s="2" t="s">
        <v>622</v>
      </c>
      <c r="I379" s="2" t="s">
        <v>3111</v>
      </c>
      <c r="J379" s="2" t="str">
        <f>+IF(BD[[#This Row],[DEPARTAMENTO_INSS]]="MANAGUA","_01_","_02_")</f>
        <v>_02_</v>
      </c>
      <c r="K379" s="2" t="str">
        <f>+CONCATENATE(BD[[#This Row],[Columna3]],BD[[#This Row],[Columna4]],BD[[#This Row],[NOMBRE COMPLETO]])</f>
        <v>E003_02_GEMA DEL ROSARIO OCON LOPEZ</v>
      </c>
      <c r="L379" s="2" t="s">
        <v>786</v>
      </c>
      <c r="M379" s="2" t="s">
        <v>1070</v>
      </c>
      <c r="N379" s="2" t="s">
        <v>381</v>
      </c>
      <c r="O379" s="2" t="s">
        <v>15</v>
      </c>
      <c r="P379" s="2" t="s">
        <v>626</v>
      </c>
      <c r="Q379" s="2" t="s">
        <v>351</v>
      </c>
      <c r="R379" s="2">
        <v>31526</v>
      </c>
      <c r="S379" s="2">
        <v>31526</v>
      </c>
      <c r="T379" s="2" t="s">
        <v>627</v>
      </c>
      <c r="U379" s="2" t="s">
        <v>732</v>
      </c>
      <c r="V379" s="2" t="s">
        <v>627</v>
      </c>
      <c r="W379" s="2" t="s">
        <v>848</v>
      </c>
      <c r="X379" s="2" t="s">
        <v>3112</v>
      </c>
      <c r="Y379" s="2" t="s">
        <v>3113</v>
      </c>
      <c r="Z379" s="2">
        <v>87120091</v>
      </c>
      <c r="AA379" s="2">
        <v>82894115</v>
      </c>
      <c r="AB379" s="2" t="s">
        <v>642</v>
      </c>
      <c r="AC379" s="2" t="s">
        <v>632</v>
      </c>
      <c r="AD379" s="2">
        <v>87120091</v>
      </c>
      <c r="AF379" s="2">
        <v>82894115</v>
      </c>
      <c r="AJ379" s="2">
        <v>87120091</v>
      </c>
      <c r="AK379" s="2">
        <v>2</v>
      </c>
      <c r="AL379" s="2" t="s">
        <v>633</v>
      </c>
      <c r="AM379" s="2">
        <v>0</v>
      </c>
      <c r="AN379" s="2">
        <v>0</v>
      </c>
      <c r="AO379" s="2">
        <v>1</v>
      </c>
      <c r="AP379" s="2">
        <v>0</v>
      </c>
      <c r="AQ379" s="2">
        <v>0</v>
      </c>
      <c r="AR379" s="2">
        <v>0</v>
      </c>
      <c r="AS379" s="2">
        <v>0</v>
      </c>
      <c r="AT379" s="2">
        <v>0</v>
      </c>
      <c r="BB379" s="2" t="str">
        <f>+PROPER(BD[[#This Row],[PRIMER_APELLIDO]])</f>
        <v>Ocon</v>
      </c>
    </row>
    <row r="380" spans="1:54" x14ac:dyDescent="0.25">
      <c r="A380" s="2">
        <v>379</v>
      </c>
      <c r="B380" s="2">
        <v>67095</v>
      </c>
      <c r="C380" s="2" t="s">
        <v>619</v>
      </c>
      <c r="D380" s="2" t="s">
        <v>620</v>
      </c>
      <c r="E380" s="2" t="s">
        <v>3114</v>
      </c>
      <c r="G380" s="3">
        <v>36.356164383561641</v>
      </c>
      <c r="H380" s="2" t="s">
        <v>622</v>
      </c>
      <c r="I380" s="2" t="s">
        <v>3115</v>
      </c>
      <c r="J380" s="2" t="str">
        <f>+IF(BD[[#This Row],[DEPARTAMENTO_INSS]]="MANAGUA","_01_","_02_")</f>
        <v>_01_</v>
      </c>
      <c r="K380" s="2" t="str">
        <f>+CONCATENATE(BD[[#This Row],[Columna3]],BD[[#This Row],[Columna4]],BD[[#This Row],[NOMBRE COMPLETO]])</f>
        <v>E003_01_JUDDYTH ARGENTINA RUIZ SOZA</v>
      </c>
      <c r="L380" s="2" t="s">
        <v>3116</v>
      </c>
      <c r="M380" s="2" t="s">
        <v>928</v>
      </c>
      <c r="N380" s="2" t="s">
        <v>84</v>
      </c>
      <c r="O380" s="2" t="s">
        <v>211</v>
      </c>
      <c r="P380" s="2" t="s">
        <v>626</v>
      </c>
      <c r="Q380" s="2" t="s">
        <v>351</v>
      </c>
      <c r="R380" s="2">
        <v>31526</v>
      </c>
      <c r="S380" s="2">
        <v>31526</v>
      </c>
      <c r="T380" s="2" t="s">
        <v>627</v>
      </c>
      <c r="U380" s="2" t="s">
        <v>627</v>
      </c>
      <c r="V380" s="2" t="s">
        <v>627</v>
      </c>
      <c r="W380" s="2" t="s">
        <v>627</v>
      </c>
      <c r="X380" s="2" t="s">
        <v>3117</v>
      </c>
      <c r="Y380" s="2" t="s">
        <v>3118</v>
      </c>
      <c r="Z380" s="2">
        <v>57684123</v>
      </c>
      <c r="AA380" s="2">
        <v>89888841</v>
      </c>
      <c r="AB380" s="2" t="s">
        <v>631</v>
      </c>
      <c r="AC380" s="2" t="s">
        <v>632</v>
      </c>
      <c r="AD380" s="2">
        <v>57684123</v>
      </c>
      <c r="AF380" s="2">
        <v>89888841</v>
      </c>
      <c r="AJ380" s="2">
        <v>57684123</v>
      </c>
      <c r="AK380" s="2">
        <v>2</v>
      </c>
      <c r="AL380" s="2" t="s">
        <v>633</v>
      </c>
      <c r="AM380" s="2">
        <v>0</v>
      </c>
      <c r="AN380" s="2">
        <v>0</v>
      </c>
      <c r="AO380" s="2">
        <v>1</v>
      </c>
      <c r="AP380" s="2">
        <v>0</v>
      </c>
      <c r="AQ380" s="2">
        <v>0</v>
      </c>
      <c r="AR380" s="2">
        <v>0</v>
      </c>
      <c r="AS380" s="2">
        <v>0</v>
      </c>
      <c r="AT380" s="2">
        <v>0</v>
      </c>
      <c r="AZ380" s="2" t="s">
        <v>2843</v>
      </c>
      <c r="BB380" s="2" t="str">
        <f>+PROPER(BD[[#This Row],[PRIMER_APELLIDO]])</f>
        <v>Ruiz</v>
      </c>
    </row>
    <row r="381" spans="1:54" x14ac:dyDescent="0.25">
      <c r="A381" s="2">
        <v>380</v>
      </c>
      <c r="B381" s="2">
        <v>65559</v>
      </c>
      <c r="C381" s="2" t="s">
        <v>619</v>
      </c>
      <c r="D381" s="2" t="s">
        <v>620</v>
      </c>
      <c r="E381" s="2" t="s">
        <v>3119</v>
      </c>
      <c r="G381" s="3">
        <v>36.358904109589041</v>
      </c>
      <c r="H381" s="2" t="s">
        <v>622</v>
      </c>
      <c r="I381" s="2" t="s">
        <v>3120</v>
      </c>
      <c r="J381" s="2" t="str">
        <f>+IF(BD[[#This Row],[DEPARTAMENTO_INSS]]="MANAGUA","_01_","_02_")</f>
        <v>_02_</v>
      </c>
      <c r="K381" s="2" t="str">
        <f>+CONCATENATE(BD[[#This Row],[Columna3]],BD[[#This Row],[Columna4]],BD[[#This Row],[NOMBRE COMPLETO]])</f>
        <v>E003_02_YAMILETH DEL CARMEN GONZALEZ ZAMBRANA</v>
      </c>
      <c r="L381" s="2" t="s">
        <v>1895</v>
      </c>
      <c r="M381" s="2" t="s">
        <v>961</v>
      </c>
      <c r="N381" s="2" t="s">
        <v>14</v>
      </c>
      <c r="O381" s="2" t="s">
        <v>310</v>
      </c>
      <c r="P381" s="2" t="s">
        <v>626</v>
      </c>
      <c r="Q381" s="2" t="s">
        <v>351</v>
      </c>
      <c r="R381" s="2">
        <v>31525</v>
      </c>
      <c r="S381" s="2">
        <v>31525</v>
      </c>
      <c r="T381" s="2" t="s">
        <v>732</v>
      </c>
      <c r="U381" s="2" t="s">
        <v>732</v>
      </c>
      <c r="V381" s="2" t="s">
        <v>732</v>
      </c>
      <c r="W381" s="2" t="s">
        <v>732</v>
      </c>
      <c r="X381" s="2" t="s">
        <v>3121</v>
      </c>
      <c r="Y381" s="2" t="s">
        <v>3122</v>
      </c>
      <c r="Z381" s="2">
        <v>85130047</v>
      </c>
      <c r="AA381" s="2">
        <v>85130047</v>
      </c>
      <c r="AB381" s="2" t="s">
        <v>654</v>
      </c>
      <c r="AC381" s="2" t="s">
        <v>632</v>
      </c>
      <c r="AD381" s="2">
        <v>85130047</v>
      </c>
      <c r="AJ381" s="2">
        <v>85130047</v>
      </c>
      <c r="AK381" s="2">
        <v>2</v>
      </c>
      <c r="AL381" s="2" t="s">
        <v>633</v>
      </c>
      <c r="AM381" s="2">
        <v>0</v>
      </c>
      <c r="AN381" s="2">
        <v>0</v>
      </c>
      <c r="AO381" s="2">
        <v>1</v>
      </c>
      <c r="AP381" s="2">
        <v>0</v>
      </c>
      <c r="AQ381" s="2">
        <v>0</v>
      </c>
      <c r="AR381" s="2">
        <v>0</v>
      </c>
      <c r="AS381" s="2">
        <v>0</v>
      </c>
      <c r="AT381" s="2">
        <v>0</v>
      </c>
      <c r="BA381" s="2" t="s">
        <v>3123</v>
      </c>
      <c r="BB381" s="2" t="str">
        <f>+PROPER(BD[[#This Row],[PRIMER_APELLIDO]])</f>
        <v>Gonzalez</v>
      </c>
    </row>
    <row r="382" spans="1:54" x14ac:dyDescent="0.25">
      <c r="A382" s="2">
        <v>381</v>
      </c>
      <c r="B382" s="2">
        <v>47794</v>
      </c>
      <c r="C382" s="2" t="s">
        <v>619</v>
      </c>
      <c r="D382" s="2" t="s">
        <v>620</v>
      </c>
      <c r="E382" s="2" t="s">
        <v>3124</v>
      </c>
      <c r="F382" s="2">
        <v>25029189</v>
      </c>
      <c r="G382" s="3">
        <v>36.361643835616441</v>
      </c>
      <c r="H382" s="2" t="s">
        <v>622</v>
      </c>
      <c r="I382" s="2" t="s">
        <v>3125</v>
      </c>
      <c r="J382" s="2" t="str">
        <f>+IF(BD[[#This Row],[DEPARTAMENTO_INSS]]="MANAGUA","_01_","_02_")</f>
        <v>_02_</v>
      </c>
      <c r="K382" s="2" t="str">
        <f>+CONCATENATE(BD[[#This Row],[Columna3]],BD[[#This Row],[Columna4]],BD[[#This Row],[NOMBRE COMPLETO]])</f>
        <v>E003_02_WISTON JOSUE PALMA SIEZAR</v>
      </c>
      <c r="L382" s="2" t="s">
        <v>3126</v>
      </c>
      <c r="M382" s="2" t="s">
        <v>1058</v>
      </c>
      <c r="N382" s="2" t="s">
        <v>78</v>
      </c>
      <c r="O382" s="2" t="s">
        <v>3127</v>
      </c>
      <c r="P382" s="2" t="s">
        <v>649</v>
      </c>
      <c r="Q382" s="2" t="s">
        <v>351</v>
      </c>
      <c r="R382" s="2">
        <v>31524</v>
      </c>
      <c r="S382" s="2">
        <v>31524</v>
      </c>
      <c r="T382" s="2" t="s">
        <v>1005</v>
      </c>
      <c r="U382" s="2" t="s">
        <v>1005</v>
      </c>
      <c r="V382" s="2" t="s">
        <v>1674</v>
      </c>
      <c r="W382" s="2" t="s">
        <v>1674</v>
      </c>
      <c r="X382" s="2" t="s">
        <v>3128</v>
      </c>
      <c r="Y382" s="2" t="s">
        <v>3129</v>
      </c>
      <c r="Z382" s="2">
        <v>58356471</v>
      </c>
      <c r="AA382" s="2">
        <v>82120977</v>
      </c>
      <c r="AB382" s="2" t="s">
        <v>798</v>
      </c>
      <c r="AC382" s="2" t="s">
        <v>632</v>
      </c>
      <c r="AD382" s="2">
        <v>58356471</v>
      </c>
      <c r="AE382" s="2">
        <v>82120977</v>
      </c>
      <c r="AJ382" s="2">
        <v>58356471</v>
      </c>
      <c r="AK382" s="2">
        <v>2</v>
      </c>
      <c r="AL382" s="2" t="s">
        <v>633</v>
      </c>
      <c r="AM382" s="2">
        <v>0</v>
      </c>
      <c r="AN382" s="2">
        <v>0</v>
      </c>
      <c r="AO382" s="2">
        <v>1</v>
      </c>
      <c r="AP382" s="2">
        <v>0</v>
      </c>
      <c r="AQ382" s="2">
        <v>0</v>
      </c>
      <c r="AR382" s="2">
        <v>0</v>
      </c>
      <c r="AS382" s="2">
        <v>0</v>
      </c>
      <c r="AT382" s="2">
        <v>0</v>
      </c>
      <c r="AZ382" s="2" t="s">
        <v>3130</v>
      </c>
      <c r="BB382" s="2" t="str">
        <f>+PROPER(BD[[#This Row],[PRIMER_APELLIDO]])</f>
        <v>Palma</v>
      </c>
    </row>
    <row r="383" spans="1:54" x14ac:dyDescent="0.25">
      <c r="A383" s="2">
        <v>382</v>
      </c>
      <c r="B383" s="2">
        <v>48095</v>
      </c>
      <c r="C383" s="2" t="s">
        <v>619</v>
      </c>
      <c r="D383" s="2" t="s">
        <v>620</v>
      </c>
      <c r="E383" s="2" t="s">
        <v>3131</v>
      </c>
      <c r="F383" s="2">
        <v>25692219</v>
      </c>
      <c r="G383" s="3">
        <v>36.369863013698627</v>
      </c>
      <c r="H383" s="2" t="s">
        <v>622</v>
      </c>
      <c r="I383" s="2" t="s">
        <v>3132</v>
      </c>
      <c r="J383" s="2" t="str">
        <f>+IF(BD[[#This Row],[DEPARTAMENTO_INSS]]="MANAGUA","_01_","_02_")</f>
        <v>_02_</v>
      </c>
      <c r="K383" s="2" t="str">
        <f>+CONCATENATE(BD[[#This Row],[Columna3]],BD[[#This Row],[Columna4]],BD[[#This Row],[NOMBRE COMPLETO]])</f>
        <v>E003_02_LESTER RADDEL GUERRA MORALES</v>
      </c>
      <c r="L383" s="2" t="s">
        <v>1412</v>
      </c>
      <c r="M383" s="2" t="s">
        <v>3133</v>
      </c>
      <c r="N383" s="2" t="s">
        <v>384</v>
      </c>
      <c r="O383" s="2" t="s">
        <v>82</v>
      </c>
      <c r="P383" s="2" t="s">
        <v>649</v>
      </c>
      <c r="Q383" s="2" t="s">
        <v>351</v>
      </c>
      <c r="R383" s="2">
        <v>31521</v>
      </c>
      <c r="S383" s="2">
        <v>31521</v>
      </c>
      <c r="T383" s="2" t="s">
        <v>627</v>
      </c>
      <c r="U383" s="2" t="s">
        <v>176</v>
      </c>
      <c r="V383" s="2" t="s">
        <v>627</v>
      </c>
      <c r="W383" s="2" t="s">
        <v>176</v>
      </c>
      <c r="X383" s="2" t="s">
        <v>3134</v>
      </c>
      <c r="Y383" s="2" t="s">
        <v>3135</v>
      </c>
      <c r="Z383" s="2">
        <v>87256738</v>
      </c>
      <c r="AA383" s="2">
        <v>22683626</v>
      </c>
      <c r="AB383" s="2" t="s">
        <v>654</v>
      </c>
      <c r="AC383" s="2" t="s">
        <v>632</v>
      </c>
      <c r="AD383" s="2">
        <v>87256738</v>
      </c>
      <c r="AJ383" s="2">
        <v>87256738</v>
      </c>
      <c r="AK383" s="2">
        <v>2</v>
      </c>
      <c r="AL383" s="2" t="s">
        <v>633</v>
      </c>
      <c r="AM383" s="2">
        <v>0</v>
      </c>
      <c r="AN383" s="2">
        <v>0</v>
      </c>
      <c r="AO383" s="2">
        <v>1</v>
      </c>
      <c r="AP383" s="2">
        <v>0</v>
      </c>
      <c r="AQ383" s="2">
        <v>0</v>
      </c>
      <c r="AR383" s="2">
        <v>0</v>
      </c>
      <c r="AS383" s="2">
        <v>0</v>
      </c>
      <c r="AT383" s="2">
        <v>0</v>
      </c>
      <c r="AZ383" s="2" t="s">
        <v>3136</v>
      </c>
      <c r="BB383" s="2" t="str">
        <f>+PROPER(BD[[#This Row],[PRIMER_APELLIDO]])</f>
        <v>Guerra</v>
      </c>
    </row>
    <row r="384" spans="1:54" x14ac:dyDescent="0.25">
      <c r="A384" s="2">
        <v>383</v>
      </c>
      <c r="B384" s="2">
        <v>35358</v>
      </c>
      <c r="C384" s="2" t="s">
        <v>619</v>
      </c>
      <c r="D384" s="2" t="s">
        <v>620</v>
      </c>
      <c r="E384" s="2" t="s">
        <v>3137</v>
      </c>
      <c r="F384" s="2">
        <v>21530692</v>
      </c>
      <c r="G384" s="3">
        <v>36.37808219178082</v>
      </c>
      <c r="H384" s="2" t="s">
        <v>622</v>
      </c>
      <c r="I384" s="2" t="s">
        <v>3138</v>
      </c>
      <c r="J384" s="2" t="str">
        <f>+IF(BD[[#This Row],[DEPARTAMENTO_INSS]]="MANAGUA","_01_","_02_")</f>
        <v>_02_</v>
      </c>
      <c r="K384" s="2" t="str">
        <f>+CONCATENATE(BD[[#This Row],[Columna3]],BD[[#This Row],[Columna4]],BD[[#This Row],[NOMBRE COMPLETO]])</f>
        <v>E003_02_MARIA LUISA LOZANO PEREZ</v>
      </c>
      <c r="L384" s="2" t="s">
        <v>724</v>
      </c>
      <c r="M384" s="2" t="s">
        <v>1961</v>
      </c>
      <c r="N384" s="2" t="s">
        <v>143</v>
      </c>
      <c r="O384" s="2" t="s">
        <v>24</v>
      </c>
      <c r="P384" s="2" t="s">
        <v>626</v>
      </c>
      <c r="Q384" s="2" t="s">
        <v>351</v>
      </c>
      <c r="R384" s="2">
        <v>31518</v>
      </c>
      <c r="S384" s="2">
        <v>31518</v>
      </c>
      <c r="T384" s="2" t="s">
        <v>133</v>
      </c>
      <c r="U384" s="2" t="s">
        <v>133</v>
      </c>
      <c r="V384" s="2" t="s">
        <v>869</v>
      </c>
      <c r="W384" s="2" t="s">
        <v>869</v>
      </c>
      <c r="X384" s="2" t="s">
        <v>3139</v>
      </c>
      <c r="Y384" s="2" t="s">
        <v>3140</v>
      </c>
      <c r="AA384" s="2" t="s">
        <v>3141</v>
      </c>
      <c r="AB384" s="2" t="s">
        <v>642</v>
      </c>
      <c r="AC384" s="2" t="s">
        <v>632</v>
      </c>
      <c r="AK384" s="2">
        <v>2</v>
      </c>
      <c r="AL384" s="2" t="s">
        <v>633</v>
      </c>
      <c r="AM384" s="2">
        <v>0</v>
      </c>
      <c r="AN384" s="2">
        <v>0</v>
      </c>
      <c r="AO384" s="2">
        <v>1</v>
      </c>
      <c r="AP384" s="2">
        <v>0</v>
      </c>
      <c r="AQ384" s="2">
        <v>0</v>
      </c>
      <c r="AR384" s="2">
        <v>0</v>
      </c>
      <c r="AS384" s="2">
        <v>0</v>
      </c>
      <c r="AT384" s="2">
        <v>0</v>
      </c>
      <c r="BB384" s="2" t="str">
        <f>+PROPER(BD[[#This Row],[PRIMER_APELLIDO]])</f>
        <v>Lozano</v>
      </c>
    </row>
    <row r="385" spans="1:54" x14ac:dyDescent="0.25">
      <c r="A385" s="2">
        <v>384</v>
      </c>
      <c r="B385" s="2">
        <v>36917</v>
      </c>
      <c r="C385" s="2" t="s">
        <v>619</v>
      </c>
      <c r="D385" s="2" t="s">
        <v>620</v>
      </c>
      <c r="E385" s="2" t="s">
        <v>3142</v>
      </c>
      <c r="F385" s="2">
        <v>22117845</v>
      </c>
      <c r="G385" s="3">
        <v>36.38082191780822</v>
      </c>
      <c r="H385" s="2" t="s">
        <v>622</v>
      </c>
      <c r="I385" s="2" t="s">
        <v>3143</v>
      </c>
      <c r="J385" s="2" t="str">
        <f>+IF(BD[[#This Row],[DEPARTAMENTO_INSS]]="MANAGUA","_01_","_02_")</f>
        <v>_01_</v>
      </c>
      <c r="K385" s="2" t="str">
        <f>+CONCATENATE(BD[[#This Row],[Columna3]],BD[[#This Row],[Columna4]],BD[[#This Row],[NOMBRE COMPLETO]])</f>
        <v>E003_01_WILBERT DANIEL LOPEZ TORUÑO</v>
      </c>
      <c r="L385" s="2" t="s">
        <v>3144</v>
      </c>
      <c r="M385" s="2" t="s">
        <v>2175</v>
      </c>
      <c r="N385" s="2" t="s">
        <v>15</v>
      </c>
      <c r="O385" s="2" t="s">
        <v>392</v>
      </c>
      <c r="P385" s="2" t="s">
        <v>649</v>
      </c>
      <c r="Q385" s="2" t="s">
        <v>351</v>
      </c>
      <c r="R385" s="2">
        <v>31517</v>
      </c>
      <c r="S385" s="2">
        <v>31517</v>
      </c>
      <c r="T385" s="2" t="s">
        <v>627</v>
      </c>
      <c r="U385" s="2" t="s">
        <v>627</v>
      </c>
      <c r="V385" s="2" t="s">
        <v>627</v>
      </c>
      <c r="W385" s="2" t="s">
        <v>627</v>
      </c>
      <c r="X385" s="2" t="s">
        <v>3145</v>
      </c>
      <c r="Y385" s="2" t="s">
        <v>3146</v>
      </c>
      <c r="AA385" s="2" t="s">
        <v>3147</v>
      </c>
      <c r="AB385" s="2" t="s">
        <v>654</v>
      </c>
      <c r="AC385" s="2" t="s">
        <v>632</v>
      </c>
      <c r="AE385" s="2">
        <v>88541669</v>
      </c>
      <c r="AJ385" s="2">
        <v>88541669</v>
      </c>
      <c r="AK385" s="2">
        <v>2</v>
      </c>
      <c r="AL385" s="2" t="s">
        <v>633</v>
      </c>
      <c r="AM385" s="2">
        <v>0</v>
      </c>
      <c r="AN385" s="2">
        <v>0</v>
      </c>
      <c r="AO385" s="2">
        <v>1</v>
      </c>
      <c r="AP385" s="2">
        <v>0</v>
      </c>
      <c r="AQ385" s="2">
        <v>0</v>
      </c>
      <c r="AR385" s="2">
        <v>0</v>
      </c>
      <c r="AS385" s="2">
        <v>0</v>
      </c>
      <c r="AT385" s="2">
        <v>0</v>
      </c>
      <c r="BB385" s="2" t="str">
        <f>+PROPER(BD[[#This Row],[PRIMER_APELLIDO]])</f>
        <v>Lopez</v>
      </c>
    </row>
    <row r="386" spans="1:54" x14ac:dyDescent="0.25">
      <c r="A386" s="2">
        <v>385</v>
      </c>
      <c r="B386" s="2">
        <v>44428</v>
      </c>
      <c r="C386" s="2" t="s">
        <v>619</v>
      </c>
      <c r="D386" s="2" t="s">
        <v>620</v>
      </c>
      <c r="E386" s="2" t="s">
        <v>3148</v>
      </c>
      <c r="F386" s="2">
        <v>24236836</v>
      </c>
      <c r="G386" s="3">
        <v>36.38356164383562</v>
      </c>
      <c r="H386" s="2" t="s">
        <v>622</v>
      </c>
      <c r="I386" s="2" t="s">
        <v>3149</v>
      </c>
      <c r="J386" s="2" t="str">
        <f>+IF(BD[[#This Row],[DEPARTAMENTO_INSS]]="MANAGUA","_01_","_02_")</f>
        <v>_01_</v>
      </c>
      <c r="K386" s="2" t="str">
        <f>+CONCATENATE(BD[[#This Row],[Columna3]],BD[[#This Row],[Columna4]],BD[[#This Row],[NOMBRE COMPLETO]])</f>
        <v>E003_01_JACKELINE AURORA ZEAS SANCHEZ</v>
      </c>
      <c r="L386" s="2" t="s">
        <v>3150</v>
      </c>
      <c r="M386" s="2" t="s">
        <v>3101</v>
      </c>
      <c r="N386" s="2" t="s">
        <v>36</v>
      </c>
      <c r="O386" s="2" t="s">
        <v>90</v>
      </c>
      <c r="P386" s="2" t="s">
        <v>626</v>
      </c>
      <c r="Q386" s="2" t="s">
        <v>351</v>
      </c>
      <c r="R386" s="2">
        <v>31516</v>
      </c>
      <c r="S386" s="2">
        <v>31516</v>
      </c>
      <c r="T386" s="2" t="s">
        <v>627</v>
      </c>
      <c r="U386" s="2" t="s">
        <v>627</v>
      </c>
      <c r="V386" s="2" t="s">
        <v>627</v>
      </c>
      <c r="W386" s="2" t="s">
        <v>1406</v>
      </c>
      <c r="Y386" s="2" t="s">
        <v>3151</v>
      </c>
      <c r="AA386" s="2" t="s">
        <v>3152</v>
      </c>
      <c r="AB386" s="2" t="s">
        <v>654</v>
      </c>
      <c r="AC386" s="2" t="s">
        <v>632</v>
      </c>
      <c r="AH386" s="2">
        <v>88955707</v>
      </c>
      <c r="AK386" s="2">
        <v>3</v>
      </c>
      <c r="AL386" s="2" t="s">
        <v>633</v>
      </c>
      <c r="AM386" s="2">
        <v>0</v>
      </c>
      <c r="AN386" s="2">
        <v>0</v>
      </c>
      <c r="AO386" s="2">
        <v>1</v>
      </c>
      <c r="AP386" s="2">
        <v>0</v>
      </c>
      <c r="AQ386" s="2">
        <v>0</v>
      </c>
      <c r="AR386" s="2">
        <v>0</v>
      </c>
      <c r="AS386" s="2">
        <v>0</v>
      </c>
      <c r="AT386" s="2">
        <v>0</v>
      </c>
      <c r="BB386" s="2" t="str">
        <f>+PROPER(BD[[#This Row],[PRIMER_APELLIDO]])</f>
        <v>Zeas</v>
      </c>
    </row>
    <row r="387" spans="1:54" x14ac:dyDescent="0.25">
      <c r="A387" s="2">
        <v>386</v>
      </c>
      <c r="B387" s="2">
        <v>25614</v>
      </c>
      <c r="C387" s="2" t="s">
        <v>619</v>
      </c>
      <c r="D387" s="2" t="s">
        <v>620</v>
      </c>
      <c r="E387" s="2" t="s">
        <v>3153</v>
      </c>
      <c r="F387" s="2">
        <v>20426662</v>
      </c>
      <c r="G387" s="3">
        <v>36.386301369863013</v>
      </c>
      <c r="H387" s="2" t="s">
        <v>622</v>
      </c>
      <c r="I387" s="2" t="s">
        <v>3154</v>
      </c>
      <c r="J387" s="2" t="str">
        <f>+IF(BD[[#This Row],[DEPARTAMENTO_INSS]]="MANAGUA","_01_","_02_")</f>
        <v>_02_</v>
      </c>
      <c r="K387" s="2" t="str">
        <f>+CONCATENATE(BD[[#This Row],[Columna3]],BD[[#This Row],[Columna4]],BD[[#This Row],[NOMBRE COMPLETO]])</f>
        <v>E003_02_NINETH CAROLINA BALTODANO ALGABA</v>
      </c>
      <c r="L387" s="2" t="s">
        <v>3155</v>
      </c>
      <c r="M387" s="2" t="s">
        <v>714</v>
      </c>
      <c r="N387" s="2" t="s">
        <v>112</v>
      </c>
      <c r="O387" s="2" t="s">
        <v>3156</v>
      </c>
      <c r="P387" s="2" t="s">
        <v>626</v>
      </c>
      <c r="Q387" s="2" t="s">
        <v>351</v>
      </c>
      <c r="R387" s="2">
        <v>31515</v>
      </c>
      <c r="S387" s="2">
        <v>31515</v>
      </c>
      <c r="T387" s="2" t="s">
        <v>732</v>
      </c>
      <c r="U387" s="2" t="s">
        <v>732</v>
      </c>
      <c r="V387" s="2" t="s">
        <v>732</v>
      </c>
      <c r="W387" s="2" t="s">
        <v>732</v>
      </c>
      <c r="X387" s="2" t="s">
        <v>3157</v>
      </c>
      <c r="Y387" s="2" t="s">
        <v>3158</v>
      </c>
      <c r="Z387" s="2" t="s">
        <v>3159</v>
      </c>
      <c r="AA387" s="2" t="s">
        <v>3160</v>
      </c>
      <c r="AB387" s="2" t="s">
        <v>642</v>
      </c>
      <c r="AC387" s="2" t="s">
        <v>632</v>
      </c>
      <c r="AD387" s="2">
        <v>88804550</v>
      </c>
      <c r="AE387" s="2">
        <v>88788723</v>
      </c>
      <c r="AJ387" s="2">
        <v>88804550</v>
      </c>
      <c r="AK387" s="2">
        <v>4</v>
      </c>
      <c r="AL387" s="2" t="s">
        <v>633</v>
      </c>
      <c r="AM387" s="2">
        <v>0</v>
      </c>
      <c r="AN387" s="2">
        <v>0</v>
      </c>
      <c r="AO387" s="2">
        <v>1</v>
      </c>
      <c r="AP387" s="2">
        <v>0</v>
      </c>
      <c r="AQ387" s="2">
        <v>0</v>
      </c>
      <c r="AR387" s="2">
        <v>0</v>
      </c>
      <c r="AS387" s="2">
        <v>0</v>
      </c>
      <c r="AT387" s="2">
        <v>0</v>
      </c>
      <c r="AZ387" s="2" t="s">
        <v>3161</v>
      </c>
      <c r="BB387" s="2" t="str">
        <f>+PROPER(BD[[#This Row],[PRIMER_APELLIDO]])</f>
        <v>Baltodano</v>
      </c>
    </row>
    <row r="388" spans="1:54" x14ac:dyDescent="0.25">
      <c r="A388" s="2">
        <v>387</v>
      </c>
      <c r="B388" s="2">
        <v>39137</v>
      </c>
      <c r="C388" s="2" t="s">
        <v>619</v>
      </c>
      <c r="D388" s="2" t="s">
        <v>620</v>
      </c>
      <c r="E388" s="2" t="s">
        <v>3162</v>
      </c>
      <c r="F388" s="2">
        <v>23142734</v>
      </c>
      <c r="G388" s="3">
        <v>36.386301369863013</v>
      </c>
      <c r="H388" s="2" t="s">
        <v>622</v>
      </c>
      <c r="I388" s="2" t="s">
        <v>3163</v>
      </c>
      <c r="J388" s="2" t="str">
        <f>+IF(BD[[#This Row],[DEPARTAMENTO_INSS]]="MANAGUA","_01_","_02_")</f>
        <v>_01_</v>
      </c>
      <c r="K388" s="2" t="str">
        <f>+CONCATENATE(BD[[#This Row],[Columna3]],BD[[#This Row],[Columna4]],BD[[#This Row],[NOMBRE COMPLETO]])</f>
        <v>E003_01_WILMAR GERARDO VELASQUEZ BERRIOS</v>
      </c>
      <c r="L388" s="2" t="s">
        <v>3164</v>
      </c>
      <c r="M388" s="2" t="s">
        <v>647</v>
      </c>
      <c r="N388" s="2" t="s">
        <v>48</v>
      </c>
      <c r="O388" s="2" t="s">
        <v>108</v>
      </c>
      <c r="P388" s="2" t="s">
        <v>649</v>
      </c>
      <c r="Q388" s="2" t="s">
        <v>351</v>
      </c>
      <c r="R388" s="2">
        <v>31515</v>
      </c>
      <c r="S388" s="2">
        <v>31515</v>
      </c>
      <c r="T388" s="2" t="s">
        <v>627</v>
      </c>
      <c r="U388" s="2" t="s">
        <v>627</v>
      </c>
      <c r="V388" s="2" t="s">
        <v>627</v>
      </c>
      <c r="W388" s="2" t="s">
        <v>627</v>
      </c>
      <c r="X388" s="2" t="s">
        <v>3165</v>
      </c>
      <c r="Y388" s="2" t="s">
        <v>3166</v>
      </c>
      <c r="Z388" s="2">
        <v>88183813</v>
      </c>
      <c r="AA388" s="2">
        <v>88183813</v>
      </c>
      <c r="AB388" s="2" t="s">
        <v>654</v>
      </c>
      <c r="AC388" s="2" t="s">
        <v>632</v>
      </c>
      <c r="AD388" s="2">
        <v>88183813</v>
      </c>
      <c r="AJ388" s="2">
        <v>88183813</v>
      </c>
      <c r="AK388" s="2">
        <v>2</v>
      </c>
      <c r="AL388" s="2" t="s">
        <v>633</v>
      </c>
      <c r="AM388" s="2">
        <v>0</v>
      </c>
      <c r="AN388" s="2">
        <v>0</v>
      </c>
      <c r="AO388" s="2">
        <v>1</v>
      </c>
      <c r="AP388" s="2">
        <v>0</v>
      </c>
      <c r="AQ388" s="2">
        <v>0</v>
      </c>
      <c r="AR388" s="2">
        <v>0</v>
      </c>
      <c r="AS388" s="2">
        <v>0</v>
      </c>
      <c r="AT388" s="2">
        <v>0</v>
      </c>
      <c r="AZ388" s="2" t="s">
        <v>3167</v>
      </c>
      <c r="BB388" s="2" t="str">
        <f>+PROPER(BD[[#This Row],[PRIMER_APELLIDO]])</f>
        <v>Velasquez</v>
      </c>
    </row>
    <row r="389" spans="1:54" x14ac:dyDescent="0.25">
      <c r="A389" s="2">
        <v>388</v>
      </c>
      <c r="B389" s="2">
        <v>48664</v>
      </c>
      <c r="C389" s="2" t="s">
        <v>619</v>
      </c>
      <c r="D389" s="2" t="s">
        <v>620</v>
      </c>
      <c r="E389" s="2" t="s">
        <v>3168</v>
      </c>
      <c r="F389" s="2">
        <v>26963123</v>
      </c>
      <c r="G389" s="3">
        <v>36.386301369863013</v>
      </c>
      <c r="H389" s="2" t="s">
        <v>622</v>
      </c>
      <c r="I389" s="2" t="s">
        <v>3169</v>
      </c>
      <c r="J389" s="2" t="str">
        <f>+IF(BD[[#This Row],[DEPARTAMENTO_INSS]]="MANAGUA","_01_","_02_")</f>
        <v>_02_</v>
      </c>
      <c r="K389" s="2" t="str">
        <f>+CONCATENATE(BD[[#This Row],[Columna3]],BD[[#This Row],[Columna4]],BD[[#This Row],[NOMBRE COMPLETO]])</f>
        <v>E003_02_CRISTHIAN ESPERANZA MENDEZ UGARTE</v>
      </c>
      <c r="L389" s="2" t="s">
        <v>3170</v>
      </c>
      <c r="M389" s="2" t="s">
        <v>2707</v>
      </c>
      <c r="N389" s="2" t="s">
        <v>203</v>
      </c>
      <c r="O389" s="2" t="s">
        <v>3171</v>
      </c>
      <c r="P389" s="2" t="s">
        <v>626</v>
      </c>
      <c r="Q389" s="2" t="s">
        <v>351</v>
      </c>
      <c r="R389" s="2">
        <v>31515</v>
      </c>
      <c r="S389" s="2">
        <v>31515</v>
      </c>
      <c r="T389" s="2" t="s">
        <v>186</v>
      </c>
      <c r="U389" s="2" t="s">
        <v>186</v>
      </c>
      <c r="V389" s="2" t="s">
        <v>1754</v>
      </c>
      <c r="W389" s="2" t="s">
        <v>1755</v>
      </c>
      <c r="X389" s="2" t="s">
        <v>3172</v>
      </c>
      <c r="Y389" s="2" t="s">
        <v>3173</v>
      </c>
      <c r="Z389" s="2">
        <v>83802492</v>
      </c>
      <c r="AB389" s="2" t="s">
        <v>631</v>
      </c>
      <c r="AC389" s="2" t="s">
        <v>632</v>
      </c>
      <c r="AD389" s="2">
        <v>83802492</v>
      </c>
      <c r="AJ389" s="2">
        <v>83802492</v>
      </c>
      <c r="AK389" s="2">
        <v>1</v>
      </c>
      <c r="AL389" s="2" t="s">
        <v>633</v>
      </c>
      <c r="AM389" s="2">
        <v>0</v>
      </c>
      <c r="AN389" s="2">
        <v>0</v>
      </c>
      <c r="AO389" s="2">
        <v>1</v>
      </c>
      <c r="AP389" s="2">
        <v>0</v>
      </c>
      <c r="AQ389" s="2">
        <v>0</v>
      </c>
      <c r="AR389" s="2">
        <v>0</v>
      </c>
      <c r="AS389" s="2">
        <v>0</v>
      </c>
      <c r="AT389" s="2">
        <v>0</v>
      </c>
      <c r="AZ389" s="2" t="s">
        <v>3174</v>
      </c>
      <c r="BB389" s="2" t="str">
        <f>+PROPER(BD[[#This Row],[PRIMER_APELLIDO]])</f>
        <v>Mendez</v>
      </c>
    </row>
    <row r="390" spans="1:54" x14ac:dyDescent="0.25">
      <c r="A390" s="2">
        <v>389</v>
      </c>
      <c r="B390" s="2">
        <v>47811</v>
      </c>
      <c r="C390" s="2" t="s">
        <v>619</v>
      </c>
      <c r="D390" s="2" t="s">
        <v>620</v>
      </c>
      <c r="E390" s="2" t="s">
        <v>3175</v>
      </c>
      <c r="F390" s="2">
        <v>16390920</v>
      </c>
      <c r="G390" s="3">
        <v>36.389041095890413</v>
      </c>
      <c r="H390" s="2" t="s">
        <v>622</v>
      </c>
      <c r="I390" s="2" t="s">
        <v>3176</v>
      </c>
      <c r="J390" s="2" t="str">
        <f>+IF(BD[[#This Row],[DEPARTAMENTO_INSS]]="MANAGUA","_01_","_02_")</f>
        <v>_02_</v>
      </c>
      <c r="K390" s="2" t="str">
        <f>+CONCATENATE(BD[[#This Row],[Columna3]],BD[[#This Row],[Columna4]],BD[[#This Row],[NOMBRE COMPLETO]])</f>
        <v>E003_02_TANIA EDITH MENDEZ MATAMOROS</v>
      </c>
      <c r="L390" s="2" t="s">
        <v>2305</v>
      </c>
      <c r="M390" s="2" t="s">
        <v>1783</v>
      </c>
      <c r="N390" s="2" t="s">
        <v>203</v>
      </c>
      <c r="O390" s="2" t="s">
        <v>382</v>
      </c>
      <c r="P390" s="2" t="s">
        <v>626</v>
      </c>
      <c r="Q390" s="2" t="s">
        <v>351</v>
      </c>
      <c r="R390" s="2">
        <v>31514</v>
      </c>
      <c r="S390" s="2">
        <v>31514</v>
      </c>
      <c r="T390" s="2" t="s">
        <v>176</v>
      </c>
      <c r="U390" s="2" t="s">
        <v>176</v>
      </c>
      <c r="V390" s="2" t="s">
        <v>650</v>
      </c>
      <c r="W390" s="2" t="s">
        <v>176</v>
      </c>
      <c r="X390" s="2" t="s">
        <v>3177</v>
      </c>
      <c r="Y390" s="2" t="s">
        <v>3178</v>
      </c>
      <c r="Z390" s="2">
        <v>88047068</v>
      </c>
      <c r="AA390" s="2">
        <v>88047068</v>
      </c>
      <c r="AB390" s="2" t="s">
        <v>631</v>
      </c>
      <c r="AC390" s="2" t="s">
        <v>632</v>
      </c>
      <c r="AD390" s="2">
        <v>88047068</v>
      </c>
      <c r="AJ390" s="2">
        <v>88047068</v>
      </c>
      <c r="AK390" s="2">
        <v>2</v>
      </c>
      <c r="AL390" s="2" t="s">
        <v>633</v>
      </c>
      <c r="AM390" s="2">
        <v>0</v>
      </c>
      <c r="AN390" s="2">
        <v>0</v>
      </c>
      <c r="AO390" s="2">
        <v>1</v>
      </c>
      <c r="AP390" s="2">
        <v>0</v>
      </c>
      <c r="AQ390" s="2">
        <v>0</v>
      </c>
      <c r="AR390" s="2">
        <v>0</v>
      </c>
      <c r="AS390" s="2">
        <v>0</v>
      </c>
      <c r="AT390" s="2">
        <v>0</v>
      </c>
      <c r="AZ390" s="2" t="s">
        <v>3179</v>
      </c>
      <c r="BB390" s="2" t="str">
        <f>+PROPER(BD[[#This Row],[PRIMER_APELLIDO]])</f>
        <v>Mendez</v>
      </c>
    </row>
    <row r="391" spans="1:54" x14ac:dyDescent="0.25">
      <c r="A391" s="2">
        <v>390</v>
      </c>
      <c r="B391" s="2">
        <v>50281</v>
      </c>
      <c r="C391" s="2" t="s">
        <v>619</v>
      </c>
      <c r="D391" s="2" t="s">
        <v>620</v>
      </c>
      <c r="E391" s="2" t="s">
        <v>3180</v>
      </c>
      <c r="F391" s="2">
        <v>25623051</v>
      </c>
      <c r="G391" s="3">
        <v>36.389041095890413</v>
      </c>
      <c r="H391" s="2" t="s">
        <v>622</v>
      </c>
      <c r="I391" s="2" t="s">
        <v>3181</v>
      </c>
      <c r="J391" s="2" t="str">
        <f>+IF(BD[[#This Row],[DEPARTAMENTO_INSS]]="MANAGUA","_01_","_02_")</f>
        <v>_02_</v>
      </c>
      <c r="K391" s="2" t="str">
        <f>+CONCATENATE(BD[[#This Row],[Columna3]],BD[[#This Row],[Columna4]],BD[[#This Row],[NOMBRE COMPLETO]])</f>
        <v>E003_02_MYRIAM AUXILIADORA CANTON GOMEZ</v>
      </c>
      <c r="L391" s="2" t="s">
        <v>3182</v>
      </c>
      <c r="M391" s="2" t="s">
        <v>970</v>
      </c>
      <c r="N391" s="2" t="s">
        <v>446</v>
      </c>
      <c r="O391" s="2" t="s">
        <v>43</v>
      </c>
      <c r="P391" s="2" t="s">
        <v>626</v>
      </c>
      <c r="Q391" s="2" t="s">
        <v>351</v>
      </c>
      <c r="R391" s="2">
        <v>31514</v>
      </c>
      <c r="S391" s="2">
        <v>31514</v>
      </c>
      <c r="T391" s="2" t="s">
        <v>732</v>
      </c>
      <c r="U391" s="2" t="s">
        <v>732</v>
      </c>
      <c r="V391" s="2" t="s">
        <v>732</v>
      </c>
      <c r="W391" s="2" t="s">
        <v>732</v>
      </c>
      <c r="X391" s="2" t="s">
        <v>3183</v>
      </c>
      <c r="Y391" s="2" t="s">
        <v>3184</v>
      </c>
      <c r="AA391" s="2">
        <v>89646916</v>
      </c>
      <c r="AB391" s="2" t="s">
        <v>642</v>
      </c>
      <c r="AC391" s="2" t="s">
        <v>632</v>
      </c>
      <c r="AD391" s="2">
        <v>89646916</v>
      </c>
      <c r="AJ391" s="2">
        <v>89646916</v>
      </c>
      <c r="AK391" s="2">
        <v>1</v>
      </c>
      <c r="AL391" s="2" t="s">
        <v>633</v>
      </c>
      <c r="AM391" s="2">
        <v>0</v>
      </c>
      <c r="AN391" s="2">
        <v>0</v>
      </c>
      <c r="AO391" s="2">
        <v>1</v>
      </c>
      <c r="AP391" s="2">
        <v>0</v>
      </c>
      <c r="AQ391" s="2">
        <v>0</v>
      </c>
      <c r="AR391" s="2">
        <v>0</v>
      </c>
      <c r="AS391" s="2">
        <v>0</v>
      </c>
      <c r="AT391" s="2">
        <v>0</v>
      </c>
      <c r="BB391" s="2" t="str">
        <f>+PROPER(BD[[#This Row],[PRIMER_APELLIDO]])</f>
        <v>Canton</v>
      </c>
    </row>
    <row r="392" spans="1:54" x14ac:dyDescent="0.25">
      <c r="A392" s="2">
        <v>391</v>
      </c>
      <c r="B392" s="2">
        <v>50828</v>
      </c>
      <c r="C392" s="2" t="s">
        <v>619</v>
      </c>
      <c r="D392" s="2" t="s">
        <v>620</v>
      </c>
      <c r="E392" s="2" t="s">
        <v>3185</v>
      </c>
      <c r="F392" s="2">
        <v>25024966</v>
      </c>
      <c r="G392" s="3">
        <v>36.389041095890413</v>
      </c>
      <c r="H392" s="2" t="s">
        <v>622</v>
      </c>
      <c r="I392" s="2" t="s">
        <v>3186</v>
      </c>
      <c r="J392" s="2" t="str">
        <f>+IF(BD[[#This Row],[DEPARTAMENTO_INSS]]="MANAGUA","_01_","_02_")</f>
        <v>_02_</v>
      </c>
      <c r="K392" s="2" t="str">
        <f>+CONCATENATE(BD[[#This Row],[Columna3]],BD[[#This Row],[Columna4]],BD[[#This Row],[NOMBRE COMPLETO]])</f>
        <v>E003_02_MARBELI DEL CARMEN BELLO MENDOZA</v>
      </c>
      <c r="L392" s="2" t="s">
        <v>3187</v>
      </c>
      <c r="M392" s="2" t="s">
        <v>961</v>
      </c>
      <c r="N392" s="2" t="s">
        <v>145</v>
      </c>
      <c r="O392" s="2" t="s">
        <v>9</v>
      </c>
      <c r="P392" s="2" t="s">
        <v>626</v>
      </c>
      <c r="Q392" s="2" t="s">
        <v>351</v>
      </c>
      <c r="R392" s="2">
        <v>31514</v>
      </c>
      <c r="S392" s="2">
        <v>31514</v>
      </c>
      <c r="T392" s="2" t="s">
        <v>669</v>
      </c>
      <c r="U392" s="2" t="s">
        <v>669</v>
      </c>
      <c r="V392" s="2" t="s">
        <v>669</v>
      </c>
      <c r="W392" s="2" t="s">
        <v>669</v>
      </c>
      <c r="X392" s="2" t="s">
        <v>3188</v>
      </c>
      <c r="Y392" s="2" t="s">
        <v>3189</v>
      </c>
      <c r="AA392" s="2" t="s">
        <v>3190</v>
      </c>
      <c r="AB392" s="2" t="s">
        <v>631</v>
      </c>
      <c r="AC392" s="2" t="s">
        <v>632</v>
      </c>
      <c r="AE392" s="2">
        <v>86034438</v>
      </c>
      <c r="AJ392" s="2">
        <v>86034438</v>
      </c>
      <c r="AK392" s="2">
        <v>2</v>
      </c>
      <c r="AL392" s="2" t="s">
        <v>633</v>
      </c>
      <c r="AM392" s="2">
        <v>0</v>
      </c>
      <c r="AN392" s="2">
        <v>0</v>
      </c>
      <c r="AO392" s="2">
        <v>1</v>
      </c>
      <c r="AP392" s="2">
        <v>0</v>
      </c>
      <c r="AQ392" s="2">
        <v>0</v>
      </c>
      <c r="AR392" s="2">
        <v>0</v>
      </c>
      <c r="AS392" s="2">
        <v>0</v>
      </c>
      <c r="AT392" s="2">
        <v>0</v>
      </c>
      <c r="BB392" s="2" t="str">
        <f>+PROPER(BD[[#This Row],[PRIMER_APELLIDO]])</f>
        <v>Bello</v>
      </c>
    </row>
    <row r="393" spans="1:54" x14ac:dyDescent="0.25">
      <c r="A393" s="2">
        <v>392</v>
      </c>
      <c r="B393" s="2">
        <v>46610</v>
      </c>
      <c r="C393" s="2" t="s">
        <v>619</v>
      </c>
      <c r="D393" s="2" t="s">
        <v>620</v>
      </c>
      <c r="E393" s="2" t="s">
        <v>3191</v>
      </c>
      <c r="F393" s="2">
        <v>24242565</v>
      </c>
      <c r="G393" s="3">
        <v>36.391780821917806</v>
      </c>
      <c r="H393" s="2" t="s">
        <v>622</v>
      </c>
      <c r="I393" s="2" t="s">
        <v>3192</v>
      </c>
      <c r="J393" s="2" t="str">
        <f>+IF(BD[[#This Row],[DEPARTAMENTO_INSS]]="MANAGUA","_01_","_02_")</f>
        <v>_02_</v>
      </c>
      <c r="K393" s="2" t="str">
        <f>+CONCATENATE(BD[[#This Row],[Columna3]],BD[[#This Row],[Columna4]],BD[[#This Row],[NOMBRE COMPLETO]])</f>
        <v>E003_02_BRENDA SOFAR TAPIA LOPEZ</v>
      </c>
      <c r="L393" s="2" t="s">
        <v>1378</v>
      </c>
      <c r="M393" s="2" t="s">
        <v>3193</v>
      </c>
      <c r="N393" s="2" t="s">
        <v>338</v>
      </c>
      <c r="O393" s="2" t="s">
        <v>15</v>
      </c>
      <c r="P393" s="2" t="s">
        <v>626</v>
      </c>
      <c r="Q393" s="2" t="s">
        <v>351</v>
      </c>
      <c r="R393" s="2">
        <v>31513</v>
      </c>
      <c r="S393" s="2">
        <v>31513</v>
      </c>
      <c r="T393" s="2" t="s">
        <v>176</v>
      </c>
      <c r="U393" s="2" t="s">
        <v>1104</v>
      </c>
      <c r="V393" s="2" t="s">
        <v>650</v>
      </c>
      <c r="W393" s="2" t="s">
        <v>1104</v>
      </c>
      <c r="X393" s="2" t="s">
        <v>3194</v>
      </c>
      <c r="Y393" s="2" t="s">
        <v>3195</v>
      </c>
      <c r="AA393" s="2">
        <v>85559967</v>
      </c>
      <c r="AB393" s="2" t="s">
        <v>654</v>
      </c>
      <c r="AC393" s="2" t="s">
        <v>632</v>
      </c>
      <c r="AD393" s="2">
        <v>85559967</v>
      </c>
      <c r="AJ393" s="2">
        <v>85559967</v>
      </c>
      <c r="AK393" s="2">
        <v>1</v>
      </c>
      <c r="AL393" s="2" t="s">
        <v>633</v>
      </c>
      <c r="AM393" s="2">
        <v>0</v>
      </c>
      <c r="AN393" s="2">
        <v>0</v>
      </c>
      <c r="AO393" s="2">
        <v>1</v>
      </c>
      <c r="AP393" s="2">
        <v>0</v>
      </c>
      <c r="AQ393" s="2">
        <v>0</v>
      </c>
      <c r="AR393" s="2">
        <v>0</v>
      </c>
      <c r="AS393" s="2">
        <v>0</v>
      </c>
      <c r="AT393" s="2">
        <v>0</v>
      </c>
      <c r="BA393" s="2" t="s">
        <v>3196</v>
      </c>
      <c r="BB393" s="2" t="str">
        <f>+PROPER(BD[[#This Row],[PRIMER_APELLIDO]])</f>
        <v>Tapia</v>
      </c>
    </row>
    <row r="394" spans="1:54" x14ac:dyDescent="0.25">
      <c r="A394" s="2">
        <v>393</v>
      </c>
      <c r="B394" s="2">
        <v>47761</v>
      </c>
      <c r="C394" s="2" t="s">
        <v>619</v>
      </c>
      <c r="D394" s="2" t="s">
        <v>620</v>
      </c>
      <c r="E394" s="2" t="s">
        <v>3197</v>
      </c>
      <c r="F394" s="2">
        <v>26961901</v>
      </c>
      <c r="G394" s="3">
        <v>36.394520547945206</v>
      </c>
      <c r="H394" s="2" t="s">
        <v>622</v>
      </c>
      <c r="I394" s="2" t="s">
        <v>3198</v>
      </c>
      <c r="J394" s="2" t="str">
        <f>+IF(BD[[#This Row],[DEPARTAMENTO_INSS]]="MANAGUA","_01_","_02_")</f>
        <v>_02_</v>
      </c>
      <c r="K394" s="2" t="str">
        <f>+CONCATENATE(BD[[#This Row],[Columna3]],BD[[#This Row],[Columna4]],BD[[#This Row],[NOMBRE COMPLETO]])</f>
        <v>E003_02_YENER ALBERTO ACEVEDO MARTINEZ</v>
      </c>
      <c r="L394" s="2" t="s">
        <v>3199</v>
      </c>
      <c r="M394" s="2" t="s">
        <v>1699</v>
      </c>
      <c r="N394" s="2" t="s">
        <v>261</v>
      </c>
      <c r="O394" s="2" t="s">
        <v>44</v>
      </c>
      <c r="P394" s="2" t="s">
        <v>649</v>
      </c>
      <c r="Q394" s="2" t="s">
        <v>351</v>
      </c>
      <c r="R394" s="2">
        <v>31512</v>
      </c>
      <c r="S394" s="2">
        <v>31512</v>
      </c>
      <c r="T394" s="2" t="s">
        <v>740</v>
      </c>
      <c r="U394" s="2" t="s">
        <v>1104</v>
      </c>
      <c r="V394" s="2" t="s">
        <v>1334</v>
      </c>
      <c r="W394" s="2" t="s">
        <v>2840</v>
      </c>
      <c r="X394" s="2" t="s">
        <v>3200</v>
      </c>
      <c r="Y394" s="2" t="s">
        <v>3201</v>
      </c>
      <c r="Z394" s="2">
        <v>87024380</v>
      </c>
      <c r="AA394" s="2">
        <v>87024380</v>
      </c>
      <c r="AB394" s="2" t="s">
        <v>798</v>
      </c>
      <c r="AC394" s="2" t="s">
        <v>632</v>
      </c>
      <c r="AD394" s="2">
        <v>87024380</v>
      </c>
      <c r="AJ394" s="2">
        <v>87024380</v>
      </c>
      <c r="AK394" s="2">
        <v>2</v>
      </c>
      <c r="AL394" s="2" t="s">
        <v>633</v>
      </c>
      <c r="AM394" s="2">
        <v>0</v>
      </c>
      <c r="AN394" s="2">
        <v>0</v>
      </c>
      <c r="AO394" s="2">
        <v>1</v>
      </c>
      <c r="AP394" s="2">
        <v>0</v>
      </c>
      <c r="AQ394" s="2">
        <v>0</v>
      </c>
      <c r="AR394" s="2">
        <v>0</v>
      </c>
      <c r="AS394" s="2">
        <v>0</v>
      </c>
      <c r="AT394" s="2">
        <v>0</v>
      </c>
      <c r="AZ394" s="2" t="s">
        <v>3202</v>
      </c>
      <c r="BB394" s="2" t="str">
        <f>+PROPER(BD[[#This Row],[PRIMER_APELLIDO]])</f>
        <v>Acevedo</v>
      </c>
    </row>
    <row r="395" spans="1:54" x14ac:dyDescent="0.25">
      <c r="A395" s="2">
        <v>394</v>
      </c>
      <c r="B395" s="2">
        <v>35337</v>
      </c>
      <c r="C395" s="2" t="s">
        <v>619</v>
      </c>
      <c r="D395" s="2" t="s">
        <v>620</v>
      </c>
      <c r="E395" s="2" t="s">
        <v>3203</v>
      </c>
      <c r="F395" s="2">
        <v>22067573</v>
      </c>
      <c r="G395" s="3">
        <v>36.397260273972606</v>
      </c>
      <c r="H395" s="2" t="s">
        <v>622</v>
      </c>
      <c r="I395" s="2" t="s">
        <v>3204</v>
      </c>
      <c r="J395" s="2" t="str">
        <f>+IF(BD[[#This Row],[DEPARTAMENTO_INSS]]="MANAGUA","_01_","_02_")</f>
        <v>_01_</v>
      </c>
      <c r="K395" s="2" t="str">
        <f>+CONCATENATE(BD[[#This Row],[Columna3]],BD[[#This Row],[Columna4]],BD[[#This Row],[NOMBRE COMPLETO]])</f>
        <v>E003_01_VERONICA IVETTE MOLINA VARGAS</v>
      </c>
      <c r="L395" s="2" t="s">
        <v>1464</v>
      </c>
      <c r="M395" s="2" t="s">
        <v>1794</v>
      </c>
      <c r="N395" s="2" t="s">
        <v>63</v>
      </c>
      <c r="O395" s="2" t="s">
        <v>34</v>
      </c>
      <c r="P395" s="2" t="s">
        <v>626</v>
      </c>
      <c r="Q395" s="2" t="s">
        <v>351</v>
      </c>
      <c r="R395" s="2">
        <v>31511</v>
      </c>
      <c r="S395" s="2">
        <v>31511</v>
      </c>
      <c r="T395" s="2" t="s">
        <v>627</v>
      </c>
      <c r="U395" s="2" t="s">
        <v>627</v>
      </c>
      <c r="V395" s="2" t="s">
        <v>627</v>
      </c>
      <c r="W395" s="2" t="s">
        <v>1498</v>
      </c>
      <c r="X395" s="2" t="s">
        <v>3205</v>
      </c>
      <c r="Y395" s="2" t="s">
        <v>3206</v>
      </c>
      <c r="AA395" s="2" t="s">
        <v>3207</v>
      </c>
      <c r="AB395" s="2" t="s">
        <v>642</v>
      </c>
      <c r="AC395" s="2" t="s">
        <v>632</v>
      </c>
      <c r="AD395" s="2">
        <v>76291767</v>
      </c>
      <c r="AE395" s="2">
        <v>75387520</v>
      </c>
      <c r="AJ395" s="2">
        <v>76291767</v>
      </c>
      <c r="AK395" s="2">
        <v>2</v>
      </c>
      <c r="AL395" s="2" t="s">
        <v>633</v>
      </c>
      <c r="AM395" s="2">
        <v>0</v>
      </c>
      <c r="AN395" s="2">
        <v>0</v>
      </c>
      <c r="AO395" s="2">
        <v>1</v>
      </c>
      <c r="AP395" s="2">
        <v>0</v>
      </c>
      <c r="AQ395" s="2">
        <v>0</v>
      </c>
      <c r="AR395" s="2">
        <v>0</v>
      </c>
      <c r="AS395" s="2">
        <v>0</v>
      </c>
      <c r="AT395" s="2">
        <v>0</v>
      </c>
      <c r="BB395" s="2" t="str">
        <f>+PROPER(BD[[#This Row],[PRIMER_APELLIDO]])</f>
        <v>Molina</v>
      </c>
    </row>
    <row r="396" spans="1:54" x14ac:dyDescent="0.25">
      <c r="A396" s="2">
        <v>395</v>
      </c>
      <c r="B396" s="2">
        <v>43303</v>
      </c>
      <c r="C396" s="2" t="s">
        <v>619</v>
      </c>
      <c r="D396" s="2" t="s">
        <v>620</v>
      </c>
      <c r="E396" s="2" t="s">
        <v>3208</v>
      </c>
      <c r="F396" s="2">
        <v>24233451</v>
      </c>
      <c r="G396" s="3">
        <v>36.410958904109592</v>
      </c>
      <c r="H396" s="2" t="s">
        <v>622</v>
      </c>
      <c r="I396" s="2" t="s">
        <v>3209</v>
      </c>
      <c r="J396" s="2" t="str">
        <f>+IF(BD[[#This Row],[DEPARTAMENTO_INSS]]="MANAGUA","_01_","_02_")</f>
        <v>_01_</v>
      </c>
      <c r="K396" s="2" t="str">
        <f>+CONCATENATE(BD[[#This Row],[Columna3]],BD[[#This Row],[Columna4]],BD[[#This Row],[NOMBRE COMPLETO]])</f>
        <v>E003_01_MIRIAM MAVBEL LOPEZ MADRIZ</v>
      </c>
      <c r="L396" s="2" t="s">
        <v>3210</v>
      </c>
      <c r="M396" s="2" t="s">
        <v>3211</v>
      </c>
      <c r="N396" s="2" t="s">
        <v>15</v>
      </c>
      <c r="O396" s="2" t="s">
        <v>444</v>
      </c>
      <c r="P396" s="2" t="s">
        <v>626</v>
      </c>
      <c r="Q396" s="2" t="s">
        <v>351</v>
      </c>
      <c r="R396" s="2">
        <v>31506</v>
      </c>
      <c r="S396" s="2">
        <v>31506</v>
      </c>
      <c r="T396" s="2" t="s">
        <v>627</v>
      </c>
      <c r="U396" s="2" t="s">
        <v>627</v>
      </c>
      <c r="V396" s="2" t="s">
        <v>627</v>
      </c>
      <c r="W396" s="2" t="s">
        <v>627</v>
      </c>
      <c r="X396" s="2" t="s">
        <v>3212</v>
      </c>
      <c r="Y396" s="2" t="s">
        <v>3213</v>
      </c>
      <c r="AA396" s="2" t="s">
        <v>3214</v>
      </c>
      <c r="AB396" s="2" t="s">
        <v>642</v>
      </c>
      <c r="AC396" s="2" t="s">
        <v>632</v>
      </c>
      <c r="AE396" s="2">
        <v>85220309</v>
      </c>
      <c r="AJ396" s="2">
        <v>85220309</v>
      </c>
      <c r="AK396" s="2">
        <v>2</v>
      </c>
      <c r="AL396" s="2" t="s">
        <v>633</v>
      </c>
      <c r="AM396" s="2">
        <v>0</v>
      </c>
      <c r="AN396" s="2">
        <v>0</v>
      </c>
      <c r="AO396" s="2">
        <v>1</v>
      </c>
      <c r="AP396" s="2">
        <v>0</v>
      </c>
      <c r="AQ396" s="2">
        <v>0</v>
      </c>
      <c r="AR396" s="2">
        <v>0</v>
      </c>
      <c r="AS396" s="2">
        <v>0</v>
      </c>
      <c r="AT396" s="2">
        <v>0</v>
      </c>
      <c r="BB396" s="2" t="str">
        <f>+PROPER(BD[[#This Row],[PRIMER_APELLIDO]])</f>
        <v>Lopez</v>
      </c>
    </row>
    <row r="397" spans="1:54" x14ac:dyDescent="0.25">
      <c r="A397" s="2">
        <v>396</v>
      </c>
      <c r="B397" s="2">
        <v>52402</v>
      </c>
      <c r="C397" s="2" t="s">
        <v>619</v>
      </c>
      <c r="D397" s="2" t="s">
        <v>620</v>
      </c>
      <c r="E397" s="2" t="s">
        <v>3215</v>
      </c>
      <c r="F397" s="2">
        <v>25028649</v>
      </c>
      <c r="G397" s="3">
        <v>36.413698630136984</v>
      </c>
      <c r="H397" s="2" t="s">
        <v>622</v>
      </c>
      <c r="I397" s="2" t="s">
        <v>3216</v>
      </c>
      <c r="J397" s="2" t="str">
        <f>+IF(BD[[#This Row],[DEPARTAMENTO_INSS]]="MANAGUA","_01_","_02_")</f>
        <v>_02_</v>
      </c>
      <c r="K397" s="2" t="str">
        <f>+CONCATENATE(BD[[#This Row],[Columna3]],BD[[#This Row],[Columna4]],BD[[#This Row],[NOMBRE COMPLETO]])</f>
        <v>E003_02_MARVIN RAMON SANCHEZ RIVERA</v>
      </c>
      <c r="L397" s="2" t="s">
        <v>3217</v>
      </c>
      <c r="M397" s="2" t="s">
        <v>3218</v>
      </c>
      <c r="N397" s="2" t="s">
        <v>90</v>
      </c>
      <c r="O397" s="2" t="s">
        <v>198</v>
      </c>
      <c r="P397" s="2" t="s">
        <v>649</v>
      </c>
      <c r="Q397" s="2" t="s">
        <v>351</v>
      </c>
      <c r="R397" s="2">
        <v>31505</v>
      </c>
      <c r="S397" s="2">
        <v>31505</v>
      </c>
      <c r="T397" s="2" t="s">
        <v>780</v>
      </c>
      <c r="U397" s="2" t="s">
        <v>780</v>
      </c>
      <c r="V397" s="2" t="s">
        <v>781</v>
      </c>
      <c r="W397" s="2" t="s">
        <v>781</v>
      </c>
      <c r="X397" s="2" t="s">
        <v>3219</v>
      </c>
      <c r="Y397" s="2" t="s">
        <v>3220</v>
      </c>
      <c r="Z397" s="2">
        <v>83330957</v>
      </c>
      <c r="AA397" s="2">
        <v>83330957</v>
      </c>
      <c r="AB397" s="2" t="s">
        <v>798</v>
      </c>
      <c r="AC397" s="2" t="s">
        <v>632</v>
      </c>
      <c r="AD397" s="2">
        <v>83330957</v>
      </c>
      <c r="AJ397" s="2">
        <v>83330957</v>
      </c>
      <c r="AK397" s="2">
        <v>2</v>
      </c>
      <c r="AL397" s="2" t="s">
        <v>633</v>
      </c>
      <c r="AM397" s="2">
        <v>0</v>
      </c>
      <c r="AN397" s="2">
        <v>0</v>
      </c>
      <c r="AO397" s="2">
        <v>1</v>
      </c>
      <c r="AP397" s="2">
        <v>0</v>
      </c>
      <c r="AQ397" s="2">
        <v>0</v>
      </c>
      <c r="AR397" s="2">
        <v>0</v>
      </c>
      <c r="AS397" s="2">
        <v>0</v>
      </c>
      <c r="AT397" s="2">
        <v>0</v>
      </c>
      <c r="AZ397" s="2" t="s">
        <v>3221</v>
      </c>
      <c r="BB397" s="2" t="str">
        <f>+PROPER(BD[[#This Row],[PRIMER_APELLIDO]])</f>
        <v>Sanchez</v>
      </c>
    </row>
    <row r="398" spans="1:54" x14ac:dyDescent="0.25">
      <c r="A398" s="2">
        <v>397</v>
      </c>
      <c r="B398" s="2">
        <v>81373</v>
      </c>
      <c r="C398" s="2" t="s">
        <v>619</v>
      </c>
      <c r="D398" s="2" t="s">
        <v>620</v>
      </c>
      <c r="E398" s="2" t="s">
        <v>3222</v>
      </c>
      <c r="G398" s="3">
        <v>36.416438356164385</v>
      </c>
      <c r="H398" s="2" t="s">
        <v>622</v>
      </c>
      <c r="I398" s="2" t="s">
        <v>3223</v>
      </c>
      <c r="J398" s="2" t="str">
        <f>+IF(BD[[#This Row],[DEPARTAMENTO_INSS]]="MANAGUA","_01_","_02_")</f>
        <v>_01_</v>
      </c>
      <c r="K398" s="2" t="str">
        <f>+CONCATENATE(BD[[#This Row],[Columna3]],BD[[#This Row],[Columna4]],BD[[#This Row],[NOMBRE COMPLETO]])</f>
        <v>E003_01_JUAN ALFREDO ROJAS SILVA</v>
      </c>
      <c r="L398" s="2" t="s">
        <v>825</v>
      </c>
      <c r="M398" s="2" t="s">
        <v>3224</v>
      </c>
      <c r="N398" s="2" t="s">
        <v>105</v>
      </c>
      <c r="O398" s="2" t="s">
        <v>113</v>
      </c>
      <c r="P398" s="2" t="s">
        <v>649</v>
      </c>
      <c r="Q398" s="2" t="s">
        <v>351</v>
      </c>
      <c r="R398" s="2">
        <v>31504</v>
      </c>
      <c r="S398" s="2">
        <v>31504</v>
      </c>
      <c r="T398" s="2" t="s">
        <v>627</v>
      </c>
      <c r="U398" s="2" t="s">
        <v>627</v>
      </c>
      <c r="V398" s="2" t="s">
        <v>627</v>
      </c>
      <c r="W398" s="2" t="s">
        <v>627</v>
      </c>
      <c r="X398" s="2" t="s">
        <v>3225</v>
      </c>
      <c r="Y398" s="2" t="s">
        <v>3226</v>
      </c>
      <c r="Z398" s="2">
        <v>86787282</v>
      </c>
      <c r="AA398" s="2" t="s">
        <v>3227</v>
      </c>
      <c r="AB398" s="2" t="s">
        <v>3228</v>
      </c>
      <c r="AC398" s="2" t="s">
        <v>632</v>
      </c>
      <c r="AD398" s="2">
        <v>86787282</v>
      </c>
      <c r="AJ398" s="2">
        <v>86787282</v>
      </c>
      <c r="AK398" s="2">
        <v>3</v>
      </c>
      <c r="AL398" s="2" t="s">
        <v>633</v>
      </c>
      <c r="AM398" s="2">
        <v>0</v>
      </c>
      <c r="AN398" s="2">
        <v>0</v>
      </c>
      <c r="AO398" s="2">
        <v>1</v>
      </c>
      <c r="AP398" s="2">
        <v>0</v>
      </c>
      <c r="AQ398" s="2">
        <v>0</v>
      </c>
      <c r="AR398" s="2">
        <v>0</v>
      </c>
      <c r="AS398" s="2">
        <v>0</v>
      </c>
      <c r="AT398" s="2">
        <v>0</v>
      </c>
      <c r="AZ398" s="2" t="s">
        <v>3229</v>
      </c>
      <c r="BB398" s="2" t="str">
        <f>+PROPER(BD[[#This Row],[PRIMER_APELLIDO]])</f>
        <v>Rojas</v>
      </c>
    </row>
    <row r="399" spans="1:54" x14ac:dyDescent="0.25">
      <c r="A399" s="2">
        <v>398</v>
      </c>
      <c r="B399" s="2">
        <v>47735</v>
      </c>
      <c r="C399" s="2" t="s">
        <v>619</v>
      </c>
      <c r="D399" s="2" t="s">
        <v>620</v>
      </c>
      <c r="E399" s="2" t="s">
        <v>3230</v>
      </c>
      <c r="F399" s="2">
        <v>25023291</v>
      </c>
      <c r="G399" s="3">
        <v>36.419178082191777</v>
      </c>
      <c r="H399" s="2" t="s">
        <v>622</v>
      </c>
      <c r="I399" s="2" t="s">
        <v>3231</v>
      </c>
      <c r="J399" s="2" t="str">
        <f>+IF(BD[[#This Row],[DEPARTAMENTO_INSS]]="MANAGUA","_01_","_02_")</f>
        <v>_02_</v>
      </c>
      <c r="K399" s="2" t="str">
        <f>+CONCATENATE(BD[[#This Row],[Columna3]],BD[[#This Row],[Columna4]],BD[[#This Row],[NOMBRE COMPLETO]])</f>
        <v>E003_02_JORGE REYNALDO RAMIREZ NIETO</v>
      </c>
      <c r="L399" s="2" t="s">
        <v>1076</v>
      </c>
      <c r="M399" s="2" t="s">
        <v>1888</v>
      </c>
      <c r="N399" s="2" t="s">
        <v>38</v>
      </c>
      <c r="O399" s="2" t="s">
        <v>3232</v>
      </c>
      <c r="P399" s="2" t="s">
        <v>649</v>
      </c>
      <c r="Q399" s="2" t="s">
        <v>351</v>
      </c>
      <c r="R399" s="2">
        <v>31503</v>
      </c>
      <c r="S399" s="2">
        <v>31503</v>
      </c>
      <c r="T399" s="2" t="s">
        <v>705</v>
      </c>
      <c r="U399" s="2" t="s">
        <v>705</v>
      </c>
      <c r="V399" s="2" t="s">
        <v>705</v>
      </c>
      <c r="W399" s="2" t="s">
        <v>705</v>
      </c>
      <c r="X399" s="2" t="s">
        <v>3233</v>
      </c>
      <c r="Y399" s="2" t="s">
        <v>3234</v>
      </c>
      <c r="Z399" s="2">
        <v>88356937</v>
      </c>
      <c r="AB399" s="2" t="s">
        <v>798</v>
      </c>
      <c r="AC399" s="2" t="s">
        <v>632</v>
      </c>
      <c r="AD399" s="2">
        <v>88356937</v>
      </c>
      <c r="AJ399" s="2">
        <v>88356937</v>
      </c>
      <c r="AK399" s="2">
        <v>1</v>
      </c>
      <c r="AL399" s="2" t="s">
        <v>633</v>
      </c>
      <c r="AM399" s="2">
        <v>0</v>
      </c>
      <c r="AN399" s="2">
        <v>0</v>
      </c>
      <c r="AO399" s="2">
        <v>1</v>
      </c>
      <c r="AP399" s="2">
        <v>0</v>
      </c>
      <c r="AQ399" s="2">
        <v>0</v>
      </c>
      <c r="AR399" s="2">
        <v>0</v>
      </c>
      <c r="AS399" s="2">
        <v>0</v>
      </c>
      <c r="AT399" s="2">
        <v>0</v>
      </c>
      <c r="AZ399" s="2" t="s">
        <v>3235</v>
      </c>
      <c r="BB399" s="2" t="str">
        <f>+PROPER(BD[[#This Row],[PRIMER_APELLIDO]])</f>
        <v>Ramirez</v>
      </c>
    </row>
    <row r="400" spans="1:54" x14ac:dyDescent="0.25">
      <c r="A400" s="2">
        <v>399</v>
      </c>
      <c r="B400" s="2">
        <v>54324</v>
      </c>
      <c r="C400" s="2" t="s">
        <v>619</v>
      </c>
      <c r="D400" s="2" t="s">
        <v>620</v>
      </c>
      <c r="E400" s="2" t="s">
        <v>3236</v>
      </c>
      <c r="G400" s="3">
        <v>36.419178082191777</v>
      </c>
      <c r="H400" s="2" t="s">
        <v>622</v>
      </c>
      <c r="I400" s="2" t="s">
        <v>3237</v>
      </c>
      <c r="J400" s="2" t="str">
        <f>+IF(BD[[#This Row],[DEPARTAMENTO_INSS]]="MANAGUA","_01_","_02_")</f>
        <v>_02_</v>
      </c>
      <c r="K400" s="2" t="str">
        <f>+CONCATENATE(BD[[#This Row],[Columna3]],BD[[#This Row],[Columna4]],BD[[#This Row],[NOMBRE COMPLETO]])</f>
        <v>E003_02_LUIS ALBERTO LINARTE SOZA</v>
      </c>
      <c r="L400" s="2" t="s">
        <v>738</v>
      </c>
      <c r="M400" s="2" t="s">
        <v>1699</v>
      </c>
      <c r="N400" s="2" t="s">
        <v>214</v>
      </c>
      <c r="O400" s="2" t="s">
        <v>211</v>
      </c>
      <c r="P400" s="2" t="s">
        <v>649</v>
      </c>
      <c r="Q400" s="2" t="s">
        <v>351</v>
      </c>
      <c r="R400" s="2">
        <v>31503</v>
      </c>
      <c r="S400" s="2">
        <v>31503</v>
      </c>
      <c r="T400" s="2" t="s">
        <v>705</v>
      </c>
      <c r="U400" s="2" t="s">
        <v>705</v>
      </c>
      <c r="V400" s="2" t="s">
        <v>725</v>
      </c>
      <c r="W400" s="2" t="s">
        <v>725</v>
      </c>
      <c r="X400" s="2" t="s">
        <v>3238</v>
      </c>
      <c r="Y400" s="2" t="s">
        <v>3239</v>
      </c>
      <c r="Z400" s="2">
        <v>76323586</v>
      </c>
      <c r="AB400" s="2" t="s">
        <v>798</v>
      </c>
      <c r="AC400" s="2" t="s">
        <v>632</v>
      </c>
      <c r="AD400" s="2">
        <v>76323586</v>
      </c>
      <c r="AJ400" s="2">
        <v>76323586</v>
      </c>
      <c r="AK400" s="2">
        <v>1</v>
      </c>
      <c r="AL400" s="2" t="s">
        <v>633</v>
      </c>
      <c r="AM400" s="2">
        <v>0</v>
      </c>
      <c r="AN400" s="2">
        <v>0</v>
      </c>
      <c r="AO400" s="2">
        <v>1</v>
      </c>
      <c r="AP400" s="2">
        <v>0</v>
      </c>
      <c r="AQ400" s="2">
        <v>0</v>
      </c>
      <c r="AR400" s="2">
        <v>0</v>
      </c>
      <c r="AS400" s="2">
        <v>0</v>
      </c>
      <c r="AT400" s="2">
        <v>0</v>
      </c>
      <c r="AZ400" s="2" t="s">
        <v>3240</v>
      </c>
      <c r="BB400" s="2" t="str">
        <f>+PROPER(BD[[#This Row],[PRIMER_APELLIDO]])</f>
        <v>Linarte</v>
      </c>
    </row>
    <row r="401" spans="1:54" x14ac:dyDescent="0.25">
      <c r="A401" s="2">
        <v>400</v>
      </c>
      <c r="B401" s="2">
        <v>31835</v>
      </c>
      <c r="C401" s="2" t="s">
        <v>619</v>
      </c>
      <c r="D401" s="2" t="s">
        <v>620</v>
      </c>
      <c r="E401" s="2" t="s">
        <v>3241</v>
      </c>
      <c r="F401" s="2">
        <v>21677205</v>
      </c>
      <c r="G401" s="3">
        <v>36.421917808219177</v>
      </c>
      <c r="H401" s="2" t="s">
        <v>622</v>
      </c>
      <c r="I401" s="2" t="s">
        <v>3242</v>
      </c>
      <c r="J401" s="2" t="str">
        <f>+IF(BD[[#This Row],[DEPARTAMENTO_INSS]]="MANAGUA","_01_","_02_")</f>
        <v>_01_</v>
      </c>
      <c r="K401" s="2" t="str">
        <f>+CONCATENATE(BD[[#This Row],[Columna3]],BD[[#This Row],[Columna4]],BD[[#This Row],[NOMBRE COMPLETO]])</f>
        <v>E003_01_MARJORIE AUXILIADORA RAMIREZ LOPEZ</v>
      </c>
      <c r="L401" s="2" t="s">
        <v>846</v>
      </c>
      <c r="M401" s="2" t="s">
        <v>970</v>
      </c>
      <c r="N401" s="2" t="s">
        <v>38</v>
      </c>
      <c r="O401" s="2" t="s">
        <v>15</v>
      </c>
      <c r="P401" s="2" t="s">
        <v>626</v>
      </c>
      <c r="Q401" s="2" t="s">
        <v>351</v>
      </c>
      <c r="R401" s="2">
        <v>31502</v>
      </c>
      <c r="S401" s="2">
        <v>31502</v>
      </c>
      <c r="T401" s="2" t="s">
        <v>627</v>
      </c>
      <c r="U401" s="2" t="s">
        <v>627</v>
      </c>
      <c r="V401" s="2" t="s">
        <v>627</v>
      </c>
      <c r="W401" s="2" t="s">
        <v>627</v>
      </c>
      <c r="X401" s="2" t="s">
        <v>3243</v>
      </c>
      <c r="Y401" s="2" t="s">
        <v>3244</v>
      </c>
      <c r="AA401" s="2" t="s">
        <v>3245</v>
      </c>
      <c r="AB401" s="2" t="s">
        <v>654</v>
      </c>
      <c r="AC401" s="2" t="s">
        <v>632</v>
      </c>
      <c r="AE401" s="2">
        <v>89009469</v>
      </c>
      <c r="AH401" s="2">
        <v>89205495</v>
      </c>
      <c r="AI401" s="2">
        <v>86642867</v>
      </c>
      <c r="AJ401" s="2">
        <v>89009469</v>
      </c>
      <c r="AK401" s="2">
        <v>4</v>
      </c>
      <c r="AL401" s="2" t="s">
        <v>633</v>
      </c>
      <c r="AM401" s="2">
        <v>0</v>
      </c>
      <c r="AN401" s="2">
        <v>0</v>
      </c>
      <c r="AO401" s="2">
        <v>1</v>
      </c>
      <c r="AP401" s="2">
        <v>0</v>
      </c>
      <c r="AQ401" s="2">
        <v>0</v>
      </c>
      <c r="AR401" s="2">
        <v>0</v>
      </c>
      <c r="AS401" s="2">
        <v>0</v>
      </c>
      <c r="AT401" s="2">
        <v>0</v>
      </c>
      <c r="BA401" s="2" t="s">
        <v>3246</v>
      </c>
      <c r="BB401" s="2" t="str">
        <f>+PROPER(BD[[#This Row],[PRIMER_APELLIDO]])</f>
        <v>Ramirez</v>
      </c>
    </row>
    <row r="402" spans="1:54" x14ac:dyDescent="0.25">
      <c r="A402" s="2">
        <v>401</v>
      </c>
      <c r="B402" s="2">
        <v>47860</v>
      </c>
      <c r="C402" s="2" t="s">
        <v>619</v>
      </c>
      <c r="D402" s="2" t="s">
        <v>620</v>
      </c>
      <c r="E402" s="2" t="s">
        <v>3247</v>
      </c>
      <c r="F402" s="2">
        <v>25622881</v>
      </c>
      <c r="G402" s="3">
        <v>36.435616438356163</v>
      </c>
      <c r="H402" s="2" t="s">
        <v>622</v>
      </c>
      <c r="I402" s="2" t="s">
        <v>3248</v>
      </c>
      <c r="J402" s="2" t="str">
        <f>+IF(BD[[#This Row],[DEPARTAMENTO_INSS]]="MANAGUA","_01_","_02_")</f>
        <v>_01_</v>
      </c>
      <c r="K402" s="2" t="str">
        <f>+CONCATENATE(BD[[#This Row],[Columna3]],BD[[#This Row],[Columna4]],BD[[#This Row],[NOMBRE COMPLETO]])</f>
        <v>E003_01_HOSLIM OMAR AGUILAR BLANCO</v>
      </c>
      <c r="L402" s="2" t="s">
        <v>3249</v>
      </c>
      <c r="M402" s="2" t="s">
        <v>2996</v>
      </c>
      <c r="N402" s="2" t="s">
        <v>141</v>
      </c>
      <c r="O402" s="2" t="s">
        <v>28</v>
      </c>
      <c r="P402" s="2" t="s">
        <v>649</v>
      </c>
      <c r="Q402" s="2" t="s">
        <v>351</v>
      </c>
      <c r="R402" s="2">
        <v>31497</v>
      </c>
      <c r="S402" s="2">
        <v>31497</v>
      </c>
      <c r="T402" s="2" t="s">
        <v>627</v>
      </c>
      <c r="U402" s="2" t="s">
        <v>627</v>
      </c>
      <c r="V402" s="2" t="s">
        <v>627</v>
      </c>
      <c r="W402" s="2" t="s">
        <v>627</v>
      </c>
      <c r="X402" s="2" t="s">
        <v>3250</v>
      </c>
      <c r="Y402" s="2" t="s">
        <v>3251</v>
      </c>
      <c r="Z402" s="2">
        <v>86578798</v>
      </c>
      <c r="AA402" s="2" t="s">
        <v>630</v>
      </c>
      <c r="AB402" s="2" t="s">
        <v>654</v>
      </c>
      <c r="AC402" s="2" t="s">
        <v>632</v>
      </c>
      <c r="AD402" s="2">
        <v>86578798</v>
      </c>
      <c r="AE402" s="2">
        <v>86033078</v>
      </c>
      <c r="AJ402" s="2">
        <v>86578798</v>
      </c>
      <c r="AK402" s="2">
        <v>3</v>
      </c>
      <c r="AL402" s="2" t="s">
        <v>633</v>
      </c>
      <c r="AM402" s="2">
        <v>0</v>
      </c>
      <c r="AN402" s="2">
        <v>0</v>
      </c>
      <c r="AO402" s="2">
        <v>1</v>
      </c>
      <c r="AP402" s="2">
        <v>0</v>
      </c>
      <c r="AQ402" s="2">
        <v>0</v>
      </c>
      <c r="AR402" s="2">
        <v>0</v>
      </c>
      <c r="AS402" s="2">
        <v>0</v>
      </c>
      <c r="AT402" s="2">
        <v>0</v>
      </c>
      <c r="AZ402" s="2" t="s">
        <v>3252</v>
      </c>
      <c r="BB402" s="2" t="str">
        <f>+PROPER(BD[[#This Row],[PRIMER_APELLIDO]])</f>
        <v>Aguilar</v>
      </c>
    </row>
    <row r="403" spans="1:54" x14ac:dyDescent="0.25">
      <c r="A403" s="2">
        <v>402</v>
      </c>
      <c r="B403" s="2">
        <v>49956</v>
      </c>
      <c r="C403" s="2" t="s">
        <v>619</v>
      </c>
      <c r="D403" s="2" t="s">
        <v>620</v>
      </c>
      <c r="E403" s="2" t="s">
        <v>3253</v>
      </c>
      <c r="F403" s="2">
        <v>24234005</v>
      </c>
      <c r="G403" s="3">
        <v>36.438356164383563</v>
      </c>
      <c r="H403" s="2" t="s">
        <v>622</v>
      </c>
      <c r="I403" s="2" t="s">
        <v>3254</v>
      </c>
      <c r="J403" s="2" t="str">
        <f>+IF(BD[[#This Row],[DEPARTAMENTO_INSS]]="MANAGUA","_01_","_02_")</f>
        <v>_01_</v>
      </c>
      <c r="K403" s="2" t="str">
        <f>+CONCATENATE(BD[[#This Row],[Columna3]],BD[[#This Row],[Columna4]],BD[[#This Row],[NOMBRE COMPLETO]])</f>
        <v>E003_01_BAYARDO ANTONIO ORDOÑEZ SALAZAR</v>
      </c>
      <c r="L403" s="2" t="s">
        <v>3255</v>
      </c>
      <c r="M403" s="2" t="s">
        <v>904</v>
      </c>
      <c r="N403" s="2" t="s">
        <v>343</v>
      </c>
      <c r="O403" s="2" t="s">
        <v>165</v>
      </c>
      <c r="P403" s="2" t="s">
        <v>649</v>
      </c>
      <c r="Q403" s="2" t="s">
        <v>351</v>
      </c>
      <c r="R403" s="2">
        <v>31496</v>
      </c>
      <c r="S403" s="2">
        <v>31496</v>
      </c>
      <c r="T403" s="2" t="s">
        <v>627</v>
      </c>
      <c r="U403" s="2" t="s">
        <v>627</v>
      </c>
      <c r="V403" s="2" t="s">
        <v>627</v>
      </c>
      <c r="W403" s="2" t="s">
        <v>627</v>
      </c>
      <c r="X403" s="2" t="s">
        <v>3256</v>
      </c>
      <c r="Y403" s="2" t="s">
        <v>3257</v>
      </c>
      <c r="Z403" s="2">
        <v>85724037</v>
      </c>
      <c r="AA403" s="2">
        <v>83678782</v>
      </c>
      <c r="AB403" s="2" t="s">
        <v>654</v>
      </c>
      <c r="AC403" s="2" t="s">
        <v>632</v>
      </c>
      <c r="AD403" s="2">
        <v>85724037</v>
      </c>
      <c r="AF403" s="2">
        <v>83678782</v>
      </c>
      <c r="AJ403" s="2">
        <v>85724037</v>
      </c>
      <c r="AK403" s="2">
        <v>2</v>
      </c>
      <c r="AL403" s="2" t="s">
        <v>633</v>
      </c>
      <c r="AM403" s="2">
        <v>0</v>
      </c>
      <c r="AN403" s="2">
        <v>0</v>
      </c>
      <c r="AO403" s="2">
        <v>1</v>
      </c>
      <c r="AP403" s="2">
        <v>0</v>
      </c>
      <c r="AQ403" s="2">
        <v>0</v>
      </c>
      <c r="AR403" s="2">
        <v>0</v>
      </c>
      <c r="AS403" s="2">
        <v>0</v>
      </c>
      <c r="AT403" s="2">
        <v>0</v>
      </c>
      <c r="AZ403" s="2" t="s">
        <v>3258</v>
      </c>
      <c r="BB403" s="2" t="str">
        <f>+PROPER(BD[[#This Row],[PRIMER_APELLIDO]])</f>
        <v>Ordoñez</v>
      </c>
    </row>
    <row r="404" spans="1:54" x14ac:dyDescent="0.25">
      <c r="A404" s="2">
        <v>403</v>
      </c>
      <c r="B404" s="2">
        <v>51394</v>
      </c>
      <c r="C404" s="2" t="s">
        <v>619</v>
      </c>
      <c r="D404" s="2" t="s">
        <v>620</v>
      </c>
      <c r="E404" s="2" t="s">
        <v>3259</v>
      </c>
      <c r="F404" s="2">
        <v>26962188</v>
      </c>
      <c r="G404" s="3">
        <v>36.438356164383563</v>
      </c>
      <c r="H404" s="2" t="s">
        <v>622</v>
      </c>
      <c r="I404" s="2" t="s">
        <v>3260</v>
      </c>
      <c r="J404" s="2" t="str">
        <f>+IF(BD[[#This Row],[DEPARTAMENTO_INSS]]="MANAGUA","_01_","_02_")</f>
        <v>_02_</v>
      </c>
      <c r="K404" s="2" t="str">
        <f>+CONCATENATE(BD[[#This Row],[Columna3]],BD[[#This Row],[Columna4]],BD[[#This Row],[NOMBRE COMPLETO]])</f>
        <v>E003_02_OMAYRA FABIOLA SANCHEZ CASTRO</v>
      </c>
      <c r="L404" s="2" t="s">
        <v>3261</v>
      </c>
      <c r="M404" s="2" t="s">
        <v>2806</v>
      </c>
      <c r="N404" s="2" t="s">
        <v>90</v>
      </c>
      <c r="O404" s="2" t="s">
        <v>163</v>
      </c>
      <c r="P404" s="2" t="s">
        <v>626</v>
      </c>
      <c r="Q404" s="2" t="s">
        <v>351</v>
      </c>
      <c r="R404" s="2">
        <v>31496</v>
      </c>
      <c r="S404" s="2">
        <v>31496</v>
      </c>
      <c r="T404" s="2" t="s">
        <v>669</v>
      </c>
      <c r="U404" s="2" t="s">
        <v>669</v>
      </c>
      <c r="V404" s="2" t="s">
        <v>669</v>
      </c>
      <c r="W404" s="2" t="s">
        <v>669</v>
      </c>
      <c r="X404" s="2" t="s">
        <v>3262</v>
      </c>
      <c r="Y404" s="2" t="s">
        <v>3263</v>
      </c>
      <c r="Z404" s="2">
        <v>86999165</v>
      </c>
      <c r="AA404" s="2">
        <v>86999165</v>
      </c>
      <c r="AB404" s="2" t="s">
        <v>631</v>
      </c>
      <c r="AC404" s="2" t="s">
        <v>632</v>
      </c>
      <c r="AD404" s="2">
        <v>86999165</v>
      </c>
      <c r="AJ404" s="2">
        <v>86999165</v>
      </c>
      <c r="AK404" s="2">
        <v>2</v>
      </c>
      <c r="AL404" s="2" t="s">
        <v>633</v>
      </c>
      <c r="AM404" s="2">
        <v>0</v>
      </c>
      <c r="AN404" s="2">
        <v>0</v>
      </c>
      <c r="AO404" s="2">
        <v>1</v>
      </c>
      <c r="AP404" s="2">
        <v>0</v>
      </c>
      <c r="AQ404" s="2">
        <v>0</v>
      </c>
      <c r="AR404" s="2">
        <v>0</v>
      </c>
      <c r="AS404" s="2">
        <v>0</v>
      </c>
      <c r="AT404" s="2">
        <v>0</v>
      </c>
      <c r="AZ404" s="2" t="s">
        <v>3264</v>
      </c>
      <c r="BB404" s="2" t="str">
        <f>+PROPER(BD[[#This Row],[PRIMER_APELLIDO]])</f>
        <v>Sanchez</v>
      </c>
    </row>
    <row r="405" spans="1:54" x14ac:dyDescent="0.25">
      <c r="A405" s="2">
        <v>404</v>
      </c>
      <c r="B405" s="2">
        <v>33809</v>
      </c>
      <c r="C405" s="2" t="s">
        <v>619</v>
      </c>
      <c r="D405" s="2" t="s">
        <v>620</v>
      </c>
      <c r="E405" s="2" t="s">
        <v>3265</v>
      </c>
      <c r="F405" s="2">
        <v>21672864</v>
      </c>
      <c r="G405" s="3">
        <v>36.441095890410956</v>
      </c>
      <c r="H405" s="2" t="s">
        <v>622</v>
      </c>
      <c r="I405" s="2" t="s">
        <v>3266</v>
      </c>
      <c r="J405" s="2" t="str">
        <f>+IF(BD[[#This Row],[DEPARTAMENTO_INSS]]="MANAGUA","_01_","_02_")</f>
        <v>_01_</v>
      </c>
      <c r="K405" s="2" t="str">
        <f>+CONCATENATE(BD[[#This Row],[Columna3]],BD[[#This Row],[Columna4]],BD[[#This Row],[NOMBRE COMPLETO]])</f>
        <v>E003_01_CLAUDIA AUXILIADORA JOSE RUIZ</v>
      </c>
      <c r="L405" s="2" t="s">
        <v>1850</v>
      </c>
      <c r="M405" s="2" t="s">
        <v>970</v>
      </c>
      <c r="N405" s="2" t="s">
        <v>243</v>
      </c>
      <c r="O405" s="2" t="s">
        <v>84</v>
      </c>
      <c r="P405" s="2" t="s">
        <v>626</v>
      </c>
      <c r="Q405" s="2" t="s">
        <v>351</v>
      </c>
      <c r="R405" s="2">
        <v>31495</v>
      </c>
      <c r="S405" s="2">
        <v>31495</v>
      </c>
      <c r="T405" s="2" t="s">
        <v>732</v>
      </c>
      <c r="U405" s="2" t="s">
        <v>627</v>
      </c>
      <c r="V405" s="2" t="s">
        <v>732</v>
      </c>
      <c r="W405" s="2" t="s">
        <v>692</v>
      </c>
      <c r="X405" s="2" t="s">
        <v>3267</v>
      </c>
      <c r="Y405" s="2" t="s">
        <v>3268</v>
      </c>
      <c r="AA405" s="2" t="s">
        <v>3269</v>
      </c>
      <c r="AB405" s="2" t="s">
        <v>654</v>
      </c>
      <c r="AC405" s="2" t="s">
        <v>632</v>
      </c>
      <c r="AD405" s="2">
        <v>81921757</v>
      </c>
      <c r="AE405" s="2">
        <v>88995759</v>
      </c>
      <c r="AJ405" s="2">
        <v>81921757</v>
      </c>
      <c r="AK405" s="2">
        <v>2</v>
      </c>
      <c r="AL405" s="2" t="s">
        <v>633</v>
      </c>
      <c r="AM405" s="2">
        <v>0</v>
      </c>
      <c r="AN405" s="2">
        <v>0</v>
      </c>
      <c r="AO405" s="2">
        <v>1</v>
      </c>
      <c r="AP405" s="2">
        <v>0</v>
      </c>
      <c r="AQ405" s="2">
        <v>0</v>
      </c>
      <c r="AR405" s="2">
        <v>0</v>
      </c>
      <c r="AS405" s="2">
        <v>0</v>
      </c>
      <c r="AT405" s="2">
        <v>0</v>
      </c>
      <c r="BA405" s="2" t="s">
        <v>3270</v>
      </c>
      <c r="BB405" s="2" t="str">
        <f>+PROPER(BD[[#This Row],[PRIMER_APELLIDO]])</f>
        <v>Jose</v>
      </c>
    </row>
    <row r="406" spans="1:54" x14ac:dyDescent="0.25">
      <c r="A406" s="2">
        <v>405</v>
      </c>
      <c r="B406" s="2">
        <v>39190</v>
      </c>
      <c r="C406" s="2" t="s">
        <v>619</v>
      </c>
      <c r="D406" s="2" t="s">
        <v>620</v>
      </c>
      <c r="E406" s="2" t="s">
        <v>3271</v>
      </c>
      <c r="F406" s="2">
        <v>23112179</v>
      </c>
      <c r="G406" s="3">
        <v>36.446575342465756</v>
      </c>
      <c r="H406" s="2" t="s">
        <v>622</v>
      </c>
      <c r="I406" s="2" t="s">
        <v>3272</v>
      </c>
      <c r="J406" s="2" t="str">
        <f>+IF(BD[[#This Row],[DEPARTAMENTO_INSS]]="MANAGUA","_01_","_02_")</f>
        <v>_02_</v>
      </c>
      <c r="K406" s="2" t="str">
        <f>+CONCATENATE(BD[[#This Row],[Columna3]],BD[[#This Row],[Columna4]],BD[[#This Row],[NOMBRE COMPLETO]])</f>
        <v>E003_02_NATALIA LUCIA BALDELOMAR HERNANDEZ</v>
      </c>
      <c r="L406" s="2" t="s">
        <v>3273</v>
      </c>
      <c r="M406" s="2" t="s">
        <v>676</v>
      </c>
      <c r="N406" s="2" t="s">
        <v>39</v>
      </c>
      <c r="O406" s="2" t="s">
        <v>11</v>
      </c>
      <c r="P406" s="2" t="s">
        <v>626</v>
      </c>
      <c r="Q406" s="2" t="s">
        <v>351</v>
      </c>
      <c r="R406" s="2">
        <v>31493</v>
      </c>
      <c r="S406" s="2">
        <v>31493</v>
      </c>
      <c r="T406" s="2" t="s">
        <v>186</v>
      </c>
      <c r="U406" s="2" t="s">
        <v>186</v>
      </c>
      <c r="V406" s="2" t="s">
        <v>186</v>
      </c>
      <c r="W406" s="2" t="s">
        <v>186</v>
      </c>
      <c r="X406" s="2" t="s">
        <v>3274</v>
      </c>
      <c r="Y406" s="2" t="s">
        <v>3275</v>
      </c>
      <c r="Z406" s="2">
        <v>82023716</v>
      </c>
      <c r="AA406" s="2" t="s">
        <v>3276</v>
      </c>
      <c r="AB406" s="2" t="s">
        <v>642</v>
      </c>
      <c r="AC406" s="2" t="s">
        <v>632</v>
      </c>
      <c r="AD406" s="2">
        <v>82023716</v>
      </c>
      <c r="AH406" s="2">
        <v>89437247</v>
      </c>
      <c r="AJ406" s="2">
        <v>82023716</v>
      </c>
      <c r="AK406" s="2">
        <v>4</v>
      </c>
      <c r="AL406" s="2" t="s">
        <v>633</v>
      </c>
      <c r="AM406" s="2">
        <v>0</v>
      </c>
      <c r="AN406" s="2">
        <v>0</v>
      </c>
      <c r="AO406" s="2">
        <v>1</v>
      </c>
      <c r="AP406" s="2">
        <v>0</v>
      </c>
      <c r="AQ406" s="2">
        <v>0</v>
      </c>
      <c r="AR406" s="2">
        <v>0</v>
      </c>
      <c r="AS406" s="2">
        <v>0</v>
      </c>
      <c r="AT406" s="2">
        <v>0</v>
      </c>
      <c r="AZ406" s="2" t="s">
        <v>3277</v>
      </c>
      <c r="BA406" s="2" t="s">
        <v>3277</v>
      </c>
      <c r="BB406" s="2" t="str">
        <f>+PROPER(BD[[#This Row],[PRIMER_APELLIDO]])</f>
        <v>Baldelomar</v>
      </c>
    </row>
    <row r="407" spans="1:54" x14ac:dyDescent="0.25">
      <c r="A407" s="2">
        <v>406</v>
      </c>
      <c r="B407" s="2">
        <v>47984</v>
      </c>
      <c r="C407" s="2" t="s">
        <v>619</v>
      </c>
      <c r="D407" s="2" t="s">
        <v>620</v>
      </c>
      <c r="E407" s="2" t="s">
        <v>3278</v>
      </c>
      <c r="F407" s="2">
        <v>25623231</v>
      </c>
      <c r="G407" s="3">
        <v>36.446575342465756</v>
      </c>
      <c r="H407" s="2" t="s">
        <v>622</v>
      </c>
      <c r="I407" s="2" t="s">
        <v>3279</v>
      </c>
      <c r="J407" s="2" t="str">
        <f>+IF(BD[[#This Row],[DEPARTAMENTO_INSS]]="MANAGUA","_01_","_02_")</f>
        <v>_01_</v>
      </c>
      <c r="K407" s="2" t="str">
        <f>+CONCATENATE(BD[[#This Row],[Columna3]],BD[[#This Row],[Columna4]],BD[[#This Row],[NOMBRE COMPLETO]])</f>
        <v>E003_01_ISBANIA ELIZABETH RIVAS TINOCO</v>
      </c>
      <c r="L407" s="2" t="s">
        <v>3280</v>
      </c>
      <c r="M407" s="2" t="s">
        <v>1881</v>
      </c>
      <c r="N407" s="2" t="s">
        <v>186</v>
      </c>
      <c r="O407" s="2" t="s">
        <v>252</v>
      </c>
      <c r="P407" s="2" t="s">
        <v>626</v>
      </c>
      <c r="Q407" s="2" t="s">
        <v>351</v>
      </c>
      <c r="R407" s="2">
        <v>31493</v>
      </c>
      <c r="S407" s="2">
        <v>31493</v>
      </c>
      <c r="T407" s="2" t="s">
        <v>627</v>
      </c>
      <c r="U407" s="2" t="s">
        <v>627</v>
      </c>
      <c r="V407" s="2" t="s">
        <v>1498</v>
      </c>
      <c r="W407" s="2" t="s">
        <v>1498</v>
      </c>
      <c r="X407" s="2" t="s">
        <v>3281</v>
      </c>
      <c r="Y407" s="2" t="s">
        <v>3282</v>
      </c>
      <c r="AA407" s="2">
        <v>82025508</v>
      </c>
      <c r="AB407" s="2" t="s">
        <v>642</v>
      </c>
      <c r="AC407" s="2" t="s">
        <v>632</v>
      </c>
      <c r="AD407" s="2">
        <v>82025508</v>
      </c>
      <c r="AJ407" s="2">
        <v>82025508</v>
      </c>
      <c r="AK407" s="2">
        <v>1</v>
      </c>
      <c r="AL407" s="2" t="s">
        <v>633</v>
      </c>
      <c r="AM407" s="2">
        <v>0</v>
      </c>
      <c r="AN407" s="2">
        <v>0</v>
      </c>
      <c r="AO407" s="2">
        <v>1</v>
      </c>
      <c r="AP407" s="2">
        <v>0</v>
      </c>
      <c r="AQ407" s="2">
        <v>0</v>
      </c>
      <c r="AR407" s="2">
        <v>0</v>
      </c>
      <c r="AS407" s="2">
        <v>0</v>
      </c>
      <c r="AT407" s="2">
        <v>0</v>
      </c>
      <c r="BB407" s="2" t="str">
        <f>+PROPER(BD[[#This Row],[PRIMER_APELLIDO]])</f>
        <v>Rivas</v>
      </c>
    </row>
    <row r="408" spans="1:54" x14ac:dyDescent="0.25">
      <c r="A408" s="2">
        <v>407</v>
      </c>
      <c r="B408" s="2">
        <v>51598</v>
      </c>
      <c r="C408" s="2" t="s">
        <v>619</v>
      </c>
      <c r="D408" s="2" t="s">
        <v>620</v>
      </c>
      <c r="E408" s="2" t="s">
        <v>3283</v>
      </c>
      <c r="F408" s="2">
        <v>20786070</v>
      </c>
      <c r="G408" s="3">
        <v>36.449315068493149</v>
      </c>
      <c r="H408" s="2" t="s">
        <v>622</v>
      </c>
      <c r="I408" s="2" t="s">
        <v>3284</v>
      </c>
      <c r="J408" s="2" t="str">
        <f>+IF(BD[[#This Row],[DEPARTAMENTO_INSS]]="MANAGUA","_01_","_02_")</f>
        <v>_02_</v>
      </c>
      <c r="K408" s="2" t="str">
        <f>+CONCATENATE(BD[[#This Row],[Columna3]],BD[[#This Row],[Columna4]],BD[[#This Row],[NOMBRE COMPLETO]])</f>
        <v>E003_02_ARLAN ANTONIO CONRADO CARMONA</v>
      </c>
      <c r="L408" s="2" t="s">
        <v>3285</v>
      </c>
      <c r="M408" s="2" t="s">
        <v>904</v>
      </c>
      <c r="N408" s="2" t="s">
        <v>266</v>
      </c>
      <c r="O408" s="2" t="s">
        <v>1059</v>
      </c>
      <c r="P408" s="2" t="s">
        <v>649</v>
      </c>
      <c r="Q408" s="2" t="s">
        <v>351</v>
      </c>
      <c r="R408" s="2">
        <v>31492</v>
      </c>
      <c r="S408" s="2">
        <v>31492</v>
      </c>
      <c r="T408" s="2" t="s">
        <v>133</v>
      </c>
      <c r="U408" s="2" t="s">
        <v>133</v>
      </c>
      <c r="V408" s="2" t="s">
        <v>939</v>
      </c>
      <c r="W408" s="2" t="s">
        <v>939</v>
      </c>
      <c r="X408" s="2" t="s">
        <v>3286</v>
      </c>
      <c r="Y408" s="2" t="s">
        <v>3287</v>
      </c>
      <c r="Z408" s="2">
        <v>83320367</v>
      </c>
      <c r="AA408" s="2">
        <v>83320367</v>
      </c>
      <c r="AB408" s="2" t="s">
        <v>654</v>
      </c>
      <c r="AC408" s="2" t="s">
        <v>632</v>
      </c>
      <c r="AD408" s="2">
        <v>83320367</v>
      </c>
      <c r="AJ408" s="2">
        <v>83320367</v>
      </c>
      <c r="AK408" s="2">
        <v>2</v>
      </c>
      <c r="AL408" s="2" t="s">
        <v>633</v>
      </c>
      <c r="AM408" s="2">
        <v>0</v>
      </c>
      <c r="AN408" s="2">
        <v>0</v>
      </c>
      <c r="AO408" s="2">
        <v>1</v>
      </c>
      <c r="AP408" s="2">
        <v>0</v>
      </c>
      <c r="AQ408" s="2">
        <v>0</v>
      </c>
      <c r="AR408" s="2">
        <v>0</v>
      </c>
      <c r="AS408" s="2">
        <v>0</v>
      </c>
      <c r="AT408" s="2">
        <v>0</v>
      </c>
      <c r="AZ408" s="2" t="s">
        <v>3288</v>
      </c>
      <c r="BB408" s="2" t="str">
        <f>+PROPER(BD[[#This Row],[PRIMER_APELLIDO]])</f>
        <v>Conrado</v>
      </c>
    </row>
    <row r="409" spans="1:54" x14ac:dyDescent="0.25">
      <c r="A409" s="2">
        <v>408</v>
      </c>
      <c r="B409" s="2">
        <v>47943</v>
      </c>
      <c r="C409" s="2" t="s">
        <v>619</v>
      </c>
      <c r="D409" s="2" t="s">
        <v>620</v>
      </c>
      <c r="E409" s="2" t="s">
        <v>3289</v>
      </c>
      <c r="F409" s="2">
        <v>25024357</v>
      </c>
      <c r="G409" s="3">
        <v>36.452054794520549</v>
      </c>
      <c r="H409" s="2" t="s">
        <v>622</v>
      </c>
      <c r="I409" s="2" t="s">
        <v>3290</v>
      </c>
      <c r="J409" s="2" t="str">
        <f>+IF(BD[[#This Row],[DEPARTAMENTO_INSS]]="MANAGUA","_01_","_02_")</f>
        <v>_02_</v>
      </c>
      <c r="K409" s="2" t="str">
        <f>+CONCATENATE(BD[[#This Row],[Columna3]],BD[[#This Row],[Columna4]],BD[[#This Row],[NOMBRE COMPLETO]])</f>
        <v>E003_02_ERICK DANIEL SILES SOBALVARRO</v>
      </c>
      <c r="L409" s="2" t="s">
        <v>1391</v>
      </c>
      <c r="M409" s="2" t="s">
        <v>2175</v>
      </c>
      <c r="N409" s="2" t="s">
        <v>192</v>
      </c>
      <c r="O409" s="2" t="s">
        <v>144</v>
      </c>
      <c r="P409" s="2" t="s">
        <v>649</v>
      </c>
      <c r="Q409" s="2" t="s">
        <v>351</v>
      </c>
      <c r="R409" s="2">
        <v>31491</v>
      </c>
      <c r="S409" s="2">
        <v>31491</v>
      </c>
      <c r="T409" s="2" t="s">
        <v>659</v>
      </c>
      <c r="U409" s="2" t="s">
        <v>1104</v>
      </c>
      <c r="V409" s="2" t="s">
        <v>1035</v>
      </c>
      <c r="W409" s="2" t="s">
        <v>1104</v>
      </c>
      <c r="X409" s="2" t="s">
        <v>3291</v>
      </c>
      <c r="Y409" s="2" t="s">
        <v>3292</v>
      </c>
      <c r="Z409" s="2">
        <v>58349500</v>
      </c>
      <c r="AA409" s="2">
        <v>27720487</v>
      </c>
      <c r="AB409" s="2" t="s">
        <v>798</v>
      </c>
      <c r="AC409" s="2" t="s">
        <v>632</v>
      </c>
      <c r="AD409" s="2">
        <v>58349500</v>
      </c>
      <c r="AJ409" s="2">
        <v>58349500</v>
      </c>
      <c r="AK409" s="2">
        <v>2</v>
      </c>
      <c r="AL409" s="2" t="s">
        <v>633</v>
      </c>
      <c r="AM409" s="2">
        <v>0</v>
      </c>
      <c r="AN409" s="2">
        <v>0</v>
      </c>
      <c r="AO409" s="2">
        <v>1</v>
      </c>
      <c r="AP409" s="2">
        <v>0</v>
      </c>
      <c r="AQ409" s="2">
        <v>0</v>
      </c>
      <c r="AR409" s="2">
        <v>0</v>
      </c>
      <c r="AS409" s="2">
        <v>0</v>
      </c>
      <c r="AT409" s="2">
        <v>0</v>
      </c>
      <c r="BB409" s="2" t="str">
        <f>+PROPER(BD[[#This Row],[PRIMER_APELLIDO]])</f>
        <v>Siles</v>
      </c>
    </row>
    <row r="410" spans="1:54" x14ac:dyDescent="0.25">
      <c r="A410" s="2">
        <v>409</v>
      </c>
      <c r="B410" s="2">
        <v>36258</v>
      </c>
      <c r="C410" s="2" t="s">
        <v>619</v>
      </c>
      <c r="D410" s="2" t="s">
        <v>620</v>
      </c>
      <c r="E410" s="2" t="s">
        <v>3293</v>
      </c>
      <c r="F410" s="2">
        <v>22179225</v>
      </c>
      <c r="G410" s="3">
        <v>36.454794520547942</v>
      </c>
      <c r="H410" s="2" t="s">
        <v>622</v>
      </c>
      <c r="I410" s="2" t="s">
        <v>3294</v>
      </c>
      <c r="J410" s="2" t="str">
        <f>+IF(BD[[#This Row],[DEPARTAMENTO_INSS]]="MANAGUA","_01_","_02_")</f>
        <v>_01_</v>
      </c>
      <c r="K410" s="2" t="str">
        <f>+CONCATENATE(BD[[#This Row],[Columna3]],BD[[#This Row],[Columna4]],BD[[#This Row],[NOMBRE COMPLETO]])</f>
        <v>E003_01_ELISA MARIAJOSE MARTINEZ CANALES</v>
      </c>
      <c r="L410" s="2" t="s">
        <v>3295</v>
      </c>
      <c r="M410" s="2" t="s">
        <v>3296</v>
      </c>
      <c r="N410" s="2" t="s">
        <v>44</v>
      </c>
      <c r="O410" s="2" t="s">
        <v>77</v>
      </c>
      <c r="P410" s="2" t="s">
        <v>626</v>
      </c>
      <c r="Q410" s="2" t="s">
        <v>351</v>
      </c>
      <c r="R410" s="2">
        <v>31490</v>
      </c>
      <c r="S410" s="2">
        <v>31490</v>
      </c>
      <c r="T410" s="2" t="s">
        <v>176</v>
      </c>
      <c r="U410" s="2" t="s">
        <v>627</v>
      </c>
      <c r="V410" s="2" t="s">
        <v>650</v>
      </c>
      <c r="W410" s="2" t="s">
        <v>627</v>
      </c>
      <c r="X410" s="2" t="s">
        <v>3297</v>
      </c>
      <c r="Y410" s="2" t="s">
        <v>3298</v>
      </c>
      <c r="AA410" s="2" t="s">
        <v>3299</v>
      </c>
      <c r="AB410" s="2" t="s">
        <v>654</v>
      </c>
      <c r="AC410" s="2" t="s">
        <v>632</v>
      </c>
      <c r="AE410" s="2">
        <v>84760568</v>
      </c>
      <c r="AJ410" s="2">
        <v>84760568</v>
      </c>
      <c r="AK410" s="2">
        <v>2</v>
      </c>
      <c r="AL410" s="2" t="s">
        <v>633</v>
      </c>
      <c r="AM410" s="2">
        <v>0</v>
      </c>
      <c r="AN410" s="2">
        <v>0</v>
      </c>
      <c r="AO410" s="2">
        <v>1</v>
      </c>
      <c r="AP410" s="2">
        <v>0</v>
      </c>
      <c r="AQ410" s="2">
        <v>0</v>
      </c>
      <c r="AR410" s="2">
        <v>0</v>
      </c>
      <c r="AS410" s="2">
        <v>0</v>
      </c>
      <c r="AT410" s="2">
        <v>0</v>
      </c>
      <c r="BB410" s="2" t="str">
        <f>+PROPER(BD[[#This Row],[PRIMER_APELLIDO]])</f>
        <v>Martinez</v>
      </c>
    </row>
    <row r="411" spans="1:54" x14ac:dyDescent="0.25">
      <c r="A411" s="2">
        <v>410</v>
      </c>
      <c r="B411" s="2">
        <v>49303</v>
      </c>
      <c r="C411" s="2" t="s">
        <v>619</v>
      </c>
      <c r="D411" s="2" t="s">
        <v>620</v>
      </c>
      <c r="E411" s="2" t="s">
        <v>3300</v>
      </c>
      <c r="F411" s="2">
        <v>16517242</v>
      </c>
      <c r="G411" s="3">
        <v>36.465753424657535</v>
      </c>
      <c r="H411" s="2" t="s">
        <v>622</v>
      </c>
      <c r="I411" s="2" t="s">
        <v>3301</v>
      </c>
      <c r="J411" s="2" t="str">
        <f>+IF(BD[[#This Row],[DEPARTAMENTO_INSS]]="MANAGUA","_01_","_02_")</f>
        <v>_02_</v>
      </c>
      <c r="K411" s="2" t="str">
        <f>+CONCATENATE(BD[[#This Row],[Columna3]],BD[[#This Row],[Columna4]],BD[[#This Row],[NOMBRE COMPLETO]])</f>
        <v>E003_02_DANIEL IVAN RAMIREZ MEDINA</v>
      </c>
      <c r="L411" s="2" t="s">
        <v>2175</v>
      </c>
      <c r="M411" s="2" t="s">
        <v>2119</v>
      </c>
      <c r="N411" s="2" t="s">
        <v>38</v>
      </c>
      <c r="O411" s="2" t="s">
        <v>104</v>
      </c>
      <c r="P411" s="2" t="s">
        <v>649</v>
      </c>
      <c r="Q411" s="2" t="s">
        <v>351</v>
      </c>
      <c r="R411" s="2">
        <v>31486</v>
      </c>
      <c r="S411" s="2">
        <v>31486</v>
      </c>
      <c r="T411" s="2" t="s">
        <v>444</v>
      </c>
      <c r="U411" s="2" t="s">
        <v>444</v>
      </c>
      <c r="V411" s="2" t="s">
        <v>764</v>
      </c>
      <c r="W411" s="2" t="s">
        <v>3302</v>
      </c>
      <c r="X411" s="2" t="s">
        <v>3303</v>
      </c>
      <c r="Y411" s="2" t="s">
        <v>3304</v>
      </c>
      <c r="Z411" s="2">
        <v>58353350</v>
      </c>
      <c r="AA411" s="2">
        <v>58353350</v>
      </c>
      <c r="AB411" s="2" t="s">
        <v>798</v>
      </c>
      <c r="AC411" s="2" t="s">
        <v>632</v>
      </c>
      <c r="AD411" s="2">
        <v>58353350</v>
      </c>
      <c r="AJ411" s="2">
        <v>58353350</v>
      </c>
      <c r="AK411" s="2">
        <v>2</v>
      </c>
      <c r="AL411" s="2" t="s">
        <v>633</v>
      </c>
      <c r="AM411" s="2">
        <v>0</v>
      </c>
      <c r="AN411" s="2">
        <v>0</v>
      </c>
      <c r="AO411" s="2">
        <v>1</v>
      </c>
      <c r="AP411" s="2">
        <v>0</v>
      </c>
      <c r="AQ411" s="2">
        <v>0</v>
      </c>
      <c r="AR411" s="2">
        <v>0</v>
      </c>
      <c r="AS411" s="2">
        <v>0</v>
      </c>
      <c r="AT411" s="2">
        <v>0</v>
      </c>
      <c r="AZ411" s="2" t="s">
        <v>3305</v>
      </c>
      <c r="BB411" s="2" t="str">
        <f>+PROPER(BD[[#This Row],[PRIMER_APELLIDO]])</f>
        <v>Ramirez</v>
      </c>
    </row>
    <row r="412" spans="1:54" x14ac:dyDescent="0.25">
      <c r="A412" s="2">
        <v>411</v>
      </c>
      <c r="B412" s="2">
        <v>36156</v>
      </c>
      <c r="C412" s="2" t="s">
        <v>619</v>
      </c>
      <c r="D412" s="2" t="s">
        <v>620</v>
      </c>
      <c r="E412" s="2" t="s">
        <v>3306</v>
      </c>
      <c r="F412" s="2">
        <v>20398682</v>
      </c>
      <c r="G412" s="3">
        <v>36.471232876712328</v>
      </c>
      <c r="H412" s="2" t="s">
        <v>622</v>
      </c>
      <c r="I412" s="2" t="s">
        <v>3307</v>
      </c>
      <c r="J412" s="2" t="str">
        <f>+IF(BD[[#This Row],[DEPARTAMENTO_INSS]]="MANAGUA","_01_","_02_")</f>
        <v>_02_</v>
      </c>
      <c r="K412" s="2" t="str">
        <f>+CONCATENATE(BD[[#This Row],[Columna3]],BD[[#This Row],[Columna4]],BD[[#This Row],[NOMBRE COMPLETO]])</f>
        <v>E003_02_JUAN CARLOS DIAZ CASTILLO</v>
      </c>
      <c r="L412" s="2" t="s">
        <v>825</v>
      </c>
      <c r="M412" s="2" t="s">
        <v>826</v>
      </c>
      <c r="N412" s="2" t="s">
        <v>91</v>
      </c>
      <c r="O412" s="2" t="s">
        <v>100</v>
      </c>
      <c r="P412" s="2" t="s">
        <v>649</v>
      </c>
      <c r="Q412" s="2" t="s">
        <v>351</v>
      </c>
      <c r="R412" s="2">
        <v>31484</v>
      </c>
      <c r="S412" s="2">
        <v>31484</v>
      </c>
      <c r="T412" s="2" t="s">
        <v>176</v>
      </c>
      <c r="U412" s="2" t="s">
        <v>659</v>
      </c>
      <c r="V412" s="2" t="s">
        <v>650</v>
      </c>
      <c r="W412" s="2" t="s">
        <v>659</v>
      </c>
      <c r="X412" s="2" t="s">
        <v>3308</v>
      </c>
      <c r="Y412" s="2" t="s">
        <v>3309</v>
      </c>
      <c r="Z412" s="2">
        <v>89042876</v>
      </c>
      <c r="AA412" s="2" t="s">
        <v>3310</v>
      </c>
      <c r="AB412" s="2" t="s">
        <v>654</v>
      </c>
      <c r="AC412" s="2" t="s">
        <v>632</v>
      </c>
      <c r="AD412" s="2">
        <v>89042876</v>
      </c>
      <c r="AE412" s="2">
        <v>86159780</v>
      </c>
      <c r="AJ412" s="2">
        <v>89042876</v>
      </c>
      <c r="AK412" s="2">
        <v>3</v>
      </c>
      <c r="AL412" s="2" t="s">
        <v>633</v>
      </c>
      <c r="AM412" s="2">
        <v>0</v>
      </c>
      <c r="AN412" s="2">
        <v>0</v>
      </c>
      <c r="AO412" s="2">
        <v>1</v>
      </c>
      <c r="AP412" s="2">
        <v>0</v>
      </c>
      <c r="AQ412" s="2">
        <v>0</v>
      </c>
      <c r="AR412" s="2">
        <v>0</v>
      </c>
      <c r="AS412" s="2">
        <v>0</v>
      </c>
      <c r="AT412" s="2">
        <v>0</v>
      </c>
      <c r="AZ412" s="2" t="s">
        <v>3311</v>
      </c>
      <c r="BB412" s="2" t="str">
        <f>+PROPER(BD[[#This Row],[PRIMER_APELLIDO]])</f>
        <v>Diaz</v>
      </c>
    </row>
    <row r="413" spans="1:54" x14ac:dyDescent="0.25">
      <c r="A413" s="2">
        <v>412</v>
      </c>
      <c r="B413" s="2">
        <v>65451</v>
      </c>
      <c r="C413" s="2" t="s">
        <v>619</v>
      </c>
      <c r="D413" s="2" t="s">
        <v>620</v>
      </c>
      <c r="E413" s="2" t="s">
        <v>3312</v>
      </c>
      <c r="G413" s="3">
        <v>36.476712328767121</v>
      </c>
      <c r="H413" s="2" t="s">
        <v>622</v>
      </c>
      <c r="I413" s="2" t="s">
        <v>3313</v>
      </c>
      <c r="J413" s="2" t="str">
        <f>+IF(BD[[#This Row],[DEPARTAMENTO_INSS]]="MANAGUA","_01_","_02_")</f>
        <v>_01_</v>
      </c>
      <c r="K413" s="2" t="str">
        <f>+CONCATENATE(BD[[#This Row],[Columna3]],BD[[#This Row],[Columna4]],BD[[#This Row],[NOMBRE COMPLETO]])</f>
        <v>E003_01_CRISTOBAL DE JESUS PERES WARMAN</v>
      </c>
      <c r="L413" s="2" t="s">
        <v>3314</v>
      </c>
      <c r="M413" s="2" t="s">
        <v>2551</v>
      </c>
      <c r="N413" s="2" t="s">
        <v>205</v>
      </c>
      <c r="O413" s="2" t="s">
        <v>3315</v>
      </c>
      <c r="P413" s="2" t="s">
        <v>649</v>
      </c>
      <c r="Q413" s="2" t="s">
        <v>351</v>
      </c>
      <c r="R413" s="2">
        <v>31482</v>
      </c>
      <c r="S413" s="2">
        <v>31482</v>
      </c>
      <c r="T413" s="2" t="s">
        <v>1005</v>
      </c>
      <c r="U413" s="2" t="s">
        <v>627</v>
      </c>
      <c r="V413" s="2" t="s">
        <v>1006</v>
      </c>
      <c r="W413" s="2" t="s">
        <v>627</v>
      </c>
      <c r="X413" s="2" t="s">
        <v>3316</v>
      </c>
      <c r="Y413" s="2" t="s">
        <v>3317</v>
      </c>
      <c r="Z413" s="2">
        <v>75113680</v>
      </c>
      <c r="AA413" s="2">
        <v>58019762</v>
      </c>
      <c r="AB413" s="2" t="s">
        <v>654</v>
      </c>
      <c r="AC413" s="2" t="s">
        <v>632</v>
      </c>
      <c r="AD413" s="2">
        <v>75113680</v>
      </c>
      <c r="AF413" s="2">
        <v>58019762</v>
      </c>
      <c r="AJ413" s="2">
        <v>75113680</v>
      </c>
      <c r="AK413" s="2">
        <v>2</v>
      </c>
      <c r="AL413" s="2" t="s">
        <v>633</v>
      </c>
      <c r="AM413" s="2">
        <v>0</v>
      </c>
      <c r="AN413" s="2">
        <v>0</v>
      </c>
      <c r="AO413" s="2">
        <v>1</v>
      </c>
      <c r="AP413" s="2">
        <v>0</v>
      </c>
      <c r="AQ413" s="2">
        <v>0</v>
      </c>
      <c r="AR413" s="2">
        <v>0</v>
      </c>
      <c r="AS413" s="2">
        <v>0</v>
      </c>
      <c r="AT413" s="2">
        <v>0</v>
      </c>
      <c r="BB413" s="2" t="str">
        <f>+PROPER(BD[[#This Row],[PRIMER_APELLIDO]])</f>
        <v>Peres</v>
      </c>
    </row>
    <row r="414" spans="1:54" x14ac:dyDescent="0.25">
      <c r="A414" s="2">
        <v>413</v>
      </c>
      <c r="B414" s="2">
        <v>42778</v>
      </c>
      <c r="C414" s="2" t="s">
        <v>619</v>
      </c>
      <c r="D414" s="2" t="s">
        <v>620</v>
      </c>
      <c r="E414" s="2" t="s">
        <v>3318</v>
      </c>
      <c r="G414" s="3">
        <v>36.479452054794521</v>
      </c>
      <c r="H414" s="2" t="s">
        <v>622</v>
      </c>
      <c r="I414" s="2" t="s">
        <v>3319</v>
      </c>
      <c r="J414" s="2" t="str">
        <f>+IF(BD[[#This Row],[DEPARTAMENTO_INSS]]="MANAGUA","_01_","_02_")</f>
        <v>_01_</v>
      </c>
      <c r="K414" s="2" t="str">
        <f>+CONCATENATE(BD[[#This Row],[Columna3]],BD[[#This Row],[Columna4]],BD[[#This Row],[NOMBRE COMPLETO]])</f>
        <v>E003_01_STEPHANIE JOSEPHINE RIVAS DELGADO</v>
      </c>
      <c r="L414" s="2" t="s">
        <v>3320</v>
      </c>
      <c r="M414" s="2" t="s">
        <v>3321</v>
      </c>
      <c r="N414" s="2" t="s">
        <v>186</v>
      </c>
      <c r="O414" s="2" t="s">
        <v>363</v>
      </c>
      <c r="P414" s="2" t="s">
        <v>626</v>
      </c>
      <c r="Q414" s="2" t="s">
        <v>3322</v>
      </c>
      <c r="R414" s="2">
        <v>31481</v>
      </c>
      <c r="S414" s="2">
        <v>31481</v>
      </c>
      <c r="T414" s="2" t="s">
        <v>627</v>
      </c>
      <c r="U414" s="2" t="s">
        <v>627</v>
      </c>
      <c r="V414" s="2" t="s">
        <v>1026</v>
      </c>
      <c r="W414" s="2" t="s">
        <v>1026</v>
      </c>
      <c r="Y414" s="2" t="s">
        <v>3323</v>
      </c>
      <c r="AA414" s="2">
        <v>78320402</v>
      </c>
      <c r="AB414" s="2" t="s">
        <v>3324</v>
      </c>
      <c r="AC414" s="2" t="s">
        <v>632</v>
      </c>
      <c r="AD414" s="2">
        <v>78320402</v>
      </c>
      <c r="AJ414" s="2">
        <v>78320402</v>
      </c>
      <c r="AK414" s="2">
        <v>1</v>
      </c>
      <c r="AL414" s="2" t="s">
        <v>633</v>
      </c>
      <c r="AM414" s="2">
        <v>0</v>
      </c>
      <c r="AN414" s="2">
        <v>0</v>
      </c>
      <c r="AO414" s="2">
        <v>1</v>
      </c>
      <c r="AP414" s="2">
        <v>0</v>
      </c>
      <c r="AQ414" s="2">
        <v>0</v>
      </c>
      <c r="AR414" s="2">
        <v>0</v>
      </c>
      <c r="AS414" s="2">
        <v>0</v>
      </c>
      <c r="AT414" s="2">
        <v>0</v>
      </c>
      <c r="BA414" s="2" t="s">
        <v>3325</v>
      </c>
      <c r="BB414" s="2" t="str">
        <f>+PROPER(BD[[#This Row],[PRIMER_APELLIDO]])</f>
        <v>Rivas</v>
      </c>
    </row>
    <row r="415" spans="1:54" x14ac:dyDescent="0.25">
      <c r="A415" s="2">
        <v>414</v>
      </c>
      <c r="B415" s="2">
        <v>38968</v>
      </c>
      <c r="C415" s="2" t="s">
        <v>619</v>
      </c>
      <c r="D415" s="2" t="s">
        <v>620</v>
      </c>
      <c r="E415" s="2" t="s">
        <v>3326</v>
      </c>
      <c r="F415" s="2">
        <v>23143184</v>
      </c>
      <c r="G415" s="3">
        <v>36.482191780821921</v>
      </c>
      <c r="H415" s="2" t="s">
        <v>622</v>
      </c>
      <c r="I415" s="2" t="s">
        <v>3327</v>
      </c>
      <c r="J415" s="2" t="str">
        <f>+IF(BD[[#This Row],[DEPARTAMENTO_INSS]]="MANAGUA","_01_","_02_")</f>
        <v>_02_</v>
      </c>
      <c r="K415" s="2" t="str">
        <f>+CONCATENATE(BD[[#This Row],[Columna3]],BD[[#This Row],[Columna4]],BD[[#This Row],[NOMBRE COMPLETO]])</f>
        <v>E003_02_MARIO LUIS BERRIOS HERNANDEZ</v>
      </c>
      <c r="L415" s="2" t="s">
        <v>1640</v>
      </c>
      <c r="M415" s="2" t="s">
        <v>738</v>
      </c>
      <c r="N415" s="2" t="s">
        <v>108</v>
      </c>
      <c r="O415" s="2" t="s">
        <v>11</v>
      </c>
      <c r="P415" s="2" t="s">
        <v>649</v>
      </c>
      <c r="Q415" s="2" t="s">
        <v>351</v>
      </c>
      <c r="R415" s="2">
        <v>31480</v>
      </c>
      <c r="S415" s="2">
        <v>31480</v>
      </c>
      <c r="T415" s="2" t="s">
        <v>176</v>
      </c>
      <c r="U415" s="2" t="s">
        <v>176</v>
      </c>
      <c r="V415" s="2" t="s">
        <v>650</v>
      </c>
      <c r="W415" s="2" t="s">
        <v>176</v>
      </c>
      <c r="X415" s="2" t="s">
        <v>3328</v>
      </c>
      <c r="Y415" s="2" t="s">
        <v>3329</v>
      </c>
      <c r="AA415" s="2" t="s">
        <v>3330</v>
      </c>
      <c r="AB415" s="2" t="s">
        <v>654</v>
      </c>
      <c r="AC415" s="2" t="s">
        <v>632</v>
      </c>
      <c r="AE415" s="2">
        <v>83720077</v>
      </c>
      <c r="AJ415" s="2">
        <v>83720077</v>
      </c>
      <c r="AK415" s="2">
        <v>2</v>
      </c>
      <c r="AL415" s="2" t="s">
        <v>633</v>
      </c>
      <c r="AM415" s="2">
        <v>0</v>
      </c>
      <c r="AN415" s="2">
        <v>0</v>
      </c>
      <c r="AO415" s="2">
        <v>1</v>
      </c>
      <c r="AP415" s="2">
        <v>0</v>
      </c>
      <c r="AQ415" s="2">
        <v>0</v>
      </c>
      <c r="AR415" s="2">
        <v>0</v>
      </c>
      <c r="AS415" s="2">
        <v>0</v>
      </c>
      <c r="AT415" s="2">
        <v>0</v>
      </c>
      <c r="BB415" s="2" t="str">
        <f>+PROPER(BD[[#This Row],[PRIMER_APELLIDO]])</f>
        <v>Berrios</v>
      </c>
    </row>
    <row r="416" spans="1:54" x14ac:dyDescent="0.25">
      <c r="A416" s="2">
        <v>415</v>
      </c>
      <c r="B416" s="2">
        <v>47252</v>
      </c>
      <c r="C416" s="2" t="s">
        <v>619</v>
      </c>
      <c r="D416" s="2" t="s">
        <v>620</v>
      </c>
      <c r="E416" s="2" t="s">
        <v>3331</v>
      </c>
      <c r="F416" s="2">
        <v>16567818</v>
      </c>
      <c r="G416" s="3">
        <v>36.487671232876714</v>
      </c>
      <c r="H416" s="2" t="s">
        <v>622</v>
      </c>
      <c r="I416" s="2" t="s">
        <v>3332</v>
      </c>
      <c r="J416" s="2" t="str">
        <f>+IF(BD[[#This Row],[DEPARTAMENTO_INSS]]="MANAGUA","_01_","_02_")</f>
        <v>_02_</v>
      </c>
      <c r="K416" s="2" t="str">
        <f>+CONCATENATE(BD[[#This Row],[Columna3]],BD[[#This Row],[Columna4]],BD[[#This Row],[NOMBRE COMPLETO]])</f>
        <v>E003_02_MARYURI CAROLINA VARGAS GONZALEZ</v>
      </c>
      <c r="L416" s="2" t="s">
        <v>1120</v>
      </c>
      <c r="M416" s="2" t="s">
        <v>714</v>
      </c>
      <c r="N416" s="2" t="s">
        <v>34</v>
      </c>
      <c r="O416" s="2" t="s">
        <v>14</v>
      </c>
      <c r="P416" s="2" t="s">
        <v>626</v>
      </c>
      <c r="Q416" s="2" t="s">
        <v>351</v>
      </c>
      <c r="R416" s="2">
        <v>31478</v>
      </c>
      <c r="S416" s="2">
        <v>31478</v>
      </c>
      <c r="T416" s="2" t="s">
        <v>780</v>
      </c>
      <c r="U416" s="2" t="s">
        <v>780</v>
      </c>
      <c r="V416" s="2" t="s">
        <v>794</v>
      </c>
      <c r="W416" s="2" t="s">
        <v>795</v>
      </c>
      <c r="X416" s="2" t="s">
        <v>3333</v>
      </c>
      <c r="Y416" s="2" t="s">
        <v>3334</v>
      </c>
      <c r="Z416" s="2">
        <v>87198634</v>
      </c>
      <c r="AA416" s="2" t="s">
        <v>3335</v>
      </c>
      <c r="AB416" s="2" t="s">
        <v>631</v>
      </c>
      <c r="AC416" s="2" t="s">
        <v>632</v>
      </c>
      <c r="AD416" s="2">
        <v>87198634</v>
      </c>
      <c r="AJ416" s="2">
        <v>87198634</v>
      </c>
      <c r="AK416" s="2">
        <v>3</v>
      </c>
      <c r="AL416" s="2" t="s">
        <v>633</v>
      </c>
      <c r="AM416" s="2">
        <v>0</v>
      </c>
      <c r="AN416" s="2">
        <v>0</v>
      </c>
      <c r="AO416" s="2">
        <v>1</v>
      </c>
      <c r="AP416" s="2">
        <v>0</v>
      </c>
      <c r="AQ416" s="2">
        <v>0</v>
      </c>
      <c r="AR416" s="2">
        <v>0</v>
      </c>
      <c r="AS416" s="2">
        <v>0</v>
      </c>
      <c r="AT416" s="2">
        <v>0</v>
      </c>
      <c r="AZ416" s="2" t="s">
        <v>3336</v>
      </c>
      <c r="BB416" s="2" t="str">
        <f>+PROPER(BD[[#This Row],[PRIMER_APELLIDO]])</f>
        <v>Vargas</v>
      </c>
    </row>
    <row r="417" spans="1:54" x14ac:dyDescent="0.25">
      <c r="A417" s="2">
        <v>416</v>
      </c>
      <c r="B417" s="2">
        <v>35396</v>
      </c>
      <c r="C417" s="2" t="s">
        <v>619</v>
      </c>
      <c r="D417" s="2" t="s">
        <v>620</v>
      </c>
      <c r="E417" s="2" t="s">
        <v>3337</v>
      </c>
      <c r="F417" s="2">
        <v>22125848</v>
      </c>
      <c r="G417" s="3">
        <v>36.5013698630137</v>
      </c>
      <c r="H417" s="2" t="s">
        <v>622</v>
      </c>
      <c r="I417" s="2" t="s">
        <v>3338</v>
      </c>
      <c r="J417" s="2" t="str">
        <f>+IF(BD[[#This Row],[DEPARTAMENTO_INSS]]="MANAGUA","_01_","_02_")</f>
        <v>_02_</v>
      </c>
      <c r="K417" s="2" t="str">
        <f>+CONCATENATE(BD[[#This Row],[Columna3]],BD[[#This Row],[Columna4]],BD[[#This Row],[NOMBRE COMPLETO]])</f>
        <v>E003_02_FREDDY JOSE HERRERA ALVAREZ</v>
      </c>
      <c r="L417" s="2" t="s">
        <v>1765</v>
      </c>
      <c r="M417" s="2" t="s">
        <v>243</v>
      </c>
      <c r="N417" s="2" t="s">
        <v>179</v>
      </c>
      <c r="O417" s="2" t="s">
        <v>456</v>
      </c>
      <c r="P417" s="2" t="s">
        <v>649</v>
      </c>
      <c r="Q417" s="2" t="s">
        <v>351</v>
      </c>
      <c r="R417" s="2">
        <v>31473</v>
      </c>
      <c r="S417" s="2">
        <v>31473</v>
      </c>
      <c r="T417" s="2" t="s">
        <v>732</v>
      </c>
      <c r="U417" s="2" t="s">
        <v>780</v>
      </c>
      <c r="V417" s="2" t="s">
        <v>732</v>
      </c>
      <c r="W417" s="2" t="s">
        <v>781</v>
      </c>
      <c r="X417" s="2" t="s">
        <v>3339</v>
      </c>
      <c r="Y417" s="2" t="s">
        <v>3340</v>
      </c>
      <c r="Z417" s="2">
        <v>88029494</v>
      </c>
      <c r="AA417" s="2">
        <v>88029494</v>
      </c>
      <c r="AB417" s="2" t="s">
        <v>654</v>
      </c>
      <c r="AC417" s="2" t="s">
        <v>632</v>
      </c>
      <c r="AD417" s="2">
        <v>88029494</v>
      </c>
      <c r="AJ417" s="2">
        <v>88029494</v>
      </c>
      <c r="AK417" s="2">
        <v>2</v>
      </c>
      <c r="AL417" s="2" t="s">
        <v>633</v>
      </c>
      <c r="AM417" s="2">
        <v>0</v>
      </c>
      <c r="AN417" s="2">
        <v>0</v>
      </c>
      <c r="AO417" s="2">
        <v>1</v>
      </c>
      <c r="AP417" s="2">
        <v>0</v>
      </c>
      <c r="AQ417" s="2">
        <v>0</v>
      </c>
      <c r="AR417" s="2">
        <v>0</v>
      </c>
      <c r="AS417" s="2">
        <v>0</v>
      </c>
      <c r="AT417" s="2">
        <v>0</v>
      </c>
      <c r="AZ417" s="2" t="s">
        <v>3341</v>
      </c>
      <c r="BB417" s="2" t="str">
        <f>+PROPER(BD[[#This Row],[PRIMER_APELLIDO]])</f>
        <v>Herrera</v>
      </c>
    </row>
    <row r="418" spans="1:54" x14ac:dyDescent="0.25">
      <c r="A418" s="2">
        <v>417</v>
      </c>
      <c r="B418" s="2">
        <v>43934</v>
      </c>
      <c r="C418" s="2" t="s">
        <v>619</v>
      </c>
      <c r="D418" s="2" t="s">
        <v>620</v>
      </c>
      <c r="E418" s="2" t="s">
        <v>3342</v>
      </c>
      <c r="F418" s="2">
        <v>24236805</v>
      </c>
      <c r="G418" s="3">
        <v>36.5013698630137</v>
      </c>
      <c r="H418" s="2" t="s">
        <v>622</v>
      </c>
      <c r="I418" s="2" t="s">
        <v>3343</v>
      </c>
      <c r="J418" s="2" t="str">
        <f>+IF(BD[[#This Row],[DEPARTAMENTO_INSS]]="MANAGUA","_01_","_02_")</f>
        <v>_02_</v>
      </c>
      <c r="K418" s="2" t="str">
        <f>+CONCATENATE(BD[[#This Row],[Columna3]],BD[[#This Row],[Columna4]],BD[[#This Row],[NOMBRE COMPLETO]])</f>
        <v>E003_02_MEYLING ESTELA ARELLANO TORUÑO</v>
      </c>
      <c r="L418" s="2" t="s">
        <v>2785</v>
      </c>
      <c r="M418" s="2" t="s">
        <v>876</v>
      </c>
      <c r="N418" s="2" t="s">
        <v>350</v>
      </c>
      <c r="O418" s="2" t="s">
        <v>392</v>
      </c>
      <c r="P418" s="2" t="s">
        <v>626</v>
      </c>
      <c r="Q418" s="2" t="s">
        <v>351</v>
      </c>
      <c r="R418" s="2">
        <v>31473</v>
      </c>
      <c r="S418" s="2">
        <v>31473</v>
      </c>
      <c r="T418" s="2" t="s">
        <v>176</v>
      </c>
      <c r="U418" s="2" t="s">
        <v>1005</v>
      </c>
      <c r="V418" s="2" t="s">
        <v>650</v>
      </c>
      <c r="W418" s="2" t="s">
        <v>1006</v>
      </c>
      <c r="X418" s="2" t="s">
        <v>3344</v>
      </c>
      <c r="Y418" s="2" t="s">
        <v>3345</v>
      </c>
      <c r="AA418" s="2">
        <v>86053225</v>
      </c>
      <c r="AB418" s="2" t="s">
        <v>654</v>
      </c>
      <c r="AC418" s="2" t="s">
        <v>632</v>
      </c>
      <c r="AD418" s="2">
        <v>86053225</v>
      </c>
      <c r="AJ418" s="2">
        <v>86053225</v>
      </c>
      <c r="AK418" s="2">
        <v>1</v>
      </c>
      <c r="AL418" s="2" t="s">
        <v>633</v>
      </c>
      <c r="AM418" s="2">
        <v>0</v>
      </c>
      <c r="AN418" s="2">
        <v>0</v>
      </c>
      <c r="AO418" s="2">
        <v>1</v>
      </c>
      <c r="AP418" s="2">
        <v>0</v>
      </c>
      <c r="AQ418" s="2">
        <v>0</v>
      </c>
      <c r="AR418" s="2">
        <v>0</v>
      </c>
      <c r="AS418" s="2">
        <v>0</v>
      </c>
      <c r="AT418" s="2">
        <v>0</v>
      </c>
      <c r="BB418" s="2" t="str">
        <f>+PROPER(BD[[#This Row],[PRIMER_APELLIDO]])</f>
        <v>Arellano</v>
      </c>
    </row>
    <row r="419" spans="1:54" x14ac:dyDescent="0.25">
      <c r="A419" s="2">
        <v>418</v>
      </c>
      <c r="B419" s="2">
        <v>59087</v>
      </c>
      <c r="C419" s="2" t="s">
        <v>619</v>
      </c>
      <c r="D419" s="2" t="s">
        <v>620</v>
      </c>
      <c r="E419" s="2" t="s">
        <v>3346</v>
      </c>
      <c r="G419" s="3">
        <v>36.5013698630137</v>
      </c>
      <c r="H419" s="2" t="s">
        <v>622</v>
      </c>
      <c r="I419" s="2" t="s">
        <v>3347</v>
      </c>
      <c r="J419" s="2" t="str">
        <f>+IF(BD[[#This Row],[DEPARTAMENTO_INSS]]="MANAGUA","_01_","_02_")</f>
        <v>_02_</v>
      </c>
      <c r="K419" s="2" t="str">
        <f>+CONCATENATE(BD[[#This Row],[Columna3]],BD[[#This Row],[Columna4]],BD[[#This Row],[NOMBRE COMPLETO]])</f>
        <v>E003_02_BELKIS NEYSI ALANIZ GONZALEZ</v>
      </c>
      <c r="L419" s="2" t="s">
        <v>3348</v>
      </c>
      <c r="M419" s="2" t="s">
        <v>3349</v>
      </c>
      <c r="N419" s="2" t="s">
        <v>168</v>
      </c>
      <c r="O419" s="2" t="s">
        <v>14</v>
      </c>
      <c r="P419" s="2" t="s">
        <v>626</v>
      </c>
      <c r="Q419" s="2" t="s">
        <v>351</v>
      </c>
      <c r="R419" s="2">
        <v>31473</v>
      </c>
      <c r="S419" s="2">
        <v>31473</v>
      </c>
      <c r="T419" s="2" t="s">
        <v>691</v>
      </c>
      <c r="U419" s="2" t="s">
        <v>691</v>
      </c>
      <c r="V419" s="2" t="s">
        <v>716</v>
      </c>
      <c r="W419" s="2" t="s">
        <v>691</v>
      </c>
      <c r="X419" s="2" t="s">
        <v>3350</v>
      </c>
      <c r="Y419" s="2" t="s">
        <v>3351</v>
      </c>
      <c r="Z419" s="2">
        <v>86129158</v>
      </c>
      <c r="AB419" s="2" t="s">
        <v>984</v>
      </c>
      <c r="AC419" s="2" t="s">
        <v>632</v>
      </c>
      <c r="AD419" s="2">
        <v>86129158</v>
      </c>
      <c r="AJ419" s="2">
        <v>86129158</v>
      </c>
      <c r="AK419" s="2">
        <v>1</v>
      </c>
      <c r="AL419" s="2" t="s">
        <v>633</v>
      </c>
      <c r="AM419" s="2">
        <v>0</v>
      </c>
      <c r="AN419" s="2">
        <v>0</v>
      </c>
      <c r="AO419" s="2">
        <v>1</v>
      </c>
      <c r="AP419" s="2">
        <v>0</v>
      </c>
      <c r="AQ419" s="2">
        <v>0</v>
      </c>
      <c r="AR419" s="2">
        <v>0</v>
      </c>
      <c r="AS419" s="2">
        <v>0</v>
      </c>
      <c r="AT419" s="2">
        <v>0</v>
      </c>
      <c r="AZ419" s="2" t="s">
        <v>3352</v>
      </c>
      <c r="BB419" s="2" t="str">
        <f>+PROPER(BD[[#This Row],[PRIMER_APELLIDO]])</f>
        <v>Alaniz</v>
      </c>
    </row>
    <row r="420" spans="1:54" x14ac:dyDescent="0.25">
      <c r="A420" s="2">
        <v>419</v>
      </c>
      <c r="B420" s="2">
        <v>49310</v>
      </c>
      <c r="C420" s="2" t="s">
        <v>619</v>
      </c>
      <c r="D420" s="2" t="s">
        <v>620</v>
      </c>
      <c r="E420" s="2" t="s">
        <v>3353</v>
      </c>
      <c r="F420" s="2">
        <v>16821985</v>
      </c>
      <c r="G420" s="3">
        <v>36.504109589041093</v>
      </c>
      <c r="H420" s="2" t="s">
        <v>622</v>
      </c>
      <c r="I420" s="2" t="s">
        <v>3354</v>
      </c>
      <c r="J420" s="2" t="str">
        <f>+IF(BD[[#This Row],[DEPARTAMENTO_INSS]]="MANAGUA","_01_","_02_")</f>
        <v>_02_</v>
      </c>
      <c r="K420" s="2" t="str">
        <f>+CONCATENATE(BD[[#This Row],[Columna3]],BD[[#This Row],[Columna4]],BD[[#This Row],[NOMBRE COMPLETO]])</f>
        <v>E003_02_BLANCA GUADALUPE TALAVERA CALDERON</v>
      </c>
      <c r="L420" s="2" t="s">
        <v>1169</v>
      </c>
      <c r="M420" s="2" t="s">
        <v>1176</v>
      </c>
      <c r="N420" s="2" t="s">
        <v>31</v>
      </c>
      <c r="O420" s="2" t="s">
        <v>474</v>
      </c>
      <c r="P420" s="2" t="s">
        <v>626</v>
      </c>
      <c r="Q420" s="2" t="s">
        <v>351</v>
      </c>
      <c r="R420" s="2">
        <v>31472</v>
      </c>
      <c r="S420" s="2">
        <v>31472</v>
      </c>
      <c r="T420" s="2" t="s">
        <v>691</v>
      </c>
      <c r="U420" s="2" t="s">
        <v>691</v>
      </c>
      <c r="V420" s="2" t="s">
        <v>716</v>
      </c>
      <c r="W420" s="2" t="s">
        <v>691</v>
      </c>
      <c r="X420" s="2" t="s">
        <v>3355</v>
      </c>
      <c r="Y420" s="2" t="s">
        <v>3356</v>
      </c>
      <c r="Z420" s="2">
        <v>57261254</v>
      </c>
      <c r="AA420" s="2">
        <v>86693624</v>
      </c>
      <c r="AB420" s="2" t="s">
        <v>631</v>
      </c>
      <c r="AC420" s="2" t="s">
        <v>632</v>
      </c>
      <c r="AD420" s="2">
        <v>57261254</v>
      </c>
      <c r="AE420" s="2">
        <v>86693624</v>
      </c>
      <c r="AJ420" s="2">
        <v>57261254</v>
      </c>
      <c r="AK420" s="2">
        <v>2</v>
      </c>
      <c r="AL420" s="2" t="s">
        <v>633</v>
      </c>
      <c r="AM420" s="2">
        <v>0</v>
      </c>
      <c r="AN420" s="2">
        <v>0</v>
      </c>
      <c r="AO420" s="2">
        <v>1</v>
      </c>
      <c r="AP420" s="2">
        <v>0</v>
      </c>
      <c r="AQ420" s="2">
        <v>0</v>
      </c>
      <c r="AR420" s="2">
        <v>0</v>
      </c>
      <c r="AS420" s="2">
        <v>0</v>
      </c>
      <c r="AT420" s="2">
        <v>0</v>
      </c>
      <c r="AZ420" s="2" t="s">
        <v>3357</v>
      </c>
      <c r="BB420" s="2" t="str">
        <f>+PROPER(BD[[#This Row],[PRIMER_APELLIDO]])</f>
        <v>Talavera</v>
      </c>
    </row>
    <row r="421" spans="1:54" x14ac:dyDescent="0.25">
      <c r="A421" s="2">
        <v>420</v>
      </c>
      <c r="B421" s="2">
        <v>39091</v>
      </c>
      <c r="C421" s="2" t="s">
        <v>619</v>
      </c>
      <c r="D421" s="2" t="s">
        <v>620</v>
      </c>
      <c r="E421" s="2" t="s">
        <v>3358</v>
      </c>
      <c r="F421" s="2">
        <v>23110469</v>
      </c>
      <c r="G421" s="3">
        <v>36.509589041095893</v>
      </c>
      <c r="H421" s="2" t="s">
        <v>622</v>
      </c>
      <c r="I421" s="2" t="s">
        <v>3359</v>
      </c>
      <c r="J421" s="2" t="str">
        <f>+IF(BD[[#This Row],[DEPARTAMENTO_INSS]]="MANAGUA","_01_","_02_")</f>
        <v>_02_</v>
      </c>
      <c r="K421" s="2" t="str">
        <f>+CONCATENATE(BD[[#This Row],[Columna3]],BD[[#This Row],[Columna4]],BD[[#This Row],[NOMBRE COMPLETO]])</f>
        <v>E003_02_CARMEN CECILIA SOZA GONZALEZ</v>
      </c>
      <c r="L421" s="2" t="s">
        <v>1241</v>
      </c>
      <c r="M421" s="2" t="s">
        <v>3360</v>
      </c>
      <c r="N421" s="2" t="s">
        <v>211</v>
      </c>
      <c r="O421" s="2" t="s">
        <v>14</v>
      </c>
      <c r="P421" s="2" t="s">
        <v>626</v>
      </c>
      <c r="Q421" s="2" t="s">
        <v>351</v>
      </c>
      <c r="R421" s="2">
        <v>31470</v>
      </c>
      <c r="S421" s="2">
        <v>31470</v>
      </c>
      <c r="T421" s="2" t="s">
        <v>627</v>
      </c>
      <c r="U421" s="2" t="s">
        <v>669</v>
      </c>
      <c r="V421" s="2" t="s">
        <v>627</v>
      </c>
      <c r="W421" s="2" t="s">
        <v>670</v>
      </c>
      <c r="X421" s="2" t="s">
        <v>3361</v>
      </c>
      <c r="Y421" s="2" t="s">
        <v>3362</v>
      </c>
      <c r="Z421" s="2">
        <v>78103753</v>
      </c>
      <c r="AB421" s="2" t="s">
        <v>642</v>
      </c>
      <c r="AC421" s="2" t="s">
        <v>632</v>
      </c>
      <c r="AD421" s="2">
        <v>78103753</v>
      </c>
      <c r="AJ421" s="2">
        <v>78103753</v>
      </c>
      <c r="AK421" s="2">
        <v>1</v>
      </c>
      <c r="AL421" s="2" t="s">
        <v>633</v>
      </c>
      <c r="AM421" s="2">
        <v>0</v>
      </c>
      <c r="AN421" s="2">
        <v>0</v>
      </c>
      <c r="AO421" s="2">
        <v>1</v>
      </c>
      <c r="AP421" s="2">
        <v>0</v>
      </c>
      <c r="AQ421" s="2">
        <v>0</v>
      </c>
      <c r="AR421" s="2">
        <v>0</v>
      </c>
      <c r="AS421" s="2">
        <v>0</v>
      </c>
      <c r="AT421" s="2">
        <v>0</v>
      </c>
      <c r="AZ421" s="2" t="s">
        <v>3363</v>
      </c>
      <c r="BB421" s="2" t="str">
        <f>+PROPER(BD[[#This Row],[PRIMER_APELLIDO]])</f>
        <v>Soza</v>
      </c>
    </row>
    <row r="422" spans="1:54" x14ac:dyDescent="0.25">
      <c r="A422" s="2">
        <v>421</v>
      </c>
      <c r="B422" s="2">
        <v>73374</v>
      </c>
      <c r="C422" s="2" t="s">
        <v>619</v>
      </c>
      <c r="D422" s="2" t="s">
        <v>620</v>
      </c>
      <c r="E422" s="2" t="s">
        <v>3364</v>
      </c>
      <c r="G422" s="3">
        <v>36.517808219178079</v>
      </c>
      <c r="H422" s="2" t="s">
        <v>622</v>
      </c>
      <c r="I422" s="2" t="s">
        <v>3365</v>
      </c>
      <c r="J422" s="2" t="str">
        <f>+IF(BD[[#This Row],[DEPARTAMENTO_INSS]]="MANAGUA","_01_","_02_")</f>
        <v>_02_</v>
      </c>
      <c r="K422" s="2" t="str">
        <f>+CONCATENATE(BD[[#This Row],[Columna3]],BD[[#This Row],[Columna4]],BD[[#This Row],[NOMBRE COMPLETO]])</f>
        <v>E003_02_TANIA ANIELKA EDWARDS DIAZ</v>
      </c>
      <c r="L422" s="2" t="s">
        <v>2305</v>
      </c>
      <c r="M422" s="2" t="s">
        <v>723</v>
      </c>
      <c r="N422" s="2" t="s">
        <v>299</v>
      </c>
      <c r="O422" s="2" t="s">
        <v>91</v>
      </c>
      <c r="P422" s="2" t="s">
        <v>626</v>
      </c>
      <c r="Q422" s="2" t="s">
        <v>351</v>
      </c>
      <c r="R422" s="2">
        <v>31467</v>
      </c>
      <c r="S422" s="2">
        <v>31467</v>
      </c>
      <c r="T422" s="2" t="s">
        <v>1005</v>
      </c>
      <c r="U422" s="2" t="s">
        <v>1005</v>
      </c>
      <c r="V422" s="2" t="s">
        <v>1184</v>
      </c>
      <c r="W422" s="2" t="s">
        <v>1184</v>
      </c>
      <c r="X422" s="2" t="s">
        <v>3366</v>
      </c>
      <c r="Y422" s="2" t="s">
        <v>3367</v>
      </c>
      <c r="Z422" s="2">
        <v>84313338</v>
      </c>
      <c r="AA422" s="2">
        <v>84313338</v>
      </c>
      <c r="AB422" s="2" t="s">
        <v>642</v>
      </c>
      <c r="AC422" s="2" t="s">
        <v>632</v>
      </c>
      <c r="AD422" s="2">
        <v>84313338</v>
      </c>
      <c r="AJ422" s="2">
        <v>84313338</v>
      </c>
      <c r="AK422" s="2">
        <v>2</v>
      </c>
      <c r="AL422" s="2" t="s">
        <v>633</v>
      </c>
      <c r="AM422" s="2">
        <v>0</v>
      </c>
      <c r="AN422" s="2">
        <v>0</v>
      </c>
      <c r="AO422" s="2">
        <v>1</v>
      </c>
      <c r="AP422" s="2">
        <v>0</v>
      </c>
      <c r="AQ422" s="2">
        <v>0</v>
      </c>
      <c r="AR422" s="2">
        <v>0</v>
      </c>
      <c r="AS422" s="2">
        <v>0</v>
      </c>
      <c r="AT422" s="2">
        <v>0</v>
      </c>
      <c r="AZ422" s="2" t="s">
        <v>3368</v>
      </c>
      <c r="BA422" s="2" t="s">
        <v>3369</v>
      </c>
      <c r="BB422" s="2" t="str">
        <f>+PROPER(BD[[#This Row],[PRIMER_APELLIDO]])</f>
        <v>Edwards</v>
      </c>
    </row>
    <row r="423" spans="1:54" x14ac:dyDescent="0.25">
      <c r="A423" s="2">
        <v>422</v>
      </c>
      <c r="B423" s="2">
        <v>36640</v>
      </c>
      <c r="C423" s="2" t="s">
        <v>619</v>
      </c>
      <c r="D423" s="2" t="s">
        <v>620</v>
      </c>
      <c r="E423" s="2" t="s">
        <v>3370</v>
      </c>
      <c r="F423" s="2">
        <v>23302754</v>
      </c>
      <c r="G423" s="3">
        <v>36.520547945205479</v>
      </c>
      <c r="H423" s="2" t="s">
        <v>622</v>
      </c>
      <c r="I423" s="2" t="s">
        <v>3371</v>
      </c>
      <c r="J423" s="2" t="str">
        <f>+IF(BD[[#This Row],[DEPARTAMENTO_INSS]]="MANAGUA","_01_","_02_")</f>
        <v>_02_</v>
      </c>
      <c r="K423" s="2" t="str">
        <f>+CONCATENATE(BD[[#This Row],[Columna3]],BD[[#This Row],[Columna4]],BD[[#This Row],[NOMBRE COMPLETO]])</f>
        <v>E003_02_OSMAN MIGUEL ACOSTA HERNANDEZ</v>
      </c>
      <c r="L423" s="2" t="s">
        <v>3007</v>
      </c>
      <c r="M423" s="2" t="s">
        <v>2016</v>
      </c>
      <c r="N423" s="2" t="s">
        <v>42</v>
      </c>
      <c r="O423" s="2" t="s">
        <v>11</v>
      </c>
      <c r="P423" s="2" t="s">
        <v>649</v>
      </c>
      <c r="Q423" s="2" t="s">
        <v>351</v>
      </c>
      <c r="R423" s="2">
        <v>31466</v>
      </c>
      <c r="S423" s="2">
        <v>31466</v>
      </c>
      <c r="T423" s="2" t="s">
        <v>176</v>
      </c>
      <c r="U423" s="2" t="s">
        <v>176</v>
      </c>
      <c r="V423" s="2" t="s">
        <v>650</v>
      </c>
      <c r="W423" s="2" t="s">
        <v>176</v>
      </c>
      <c r="X423" s="2" t="s">
        <v>3372</v>
      </c>
      <c r="Y423" s="2" t="s">
        <v>3373</v>
      </c>
      <c r="AA423" s="2" t="s">
        <v>3374</v>
      </c>
      <c r="AB423" s="2" t="s">
        <v>654</v>
      </c>
      <c r="AC423" s="2" t="s">
        <v>632</v>
      </c>
      <c r="AE423" s="2">
        <v>88521608</v>
      </c>
      <c r="AJ423" s="2">
        <v>88521608</v>
      </c>
      <c r="AK423" s="2">
        <v>2</v>
      </c>
      <c r="AL423" s="2" t="s">
        <v>633</v>
      </c>
      <c r="AM423" s="2">
        <v>0</v>
      </c>
      <c r="AN423" s="2">
        <v>0</v>
      </c>
      <c r="AO423" s="2">
        <v>1</v>
      </c>
      <c r="AP423" s="2">
        <v>0</v>
      </c>
      <c r="AQ423" s="2">
        <v>0</v>
      </c>
      <c r="AR423" s="2">
        <v>0</v>
      </c>
      <c r="AS423" s="2">
        <v>0</v>
      </c>
      <c r="AT423" s="2">
        <v>0</v>
      </c>
      <c r="BB423" s="2" t="str">
        <f>+PROPER(BD[[#This Row],[PRIMER_APELLIDO]])</f>
        <v>Acosta</v>
      </c>
    </row>
    <row r="424" spans="1:54" x14ac:dyDescent="0.25">
      <c r="A424" s="2">
        <v>423</v>
      </c>
      <c r="B424" s="2">
        <v>49228</v>
      </c>
      <c r="C424" s="2" t="s">
        <v>619</v>
      </c>
      <c r="D424" s="2" t="s">
        <v>620</v>
      </c>
      <c r="E424" s="2" t="s">
        <v>3375</v>
      </c>
      <c r="F424" s="2">
        <v>25033094</v>
      </c>
      <c r="G424" s="3">
        <v>36.523287671232879</v>
      </c>
      <c r="H424" s="2" t="s">
        <v>622</v>
      </c>
      <c r="I424" s="2" t="s">
        <v>3376</v>
      </c>
      <c r="J424" s="2" t="str">
        <f>+IF(BD[[#This Row],[DEPARTAMENTO_INSS]]="MANAGUA","_01_","_02_")</f>
        <v>_02_</v>
      </c>
      <c r="K424" s="2" t="str">
        <f>+CONCATENATE(BD[[#This Row],[Columna3]],BD[[#This Row],[Columna4]],BD[[#This Row],[NOMBRE COMPLETO]])</f>
        <v>E003_02_KEYLING MARICEL ROCHA MORENO</v>
      </c>
      <c r="L424" s="2" t="s">
        <v>3377</v>
      </c>
      <c r="M424" s="2" t="s">
        <v>3378</v>
      </c>
      <c r="N424" s="2" t="s">
        <v>49</v>
      </c>
      <c r="O424" s="2" t="s">
        <v>430</v>
      </c>
      <c r="P424" s="2" t="s">
        <v>626</v>
      </c>
      <c r="Q424" s="2" t="s">
        <v>351</v>
      </c>
      <c r="R424" s="2">
        <v>31465</v>
      </c>
      <c r="S424" s="2">
        <v>31465</v>
      </c>
      <c r="T424" s="2" t="s">
        <v>691</v>
      </c>
      <c r="U424" s="2" t="s">
        <v>1044</v>
      </c>
      <c r="V424" s="2" t="s">
        <v>716</v>
      </c>
      <c r="W424" s="2" t="s">
        <v>3379</v>
      </c>
      <c r="X424" s="2" t="s">
        <v>3380</v>
      </c>
      <c r="Y424" s="2" t="s">
        <v>3381</v>
      </c>
      <c r="AA424" s="2">
        <v>86120228</v>
      </c>
      <c r="AB424" s="2" t="s">
        <v>631</v>
      </c>
      <c r="AC424" s="2" t="s">
        <v>632</v>
      </c>
      <c r="AD424" s="2">
        <v>86120228</v>
      </c>
      <c r="AJ424" s="2">
        <v>86120228</v>
      </c>
      <c r="AK424" s="2">
        <v>1</v>
      </c>
      <c r="AL424" s="2" t="s">
        <v>633</v>
      </c>
      <c r="AM424" s="2">
        <v>0</v>
      </c>
      <c r="AN424" s="2">
        <v>0</v>
      </c>
      <c r="AO424" s="2">
        <v>1</v>
      </c>
      <c r="AP424" s="2">
        <v>0</v>
      </c>
      <c r="AQ424" s="2">
        <v>0</v>
      </c>
      <c r="AR424" s="2">
        <v>0</v>
      </c>
      <c r="AS424" s="2">
        <v>0</v>
      </c>
      <c r="AT424" s="2">
        <v>0</v>
      </c>
      <c r="BB424" s="2" t="str">
        <f>+PROPER(BD[[#This Row],[PRIMER_APELLIDO]])</f>
        <v>Rocha</v>
      </c>
    </row>
    <row r="425" spans="1:54" x14ac:dyDescent="0.25">
      <c r="A425" s="2">
        <v>424</v>
      </c>
      <c r="B425" s="2">
        <v>42008</v>
      </c>
      <c r="C425" s="2" t="s">
        <v>619</v>
      </c>
      <c r="D425" s="2" t="s">
        <v>620</v>
      </c>
      <c r="E425" s="2" t="s">
        <v>3382</v>
      </c>
      <c r="F425" s="2">
        <v>24986034</v>
      </c>
      <c r="G425" s="3">
        <v>36.531506849315072</v>
      </c>
      <c r="H425" s="2" t="s">
        <v>622</v>
      </c>
      <c r="I425" s="2" t="s">
        <v>3383</v>
      </c>
      <c r="J425" s="2" t="str">
        <f>+IF(BD[[#This Row],[DEPARTAMENTO_INSS]]="MANAGUA","_01_","_02_")</f>
        <v>_01_</v>
      </c>
      <c r="K425" s="2" t="str">
        <f>+CONCATENATE(BD[[#This Row],[Columna3]],BD[[#This Row],[Columna4]],BD[[#This Row],[NOMBRE COMPLETO]])</f>
        <v>E003_01_ERICK LENIN BRENES ARCIA</v>
      </c>
      <c r="L425" s="2" t="s">
        <v>1391</v>
      </c>
      <c r="M425" s="2" t="s">
        <v>3384</v>
      </c>
      <c r="N425" s="2" t="s">
        <v>230</v>
      </c>
      <c r="O425" s="2" t="s">
        <v>448</v>
      </c>
      <c r="P425" s="2" t="s">
        <v>649</v>
      </c>
      <c r="Q425" s="2" t="s">
        <v>351</v>
      </c>
      <c r="R425" s="2">
        <v>31462</v>
      </c>
      <c r="S425" s="2">
        <v>31462</v>
      </c>
      <c r="T425" s="2" t="s">
        <v>627</v>
      </c>
      <c r="U425" s="2" t="s">
        <v>627</v>
      </c>
      <c r="V425" s="2" t="s">
        <v>627</v>
      </c>
      <c r="W425" s="2" t="s">
        <v>627</v>
      </c>
      <c r="X425" s="2" t="s">
        <v>3385</v>
      </c>
      <c r="Y425" s="2" t="s">
        <v>3386</v>
      </c>
      <c r="Z425" s="2">
        <v>78307174</v>
      </c>
      <c r="AA425" s="2" t="s">
        <v>3387</v>
      </c>
      <c r="AB425" s="2" t="s">
        <v>798</v>
      </c>
      <c r="AC425" s="2" t="s">
        <v>632</v>
      </c>
      <c r="AD425" s="2">
        <v>78307174</v>
      </c>
      <c r="AE425" s="2">
        <v>84016631</v>
      </c>
      <c r="AJ425" s="2">
        <v>78307174</v>
      </c>
      <c r="AK425" s="2">
        <v>3</v>
      </c>
      <c r="AL425" s="2" t="s">
        <v>633</v>
      </c>
      <c r="AM425" s="2">
        <v>0</v>
      </c>
      <c r="AN425" s="2">
        <v>0</v>
      </c>
      <c r="AO425" s="2">
        <v>1</v>
      </c>
      <c r="AP425" s="2">
        <v>0</v>
      </c>
      <c r="AQ425" s="2">
        <v>0</v>
      </c>
      <c r="AR425" s="2">
        <v>0</v>
      </c>
      <c r="AS425" s="2">
        <v>0</v>
      </c>
      <c r="AT425" s="2">
        <v>0</v>
      </c>
      <c r="AZ425" s="2" t="s">
        <v>3388</v>
      </c>
      <c r="BB425" s="2" t="str">
        <f>+PROPER(BD[[#This Row],[PRIMER_APELLIDO]])</f>
        <v>Brenes</v>
      </c>
    </row>
    <row r="426" spans="1:54" x14ac:dyDescent="0.25">
      <c r="A426" s="2">
        <v>425</v>
      </c>
      <c r="B426" s="2">
        <v>48322</v>
      </c>
      <c r="C426" s="2" t="s">
        <v>619</v>
      </c>
      <c r="D426" s="2" t="s">
        <v>620</v>
      </c>
      <c r="E426" s="2" t="s">
        <v>3389</v>
      </c>
      <c r="F426" s="2">
        <v>26965279</v>
      </c>
      <c r="G426" s="3">
        <v>36.531506849315072</v>
      </c>
      <c r="H426" s="2" t="s">
        <v>622</v>
      </c>
      <c r="I426" s="2" t="s">
        <v>3390</v>
      </c>
      <c r="J426" s="2" t="str">
        <f>+IF(BD[[#This Row],[DEPARTAMENTO_INSS]]="MANAGUA","_01_","_02_")</f>
        <v>_02_</v>
      </c>
      <c r="K426" s="2" t="str">
        <f>+CONCATENATE(BD[[#This Row],[Columna3]],BD[[#This Row],[Columna4]],BD[[#This Row],[NOMBRE COMPLETO]])</f>
        <v>E003_02_NANCIS ESTER RIOS BENAVIDES</v>
      </c>
      <c r="L426" s="2" t="s">
        <v>3391</v>
      </c>
      <c r="M426" s="2" t="s">
        <v>3392</v>
      </c>
      <c r="N426" s="2" t="s">
        <v>164</v>
      </c>
      <c r="O426" s="2" t="s">
        <v>420</v>
      </c>
      <c r="P426" s="2" t="s">
        <v>626</v>
      </c>
      <c r="Q426" s="2" t="s">
        <v>351</v>
      </c>
      <c r="R426" s="2">
        <v>31462</v>
      </c>
      <c r="S426" s="2">
        <v>31462</v>
      </c>
      <c r="T426" s="2" t="s">
        <v>705</v>
      </c>
      <c r="U426" s="2" t="s">
        <v>705</v>
      </c>
      <c r="V426" s="2" t="s">
        <v>3393</v>
      </c>
      <c r="W426" s="2" t="s">
        <v>725</v>
      </c>
      <c r="X426" s="2" t="s">
        <v>3394</v>
      </c>
      <c r="Y426" s="2" t="s">
        <v>3395</v>
      </c>
      <c r="AA426" s="2">
        <v>27922298</v>
      </c>
      <c r="AB426" s="2" t="s">
        <v>631</v>
      </c>
      <c r="AC426" s="2" t="s">
        <v>632</v>
      </c>
      <c r="AK426" s="2">
        <v>1</v>
      </c>
      <c r="AL426" s="2" t="s">
        <v>633</v>
      </c>
      <c r="AM426" s="2">
        <v>0</v>
      </c>
      <c r="AN426" s="2">
        <v>0</v>
      </c>
      <c r="AO426" s="2">
        <v>1</v>
      </c>
      <c r="AP426" s="2">
        <v>0</v>
      </c>
      <c r="AQ426" s="2">
        <v>0</v>
      </c>
      <c r="AR426" s="2">
        <v>0</v>
      </c>
      <c r="AS426" s="2">
        <v>0</v>
      </c>
      <c r="AT426" s="2">
        <v>0</v>
      </c>
      <c r="BB426" s="2" t="str">
        <f>+PROPER(BD[[#This Row],[PRIMER_APELLIDO]])</f>
        <v>Rios</v>
      </c>
    </row>
    <row r="427" spans="1:54" x14ac:dyDescent="0.25">
      <c r="A427" s="2">
        <v>426</v>
      </c>
      <c r="B427" s="2">
        <v>36958</v>
      </c>
      <c r="C427" s="2" t="s">
        <v>619</v>
      </c>
      <c r="D427" s="2" t="s">
        <v>620</v>
      </c>
      <c r="E427" s="2" t="s">
        <v>3396</v>
      </c>
      <c r="F427" s="2">
        <v>27142756</v>
      </c>
      <c r="G427" s="3">
        <v>36.536986301369865</v>
      </c>
      <c r="H427" s="2" t="s">
        <v>622</v>
      </c>
      <c r="I427" s="2" t="s">
        <v>3397</v>
      </c>
      <c r="J427" s="2" t="str">
        <f>+IF(BD[[#This Row],[DEPARTAMENTO_INSS]]="MANAGUA","_01_","_02_")</f>
        <v>_01_</v>
      </c>
      <c r="K427" s="2" t="str">
        <f>+CONCATENATE(BD[[#This Row],[Columna3]],BD[[#This Row],[Columna4]],BD[[#This Row],[NOMBRE COMPLETO]])</f>
        <v>E003_01_HEATHER JESSICA FEDRICK COLEMAN</v>
      </c>
      <c r="L427" s="2" t="s">
        <v>3398</v>
      </c>
      <c r="M427" s="2" t="s">
        <v>1490</v>
      </c>
      <c r="N427" s="2" t="s">
        <v>46</v>
      </c>
      <c r="O427" s="2" t="s">
        <v>3399</v>
      </c>
      <c r="P427" s="2" t="s">
        <v>626</v>
      </c>
      <c r="Q427" s="2" t="s">
        <v>351</v>
      </c>
      <c r="R427" s="2">
        <v>31460</v>
      </c>
      <c r="S427" s="2">
        <v>31460</v>
      </c>
      <c r="T427" s="2" t="s">
        <v>1005</v>
      </c>
      <c r="U427" s="2" t="s">
        <v>627</v>
      </c>
      <c r="V427" s="2" t="s">
        <v>1006</v>
      </c>
      <c r="W427" s="2" t="s">
        <v>627</v>
      </c>
      <c r="X427" s="2" t="s">
        <v>3400</v>
      </c>
      <c r="Y427" s="2" t="s">
        <v>3401</v>
      </c>
      <c r="AA427" s="2" t="s">
        <v>3402</v>
      </c>
      <c r="AB427" s="2" t="s">
        <v>642</v>
      </c>
      <c r="AC427" s="2" t="s">
        <v>632</v>
      </c>
      <c r="AE427" s="2">
        <v>88992907</v>
      </c>
      <c r="AJ427" s="2">
        <v>88992907</v>
      </c>
      <c r="AK427" s="2">
        <v>2</v>
      </c>
      <c r="AL427" s="2" t="s">
        <v>633</v>
      </c>
      <c r="AM427" s="2">
        <v>0</v>
      </c>
      <c r="AN427" s="2">
        <v>0</v>
      </c>
      <c r="AO427" s="2">
        <v>1</v>
      </c>
      <c r="AP427" s="2">
        <v>0</v>
      </c>
      <c r="AQ427" s="2">
        <v>0</v>
      </c>
      <c r="AR427" s="2">
        <v>0</v>
      </c>
      <c r="AS427" s="2">
        <v>0</v>
      </c>
      <c r="AT427" s="2">
        <v>0</v>
      </c>
      <c r="BB427" s="2" t="str">
        <f>+PROPER(BD[[#This Row],[PRIMER_APELLIDO]])</f>
        <v>Fedrick</v>
      </c>
    </row>
    <row r="428" spans="1:54" x14ac:dyDescent="0.25">
      <c r="A428" s="2">
        <v>427</v>
      </c>
      <c r="B428" s="2">
        <v>37967</v>
      </c>
      <c r="C428" s="2" t="s">
        <v>619</v>
      </c>
      <c r="D428" s="2" t="s">
        <v>620</v>
      </c>
      <c r="E428" s="2" t="s">
        <v>3403</v>
      </c>
      <c r="F428" s="2">
        <v>27370397</v>
      </c>
      <c r="G428" s="3">
        <v>36.536986301369865</v>
      </c>
      <c r="H428" s="2" t="s">
        <v>622</v>
      </c>
      <c r="I428" s="2" t="s">
        <v>3404</v>
      </c>
      <c r="J428" s="2" t="str">
        <f>+IF(BD[[#This Row],[DEPARTAMENTO_INSS]]="MANAGUA","_01_","_02_")</f>
        <v>_02_</v>
      </c>
      <c r="K428" s="2" t="str">
        <f>+CONCATENATE(BD[[#This Row],[Columna3]],BD[[#This Row],[Columna4]],BD[[#This Row],[NOMBRE COMPLETO]])</f>
        <v>E003_02_HECTOR JOSE SOLIS VALDIVIA</v>
      </c>
      <c r="L428" s="2" t="s">
        <v>2195</v>
      </c>
      <c r="M428" s="2" t="s">
        <v>243</v>
      </c>
      <c r="N428" s="2" t="s">
        <v>111</v>
      </c>
      <c r="O428" s="2" t="s">
        <v>93</v>
      </c>
      <c r="P428" s="2" t="s">
        <v>649</v>
      </c>
      <c r="Q428" s="2" t="s">
        <v>351</v>
      </c>
      <c r="R428" s="2">
        <v>31460</v>
      </c>
      <c r="S428" s="2">
        <v>31460</v>
      </c>
      <c r="T428" s="2" t="s">
        <v>176</v>
      </c>
      <c r="U428" s="2" t="s">
        <v>176</v>
      </c>
      <c r="V428" s="2" t="s">
        <v>748</v>
      </c>
      <c r="W428" s="2" t="s">
        <v>748</v>
      </c>
      <c r="X428" s="2" t="s">
        <v>3405</v>
      </c>
      <c r="Y428" s="2" t="s">
        <v>3406</v>
      </c>
      <c r="Z428" s="2">
        <v>85471949</v>
      </c>
      <c r="AA428" s="2">
        <v>87433384</v>
      </c>
      <c r="AB428" s="2" t="s">
        <v>654</v>
      </c>
      <c r="AC428" s="2" t="s">
        <v>632</v>
      </c>
      <c r="AD428" s="2">
        <v>85471949</v>
      </c>
      <c r="AF428" s="2">
        <v>87433384</v>
      </c>
      <c r="AJ428" s="2">
        <v>85471949</v>
      </c>
      <c r="AK428" s="2">
        <v>2</v>
      </c>
      <c r="AL428" s="2" t="s">
        <v>633</v>
      </c>
      <c r="AM428" s="2">
        <v>0</v>
      </c>
      <c r="AN428" s="2">
        <v>0</v>
      </c>
      <c r="AO428" s="2">
        <v>1</v>
      </c>
      <c r="AP428" s="2">
        <v>0</v>
      </c>
      <c r="AQ428" s="2">
        <v>0</v>
      </c>
      <c r="AR428" s="2">
        <v>0</v>
      </c>
      <c r="AS428" s="2">
        <v>0</v>
      </c>
      <c r="AT428" s="2">
        <v>0</v>
      </c>
      <c r="AZ428" s="2" t="s">
        <v>3407</v>
      </c>
      <c r="BB428" s="2" t="str">
        <f>+PROPER(BD[[#This Row],[PRIMER_APELLIDO]])</f>
        <v>Solis</v>
      </c>
    </row>
    <row r="429" spans="1:54" x14ac:dyDescent="0.25">
      <c r="A429" s="2">
        <v>428</v>
      </c>
      <c r="B429" s="2">
        <v>68552</v>
      </c>
      <c r="C429" s="2" t="s">
        <v>619</v>
      </c>
      <c r="D429" s="2" t="s">
        <v>620</v>
      </c>
      <c r="E429" s="2" t="s">
        <v>3408</v>
      </c>
      <c r="G429" s="3">
        <v>36.542465753424658</v>
      </c>
      <c r="H429" s="2" t="s">
        <v>622</v>
      </c>
      <c r="I429" s="2" t="s">
        <v>3409</v>
      </c>
      <c r="J429" s="2" t="str">
        <f>+IF(BD[[#This Row],[DEPARTAMENTO_INSS]]="MANAGUA","_01_","_02_")</f>
        <v>_01_</v>
      </c>
      <c r="K429" s="2" t="str">
        <f>+CONCATENATE(BD[[#This Row],[Columna3]],BD[[#This Row],[Columna4]],BD[[#This Row],[NOMBRE COMPLETO]])</f>
        <v>E003_01_KAREN ILEANA RODRIGUEZ BOUDIER</v>
      </c>
      <c r="L429" s="2" t="s">
        <v>1162</v>
      </c>
      <c r="M429" s="2" t="s">
        <v>2079</v>
      </c>
      <c r="N429" s="2" t="s">
        <v>185</v>
      </c>
      <c r="O429" s="2" t="s">
        <v>3410</v>
      </c>
      <c r="P429" s="2" t="s">
        <v>626</v>
      </c>
      <c r="Q429" s="2" t="s">
        <v>351</v>
      </c>
      <c r="R429" s="2">
        <v>31458</v>
      </c>
      <c r="S429" s="2">
        <v>31458</v>
      </c>
      <c r="T429" s="2" t="s">
        <v>627</v>
      </c>
      <c r="U429" s="2" t="s">
        <v>627</v>
      </c>
      <c r="V429" s="2" t="s">
        <v>627</v>
      </c>
      <c r="W429" s="2" t="s">
        <v>627</v>
      </c>
      <c r="X429" s="2" t="s">
        <v>3411</v>
      </c>
      <c r="Y429" s="2" t="s">
        <v>3412</v>
      </c>
      <c r="Z429" s="2">
        <v>89350033</v>
      </c>
      <c r="AA429" s="2" t="s">
        <v>3413</v>
      </c>
      <c r="AB429" s="2" t="s">
        <v>642</v>
      </c>
      <c r="AC429" s="2" t="s">
        <v>632</v>
      </c>
      <c r="AD429" s="2">
        <v>89350033</v>
      </c>
      <c r="AJ429" s="2">
        <v>89350033</v>
      </c>
      <c r="AK429" s="2">
        <v>3</v>
      </c>
      <c r="AL429" s="2" t="s">
        <v>633</v>
      </c>
      <c r="AM429" s="2">
        <v>0</v>
      </c>
      <c r="AN429" s="2">
        <v>0</v>
      </c>
      <c r="AO429" s="2">
        <v>1</v>
      </c>
      <c r="AP429" s="2">
        <v>0</v>
      </c>
      <c r="AQ429" s="2">
        <v>0</v>
      </c>
      <c r="AR429" s="2">
        <v>0</v>
      </c>
      <c r="AS429" s="2">
        <v>0</v>
      </c>
      <c r="AT429" s="2">
        <v>0</v>
      </c>
      <c r="AZ429" s="2" t="s">
        <v>3414</v>
      </c>
      <c r="BA429" s="2" t="s">
        <v>3414</v>
      </c>
      <c r="BB429" s="2" t="str">
        <f>+PROPER(BD[[#This Row],[PRIMER_APELLIDO]])</f>
        <v>Rodriguez</v>
      </c>
    </row>
    <row r="430" spans="1:54" x14ac:dyDescent="0.25">
      <c r="A430" s="2">
        <v>429</v>
      </c>
      <c r="B430" s="2">
        <v>47153</v>
      </c>
      <c r="C430" s="2" t="s">
        <v>619</v>
      </c>
      <c r="D430" s="2" t="s">
        <v>620</v>
      </c>
      <c r="E430" s="2" t="s">
        <v>3415</v>
      </c>
      <c r="F430" s="2">
        <v>25026517</v>
      </c>
      <c r="G430" s="3">
        <v>36.550684931506851</v>
      </c>
      <c r="H430" s="2" t="s">
        <v>622</v>
      </c>
      <c r="I430" s="2" t="s">
        <v>3416</v>
      </c>
      <c r="J430" s="2" t="str">
        <f>+IF(BD[[#This Row],[DEPARTAMENTO_INSS]]="MANAGUA","_01_","_02_")</f>
        <v>_02_</v>
      </c>
      <c r="K430" s="2" t="str">
        <f>+CONCATENATE(BD[[#This Row],[Columna3]],BD[[#This Row],[Columna4]],BD[[#This Row],[NOMBRE COMPLETO]])</f>
        <v>E003_02_BERTA LILLIAM BALLADARES LUMBI</v>
      </c>
      <c r="L430" s="2" t="s">
        <v>3417</v>
      </c>
      <c r="M430" s="2" t="s">
        <v>3418</v>
      </c>
      <c r="N430" s="2" t="s">
        <v>328</v>
      </c>
      <c r="O430" s="2" t="s">
        <v>13</v>
      </c>
      <c r="P430" s="2" t="s">
        <v>626</v>
      </c>
      <c r="Q430" s="2" t="s">
        <v>351</v>
      </c>
      <c r="R430" s="2">
        <v>31455</v>
      </c>
      <c r="S430" s="2">
        <v>31455</v>
      </c>
      <c r="T430" s="2" t="s">
        <v>780</v>
      </c>
      <c r="U430" s="2" t="s">
        <v>780</v>
      </c>
      <c r="V430" s="2" t="s">
        <v>1143</v>
      </c>
      <c r="W430" s="2" t="s">
        <v>1143</v>
      </c>
      <c r="X430" s="2" t="s">
        <v>3419</v>
      </c>
      <c r="Y430" s="2" t="s">
        <v>3420</v>
      </c>
      <c r="Z430" s="2">
        <v>85099717</v>
      </c>
      <c r="AA430" s="2" t="s">
        <v>3421</v>
      </c>
      <c r="AB430" s="2" t="s">
        <v>631</v>
      </c>
      <c r="AC430" s="2" t="s">
        <v>632</v>
      </c>
      <c r="AD430" s="2">
        <v>85099717</v>
      </c>
      <c r="AJ430" s="2">
        <v>85099717</v>
      </c>
      <c r="AK430" s="2">
        <v>3</v>
      </c>
      <c r="AL430" s="2" t="s">
        <v>633</v>
      </c>
      <c r="AM430" s="2">
        <v>0</v>
      </c>
      <c r="AN430" s="2">
        <v>0</v>
      </c>
      <c r="AO430" s="2">
        <v>1</v>
      </c>
      <c r="AP430" s="2">
        <v>0</v>
      </c>
      <c r="AQ430" s="2">
        <v>0</v>
      </c>
      <c r="AR430" s="2">
        <v>0</v>
      </c>
      <c r="AS430" s="2">
        <v>0</v>
      </c>
      <c r="AT430" s="2">
        <v>0</v>
      </c>
      <c r="AZ430" s="2" t="s">
        <v>3422</v>
      </c>
      <c r="BB430" s="2" t="str">
        <f>+PROPER(BD[[#This Row],[PRIMER_APELLIDO]])</f>
        <v>Balladares</v>
      </c>
    </row>
    <row r="431" spans="1:54" x14ac:dyDescent="0.25">
      <c r="A431" s="2">
        <v>430</v>
      </c>
      <c r="B431" s="2">
        <v>46945</v>
      </c>
      <c r="C431" s="2" t="s">
        <v>619</v>
      </c>
      <c r="D431" s="2" t="s">
        <v>620</v>
      </c>
      <c r="E431" s="2" t="s">
        <v>3423</v>
      </c>
      <c r="F431" s="2">
        <v>17286202</v>
      </c>
      <c r="G431" s="3">
        <v>36.561643835616437</v>
      </c>
      <c r="H431" s="2" t="s">
        <v>622</v>
      </c>
      <c r="I431" s="2" t="s">
        <v>3424</v>
      </c>
      <c r="J431" s="2" t="str">
        <f>+IF(BD[[#This Row],[DEPARTAMENTO_INSS]]="MANAGUA","_01_","_02_")</f>
        <v>_02_</v>
      </c>
      <c r="K431" s="2" t="str">
        <f>+CONCATENATE(BD[[#This Row],[Columna3]],BD[[#This Row],[Columna4]],BD[[#This Row],[NOMBRE COMPLETO]])</f>
        <v>E003_02_CLAUDIO ANDRES SANCHEZ PEREZ</v>
      </c>
      <c r="L431" s="2" t="s">
        <v>3425</v>
      </c>
      <c r="M431" s="2" t="s">
        <v>953</v>
      </c>
      <c r="N431" s="2" t="s">
        <v>90</v>
      </c>
      <c r="O431" s="2" t="s">
        <v>24</v>
      </c>
      <c r="P431" s="2" t="s">
        <v>649</v>
      </c>
      <c r="Q431" s="2" t="s">
        <v>351</v>
      </c>
      <c r="R431" s="2">
        <v>31451</v>
      </c>
      <c r="S431" s="2">
        <v>31451</v>
      </c>
      <c r="T431" s="2" t="s">
        <v>732</v>
      </c>
      <c r="U431" s="2" t="s">
        <v>732</v>
      </c>
      <c r="V431" s="2" t="s">
        <v>732</v>
      </c>
      <c r="W431" s="2" t="s">
        <v>732</v>
      </c>
      <c r="X431" s="2" t="s">
        <v>3426</v>
      </c>
      <c r="Y431" s="2" t="s">
        <v>3427</v>
      </c>
      <c r="AA431" s="2" t="s">
        <v>3428</v>
      </c>
      <c r="AB431" s="2" t="s">
        <v>798</v>
      </c>
      <c r="AC431" s="2" t="s">
        <v>632</v>
      </c>
      <c r="AE431" s="2">
        <v>82850741</v>
      </c>
      <c r="AJ431" s="2">
        <v>82850741</v>
      </c>
      <c r="AK431" s="2">
        <v>2</v>
      </c>
      <c r="AL431" s="2" t="s">
        <v>633</v>
      </c>
      <c r="AM431" s="2">
        <v>0</v>
      </c>
      <c r="AN431" s="2">
        <v>0</v>
      </c>
      <c r="AO431" s="2">
        <v>1</v>
      </c>
      <c r="AP431" s="2">
        <v>0</v>
      </c>
      <c r="AQ431" s="2">
        <v>0</v>
      </c>
      <c r="AR431" s="2">
        <v>0</v>
      </c>
      <c r="AS431" s="2">
        <v>0</v>
      </c>
      <c r="AT431" s="2">
        <v>0</v>
      </c>
      <c r="BB431" s="2" t="str">
        <f>+PROPER(BD[[#This Row],[PRIMER_APELLIDO]])</f>
        <v>Sanchez</v>
      </c>
    </row>
    <row r="432" spans="1:54" x14ac:dyDescent="0.25">
      <c r="A432" s="2">
        <v>431</v>
      </c>
      <c r="B432" s="2">
        <v>80324</v>
      </c>
      <c r="C432" s="2" t="s">
        <v>619</v>
      </c>
      <c r="D432" s="2" t="s">
        <v>620</v>
      </c>
      <c r="E432" s="2" t="s">
        <v>3429</v>
      </c>
      <c r="G432" s="3">
        <v>36.561643835616437</v>
      </c>
      <c r="H432" s="2" t="s">
        <v>622</v>
      </c>
      <c r="I432" s="2" t="s">
        <v>3430</v>
      </c>
      <c r="J432" s="2" t="str">
        <f>+IF(BD[[#This Row],[DEPARTAMENTO_INSS]]="MANAGUA","_01_","_02_")</f>
        <v>_02_</v>
      </c>
      <c r="K432" s="2" t="str">
        <f>+CONCATENATE(BD[[#This Row],[Columna3]],BD[[#This Row],[Columna4]],BD[[#This Row],[NOMBRE COMPLETO]])</f>
        <v>E003_02_ALVARO LUIS COREA SOMARRIBA</v>
      </c>
      <c r="L432" s="2" t="s">
        <v>1156</v>
      </c>
      <c r="M432" s="2" t="s">
        <v>738</v>
      </c>
      <c r="N432" s="2" t="s">
        <v>212</v>
      </c>
      <c r="O432" s="2" t="s">
        <v>50</v>
      </c>
      <c r="P432" s="2" t="s">
        <v>649</v>
      </c>
      <c r="Q432" s="2" t="s">
        <v>351</v>
      </c>
      <c r="R432" s="2">
        <v>31451</v>
      </c>
      <c r="S432" s="2">
        <v>31451</v>
      </c>
      <c r="T432" s="2" t="s">
        <v>1191</v>
      </c>
      <c r="U432" s="2" t="s">
        <v>1191</v>
      </c>
      <c r="V432" s="2" t="s">
        <v>1300</v>
      </c>
      <c r="W432" s="2" t="s">
        <v>1300</v>
      </c>
      <c r="X432" s="2" t="s">
        <v>3431</v>
      </c>
      <c r="Y432" s="2" t="s">
        <v>3432</v>
      </c>
      <c r="Z432" s="2">
        <v>84094168</v>
      </c>
      <c r="AA432" s="2" t="s">
        <v>3433</v>
      </c>
      <c r="AB432" s="2" t="s">
        <v>654</v>
      </c>
      <c r="AC432" s="2" t="s">
        <v>632</v>
      </c>
      <c r="AD432" s="2">
        <v>84094168</v>
      </c>
      <c r="AE432" s="2">
        <v>89597442</v>
      </c>
      <c r="AF432" s="2">
        <v>84094108</v>
      </c>
      <c r="AJ432" s="2">
        <v>84094168</v>
      </c>
      <c r="AK432" s="2">
        <v>3</v>
      </c>
      <c r="AL432" s="2" t="s">
        <v>633</v>
      </c>
      <c r="AM432" s="2">
        <v>0</v>
      </c>
      <c r="AN432" s="2">
        <v>0</v>
      </c>
      <c r="AO432" s="2">
        <v>1</v>
      </c>
      <c r="AP432" s="2">
        <v>0</v>
      </c>
      <c r="AQ432" s="2">
        <v>0</v>
      </c>
      <c r="AR432" s="2">
        <v>0</v>
      </c>
      <c r="AS432" s="2">
        <v>0</v>
      </c>
      <c r="AT432" s="2">
        <v>0</v>
      </c>
      <c r="AZ432" s="2" t="s">
        <v>3434</v>
      </c>
      <c r="BB432" s="2" t="str">
        <f>+PROPER(BD[[#This Row],[PRIMER_APELLIDO]])</f>
        <v>Corea</v>
      </c>
    </row>
    <row r="433" spans="1:54" x14ac:dyDescent="0.25">
      <c r="A433" s="2">
        <v>432</v>
      </c>
      <c r="B433" s="2">
        <v>40948</v>
      </c>
      <c r="C433" s="2" t="s">
        <v>619</v>
      </c>
      <c r="D433" s="2" t="s">
        <v>620</v>
      </c>
      <c r="E433" s="2" t="s">
        <v>3435</v>
      </c>
      <c r="F433" s="2">
        <v>23734816</v>
      </c>
      <c r="G433" s="3">
        <v>36.56986301369863</v>
      </c>
      <c r="H433" s="2" t="s">
        <v>622</v>
      </c>
      <c r="I433" s="2" t="s">
        <v>3436</v>
      </c>
      <c r="J433" s="2" t="str">
        <f>+IF(BD[[#This Row],[DEPARTAMENTO_INSS]]="MANAGUA","_01_","_02_")</f>
        <v>_02_</v>
      </c>
      <c r="K433" s="2" t="str">
        <f>+CONCATENATE(BD[[#This Row],[Columna3]],BD[[#This Row],[Columna4]],BD[[#This Row],[NOMBRE COMPLETO]])</f>
        <v>E003_02_SHARON ATHENEA ESPINOZA CASTRO</v>
      </c>
      <c r="L433" s="2" t="s">
        <v>921</v>
      </c>
      <c r="M433" s="2" t="s">
        <v>3437</v>
      </c>
      <c r="N433" s="2" t="s">
        <v>235</v>
      </c>
      <c r="O433" s="2" t="s">
        <v>163</v>
      </c>
      <c r="P433" s="2" t="s">
        <v>626</v>
      </c>
      <c r="Q433" s="2" t="s">
        <v>351</v>
      </c>
      <c r="R433" s="2">
        <v>31448</v>
      </c>
      <c r="S433" s="2">
        <v>31448</v>
      </c>
      <c r="T433" s="2" t="s">
        <v>176</v>
      </c>
      <c r="U433" s="2" t="s">
        <v>176</v>
      </c>
      <c r="V433" s="2" t="s">
        <v>650</v>
      </c>
      <c r="W433" s="2" t="s">
        <v>176</v>
      </c>
      <c r="X433" s="2" t="s">
        <v>3438</v>
      </c>
      <c r="Y433" s="2" t="s">
        <v>3439</v>
      </c>
      <c r="AA433" s="2">
        <v>82251908</v>
      </c>
      <c r="AB433" s="2" t="s">
        <v>642</v>
      </c>
      <c r="AC433" s="2" t="s">
        <v>632</v>
      </c>
      <c r="AD433" s="2">
        <v>82251908</v>
      </c>
      <c r="AJ433" s="2">
        <v>82251908</v>
      </c>
      <c r="AK433" s="2">
        <v>1</v>
      </c>
      <c r="AL433" s="2" t="s">
        <v>633</v>
      </c>
      <c r="AM433" s="2">
        <v>0</v>
      </c>
      <c r="AN433" s="2">
        <v>0</v>
      </c>
      <c r="AO433" s="2">
        <v>1</v>
      </c>
      <c r="AP433" s="2">
        <v>0</v>
      </c>
      <c r="AQ433" s="2">
        <v>0</v>
      </c>
      <c r="AR433" s="2">
        <v>0</v>
      </c>
      <c r="AS433" s="2">
        <v>0</v>
      </c>
      <c r="AT433" s="2">
        <v>0</v>
      </c>
      <c r="BB433" s="2" t="str">
        <f>+PROPER(BD[[#This Row],[PRIMER_APELLIDO]])</f>
        <v>Espinoza</v>
      </c>
    </row>
    <row r="434" spans="1:54" x14ac:dyDescent="0.25">
      <c r="A434" s="2">
        <v>433</v>
      </c>
      <c r="B434" s="2">
        <v>40647</v>
      </c>
      <c r="C434" s="2" t="s">
        <v>619</v>
      </c>
      <c r="D434" s="2" t="s">
        <v>620</v>
      </c>
      <c r="E434" s="2" t="s">
        <v>3440</v>
      </c>
      <c r="F434" s="2">
        <v>23109050</v>
      </c>
      <c r="G434" s="3">
        <v>36.57260273972603</v>
      </c>
      <c r="H434" s="2" t="s">
        <v>622</v>
      </c>
      <c r="I434" s="2" t="s">
        <v>3441</v>
      </c>
      <c r="J434" s="2" t="str">
        <f>+IF(BD[[#This Row],[DEPARTAMENTO_INSS]]="MANAGUA","_01_","_02_")</f>
        <v>_02_</v>
      </c>
      <c r="K434" s="2" t="str">
        <f>+CONCATENATE(BD[[#This Row],[Columna3]],BD[[#This Row],[Columna4]],BD[[#This Row],[NOMBRE COMPLETO]])</f>
        <v>E003_02_ERENIA NAYROBI LUNA AMADOR</v>
      </c>
      <c r="L434" s="2" t="s">
        <v>3442</v>
      </c>
      <c r="M434" s="2" t="s">
        <v>3443</v>
      </c>
      <c r="N434" s="2" t="s">
        <v>329</v>
      </c>
      <c r="O434" s="2" t="s">
        <v>281</v>
      </c>
      <c r="P434" s="2" t="s">
        <v>626</v>
      </c>
      <c r="Q434" s="2" t="s">
        <v>351</v>
      </c>
      <c r="R434" s="2">
        <v>31447</v>
      </c>
      <c r="S434" s="2">
        <v>31447</v>
      </c>
      <c r="T434" s="2" t="s">
        <v>1044</v>
      </c>
      <c r="U434" s="2" t="s">
        <v>1044</v>
      </c>
      <c r="V434" s="2" t="s">
        <v>1045</v>
      </c>
      <c r="W434" s="2" t="s">
        <v>1045</v>
      </c>
      <c r="X434" s="2" t="s">
        <v>3444</v>
      </c>
      <c r="Y434" s="2" t="s">
        <v>3445</v>
      </c>
      <c r="Z434" s="2">
        <v>85133169</v>
      </c>
      <c r="AA434" s="2">
        <v>86238050</v>
      </c>
      <c r="AB434" s="2" t="s">
        <v>642</v>
      </c>
      <c r="AC434" s="2" t="s">
        <v>632</v>
      </c>
      <c r="AD434" s="2">
        <v>85133169</v>
      </c>
      <c r="AF434" s="2">
        <v>86238050</v>
      </c>
      <c r="AJ434" s="2">
        <v>85133169</v>
      </c>
      <c r="AK434" s="2">
        <v>2</v>
      </c>
      <c r="AL434" s="2" t="s">
        <v>633</v>
      </c>
      <c r="AM434" s="2">
        <v>0</v>
      </c>
      <c r="AN434" s="2">
        <v>0</v>
      </c>
      <c r="AO434" s="2">
        <v>1</v>
      </c>
      <c r="AP434" s="2">
        <v>0</v>
      </c>
      <c r="AQ434" s="2">
        <v>0</v>
      </c>
      <c r="AR434" s="2">
        <v>0</v>
      </c>
      <c r="AS434" s="2">
        <v>0</v>
      </c>
      <c r="AT434" s="2">
        <v>0</v>
      </c>
      <c r="AZ434" s="2" t="s">
        <v>3446</v>
      </c>
      <c r="BB434" s="2" t="str">
        <f>+PROPER(BD[[#This Row],[PRIMER_APELLIDO]])</f>
        <v>Luna</v>
      </c>
    </row>
    <row r="435" spans="1:54" x14ac:dyDescent="0.25">
      <c r="A435" s="2">
        <v>434</v>
      </c>
      <c r="B435" s="2">
        <v>45786</v>
      </c>
      <c r="C435" s="2" t="s">
        <v>619</v>
      </c>
      <c r="D435" s="2" t="s">
        <v>620</v>
      </c>
      <c r="E435" s="2" t="s">
        <v>3447</v>
      </c>
      <c r="F435" s="2">
        <v>24233648</v>
      </c>
      <c r="G435" s="3">
        <v>36.583561643835615</v>
      </c>
      <c r="H435" s="2" t="s">
        <v>622</v>
      </c>
      <c r="I435" s="2" t="s">
        <v>3448</v>
      </c>
      <c r="J435" s="2" t="str">
        <f>+IF(BD[[#This Row],[DEPARTAMENTO_INSS]]="MANAGUA","_01_","_02_")</f>
        <v>_02_</v>
      </c>
      <c r="K435" s="2" t="str">
        <f>+CONCATENATE(BD[[#This Row],[Columna3]],BD[[#This Row],[Columna4]],BD[[#This Row],[NOMBRE COMPLETO]])</f>
        <v>E003_02_DELVIN BENITO CABALLERO PARRALES</v>
      </c>
      <c r="L435" s="2" t="s">
        <v>3449</v>
      </c>
      <c r="M435" s="2" t="s">
        <v>3450</v>
      </c>
      <c r="N435" s="2" t="s">
        <v>302</v>
      </c>
      <c r="O435" s="2" t="s">
        <v>378</v>
      </c>
      <c r="P435" s="2" t="s">
        <v>649</v>
      </c>
      <c r="Q435" s="2" t="s">
        <v>351</v>
      </c>
      <c r="R435" s="2">
        <v>31443</v>
      </c>
      <c r="S435" s="2">
        <v>31443</v>
      </c>
      <c r="T435" s="2" t="s">
        <v>176</v>
      </c>
      <c r="U435" s="2" t="s">
        <v>176</v>
      </c>
      <c r="V435" s="2" t="s">
        <v>650</v>
      </c>
      <c r="W435" s="2" t="s">
        <v>176</v>
      </c>
      <c r="X435" s="2" t="s">
        <v>3451</v>
      </c>
      <c r="Y435" s="2" t="s">
        <v>3452</v>
      </c>
      <c r="Z435" s="2">
        <v>88347600</v>
      </c>
      <c r="AA435" s="2">
        <v>88347600</v>
      </c>
      <c r="AB435" s="2" t="s">
        <v>654</v>
      </c>
      <c r="AC435" s="2" t="s">
        <v>632</v>
      </c>
      <c r="AD435" s="2">
        <v>88347600</v>
      </c>
      <c r="AJ435" s="2">
        <v>88347600</v>
      </c>
      <c r="AK435" s="2">
        <v>2</v>
      </c>
      <c r="AL435" s="2" t="s">
        <v>633</v>
      </c>
      <c r="AM435" s="2">
        <v>0</v>
      </c>
      <c r="AN435" s="2">
        <v>0</v>
      </c>
      <c r="AO435" s="2">
        <v>1</v>
      </c>
      <c r="AP435" s="2">
        <v>0</v>
      </c>
      <c r="AQ435" s="2">
        <v>0</v>
      </c>
      <c r="AR435" s="2">
        <v>0</v>
      </c>
      <c r="AS435" s="2">
        <v>0</v>
      </c>
      <c r="AT435" s="2">
        <v>0</v>
      </c>
      <c r="AZ435" s="2" t="s">
        <v>3453</v>
      </c>
      <c r="BB435" s="2" t="str">
        <f>+PROPER(BD[[#This Row],[PRIMER_APELLIDO]])</f>
        <v>Caballero</v>
      </c>
    </row>
    <row r="436" spans="1:54" x14ac:dyDescent="0.25">
      <c r="A436" s="2">
        <v>435</v>
      </c>
      <c r="B436" s="2">
        <v>30611</v>
      </c>
      <c r="C436" s="2" t="s">
        <v>619</v>
      </c>
      <c r="D436" s="2" t="s">
        <v>620</v>
      </c>
      <c r="E436" s="2" t="s">
        <v>3454</v>
      </c>
      <c r="F436" s="2">
        <v>23526404</v>
      </c>
      <c r="G436" s="3">
        <v>36.586301369863016</v>
      </c>
      <c r="H436" s="2" t="s">
        <v>622</v>
      </c>
      <c r="I436" s="2" t="s">
        <v>3455</v>
      </c>
      <c r="J436" s="2" t="str">
        <f>+IF(BD[[#This Row],[DEPARTAMENTO_INSS]]="MANAGUA","_01_","_02_")</f>
        <v>_01_</v>
      </c>
      <c r="K436" s="2" t="str">
        <f>+CONCATENATE(BD[[#This Row],[Columna3]],BD[[#This Row],[Columna4]],BD[[#This Row],[NOMBRE COMPLETO]])</f>
        <v>E003_01_KATIA SAMARA GARCIA JARQUIN</v>
      </c>
      <c r="L436" s="2" t="s">
        <v>3456</v>
      </c>
      <c r="M436" s="2" t="s">
        <v>3457</v>
      </c>
      <c r="N436" s="2" t="s">
        <v>10</v>
      </c>
      <c r="O436" s="2" t="s">
        <v>85</v>
      </c>
      <c r="P436" s="2" t="s">
        <v>626</v>
      </c>
      <c r="Q436" s="2" t="s">
        <v>351</v>
      </c>
      <c r="R436" s="2">
        <v>31442</v>
      </c>
      <c r="S436" s="2">
        <v>31442</v>
      </c>
      <c r="T436" s="2" t="s">
        <v>627</v>
      </c>
      <c r="U436" s="2" t="s">
        <v>627</v>
      </c>
      <c r="V436" s="2" t="s">
        <v>627</v>
      </c>
      <c r="W436" s="2" t="s">
        <v>627</v>
      </c>
      <c r="X436" s="2" t="s">
        <v>3458</v>
      </c>
      <c r="Y436" s="2" t="s">
        <v>3459</v>
      </c>
      <c r="Z436" s="2">
        <v>88507216</v>
      </c>
      <c r="AA436" s="2" t="s">
        <v>3460</v>
      </c>
      <c r="AB436" s="2" t="s">
        <v>642</v>
      </c>
      <c r="AC436" s="2" t="s">
        <v>632</v>
      </c>
      <c r="AD436" s="2">
        <v>88507216</v>
      </c>
      <c r="AJ436" s="2">
        <v>88507216</v>
      </c>
      <c r="AK436" s="2">
        <v>3</v>
      </c>
      <c r="AL436" s="2" t="s">
        <v>633</v>
      </c>
      <c r="AM436" s="2">
        <v>0</v>
      </c>
      <c r="AN436" s="2">
        <v>0</v>
      </c>
      <c r="AO436" s="2">
        <v>1</v>
      </c>
      <c r="AP436" s="2">
        <v>0</v>
      </c>
      <c r="AQ436" s="2">
        <v>0</v>
      </c>
      <c r="AR436" s="2">
        <v>0</v>
      </c>
      <c r="AS436" s="2">
        <v>0</v>
      </c>
      <c r="AT436" s="2">
        <v>0</v>
      </c>
      <c r="AZ436" s="2" t="s">
        <v>3461</v>
      </c>
      <c r="BB436" s="2" t="str">
        <f>+PROPER(BD[[#This Row],[PRIMER_APELLIDO]])</f>
        <v>Garcia</v>
      </c>
    </row>
    <row r="437" spans="1:54" x14ac:dyDescent="0.25">
      <c r="A437" s="2">
        <v>436</v>
      </c>
      <c r="B437" s="2">
        <v>38857</v>
      </c>
      <c r="C437" s="2" t="s">
        <v>619</v>
      </c>
      <c r="D437" s="2" t="s">
        <v>620</v>
      </c>
      <c r="E437" s="2" t="s">
        <v>3462</v>
      </c>
      <c r="F437" s="2">
        <v>22135388</v>
      </c>
      <c r="G437" s="3">
        <v>36.586301369863016</v>
      </c>
      <c r="H437" s="2" t="s">
        <v>622</v>
      </c>
      <c r="I437" s="2" t="s">
        <v>3463</v>
      </c>
      <c r="J437" s="2" t="str">
        <f>+IF(BD[[#This Row],[DEPARTAMENTO_INSS]]="MANAGUA","_01_","_02_")</f>
        <v>_01_</v>
      </c>
      <c r="K437" s="2" t="str">
        <f>+CONCATENATE(BD[[#This Row],[Columna3]],BD[[#This Row],[Columna4]],BD[[#This Row],[NOMBRE COMPLETO]])</f>
        <v>E003_01_MIGUEL ANGEL PLAZAOLA CUADRA</v>
      </c>
      <c r="L437" s="2" t="s">
        <v>2016</v>
      </c>
      <c r="M437" s="2" t="s">
        <v>3464</v>
      </c>
      <c r="N437" s="2" t="s">
        <v>89</v>
      </c>
      <c r="O437" s="2" t="s">
        <v>206</v>
      </c>
      <c r="P437" s="2" t="s">
        <v>649</v>
      </c>
      <c r="Q437" s="2" t="s">
        <v>351</v>
      </c>
      <c r="R437" s="2">
        <v>31442</v>
      </c>
      <c r="S437" s="2">
        <v>31442</v>
      </c>
      <c r="T437" s="2" t="s">
        <v>627</v>
      </c>
      <c r="U437" s="2" t="s">
        <v>627</v>
      </c>
      <c r="V437" s="2" t="s">
        <v>627</v>
      </c>
      <c r="W437" s="2" t="s">
        <v>627</v>
      </c>
      <c r="X437" s="2" t="s">
        <v>3465</v>
      </c>
      <c r="Y437" s="2" t="s">
        <v>3466</v>
      </c>
      <c r="AA437" s="2" t="s">
        <v>3467</v>
      </c>
      <c r="AB437" s="2" t="s">
        <v>654</v>
      </c>
      <c r="AC437" s="2" t="s">
        <v>632</v>
      </c>
      <c r="AE437" s="2">
        <v>58691790</v>
      </c>
      <c r="AJ437" s="2">
        <v>58691790</v>
      </c>
      <c r="AK437" s="2">
        <v>2</v>
      </c>
      <c r="AL437" s="2" t="s">
        <v>633</v>
      </c>
      <c r="AM437" s="2">
        <v>0</v>
      </c>
      <c r="AN437" s="2">
        <v>0</v>
      </c>
      <c r="AO437" s="2">
        <v>1</v>
      </c>
      <c r="AP437" s="2">
        <v>0</v>
      </c>
      <c r="AQ437" s="2">
        <v>0</v>
      </c>
      <c r="AR437" s="2">
        <v>0</v>
      </c>
      <c r="AS437" s="2">
        <v>0</v>
      </c>
      <c r="AT437" s="2">
        <v>0</v>
      </c>
      <c r="BB437" s="2" t="str">
        <f>+PROPER(BD[[#This Row],[PRIMER_APELLIDO]])</f>
        <v>Plazaola</v>
      </c>
    </row>
    <row r="438" spans="1:54" x14ac:dyDescent="0.25">
      <c r="A438" s="2">
        <v>437</v>
      </c>
      <c r="B438" s="2">
        <v>62057</v>
      </c>
      <c r="C438" s="2" t="s">
        <v>619</v>
      </c>
      <c r="D438" s="2" t="s">
        <v>620</v>
      </c>
      <c r="E438" s="2" t="s">
        <v>3468</v>
      </c>
      <c r="G438" s="3">
        <v>36.586301369863016</v>
      </c>
      <c r="H438" s="2" t="s">
        <v>622</v>
      </c>
      <c r="I438" s="2" t="s">
        <v>3469</v>
      </c>
      <c r="J438" s="2" t="str">
        <f>+IF(BD[[#This Row],[DEPARTAMENTO_INSS]]="MANAGUA","_01_","_02_")</f>
        <v>_02_</v>
      </c>
      <c r="K438" s="2" t="str">
        <f>+CONCATENATE(BD[[#This Row],[Columna3]],BD[[#This Row],[Columna4]],BD[[#This Row],[NOMBRE COMPLETO]])</f>
        <v>E003_02_JOSE ANTONIO MOLINA CERDA</v>
      </c>
      <c r="L438" s="2" t="s">
        <v>243</v>
      </c>
      <c r="M438" s="2" t="s">
        <v>904</v>
      </c>
      <c r="N438" s="2" t="s">
        <v>63</v>
      </c>
      <c r="O438" s="2" t="s">
        <v>293</v>
      </c>
      <c r="P438" s="2" t="s">
        <v>649</v>
      </c>
      <c r="Q438" s="2" t="s">
        <v>351</v>
      </c>
      <c r="R438" s="2">
        <v>31442</v>
      </c>
      <c r="S438" s="2">
        <v>31442</v>
      </c>
      <c r="T438" s="2" t="s">
        <v>186</v>
      </c>
      <c r="U438" s="2" t="s">
        <v>780</v>
      </c>
      <c r="V438" s="2" t="s">
        <v>1754</v>
      </c>
      <c r="W438" s="2" t="s">
        <v>1128</v>
      </c>
      <c r="X438" s="2" t="s">
        <v>3470</v>
      </c>
      <c r="Y438" s="2" t="s">
        <v>3471</v>
      </c>
      <c r="Z438" s="2">
        <v>87508140</v>
      </c>
      <c r="AA438" s="2">
        <v>57508140</v>
      </c>
      <c r="AB438" s="2" t="s">
        <v>798</v>
      </c>
      <c r="AC438" s="2" t="s">
        <v>632</v>
      </c>
      <c r="AD438" s="2">
        <v>87508140</v>
      </c>
      <c r="AF438" s="2">
        <v>57508140</v>
      </c>
      <c r="AJ438" s="2">
        <v>87508140</v>
      </c>
      <c r="AK438" s="2">
        <v>2</v>
      </c>
      <c r="AL438" s="2" t="s">
        <v>633</v>
      </c>
      <c r="AM438" s="2">
        <v>0</v>
      </c>
      <c r="AN438" s="2">
        <v>0</v>
      </c>
      <c r="AO438" s="2">
        <v>1</v>
      </c>
      <c r="AP438" s="2">
        <v>0</v>
      </c>
      <c r="AQ438" s="2">
        <v>0</v>
      </c>
      <c r="AR438" s="2">
        <v>0</v>
      </c>
      <c r="AS438" s="2">
        <v>0</v>
      </c>
      <c r="AT438" s="2">
        <v>0</v>
      </c>
      <c r="AZ438" s="2" t="s">
        <v>3472</v>
      </c>
      <c r="BB438" s="2" t="str">
        <f>+PROPER(BD[[#This Row],[PRIMER_APELLIDO]])</f>
        <v>Molina</v>
      </c>
    </row>
    <row r="439" spans="1:54" x14ac:dyDescent="0.25">
      <c r="A439" s="2">
        <v>438</v>
      </c>
      <c r="B439" s="2">
        <v>32914</v>
      </c>
      <c r="C439" s="2" t="s">
        <v>619</v>
      </c>
      <c r="D439" s="2" t="s">
        <v>620</v>
      </c>
      <c r="E439" s="2" t="s">
        <v>3473</v>
      </c>
      <c r="F439" s="2">
        <v>24760726</v>
      </c>
      <c r="G439" s="3">
        <v>36.589041095890408</v>
      </c>
      <c r="H439" s="2" t="s">
        <v>622</v>
      </c>
      <c r="I439" s="2" t="s">
        <v>3474</v>
      </c>
      <c r="J439" s="2" t="str">
        <f>+IF(BD[[#This Row],[DEPARTAMENTO_INSS]]="MANAGUA","_01_","_02_")</f>
        <v>_02_</v>
      </c>
      <c r="K439" s="2" t="str">
        <f>+CONCATENATE(BD[[#This Row],[Columna3]],BD[[#This Row],[Columna4]],BD[[#This Row],[NOMBRE COMPLETO]])</f>
        <v>E003_02_LIZ MAYERLING PEREZ VASQUEZ</v>
      </c>
      <c r="L439" s="2" t="s">
        <v>3475</v>
      </c>
      <c r="M439" s="2" t="s">
        <v>3476</v>
      </c>
      <c r="N439" s="2" t="s">
        <v>24</v>
      </c>
      <c r="O439" s="2" t="s">
        <v>52</v>
      </c>
      <c r="P439" s="2" t="s">
        <v>626</v>
      </c>
      <c r="Q439" s="2" t="s">
        <v>351</v>
      </c>
      <c r="R439" s="2">
        <v>31441</v>
      </c>
      <c r="S439" s="2">
        <v>31441</v>
      </c>
      <c r="T439" s="2" t="s">
        <v>691</v>
      </c>
      <c r="U439" s="2" t="s">
        <v>691</v>
      </c>
      <c r="V439" s="2" t="s">
        <v>2467</v>
      </c>
      <c r="W439" s="2" t="s">
        <v>2467</v>
      </c>
      <c r="X439" s="2" t="s">
        <v>3477</v>
      </c>
      <c r="Y439" s="2" t="s">
        <v>3478</v>
      </c>
      <c r="Z439" s="2">
        <v>58336277</v>
      </c>
      <c r="AB439" s="2" t="s">
        <v>654</v>
      </c>
      <c r="AC439" s="2" t="s">
        <v>632</v>
      </c>
      <c r="AD439" s="2">
        <v>58336277</v>
      </c>
      <c r="AJ439" s="2">
        <v>58336277</v>
      </c>
      <c r="AK439" s="2">
        <v>1</v>
      </c>
      <c r="AL439" s="2" t="s">
        <v>633</v>
      </c>
      <c r="AM439" s="2">
        <v>0</v>
      </c>
      <c r="AN439" s="2">
        <v>0</v>
      </c>
      <c r="AO439" s="2">
        <v>1</v>
      </c>
      <c r="AP439" s="2">
        <v>0</v>
      </c>
      <c r="AQ439" s="2">
        <v>0</v>
      </c>
      <c r="AR439" s="2">
        <v>0</v>
      </c>
      <c r="AS439" s="2">
        <v>0</v>
      </c>
      <c r="AT439" s="2">
        <v>0</v>
      </c>
      <c r="AZ439" s="2" t="s">
        <v>3479</v>
      </c>
      <c r="BB439" s="2" t="str">
        <f>+PROPER(BD[[#This Row],[PRIMER_APELLIDO]])</f>
        <v>Perez</v>
      </c>
    </row>
    <row r="440" spans="1:54" x14ac:dyDescent="0.25">
      <c r="A440" s="2">
        <v>439</v>
      </c>
      <c r="B440" s="2">
        <v>48726</v>
      </c>
      <c r="C440" s="2" t="s">
        <v>619</v>
      </c>
      <c r="D440" s="2" t="s">
        <v>620</v>
      </c>
      <c r="E440" s="2" t="s">
        <v>3480</v>
      </c>
      <c r="F440" s="2">
        <v>25030211</v>
      </c>
      <c r="G440" s="3">
        <v>36.589041095890408</v>
      </c>
      <c r="H440" s="2" t="s">
        <v>622</v>
      </c>
      <c r="I440" s="2" t="s">
        <v>3481</v>
      </c>
      <c r="J440" s="2" t="str">
        <f>+IF(BD[[#This Row],[DEPARTAMENTO_INSS]]="MANAGUA","_01_","_02_")</f>
        <v>_02_</v>
      </c>
      <c r="K440" s="2" t="str">
        <f>+CONCATENATE(BD[[#This Row],[Columna3]],BD[[#This Row],[Columna4]],BD[[#This Row],[NOMBRE COMPLETO]])</f>
        <v>E003_02_LUIS OMAR SAVANY MELENDEZ</v>
      </c>
      <c r="L440" s="2" t="s">
        <v>738</v>
      </c>
      <c r="M440" s="2" t="s">
        <v>2996</v>
      </c>
      <c r="N440" s="2" t="s">
        <v>291</v>
      </c>
      <c r="O440" s="2" t="s">
        <v>228</v>
      </c>
      <c r="P440" s="2" t="s">
        <v>649</v>
      </c>
      <c r="Q440" s="2" t="s">
        <v>351</v>
      </c>
      <c r="R440" s="2">
        <v>31441</v>
      </c>
      <c r="S440" s="2">
        <v>31441</v>
      </c>
      <c r="T440" s="2" t="s">
        <v>691</v>
      </c>
      <c r="U440" s="2" t="s">
        <v>659</v>
      </c>
      <c r="V440" s="2" t="s">
        <v>716</v>
      </c>
      <c r="W440" s="2" t="s">
        <v>659</v>
      </c>
      <c r="X440" s="2" t="s">
        <v>3482</v>
      </c>
      <c r="Y440" s="2" t="s">
        <v>3483</v>
      </c>
      <c r="Z440" s="2">
        <v>84207509</v>
      </c>
      <c r="AA440" s="2" t="s">
        <v>3484</v>
      </c>
      <c r="AB440" s="2" t="s">
        <v>798</v>
      </c>
      <c r="AC440" s="2" t="s">
        <v>632</v>
      </c>
      <c r="AD440" s="2">
        <v>84207509</v>
      </c>
      <c r="AE440" s="2">
        <v>57993654</v>
      </c>
      <c r="AJ440" s="2">
        <v>84207509</v>
      </c>
      <c r="AK440" s="2">
        <v>3</v>
      </c>
      <c r="AL440" s="2" t="s">
        <v>633</v>
      </c>
      <c r="AM440" s="2">
        <v>0</v>
      </c>
      <c r="AN440" s="2">
        <v>0</v>
      </c>
      <c r="AO440" s="2">
        <v>1</v>
      </c>
      <c r="AP440" s="2">
        <v>0</v>
      </c>
      <c r="AQ440" s="2">
        <v>0</v>
      </c>
      <c r="AR440" s="2">
        <v>0</v>
      </c>
      <c r="AS440" s="2">
        <v>0</v>
      </c>
      <c r="AT440" s="2">
        <v>0</v>
      </c>
      <c r="AZ440" s="2" t="s">
        <v>3485</v>
      </c>
      <c r="BB440" s="2" t="str">
        <f>+PROPER(BD[[#This Row],[PRIMER_APELLIDO]])</f>
        <v>Savany</v>
      </c>
    </row>
    <row r="441" spans="1:54" x14ac:dyDescent="0.25">
      <c r="A441" s="2">
        <v>440</v>
      </c>
      <c r="B441" s="2">
        <v>35333</v>
      </c>
      <c r="C441" s="2" t="s">
        <v>619</v>
      </c>
      <c r="D441" s="2" t="s">
        <v>620</v>
      </c>
      <c r="E441" s="2" t="s">
        <v>3486</v>
      </c>
      <c r="F441" s="2">
        <v>22190316</v>
      </c>
      <c r="G441" s="3">
        <v>36.597260273972601</v>
      </c>
      <c r="H441" s="2" t="s">
        <v>622</v>
      </c>
      <c r="I441" s="2" t="s">
        <v>3487</v>
      </c>
      <c r="J441" s="2" t="str">
        <f>+IF(BD[[#This Row],[DEPARTAMENTO_INSS]]="MANAGUA","_01_","_02_")</f>
        <v>_01_</v>
      </c>
      <c r="K441" s="2" t="str">
        <f>+CONCATENATE(BD[[#This Row],[Columna3]],BD[[#This Row],[Columna4]],BD[[#This Row],[NOMBRE COMPLETO]])</f>
        <v>E003_01_ARTURO RAMON MENDEZ DOÑA</v>
      </c>
      <c r="L441" s="2" t="s">
        <v>3488</v>
      </c>
      <c r="M441" s="2" t="s">
        <v>3218</v>
      </c>
      <c r="N441" s="2" t="s">
        <v>203</v>
      </c>
      <c r="O441" s="2" t="s">
        <v>2004</v>
      </c>
      <c r="P441" s="2" t="s">
        <v>649</v>
      </c>
      <c r="Q441" s="2" t="s">
        <v>351</v>
      </c>
      <c r="R441" s="2">
        <v>31438</v>
      </c>
      <c r="S441" s="2">
        <v>31438</v>
      </c>
      <c r="T441" s="2" t="s">
        <v>627</v>
      </c>
      <c r="U441" s="2" t="s">
        <v>627</v>
      </c>
      <c r="V441" s="2" t="s">
        <v>2915</v>
      </c>
      <c r="W441" s="2" t="s">
        <v>2915</v>
      </c>
      <c r="X441" s="2" t="s">
        <v>3489</v>
      </c>
      <c r="Y441" s="2" t="s">
        <v>3490</v>
      </c>
      <c r="Z441" s="2" t="s">
        <v>3491</v>
      </c>
      <c r="AA441" s="2" t="s">
        <v>3492</v>
      </c>
      <c r="AB441" s="2" t="s">
        <v>654</v>
      </c>
      <c r="AC441" s="2" t="s">
        <v>632</v>
      </c>
      <c r="AD441" s="2">
        <v>82536854</v>
      </c>
      <c r="AE441" s="2">
        <v>84445033</v>
      </c>
      <c r="AG441" s="2">
        <v>84445033</v>
      </c>
      <c r="AJ441" s="2">
        <v>82536854</v>
      </c>
      <c r="AK441" s="2">
        <v>4</v>
      </c>
      <c r="AL441" s="2" t="s">
        <v>633</v>
      </c>
      <c r="AM441" s="2">
        <v>0</v>
      </c>
      <c r="AN441" s="2">
        <v>0</v>
      </c>
      <c r="AO441" s="2">
        <v>1</v>
      </c>
      <c r="AP441" s="2">
        <v>0</v>
      </c>
      <c r="AQ441" s="2">
        <v>0</v>
      </c>
      <c r="AR441" s="2">
        <v>0</v>
      </c>
      <c r="AS441" s="2">
        <v>0</v>
      </c>
      <c r="AT441" s="2">
        <v>0</v>
      </c>
      <c r="AZ441" s="2" t="s">
        <v>3493</v>
      </c>
      <c r="BB441" s="2" t="str">
        <f>+PROPER(BD[[#This Row],[PRIMER_APELLIDO]])</f>
        <v>Mendez</v>
      </c>
    </row>
    <row r="442" spans="1:54" x14ac:dyDescent="0.25">
      <c r="A442" s="2">
        <v>441</v>
      </c>
      <c r="B442" s="2">
        <v>36849</v>
      </c>
      <c r="C442" s="2" t="s">
        <v>619</v>
      </c>
      <c r="D442" s="2" t="s">
        <v>620</v>
      </c>
      <c r="E442" s="2" t="s">
        <v>3494</v>
      </c>
      <c r="F442" s="2">
        <v>22230124</v>
      </c>
      <c r="G442" s="3">
        <v>36.6</v>
      </c>
      <c r="H442" s="2" t="s">
        <v>622</v>
      </c>
      <c r="I442" s="2" t="s">
        <v>3495</v>
      </c>
      <c r="J442" s="2" t="str">
        <f>+IF(BD[[#This Row],[DEPARTAMENTO_INSS]]="MANAGUA","_01_","_02_")</f>
        <v>_02_</v>
      </c>
      <c r="K442" s="2" t="str">
        <f>+CONCATENATE(BD[[#This Row],[Columna3]],BD[[#This Row],[Columna4]],BD[[#This Row],[NOMBRE COMPLETO]])</f>
        <v>E003_02_MARIA DEL ROSARIO VARGAS</v>
      </c>
      <c r="L442" s="2" t="s">
        <v>724</v>
      </c>
      <c r="M442" s="2" t="s">
        <v>1070</v>
      </c>
      <c r="N442" s="2" t="s">
        <v>34</v>
      </c>
      <c r="P442" s="2" t="s">
        <v>626</v>
      </c>
      <c r="Q442" s="2" t="s">
        <v>351</v>
      </c>
      <c r="R442" s="2">
        <v>31437</v>
      </c>
      <c r="S442" s="2">
        <v>31437</v>
      </c>
      <c r="T442" s="2" t="s">
        <v>1044</v>
      </c>
      <c r="U442" s="2" t="s">
        <v>176</v>
      </c>
      <c r="V442" s="2" t="s">
        <v>3496</v>
      </c>
      <c r="W442" s="2" t="s">
        <v>176</v>
      </c>
      <c r="X442" s="2" t="s">
        <v>3497</v>
      </c>
      <c r="Y442" s="2" t="s">
        <v>3498</v>
      </c>
      <c r="Z442" s="2" t="s">
        <v>3499</v>
      </c>
      <c r="AA442" s="2">
        <v>57425307</v>
      </c>
      <c r="AB442" s="2" t="s">
        <v>773</v>
      </c>
      <c r="AC442" s="2" t="s">
        <v>632</v>
      </c>
      <c r="AD442" s="2">
        <v>57425304</v>
      </c>
      <c r="AE442" s="2">
        <v>57425307</v>
      </c>
      <c r="AJ442" s="2">
        <v>57425304</v>
      </c>
      <c r="AK442" s="2">
        <v>3</v>
      </c>
      <c r="AL442" s="2" t="s">
        <v>633</v>
      </c>
      <c r="AM442" s="2">
        <v>0</v>
      </c>
      <c r="AN442" s="2">
        <v>0</v>
      </c>
      <c r="AO442" s="2">
        <v>1</v>
      </c>
      <c r="AP442" s="2">
        <v>0</v>
      </c>
      <c r="AQ442" s="2">
        <v>0</v>
      </c>
      <c r="AR442" s="2">
        <v>0</v>
      </c>
      <c r="AS442" s="2">
        <v>0</v>
      </c>
      <c r="AT442" s="2">
        <v>0</v>
      </c>
      <c r="AZ442" s="2" t="s">
        <v>3500</v>
      </c>
      <c r="BB442" s="2" t="str">
        <f>+PROPER(BD[[#This Row],[PRIMER_APELLIDO]])</f>
        <v>Vargas</v>
      </c>
    </row>
    <row r="443" spans="1:54" x14ac:dyDescent="0.25">
      <c r="A443" s="2">
        <v>442</v>
      </c>
      <c r="B443" s="2">
        <v>35383</v>
      </c>
      <c r="C443" s="2" t="s">
        <v>619</v>
      </c>
      <c r="D443" s="2" t="s">
        <v>620</v>
      </c>
      <c r="E443" s="2" t="s">
        <v>3501</v>
      </c>
      <c r="F443" s="2">
        <v>15493042</v>
      </c>
      <c r="G443" s="3">
        <v>36.602739726027394</v>
      </c>
      <c r="H443" s="2" t="s">
        <v>622</v>
      </c>
      <c r="I443" s="2" t="s">
        <v>3502</v>
      </c>
      <c r="J443" s="2" t="str">
        <f>+IF(BD[[#This Row],[DEPARTAMENTO_INSS]]="MANAGUA","_01_","_02_")</f>
        <v>_01_</v>
      </c>
      <c r="K443" s="2" t="str">
        <f>+CONCATENATE(BD[[#This Row],[Columna3]],BD[[#This Row],[Columna4]],BD[[#This Row],[NOMBRE COMPLETO]])</f>
        <v>E003_01_LUIS ALBERTO MOLINA DONAIRE</v>
      </c>
      <c r="L443" s="2" t="s">
        <v>738</v>
      </c>
      <c r="M443" s="2" t="s">
        <v>1699</v>
      </c>
      <c r="N443" s="2" t="s">
        <v>63</v>
      </c>
      <c r="O443" s="2" t="s">
        <v>3503</v>
      </c>
      <c r="P443" s="2" t="s">
        <v>649</v>
      </c>
      <c r="Q443" s="2" t="s">
        <v>351</v>
      </c>
      <c r="R443" s="2">
        <v>31436</v>
      </c>
      <c r="S443" s="2">
        <v>31436</v>
      </c>
      <c r="T443" s="2" t="s">
        <v>627</v>
      </c>
      <c r="U443" s="2" t="s">
        <v>627</v>
      </c>
      <c r="V443" s="2" t="s">
        <v>627</v>
      </c>
      <c r="W443" s="2" t="s">
        <v>627</v>
      </c>
      <c r="X443" s="2" t="s">
        <v>3504</v>
      </c>
      <c r="Y443" s="2" t="s">
        <v>3505</v>
      </c>
      <c r="Z443" s="2">
        <v>84241682</v>
      </c>
      <c r="AA443" s="2">
        <v>84241682</v>
      </c>
      <c r="AB443" s="2" t="s">
        <v>654</v>
      </c>
      <c r="AC443" s="2" t="s">
        <v>632</v>
      </c>
      <c r="AD443" s="2">
        <v>84241682</v>
      </c>
      <c r="AJ443" s="2">
        <v>84241682</v>
      </c>
      <c r="AK443" s="2">
        <v>2</v>
      </c>
      <c r="AL443" s="2" t="s">
        <v>633</v>
      </c>
      <c r="AM443" s="2">
        <v>0</v>
      </c>
      <c r="AN443" s="2">
        <v>0</v>
      </c>
      <c r="AO443" s="2">
        <v>1</v>
      </c>
      <c r="AP443" s="2">
        <v>0</v>
      </c>
      <c r="AQ443" s="2">
        <v>0</v>
      </c>
      <c r="AR443" s="2">
        <v>0</v>
      </c>
      <c r="AS443" s="2">
        <v>0</v>
      </c>
      <c r="AT443" s="2">
        <v>0</v>
      </c>
      <c r="AZ443" s="2" t="s">
        <v>3506</v>
      </c>
      <c r="BB443" s="2" t="str">
        <f>+PROPER(BD[[#This Row],[PRIMER_APELLIDO]])</f>
        <v>Molina</v>
      </c>
    </row>
    <row r="444" spans="1:54" x14ac:dyDescent="0.25">
      <c r="A444" s="2">
        <v>443</v>
      </c>
      <c r="B444" s="2">
        <v>40508</v>
      </c>
      <c r="C444" s="2" t="s">
        <v>619</v>
      </c>
      <c r="D444" s="2" t="s">
        <v>620</v>
      </c>
      <c r="E444" s="2" t="s">
        <v>3507</v>
      </c>
      <c r="F444" s="2">
        <v>23414451</v>
      </c>
      <c r="G444" s="3">
        <v>36.605479452054794</v>
      </c>
      <c r="H444" s="2" t="s">
        <v>622</v>
      </c>
      <c r="I444" s="2" t="s">
        <v>3508</v>
      </c>
      <c r="J444" s="2" t="str">
        <f>+IF(BD[[#This Row],[DEPARTAMENTO_INSS]]="MANAGUA","_01_","_02_")</f>
        <v>_01_</v>
      </c>
      <c r="K444" s="2" t="str">
        <f>+CONCATENATE(BD[[#This Row],[Columna3]],BD[[#This Row],[Columna4]],BD[[#This Row],[NOMBRE COMPLETO]])</f>
        <v>E003_01_CLAUDIA LUCIA ATHA CUADRA</v>
      </c>
      <c r="L444" s="2" t="s">
        <v>1850</v>
      </c>
      <c r="M444" s="2" t="s">
        <v>676</v>
      </c>
      <c r="N444" s="2" t="s">
        <v>449</v>
      </c>
      <c r="O444" s="2" t="s">
        <v>206</v>
      </c>
      <c r="P444" s="2" t="s">
        <v>626</v>
      </c>
      <c r="Q444" s="2" t="s">
        <v>351</v>
      </c>
      <c r="R444" s="2">
        <v>31435</v>
      </c>
      <c r="S444" s="2">
        <v>31435</v>
      </c>
      <c r="U444" s="2" t="s">
        <v>627</v>
      </c>
      <c r="W444" s="2" t="s">
        <v>627</v>
      </c>
      <c r="X444" s="2" t="s">
        <v>3509</v>
      </c>
      <c r="Y444" s="2" t="s">
        <v>3510</v>
      </c>
      <c r="AA444" s="2">
        <v>89881924</v>
      </c>
      <c r="AB444" s="2" t="s">
        <v>642</v>
      </c>
      <c r="AC444" s="2" t="s">
        <v>632</v>
      </c>
      <c r="AD444" s="2">
        <v>89881924</v>
      </c>
      <c r="AJ444" s="2">
        <v>89881924</v>
      </c>
      <c r="AK444" s="2">
        <v>1</v>
      </c>
      <c r="AL444" s="2" t="s">
        <v>633</v>
      </c>
      <c r="AM444" s="2">
        <v>0</v>
      </c>
      <c r="AN444" s="2">
        <v>0</v>
      </c>
      <c r="AO444" s="2">
        <v>1</v>
      </c>
      <c r="AP444" s="2">
        <v>0</v>
      </c>
      <c r="AQ444" s="2">
        <v>0</v>
      </c>
      <c r="AR444" s="2">
        <v>0</v>
      </c>
      <c r="AS444" s="2">
        <v>0</v>
      </c>
      <c r="AT444" s="2">
        <v>0</v>
      </c>
      <c r="BB444" s="2" t="str">
        <f>+PROPER(BD[[#This Row],[PRIMER_APELLIDO]])</f>
        <v>Atha</v>
      </c>
    </row>
    <row r="445" spans="1:54" x14ac:dyDescent="0.25">
      <c r="A445" s="2">
        <v>444</v>
      </c>
      <c r="B445" s="2">
        <v>43644</v>
      </c>
      <c r="C445" s="2" t="s">
        <v>619</v>
      </c>
      <c r="D445" s="2" t="s">
        <v>620</v>
      </c>
      <c r="E445" s="2" t="s">
        <v>3511</v>
      </c>
      <c r="F445" s="2">
        <v>24237442</v>
      </c>
      <c r="G445" s="3">
        <v>36.608219178082194</v>
      </c>
      <c r="H445" s="2" t="s">
        <v>622</v>
      </c>
      <c r="I445" s="2" t="s">
        <v>3512</v>
      </c>
      <c r="J445" s="2" t="str">
        <f>+IF(BD[[#This Row],[DEPARTAMENTO_INSS]]="MANAGUA","_01_","_02_")</f>
        <v>_01_</v>
      </c>
      <c r="K445" s="2" t="str">
        <f>+CONCATENATE(BD[[#This Row],[Columna3]],BD[[#This Row],[Columna4]],BD[[#This Row],[NOMBRE COMPLETO]])</f>
        <v>E003_01_ERLYN JOSE PALMA MALESPIN</v>
      </c>
      <c r="L445" s="2" t="s">
        <v>3513</v>
      </c>
      <c r="M445" s="2" t="s">
        <v>243</v>
      </c>
      <c r="N445" s="2" t="s">
        <v>78</v>
      </c>
      <c r="O445" s="2" t="s">
        <v>3514</v>
      </c>
      <c r="P445" s="2" t="s">
        <v>649</v>
      </c>
      <c r="Q445" s="2" t="s">
        <v>351</v>
      </c>
      <c r="R445" s="2">
        <v>31434</v>
      </c>
      <c r="S445" s="2">
        <v>31434</v>
      </c>
      <c r="T445" s="2" t="s">
        <v>627</v>
      </c>
      <c r="U445" s="2" t="s">
        <v>627</v>
      </c>
      <c r="V445" s="2" t="s">
        <v>627</v>
      </c>
      <c r="W445" s="2" t="s">
        <v>627</v>
      </c>
      <c r="X445" s="2" t="s">
        <v>3515</v>
      </c>
      <c r="Y445" s="2" t="s">
        <v>3516</v>
      </c>
      <c r="AA445" s="2" t="s">
        <v>3517</v>
      </c>
      <c r="AB445" s="2" t="s">
        <v>654</v>
      </c>
      <c r="AC445" s="2" t="s">
        <v>632</v>
      </c>
      <c r="AE445" s="2">
        <v>88190285</v>
      </c>
      <c r="AJ445" s="2">
        <v>88190285</v>
      </c>
      <c r="AK445" s="2">
        <v>2</v>
      </c>
      <c r="AL445" s="2" t="s">
        <v>633</v>
      </c>
      <c r="AM445" s="2">
        <v>0</v>
      </c>
      <c r="AN445" s="2">
        <v>0</v>
      </c>
      <c r="AO445" s="2">
        <v>1</v>
      </c>
      <c r="AP445" s="2">
        <v>0</v>
      </c>
      <c r="AQ445" s="2">
        <v>0</v>
      </c>
      <c r="AR445" s="2">
        <v>0</v>
      </c>
      <c r="AS445" s="2">
        <v>0</v>
      </c>
      <c r="AT445" s="2">
        <v>0</v>
      </c>
      <c r="BB445" s="2" t="str">
        <f>+PROPER(BD[[#This Row],[PRIMER_APELLIDO]])</f>
        <v>Palma</v>
      </c>
    </row>
    <row r="446" spans="1:54" x14ac:dyDescent="0.25">
      <c r="A446" s="2">
        <v>445</v>
      </c>
      <c r="B446" s="2">
        <v>45813</v>
      </c>
      <c r="C446" s="2" t="s">
        <v>619</v>
      </c>
      <c r="D446" s="2" t="s">
        <v>620</v>
      </c>
      <c r="E446" s="2" t="s">
        <v>3518</v>
      </c>
      <c r="F446" s="2">
        <v>21406267</v>
      </c>
      <c r="G446" s="3">
        <v>36.608219178082194</v>
      </c>
      <c r="H446" s="2" t="s">
        <v>622</v>
      </c>
      <c r="I446" s="2" t="s">
        <v>3519</v>
      </c>
      <c r="J446" s="2" t="str">
        <f>+IF(BD[[#This Row],[DEPARTAMENTO_INSS]]="MANAGUA","_01_","_02_")</f>
        <v>_01_</v>
      </c>
      <c r="K446" s="2" t="str">
        <f>+CONCATENATE(BD[[#This Row],[Columna3]],BD[[#This Row],[Columna4]],BD[[#This Row],[NOMBRE COMPLETO]])</f>
        <v>E003_01_KATYA WALESKA CHANG MOLINA</v>
      </c>
      <c r="L446" s="2" t="s">
        <v>3520</v>
      </c>
      <c r="M446" s="2" t="s">
        <v>3521</v>
      </c>
      <c r="N446" s="2" t="s">
        <v>442</v>
      </c>
      <c r="O446" s="2" t="s">
        <v>63</v>
      </c>
      <c r="P446" s="2" t="s">
        <v>626</v>
      </c>
      <c r="Q446" s="2" t="s">
        <v>351</v>
      </c>
      <c r="R446" s="2">
        <v>31434</v>
      </c>
      <c r="S446" s="2">
        <v>31434</v>
      </c>
      <c r="T446" s="2" t="s">
        <v>627</v>
      </c>
      <c r="U446" s="2" t="s">
        <v>627</v>
      </c>
      <c r="V446" s="2" t="s">
        <v>627</v>
      </c>
      <c r="W446" s="2" t="s">
        <v>627</v>
      </c>
      <c r="X446" s="2" t="s">
        <v>3522</v>
      </c>
      <c r="Y446" s="2" t="s">
        <v>3523</v>
      </c>
      <c r="Z446" s="2">
        <v>89469926</v>
      </c>
      <c r="AB446" s="2" t="s">
        <v>642</v>
      </c>
      <c r="AC446" s="2" t="s">
        <v>632</v>
      </c>
      <c r="AD446" s="2">
        <v>89469926</v>
      </c>
      <c r="AJ446" s="2">
        <v>89469926</v>
      </c>
      <c r="AK446" s="2">
        <v>1</v>
      </c>
      <c r="AL446" s="2" t="s">
        <v>633</v>
      </c>
      <c r="AM446" s="2">
        <v>0</v>
      </c>
      <c r="AN446" s="2">
        <v>0</v>
      </c>
      <c r="AO446" s="2">
        <v>1</v>
      </c>
      <c r="AP446" s="2">
        <v>0</v>
      </c>
      <c r="AQ446" s="2">
        <v>0</v>
      </c>
      <c r="AR446" s="2">
        <v>0</v>
      </c>
      <c r="AS446" s="2">
        <v>0</v>
      </c>
      <c r="AT446" s="2">
        <v>0</v>
      </c>
      <c r="AZ446" s="2" t="s">
        <v>3524</v>
      </c>
      <c r="BB446" s="2" t="str">
        <f>+PROPER(BD[[#This Row],[PRIMER_APELLIDO]])</f>
        <v>Chang</v>
      </c>
    </row>
    <row r="447" spans="1:54" x14ac:dyDescent="0.25">
      <c r="A447" s="2">
        <v>446</v>
      </c>
      <c r="B447" s="2">
        <v>47720</v>
      </c>
      <c r="C447" s="2" t="s">
        <v>619</v>
      </c>
      <c r="D447" s="2" t="s">
        <v>620</v>
      </c>
      <c r="E447" s="2" t="s">
        <v>3525</v>
      </c>
      <c r="F447" s="2">
        <v>30637470</v>
      </c>
      <c r="G447" s="3">
        <v>36.608219178082194</v>
      </c>
      <c r="H447" s="2" t="s">
        <v>622</v>
      </c>
      <c r="I447" s="2" t="s">
        <v>3526</v>
      </c>
      <c r="J447" s="2" t="str">
        <f>+IF(BD[[#This Row],[DEPARTAMENTO_INSS]]="MANAGUA","_01_","_02_")</f>
        <v>_02_</v>
      </c>
      <c r="K447" s="2" t="str">
        <f>+CONCATENATE(BD[[#This Row],[Columna3]],BD[[#This Row],[Columna4]],BD[[#This Row],[NOMBRE COMPLETO]])</f>
        <v>E003_02_BISMARCK EDUARDO RAMOS CORRALES</v>
      </c>
      <c r="L447" s="2" t="s">
        <v>3527</v>
      </c>
      <c r="M447" s="2" t="s">
        <v>1548</v>
      </c>
      <c r="N447" s="2" t="s">
        <v>247</v>
      </c>
      <c r="O447" s="2" t="s">
        <v>461</v>
      </c>
      <c r="P447" s="2" t="s">
        <v>649</v>
      </c>
      <c r="Q447" s="2" t="s">
        <v>351</v>
      </c>
      <c r="R447" s="2">
        <v>31434</v>
      </c>
      <c r="S447" s="2">
        <v>31434</v>
      </c>
      <c r="T447" s="2" t="s">
        <v>929</v>
      </c>
      <c r="U447" s="2" t="s">
        <v>929</v>
      </c>
      <c r="V447" s="2" t="s">
        <v>1653</v>
      </c>
      <c r="W447" s="2" t="s">
        <v>1653</v>
      </c>
      <c r="X447" s="2" t="s">
        <v>3528</v>
      </c>
      <c r="Y447" s="2" t="s">
        <v>3529</v>
      </c>
      <c r="Z447" s="2">
        <v>82084916</v>
      </c>
      <c r="AA447" s="2">
        <v>85151018</v>
      </c>
      <c r="AB447" s="2" t="s">
        <v>654</v>
      </c>
      <c r="AC447" s="2" t="s">
        <v>632</v>
      </c>
      <c r="AD447" s="2">
        <v>82084916</v>
      </c>
      <c r="AF447" s="2">
        <v>85151018</v>
      </c>
      <c r="AJ447" s="2">
        <v>82084916</v>
      </c>
      <c r="AK447" s="2">
        <v>2</v>
      </c>
      <c r="AL447" s="2" t="s">
        <v>633</v>
      </c>
      <c r="AM447" s="2">
        <v>0</v>
      </c>
      <c r="AN447" s="2">
        <v>0</v>
      </c>
      <c r="AO447" s="2">
        <v>1</v>
      </c>
      <c r="AP447" s="2">
        <v>0</v>
      </c>
      <c r="AQ447" s="2">
        <v>0</v>
      </c>
      <c r="AR447" s="2">
        <v>0</v>
      </c>
      <c r="AS447" s="2">
        <v>0</v>
      </c>
      <c r="AT447" s="2">
        <v>0</v>
      </c>
      <c r="AZ447" s="2" t="s">
        <v>3530</v>
      </c>
      <c r="BB447" s="2" t="str">
        <f>+PROPER(BD[[#This Row],[PRIMER_APELLIDO]])</f>
        <v>Ramos</v>
      </c>
    </row>
    <row r="448" spans="1:54" x14ac:dyDescent="0.25">
      <c r="A448" s="2">
        <v>447</v>
      </c>
      <c r="B448" s="2">
        <v>47093</v>
      </c>
      <c r="C448" s="2" t="s">
        <v>619</v>
      </c>
      <c r="D448" s="2" t="s">
        <v>620</v>
      </c>
      <c r="E448" s="2" t="s">
        <v>3531</v>
      </c>
      <c r="F448" s="2">
        <v>25021851</v>
      </c>
      <c r="G448" s="3">
        <v>36.610958904109587</v>
      </c>
      <c r="H448" s="2" t="s">
        <v>622</v>
      </c>
      <c r="I448" s="2" t="s">
        <v>3532</v>
      </c>
      <c r="J448" s="2" t="str">
        <f>+IF(BD[[#This Row],[DEPARTAMENTO_INSS]]="MANAGUA","_01_","_02_")</f>
        <v>_01_</v>
      </c>
      <c r="K448" s="2" t="str">
        <f>+CONCATENATE(BD[[#This Row],[Columna3]],BD[[#This Row],[Columna4]],BD[[#This Row],[NOMBRE COMPLETO]])</f>
        <v>E003_01_MIGUEL ANTONIO CENTENO TELLEZ</v>
      </c>
      <c r="L448" s="2" t="s">
        <v>2016</v>
      </c>
      <c r="M448" s="2" t="s">
        <v>904</v>
      </c>
      <c r="N448" s="2" t="s">
        <v>116</v>
      </c>
      <c r="O448" s="2" t="s">
        <v>274</v>
      </c>
      <c r="P448" s="2" t="s">
        <v>649</v>
      </c>
      <c r="Q448" s="2" t="s">
        <v>351</v>
      </c>
      <c r="R448" s="2">
        <v>31433</v>
      </c>
      <c r="S448" s="2">
        <v>31433</v>
      </c>
      <c r="T448" s="2" t="s">
        <v>929</v>
      </c>
      <c r="U448" s="2" t="s">
        <v>627</v>
      </c>
      <c r="V448" s="2" t="s">
        <v>2885</v>
      </c>
      <c r="W448" s="2" t="s">
        <v>627</v>
      </c>
      <c r="X448" s="2" t="s">
        <v>3533</v>
      </c>
      <c r="Y448" s="2" t="s">
        <v>3534</v>
      </c>
      <c r="AA448" s="2">
        <v>86257942</v>
      </c>
      <c r="AB448" s="2" t="s">
        <v>798</v>
      </c>
      <c r="AC448" s="2" t="s">
        <v>632</v>
      </c>
      <c r="AD448" s="2">
        <v>86257942</v>
      </c>
      <c r="AJ448" s="2">
        <v>86257942</v>
      </c>
      <c r="AK448" s="2">
        <v>1</v>
      </c>
      <c r="AL448" s="2" t="s">
        <v>633</v>
      </c>
      <c r="AM448" s="2">
        <v>0</v>
      </c>
      <c r="AN448" s="2">
        <v>0</v>
      </c>
      <c r="AO448" s="2">
        <v>1</v>
      </c>
      <c r="AP448" s="2">
        <v>0</v>
      </c>
      <c r="AQ448" s="2">
        <v>0</v>
      </c>
      <c r="AR448" s="2">
        <v>0</v>
      </c>
      <c r="AS448" s="2">
        <v>0</v>
      </c>
      <c r="AT448" s="2">
        <v>0</v>
      </c>
      <c r="BB448" s="2" t="str">
        <f>+PROPER(BD[[#This Row],[PRIMER_APELLIDO]])</f>
        <v>Centeno</v>
      </c>
    </row>
    <row r="449" spans="1:54" x14ac:dyDescent="0.25">
      <c r="A449" s="2">
        <v>448</v>
      </c>
      <c r="B449" s="2">
        <v>43155</v>
      </c>
      <c r="C449" s="2" t="s">
        <v>619</v>
      </c>
      <c r="D449" s="2" t="s">
        <v>620</v>
      </c>
      <c r="E449" s="2" t="s">
        <v>3535</v>
      </c>
      <c r="F449" s="2">
        <v>24233963</v>
      </c>
      <c r="G449" s="3">
        <v>36.613698630136987</v>
      </c>
      <c r="H449" s="2" t="s">
        <v>622</v>
      </c>
      <c r="I449" s="2" t="s">
        <v>3536</v>
      </c>
      <c r="J449" s="2" t="str">
        <f>+IF(BD[[#This Row],[DEPARTAMENTO_INSS]]="MANAGUA","_01_","_02_")</f>
        <v>_01_</v>
      </c>
      <c r="K449" s="2" t="str">
        <f>+CONCATENATE(BD[[#This Row],[Columna3]],BD[[#This Row],[Columna4]],BD[[#This Row],[NOMBRE COMPLETO]])</f>
        <v>E003_01_MEYLIN SUAMY LOPEZ LARIOS</v>
      </c>
      <c r="L449" s="2" t="s">
        <v>2914</v>
      </c>
      <c r="M449" s="2" t="s">
        <v>3537</v>
      </c>
      <c r="N449" s="2" t="s">
        <v>15</v>
      </c>
      <c r="O449" s="2" t="s">
        <v>512</v>
      </c>
      <c r="P449" s="2" t="s">
        <v>626</v>
      </c>
      <c r="Q449" s="2" t="s">
        <v>351</v>
      </c>
      <c r="R449" s="2">
        <v>31432</v>
      </c>
      <c r="S449" s="2">
        <v>31432</v>
      </c>
      <c r="T449" s="2" t="s">
        <v>627</v>
      </c>
      <c r="U449" s="2" t="s">
        <v>627</v>
      </c>
      <c r="V449" s="2" t="s">
        <v>627</v>
      </c>
      <c r="W449" s="2" t="s">
        <v>627</v>
      </c>
      <c r="X449" s="2" t="s">
        <v>3538</v>
      </c>
      <c r="Y449" s="2" t="s">
        <v>3539</v>
      </c>
      <c r="Z449" s="2">
        <v>88176901</v>
      </c>
      <c r="AA449" s="2">
        <v>22890904</v>
      </c>
      <c r="AB449" s="2" t="s">
        <v>654</v>
      </c>
      <c r="AC449" s="2" t="s">
        <v>632</v>
      </c>
      <c r="AD449" s="2">
        <v>88176901</v>
      </c>
      <c r="AJ449" s="2">
        <v>88176901</v>
      </c>
      <c r="AK449" s="2">
        <v>2</v>
      </c>
      <c r="AL449" s="2" t="s">
        <v>633</v>
      </c>
      <c r="AM449" s="2">
        <v>0</v>
      </c>
      <c r="AN449" s="2">
        <v>0</v>
      </c>
      <c r="AO449" s="2">
        <v>1</v>
      </c>
      <c r="AP449" s="2">
        <v>0</v>
      </c>
      <c r="AQ449" s="2">
        <v>0</v>
      </c>
      <c r="AR449" s="2">
        <v>0</v>
      </c>
      <c r="AS449" s="2">
        <v>0</v>
      </c>
      <c r="AT449" s="2">
        <v>0</v>
      </c>
      <c r="AZ449" s="2" t="s">
        <v>3540</v>
      </c>
      <c r="BB449" s="2" t="str">
        <f>+PROPER(BD[[#This Row],[PRIMER_APELLIDO]])</f>
        <v>Lopez</v>
      </c>
    </row>
    <row r="450" spans="1:54" x14ac:dyDescent="0.25">
      <c r="A450" s="2">
        <v>449</v>
      </c>
      <c r="B450" s="2">
        <v>47395</v>
      </c>
      <c r="C450" s="2" t="s">
        <v>619</v>
      </c>
      <c r="D450" s="2" t="s">
        <v>620</v>
      </c>
      <c r="E450" s="2" t="s">
        <v>3541</v>
      </c>
      <c r="F450" s="2">
        <v>25021875</v>
      </c>
      <c r="G450" s="3">
        <v>36.613698630136987</v>
      </c>
      <c r="H450" s="2" t="s">
        <v>622</v>
      </c>
      <c r="I450" s="2" t="s">
        <v>3542</v>
      </c>
      <c r="J450" s="2" t="str">
        <f>+IF(BD[[#This Row],[DEPARTAMENTO_INSS]]="MANAGUA","_01_","_02_")</f>
        <v>_01_</v>
      </c>
      <c r="K450" s="2" t="str">
        <f>+CONCATENATE(BD[[#This Row],[Columna3]],BD[[#This Row],[Columna4]],BD[[#This Row],[NOMBRE COMPLETO]])</f>
        <v>E003_01_NAHIMA ARGENTINA SEVILLA HERNANDEZ</v>
      </c>
      <c r="L450" s="2" t="s">
        <v>3543</v>
      </c>
      <c r="M450" s="2" t="s">
        <v>928</v>
      </c>
      <c r="N450" s="2" t="s">
        <v>280</v>
      </c>
      <c r="O450" s="2" t="s">
        <v>11</v>
      </c>
      <c r="P450" s="2" t="s">
        <v>626</v>
      </c>
      <c r="Q450" s="2" t="s">
        <v>351</v>
      </c>
      <c r="R450" s="2">
        <v>31432</v>
      </c>
      <c r="S450" s="2">
        <v>31432</v>
      </c>
      <c r="T450" s="2" t="s">
        <v>627</v>
      </c>
      <c r="U450" s="2" t="s">
        <v>627</v>
      </c>
      <c r="V450" s="2" t="s">
        <v>627</v>
      </c>
      <c r="W450" s="2" t="s">
        <v>627</v>
      </c>
      <c r="X450" s="2" t="s">
        <v>3544</v>
      </c>
      <c r="Y450" s="2" t="s">
        <v>3545</v>
      </c>
      <c r="Z450" s="2">
        <v>86055631</v>
      </c>
      <c r="AA450" s="2" t="s">
        <v>3546</v>
      </c>
      <c r="AB450" s="2" t="s">
        <v>631</v>
      </c>
      <c r="AC450" s="2" t="s">
        <v>632</v>
      </c>
      <c r="AD450" s="2">
        <v>86055631</v>
      </c>
      <c r="AE450" s="2">
        <v>89242917</v>
      </c>
      <c r="AJ450" s="2">
        <v>86055631</v>
      </c>
      <c r="AK450" s="2">
        <v>3</v>
      </c>
      <c r="AL450" s="2" t="s">
        <v>633</v>
      </c>
      <c r="AM450" s="2">
        <v>0</v>
      </c>
      <c r="AN450" s="2">
        <v>0</v>
      </c>
      <c r="AO450" s="2">
        <v>1</v>
      </c>
      <c r="AP450" s="2">
        <v>0</v>
      </c>
      <c r="AQ450" s="2">
        <v>0</v>
      </c>
      <c r="AR450" s="2">
        <v>0</v>
      </c>
      <c r="AS450" s="2">
        <v>0</v>
      </c>
      <c r="AT450" s="2">
        <v>0</v>
      </c>
      <c r="AZ450" s="2" t="s">
        <v>3547</v>
      </c>
      <c r="BB450" s="2" t="str">
        <f>+PROPER(BD[[#This Row],[PRIMER_APELLIDO]])</f>
        <v>Sevilla</v>
      </c>
    </row>
    <row r="451" spans="1:54" x14ac:dyDescent="0.25">
      <c r="A451" s="2">
        <v>450</v>
      </c>
      <c r="B451" s="2">
        <v>30389</v>
      </c>
      <c r="C451" s="2" t="s">
        <v>619</v>
      </c>
      <c r="D451" s="2" t="s">
        <v>620</v>
      </c>
      <c r="E451" s="2" t="s">
        <v>3548</v>
      </c>
      <c r="F451" s="2">
        <v>23857939</v>
      </c>
      <c r="G451" s="3">
        <v>36.61643835616438</v>
      </c>
      <c r="H451" s="2" t="s">
        <v>622</v>
      </c>
      <c r="I451" s="2" t="s">
        <v>3549</v>
      </c>
      <c r="J451" s="2" t="str">
        <f>+IF(BD[[#This Row],[DEPARTAMENTO_INSS]]="MANAGUA","_01_","_02_")</f>
        <v>_01_</v>
      </c>
      <c r="K451" s="2" t="str">
        <f>+CONCATENATE(BD[[#This Row],[Columna3]],BD[[#This Row],[Columna4]],BD[[#This Row],[NOMBRE COMPLETO]])</f>
        <v>E003_01_MARIO JOSE CERDA GONZALEZ</v>
      </c>
      <c r="L451" s="2" t="s">
        <v>1640</v>
      </c>
      <c r="M451" s="2" t="s">
        <v>243</v>
      </c>
      <c r="N451" s="2" t="s">
        <v>293</v>
      </c>
      <c r="O451" s="2" t="s">
        <v>14</v>
      </c>
      <c r="P451" s="2" t="s">
        <v>649</v>
      </c>
      <c r="Q451" s="2" t="s">
        <v>351</v>
      </c>
      <c r="R451" s="2">
        <v>31431</v>
      </c>
      <c r="S451" s="2">
        <v>31431</v>
      </c>
      <c r="T451" s="2" t="s">
        <v>627</v>
      </c>
      <c r="U451" s="2" t="s">
        <v>627</v>
      </c>
      <c r="V451" s="2" t="s">
        <v>627</v>
      </c>
      <c r="W451" s="2" t="s">
        <v>627</v>
      </c>
      <c r="X451" s="2" t="s">
        <v>3550</v>
      </c>
      <c r="Y451" s="2" t="s">
        <v>3551</v>
      </c>
      <c r="Z451" s="2" t="s">
        <v>3552</v>
      </c>
      <c r="AA451" s="2" t="s">
        <v>3553</v>
      </c>
      <c r="AB451" s="2" t="s">
        <v>654</v>
      </c>
      <c r="AC451" s="2" t="s">
        <v>632</v>
      </c>
      <c r="AD451" s="2">
        <v>84229343</v>
      </c>
      <c r="AE451" s="2">
        <v>88488484</v>
      </c>
      <c r="AG451" s="2">
        <v>84229343</v>
      </c>
      <c r="AJ451" s="2">
        <v>84229343</v>
      </c>
      <c r="AK451" s="2">
        <v>4</v>
      </c>
      <c r="AL451" s="2" t="s">
        <v>633</v>
      </c>
      <c r="AM451" s="2">
        <v>0</v>
      </c>
      <c r="AN451" s="2">
        <v>0</v>
      </c>
      <c r="AO451" s="2">
        <v>1</v>
      </c>
      <c r="AP451" s="2">
        <v>0</v>
      </c>
      <c r="AQ451" s="2">
        <v>0</v>
      </c>
      <c r="AR451" s="2">
        <v>0</v>
      </c>
      <c r="AS451" s="2">
        <v>0</v>
      </c>
      <c r="AT451" s="2">
        <v>0</v>
      </c>
      <c r="AZ451" s="2" t="s">
        <v>3554</v>
      </c>
      <c r="BA451" s="2" t="s">
        <v>3555</v>
      </c>
      <c r="BB451" s="2" t="str">
        <f>+PROPER(BD[[#This Row],[PRIMER_APELLIDO]])</f>
        <v>Cerda</v>
      </c>
    </row>
    <row r="452" spans="1:54" x14ac:dyDescent="0.25">
      <c r="A452" s="2">
        <v>451</v>
      </c>
      <c r="B452" s="2">
        <v>35271</v>
      </c>
      <c r="C452" s="2" t="s">
        <v>619</v>
      </c>
      <c r="D452" s="2" t="s">
        <v>620</v>
      </c>
      <c r="E452" s="2" t="s">
        <v>3556</v>
      </c>
      <c r="F452" s="2">
        <v>22189457</v>
      </c>
      <c r="G452" s="3">
        <v>36.61643835616438</v>
      </c>
      <c r="H452" s="2" t="s">
        <v>622</v>
      </c>
      <c r="I452" s="2" t="s">
        <v>3557</v>
      </c>
      <c r="J452" s="2" t="str">
        <f>+IF(BD[[#This Row],[DEPARTAMENTO_INSS]]="MANAGUA","_01_","_02_")</f>
        <v>_01_</v>
      </c>
      <c r="K452" s="2" t="str">
        <f>+CONCATENATE(BD[[#This Row],[Columna3]],BD[[#This Row],[Columna4]],BD[[#This Row],[NOMBRE COMPLETO]])</f>
        <v>E003_01_ILSER LIGIA MARTINEZ NOGUERA</v>
      </c>
      <c r="L452" s="2" t="s">
        <v>3558</v>
      </c>
      <c r="M452" s="2" t="s">
        <v>3559</v>
      </c>
      <c r="N452" s="2" t="s">
        <v>44</v>
      </c>
      <c r="O452" s="2" t="s">
        <v>352</v>
      </c>
      <c r="P452" s="2" t="s">
        <v>626</v>
      </c>
      <c r="Q452" s="2" t="s">
        <v>351</v>
      </c>
      <c r="R452" s="2">
        <v>31431</v>
      </c>
      <c r="S452" s="2">
        <v>31431</v>
      </c>
      <c r="T452" s="2" t="s">
        <v>627</v>
      </c>
      <c r="U452" s="2" t="s">
        <v>627</v>
      </c>
      <c r="V452" s="2" t="s">
        <v>627</v>
      </c>
      <c r="W452" s="2" t="s">
        <v>627</v>
      </c>
      <c r="X452" s="2" t="s">
        <v>3560</v>
      </c>
      <c r="Y452" s="2" t="s">
        <v>3561</v>
      </c>
      <c r="AA452" s="2">
        <v>22441269</v>
      </c>
      <c r="AB452" s="2" t="s">
        <v>642</v>
      </c>
      <c r="AC452" s="2" t="s">
        <v>632</v>
      </c>
      <c r="AK452" s="2">
        <v>1</v>
      </c>
      <c r="AL452" s="2" t="s">
        <v>633</v>
      </c>
      <c r="AM452" s="2">
        <v>0</v>
      </c>
      <c r="AN452" s="2">
        <v>0</v>
      </c>
      <c r="AO452" s="2">
        <v>1</v>
      </c>
      <c r="AP452" s="2">
        <v>0</v>
      </c>
      <c r="AQ452" s="2">
        <v>0</v>
      </c>
      <c r="AR452" s="2">
        <v>0</v>
      </c>
      <c r="AS452" s="2">
        <v>0</v>
      </c>
      <c r="AT452" s="2">
        <v>0</v>
      </c>
      <c r="BB452" s="2" t="str">
        <f>+PROPER(BD[[#This Row],[PRIMER_APELLIDO]])</f>
        <v>Martinez</v>
      </c>
    </row>
    <row r="453" spans="1:54" x14ac:dyDescent="0.25">
      <c r="A453" s="2">
        <v>452</v>
      </c>
      <c r="B453" s="2">
        <v>36125</v>
      </c>
      <c r="C453" s="2" t="s">
        <v>619</v>
      </c>
      <c r="D453" s="2" t="s">
        <v>620</v>
      </c>
      <c r="E453" s="2" t="s">
        <v>3562</v>
      </c>
      <c r="F453" s="2">
        <v>24772741</v>
      </c>
      <c r="G453" s="3">
        <v>36.61643835616438</v>
      </c>
      <c r="H453" s="2" t="s">
        <v>622</v>
      </c>
      <c r="I453" s="2" t="s">
        <v>3563</v>
      </c>
      <c r="J453" s="2" t="str">
        <f>+IF(BD[[#This Row],[DEPARTAMENTO_INSS]]="MANAGUA","_01_","_02_")</f>
        <v>_01_</v>
      </c>
      <c r="K453" s="2" t="str">
        <f>+CONCATENATE(BD[[#This Row],[Columna3]],BD[[#This Row],[Columna4]],BD[[#This Row],[NOMBRE COMPLETO]])</f>
        <v>E003_01_STEPHANIE OSMAIRA OMIER MAIRENA</v>
      </c>
      <c r="L453" s="2" t="s">
        <v>3320</v>
      </c>
      <c r="M453" s="2" t="s">
        <v>3564</v>
      </c>
      <c r="N453" s="2" t="s">
        <v>190</v>
      </c>
      <c r="O453" s="2" t="s">
        <v>427</v>
      </c>
      <c r="P453" s="2" t="s">
        <v>626</v>
      </c>
      <c r="Q453" s="2" t="s">
        <v>351</v>
      </c>
      <c r="R453" s="2">
        <v>31431</v>
      </c>
      <c r="S453" s="2">
        <v>31431</v>
      </c>
      <c r="T453" s="2" t="s">
        <v>780</v>
      </c>
      <c r="U453" s="2" t="s">
        <v>627</v>
      </c>
      <c r="V453" s="2" t="s">
        <v>781</v>
      </c>
      <c r="W453" s="2" t="s">
        <v>627</v>
      </c>
      <c r="X453" s="2" t="s">
        <v>3565</v>
      </c>
      <c r="Y453" s="2" t="s">
        <v>3566</v>
      </c>
      <c r="Z453" s="2">
        <v>58191000</v>
      </c>
      <c r="AA453" s="2">
        <v>58191000</v>
      </c>
      <c r="AB453" s="2" t="s">
        <v>642</v>
      </c>
      <c r="AC453" s="2" t="s">
        <v>632</v>
      </c>
      <c r="AD453" s="2">
        <v>58191000</v>
      </c>
      <c r="AJ453" s="2">
        <v>58191000</v>
      </c>
      <c r="AK453" s="2">
        <v>2</v>
      </c>
      <c r="AL453" s="2" t="s">
        <v>633</v>
      </c>
      <c r="AM453" s="2">
        <v>0</v>
      </c>
      <c r="AN453" s="2">
        <v>0</v>
      </c>
      <c r="AO453" s="2">
        <v>1</v>
      </c>
      <c r="AP453" s="2">
        <v>0</v>
      </c>
      <c r="AQ453" s="2">
        <v>0</v>
      </c>
      <c r="AR453" s="2">
        <v>0</v>
      </c>
      <c r="AS453" s="2">
        <v>0</v>
      </c>
      <c r="AT453" s="2">
        <v>0</v>
      </c>
      <c r="AZ453" s="2" t="s">
        <v>3567</v>
      </c>
      <c r="BA453" s="2" t="s">
        <v>3567</v>
      </c>
      <c r="BB453" s="2" t="str">
        <f>+PROPER(BD[[#This Row],[PRIMER_APELLIDO]])</f>
        <v>Omier</v>
      </c>
    </row>
    <row r="454" spans="1:54" x14ac:dyDescent="0.25">
      <c r="A454" s="2">
        <v>453</v>
      </c>
      <c r="B454" s="2">
        <v>38627</v>
      </c>
      <c r="C454" s="2" t="s">
        <v>619</v>
      </c>
      <c r="D454" s="2" t="s">
        <v>620</v>
      </c>
      <c r="E454" s="2" t="s">
        <v>3568</v>
      </c>
      <c r="G454" s="3">
        <v>36.61643835616438</v>
      </c>
      <c r="H454" s="2" t="s">
        <v>622</v>
      </c>
      <c r="I454" s="2" t="s">
        <v>3569</v>
      </c>
      <c r="J454" s="2" t="str">
        <f>+IF(BD[[#This Row],[DEPARTAMENTO_INSS]]="MANAGUA","_01_","_02_")</f>
        <v>_02_</v>
      </c>
      <c r="K454" s="2" t="str">
        <f>+CONCATENATE(BD[[#This Row],[Columna3]],BD[[#This Row],[Columna4]],BD[[#This Row],[NOMBRE COMPLETO]])</f>
        <v>E003_02_ILICH RIGOBERTO TERCERO REYES</v>
      </c>
      <c r="L454" s="2" t="s">
        <v>3570</v>
      </c>
      <c r="M454" s="2" t="s">
        <v>1082</v>
      </c>
      <c r="N454" s="2" t="s">
        <v>175</v>
      </c>
      <c r="O454" s="2" t="s">
        <v>74</v>
      </c>
      <c r="P454" s="2" t="s">
        <v>649</v>
      </c>
      <c r="Q454" s="2" t="s">
        <v>351</v>
      </c>
      <c r="R454" s="2">
        <v>31431</v>
      </c>
      <c r="S454" s="2">
        <v>31431</v>
      </c>
      <c r="T454" s="2" t="s">
        <v>691</v>
      </c>
      <c r="U454" s="2" t="s">
        <v>691</v>
      </c>
      <c r="V454" s="2" t="s">
        <v>3571</v>
      </c>
      <c r="W454" s="2" t="s">
        <v>3571</v>
      </c>
      <c r="X454" s="2" t="s">
        <v>3572</v>
      </c>
      <c r="Y454" s="2" t="s">
        <v>3573</v>
      </c>
      <c r="Z454" s="2">
        <v>57413634</v>
      </c>
      <c r="AA454" s="2">
        <v>88214319</v>
      </c>
      <c r="AB454" s="2" t="s">
        <v>798</v>
      </c>
      <c r="AC454" s="2" t="s">
        <v>632</v>
      </c>
      <c r="AD454" s="2">
        <v>57413634</v>
      </c>
      <c r="AE454" s="2">
        <v>88214319</v>
      </c>
      <c r="AJ454" s="2">
        <v>57413634</v>
      </c>
      <c r="AK454" s="2">
        <v>2</v>
      </c>
      <c r="AL454" s="2" t="s">
        <v>633</v>
      </c>
      <c r="AM454" s="2">
        <v>0</v>
      </c>
      <c r="AN454" s="2">
        <v>0</v>
      </c>
      <c r="AO454" s="2">
        <v>1</v>
      </c>
      <c r="AP454" s="2">
        <v>0</v>
      </c>
      <c r="AQ454" s="2">
        <v>0</v>
      </c>
      <c r="AR454" s="2">
        <v>0</v>
      </c>
      <c r="AS454" s="2">
        <v>0</v>
      </c>
      <c r="AT454" s="2">
        <v>0</v>
      </c>
      <c r="AZ454" s="2" t="s">
        <v>3574</v>
      </c>
      <c r="BB454" s="2" t="str">
        <f>+PROPER(BD[[#This Row],[PRIMER_APELLIDO]])</f>
        <v>Tercero</v>
      </c>
    </row>
    <row r="455" spans="1:54" x14ac:dyDescent="0.25">
      <c r="A455" s="2">
        <v>454</v>
      </c>
      <c r="B455" s="2">
        <v>43302</v>
      </c>
      <c r="C455" s="2" t="s">
        <v>619</v>
      </c>
      <c r="D455" s="2" t="s">
        <v>620</v>
      </c>
      <c r="E455" s="2" t="s">
        <v>3575</v>
      </c>
      <c r="F455" s="2">
        <v>24237459</v>
      </c>
      <c r="G455" s="3">
        <v>36.61917808219178</v>
      </c>
      <c r="H455" s="2" t="s">
        <v>622</v>
      </c>
      <c r="I455" s="2" t="s">
        <v>3576</v>
      </c>
      <c r="J455" s="2" t="str">
        <f>+IF(BD[[#This Row],[DEPARTAMENTO_INSS]]="MANAGUA","_01_","_02_")</f>
        <v>_01_</v>
      </c>
      <c r="K455" s="2" t="str">
        <f>+CONCATENATE(BD[[#This Row],[Columna3]],BD[[#This Row],[Columna4]],BD[[#This Row],[NOMBRE COMPLETO]])</f>
        <v>E003_01_CECILIA DE JESUS VALLADARES MARENCO</v>
      </c>
      <c r="L455" s="2" t="s">
        <v>3360</v>
      </c>
      <c r="M455" s="2" t="s">
        <v>2551</v>
      </c>
      <c r="N455" s="2" t="s">
        <v>69</v>
      </c>
      <c r="O455" s="2" t="s">
        <v>327</v>
      </c>
      <c r="P455" s="2" t="s">
        <v>626</v>
      </c>
      <c r="Q455" s="2" t="s">
        <v>351</v>
      </c>
      <c r="R455" s="2">
        <v>31430</v>
      </c>
      <c r="S455" s="2">
        <v>31430</v>
      </c>
      <c r="T455" s="2" t="s">
        <v>627</v>
      </c>
      <c r="U455" s="2" t="s">
        <v>627</v>
      </c>
      <c r="V455" s="2" t="s">
        <v>627</v>
      </c>
      <c r="W455" s="2" t="s">
        <v>627</v>
      </c>
      <c r="X455" s="2" t="s">
        <v>3577</v>
      </c>
      <c r="Y455" s="2" t="s">
        <v>3578</v>
      </c>
      <c r="AA455" s="2">
        <v>22664951</v>
      </c>
      <c r="AB455" s="2" t="s">
        <v>642</v>
      </c>
      <c r="AC455" s="2" t="s">
        <v>632</v>
      </c>
      <c r="AK455" s="2">
        <v>1</v>
      </c>
      <c r="AL455" s="2" t="s">
        <v>633</v>
      </c>
      <c r="AM455" s="2">
        <v>0</v>
      </c>
      <c r="AN455" s="2">
        <v>0</v>
      </c>
      <c r="AO455" s="2">
        <v>1</v>
      </c>
      <c r="AP455" s="2">
        <v>0</v>
      </c>
      <c r="AQ455" s="2">
        <v>0</v>
      </c>
      <c r="AR455" s="2">
        <v>0</v>
      </c>
      <c r="AS455" s="2">
        <v>0</v>
      </c>
      <c r="AT455" s="2">
        <v>0</v>
      </c>
      <c r="BB455" s="2" t="str">
        <f>+PROPER(BD[[#This Row],[PRIMER_APELLIDO]])</f>
        <v>Valladares</v>
      </c>
    </row>
    <row r="456" spans="1:54" x14ac:dyDescent="0.25">
      <c r="A456" s="2">
        <v>455</v>
      </c>
      <c r="B456" s="2">
        <v>44450</v>
      </c>
      <c r="C456" s="2" t="s">
        <v>619</v>
      </c>
      <c r="D456" s="2" t="s">
        <v>620</v>
      </c>
      <c r="E456" s="2" t="s">
        <v>3579</v>
      </c>
      <c r="F456" s="2">
        <v>28758107</v>
      </c>
      <c r="G456" s="3">
        <v>36.61917808219178</v>
      </c>
      <c r="H456" s="2" t="s">
        <v>622</v>
      </c>
      <c r="I456" s="2" t="s">
        <v>3580</v>
      </c>
      <c r="J456" s="2" t="str">
        <f>+IF(BD[[#This Row],[DEPARTAMENTO_INSS]]="MANAGUA","_01_","_02_")</f>
        <v>_02_</v>
      </c>
      <c r="K456" s="2" t="str">
        <f>+CONCATENATE(BD[[#This Row],[Columna3]],BD[[#This Row],[Columna4]],BD[[#This Row],[NOMBRE COMPLETO]])</f>
        <v>E003_02_LUCELIA REBECA CANALES QUEZADA</v>
      </c>
      <c r="L456" s="2" t="s">
        <v>3581</v>
      </c>
      <c r="M456" s="2" t="s">
        <v>1257</v>
      </c>
      <c r="N456" s="2" t="s">
        <v>77</v>
      </c>
      <c r="O456" s="2" t="s">
        <v>297</v>
      </c>
      <c r="P456" s="2" t="s">
        <v>626</v>
      </c>
      <c r="Q456" s="2" t="s">
        <v>351</v>
      </c>
      <c r="R456" s="2">
        <v>31430</v>
      </c>
      <c r="S456" s="2">
        <v>31430</v>
      </c>
      <c r="T456" s="2" t="s">
        <v>176</v>
      </c>
      <c r="U456" s="2" t="s">
        <v>176</v>
      </c>
      <c r="V456" s="2" t="s">
        <v>650</v>
      </c>
      <c r="W456" s="2" t="s">
        <v>176</v>
      </c>
      <c r="X456" s="2" t="s">
        <v>3582</v>
      </c>
      <c r="Y456" s="2" t="s">
        <v>3583</v>
      </c>
      <c r="AA456" s="2">
        <v>78137064</v>
      </c>
      <c r="AB456" s="2" t="s">
        <v>642</v>
      </c>
      <c r="AC456" s="2" t="s">
        <v>632</v>
      </c>
      <c r="AD456" s="2">
        <v>78137064</v>
      </c>
      <c r="AJ456" s="2">
        <v>78137064</v>
      </c>
      <c r="AK456" s="2">
        <v>1</v>
      </c>
      <c r="AL456" s="2" t="s">
        <v>633</v>
      </c>
      <c r="AM456" s="2">
        <v>0</v>
      </c>
      <c r="AN456" s="2">
        <v>0</v>
      </c>
      <c r="AO456" s="2">
        <v>1</v>
      </c>
      <c r="AP456" s="2">
        <v>0</v>
      </c>
      <c r="AQ456" s="2">
        <v>0</v>
      </c>
      <c r="AR456" s="2">
        <v>0</v>
      </c>
      <c r="AS456" s="2">
        <v>0</v>
      </c>
      <c r="AT456" s="2">
        <v>0</v>
      </c>
      <c r="BB456" s="2" t="str">
        <f>+PROPER(BD[[#This Row],[PRIMER_APELLIDO]])</f>
        <v>Canales</v>
      </c>
    </row>
    <row r="457" spans="1:54" x14ac:dyDescent="0.25">
      <c r="A457" s="2">
        <v>456</v>
      </c>
      <c r="B457" s="2">
        <v>45390</v>
      </c>
      <c r="C457" s="2" t="s">
        <v>619</v>
      </c>
      <c r="D457" s="2" t="s">
        <v>620</v>
      </c>
      <c r="E457" s="2" t="s">
        <v>3584</v>
      </c>
      <c r="F457" s="2">
        <v>24986283</v>
      </c>
      <c r="G457" s="3">
        <v>36.627397260273973</v>
      </c>
      <c r="H457" s="2" t="s">
        <v>622</v>
      </c>
      <c r="I457" s="2" t="s">
        <v>3585</v>
      </c>
      <c r="J457" s="2" t="str">
        <f>+IF(BD[[#This Row],[DEPARTAMENTO_INSS]]="MANAGUA","_01_","_02_")</f>
        <v>_02_</v>
      </c>
      <c r="K457" s="2" t="str">
        <f>+CONCATENATE(BD[[#This Row],[Columna3]],BD[[#This Row],[Columna4]],BD[[#This Row],[NOMBRE COMPLETO]])</f>
        <v>E003_02_OTONIEL ALVAREZ RIVAS</v>
      </c>
      <c r="L457" s="2" t="s">
        <v>1496</v>
      </c>
      <c r="M457" s="2" t="s">
        <v>456</v>
      </c>
      <c r="N457" s="2" t="s">
        <v>186</v>
      </c>
      <c r="P457" s="2" t="s">
        <v>649</v>
      </c>
      <c r="Q457" s="2" t="s">
        <v>351</v>
      </c>
      <c r="R457" s="2">
        <v>31427</v>
      </c>
      <c r="S457" s="2">
        <v>31427</v>
      </c>
      <c r="T457" s="2" t="s">
        <v>669</v>
      </c>
      <c r="U457" s="2" t="s">
        <v>780</v>
      </c>
      <c r="V457" s="2" t="s">
        <v>1561</v>
      </c>
      <c r="W457" s="2" t="s">
        <v>2046</v>
      </c>
      <c r="X457" s="2" t="s">
        <v>3586</v>
      </c>
      <c r="Y457" s="2" t="s">
        <v>3587</v>
      </c>
      <c r="Z457" s="2">
        <v>82375947</v>
      </c>
      <c r="AA457" s="2">
        <v>82375947</v>
      </c>
      <c r="AB457" s="2" t="s">
        <v>798</v>
      </c>
      <c r="AC457" s="2" t="s">
        <v>632</v>
      </c>
      <c r="AD457" s="2">
        <v>82375947</v>
      </c>
      <c r="AJ457" s="2">
        <v>82375947</v>
      </c>
      <c r="AK457" s="2">
        <v>2</v>
      </c>
      <c r="AL457" s="2" t="s">
        <v>633</v>
      </c>
      <c r="AM457" s="2">
        <v>0</v>
      </c>
      <c r="AN457" s="2">
        <v>0</v>
      </c>
      <c r="AO457" s="2">
        <v>1</v>
      </c>
      <c r="AP457" s="2">
        <v>0</v>
      </c>
      <c r="AQ457" s="2">
        <v>0</v>
      </c>
      <c r="AR457" s="2">
        <v>0</v>
      </c>
      <c r="AS457" s="2">
        <v>0</v>
      </c>
      <c r="AT457" s="2">
        <v>0</v>
      </c>
      <c r="AZ457" s="2" t="s">
        <v>3588</v>
      </c>
      <c r="BB457" s="2" t="str">
        <f>+PROPER(BD[[#This Row],[PRIMER_APELLIDO]])</f>
        <v>Rivas</v>
      </c>
    </row>
    <row r="458" spans="1:54" x14ac:dyDescent="0.25">
      <c r="A458" s="2">
        <v>457</v>
      </c>
      <c r="B458" s="2">
        <v>67053</v>
      </c>
      <c r="C458" s="2" t="s">
        <v>619</v>
      </c>
      <c r="D458" s="2" t="s">
        <v>620</v>
      </c>
      <c r="E458" s="2" t="s">
        <v>3589</v>
      </c>
      <c r="G458" s="3">
        <v>36.630136986301373</v>
      </c>
      <c r="H458" s="2" t="s">
        <v>622</v>
      </c>
      <c r="I458" s="2" t="s">
        <v>3590</v>
      </c>
      <c r="J458" s="2" t="str">
        <f>+IF(BD[[#This Row],[DEPARTAMENTO_INSS]]="MANAGUA","_01_","_02_")</f>
        <v>_02_</v>
      </c>
      <c r="K458" s="2" t="str">
        <f>+CONCATENATE(BD[[#This Row],[Columna3]],BD[[#This Row],[Columna4]],BD[[#This Row],[NOMBRE COMPLETO]])</f>
        <v>E003_02_ELIEZER JOSE GONZALEZ PALACIOS</v>
      </c>
      <c r="L458" s="2" t="s">
        <v>1052</v>
      </c>
      <c r="M458" s="2" t="s">
        <v>243</v>
      </c>
      <c r="N458" s="2" t="s">
        <v>14</v>
      </c>
      <c r="O458" s="2" t="s">
        <v>201</v>
      </c>
      <c r="P458" s="2" t="s">
        <v>649</v>
      </c>
      <c r="Q458" s="2" t="s">
        <v>351</v>
      </c>
      <c r="R458" s="2">
        <v>31426</v>
      </c>
      <c r="T458" s="2" t="s">
        <v>691</v>
      </c>
      <c r="V458" s="2" t="s">
        <v>1693</v>
      </c>
      <c r="X458" s="2" t="s">
        <v>3591</v>
      </c>
      <c r="Z458" s="2">
        <v>77878078</v>
      </c>
      <c r="AB458" s="2" t="s">
        <v>654</v>
      </c>
      <c r="AC458" s="2" t="s">
        <v>632</v>
      </c>
      <c r="AD458" s="2">
        <v>77878078</v>
      </c>
      <c r="AJ458" s="2">
        <v>77878078</v>
      </c>
      <c r="AK458" s="2">
        <v>1</v>
      </c>
      <c r="AL458" s="2" t="s">
        <v>633</v>
      </c>
      <c r="AM458" s="2">
        <v>0</v>
      </c>
      <c r="AN458" s="2">
        <v>0</v>
      </c>
      <c r="AO458" s="2">
        <v>1</v>
      </c>
      <c r="AP458" s="2">
        <v>0</v>
      </c>
      <c r="AQ458" s="2">
        <v>0</v>
      </c>
      <c r="AR458" s="2">
        <v>0</v>
      </c>
      <c r="AS458" s="2">
        <v>0</v>
      </c>
      <c r="AT458" s="2">
        <v>0</v>
      </c>
      <c r="AZ458" s="2" t="s">
        <v>3592</v>
      </c>
      <c r="BB458" s="2" t="str">
        <f>+PROPER(BD[[#This Row],[PRIMER_APELLIDO]])</f>
        <v>Gonzalez</v>
      </c>
    </row>
    <row r="459" spans="1:54" x14ac:dyDescent="0.25">
      <c r="A459" s="2">
        <v>458</v>
      </c>
      <c r="B459" s="2">
        <v>49394</v>
      </c>
      <c r="C459" s="2" t="s">
        <v>619</v>
      </c>
      <c r="D459" s="2" t="s">
        <v>620</v>
      </c>
      <c r="E459" s="2" t="s">
        <v>3593</v>
      </c>
      <c r="F459" s="2">
        <v>16961821</v>
      </c>
      <c r="G459" s="3">
        <v>36.635616438356166</v>
      </c>
      <c r="H459" s="2" t="s">
        <v>622</v>
      </c>
      <c r="I459" s="2" t="s">
        <v>3594</v>
      </c>
      <c r="J459" s="2" t="str">
        <f>+IF(BD[[#This Row],[DEPARTAMENTO_INSS]]="MANAGUA","_01_","_02_")</f>
        <v>_02_</v>
      </c>
      <c r="K459" s="2" t="str">
        <f>+CONCATENATE(BD[[#This Row],[Columna3]],BD[[#This Row],[Columna4]],BD[[#This Row],[NOMBRE COMPLETO]])</f>
        <v>E003_02_DONALD JOSE MUNGUIA AVENDAÑO</v>
      </c>
      <c r="L459" s="2" t="s">
        <v>3595</v>
      </c>
      <c r="M459" s="2" t="s">
        <v>243</v>
      </c>
      <c r="N459" s="2" t="s">
        <v>197</v>
      </c>
      <c r="O459" s="2" t="s">
        <v>101</v>
      </c>
      <c r="P459" s="2" t="s">
        <v>649</v>
      </c>
      <c r="Q459" s="2" t="s">
        <v>351</v>
      </c>
      <c r="R459" s="2">
        <v>31424</v>
      </c>
      <c r="S459" s="2">
        <v>31424</v>
      </c>
      <c r="T459" s="2" t="s">
        <v>176</v>
      </c>
      <c r="U459" s="2" t="s">
        <v>176</v>
      </c>
      <c r="V459" s="2" t="s">
        <v>650</v>
      </c>
      <c r="W459" s="2" t="s">
        <v>176</v>
      </c>
      <c r="X459" s="2" t="s">
        <v>3596</v>
      </c>
      <c r="Y459" s="2" t="s">
        <v>3597</v>
      </c>
      <c r="Z459" s="2">
        <v>82033863</v>
      </c>
      <c r="AB459" s="2" t="s">
        <v>798</v>
      </c>
      <c r="AC459" s="2" t="s">
        <v>632</v>
      </c>
      <c r="AD459" s="2">
        <v>82033863</v>
      </c>
      <c r="AJ459" s="2">
        <v>82033863</v>
      </c>
      <c r="AK459" s="2">
        <v>1</v>
      </c>
      <c r="AL459" s="2" t="s">
        <v>633</v>
      </c>
      <c r="AM459" s="2">
        <v>0</v>
      </c>
      <c r="AN459" s="2">
        <v>0</v>
      </c>
      <c r="AO459" s="2">
        <v>1</v>
      </c>
      <c r="AP459" s="2">
        <v>0</v>
      </c>
      <c r="AQ459" s="2">
        <v>0</v>
      </c>
      <c r="AR459" s="2">
        <v>0</v>
      </c>
      <c r="AS459" s="2">
        <v>0</v>
      </c>
      <c r="AT459" s="2">
        <v>0</v>
      </c>
      <c r="AZ459" s="2" t="s">
        <v>3598</v>
      </c>
      <c r="BB459" s="2" t="str">
        <f>+PROPER(BD[[#This Row],[PRIMER_APELLIDO]])</f>
        <v>Munguia</v>
      </c>
    </row>
    <row r="460" spans="1:54" x14ac:dyDescent="0.25">
      <c r="A460" s="2">
        <v>459</v>
      </c>
      <c r="B460" s="2">
        <v>51684</v>
      </c>
      <c r="C460" s="2" t="s">
        <v>619</v>
      </c>
      <c r="D460" s="2" t="s">
        <v>620</v>
      </c>
      <c r="E460" s="2" t="s">
        <v>3599</v>
      </c>
      <c r="F460" s="2">
        <v>26582786</v>
      </c>
      <c r="G460" s="3">
        <v>36.638356164383559</v>
      </c>
      <c r="H460" s="2" t="s">
        <v>622</v>
      </c>
      <c r="I460" s="2" t="s">
        <v>3600</v>
      </c>
      <c r="J460" s="2" t="str">
        <f>+IF(BD[[#This Row],[DEPARTAMENTO_INSS]]="MANAGUA","_01_","_02_")</f>
        <v>_02_</v>
      </c>
      <c r="K460" s="2" t="str">
        <f>+CONCATENATE(BD[[#This Row],[Columna3]],BD[[#This Row],[Columna4]],BD[[#This Row],[NOMBRE COMPLETO]])</f>
        <v>E003_02_SOLANGHE ZORAYDA ESPINOZA JACKSON</v>
      </c>
      <c r="L460" s="2" t="s">
        <v>3601</v>
      </c>
      <c r="M460" s="2" t="s">
        <v>3602</v>
      </c>
      <c r="N460" s="2" t="s">
        <v>235</v>
      </c>
      <c r="O460" s="2" t="s">
        <v>3603</v>
      </c>
      <c r="P460" s="2" t="s">
        <v>626</v>
      </c>
      <c r="Q460" s="2" t="s">
        <v>351</v>
      </c>
      <c r="R460" s="2">
        <v>31423</v>
      </c>
      <c r="S460" s="2">
        <v>31423</v>
      </c>
      <c r="T460" s="2" t="s">
        <v>780</v>
      </c>
      <c r="U460" s="2" t="s">
        <v>780</v>
      </c>
      <c r="V460" s="2" t="s">
        <v>781</v>
      </c>
      <c r="W460" s="2" t="s">
        <v>781</v>
      </c>
      <c r="X460" s="2" t="s">
        <v>3604</v>
      </c>
      <c r="Y460" s="2" t="s">
        <v>3605</v>
      </c>
      <c r="Z460" s="2">
        <v>83369866</v>
      </c>
      <c r="AA460" s="2">
        <v>83369866</v>
      </c>
      <c r="AB460" s="2" t="s">
        <v>631</v>
      </c>
      <c r="AC460" s="2" t="s">
        <v>632</v>
      </c>
      <c r="AD460" s="2">
        <v>83369866</v>
      </c>
      <c r="AJ460" s="2">
        <v>83369866</v>
      </c>
      <c r="AK460" s="2">
        <v>2</v>
      </c>
      <c r="AL460" s="2" t="s">
        <v>633</v>
      </c>
      <c r="AM460" s="2">
        <v>0</v>
      </c>
      <c r="AN460" s="2">
        <v>0</v>
      </c>
      <c r="AO460" s="2">
        <v>1</v>
      </c>
      <c r="AP460" s="2">
        <v>0</v>
      </c>
      <c r="AQ460" s="2">
        <v>0</v>
      </c>
      <c r="AR460" s="2">
        <v>0</v>
      </c>
      <c r="AS460" s="2">
        <v>0</v>
      </c>
      <c r="AT460" s="2">
        <v>0</v>
      </c>
      <c r="AZ460" s="2" t="s">
        <v>3606</v>
      </c>
      <c r="BB460" s="2" t="str">
        <f>+PROPER(BD[[#This Row],[PRIMER_APELLIDO]])</f>
        <v>Espinoza</v>
      </c>
    </row>
    <row r="461" spans="1:54" x14ac:dyDescent="0.25">
      <c r="A461" s="2">
        <v>460</v>
      </c>
      <c r="B461" s="2">
        <v>46686</v>
      </c>
      <c r="C461" s="2" t="s">
        <v>619</v>
      </c>
      <c r="D461" s="2" t="s">
        <v>620</v>
      </c>
      <c r="E461" s="2" t="s">
        <v>3607</v>
      </c>
      <c r="F461" s="2">
        <v>24236061</v>
      </c>
      <c r="G461" s="3">
        <v>36.652054794520545</v>
      </c>
      <c r="H461" s="2" t="s">
        <v>622</v>
      </c>
      <c r="I461" s="2" t="s">
        <v>3608</v>
      </c>
      <c r="J461" s="2" t="str">
        <f>+IF(BD[[#This Row],[DEPARTAMENTO_INSS]]="MANAGUA","_01_","_02_")</f>
        <v>_02_</v>
      </c>
      <c r="K461" s="2" t="str">
        <f>+CONCATENATE(BD[[#This Row],[Columna3]],BD[[#This Row],[Columna4]],BD[[#This Row],[NOMBRE COMPLETO]])</f>
        <v>E003_02_IRVING YASSER CASTILLO URBINA</v>
      </c>
      <c r="L461" s="2" t="s">
        <v>3609</v>
      </c>
      <c r="M461" s="2" t="s">
        <v>3610</v>
      </c>
      <c r="N461" s="2" t="s">
        <v>100</v>
      </c>
      <c r="O461" s="2" t="s">
        <v>86</v>
      </c>
      <c r="P461" s="2" t="s">
        <v>649</v>
      </c>
      <c r="Q461" s="2" t="s">
        <v>351</v>
      </c>
      <c r="R461" s="2">
        <v>31418</v>
      </c>
      <c r="S461" s="2">
        <v>31418</v>
      </c>
      <c r="T461" s="2" t="s">
        <v>780</v>
      </c>
      <c r="U461" s="2" t="s">
        <v>780</v>
      </c>
      <c r="V461" s="2" t="s">
        <v>781</v>
      </c>
      <c r="W461" s="2" t="s">
        <v>781</v>
      </c>
      <c r="X461" s="2" t="s">
        <v>3611</v>
      </c>
      <c r="Y461" s="2" t="s">
        <v>3612</v>
      </c>
      <c r="Z461" s="2">
        <v>84321219</v>
      </c>
      <c r="AA461" s="2">
        <v>25721194</v>
      </c>
      <c r="AB461" s="2" t="s">
        <v>654</v>
      </c>
      <c r="AC461" s="2" t="s">
        <v>632</v>
      </c>
      <c r="AD461" s="2">
        <v>84321219</v>
      </c>
      <c r="AJ461" s="2">
        <v>84321219</v>
      </c>
      <c r="AK461" s="2">
        <v>2</v>
      </c>
      <c r="AL461" s="2" t="s">
        <v>633</v>
      </c>
      <c r="AM461" s="2">
        <v>0</v>
      </c>
      <c r="AN461" s="2">
        <v>0</v>
      </c>
      <c r="AO461" s="2">
        <v>1</v>
      </c>
      <c r="AP461" s="2">
        <v>0</v>
      </c>
      <c r="AQ461" s="2">
        <v>0</v>
      </c>
      <c r="AR461" s="2">
        <v>0</v>
      </c>
      <c r="AS461" s="2">
        <v>0</v>
      </c>
      <c r="AT461" s="2">
        <v>0</v>
      </c>
      <c r="AZ461" s="2" t="s">
        <v>3613</v>
      </c>
      <c r="BB461" s="2" t="str">
        <f>+PROPER(BD[[#This Row],[PRIMER_APELLIDO]])</f>
        <v>Castillo</v>
      </c>
    </row>
    <row r="462" spans="1:54" x14ac:dyDescent="0.25">
      <c r="A462" s="2">
        <v>461</v>
      </c>
      <c r="B462" s="2">
        <v>82926</v>
      </c>
      <c r="C462" s="2" t="s">
        <v>619</v>
      </c>
      <c r="D462" s="2" t="s">
        <v>620</v>
      </c>
      <c r="E462" s="2" t="s">
        <v>3614</v>
      </c>
      <c r="G462" s="3">
        <v>36.652054794520545</v>
      </c>
      <c r="H462" s="2" t="s">
        <v>622</v>
      </c>
      <c r="I462" s="2" t="s">
        <v>3615</v>
      </c>
      <c r="J462" s="2" t="str">
        <f>+IF(BD[[#This Row],[DEPARTAMENTO_INSS]]="MANAGUA","_01_","_02_")</f>
        <v>_01_</v>
      </c>
      <c r="K462" s="2" t="str">
        <f>+CONCATENATE(BD[[#This Row],[Columna3]],BD[[#This Row],[Columna4]],BD[[#This Row],[NOMBRE COMPLETO]])</f>
        <v>E003_01_DARLING JILL ARAGON HUECK</v>
      </c>
      <c r="L462" s="2" t="s">
        <v>3616</v>
      </c>
      <c r="M462" s="2" t="s">
        <v>3617</v>
      </c>
      <c r="N462" s="2" t="s">
        <v>180</v>
      </c>
      <c r="O462" s="2" t="s">
        <v>3618</v>
      </c>
      <c r="P462" s="2" t="s">
        <v>626</v>
      </c>
      <c r="Q462" s="2" t="s">
        <v>351</v>
      </c>
      <c r="R462" s="2">
        <v>31418</v>
      </c>
      <c r="S462" s="2">
        <v>31418</v>
      </c>
      <c r="T462" s="2" t="s">
        <v>627</v>
      </c>
      <c r="U462" s="2" t="s">
        <v>627</v>
      </c>
      <c r="V462" s="2" t="s">
        <v>627</v>
      </c>
      <c r="W462" s="2" t="s">
        <v>627</v>
      </c>
      <c r="X462" s="2" t="s">
        <v>3619</v>
      </c>
      <c r="Y462" s="2" t="s">
        <v>3620</v>
      </c>
      <c r="Z462" s="2">
        <v>57697512</v>
      </c>
      <c r="AA462" s="2">
        <v>57697512</v>
      </c>
      <c r="AB462" s="2" t="s">
        <v>3621</v>
      </c>
      <c r="AC462" s="2" t="s">
        <v>632</v>
      </c>
      <c r="AD462" s="2">
        <v>57697512</v>
      </c>
      <c r="AJ462" s="2">
        <v>57697512</v>
      </c>
      <c r="AK462" s="2">
        <v>2</v>
      </c>
      <c r="AL462" s="2" t="s">
        <v>633</v>
      </c>
      <c r="AM462" s="2">
        <v>0</v>
      </c>
      <c r="AN462" s="2">
        <v>0</v>
      </c>
      <c r="AO462" s="2">
        <v>1</v>
      </c>
      <c r="AP462" s="2">
        <v>0</v>
      </c>
      <c r="AQ462" s="2">
        <v>0</v>
      </c>
      <c r="AR462" s="2">
        <v>0</v>
      </c>
      <c r="AS462" s="2">
        <v>0</v>
      </c>
      <c r="AT462" s="2">
        <v>0</v>
      </c>
      <c r="AZ462" s="2" t="s">
        <v>3622</v>
      </c>
      <c r="BA462" s="2" t="s">
        <v>3622</v>
      </c>
      <c r="BB462" s="2" t="str">
        <f>+PROPER(BD[[#This Row],[PRIMER_APELLIDO]])</f>
        <v>Aragon</v>
      </c>
    </row>
    <row r="463" spans="1:54" x14ac:dyDescent="0.25">
      <c r="A463" s="2">
        <v>462</v>
      </c>
      <c r="B463" s="2">
        <v>48852</v>
      </c>
      <c r="C463" s="2" t="s">
        <v>619</v>
      </c>
      <c r="D463" s="2" t="s">
        <v>620</v>
      </c>
      <c r="E463" s="2" t="s">
        <v>3623</v>
      </c>
      <c r="F463" s="2">
        <v>24234818</v>
      </c>
      <c r="G463" s="3">
        <v>36.654794520547945</v>
      </c>
      <c r="H463" s="2" t="s">
        <v>622</v>
      </c>
      <c r="I463" s="2" t="s">
        <v>3624</v>
      </c>
      <c r="J463" s="2" t="str">
        <f>+IF(BD[[#This Row],[DEPARTAMENTO_INSS]]="MANAGUA","_01_","_02_")</f>
        <v>_02_</v>
      </c>
      <c r="K463" s="2" t="str">
        <f>+CONCATENATE(BD[[#This Row],[Columna3]],BD[[#This Row],[Columna4]],BD[[#This Row],[NOMBRE COMPLETO]])</f>
        <v>E003_02_MARIELYS MASSIEL JIRON SIU</v>
      </c>
      <c r="L463" s="2" t="s">
        <v>3625</v>
      </c>
      <c r="M463" s="2" t="s">
        <v>2529</v>
      </c>
      <c r="N463" s="2" t="s">
        <v>349</v>
      </c>
      <c r="O463" s="2" t="s">
        <v>3626</v>
      </c>
      <c r="P463" s="2" t="s">
        <v>626</v>
      </c>
      <c r="Q463" s="2" t="s">
        <v>351</v>
      </c>
      <c r="R463" s="2">
        <v>31417</v>
      </c>
      <c r="S463" s="2">
        <v>31417</v>
      </c>
      <c r="T463" s="2" t="s">
        <v>1044</v>
      </c>
      <c r="U463" s="2" t="s">
        <v>1044</v>
      </c>
      <c r="V463" s="2" t="s">
        <v>1838</v>
      </c>
      <c r="W463" s="2" t="s">
        <v>1838</v>
      </c>
      <c r="X463" s="2" t="s">
        <v>3627</v>
      </c>
      <c r="Y463" s="2" t="s">
        <v>3628</v>
      </c>
      <c r="AA463" s="2">
        <v>88414947</v>
      </c>
      <c r="AB463" s="2" t="s">
        <v>654</v>
      </c>
      <c r="AC463" s="2" t="s">
        <v>632</v>
      </c>
      <c r="AD463" s="2">
        <v>88414947</v>
      </c>
      <c r="AJ463" s="2">
        <v>88414947</v>
      </c>
      <c r="AK463" s="2">
        <v>1</v>
      </c>
      <c r="AL463" s="2" t="s">
        <v>633</v>
      </c>
      <c r="AM463" s="2">
        <v>0</v>
      </c>
      <c r="AN463" s="2">
        <v>0</v>
      </c>
      <c r="AO463" s="2">
        <v>1</v>
      </c>
      <c r="AP463" s="2">
        <v>0</v>
      </c>
      <c r="AQ463" s="2">
        <v>0</v>
      </c>
      <c r="AR463" s="2">
        <v>0</v>
      </c>
      <c r="AS463" s="2">
        <v>0</v>
      </c>
      <c r="AT463" s="2">
        <v>0</v>
      </c>
      <c r="BB463" s="2" t="str">
        <f>+PROPER(BD[[#This Row],[PRIMER_APELLIDO]])</f>
        <v>Jiron</v>
      </c>
    </row>
    <row r="464" spans="1:54" x14ac:dyDescent="0.25">
      <c r="A464" s="2">
        <v>463</v>
      </c>
      <c r="B464" s="2">
        <v>38914</v>
      </c>
      <c r="C464" s="2" t="s">
        <v>619</v>
      </c>
      <c r="D464" s="2" t="s">
        <v>620</v>
      </c>
      <c r="E464" s="2" t="s">
        <v>3629</v>
      </c>
      <c r="F464" s="2">
        <v>23113259</v>
      </c>
      <c r="G464" s="3">
        <v>36.660273972602738</v>
      </c>
      <c r="H464" s="2" t="s">
        <v>622</v>
      </c>
      <c r="I464" s="2" t="s">
        <v>3630</v>
      </c>
      <c r="J464" s="2" t="str">
        <f>+IF(BD[[#This Row],[DEPARTAMENTO_INSS]]="MANAGUA","_01_","_02_")</f>
        <v>_02_</v>
      </c>
      <c r="K464" s="2" t="str">
        <f>+CONCATENATE(BD[[#This Row],[Columna3]],BD[[#This Row],[Columna4]],BD[[#This Row],[NOMBRE COMPLETO]])</f>
        <v>E003_02_SANTEAGO DAVID LUMBI DUARTE</v>
      </c>
      <c r="L464" s="2" t="s">
        <v>3631</v>
      </c>
      <c r="M464" s="2" t="s">
        <v>916</v>
      </c>
      <c r="N464" s="2" t="s">
        <v>13</v>
      </c>
      <c r="O464" s="2" t="s">
        <v>117</v>
      </c>
      <c r="P464" s="2" t="s">
        <v>649</v>
      </c>
      <c r="Q464" s="2" t="s">
        <v>351</v>
      </c>
      <c r="R464" s="2">
        <v>31415</v>
      </c>
      <c r="S464" s="2">
        <v>31415</v>
      </c>
      <c r="T464" s="2" t="s">
        <v>929</v>
      </c>
      <c r="U464" s="2" t="s">
        <v>929</v>
      </c>
      <c r="V464" s="2" t="s">
        <v>1653</v>
      </c>
      <c r="W464" s="2" t="s">
        <v>1653</v>
      </c>
      <c r="X464" s="2" t="s">
        <v>3632</v>
      </c>
      <c r="Y464" s="2" t="s">
        <v>3633</v>
      </c>
      <c r="AA464" s="2" t="s">
        <v>3634</v>
      </c>
      <c r="AB464" s="2" t="s">
        <v>654</v>
      </c>
      <c r="AC464" s="2" t="s">
        <v>632</v>
      </c>
      <c r="AH464" s="2">
        <v>86576905</v>
      </c>
      <c r="AK464" s="2">
        <v>3</v>
      </c>
      <c r="AL464" s="2" t="s">
        <v>633</v>
      </c>
      <c r="AM464" s="2">
        <v>0</v>
      </c>
      <c r="AN464" s="2">
        <v>0</v>
      </c>
      <c r="AO464" s="2">
        <v>1</v>
      </c>
      <c r="AP464" s="2">
        <v>0</v>
      </c>
      <c r="AQ464" s="2">
        <v>0</v>
      </c>
      <c r="AR464" s="2">
        <v>0</v>
      </c>
      <c r="AS464" s="2">
        <v>0</v>
      </c>
      <c r="AT464" s="2">
        <v>0</v>
      </c>
      <c r="BB464" s="2" t="str">
        <f>+PROPER(BD[[#This Row],[PRIMER_APELLIDO]])</f>
        <v>Lumbi</v>
      </c>
    </row>
    <row r="465" spans="1:54" x14ac:dyDescent="0.25">
      <c r="A465" s="2">
        <v>464</v>
      </c>
      <c r="B465" s="2">
        <v>31842</v>
      </c>
      <c r="C465" s="2" t="s">
        <v>619</v>
      </c>
      <c r="D465" s="2" t="s">
        <v>620</v>
      </c>
      <c r="E465" s="2" t="s">
        <v>3635</v>
      </c>
      <c r="F465" s="2">
        <v>21672570</v>
      </c>
      <c r="G465" s="3">
        <v>36.663013698630138</v>
      </c>
      <c r="H465" s="2" t="s">
        <v>622</v>
      </c>
      <c r="I465" s="2" t="s">
        <v>3636</v>
      </c>
      <c r="J465" s="2" t="str">
        <f>+IF(BD[[#This Row],[DEPARTAMENTO_INSS]]="MANAGUA","_01_","_02_")</f>
        <v>_02_</v>
      </c>
      <c r="K465" s="2" t="str">
        <f>+CONCATENATE(BD[[#This Row],[Columna3]],BD[[#This Row],[Columna4]],BD[[#This Row],[NOMBRE COMPLETO]])</f>
        <v>E003_02_MARGARITA DE LOS ANGELES BALTODANO MARTINEZ</v>
      </c>
      <c r="L465" s="2" t="s">
        <v>937</v>
      </c>
      <c r="M465" s="2" t="s">
        <v>683</v>
      </c>
      <c r="N465" s="2" t="s">
        <v>112</v>
      </c>
      <c r="O465" s="2" t="s">
        <v>44</v>
      </c>
      <c r="P465" s="2" t="s">
        <v>626</v>
      </c>
      <c r="Q465" s="2" t="s">
        <v>351</v>
      </c>
      <c r="R465" s="2">
        <v>31414</v>
      </c>
      <c r="S465" s="2">
        <v>31414</v>
      </c>
      <c r="T465" s="2" t="s">
        <v>176</v>
      </c>
      <c r="U465" s="2" t="s">
        <v>176</v>
      </c>
      <c r="V465" s="2" t="s">
        <v>997</v>
      </c>
      <c r="W465" s="2" t="s">
        <v>997</v>
      </c>
      <c r="X465" s="2" t="s">
        <v>3637</v>
      </c>
      <c r="Y465" s="2" t="s">
        <v>3638</v>
      </c>
      <c r="AA465" s="2">
        <v>86232596</v>
      </c>
      <c r="AB465" s="2" t="s">
        <v>642</v>
      </c>
      <c r="AC465" s="2" t="s">
        <v>632</v>
      </c>
      <c r="AD465" s="2">
        <v>86232596</v>
      </c>
      <c r="AJ465" s="2">
        <v>86232596</v>
      </c>
      <c r="AK465" s="2">
        <v>1</v>
      </c>
      <c r="AL465" s="2" t="s">
        <v>633</v>
      </c>
      <c r="AM465" s="2">
        <v>0</v>
      </c>
      <c r="AN465" s="2">
        <v>0</v>
      </c>
      <c r="AO465" s="2">
        <v>1</v>
      </c>
      <c r="AP465" s="2">
        <v>0</v>
      </c>
      <c r="AQ465" s="2">
        <v>0</v>
      </c>
      <c r="AR465" s="2">
        <v>0</v>
      </c>
      <c r="AS465" s="2">
        <v>0</v>
      </c>
      <c r="AT465" s="2">
        <v>0</v>
      </c>
      <c r="BB465" s="2" t="str">
        <f>+PROPER(BD[[#This Row],[PRIMER_APELLIDO]])</f>
        <v>Baltodano</v>
      </c>
    </row>
    <row r="466" spans="1:54" x14ac:dyDescent="0.25">
      <c r="A466" s="2">
        <v>465</v>
      </c>
      <c r="B466" s="2">
        <v>68399</v>
      </c>
      <c r="C466" s="2" t="s">
        <v>619</v>
      </c>
      <c r="D466" s="2" t="s">
        <v>620</v>
      </c>
      <c r="E466" s="2" t="s">
        <v>3639</v>
      </c>
      <c r="G466" s="3">
        <v>36.665753424657531</v>
      </c>
      <c r="H466" s="2" t="s">
        <v>622</v>
      </c>
      <c r="I466" s="2" t="s">
        <v>3640</v>
      </c>
      <c r="J466" s="2" t="str">
        <f>+IF(BD[[#This Row],[DEPARTAMENTO_INSS]]="MANAGUA","_01_","_02_")</f>
        <v>_02_</v>
      </c>
      <c r="K466" s="2" t="str">
        <f>+CONCATENATE(BD[[#This Row],[Columna3]],BD[[#This Row],[Columna4]],BD[[#This Row],[NOMBRE COMPLETO]])</f>
        <v>E003_02_WILLIAM JAVIER MEDINA GARCIA</v>
      </c>
      <c r="L466" s="2" t="s">
        <v>3641</v>
      </c>
      <c r="M466" s="2" t="s">
        <v>975</v>
      </c>
      <c r="N466" s="2" t="s">
        <v>104</v>
      </c>
      <c r="O466" s="2" t="s">
        <v>10</v>
      </c>
      <c r="P466" s="2" t="s">
        <v>649</v>
      </c>
      <c r="Q466" s="2" t="s">
        <v>351</v>
      </c>
      <c r="R466" s="2">
        <v>31413</v>
      </c>
      <c r="S466" s="2">
        <v>31413</v>
      </c>
      <c r="T466" s="2" t="s">
        <v>705</v>
      </c>
      <c r="U466" s="2" t="s">
        <v>705</v>
      </c>
      <c r="V466" s="2" t="s">
        <v>725</v>
      </c>
      <c r="W466" s="2" t="s">
        <v>725</v>
      </c>
      <c r="X466" s="2" t="s">
        <v>3642</v>
      </c>
      <c r="Y466" s="2" t="s">
        <v>3643</v>
      </c>
      <c r="Z466" s="2">
        <v>83955002</v>
      </c>
      <c r="AA466" s="2">
        <v>83955002</v>
      </c>
      <c r="AB466" s="2" t="s">
        <v>654</v>
      </c>
      <c r="AC466" s="2" t="s">
        <v>632</v>
      </c>
      <c r="AD466" s="2">
        <v>83955002</v>
      </c>
      <c r="AJ466" s="2">
        <v>83955002</v>
      </c>
      <c r="AK466" s="2">
        <v>2</v>
      </c>
      <c r="AL466" s="2" t="s">
        <v>633</v>
      </c>
      <c r="AM466" s="2">
        <v>0</v>
      </c>
      <c r="AN466" s="2">
        <v>0</v>
      </c>
      <c r="AO466" s="2">
        <v>1</v>
      </c>
      <c r="AP466" s="2">
        <v>0</v>
      </c>
      <c r="AQ466" s="2">
        <v>0</v>
      </c>
      <c r="AR466" s="2">
        <v>0</v>
      </c>
      <c r="AS466" s="2">
        <v>0</v>
      </c>
      <c r="AT466" s="2">
        <v>0</v>
      </c>
      <c r="AZ466" s="2" t="s">
        <v>2843</v>
      </c>
      <c r="BB466" s="2" t="str">
        <f>+PROPER(BD[[#This Row],[PRIMER_APELLIDO]])</f>
        <v>Medina</v>
      </c>
    </row>
    <row r="467" spans="1:54" x14ac:dyDescent="0.25">
      <c r="A467" s="2">
        <v>466</v>
      </c>
      <c r="B467" s="2">
        <v>56989</v>
      </c>
      <c r="C467" s="2" t="s">
        <v>619</v>
      </c>
      <c r="D467" s="2" t="s">
        <v>620</v>
      </c>
      <c r="E467" s="2" t="s">
        <v>3644</v>
      </c>
      <c r="G467" s="3">
        <v>36.668493150684931</v>
      </c>
      <c r="H467" s="2" t="s">
        <v>622</v>
      </c>
      <c r="I467" s="2" t="s">
        <v>3645</v>
      </c>
      <c r="J467" s="2" t="str">
        <f>+IF(BD[[#This Row],[DEPARTAMENTO_INSS]]="MANAGUA","_01_","_02_")</f>
        <v>_02_</v>
      </c>
      <c r="K467" s="2" t="str">
        <f>+CONCATENATE(BD[[#This Row],[Columna3]],BD[[#This Row],[Columna4]],BD[[#This Row],[NOMBRE COMPLETO]])</f>
        <v>E003_02_MARIA GISSELL GOMEZ GUZMAN</v>
      </c>
      <c r="L467" s="2" t="s">
        <v>724</v>
      </c>
      <c r="M467" s="2" t="s">
        <v>3646</v>
      </c>
      <c r="N467" s="2" t="s">
        <v>43</v>
      </c>
      <c r="O467" s="2" t="s">
        <v>3647</v>
      </c>
      <c r="P467" s="2" t="s">
        <v>626</v>
      </c>
      <c r="Q467" s="2" t="s">
        <v>351</v>
      </c>
      <c r="R467" s="2">
        <v>31412</v>
      </c>
      <c r="S467" s="2">
        <v>31412</v>
      </c>
      <c r="T467" s="2" t="s">
        <v>669</v>
      </c>
      <c r="U467" s="2" t="s">
        <v>669</v>
      </c>
      <c r="V467" s="2" t="s">
        <v>670</v>
      </c>
      <c r="W467" s="2" t="s">
        <v>670</v>
      </c>
      <c r="X467" s="2" t="s">
        <v>3648</v>
      </c>
      <c r="Y467" s="2" t="s">
        <v>3649</v>
      </c>
      <c r="Z467" s="2">
        <v>84418754</v>
      </c>
      <c r="AA467" s="2">
        <v>89194931</v>
      </c>
      <c r="AB467" s="2" t="s">
        <v>631</v>
      </c>
      <c r="AC467" s="2" t="s">
        <v>632</v>
      </c>
      <c r="AD467" s="2">
        <v>84418754</v>
      </c>
      <c r="AF467" s="2">
        <v>89194931</v>
      </c>
      <c r="AJ467" s="2">
        <v>84418754</v>
      </c>
      <c r="AK467" s="2">
        <v>2</v>
      </c>
      <c r="AL467" s="2" t="s">
        <v>633</v>
      </c>
      <c r="AM467" s="2">
        <v>0</v>
      </c>
      <c r="AN467" s="2">
        <v>0</v>
      </c>
      <c r="AO467" s="2">
        <v>1</v>
      </c>
      <c r="AP467" s="2">
        <v>0</v>
      </c>
      <c r="AQ467" s="2">
        <v>0</v>
      </c>
      <c r="AR467" s="2">
        <v>0</v>
      </c>
      <c r="AS467" s="2">
        <v>0</v>
      </c>
      <c r="AT467" s="2">
        <v>0</v>
      </c>
      <c r="AZ467" s="2" t="s">
        <v>3650</v>
      </c>
      <c r="BB467" s="2" t="str">
        <f>+PROPER(BD[[#This Row],[PRIMER_APELLIDO]])</f>
        <v>Gomez</v>
      </c>
    </row>
    <row r="468" spans="1:54" x14ac:dyDescent="0.25">
      <c r="A468" s="2">
        <v>467</v>
      </c>
      <c r="B468" s="2">
        <v>35508</v>
      </c>
      <c r="C468" s="2" t="s">
        <v>619</v>
      </c>
      <c r="D468" s="2" t="s">
        <v>620</v>
      </c>
      <c r="E468" s="2" t="s">
        <v>3651</v>
      </c>
      <c r="F468" s="2">
        <v>22230283</v>
      </c>
      <c r="G468" s="3">
        <v>36.671232876712331</v>
      </c>
      <c r="H468" s="2" t="s">
        <v>622</v>
      </c>
      <c r="I468" s="2" t="s">
        <v>3652</v>
      </c>
      <c r="J468" s="2" t="str">
        <f>+IF(BD[[#This Row],[DEPARTAMENTO_INSS]]="MANAGUA","_01_","_02_")</f>
        <v>_02_</v>
      </c>
      <c r="K468" s="2" t="str">
        <f>+CONCATENATE(BD[[#This Row],[Columna3]],BD[[#This Row],[Columna4]],BD[[#This Row],[NOMBRE COMPLETO]])</f>
        <v>E003_02_DAMARIS SUSANA PRADO ESTRADA</v>
      </c>
      <c r="L468" s="2" t="s">
        <v>3653</v>
      </c>
      <c r="M468" s="2" t="s">
        <v>3654</v>
      </c>
      <c r="N468" s="2" t="s">
        <v>369</v>
      </c>
      <c r="O468" s="2" t="s">
        <v>225</v>
      </c>
      <c r="P468" s="2" t="s">
        <v>626</v>
      </c>
      <c r="Q468" s="2" t="s">
        <v>351</v>
      </c>
      <c r="R468" s="2">
        <v>31411</v>
      </c>
      <c r="S468" s="2">
        <v>31411</v>
      </c>
      <c r="T468" s="2" t="s">
        <v>176</v>
      </c>
      <c r="U468" s="2" t="s">
        <v>176</v>
      </c>
      <c r="V468" s="2" t="s">
        <v>650</v>
      </c>
      <c r="W468" s="2" t="s">
        <v>176</v>
      </c>
      <c r="X468" s="2" t="s">
        <v>3655</v>
      </c>
      <c r="Y468" s="2" t="s">
        <v>3656</v>
      </c>
      <c r="Z468" s="2">
        <v>86572260</v>
      </c>
      <c r="AA468" s="2">
        <v>86572260</v>
      </c>
      <c r="AB468" s="2" t="s">
        <v>642</v>
      </c>
      <c r="AC468" s="2" t="s">
        <v>632</v>
      </c>
      <c r="AD468" s="2">
        <v>86572260</v>
      </c>
      <c r="AJ468" s="2">
        <v>86572260</v>
      </c>
      <c r="AK468" s="2">
        <v>2</v>
      </c>
      <c r="AL468" s="2" t="s">
        <v>633</v>
      </c>
      <c r="AM468" s="2">
        <v>0</v>
      </c>
      <c r="AN468" s="2">
        <v>0</v>
      </c>
      <c r="AO468" s="2">
        <v>1</v>
      </c>
      <c r="AP468" s="2">
        <v>0</v>
      </c>
      <c r="AQ468" s="2">
        <v>0</v>
      </c>
      <c r="AR468" s="2">
        <v>0</v>
      </c>
      <c r="AS468" s="2">
        <v>0</v>
      </c>
      <c r="AT468" s="2">
        <v>0</v>
      </c>
      <c r="AZ468" s="2" t="s">
        <v>3657</v>
      </c>
      <c r="BB468" s="2" t="str">
        <f>+PROPER(BD[[#This Row],[PRIMER_APELLIDO]])</f>
        <v>Prado</v>
      </c>
    </row>
    <row r="469" spans="1:54" x14ac:dyDescent="0.25">
      <c r="A469" s="2">
        <v>468</v>
      </c>
      <c r="B469" s="2">
        <v>54435</v>
      </c>
      <c r="C469" s="2" t="s">
        <v>619</v>
      </c>
      <c r="D469" s="2" t="s">
        <v>620</v>
      </c>
      <c r="E469" s="2" t="s">
        <v>3658</v>
      </c>
      <c r="G469" s="3">
        <v>36.676712328767124</v>
      </c>
      <c r="H469" s="2" t="s">
        <v>622</v>
      </c>
      <c r="I469" s="2" t="s">
        <v>3659</v>
      </c>
      <c r="J469" s="2" t="str">
        <f>+IF(BD[[#This Row],[DEPARTAMENTO_INSS]]="MANAGUA","_01_","_02_")</f>
        <v>_02_</v>
      </c>
      <c r="K469" s="2" t="str">
        <f>+CONCATENATE(BD[[#This Row],[Columna3]],BD[[#This Row],[Columna4]],BD[[#This Row],[NOMBRE COMPLETO]])</f>
        <v>E003_02_MARLON DE JESUS ARROLIGA ESPINOZA</v>
      </c>
      <c r="L469" s="2" t="s">
        <v>793</v>
      </c>
      <c r="M469" s="2" t="s">
        <v>2551</v>
      </c>
      <c r="N469" s="2" t="s">
        <v>87</v>
      </c>
      <c r="O469" s="2" t="s">
        <v>235</v>
      </c>
      <c r="P469" s="2" t="s">
        <v>649</v>
      </c>
      <c r="Q469" s="2" t="s">
        <v>351</v>
      </c>
      <c r="R469" s="2">
        <v>31409</v>
      </c>
      <c r="S469" s="2">
        <v>31409</v>
      </c>
      <c r="T469" s="2" t="s">
        <v>133</v>
      </c>
      <c r="U469" s="2" t="s">
        <v>133</v>
      </c>
      <c r="V469" s="2" t="s">
        <v>870</v>
      </c>
      <c r="W469" s="2" t="s">
        <v>870</v>
      </c>
      <c r="X469" s="2" t="s">
        <v>3660</v>
      </c>
      <c r="Y469" s="2" t="s">
        <v>3661</v>
      </c>
      <c r="Z469" s="2">
        <v>58851589</v>
      </c>
      <c r="AB469" s="2" t="s">
        <v>654</v>
      </c>
      <c r="AC469" s="2" t="s">
        <v>632</v>
      </c>
      <c r="AD469" s="2">
        <v>58851589</v>
      </c>
      <c r="AJ469" s="2">
        <v>58851589</v>
      </c>
      <c r="AK469" s="2">
        <v>1</v>
      </c>
      <c r="AL469" s="2" t="s">
        <v>633</v>
      </c>
      <c r="AM469" s="2">
        <v>0</v>
      </c>
      <c r="AN469" s="2">
        <v>0</v>
      </c>
      <c r="AO469" s="2">
        <v>1</v>
      </c>
      <c r="AP469" s="2">
        <v>0</v>
      </c>
      <c r="AQ469" s="2">
        <v>0</v>
      </c>
      <c r="AR469" s="2">
        <v>0</v>
      </c>
      <c r="AS469" s="2">
        <v>0</v>
      </c>
      <c r="AT469" s="2">
        <v>0</v>
      </c>
      <c r="AZ469" s="2" t="s">
        <v>3662</v>
      </c>
      <c r="BB469" s="2" t="str">
        <f>+PROPER(BD[[#This Row],[PRIMER_APELLIDO]])</f>
        <v>Arroliga</v>
      </c>
    </row>
    <row r="470" spans="1:54" x14ac:dyDescent="0.25">
      <c r="A470" s="2">
        <v>469</v>
      </c>
      <c r="B470" s="2">
        <v>45073</v>
      </c>
      <c r="C470" s="2" t="s">
        <v>619</v>
      </c>
      <c r="D470" s="2" t="s">
        <v>620</v>
      </c>
      <c r="E470" s="2" t="s">
        <v>3663</v>
      </c>
      <c r="F470" s="2">
        <v>24233925</v>
      </c>
      <c r="G470" s="3">
        <v>36.69041095890411</v>
      </c>
      <c r="H470" s="2" t="s">
        <v>622</v>
      </c>
      <c r="I470" s="2" t="s">
        <v>3664</v>
      </c>
      <c r="J470" s="2" t="str">
        <f>+IF(BD[[#This Row],[DEPARTAMENTO_INSS]]="MANAGUA","_01_","_02_")</f>
        <v>_02_</v>
      </c>
      <c r="K470" s="2" t="str">
        <f>+CONCATENATE(BD[[#This Row],[Columna3]],BD[[#This Row],[Columna4]],BD[[#This Row],[NOMBRE COMPLETO]])</f>
        <v>E003_02_YESICA YANIRA ARBIZU MORALES</v>
      </c>
      <c r="L470" s="2" t="s">
        <v>3665</v>
      </c>
      <c r="M470" s="2" t="s">
        <v>2209</v>
      </c>
      <c r="N470" s="2" t="s">
        <v>300</v>
      </c>
      <c r="O470" s="2" t="s">
        <v>82</v>
      </c>
      <c r="P470" s="2" t="s">
        <v>626</v>
      </c>
      <c r="Q470" s="2" t="s">
        <v>351</v>
      </c>
      <c r="R470" s="2">
        <v>31404</v>
      </c>
      <c r="S470" s="2">
        <v>31404</v>
      </c>
      <c r="T470" s="2" t="s">
        <v>176</v>
      </c>
      <c r="U470" s="2" t="s">
        <v>176</v>
      </c>
      <c r="V470" s="2" t="s">
        <v>650</v>
      </c>
      <c r="W470" s="2" t="s">
        <v>176</v>
      </c>
      <c r="X470" s="2" t="s">
        <v>3666</v>
      </c>
      <c r="Y470" s="2" t="s">
        <v>3667</v>
      </c>
      <c r="AA470" s="2">
        <v>84328524</v>
      </c>
      <c r="AB470" s="2" t="s">
        <v>642</v>
      </c>
      <c r="AC470" s="2" t="s">
        <v>632</v>
      </c>
      <c r="AD470" s="2">
        <v>84328524</v>
      </c>
      <c r="AJ470" s="2">
        <v>84328524</v>
      </c>
      <c r="AK470" s="2">
        <v>1</v>
      </c>
      <c r="AL470" s="2" t="s">
        <v>633</v>
      </c>
      <c r="AM470" s="2">
        <v>0</v>
      </c>
      <c r="AN470" s="2">
        <v>0</v>
      </c>
      <c r="AO470" s="2">
        <v>1</v>
      </c>
      <c r="AP470" s="2">
        <v>0</v>
      </c>
      <c r="AQ470" s="2">
        <v>0</v>
      </c>
      <c r="AR470" s="2">
        <v>0</v>
      </c>
      <c r="AS470" s="2">
        <v>0</v>
      </c>
      <c r="AT470" s="2">
        <v>0</v>
      </c>
      <c r="BA470" s="2" t="s">
        <v>3668</v>
      </c>
      <c r="BB470" s="2" t="str">
        <f>+PROPER(BD[[#This Row],[PRIMER_APELLIDO]])</f>
        <v>Arbizu</v>
      </c>
    </row>
    <row r="471" spans="1:54" x14ac:dyDescent="0.25">
      <c r="A471" s="2">
        <v>470</v>
      </c>
      <c r="B471" s="2">
        <v>48403</v>
      </c>
      <c r="C471" s="2" t="s">
        <v>619</v>
      </c>
      <c r="D471" s="2" t="s">
        <v>620</v>
      </c>
      <c r="E471" s="2" t="s">
        <v>3669</v>
      </c>
      <c r="F471" s="2">
        <v>25623501</v>
      </c>
      <c r="G471" s="3">
        <v>36.69041095890411</v>
      </c>
      <c r="H471" s="2" t="s">
        <v>622</v>
      </c>
      <c r="I471" s="2" t="s">
        <v>3670</v>
      </c>
      <c r="J471" s="2" t="str">
        <f>+IF(BD[[#This Row],[DEPARTAMENTO_INSS]]="MANAGUA","_01_","_02_")</f>
        <v>_02_</v>
      </c>
      <c r="K471" s="2" t="str">
        <f>+CONCATENATE(BD[[#This Row],[Columna3]],BD[[#This Row],[Columna4]],BD[[#This Row],[NOMBRE COMPLETO]])</f>
        <v>E003_02_WILBER JOSE PRAVIA HERNANDEZ</v>
      </c>
      <c r="L471" s="2" t="s">
        <v>3671</v>
      </c>
      <c r="M471" s="2" t="s">
        <v>243</v>
      </c>
      <c r="N471" s="2" t="s">
        <v>256</v>
      </c>
      <c r="O471" s="2" t="s">
        <v>11</v>
      </c>
      <c r="P471" s="2" t="s">
        <v>649</v>
      </c>
      <c r="Q471" s="2" t="s">
        <v>351</v>
      </c>
      <c r="R471" s="2">
        <v>31404</v>
      </c>
      <c r="S471" s="2">
        <v>31404</v>
      </c>
      <c r="T471" s="2" t="s">
        <v>176</v>
      </c>
      <c r="U471" s="2" t="s">
        <v>176</v>
      </c>
      <c r="V471" s="2" t="s">
        <v>650</v>
      </c>
      <c r="W471" s="2" t="s">
        <v>176</v>
      </c>
      <c r="X471" s="2" t="s">
        <v>3672</v>
      </c>
      <c r="Y471" s="2" t="s">
        <v>3673</v>
      </c>
      <c r="Z471" s="2">
        <v>84048421</v>
      </c>
      <c r="AA471" s="2" t="s">
        <v>3674</v>
      </c>
      <c r="AB471" s="2" t="s">
        <v>654</v>
      </c>
      <c r="AC471" s="2" t="s">
        <v>632</v>
      </c>
      <c r="AD471" s="2">
        <v>84048421</v>
      </c>
      <c r="AE471" s="2">
        <v>89159520</v>
      </c>
      <c r="AJ471" s="2">
        <v>84048421</v>
      </c>
      <c r="AK471" s="2">
        <v>3</v>
      </c>
      <c r="AL471" s="2" t="s">
        <v>633</v>
      </c>
      <c r="AM471" s="2">
        <v>0</v>
      </c>
      <c r="AN471" s="2">
        <v>0</v>
      </c>
      <c r="AO471" s="2">
        <v>1</v>
      </c>
      <c r="AP471" s="2">
        <v>0</v>
      </c>
      <c r="AQ471" s="2">
        <v>0</v>
      </c>
      <c r="AR471" s="2">
        <v>0</v>
      </c>
      <c r="AS471" s="2">
        <v>0</v>
      </c>
      <c r="AT471" s="2">
        <v>0</v>
      </c>
      <c r="AZ471" s="2" t="s">
        <v>3675</v>
      </c>
      <c r="BB471" s="2" t="str">
        <f>+PROPER(BD[[#This Row],[PRIMER_APELLIDO]])</f>
        <v>Pravia</v>
      </c>
    </row>
    <row r="472" spans="1:54" x14ac:dyDescent="0.25">
      <c r="A472" s="2">
        <v>471</v>
      </c>
      <c r="B472" s="2">
        <v>54201</v>
      </c>
      <c r="C472" s="2" t="s">
        <v>619</v>
      </c>
      <c r="D472" s="2" t="s">
        <v>620</v>
      </c>
      <c r="E472" s="2" t="s">
        <v>3676</v>
      </c>
      <c r="G472" s="3">
        <v>36.69315068493151</v>
      </c>
      <c r="H472" s="2" t="s">
        <v>622</v>
      </c>
      <c r="I472" s="2" t="s">
        <v>3677</v>
      </c>
      <c r="J472" s="2" t="str">
        <f>+IF(BD[[#This Row],[DEPARTAMENTO_INSS]]="MANAGUA","_01_","_02_")</f>
        <v>_02_</v>
      </c>
      <c r="K472" s="2" t="str">
        <f>+CONCATENATE(BD[[#This Row],[Columna3]],BD[[#This Row],[Columna4]],BD[[#This Row],[NOMBRE COMPLETO]])</f>
        <v>E003_02_GERALD STEVE MORALES ZELAYA</v>
      </c>
      <c r="L472" s="2" t="s">
        <v>2247</v>
      </c>
      <c r="M472" s="2" t="s">
        <v>1711</v>
      </c>
      <c r="N472" s="2" t="s">
        <v>82</v>
      </c>
      <c r="O472" s="2" t="s">
        <v>72</v>
      </c>
      <c r="P472" s="2" t="s">
        <v>649</v>
      </c>
      <c r="Q472" s="2" t="s">
        <v>351</v>
      </c>
      <c r="R472" s="2">
        <v>31403</v>
      </c>
      <c r="S472" s="2">
        <v>31403</v>
      </c>
      <c r="T472" s="2" t="s">
        <v>176</v>
      </c>
      <c r="U472" s="2" t="s">
        <v>1005</v>
      </c>
      <c r="V472" s="2" t="s">
        <v>650</v>
      </c>
      <c r="W472" s="2" t="s">
        <v>1006</v>
      </c>
      <c r="X472" s="2" t="s">
        <v>3678</v>
      </c>
      <c r="Y472" s="2" t="s">
        <v>3679</v>
      </c>
      <c r="Z472" s="2">
        <v>85146100</v>
      </c>
      <c r="AA472" s="2">
        <v>85146100</v>
      </c>
      <c r="AB472" s="2" t="s">
        <v>654</v>
      </c>
      <c r="AC472" s="2" t="s">
        <v>632</v>
      </c>
      <c r="AD472" s="2">
        <v>85146100</v>
      </c>
      <c r="AJ472" s="2">
        <v>85146100</v>
      </c>
      <c r="AK472" s="2">
        <v>2</v>
      </c>
      <c r="AL472" s="2" t="s">
        <v>633</v>
      </c>
      <c r="AM472" s="2">
        <v>0</v>
      </c>
      <c r="AN472" s="2">
        <v>0</v>
      </c>
      <c r="AO472" s="2">
        <v>1</v>
      </c>
      <c r="AP472" s="2">
        <v>0</v>
      </c>
      <c r="AQ472" s="2">
        <v>0</v>
      </c>
      <c r="AR472" s="2">
        <v>0</v>
      </c>
      <c r="AS472" s="2">
        <v>0</v>
      </c>
      <c r="AT472" s="2">
        <v>0</v>
      </c>
      <c r="AZ472" s="2" t="s">
        <v>3680</v>
      </c>
      <c r="BB472" s="2" t="str">
        <f>+PROPER(BD[[#This Row],[PRIMER_APELLIDO]])</f>
        <v>Morales</v>
      </c>
    </row>
    <row r="473" spans="1:54" x14ac:dyDescent="0.25">
      <c r="A473" s="2">
        <v>472</v>
      </c>
      <c r="B473" s="2">
        <v>47294</v>
      </c>
      <c r="C473" s="2" t="s">
        <v>619</v>
      </c>
      <c r="D473" s="2" t="s">
        <v>620</v>
      </c>
      <c r="E473" s="2" t="s">
        <v>3681</v>
      </c>
      <c r="G473" s="3">
        <v>36.698630136986303</v>
      </c>
      <c r="H473" s="2" t="s">
        <v>622</v>
      </c>
      <c r="I473" s="2" t="s">
        <v>3682</v>
      </c>
      <c r="J473" s="2" t="str">
        <f>+IF(BD[[#This Row],[DEPARTAMENTO_INSS]]="MANAGUA","_01_","_02_")</f>
        <v>_02_</v>
      </c>
      <c r="K473" s="2" t="str">
        <f>+CONCATENATE(BD[[#This Row],[Columna3]],BD[[#This Row],[Columna4]],BD[[#This Row],[NOMBRE COMPLETO]])</f>
        <v>E003_02_DOMINGA MARBELLY ARCEDAS RAMIREZ</v>
      </c>
      <c r="L473" s="2" t="s">
        <v>3683</v>
      </c>
      <c r="M473" s="2" t="s">
        <v>2563</v>
      </c>
      <c r="N473" s="2" t="s">
        <v>409</v>
      </c>
      <c r="O473" s="2" t="s">
        <v>38</v>
      </c>
      <c r="P473" s="2" t="s">
        <v>626</v>
      </c>
      <c r="Q473" s="2" t="s">
        <v>351</v>
      </c>
      <c r="R473" s="2">
        <v>31401</v>
      </c>
      <c r="S473" s="2">
        <v>31401</v>
      </c>
      <c r="T473" s="2" t="s">
        <v>780</v>
      </c>
      <c r="U473" s="2" t="s">
        <v>780</v>
      </c>
      <c r="V473" s="2" t="s">
        <v>794</v>
      </c>
      <c r="W473" s="2" t="s">
        <v>795</v>
      </c>
      <c r="X473" s="2" t="s">
        <v>3684</v>
      </c>
      <c r="Y473" s="2" t="s">
        <v>3685</v>
      </c>
      <c r="Z473" s="2">
        <v>88437031</v>
      </c>
      <c r="AA473" s="2">
        <v>88437031</v>
      </c>
      <c r="AB473" s="2" t="s">
        <v>631</v>
      </c>
      <c r="AC473" s="2" t="s">
        <v>632</v>
      </c>
      <c r="AD473" s="2">
        <v>88437031</v>
      </c>
      <c r="AJ473" s="2">
        <v>88437031</v>
      </c>
      <c r="AK473" s="2">
        <v>2</v>
      </c>
      <c r="AL473" s="2" t="s">
        <v>633</v>
      </c>
      <c r="AM473" s="2">
        <v>0</v>
      </c>
      <c r="AN473" s="2">
        <v>0</v>
      </c>
      <c r="AO473" s="2">
        <v>1</v>
      </c>
      <c r="AP473" s="2">
        <v>0</v>
      </c>
      <c r="AQ473" s="2">
        <v>0</v>
      </c>
      <c r="AR473" s="2">
        <v>0</v>
      </c>
      <c r="AS473" s="2">
        <v>0</v>
      </c>
      <c r="AT473" s="2">
        <v>0</v>
      </c>
      <c r="BB473" s="2" t="str">
        <f>+PROPER(BD[[#This Row],[PRIMER_APELLIDO]])</f>
        <v>Arcedas</v>
      </c>
    </row>
    <row r="474" spans="1:54" x14ac:dyDescent="0.25">
      <c r="A474" s="2">
        <v>473</v>
      </c>
      <c r="B474" s="2">
        <v>35846</v>
      </c>
      <c r="C474" s="2" t="s">
        <v>619</v>
      </c>
      <c r="D474" s="2" t="s">
        <v>620</v>
      </c>
      <c r="E474" s="2" t="s">
        <v>3686</v>
      </c>
      <c r="F474" s="2">
        <v>22155711</v>
      </c>
      <c r="G474" s="3">
        <v>36.704109589041096</v>
      </c>
      <c r="H474" s="2" t="s">
        <v>622</v>
      </c>
      <c r="I474" s="2" t="s">
        <v>3687</v>
      </c>
      <c r="J474" s="2" t="str">
        <f>+IF(BD[[#This Row],[DEPARTAMENTO_INSS]]="MANAGUA","_01_","_02_")</f>
        <v>_02_</v>
      </c>
      <c r="K474" s="2" t="str">
        <f>+CONCATENATE(BD[[#This Row],[Columna3]],BD[[#This Row],[Columna4]],BD[[#This Row],[NOMBRE COMPLETO]])</f>
        <v>E003_02_NERYS JOSUE SOLIS RUEDA</v>
      </c>
      <c r="L474" s="2" t="s">
        <v>3688</v>
      </c>
      <c r="M474" s="2" t="s">
        <v>1058</v>
      </c>
      <c r="N474" s="2" t="s">
        <v>111</v>
      </c>
      <c r="O474" s="2" t="s">
        <v>191</v>
      </c>
      <c r="P474" s="2" t="s">
        <v>649</v>
      </c>
      <c r="Q474" s="2" t="s">
        <v>351</v>
      </c>
      <c r="R474" s="2">
        <v>31399</v>
      </c>
      <c r="S474" s="2">
        <v>31399</v>
      </c>
      <c r="T474" s="2" t="s">
        <v>176</v>
      </c>
      <c r="U474" s="2" t="s">
        <v>176</v>
      </c>
      <c r="V474" s="2" t="s">
        <v>997</v>
      </c>
      <c r="W474" s="2" t="s">
        <v>997</v>
      </c>
      <c r="X474" s="2" t="s">
        <v>3689</v>
      </c>
      <c r="Y474" s="2" t="s">
        <v>3690</v>
      </c>
      <c r="AA474" s="2" t="s">
        <v>3691</v>
      </c>
      <c r="AB474" s="2" t="s">
        <v>654</v>
      </c>
      <c r="AC474" s="2" t="s">
        <v>632</v>
      </c>
      <c r="AE474" s="2">
        <v>83637182</v>
      </c>
      <c r="AJ474" s="2">
        <v>83637182</v>
      </c>
      <c r="AK474" s="2">
        <v>2</v>
      </c>
      <c r="AL474" s="2" t="s">
        <v>633</v>
      </c>
      <c r="AM474" s="2">
        <v>0</v>
      </c>
      <c r="AN474" s="2">
        <v>0</v>
      </c>
      <c r="AO474" s="2">
        <v>1</v>
      </c>
      <c r="AP474" s="2">
        <v>0</v>
      </c>
      <c r="AQ474" s="2">
        <v>0</v>
      </c>
      <c r="AR474" s="2">
        <v>0</v>
      </c>
      <c r="AS474" s="2">
        <v>0</v>
      </c>
      <c r="AT474" s="2">
        <v>0</v>
      </c>
      <c r="BA474" s="2" t="s">
        <v>3692</v>
      </c>
      <c r="BB474" s="2" t="str">
        <f>+PROPER(BD[[#This Row],[PRIMER_APELLIDO]])</f>
        <v>Solis</v>
      </c>
    </row>
    <row r="475" spans="1:54" x14ac:dyDescent="0.25">
      <c r="A475" s="2">
        <v>474</v>
      </c>
      <c r="B475" s="2">
        <v>37915</v>
      </c>
      <c r="C475" s="2" t="s">
        <v>619</v>
      </c>
      <c r="D475" s="2" t="s">
        <v>620</v>
      </c>
      <c r="E475" s="2" t="s">
        <v>3693</v>
      </c>
      <c r="F475" s="2">
        <v>15572695</v>
      </c>
      <c r="G475" s="3">
        <v>36.704109589041096</v>
      </c>
      <c r="H475" s="2" t="s">
        <v>622</v>
      </c>
      <c r="I475" s="2" t="s">
        <v>3694</v>
      </c>
      <c r="J475" s="2" t="str">
        <f>+IF(BD[[#This Row],[DEPARTAMENTO_INSS]]="MANAGUA","_01_","_02_")</f>
        <v>_02_</v>
      </c>
      <c r="K475" s="2" t="str">
        <f>+CONCATENATE(BD[[#This Row],[Columna3]],BD[[#This Row],[Columna4]],BD[[#This Row],[NOMBRE COMPLETO]])</f>
        <v>E003_02_ALEJANDRO ANTONIO CENTENO SUAREZ</v>
      </c>
      <c r="L475" s="2" t="s">
        <v>1554</v>
      </c>
      <c r="M475" s="2" t="s">
        <v>904</v>
      </c>
      <c r="N475" s="2" t="s">
        <v>116</v>
      </c>
      <c r="O475" s="2" t="s">
        <v>55</v>
      </c>
      <c r="P475" s="2" t="s">
        <v>649</v>
      </c>
      <c r="Q475" s="2" t="s">
        <v>351</v>
      </c>
      <c r="R475" s="2">
        <v>31399</v>
      </c>
      <c r="S475" s="2">
        <v>31399</v>
      </c>
      <c r="T475" s="2" t="s">
        <v>1005</v>
      </c>
      <c r="U475" s="2" t="s">
        <v>780</v>
      </c>
      <c r="V475" s="2" t="s">
        <v>2405</v>
      </c>
      <c r="W475" s="2" t="s">
        <v>2120</v>
      </c>
      <c r="X475" s="2" t="s">
        <v>3695</v>
      </c>
      <c r="Y475" s="2" t="s">
        <v>3696</v>
      </c>
      <c r="Z475" s="2">
        <v>57113900</v>
      </c>
      <c r="AB475" s="2" t="s">
        <v>798</v>
      </c>
      <c r="AC475" s="2" t="s">
        <v>632</v>
      </c>
      <c r="AD475" s="2">
        <v>57113900</v>
      </c>
      <c r="AJ475" s="2">
        <v>57113900</v>
      </c>
      <c r="AK475" s="2">
        <v>1</v>
      </c>
      <c r="AL475" s="2" t="s">
        <v>633</v>
      </c>
      <c r="AM475" s="2">
        <v>0</v>
      </c>
      <c r="AN475" s="2">
        <v>0</v>
      </c>
      <c r="AO475" s="2">
        <v>1</v>
      </c>
      <c r="AP475" s="2">
        <v>0</v>
      </c>
      <c r="AQ475" s="2">
        <v>0</v>
      </c>
      <c r="AR475" s="2">
        <v>0</v>
      </c>
      <c r="AS475" s="2">
        <v>0</v>
      </c>
      <c r="AT475" s="2">
        <v>0</v>
      </c>
      <c r="AZ475" s="2" t="s">
        <v>3697</v>
      </c>
      <c r="BB475" s="2" t="str">
        <f>+PROPER(BD[[#This Row],[PRIMER_APELLIDO]])</f>
        <v>Centeno</v>
      </c>
    </row>
    <row r="476" spans="1:54" x14ac:dyDescent="0.25">
      <c r="A476" s="2">
        <v>475</v>
      </c>
      <c r="B476" s="2">
        <v>40383</v>
      </c>
      <c r="C476" s="2" t="s">
        <v>619</v>
      </c>
      <c r="D476" s="2" t="s">
        <v>620</v>
      </c>
      <c r="E476" s="2" t="s">
        <v>3698</v>
      </c>
      <c r="F476" s="2">
        <v>23143340</v>
      </c>
      <c r="G476" s="3">
        <v>36.704109589041096</v>
      </c>
      <c r="H476" s="2" t="s">
        <v>622</v>
      </c>
      <c r="I476" s="2" t="s">
        <v>3699</v>
      </c>
      <c r="J476" s="2" t="str">
        <f>+IF(BD[[#This Row],[DEPARTAMENTO_INSS]]="MANAGUA","_01_","_02_")</f>
        <v>_02_</v>
      </c>
      <c r="K476" s="2" t="str">
        <f>+CONCATENATE(BD[[#This Row],[Columna3]],BD[[#This Row],[Columna4]],BD[[#This Row],[NOMBRE COMPLETO]])</f>
        <v>E003_02_MARIA HELENA REYES MEDRANO</v>
      </c>
      <c r="L476" s="2" t="s">
        <v>724</v>
      </c>
      <c r="M476" s="2" t="s">
        <v>3700</v>
      </c>
      <c r="N476" s="2" t="s">
        <v>74</v>
      </c>
      <c r="O476" s="2" t="s">
        <v>45</v>
      </c>
      <c r="P476" s="2" t="s">
        <v>626</v>
      </c>
      <c r="Q476" s="2" t="s">
        <v>351</v>
      </c>
      <c r="R476" s="2">
        <v>31399</v>
      </c>
      <c r="S476" s="2">
        <v>31399</v>
      </c>
      <c r="T476" s="2" t="s">
        <v>176</v>
      </c>
      <c r="U476" s="2" t="s">
        <v>176</v>
      </c>
      <c r="V476" s="2" t="s">
        <v>3701</v>
      </c>
      <c r="W476" s="2" t="s">
        <v>3701</v>
      </c>
      <c r="X476" s="2" t="s">
        <v>3702</v>
      </c>
      <c r="Y476" s="2" t="s">
        <v>3703</v>
      </c>
      <c r="Z476" s="2">
        <v>77844838</v>
      </c>
      <c r="AA476" s="2">
        <v>77844838</v>
      </c>
      <c r="AB476" s="2" t="s">
        <v>642</v>
      </c>
      <c r="AC476" s="2" t="s">
        <v>632</v>
      </c>
      <c r="AD476" s="2">
        <v>77844838</v>
      </c>
      <c r="AJ476" s="2">
        <v>77844838</v>
      </c>
      <c r="AK476" s="2">
        <v>2</v>
      </c>
      <c r="AL476" s="2" t="s">
        <v>633</v>
      </c>
      <c r="AM476" s="2">
        <v>0</v>
      </c>
      <c r="AN476" s="2">
        <v>0</v>
      </c>
      <c r="AO476" s="2">
        <v>1</v>
      </c>
      <c r="AP476" s="2">
        <v>0</v>
      </c>
      <c r="AQ476" s="2">
        <v>0</v>
      </c>
      <c r="AR476" s="2">
        <v>0</v>
      </c>
      <c r="AS476" s="2">
        <v>0</v>
      </c>
      <c r="AT476" s="2">
        <v>0</v>
      </c>
      <c r="BB476" s="2" t="str">
        <f>+PROPER(BD[[#This Row],[PRIMER_APELLIDO]])</f>
        <v>Reyes</v>
      </c>
    </row>
    <row r="477" spans="1:54" x14ac:dyDescent="0.25">
      <c r="A477" s="2">
        <v>476</v>
      </c>
      <c r="B477" s="2">
        <v>62703</v>
      </c>
      <c r="C477" s="2" t="s">
        <v>619</v>
      </c>
      <c r="D477" s="2" t="s">
        <v>620</v>
      </c>
      <c r="E477" s="2" t="s">
        <v>3704</v>
      </c>
      <c r="G477" s="3">
        <v>36.709589041095889</v>
      </c>
      <c r="H477" s="2" t="s">
        <v>622</v>
      </c>
      <c r="I477" s="2" t="s">
        <v>3705</v>
      </c>
      <c r="J477" s="2" t="str">
        <f>+IF(BD[[#This Row],[DEPARTAMENTO_INSS]]="MANAGUA","_01_","_02_")</f>
        <v>_02_</v>
      </c>
      <c r="K477" s="2" t="str">
        <f>+CONCATENATE(BD[[#This Row],[Columna3]],BD[[#This Row],[Columna4]],BD[[#This Row],[NOMBRE COMPLETO]])</f>
        <v>E003_02_MANUEL SALVADOR CRUZ SEQUEIRA</v>
      </c>
      <c r="L477" s="2" t="s">
        <v>648</v>
      </c>
      <c r="M477" s="2" t="s">
        <v>1103</v>
      </c>
      <c r="N477" s="2" t="s">
        <v>32</v>
      </c>
      <c r="O477" s="2" t="s">
        <v>348</v>
      </c>
      <c r="P477" s="2" t="s">
        <v>649</v>
      </c>
      <c r="Q477" s="2" t="s">
        <v>351</v>
      </c>
      <c r="R477" s="2">
        <v>31397</v>
      </c>
      <c r="S477" s="2">
        <v>31397</v>
      </c>
      <c r="T477" s="2" t="s">
        <v>176</v>
      </c>
      <c r="U477" s="2" t="s">
        <v>176</v>
      </c>
      <c r="V477" s="2" t="s">
        <v>650</v>
      </c>
      <c r="W477" s="2" t="s">
        <v>176</v>
      </c>
      <c r="X477" s="2" t="s">
        <v>3706</v>
      </c>
      <c r="Y477" s="2" t="s">
        <v>3707</v>
      </c>
      <c r="Z477" s="2">
        <v>58863030</v>
      </c>
      <c r="AA477" s="2" t="s">
        <v>3708</v>
      </c>
      <c r="AB477" s="2" t="s">
        <v>654</v>
      </c>
      <c r="AC477" s="2" t="s">
        <v>632</v>
      </c>
      <c r="AD477" s="2">
        <v>58863030</v>
      </c>
      <c r="AJ477" s="2">
        <v>58863030</v>
      </c>
      <c r="AK477" s="2">
        <v>3</v>
      </c>
      <c r="AL477" s="2" t="s">
        <v>633</v>
      </c>
      <c r="AM477" s="2">
        <v>0</v>
      </c>
      <c r="AN477" s="2">
        <v>0</v>
      </c>
      <c r="AO477" s="2">
        <v>1</v>
      </c>
      <c r="AP477" s="2">
        <v>0</v>
      </c>
      <c r="AQ477" s="2">
        <v>0</v>
      </c>
      <c r="AR477" s="2">
        <v>0</v>
      </c>
      <c r="AS477" s="2">
        <v>0</v>
      </c>
      <c r="AT477" s="2">
        <v>0</v>
      </c>
      <c r="AZ477" s="2" t="s">
        <v>3709</v>
      </c>
      <c r="BB477" s="2" t="str">
        <f>+PROPER(BD[[#This Row],[PRIMER_APELLIDO]])</f>
        <v>Cruz</v>
      </c>
    </row>
    <row r="478" spans="1:54" x14ac:dyDescent="0.25">
      <c r="A478" s="2">
        <v>477</v>
      </c>
      <c r="B478" s="2">
        <v>45124</v>
      </c>
      <c r="C478" s="2" t="s">
        <v>619</v>
      </c>
      <c r="D478" s="2" t="s">
        <v>620</v>
      </c>
      <c r="E478" s="2" t="s">
        <v>3710</v>
      </c>
      <c r="F478" s="2">
        <v>23960439</v>
      </c>
      <c r="G478" s="3">
        <v>36.712328767123289</v>
      </c>
      <c r="H478" s="2" t="s">
        <v>622</v>
      </c>
      <c r="I478" s="2" t="s">
        <v>3711</v>
      </c>
      <c r="J478" s="2" t="str">
        <f>+IF(BD[[#This Row],[DEPARTAMENTO_INSS]]="MANAGUA","_01_","_02_")</f>
        <v>_02_</v>
      </c>
      <c r="K478" s="2" t="str">
        <f>+CONCATENATE(BD[[#This Row],[Columna3]],BD[[#This Row],[Columna4]],BD[[#This Row],[NOMBRE COMPLETO]])</f>
        <v>E003_02_JIHOBANA MATILDE MIRANDA GARCIA</v>
      </c>
      <c r="L478" s="2" t="s">
        <v>3712</v>
      </c>
      <c r="M478" s="2" t="s">
        <v>3713</v>
      </c>
      <c r="N478" s="2" t="s">
        <v>56</v>
      </c>
      <c r="O478" s="2" t="s">
        <v>10</v>
      </c>
      <c r="P478" s="2" t="s">
        <v>626</v>
      </c>
      <c r="Q478" s="2" t="s">
        <v>351</v>
      </c>
      <c r="R478" s="2">
        <v>31396</v>
      </c>
      <c r="S478" s="2">
        <v>31396</v>
      </c>
      <c r="T478" s="2" t="s">
        <v>444</v>
      </c>
      <c r="U478" s="2" t="s">
        <v>444</v>
      </c>
      <c r="V478" s="2" t="s">
        <v>764</v>
      </c>
      <c r="W478" s="2" t="s">
        <v>764</v>
      </c>
      <c r="X478" s="2" t="s">
        <v>3714</v>
      </c>
      <c r="Y478" s="2" t="s">
        <v>3715</v>
      </c>
      <c r="Z478" s="2">
        <v>89163722</v>
      </c>
      <c r="AA478" s="2" t="s">
        <v>3716</v>
      </c>
      <c r="AB478" s="2" t="s">
        <v>631</v>
      </c>
      <c r="AC478" s="2" t="s">
        <v>632</v>
      </c>
      <c r="AD478" s="2">
        <v>89163722</v>
      </c>
      <c r="AJ478" s="2">
        <v>89163722</v>
      </c>
      <c r="AK478" s="2">
        <v>3</v>
      </c>
      <c r="AL478" s="2" t="s">
        <v>633</v>
      </c>
      <c r="AM478" s="2">
        <v>0</v>
      </c>
      <c r="AN478" s="2">
        <v>0</v>
      </c>
      <c r="AO478" s="2">
        <v>1</v>
      </c>
      <c r="AP478" s="2">
        <v>0</v>
      </c>
      <c r="AQ478" s="2">
        <v>0</v>
      </c>
      <c r="AR478" s="2">
        <v>0</v>
      </c>
      <c r="AS478" s="2">
        <v>0</v>
      </c>
      <c r="AT478" s="2">
        <v>0</v>
      </c>
      <c r="AZ478" s="2" t="s">
        <v>3717</v>
      </c>
      <c r="BB478" s="2" t="str">
        <f>+PROPER(BD[[#This Row],[PRIMER_APELLIDO]])</f>
        <v>Miranda</v>
      </c>
    </row>
    <row r="479" spans="1:54" x14ac:dyDescent="0.25">
      <c r="A479" s="2">
        <v>478</v>
      </c>
      <c r="B479" s="2">
        <v>48203</v>
      </c>
      <c r="C479" s="2" t="s">
        <v>619</v>
      </c>
      <c r="D479" s="2" t="s">
        <v>620</v>
      </c>
      <c r="E479" s="2" t="s">
        <v>3718</v>
      </c>
      <c r="F479" s="2">
        <v>25024520</v>
      </c>
      <c r="G479" s="3">
        <v>36.720547945205482</v>
      </c>
      <c r="H479" s="2" t="s">
        <v>622</v>
      </c>
      <c r="I479" s="2" t="s">
        <v>3719</v>
      </c>
      <c r="J479" s="2" t="str">
        <f>+IF(BD[[#This Row],[DEPARTAMENTO_INSS]]="MANAGUA","_01_","_02_")</f>
        <v>_02_</v>
      </c>
      <c r="K479" s="2" t="str">
        <f>+CONCATENATE(BD[[#This Row],[Columna3]],BD[[#This Row],[Columna4]],BD[[#This Row],[NOMBRE COMPLETO]])</f>
        <v>E003_02_NELSON JOSE PALACIOS QUEZADA</v>
      </c>
      <c r="L479" s="2" t="s">
        <v>3040</v>
      </c>
      <c r="M479" s="2" t="s">
        <v>243</v>
      </c>
      <c r="N479" s="2" t="s">
        <v>201</v>
      </c>
      <c r="O479" s="2" t="s">
        <v>297</v>
      </c>
      <c r="P479" s="2" t="s">
        <v>649</v>
      </c>
      <c r="Q479" s="2" t="s">
        <v>351</v>
      </c>
      <c r="R479" s="2">
        <v>31393</v>
      </c>
      <c r="S479" s="2">
        <v>31393</v>
      </c>
      <c r="T479" s="2" t="s">
        <v>659</v>
      </c>
      <c r="U479" s="2" t="s">
        <v>659</v>
      </c>
      <c r="V479" s="2" t="s">
        <v>659</v>
      </c>
      <c r="W479" s="2" t="s">
        <v>659</v>
      </c>
      <c r="X479" s="2" t="s">
        <v>3720</v>
      </c>
      <c r="Y479" s="2" t="s">
        <v>3721</v>
      </c>
      <c r="AA479" s="2">
        <v>89321935</v>
      </c>
      <c r="AB479" s="2" t="s">
        <v>798</v>
      </c>
      <c r="AC479" s="2" t="s">
        <v>632</v>
      </c>
      <c r="AD479" s="2">
        <v>89321935</v>
      </c>
      <c r="AJ479" s="2">
        <v>89321935</v>
      </c>
      <c r="AK479" s="2">
        <v>1</v>
      </c>
      <c r="AL479" s="2" t="s">
        <v>633</v>
      </c>
      <c r="AM479" s="2">
        <v>0</v>
      </c>
      <c r="AN479" s="2">
        <v>0</v>
      </c>
      <c r="AO479" s="2">
        <v>1</v>
      </c>
      <c r="AP479" s="2">
        <v>0</v>
      </c>
      <c r="AQ479" s="2">
        <v>0</v>
      </c>
      <c r="AR479" s="2">
        <v>0</v>
      </c>
      <c r="AS479" s="2">
        <v>0</v>
      </c>
      <c r="AT479" s="2">
        <v>0</v>
      </c>
      <c r="BB479" s="2" t="str">
        <f>+PROPER(BD[[#This Row],[PRIMER_APELLIDO]])</f>
        <v>Palacios</v>
      </c>
    </row>
    <row r="480" spans="1:54" x14ac:dyDescent="0.25">
      <c r="A480" s="2">
        <v>479</v>
      </c>
      <c r="B480" s="2">
        <v>50125</v>
      </c>
      <c r="C480" s="2" t="s">
        <v>619</v>
      </c>
      <c r="D480" s="2" t="s">
        <v>620</v>
      </c>
      <c r="E480" s="2" t="s">
        <v>3722</v>
      </c>
      <c r="F480" s="2">
        <v>26961714</v>
      </c>
      <c r="G480" s="3">
        <v>36.720547945205482</v>
      </c>
      <c r="H480" s="2" t="s">
        <v>622</v>
      </c>
      <c r="I480" s="2" t="s">
        <v>3723</v>
      </c>
      <c r="J480" s="2" t="str">
        <f>+IF(BD[[#This Row],[DEPARTAMENTO_INSS]]="MANAGUA","_01_","_02_")</f>
        <v>_02_</v>
      </c>
      <c r="K480" s="2" t="str">
        <f>+CONCATENATE(BD[[#This Row],[Columna3]],BD[[#This Row],[Columna4]],BD[[#This Row],[NOMBRE COMPLETO]])</f>
        <v>E003_02_GUILLERMO ENRIQUE SALGADO RODRIGUEZ</v>
      </c>
      <c r="L480" s="2" t="s">
        <v>1620</v>
      </c>
      <c r="M480" s="2" t="s">
        <v>1480</v>
      </c>
      <c r="N480" s="2" t="s">
        <v>126</v>
      </c>
      <c r="O480" s="2" t="s">
        <v>185</v>
      </c>
      <c r="P480" s="2" t="s">
        <v>649</v>
      </c>
      <c r="Q480" s="2" t="s">
        <v>351</v>
      </c>
      <c r="R480" s="2">
        <v>31393</v>
      </c>
      <c r="S480" s="2">
        <v>31393</v>
      </c>
      <c r="T480" s="2" t="s">
        <v>627</v>
      </c>
      <c r="U480" s="2" t="s">
        <v>1104</v>
      </c>
      <c r="V480" s="2" t="s">
        <v>1026</v>
      </c>
      <c r="W480" s="2" t="s">
        <v>1813</v>
      </c>
      <c r="X480" s="2" t="s">
        <v>3724</v>
      </c>
      <c r="Y480" s="2" t="s">
        <v>3725</v>
      </c>
      <c r="Z480" s="2">
        <v>85381470</v>
      </c>
      <c r="AB480" s="2" t="s">
        <v>798</v>
      </c>
      <c r="AC480" s="2" t="s">
        <v>632</v>
      </c>
      <c r="AD480" s="2">
        <v>85381470</v>
      </c>
      <c r="AJ480" s="2">
        <v>85381470</v>
      </c>
      <c r="AK480" s="2">
        <v>1</v>
      </c>
      <c r="AL480" s="2" t="s">
        <v>633</v>
      </c>
      <c r="AM480" s="2">
        <v>0</v>
      </c>
      <c r="AN480" s="2">
        <v>0</v>
      </c>
      <c r="AO480" s="2">
        <v>1</v>
      </c>
      <c r="AP480" s="2">
        <v>0</v>
      </c>
      <c r="AQ480" s="2">
        <v>0</v>
      </c>
      <c r="AR480" s="2">
        <v>0</v>
      </c>
      <c r="AS480" s="2">
        <v>0</v>
      </c>
      <c r="AT480" s="2">
        <v>0</v>
      </c>
      <c r="AZ480" s="2" t="s">
        <v>3726</v>
      </c>
      <c r="BB480" s="2" t="str">
        <f>+PROPER(BD[[#This Row],[PRIMER_APELLIDO]])</f>
        <v>Salgado</v>
      </c>
    </row>
    <row r="481" spans="1:54" x14ac:dyDescent="0.25">
      <c r="A481" s="2">
        <v>480</v>
      </c>
      <c r="B481" s="2">
        <v>44610</v>
      </c>
      <c r="C481" s="2" t="s">
        <v>619</v>
      </c>
      <c r="D481" s="2" t="s">
        <v>620</v>
      </c>
      <c r="E481" s="2" t="s">
        <v>3727</v>
      </c>
      <c r="F481" s="2">
        <v>24236656</v>
      </c>
      <c r="G481" s="3">
        <v>36.723287671232875</v>
      </c>
      <c r="H481" s="2" t="s">
        <v>622</v>
      </c>
      <c r="I481" s="2" t="s">
        <v>3728</v>
      </c>
      <c r="J481" s="2" t="str">
        <f>+IF(BD[[#This Row],[DEPARTAMENTO_INSS]]="MANAGUA","_01_","_02_")</f>
        <v>_02_</v>
      </c>
      <c r="K481" s="2" t="str">
        <f>+CONCATENATE(BD[[#This Row],[Columna3]],BD[[#This Row],[Columna4]],BD[[#This Row],[NOMBRE COMPLETO]])</f>
        <v>E003_02_EYRA GUADALUPE BLANCO JUAREZ</v>
      </c>
      <c r="L481" s="2" t="s">
        <v>3729</v>
      </c>
      <c r="M481" s="2" t="s">
        <v>1176</v>
      </c>
      <c r="N481" s="2" t="s">
        <v>28</v>
      </c>
      <c r="O481" s="2" t="s">
        <v>344</v>
      </c>
      <c r="P481" s="2" t="s">
        <v>626</v>
      </c>
      <c r="Q481" s="2" t="s">
        <v>351</v>
      </c>
      <c r="R481" s="2">
        <v>31392</v>
      </c>
      <c r="S481" s="2">
        <v>31392</v>
      </c>
      <c r="T481" s="2" t="s">
        <v>176</v>
      </c>
      <c r="U481" s="2" t="s">
        <v>176</v>
      </c>
      <c r="V481" s="2" t="s">
        <v>997</v>
      </c>
      <c r="W481" s="2" t="s">
        <v>997</v>
      </c>
      <c r="X481" s="2" t="s">
        <v>3730</v>
      </c>
      <c r="Y481" s="2" t="s">
        <v>3731</v>
      </c>
      <c r="AA481" s="2" t="s">
        <v>3732</v>
      </c>
      <c r="AB481" s="2" t="s">
        <v>654</v>
      </c>
      <c r="AC481" s="2" t="s">
        <v>632</v>
      </c>
      <c r="AE481" s="2">
        <v>57121844</v>
      </c>
      <c r="AH481" s="2">
        <v>87324283</v>
      </c>
      <c r="AJ481" s="2">
        <v>57121844</v>
      </c>
      <c r="AK481" s="2">
        <v>3</v>
      </c>
      <c r="AL481" s="2" t="s">
        <v>633</v>
      </c>
      <c r="AM481" s="2">
        <v>0</v>
      </c>
      <c r="AN481" s="2">
        <v>0</v>
      </c>
      <c r="AO481" s="2">
        <v>1</v>
      </c>
      <c r="AP481" s="2">
        <v>0</v>
      </c>
      <c r="AQ481" s="2">
        <v>0</v>
      </c>
      <c r="AR481" s="2">
        <v>0</v>
      </c>
      <c r="AS481" s="2">
        <v>0</v>
      </c>
      <c r="AT481" s="2">
        <v>0</v>
      </c>
      <c r="BA481" s="2" t="s">
        <v>3733</v>
      </c>
      <c r="BB481" s="2" t="str">
        <f>+PROPER(BD[[#This Row],[PRIMER_APELLIDO]])</f>
        <v>Blanco</v>
      </c>
    </row>
    <row r="482" spans="1:54" x14ac:dyDescent="0.25">
      <c r="A482" s="2">
        <v>481</v>
      </c>
      <c r="B482" s="2">
        <v>47406</v>
      </c>
      <c r="C482" s="2" t="s">
        <v>619</v>
      </c>
      <c r="D482" s="2" t="s">
        <v>620</v>
      </c>
      <c r="E482" s="2" t="s">
        <v>3734</v>
      </c>
      <c r="F482" s="2">
        <v>25047781</v>
      </c>
      <c r="G482" s="3">
        <v>36.728767123287675</v>
      </c>
      <c r="H482" s="2" t="s">
        <v>622</v>
      </c>
      <c r="I482" s="2" t="s">
        <v>3735</v>
      </c>
      <c r="J482" s="2" t="str">
        <f>+IF(BD[[#This Row],[DEPARTAMENTO_INSS]]="MANAGUA","_01_","_02_")</f>
        <v>_01_</v>
      </c>
      <c r="K482" s="2" t="str">
        <f>+CONCATENATE(BD[[#This Row],[Columna3]],BD[[#This Row],[Columna4]],BD[[#This Row],[NOMBRE COMPLETO]])</f>
        <v>E003_01_MARGARITA ISABEL TALENO CAYASSO</v>
      </c>
      <c r="L482" s="2" t="s">
        <v>937</v>
      </c>
      <c r="M482" s="2" t="s">
        <v>3736</v>
      </c>
      <c r="N482" s="2" t="s">
        <v>417</v>
      </c>
      <c r="O482" s="2" t="s">
        <v>3737</v>
      </c>
      <c r="P482" s="2" t="s">
        <v>626</v>
      </c>
      <c r="Q482" s="2" t="s">
        <v>351</v>
      </c>
      <c r="R482" s="2">
        <v>31390</v>
      </c>
      <c r="S482" s="2">
        <v>31390</v>
      </c>
      <c r="T482" s="2" t="s">
        <v>627</v>
      </c>
      <c r="U482" s="2" t="s">
        <v>627</v>
      </c>
      <c r="V482" s="2" t="s">
        <v>1406</v>
      </c>
      <c r="W482" s="2" t="s">
        <v>1406</v>
      </c>
      <c r="X482" s="2" t="s">
        <v>3738</v>
      </c>
      <c r="Y482" s="2" t="s">
        <v>3739</v>
      </c>
      <c r="AA482" s="2">
        <v>88575504</v>
      </c>
      <c r="AB482" s="2" t="s">
        <v>631</v>
      </c>
      <c r="AC482" s="2" t="s">
        <v>632</v>
      </c>
      <c r="AD482" s="2">
        <v>88575504</v>
      </c>
      <c r="AJ482" s="2">
        <v>88575504</v>
      </c>
      <c r="AK482" s="2">
        <v>1</v>
      </c>
      <c r="AL482" s="2" t="s">
        <v>633</v>
      </c>
      <c r="AM482" s="2">
        <v>0</v>
      </c>
      <c r="AN482" s="2">
        <v>0</v>
      </c>
      <c r="AO482" s="2">
        <v>1</v>
      </c>
      <c r="AP482" s="2">
        <v>0</v>
      </c>
      <c r="AQ482" s="2">
        <v>0</v>
      </c>
      <c r="AR482" s="2">
        <v>0</v>
      </c>
      <c r="AS482" s="2">
        <v>0</v>
      </c>
      <c r="AT482" s="2">
        <v>0</v>
      </c>
      <c r="BB482" s="2" t="str">
        <f>+PROPER(BD[[#This Row],[PRIMER_APELLIDO]])</f>
        <v>Taleno</v>
      </c>
    </row>
    <row r="483" spans="1:54" x14ac:dyDescent="0.25">
      <c r="A483" s="2">
        <v>482</v>
      </c>
      <c r="B483" s="2">
        <v>65885</v>
      </c>
      <c r="C483" s="2" t="s">
        <v>619</v>
      </c>
      <c r="D483" s="2" t="s">
        <v>620</v>
      </c>
      <c r="E483" s="2" t="s">
        <v>3740</v>
      </c>
      <c r="G483" s="3">
        <v>36.734246575342468</v>
      </c>
      <c r="H483" s="2" t="s">
        <v>622</v>
      </c>
      <c r="I483" s="2" t="s">
        <v>3741</v>
      </c>
      <c r="J483" s="2" t="str">
        <f>+IF(BD[[#This Row],[DEPARTAMENTO_INSS]]="MANAGUA","_01_","_02_")</f>
        <v>_02_</v>
      </c>
      <c r="K483" s="2" t="str">
        <f>+CONCATENATE(BD[[#This Row],[Columna3]],BD[[#This Row],[Columna4]],BD[[#This Row],[NOMBRE COMPLETO]])</f>
        <v>E003_02_ELIA ARACELY AMADOR MARTINEZ</v>
      </c>
      <c r="L483" s="2" t="s">
        <v>3742</v>
      </c>
      <c r="M483" s="2" t="s">
        <v>1258</v>
      </c>
      <c r="N483" s="2" t="s">
        <v>281</v>
      </c>
      <c r="O483" s="2" t="s">
        <v>44</v>
      </c>
      <c r="P483" s="2" t="s">
        <v>626</v>
      </c>
      <c r="Q483" s="2" t="s">
        <v>351</v>
      </c>
      <c r="R483" s="2">
        <v>31388</v>
      </c>
      <c r="S483" s="2">
        <v>31388</v>
      </c>
      <c r="T483" s="2" t="s">
        <v>780</v>
      </c>
      <c r="U483" s="2" t="s">
        <v>929</v>
      </c>
      <c r="V483" s="2" t="s">
        <v>788</v>
      </c>
      <c r="W483" s="2" t="s">
        <v>1360</v>
      </c>
      <c r="X483" s="2" t="s">
        <v>3743</v>
      </c>
      <c r="Y483" s="2" t="s">
        <v>3744</v>
      </c>
      <c r="Z483" s="2">
        <v>83932731</v>
      </c>
      <c r="AB483" s="2" t="s">
        <v>642</v>
      </c>
      <c r="AC483" s="2" t="s">
        <v>632</v>
      </c>
      <c r="AD483" s="2">
        <v>83932731</v>
      </c>
      <c r="AJ483" s="2">
        <v>83932731</v>
      </c>
      <c r="AK483" s="2">
        <v>1</v>
      </c>
      <c r="AL483" s="2" t="s">
        <v>633</v>
      </c>
      <c r="AM483" s="2">
        <v>0</v>
      </c>
      <c r="AN483" s="2">
        <v>0</v>
      </c>
      <c r="AO483" s="2">
        <v>1</v>
      </c>
      <c r="AP483" s="2">
        <v>0</v>
      </c>
      <c r="AQ483" s="2">
        <v>0</v>
      </c>
      <c r="AR483" s="2">
        <v>0</v>
      </c>
      <c r="AS483" s="2">
        <v>0</v>
      </c>
      <c r="AT483" s="2">
        <v>0</v>
      </c>
      <c r="AZ483" s="2" t="s">
        <v>3745</v>
      </c>
      <c r="BB483" s="2" t="str">
        <f>+PROPER(BD[[#This Row],[PRIMER_APELLIDO]])</f>
        <v>Amador</v>
      </c>
    </row>
    <row r="484" spans="1:54" x14ac:dyDescent="0.25">
      <c r="A484" s="2">
        <v>483</v>
      </c>
      <c r="B484" s="2">
        <v>36136</v>
      </c>
      <c r="C484" s="2" t="s">
        <v>619</v>
      </c>
      <c r="D484" s="2" t="s">
        <v>620</v>
      </c>
      <c r="E484" s="2" t="s">
        <v>3746</v>
      </c>
      <c r="F484" s="2">
        <v>22189305</v>
      </c>
      <c r="G484" s="3">
        <v>36.750684931506846</v>
      </c>
      <c r="H484" s="2" t="s">
        <v>622</v>
      </c>
      <c r="I484" s="2" t="s">
        <v>3747</v>
      </c>
      <c r="J484" s="2" t="str">
        <f>+IF(BD[[#This Row],[DEPARTAMENTO_INSS]]="MANAGUA","_01_","_02_")</f>
        <v>_01_</v>
      </c>
      <c r="K484" s="2" t="str">
        <f>+CONCATENATE(BD[[#This Row],[Columna3]],BD[[#This Row],[Columna4]],BD[[#This Row],[NOMBRE COMPLETO]])</f>
        <v>E003_01_ARLES ELAINE PEREZ CERVELLON</v>
      </c>
      <c r="L484" s="2" t="s">
        <v>3748</v>
      </c>
      <c r="M484" s="2" t="s">
        <v>3749</v>
      </c>
      <c r="N484" s="2" t="s">
        <v>24</v>
      </c>
      <c r="O484" s="2" t="s">
        <v>3750</v>
      </c>
      <c r="P484" s="2" t="s">
        <v>626</v>
      </c>
      <c r="Q484" s="2" t="s">
        <v>351</v>
      </c>
      <c r="R484" s="2">
        <v>31382</v>
      </c>
      <c r="S484" s="2">
        <v>31382</v>
      </c>
      <c r="T484" s="2" t="s">
        <v>627</v>
      </c>
      <c r="U484" s="2" t="s">
        <v>627</v>
      </c>
      <c r="V484" s="2" t="s">
        <v>1498</v>
      </c>
      <c r="W484" s="2" t="s">
        <v>1498</v>
      </c>
      <c r="X484" s="2" t="s">
        <v>3751</v>
      </c>
      <c r="Y484" s="2" t="s">
        <v>3752</v>
      </c>
      <c r="Z484" s="2">
        <v>82400034</v>
      </c>
      <c r="AA484" s="2" t="s">
        <v>3753</v>
      </c>
      <c r="AB484" s="2" t="s">
        <v>642</v>
      </c>
      <c r="AC484" s="2" t="s">
        <v>632</v>
      </c>
      <c r="AD484" s="2">
        <v>82400034</v>
      </c>
      <c r="AE484" s="2">
        <v>88552103</v>
      </c>
      <c r="AJ484" s="2">
        <v>82400034</v>
      </c>
      <c r="AK484" s="2">
        <v>3</v>
      </c>
      <c r="AL484" s="2" t="s">
        <v>633</v>
      </c>
      <c r="AM484" s="2">
        <v>0</v>
      </c>
      <c r="AN484" s="2">
        <v>0</v>
      </c>
      <c r="AO484" s="2">
        <v>1</v>
      </c>
      <c r="AP484" s="2">
        <v>0</v>
      </c>
      <c r="AQ484" s="2">
        <v>0</v>
      </c>
      <c r="AR484" s="2">
        <v>0</v>
      </c>
      <c r="AS484" s="2">
        <v>0</v>
      </c>
      <c r="AT484" s="2">
        <v>0</v>
      </c>
      <c r="AZ484" s="2" t="s">
        <v>3754</v>
      </c>
      <c r="BB484" s="2" t="str">
        <f>+PROPER(BD[[#This Row],[PRIMER_APELLIDO]])</f>
        <v>Perez</v>
      </c>
    </row>
    <row r="485" spans="1:54" x14ac:dyDescent="0.25">
      <c r="A485" s="2">
        <v>484</v>
      </c>
      <c r="B485" s="2">
        <v>31812</v>
      </c>
      <c r="C485" s="2" t="s">
        <v>619</v>
      </c>
      <c r="D485" s="2" t="s">
        <v>620</v>
      </c>
      <c r="E485" s="2" t="s">
        <v>3755</v>
      </c>
      <c r="F485" s="2">
        <v>16383979</v>
      </c>
      <c r="G485" s="3">
        <v>36.761643835616439</v>
      </c>
      <c r="H485" s="2" t="s">
        <v>622</v>
      </c>
      <c r="I485" s="2" t="s">
        <v>3756</v>
      </c>
      <c r="J485" s="2" t="str">
        <f>+IF(BD[[#This Row],[DEPARTAMENTO_INSS]]="MANAGUA","_01_","_02_")</f>
        <v>_01_</v>
      </c>
      <c r="K485" s="2" t="str">
        <f>+CONCATENATE(BD[[#This Row],[Columna3]],BD[[#This Row],[Columna4]],BD[[#This Row],[NOMBRE COMPLETO]])</f>
        <v>E003_01_MARIA RENE SOLARI BACA</v>
      </c>
      <c r="L485" s="2" t="s">
        <v>724</v>
      </c>
      <c r="M485" s="2" t="s">
        <v>3757</v>
      </c>
      <c r="N485" s="2" t="s">
        <v>59</v>
      </c>
      <c r="O485" s="2" t="s">
        <v>123</v>
      </c>
      <c r="P485" s="2" t="s">
        <v>626</v>
      </c>
      <c r="Q485" s="2" t="s">
        <v>351</v>
      </c>
      <c r="R485" s="2">
        <v>31378</v>
      </c>
      <c r="S485" s="2">
        <v>31378</v>
      </c>
      <c r="T485" s="2" t="s">
        <v>627</v>
      </c>
      <c r="U485" s="2" t="s">
        <v>627</v>
      </c>
      <c r="V485" s="2" t="s">
        <v>627</v>
      </c>
      <c r="W485" s="2" t="s">
        <v>627</v>
      </c>
      <c r="X485" s="2" t="s">
        <v>3758</v>
      </c>
      <c r="Y485" s="2" t="s">
        <v>3759</v>
      </c>
      <c r="AA485" s="2" t="s">
        <v>3760</v>
      </c>
      <c r="AB485" s="2" t="s">
        <v>642</v>
      </c>
      <c r="AC485" s="2" t="s">
        <v>632</v>
      </c>
      <c r="AE485" s="2">
        <v>88783700</v>
      </c>
      <c r="AJ485" s="2">
        <v>88783700</v>
      </c>
      <c r="AK485" s="2">
        <v>2</v>
      </c>
      <c r="AL485" s="2" t="s">
        <v>633</v>
      </c>
      <c r="AM485" s="2">
        <v>0</v>
      </c>
      <c r="AN485" s="2">
        <v>0</v>
      </c>
      <c r="AO485" s="2">
        <v>1</v>
      </c>
      <c r="AP485" s="2">
        <v>0</v>
      </c>
      <c r="AQ485" s="2">
        <v>0</v>
      </c>
      <c r="AR485" s="2">
        <v>0</v>
      </c>
      <c r="AS485" s="2">
        <v>0</v>
      </c>
      <c r="AT485" s="2">
        <v>0</v>
      </c>
      <c r="BB485" s="2" t="str">
        <f>+PROPER(BD[[#This Row],[PRIMER_APELLIDO]])</f>
        <v>Solari</v>
      </c>
    </row>
    <row r="486" spans="1:54" x14ac:dyDescent="0.25">
      <c r="A486" s="2">
        <v>485</v>
      </c>
      <c r="B486" s="2">
        <v>39010</v>
      </c>
      <c r="C486" s="2" t="s">
        <v>619</v>
      </c>
      <c r="D486" s="2" t="s">
        <v>620</v>
      </c>
      <c r="E486" s="2" t="s">
        <v>3761</v>
      </c>
      <c r="F486" s="2">
        <v>23154586</v>
      </c>
      <c r="G486" s="3">
        <v>36.761643835616439</v>
      </c>
      <c r="H486" s="2" t="s">
        <v>622</v>
      </c>
      <c r="I486" s="2" t="s">
        <v>3762</v>
      </c>
      <c r="J486" s="2" t="str">
        <f>+IF(BD[[#This Row],[DEPARTAMENTO_INSS]]="MANAGUA","_01_","_02_")</f>
        <v>_01_</v>
      </c>
      <c r="K486" s="2" t="str">
        <f>+CONCATENATE(BD[[#This Row],[Columna3]],BD[[#This Row],[Columna4]],BD[[#This Row],[NOMBRE COMPLETO]])</f>
        <v>E003_01_MEYLING DANIELA OROZCO SEQUEIRA</v>
      </c>
      <c r="L486" s="2" t="s">
        <v>2785</v>
      </c>
      <c r="M486" s="2" t="s">
        <v>1126</v>
      </c>
      <c r="N486" s="2" t="s">
        <v>254</v>
      </c>
      <c r="O486" s="2" t="s">
        <v>348</v>
      </c>
      <c r="P486" s="2" t="s">
        <v>626</v>
      </c>
      <c r="Q486" s="2" t="s">
        <v>351</v>
      </c>
      <c r="R486" s="2">
        <v>31378</v>
      </c>
      <c r="S486" s="2">
        <v>31378</v>
      </c>
      <c r="T486" s="2" t="s">
        <v>627</v>
      </c>
      <c r="U486" s="2" t="s">
        <v>627</v>
      </c>
      <c r="V486" s="2" t="s">
        <v>627</v>
      </c>
      <c r="W486" s="2" t="s">
        <v>627</v>
      </c>
      <c r="X486" s="2" t="s">
        <v>3763</v>
      </c>
      <c r="Y486" s="2" t="s">
        <v>3764</v>
      </c>
      <c r="AA486" s="2">
        <v>82302222</v>
      </c>
      <c r="AB486" s="2" t="s">
        <v>642</v>
      </c>
      <c r="AC486" s="2" t="s">
        <v>632</v>
      </c>
      <c r="AD486" s="2">
        <v>82302222</v>
      </c>
      <c r="AJ486" s="2">
        <v>82302222</v>
      </c>
      <c r="AK486" s="2">
        <v>1</v>
      </c>
      <c r="AL486" s="2" t="s">
        <v>633</v>
      </c>
      <c r="AM486" s="2">
        <v>0</v>
      </c>
      <c r="AN486" s="2">
        <v>0</v>
      </c>
      <c r="AO486" s="2">
        <v>1</v>
      </c>
      <c r="AP486" s="2">
        <v>0</v>
      </c>
      <c r="AQ486" s="2">
        <v>0</v>
      </c>
      <c r="AR486" s="2">
        <v>0</v>
      </c>
      <c r="AS486" s="2">
        <v>0</v>
      </c>
      <c r="AT486" s="2">
        <v>0</v>
      </c>
      <c r="BB486" s="2" t="str">
        <f>+PROPER(BD[[#This Row],[PRIMER_APELLIDO]])</f>
        <v>Orozco</v>
      </c>
    </row>
    <row r="487" spans="1:54" x14ac:dyDescent="0.25">
      <c r="A487" s="2">
        <v>486</v>
      </c>
      <c r="B487" s="2">
        <v>40321</v>
      </c>
      <c r="C487" s="2" t="s">
        <v>619</v>
      </c>
      <c r="D487" s="2" t="s">
        <v>620</v>
      </c>
      <c r="E487" s="2" t="s">
        <v>3765</v>
      </c>
      <c r="F487" s="2">
        <v>23140723</v>
      </c>
      <c r="G487" s="3">
        <v>36.772602739726025</v>
      </c>
      <c r="H487" s="2" t="s">
        <v>622</v>
      </c>
      <c r="I487" s="2" t="s">
        <v>3766</v>
      </c>
      <c r="J487" s="2" t="str">
        <f>+IF(BD[[#This Row],[DEPARTAMENTO_INSS]]="MANAGUA","_01_","_02_")</f>
        <v>_02_</v>
      </c>
      <c r="K487" s="2" t="str">
        <f>+CONCATENATE(BD[[#This Row],[Columna3]],BD[[#This Row],[Columna4]],BD[[#This Row],[NOMBRE COMPLETO]])</f>
        <v>E003_02_NYNDYTZ SCARLIN CENTENO HERNANDEZ</v>
      </c>
      <c r="L487" s="2" t="s">
        <v>3767</v>
      </c>
      <c r="M487" s="2" t="s">
        <v>3768</v>
      </c>
      <c r="N487" s="2" t="s">
        <v>116</v>
      </c>
      <c r="O487" s="2" t="s">
        <v>11</v>
      </c>
      <c r="P487" s="2" t="s">
        <v>626</v>
      </c>
      <c r="Q487" s="2" t="s">
        <v>351</v>
      </c>
      <c r="R487" s="2">
        <v>31374</v>
      </c>
      <c r="S487" s="2">
        <v>31374</v>
      </c>
      <c r="T487" s="2" t="s">
        <v>659</v>
      </c>
      <c r="U487" s="2" t="s">
        <v>659</v>
      </c>
      <c r="V487" s="2" t="s">
        <v>660</v>
      </c>
      <c r="W487" s="2" t="s">
        <v>659</v>
      </c>
      <c r="X487" s="2" t="s">
        <v>3769</v>
      </c>
      <c r="Y487" s="2" t="s">
        <v>3770</v>
      </c>
      <c r="Z487" s="2">
        <v>84196072</v>
      </c>
      <c r="AA487" s="2">
        <v>84196072</v>
      </c>
      <c r="AB487" s="2" t="s">
        <v>654</v>
      </c>
      <c r="AC487" s="2" t="s">
        <v>632</v>
      </c>
      <c r="AD487" s="2">
        <v>84196072</v>
      </c>
      <c r="AJ487" s="2">
        <v>84196072</v>
      </c>
      <c r="AK487" s="2">
        <v>2</v>
      </c>
      <c r="AL487" s="2" t="s">
        <v>633</v>
      </c>
      <c r="AM487" s="2">
        <v>0</v>
      </c>
      <c r="AN487" s="2">
        <v>0</v>
      </c>
      <c r="AO487" s="2">
        <v>1</v>
      </c>
      <c r="AP487" s="2">
        <v>0</v>
      </c>
      <c r="AQ487" s="2">
        <v>0</v>
      </c>
      <c r="AR487" s="2">
        <v>0</v>
      </c>
      <c r="AS487" s="2">
        <v>0</v>
      </c>
      <c r="AT487" s="2">
        <v>0</v>
      </c>
      <c r="AZ487" s="2" t="s">
        <v>3771</v>
      </c>
      <c r="BB487" s="2" t="str">
        <f>+PROPER(BD[[#This Row],[PRIMER_APELLIDO]])</f>
        <v>Centeno</v>
      </c>
    </row>
    <row r="488" spans="1:54" x14ac:dyDescent="0.25">
      <c r="A488" s="2">
        <v>487</v>
      </c>
      <c r="B488" s="2">
        <v>31921</v>
      </c>
      <c r="C488" s="2" t="s">
        <v>619</v>
      </c>
      <c r="D488" s="2" t="s">
        <v>620</v>
      </c>
      <c r="E488" s="2" t="s">
        <v>3772</v>
      </c>
      <c r="F488" s="2">
        <v>21712184</v>
      </c>
      <c r="G488" s="3">
        <v>36.775342465753425</v>
      </c>
      <c r="H488" s="2" t="s">
        <v>622</v>
      </c>
      <c r="I488" s="2" t="s">
        <v>3773</v>
      </c>
      <c r="J488" s="2" t="str">
        <f>+IF(BD[[#This Row],[DEPARTAMENTO_INSS]]="MANAGUA","_01_","_02_")</f>
        <v>_02_</v>
      </c>
      <c r="K488" s="2" t="str">
        <f>+CONCATENATE(BD[[#This Row],[Columna3]],BD[[#This Row],[Columna4]],BD[[#This Row],[NOMBRE COMPLETO]])</f>
        <v>E003_02_INGRI ALEJANDRA AGUILAR DELGADO</v>
      </c>
      <c r="L488" s="2" t="s">
        <v>3774</v>
      </c>
      <c r="M488" s="2" t="s">
        <v>1242</v>
      </c>
      <c r="N488" s="2" t="s">
        <v>141</v>
      </c>
      <c r="O488" s="2" t="s">
        <v>363</v>
      </c>
      <c r="P488" s="2" t="s">
        <v>626</v>
      </c>
      <c r="Q488" s="2" t="s">
        <v>351</v>
      </c>
      <c r="R488" s="2">
        <v>31373</v>
      </c>
      <c r="S488" s="2">
        <v>31373</v>
      </c>
      <c r="T488" s="2" t="s">
        <v>133</v>
      </c>
      <c r="U488" s="2" t="s">
        <v>133</v>
      </c>
      <c r="V488" s="2" t="s">
        <v>869</v>
      </c>
      <c r="W488" s="2" t="s">
        <v>869</v>
      </c>
      <c r="X488" s="2" t="s">
        <v>3775</v>
      </c>
      <c r="Y488" s="2" t="s">
        <v>3776</v>
      </c>
      <c r="Z488" s="2" t="s">
        <v>3777</v>
      </c>
      <c r="AA488" s="2">
        <v>87214882</v>
      </c>
      <c r="AB488" s="2" t="s">
        <v>642</v>
      </c>
      <c r="AC488" s="2" t="s">
        <v>632</v>
      </c>
      <c r="AD488" s="2">
        <v>77964714</v>
      </c>
      <c r="AE488" s="2">
        <v>82117058</v>
      </c>
      <c r="AF488" s="2">
        <v>87214882</v>
      </c>
      <c r="AJ488" s="2">
        <v>77964714</v>
      </c>
      <c r="AK488" s="2">
        <v>3</v>
      </c>
      <c r="AL488" s="2" t="s">
        <v>633</v>
      </c>
      <c r="AM488" s="2">
        <v>0</v>
      </c>
      <c r="AN488" s="2">
        <v>0</v>
      </c>
      <c r="AO488" s="2">
        <v>1</v>
      </c>
      <c r="AP488" s="2">
        <v>0</v>
      </c>
      <c r="AQ488" s="2">
        <v>0</v>
      </c>
      <c r="AR488" s="2">
        <v>0</v>
      </c>
      <c r="AS488" s="2">
        <v>0</v>
      </c>
      <c r="AT488" s="2">
        <v>0</v>
      </c>
      <c r="AZ488" s="2" t="s">
        <v>3778</v>
      </c>
      <c r="BB488" s="2" t="str">
        <f>+PROPER(BD[[#This Row],[PRIMER_APELLIDO]])</f>
        <v>Aguilar</v>
      </c>
    </row>
    <row r="489" spans="1:54" x14ac:dyDescent="0.25">
      <c r="A489" s="2">
        <v>488</v>
      </c>
      <c r="B489" s="2">
        <v>43233</v>
      </c>
      <c r="C489" s="2" t="s">
        <v>619</v>
      </c>
      <c r="D489" s="2" t="s">
        <v>620</v>
      </c>
      <c r="E489" s="2" t="s">
        <v>3779</v>
      </c>
      <c r="F489" s="2">
        <v>24234728</v>
      </c>
      <c r="G489" s="3">
        <v>36.775342465753425</v>
      </c>
      <c r="H489" s="2" t="s">
        <v>622</v>
      </c>
      <c r="I489" s="2" t="s">
        <v>3780</v>
      </c>
      <c r="J489" s="2" t="str">
        <f>+IF(BD[[#This Row],[DEPARTAMENTO_INSS]]="MANAGUA","_01_","_02_")</f>
        <v>_01_</v>
      </c>
      <c r="K489" s="2" t="str">
        <f>+CONCATENATE(BD[[#This Row],[Columna3]],BD[[#This Row],[Columna4]],BD[[#This Row],[NOMBRE COMPLETO]])</f>
        <v>E003_01_JENNYFER AZUCENA VANEGAS SOTO</v>
      </c>
      <c r="L489" s="2" t="s">
        <v>3781</v>
      </c>
      <c r="M489" s="2" t="s">
        <v>1844</v>
      </c>
      <c r="N489" s="2" t="s">
        <v>75</v>
      </c>
      <c r="O489" s="2" t="s">
        <v>3782</v>
      </c>
      <c r="P489" s="2" t="s">
        <v>626</v>
      </c>
      <c r="Q489" s="2" t="s">
        <v>351</v>
      </c>
      <c r="R489" s="2">
        <v>31373</v>
      </c>
      <c r="S489" s="2">
        <v>31373</v>
      </c>
      <c r="T489" s="2" t="s">
        <v>627</v>
      </c>
      <c r="U489" s="2" t="s">
        <v>627</v>
      </c>
      <c r="V489" s="2" t="s">
        <v>627</v>
      </c>
      <c r="W489" s="2" t="s">
        <v>627</v>
      </c>
      <c r="X489" s="2" t="s">
        <v>3783</v>
      </c>
      <c r="Y489" s="2" t="s">
        <v>3784</v>
      </c>
      <c r="AA489" s="2">
        <v>88072015</v>
      </c>
      <c r="AB489" s="2" t="s">
        <v>642</v>
      </c>
      <c r="AC489" s="2" t="s">
        <v>632</v>
      </c>
      <c r="AD489" s="2">
        <v>88072015</v>
      </c>
      <c r="AJ489" s="2">
        <v>88072015</v>
      </c>
      <c r="AK489" s="2">
        <v>1</v>
      </c>
      <c r="AL489" s="2" t="s">
        <v>633</v>
      </c>
      <c r="AM489" s="2">
        <v>0</v>
      </c>
      <c r="AN489" s="2">
        <v>0</v>
      </c>
      <c r="AO489" s="2">
        <v>1</v>
      </c>
      <c r="AP489" s="2">
        <v>0</v>
      </c>
      <c r="AQ489" s="2">
        <v>0</v>
      </c>
      <c r="AR489" s="2">
        <v>0</v>
      </c>
      <c r="AS489" s="2">
        <v>0</v>
      </c>
      <c r="AT489" s="2">
        <v>0</v>
      </c>
      <c r="BA489" s="2" t="s">
        <v>3785</v>
      </c>
      <c r="BB489" s="2" t="str">
        <f>+PROPER(BD[[#This Row],[PRIMER_APELLIDO]])</f>
        <v>Vanegas</v>
      </c>
    </row>
    <row r="490" spans="1:54" x14ac:dyDescent="0.25">
      <c r="A490" s="2">
        <v>489</v>
      </c>
      <c r="B490" s="2">
        <v>32727</v>
      </c>
      <c r="C490" s="2" t="s">
        <v>619</v>
      </c>
      <c r="D490" s="2" t="s">
        <v>620</v>
      </c>
      <c r="E490" s="2" t="s">
        <v>3786</v>
      </c>
      <c r="F490" s="2">
        <v>19296753</v>
      </c>
      <c r="G490" s="3">
        <v>36.780821917808218</v>
      </c>
      <c r="H490" s="2" t="s">
        <v>622</v>
      </c>
      <c r="I490" s="2" t="s">
        <v>3787</v>
      </c>
      <c r="J490" s="2" t="str">
        <f>+IF(BD[[#This Row],[DEPARTAMENTO_INSS]]="MANAGUA","_01_","_02_")</f>
        <v>_02_</v>
      </c>
      <c r="K490" s="2" t="str">
        <f>+CONCATENATE(BD[[#This Row],[Columna3]],BD[[#This Row],[Columna4]],BD[[#This Row],[NOMBRE COMPLETO]])</f>
        <v>E003_02_ELIEZER ANTONIO CASTELLON MARTINEZ</v>
      </c>
      <c r="L490" s="2" t="s">
        <v>1052</v>
      </c>
      <c r="M490" s="2" t="s">
        <v>904</v>
      </c>
      <c r="N490" s="2" t="s">
        <v>22</v>
      </c>
      <c r="O490" s="2" t="s">
        <v>44</v>
      </c>
      <c r="P490" s="2" t="s">
        <v>649</v>
      </c>
      <c r="Q490" s="2" t="s">
        <v>351</v>
      </c>
      <c r="R490" s="2">
        <v>31371</v>
      </c>
      <c r="S490" s="2">
        <v>31371</v>
      </c>
      <c r="T490" s="2" t="s">
        <v>133</v>
      </c>
      <c r="U490" s="2" t="s">
        <v>133</v>
      </c>
      <c r="V490" s="2" t="s">
        <v>869</v>
      </c>
      <c r="W490" s="2" t="s">
        <v>869</v>
      </c>
      <c r="X490" s="2" t="s">
        <v>3788</v>
      </c>
      <c r="Y490" s="2" t="s">
        <v>3789</v>
      </c>
      <c r="Z490" s="2">
        <v>83711297</v>
      </c>
      <c r="AA490" s="2" t="s">
        <v>3790</v>
      </c>
      <c r="AB490" s="2" t="s">
        <v>654</v>
      </c>
      <c r="AC490" s="2" t="s">
        <v>632</v>
      </c>
      <c r="AD490" s="2">
        <v>83711297</v>
      </c>
      <c r="AH490" s="2">
        <v>84303274</v>
      </c>
      <c r="AJ490" s="2">
        <v>83711297</v>
      </c>
      <c r="AK490" s="2">
        <v>4</v>
      </c>
      <c r="AL490" s="2" t="s">
        <v>633</v>
      </c>
      <c r="AM490" s="2">
        <v>0</v>
      </c>
      <c r="AN490" s="2">
        <v>0</v>
      </c>
      <c r="AO490" s="2">
        <v>1</v>
      </c>
      <c r="AP490" s="2">
        <v>0</v>
      </c>
      <c r="AQ490" s="2">
        <v>0</v>
      </c>
      <c r="AR490" s="2">
        <v>0</v>
      </c>
      <c r="AS490" s="2">
        <v>0</v>
      </c>
      <c r="AT490" s="2">
        <v>0</v>
      </c>
      <c r="AZ490" s="2" t="s">
        <v>3791</v>
      </c>
      <c r="BB490" s="2" t="str">
        <f>+PROPER(BD[[#This Row],[PRIMER_APELLIDO]])</f>
        <v>Castellon</v>
      </c>
    </row>
    <row r="491" spans="1:54" x14ac:dyDescent="0.25">
      <c r="A491" s="2">
        <v>490</v>
      </c>
      <c r="B491" s="2">
        <v>36293</v>
      </c>
      <c r="C491" s="2" t="s">
        <v>619</v>
      </c>
      <c r="D491" s="2" t="s">
        <v>620</v>
      </c>
      <c r="E491" s="2" t="s">
        <v>3792</v>
      </c>
      <c r="F491" s="2">
        <v>22179232</v>
      </c>
      <c r="G491" s="3">
        <v>36.789041095890411</v>
      </c>
      <c r="H491" s="2" t="s">
        <v>622</v>
      </c>
      <c r="I491" s="2" t="s">
        <v>3793</v>
      </c>
      <c r="J491" s="2" t="str">
        <f>+IF(BD[[#This Row],[DEPARTAMENTO_INSS]]="MANAGUA","_01_","_02_")</f>
        <v>_02_</v>
      </c>
      <c r="K491" s="2" t="str">
        <f>+CONCATENATE(BD[[#This Row],[Columna3]],BD[[#This Row],[Columna4]],BD[[#This Row],[NOMBRE COMPLETO]])</f>
        <v>E003_02_REYNA ISABEL MAYORGA RUIZ</v>
      </c>
      <c r="L491" s="2" t="s">
        <v>3095</v>
      </c>
      <c r="M491" s="2" t="s">
        <v>3736</v>
      </c>
      <c r="N491" s="2" t="s">
        <v>53</v>
      </c>
      <c r="O491" s="2" t="s">
        <v>84</v>
      </c>
      <c r="P491" s="2" t="s">
        <v>626</v>
      </c>
      <c r="Q491" s="2" t="s">
        <v>351</v>
      </c>
      <c r="R491" s="2">
        <v>31368</v>
      </c>
      <c r="S491" s="2">
        <v>31368</v>
      </c>
      <c r="T491" s="2" t="s">
        <v>691</v>
      </c>
      <c r="U491" s="2" t="s">
        <v>691</v>
      </c>
      <c r="V491" s="2" t="s">
        <v>716</v>
      </c>
      <c r="W491" s="2" t="s">
        <v>691</v>
      </c>
      <c r="X491" s="2" t="s">
        <v>3794</v>
      </c>
      <c r="Y491" s="2" t="s">
        <v>3795</v>
      </c>
      <c r="Z491" s="2">
        <v>89692972</v>
      </c>
      <c r="AA491" s="2" t="s">
        <v>3796</v>
      </c>
      <c r="AB491" s="2" t="s">
        <v>654</v>
      </c>
      <c r="AC491" s="2" t="s">
        <v>632</v>
      </c>
      <c r="AD491" s="2">
        <v>89692972</v>
      </c>
      <c r="AE491" s="2">
        <v>85696188</v>
      </c>
      <c r="AJ491" s="2">
        <v>89692972</v>
      </c>
      <c r="AK491" s="2">
        <v>3</v>
      </c>
      <c r="AL491" s="2" t="s">
        <v>633</v>
      </c>
      <c r="AM491" s="2">
        <v>0</v>
      </c>
      <c r="AN491" s="2">
        <v>0</v>
      </c>
      <c r="AO491" s="2">
        <v>1</v>
      </c>
      <c r="AP491" s="2">
        <v>0</v>
      </c>
      <c r="AQ491" s="2">
        <v>0</v>
      </c>
      <c r="AR491" s="2">
        <v>0</v>
      </c>
      <c r="AS491" s="2">
        <v>0</v>
      </c>
      <c r="AT491" s="2">
        <v>0</v>
      </c>
      <c r="AZ491" s="2" t="s">
        <v>3797</v>
      </c>
      <c r="BB491" s="2" t="str">
        <f>+PROPER(BD[[#This Row],[PRIMER_APELLIDO]])</f>
        <v>Mayorga</v>
      </c>
    </row>
    <row r="492" spans="1:54" x14ac:dyDescent="0.25">
      <c r="A492" s="2">
        <v>491</v>
      </c>
      <c r="B492" s="2">
        <v>38226</v>
      </c>
      <c r="C492" s="2" t="s">
        <v>619</v>
      </c>
      <c r="D492" s="2" t="s">
        <v>620</v>
      </c>
      <c r="E492" s="2" t="s">
        <v>3798</v>
      </c>
      <c r="F492" s="2">
        <v>22389482</v>
      </c>
      <c r="G492" s="3">
        <v>36.794520547945204</v>
      </c>
      <c r="H492" s="2" t="s">
        <v>622</v>
      </c>
      <c r="I492" s="2" t="s">
        <v>3799</v>
      </c>
      <c r="J492" s="2" t="str">
        <f>+IF(BD[[#This Row],[DEPARTAMENTO_INSS]]="MANAGUA","_01_","_02_")</f>
        <v>_02_</v>
      </c>
      <c r="K492" s="2" t="str">
        <f>+CONCATENATE(BD[[#This Row],[Columna3]],BD[[#This Row],[Columna4]],BD[[#This Row],[NOMBRE COMPLETO]])</f>
        <v>E003_02_LIGIA ELENA MADRIZ AMADOR</v>
      </c>
      <c r="L492" s="2" t="s">
        <v>3559</v>
      </c>
      <c r="M492" s="2" t="s">
        <v>1626</v>
      </c>
      <c r="N492" s="2" t="s">
        <v>444</v>
      </c>
      <c r="O492" s="2" t="s">
        <v>281</v>
      </c>
      <c r="P492" s="2" t="s">
        <v>626</v>
      </c>
      <c r="Q492" s="2" t="s">
        <v>351</v>
      </c>
      <c r="R492" s="2">
        <v>31366</v>
      </c>
      <c r="S492" s="2">
        <v>31366</v>
      </c>
      <c r="T492" s="2" t="s">
        <v>705</v>
      </c>
      <c r="U492" s="2" t="s">
        <v>705</v>
      </c>
      <c r="V492" s="2" t="s">
        <v>705</v>
      </c>
      <c r="W492" s="2" t="s">
        <v>705</v>
      </c>
      <c r="X492" s="2" t="s">
        <v>3800</v>
      </c>
      <c r="Y492" s="2" t="s">
        <v>3801</v>
      </c>
      <c r="Z492" s="2">
        <v>89557160</v>
      </c>
      <c r="AA492" s="2">
        <v>89557160</v>
      </c>
      <c r="AB492" s="2" t="s">
        <v>642</v>
      </c>
      <c r="AC492" s="2" t="s">
        <v>632</v>
      </c>
      <c r="AD492" s="2">
        <v>89557160</v>
      </c>
      <c r="AJ492" s="2">
        <v>89557160</v>
      </c>
      <c r="AK492" s="2">
        <v>2</v>
      </c>
      <c r="AL492" s="2" t="s">
        <v>633</v>
      </c>
      <c r="AM492" s="2">
        <v>0</v>
      </c>
      <c r="AN492" s="2">
        <v>0</v>
      </c>
      <c r="AO492" s="2">
        <v>1</v>
      </c>
      <c r="AP492" s="2">
        <v>0</v>
      </c>
      <c r="AQ492" s="2">
        <v>0</v>
      </c>
      <c r="AR492" s="2">
        <v>0</v>
      </c>
      <c r="AS492" s="2">
        <v>0</v>
      </c>
      <c r="AT492" s="2">
        <v>0</v>
      </c>
      <c r="AZ492" s="2" t="s">
        <v>3802</v>
      </c>
      <c r="BB492" s="2" t="str">
        <f>+PROPER(BD[[#This Row],[PRIMER_APELLIDO]])</f>
        <v>Madriz</v>
      </c>
    </row>
    <row r="493" spans="1:54" x14ac:dyDescent="0.25">
      <c r="A493" s="2">
        <v>492</v>
      </c>
      <c r="B493" s="2">
        <v>46835</v>
      </c>
      <c r="C493" s="2" t="s">
        <v>619</v>
      </c>
      <c r="D493" s="2" t="s">
        <v>620</v>
      </c>
      <c r="E493" s="2" t="s">
        <v>3803</v>
      </c>
      <c r="F493" s="2">
        <v>25024094</v>
      </c>
      <c r="G493" s="3">
        <v>36.794520547945204</v>
      </c>
      <c r="H493" s="2" t="s">
        <v>622</v>
      </c>
      <c r="I493" s="2" t="s">
        <v>3804</v>
      </c>
      <c r="J493" s="2" t="str">
        <f>+IF(BD[[#This Row],[DEPARTAMENTO_INSS]]="MANAGUA","_01_","_02_")</f>
        <v>_01_</v>
      </c>
      <c r="K493" s="2" t="str">
        <f>+CONCATENATE(BD[[#This Row],[Columna3]],BD[[#This Row],[Columna4]],BD[[#This Row],[NOMBRE COMPLETO]])</f>
        <v>E003_01_DARLIN VERONICA MIRANDA CALERO</v>
      </c>
      <c r="L493" s="2" t="s">
        <v>3805</v>
      </c>
      <c r="M493" s="2" t="s">
        <v>1464</v>
      </c>
      <c r="N493" s="2" t="s">
        <v>56</v>
      </c>
      <c r="O493" s="2" t="s">
        <v>80</v>
      </c>
      <c r="P493" s="2" t="s">
        <v>626</v>
      </c>
      <c r="Q493" s="2" t="s">
        <v>351</v>
      </c>
      <c r="R493" s="2">
        <v>31366</v>
      </c>
      <c r="S493" s="2">
        <v>31366</v>
      </c>
      <c r="T493" s="2" t="s">
        <v>627</v>
      </c>
      <c r="U493" s="2" t="s">
        <v>627</v>
      </c>
      <c r="V493" s="2" t="s">
        <v>627</v>
      </c>
      <c r="W493" s="2" t="s">
        <v>627</v>
      </c>
      <c r="X493" s="2" t="s">
        <v>3806</v>
      </c>
      <c r="Y493" s="2" t="s">
        <v>3807</v>
      </c>
      <c r="AA493" s="2" t="s">
        <v>3808</v>
      </c>
      <c r="AB493" s="2" t="s">
        <v>631</v>
      </c>
      <c r="AC493" s="2" t="s">
        <v>632</v>
      </c>
      <c r="AE493" s="2">
        <v>85184004</v>
      </c>
      <c r="AJ493" s="2">
        <v>85184004</v>
      </c>
      <c r="AK493" s="2">
        <v>2</v>
      </c>
      <c r="AL493" s="2" t="s">
        <v>633</v>
      </c>
      <c r="AM493" s="2">
        <v>0</v>
      </c>
      <c r="AN493" s="2">
        <v>0</v>
      </c>
      <c r="AO493" s="2">
        <v>1</v>
      </c>
      <c r="AP493" s="2">
        <v>0</v>
      </c>
      <c r="AQ493" s="2">
        <v>0</v>
      </c>
      <c r="AR493" s="2">
        <v>0</v>
      </c>
      <c r="AS493" s="2">
        <v>0</v>
      </c>
      <c r="AT493" s="2">
        <v>0</v>
      </c>
      <c r="BB493" s="2" t="str">
        <f>+PROPER(BD[[#This Row],[PRIMER_APELLIDO]])</f>
        <v>Miranda</v>
      </c>
    </row>
    <row r="494" spans="1:54" x14ac:dyDescent="0.25">
      <c r="A494" s="2">
        <v>493</v>
      </c>
      <c r="B494" s="2">
        <v>47746</v>
      </c>
      <c r="C494" s="2" t="s">
        <v>619</v>
      </c>
      <c r="D494" s="2" t="s">
        <v>620</v>
      </c>
      <c r="E494" s="2" t="s">
        <v>3809</v>
      </c>
      <c r="F494" s="2">
        <v>18606616</v>
      </c>
      <c r="G494" s="3">
        <v>36.794520547945204</v>
      </c>
      <c r="H494" s="2" t="s">
        <v>622</v>
      </c>
      <c r="I494" s="2" t="s">
        <v>3810</v>
      </c>
      <c r="J494" s="2" t="str">
        <f>+IF(BD[[#This Row],[DEPARTAMENTO_INSS]]="MANAGUA","_01_","_02_")</f>
        <v>_02_</v>
      </c>
      <c r="K494" s="2" t="str">
        <f>+CONCATENATE(BD[[#This Row],[Columna3]],BD[[#This Row],[Columna4]],BD[[#This Row],[NOMBRE COMPLETO]])</f>
        <v>E003_02_ANA LEE MARTINEZ ABELARDO</v>
      </c>
      <c r="L494" s="2" t="s">
        <v>860</v>
      </c>
      <c r="M494" s="2" t="s">
        <v>3811</v>
      </c>
      <c r="N494" s="2" t="s">
        <v>44</v>
      </c>
      <c r="O494" s="2" t="s">
        <v>3812</v>
      </c>
      <c r="P494" s="2" t="s">
        <v>626</v>
      </c>
      <c r="Q494" s="2" t="s">
        <v>351</v>
      </c>
      <c r="R494" s="2">
        <v>31366</v>
      </c>
      <c r="S494" s="2">
        <v>31366</v>
      </c>
      <c r="T494" s="2" t="s">
        <v>1005</v>
      </c>
      <c r="U494" s="2" t="s">
        <v>1005</v>
      </c>
      <c r="V494" s="2" t="s">
        <v>1006</v>
      </c>
      <c r="W494" s="2" t="s">
        <v>1006</v>
      </c>
      <c r="X494" s="2" t="s">
        <v>3813</v>
      </c>
      <c r="Y494" s="2" t="s">
        <v>3814</v>
      </c>
      <c r="Z494" s="2">
        <v>57918595</v>
      </c>
      <c r="AA494" s="2">
        <v>58297557</v>
      </c>
      <c r="AB494" s="2" t="s">
        <v>654</v>
      </c>
      <c r="AC494" s="2" t="s">
        <v>632</v>
      </c>
      <c r="AD494" s="2">
        <v>57918595</v>
      </c>
      <c r="AE494" s="2">
        <v>58297557</v>
      </c>
      <c r="AJ494" s="2">
        <v>57918595</v>
      </c>
      <c r="AK494" s="2">
        <v>2</v>
      </c>
      <c r="AL494" s="2" t="s">
        <v>633</v>
      </c>
      <c r="AM494" s="2">
        <v>0</v>
      </c>
      <c r="AN494" s="2">
        <v>0</v>
      </c>
      <c r="AO494" s="2">
        <v>1</v>
      </c>
      <c r="AP494" s="2">
        <v>0</v>
      </c>
      <c r="AQ494" s="2">
        <v>0</v>
      </c>
      <c r="AR494" s="2">
        <v>0</v>
      </c>
      <c r="AS494" s="2">
        <v>0</v>
      </c>
      <c r="AT494" s="2">
        <v>0</v>
      </c>
      <c r="AZ494" s="2" t="s">
        <v>3815</v>
      </c>
      <c r="BB494" s="2" t="str">
        <f>+PROPER(BD[[#This Row],[PRIMER_APELLIDO]])</f>
        <v>Martinez</v>
      </c>
    </row>
    <row r="495" spans="1:54" x14ac:dyDescent="0.25">
      <c r="A495" s="2">
        <v>494</v>
      </c>
      <c r="B495" s="2">
        <v>50454</v>
      </c>
      <c r="C495" s="2" t="s">
        <v>619</v>
      </c>
      <c r="D495" s="2" t="s">
        <v>620</v>
      </c>
      <c r="E495" s="2" t="s">
        <v>3816</v>
      </c>
      <c r="F495" s="2">
        <v>25623217</v>
      </c>
      <c r="G495" s="3">
        <v>36.794520547945204</v>
      </c>
      <c r="H495" s="2" t="s">
        <v>622</v>
      </c>
      <c r="I495" s="2" t="s">
        <v>3817</v>
      </c>
      <c r="J495" s="2" t="str">
        <f>+IF(BD[[#This Row],[DEPARTAMENTO_INSS]]="MANAGUA","_01_","_02_")</f>
        <v>_02_</v>
      </c>
      <c r="K495" s="2" t="str">
        <f>+CONCATENATE(BD[[#This Row],[Columna3]],BD[[#This Row],[Columna4]],BD[[#This Row],[NOMBRE COMPLETO]])</f>
        <v>E003_02_ERIK ALBERTO FITORIA URBINA</v>
      </c>
      <c r="L495" s="2" t="s">
        <v>3818</v>
      </c>
      <c r="M495" s="2" t="s">
        <v>1699</v>
      </c>
      <c r="N495" s="2" t="s">
        <v>355</v>
      </c>
      <c r="O495" s="2" t="s">
        <v>86</v>
      </c>
      <c r="P495" s="2" t="s">
        <v>649</v>
      </c>
      <c r="Q495" s="2" t="s">
        <v>351</v>
      </c>
      <c r="R495" s="2">
        <v>31366</v>
      </c>
      <c r="S495" s="2">
        <v>31366</v>
      </c>
      <c r="T495" s="2" t="s">
        <v>669</v>
      </c>
      <c r="U495" s="2" t="s">
        <v>705</v>
      </c>
      <c r="V495" s="2" t="s">
        <v>670</v>
      </c>
      <c r="W495" s="2" t="s">
        <v>705</v>
      </c>
      <c r="X495" s="2" t="s">
        <v>3819</v>
      </c>
      <c r="Y495" s="2" t="s">
        <v>3820</v>
      </c>
      <c r="AA495" s="2">
        <v>86110953</v>
      </c>
      <c r="AB495" s="2" t="s">
        <v>654</v>
      </c>
      <c r="AC495" s="2" t="s">
        <v>632</v>
      </c>
      <c r="AD495" s="2">
        <v>86110953</v>
      </c>
      <c r="AJ495" s="2">
        <v>86110953</v>
      </c>
      <c r="AK495" s="2">
        <v>1</v>
      </c>
      <c r="AL495" s="2" t="s">
        <v>633</v>
      </c>
      <c r="AM495" s="2">
        <v>0</v>
      </c>
      <c r="AN495" s="2">
        <v>0</v>
      </c>
      <c r="AO495" s="2">
        <v>1</v>
      </c>
      <c r="AP495" s="2">
        <v>0</v>
      </c>
      <c r="AQ495" s="2">
        <v>0</v>
      </c>
      <c r="AR495" s="2">
        <v>0</v>
      </c>
      <c r="AS495" s="2">
        <v>0</v>
      </c>
      <c r="AT495" s="2">
        <v>0</v>
      </c>
      <c r="BA495" s="2" t="s">
        <v>3821</v>
      </c>
      <c r="BB495" s="2" t="str">
        <f>+PROPER(BD[[#This Row],[PRIMER_APELLIDO]])</f>
        <v>Fitoria</v>
      </c>
    </row>
    <row r="496" spans="1:54" x14ac:dyDescent="0.25">
      <c r="A496" s="2">
        <v>495</v>
      </c>
      <c r="B496" s="2">
        <v>60804</v>
      </c>
      <c r="C496" s="2" t="s">
        <v>619</v>
      </c>
      <c r="D496" s="2" t="s">
        <v>620</v>
      </c>
      <c r="E496" s="2" t="s">
        <v>3822</v>
      </c>
      <c r="G496" s="3">
        <v>36.802739726027397</v>
      </c>
      <c r="H496" s="2" t="s">
        <v>622</v>
      </c>
      <c r="I496" s="2" t="s">
        <v>3823</v>
      </c>
      <c r="J496" s="2" t="str">
        <f>+IF(BD[[#This Row],[DEPARTAMENTO_INSS]]="MANAGUA","_01_","_02_")</f>
        <v>_01_</v>
      </c>
      <c r="K496" s="2" t="str">
        <f>+CONCATENATE(BD[[#This Row],[Columna3]],BD[[#This Row],[Columna4]],BD[[#This Row],[NOMBRE COMPLETO]])</f>
        <v>E003_01_DOUGLAS BENJAMIN CANTARERO PINEDA</v>
      </c>
      <c r="L496" s="2" t="s">
        <v>1603</v>
      </c>
      <c r="M496" s="2" t="s">
        <v>3824</v>
      </c>
      <c r="N496" s="2" t="s">
        <v>238</v>
      </c>
      <c r="O496" s="2" t="s">
        <v>187</v>
      </c>
      <c r="P496" s="2" t="s">
        <v>649</v>
      </c>
      <c r="Q496" s="2" t="s">
        <v>351</v>
      </c>
      <c r="R496" s="2">
        <v>31363</v>
      </c>
      <c r="S496" s="2">
        <v>31363</v>
      </c>
      <c r="T496" s="2" t="s">
        <v>627</v>
      </c>
      <c r="U496" s="2" t="s">
        <v>627</v>
      </c>
      <c r="V496" s="2" t="s">
        <v>627</v>
      </c>
      <c r="W496" s="2" t="s">
        <v>627</v>
      </c>
      <c r="X496" s="2" t="s">
        <v>3825</v>
      </c>
      <c r="Y496" s="2" t="s">
        <v>3826</v>
      </c>
      <c r="AA496" s="2">
        <v>81441732</v>
      </c>
      <c r="AB496" s="2" t="s">
        <v>654</v>
      </c>
      <c r="AC496" s="2" t="s">
        <v>632</v>
      </c>
      <c r="AD496" s="2">
        <v>81441732</v>
      </c>
      <c r="AJ496" s="2">
        <v>81441732</v>
      </c>
      <c r="AK496" s="2">
        <v>1</v>
      </c>
      <c r="AL496" s="2" t="s">
        <v>633</v>
      </c>
      <c r="AM496" s="2">
        <v>0</v>
      </c>
      <c r="AN496" s="2">
        <v>0</v>
      </c>
      <c r="AO496" s="2">
        <v>1</v>
      </c>
      <c r="AP496" s="2">
        <v>0</v>
      </c>
      <c r="AQ496" s="2">
        <v>0</v>
      </c>
      <c r="AR496" s="2">
        <v>0</v>
      </c>
      <c r="AS496" s="2">
        <v>0</v>
      </c>
      <c r="AT496" s="2">
        <v>0</v>
      </c>
      <c r="BA496" s="2" t="s">
        <v>3827</v>
      </c>
      <c r="BB496" s="2" t="str">
        <f>+PROPER(BD[[#This Row],[PRIMER_APELLIDO]])</f>
        <v>Cantarero</v>
      </c>
    </row>
    <row r="497" spans="1:54" x14ac:dyDescent="0.25">
      <c r="A497" s="2">
        <v>496</v>
      </c>
      <c r="B497" s="2">
        <v>67431</v>
      </c>
      <c r="C497" s="2" t="s">
        <v>619</v>
      </c>
      <c r="D497" s="2" t="s">
        <v>620</v>
      </c>
      <c r="E497" s="2" t="s">
        <v>3828</v>
      </c>
      <c r="G497" s="3">
        <v>36.802739726027397</v>
      </c>
      <c r="H497" s="2" t="s">
        <v>622</v>
      </c>
      <c r="I497" s="2" t="s">
        <v>3829</v>
      </c>
      <c r="J497" s="2" t="str">
        <f>+IF(BD[[#This Row],[DEPARTAMENTO_INSS]]="MANAGUA","_01_","_02_")</f>
        <v>_02_</v>
      </c>
      <c r="K497" s="2" t="str">
        <f>+CONCATENATE(BD[[#This Row],[Columna3]],BD[[#This Row],[Columna4]],BD[[#This Row],[NOMBRE COMPLETO]])</f>
        <v>E003_02_ROSA EMILIA GUTIERREZ VILLALTA</v>
      </c>
      <c r="L497" s="2" t="s">
        <v>667</v>
      </c>
      <c r="M497" s="2" t="s">
        <v>1274</v>
      </c>
      <c r="N497" s="2" t="s">
        <v>171</v>
      </c>
      <c r="O497" s="2" t="s">
        <v>3830</v>
      </c>
      <c r="P497" s="2" t="s">
        <v>626</v>
      </c>
      <c r="Q497" s="2" t="s">
        <v>351</v>
      </c>
      <c r="R497" s="2">
        <v>31363</v>
      </c>
      <c r="S497" s="2">
        <v>31363</v>
      </c>
      <c r="T497" s="2" t="s">
        <v>1191</v>
      </c>
      <c r="U497" s="2" t="s">
        <v>1191</v>
      </c>
      <c r="V497" s="2" t="s">
        <v>1300</v>
      </c>
      <c r="W497" s="2" t="s">
        <v>1300</v>
      </c>
      <c r="X497" s="2" t="s">
        <v>3831</v>
      </c>
      <c r="Y497" s="2" t="s">
        <v>3832</v>
      </c>
      <c r="Z497" s="2">
        <v>57247463</v>
      </c>
      <c r="AA497" s="2">
        <v>58296549</v>
      </c>
      <c r="AB497" s="2" t="s">
        <v>642</v>
      </c>
      <c r="AC497" s="2" t="s">
        <v>632</v>
      </c>
      <c r="AD497" s="2">
        <v>57247463</v>
      </c>
      <c r="AE497" s="2">
        <v>58296549</v>
      </c>
      <c r="AJ497" s="2">
        <v>57247463</v>
      </c>
      <c r="AK497" s="2">
        <v>2</v>
      </c>
      <c r="AL497" s="2" t="s">
        <v>633</v>
      </c>
      <c r="AM497" s="2">
        <v>0</v>
      </c>
      <c r="AN497" s="2">
        <v>0</v>
      </c>
      <c r="AO497" s="2">
        <v>1</v>
      </c>
      <c r="AP497" s="2">
        <v>0</v>
      </c>
      <c r="AQ497" s="2">
        <v>0</v>
      </c>
      <c r="AR497" s="2">
        <v>0</v>
      </c>
      <c r="AS497" s="2">
        <v>0</v>
      </c>
      <c r="AT497" s="2">
        <v>0</v>
      </c>
      <c r="AZ497" s="2" t="s">
        <v>3833</v>
      </c>
      <c r="BB497" s="2" t="str">
        <f>+PROPER(BD[[#This Row],[PRIMER_APELLIDO]])</f>
        <v>Gutierrez</v>
      </c>
    </row>
    <row r="498" spans="1:54" x14ac:dyDescent="0.25">
      <c r="A498" s="2">
        <v>497</v>
      </c>
      <c r="B498" s="2">
        <v>33339</v>
      </c>
      <c r="C498" s="2" t="s">
        <v>619</v>
      </c>
      <c r="D498" s="2" t="s">
        <v>620</v>
      </c>
      <c r="E498" s="2" t="s">
        <v>3834</v>
      </c>
      <c r="F498" s="2">
        <v>24630188</v>
      </c>
      <c r="G498" s="3">
        <v>36.805479452054797</v>
      </c>
      <c r="H498" s="2" t="s">
        <v>622</v>
      </c>
      <c r="I498" s="2" t="s">
        <v>3835</v>
      </c>
      <c r="J498" s="2" t="str">
        <f>+IF(BD[[#This Row],[DEPARTAMENTO_INSS]]="MANAGUA","_01_","_02_")</f>
        <v>_02_</v>
      </c>
      <c r="K498" s="2" t="str">
        <f>+CONCATENATE(BD[[#This Row],[Columna3]],BD[[#This Row],[Columna4]],BD[[#This Row],[NOMBRE COMPLETO]])</f>
        <v>E003_02_LAUREANO MERCEDES SANTANA PRADO</v>
      </c>
      <c r="L498" s="2" t="s">
        <v>3836</v>
      </c>
      <c r="M498" s="2" t="s">
        <v>769</v>
      </c>
      <c r="N498" s="2" t="s">
        <v>308</v>
      </c>
      <c r="O498" s="2" t="s">
        <v>369</v>
      </c>
      <c r="P498" s="2" t="s">
        <v>649</v>
      </c>
      <c r="Q498" s="2" t="s">
        <v>351</v>
      </c>
      <c r="R498" s="2">
        <v>31362</v>
      </c>
      <c r="S498" s="2">
        <v>31362</v>
      </c>
      <c r="T498" s="2" t="s">
        <v>176</v>
      </c>
      <c r="U498" s="2" t="s">
        <v>176</v>
      </c>
      <c r="V498" s="2" t="s">
        <v>650</v>
      </c>
      <c r="W498" s="2" t="s">
        <v>2609</v>
      </c>
      <c r="X498" s="2" t="s">
        <v>3837</v>
      </c>
      <c r="Y498" s="2" t="s">
        <v>3838</v>
      </c>
      <c r="Z498" s="2">
        <v>84451285</v>
      </c>
      <c r="AA498" s="2">
        <v>78774420</v>
      </c>
      <c r="AB498" s="2" t="s">
        <v>654</v>
      </c>
      <c r="AC498" s="2" t="s">
        <v>632</v>
      </c>
      <c r="AD498" s="2">
        <v>84451285</v>
      </c>
      <c r="AF498" s="2">
        <v>78774420</v>
      </c>
      <c r="AJ498" s="2">
        <v>84451285</v>
      </c>
      <c r="AK498" s="2">
        <v>2</v>
      </c>
      <c r="AL498" s="2" t="s">
        <v>633</v>
      </c>
      <c r="AM498" s="2">
        <v>0</v>
      </c>
      <c r="AN498" s="2">
        <v>0</v>
      </c>
      <c r="AO498" s="2">
        <v>1</v>
      </c>
      <c r="AP498" s="2">
        <v>0</v>
      </c>
      <c r="AQ498" s="2">
        <v>0</v>
      </c>
      <c r="AR498" s="2">
        <v>0</v>
      </c>
      <c r="AS498" s="2">
        <v>0</v>
      </c>
      <c r="AT498" s="2">
        <v>0</v>
      </c>
      <c r="AZ498" s="2" t="s">
        <v>3839</v>
      </c>
      <c r="BB498" s="2" t="str">
        <f>+PROPER(BD[[#This Row],[PRIMER_APELLIDO]])</f>
        <v>Santana</v>
      </c>
    </row>
    <row r="499" spans="1:54" x14ac:dyDescent="0.25">
      <c r="A499" s="2">
        <v>498</v>
      </c>
      <c r="B499" s="2">
        <v>47010</v>
      </c>
      <c r="C499" s="2" t="s">
        <v>619</v>
      </c>
      <c r="D499" s="2" t="s">
        <v>620</v>
      </c>
      <c r="E499" s="2" t="s">
        <v>3840</v>
      </c>
      <c r="F499" s="2">
        <v>23109119</v>
      </c>
      <c r="G499" s="3">
        <v>36.805479452054797</v>
      </c>
      <c r="H499" s="2" t="s">
        <v>622</v>
      </c>
      <c r="I499" s="2" t="s">
        <v>3841</v>
      </c>
      <c r="J499" s="2" t="str">
        <f>+IF(BD[[#This Row],[DEPARTAMENTO_INSS]]="MANAGUA","_01_","_02_")</f>
        <v>_02_</v>
      </c>
      <c r="K499" s="2" t="str">
        <f>+CONCATENATE(BD[[#This Row],[Columna3]],BD[[#This Row],[Columna4]],BD[[#This Row],[NOMBRE COMPLETO]])</f>
        <v>E003_02_ZAYDA LISBETH BOGRAN ESTRADA</v>
      </c>
      <c r="L499" s="2" t="s">
        <v>3842</v>
      </c>
      <c r="M499" s="2" t="s">
        <v>1359</v>
      </c>
      <c r="N499" s="2" t="s">
        <v>301</v>
      </c>
      <c r="O499" s="2" t="s">
        <v>225</v>
      </c>
      <c r="P499" s="2" t="s">
        <v>626</v>
      </c>
      <c r="Q499" s="2" t="s">
        <v>351</v>
      </c>
      <c r="R499" s="2">
        <v>31362</v>
      </c>
      <c r="S499" s="2">
        <v>31362</v>
      </c>
      <c r="T499" s="2" t="s">
        <v>444</v>
      </c>
      <c r="U499" s="2" t="s">
        <v>444</v>
      </c>
      <c r="V499" s="2" t="s">
        <v>3843</v>
      </c>
      <c r="W499" s="2" t="s">
        <v>3843</v>
      </c>
      <c r="X499" s="2" t="s">
        <v>3844</v>
      </c>
      <c r="Y499" s="2" t="s">
        <v>3845</v>
      </c>
      <c r="Z499" s="2">
        <v>84336877</v>
      </c>
      <c r="AA499" s="2" t="s">
        <v>3846</v>
      </c>
      <c r="AB499" s="2" t="s">
        <v>642</v>
      </c>
      <c r="AC499" s="2" t="s">
        <v>632</v>
      </c>
      <c r="AD499" s="2">
        <v>84336877</v>
      </c>
      <c r="AE499" s="2">
        <v>89309036</v>
      </c>
      <c r="AJ499" s="2">
        <v>84336877</v>
      </c>
      <c r="AK499" s="2">
        <v>3</v>
      </c>
      <c r="AL499" s="2" t="s">
        <v>633</v>
      </c>
      <c r="AM499" s="2">
        <v>0</v>
      </c>
      <c r="AN499" s="2">
        <v>0</v>
      </c>
      <c r="AO499" s="2">
        <v>1</v>
      </c>
      <c r="AP499" s="2">
        <v>0</v>
      </c>
      <c r="AQ499" s="2">
        <v>0</v>
      </c>
      <c r="AR499" s="2">
        <v>0</v>
      </c>
      <c r="AS499" s="2">
        <v>0</v>
      </c>
      <c r="AT499" s="2">
        <v>0</v>
      </c>
      <c r="AZ499" s="2" t="s">
        <v>3847</v>
      </c>
      <c r="BB499" s="2" t="str">
        <f>+PROPER(BD[[#This Row],[PRIMER_APELLIDO]])</f>
        <v>Bogran</v>
      </c>
    </row>
    <row r="500" spans="1:54" x14ac:dyDescent="0.25">
      <c r="A500" s="2">
        <v>499</v>
      </c>
      <c r="B500" s="2">
        <v>48372</v>
      </c>
      <c r="C500" s="2" t="s">
        <v>619</v>
      </c>
      <c r="D500" s="2" t="s">
        <v>620</v>
      </c>
      <c r="E500" s="2" t="s">
        <v>3848</v>
      </c>
      <c r="F500" s="2">
        <v>31559409</v>
      </c>
      <c r="G500" s="3">
        <v>36.805479452054797</v>
      </c>
      <c r="H500" s="2" t="s">
        <v>622</v>
      </c>
      <c r="I500" s="2" t="s">
        <v>3849</v>
      </c>
      <c r="J500" s="2" t="str">
        <f>+IF(BD[[#This Row],[DEPARTAMENTO_INSS]]="MANAGUA","_01_","_02_")</f>
        <v>_01_</v>
      </c>
      <c r="K500" s="2" t="str">
        <f>+CONCATENATE(BD[[#This Row],[Columna3]],BD[[#This Row],[Columna4]],BD[[#This Row],[NOMBRE COMPLETO]])</f>
        <v>E003_01_JOSE NICOLAS DE LA CRUZ CRUZ</v>
      </c>
      <c r="L500" s="2" t="s">
        <v>243</v>
      </c>
      <c r="M500" s="2" t="s">
        <v>3850</v>
      </c>
      <c r="N500" s="2" t="s">
        <v>217</v>
      </c>
      <c r="O500" s="2" t="s">
        <v>32</v>
      </c>
      <c r="P500" s="2" t="s">
        <v>649</v>
      </c>
      <c r="Q500" s="2" t="s">
        <v>351</v>
      </c>
      <c r="R500" s="2">
        <v>31362</v>
      </c>
      <c r="S500" s="2">
        <v>31362</v>
      </c>
      <c r="T500" s="2" t="s">
        <v>627</v>
      </c>
      <c r="U500" s="2" t="s">
        <v>627</v>
      </c>
      <c r="V500" s="2" t="s">
        <v>627</v>
      </c>
      <c r="W500" s="2" t="s">
        <v>627</v>
      </c>
      <c r="X500" s="2" t="s">
        <v>3851</v>
      </c>
      <c r="Y500" s="2" t="s">
        <v>3852</v>
      </c>
      <c r="AA500" s="2">
        <v>76584917</v>
      </c>
      <c r="AB500" s="2" t="s">
        <v>798</v>
      </c>
      <c r="AC500" s="2" t="s">
        <v>632</v>
      </c>
      <c r="AD500" s="2">
        <v>76584917</v>
      </c>
      <c r="AJ500" s="2">
        <v>76584917</v>
      </c>
      <c r="AK500" s="2">
        <v>1</v>
      </c>
      <c r="AL500" s="2" t="s">
        <v>633</v>
      </c>
      <c r="AM500" s="2">
        <v>0</v>
      </c>
      <c r="AN500" s="2">
        <v>0</v>
      </c>
      <c r="AO500" s="2">
        <v>1</v>
      </c>
      <c r="AP500" s="2">
        <v>0</v>
      </c>
      <c r="AQ500" s="2">
        <v>0</v>
      </c>
      <c r="AR500" s="2">
        <v>0</v>
      </c>
      <c r="AS500" s="2">
        <v>0</v>
      </c>
      <c r="AT500" s="2">
        <v>0</v>
      </c>
      <c r="BB500" s="2" t="str">
        <f>+PROPER(BD[[#This Row],[PRIMER_APELLIDO]])</f>
        <v>De La Cruz</v>
      </c>
    </row>
    <row r="501" spans="1:54" x14ac:dyDescent="0.25">
      <c r="A501" s="2">
        <v>500</v>
      </c>
      <c r="B501" s="2">
        <v>65471</v>
      </c>
      <c r="C501" s="2" t="s">
        <v>619</v>
      </c>
      <c r="D501" s="2" t="s">
        <v>620</v>
      </c>
      <c r="E501" s="2" t="s">
        <v>3853</v>
      </c>
      <c r="G501" s="3">
        <v>36.805479452054797</v>
      </c>
      <c r="H501" s="2" t="s">
        <v>622</v>
      </c>
      <c r="I501" s="2" t="s">
        <v>3854</v>
      </c>
      <c r="J501" s="2" t="str">
        <f>+IF(BD[[#This Row],[DEPARTAMENTO_INSS]]="MANAGUA","_01_","_02_")</f>
        <v>_01_</v>
      </c>
      <c r="K501" s="2" t="str">
        <f>+CONCATENATE(BD[[#This Row],[Columna3]],BD[[#This Row],[Columna4]],BD[[#This Row],[NOMBRE COMPLETO]])</f>
        <v>E003_01_MAYNOR ALBERTO PONCE ORTIZ</v>
      </c>
      <c r="L501" s="2" t="s">
        <v>3855</v>
      </c>
      <c r="M501" s="2" t="s">
        <v>1699</v>
      </c>
      <c r="N501" s="2" t="s">
        <v>226</v>
      </c>
      <c r="O501" s="2" t="s">
        <v>109</v>
      </c>
      <c r="P501" s="2" t="s">
        <v>649</v>
      </c>
      <c r="Q501" s="2" t="s">
        <v>351</v>
      </c>
      <c r="R501" s="2">
        <v>31362</v>
      </c>
      <c r="S501" s="2">
        <v>31362</v>
      </c>
      <c r="T501" s="2" t="s">
        <v>627</v>
      </c>
      <c r="U501" s="2" t="s">
        <v>627</v>
      </c>
      <c r="V501" s="2" t="s">
        <v>627</v>
      </c>
      <c r="W501" s="2" t="s">
        <v>627</v>
      </c>
      <c r="X501" s="2" t="s">
        <v>3856</v>
      </c>
      <c r="Y501" s="2" t="s">
        <v>3857</v>
      </c>
      <c r="Z501" s="2">
        <v>77357465</v>
      </c>
      <c r="AA501" s="2">
        <v>77357465</v>
      </c>
      <c r="AB501" s="2" t="s">
        <v>654</v>
      </c>
      <c r="AC501" s="2" t="s">
        <v>632</v>
      </c>
      <c r="AD501" s="2">
        <v>77357465</v>
      </c>
      <c r="AJ501" s="2">
        <v>77357465</v>
      </c>
      <c r="AK501" s="2">
        <v>2</v>
      </c>
      <c r="AL501" s="2" t="s">
        <v>633</v>
      </c>
      <c r="AM501" s="2">
        <v>0</v>
      </c>
      <c r="AN501" s="2">
        <v>0</v>
      </c>
      <c r="AO501" s="2">
        <v>1</v>
      </c>
      <c r="AP501" s="2">
        <v>0</v>
      </c>
      <c r="AQ501" s="2">
        <v>0</v>
      </c>
      <c r="AR501" s="2">
        <v>0</v>
      </c>
      <c r="AS501" s="2">
        <v>0</v>
      </c>
      <c r="AT501" s="2">
        <v>0</v>
      </c>
      <c r="BB501" s="2" t="str">
        <f>+PROPER(BD[[#This Row],[PRIMER_APELLIDO]])</f>
        <v>Ponce</v>
      </c>
    </row>
    <row r="502" spans="1:54" x14ac:dyDescent="0.25">
      <c r="A502" s="2">
        <v>501</v>
      </c>
      <c r="B502" s="2">
        <v>40420</v>
      </c>
      <c r="C502" s="2" t="s">
        <v>619</v>
      </c>
      <c r="D502" s="2" t="s">
        <v>620</v>
      </c>
      <c r="E502" s="2" t="s">
        <v>3858</v>
      </c>
      <c r="F502" s="2">
        <v>31589981</v>
      </c>
      <c r="G502" s="3">
        <v>36.813698630136983</v>
      </c>
      <c r="H502" s="2" t="s">
        <v>622</v>
      </c>
      <c r="I502" s="2" t="s">
        <v>3859</v>
      </c>
      <c r="J502" s="2" t="str">
        <f>+IF(BD[[#This Row],[DEPARTAMENTO_INSS]]="MANAGUA","_01_","_02_")</f>
        <v>_01_</v>
      </c>
      <c r="K502" s="2" t="str">
        <f>+CONCATENATE(BD[[#This Row],[Columna3]],BD[[#This Row],[Columna4]],BD[[#This Row],[NOMBRE COMPLETO]])</f>
        <v>E003_01_LUIS CARLOS DE TRINIDAD ARGUELLO</v>
      </c>
      <c r="L502" s="2" t="s">
        <v>738</v>
      </c>
      <c r="M502" s="2" t="s">
        <v>826</v>
      </c>
      <c r="N502" s="2" t="s">
        <v>83</v>
      </c>
      <c r="O502" s="2" t="s">
        <v>271</v>
      </c>
      <c r="P502" s="2" t="s">
        <v>649</v>
      </c>
      <c r="Q502" s="2" t="s">
        <v>351</v>
      </c>
      <c r="R502" s="2">
        <v>31359</v>
      </c>
      <c r="S502" s="2">
        <v>31359</v>
      </c>
      <c r="T502" s="2" t="s">
        <v>627</v>
      </c>
      <c r="U502" s="2" t="s">
        <v>627</v>
      </c>
      <c r="V502" s="2" t="s">
        <v>627</v>
      </c>
      <c r="W502" s="2" t="s">
        <v>627</v>
      </c>
      <c r="X502" s="2" t="s">
        <v>3860</v>
      </c>
      <c r="Y502" s="2" t="s">
        <v>3861</v>
      </c>
      <c r="AA502" s="2">
        <v>84819137</v>
      </c>
      <c r="AB502" s="2" t="s">
        <v>654</v>
      </c>
      <c r="AC502" s="2" t="s">
        <v>632</v>
      </c>
      <c r="AD502" s="2">
        <v>84819137</v>
      </c>
      <c r="AJ502" s="2">
        <v>84819137</v>
      </c>
      <c r="AK502" s="2">
        <v>1</v>
      </c>
      <c r="AL502" s="2" t="s">
        <v>633</v>
      </c>
      <c r="AM502" s="2">
        <v>0</v>
      </c>
      <c r="AN502" s="2">
        <v>0</v>
      </c>
      <c r="AO502" s="2">
        <v>1</v>
      </c>
      <c r="AP502" s="2">
        <v>0</v>
      </c>
      <c r="AQ502" s="2">
        <v>0</v>
      </c>
      <c r="AR502" s="2">
        <v>0</v>
      </c>
      <c r="AS502" s="2">
        <v>0</v>
      </c>
      <c r="AT502" s="2">
        <v>0</v>
      </c>
      <c r="BA502" s="2" t="s">
        <v>3862</v>
      </c>
      <c r="BB502" s="2" t="str">
        <f>+PROPER(BD[[#This Row],[PRIMER_APELLIDO]])</f>
        <v>De Trinidad</v>
      </c>
    </row>
    <row r="503" spans="1:54" x14ac:dyDescent="0.25">
      <c r="A503" s="2">
        <v>502</v>
      </c>
      <c r="B503" s="2">
        <v>40531</v>
      </c>
      <c r="C503" s="2" t="s">
        <v>619</v>
      </c>
      <c r="D503" s="2" t="s">
        <v>620</v>
      </c>
      <c r="E503" s="2" t="s">
        <v>3863</v>
      </c>
      <c r="F503" s="2">
        <v>23179440</v>
      </c>
      <c r="G503" s="3">
        <v>36.813698630136983</v>
      </c>
      <c r="H503" s="2" t="s">
        <v>622</v>
      </c>
      <c r="I503" s="2" t="s">
        <v>3864</v>
      </c>
      <c r="J503" s="2" t="str">
        <f>+IF(BD[[#This Row],[DEPARTAMENTO_INSS]]="MANAGUA","_01_","_02_")</f>
        <v>_02_</v>
      </c>
      <c r="K503" s="2" t="str">
        <f>+CONCATENATE(BD[[#This Row],[Columna3]],BD[[#This Row],[Columna4]],BD[[#This Row],[NOMBRE COMPLETO]])</f>
        <v>E003_02_OSCAR DANILO RENTERIA RUIZ</v>
      </c>
      <c r="L503" s="2" t="s">
        <v>2539</v>
      </c>
      <c r="M503" s="2" t="s">
        <v>1659</v>
      </c>
      <c r="N503" s="2" t="s">
        <v>339</v>
      </c>
      <c r="O503" s="2" t="s">
        <v>84</v>
      </c>
      <c r="P503" s="2" t="s">
        <v>649</v>
      </c>
      <c r="Q503" s="2" t="s">
        <v>351</v>
      </c>
      <c r="R503" s="2">
        <v>31359</v>
      </c>
      <c r="S503" s="2">
        <v>31359</v>
      </c>
      <c r="T503" s="2" t="s">
        <v>705</v>
      </c>
      <c r="U503" s="2" t="s">
        <v>705</v>
      </c>
      <c r="V503" s="2" t="s">
        <v>725</v>
      </c>
      <c r="W503" s="2" t="s">
        <v>705</v>
      </c>
      <c r="X503" s="2" t="s">
        <v>3865</v>
      </c>
      <c r="Y503" s="2" t="s">
        <v>3866</v>
      </c>
      <c r="Z503" s="2">
        <v>85604619</v>
      </c>
      <c r="AA503" s="2" t="s">
        <v>3867</v>
      </c>
      <c r="AB503" s="2" t="s">
        <v>654</v>
      </c>
      <c r="AC503" s="2" t="s">
        <v>632</v>
      </c>
      <c r="AD503" s="2">
        <v>85604619</v>
      </c>
      <c r="AE503" s="2">
        <v>84680022</v>
      </c>
      <c r="AJ503" s="2">
        <v>85604619</v>
      </c>
      <c r="AK503" s="2">
        <v>3</v>
      </c>
      <c r="AL503" s="2" t="s">
        <v>633</v>
      </c>
      <c r="AM503" s="2">
        <v>0</v>
      </c>
      <c r="AN503" s="2">
        <v>0</v>
      </c>
      <c r="AO503" s="2">
        <v>1</v>
      </c>
      <c r="AP503" s="2">
        <v>0</v>
      </c>
      <c r="AQ503" s="2">
        <v>0</v>
      </c>
      <c r="AR503" s="2">
        <v>0</v>
      </c>
      <c r="AS503" s="2">
        <v>0</v>
      </c>
      <c r="AT503" s="2">
        <v>0</v>
      </c>
      <c r="BB503" s="2" t="str">
        <f>+PROPER(BD[[#This Row],[PRIMER_APELLIDO]])</f>
        <v>Renteria</v>
      </c>
    </row>
    <row r="504" spans="1:54" x14ac:dyDescent="0.25">
      <c r="A504" s="2">
        <v>503</v>
      </c>
      <c r="B504" s="2">
        <v>32889</v>
      </c>
      <c r="C504" s="2" t="s">
        <v>619</v>
      </c>
      <c r="D504" s="2" t="s">
        <v>620</v>
      </c>
      <c r="E504" s="2" t="s">
        <v>3868</v>
      </c>
      <c r="F504" s="2">
        <v>21713880</v>
      </c>
      <c r="G504" s="3">
        <v>36.819178082191783</v>
      </c>
      <c r="H504" s="2" t="s">
        <v>622</v>
      </c>
      <c r="I504" s="2" t="s">
        <v>3869</v>
      </c>
      <c r="J504" s="2" t="str">
        <f>+IF(BD[[#This Row],[DEPARTAMENTO_INSS]]="MANAGUA","_01_","_02_")</f>
        <v>_01_</v>
      </c>
      <c r="K504" s="2" t="str">
        <f>+CONCATENATE(BD[[#This Row],[Columna3]],BD[[#This Row],[Columna4]],BD[[#This Row],[NOMBRE COMPLETO]])</f>
        <v>E003_01_SANDRA PATRICIA LUMBI CHAMORRO</v>
      </c>
      <c r="L504" s="2" t="s">
        <v>1843</v>
      </c>
      <c r="M504" s="2" t="s">
        <v>747</v>
      </c>
      <c r="N504" s="2" t="s">
        <v>13</v>
      </c>
      <c r="O504" s="2" t="s">
        <v>1914</v>
      </c>
      <c r="P504" s="2" t="s">
        <v>626</v>
      </c>
      <c r="Q504" s="2" t="s">
        <v>351</v>
      </c>
      <c r="R504" s="2">
        <v>31357</v>
      </c>
      <c r="S504" s="2">
        <v>31357</v>
      </c>
      <c r="T504" s="2" t="s">
        <v>627</v>
      </c>
      <c r="U504" s="2" t="s">
        <v>627</v>
      </c>
      <c r="V504" s="2" t="s">
        <v>627</v>
      </c>
      <c r="W504" s="2" t="s">
        <v>627</v>
      </c>
      <c r="X504" s="2" t="s">
        <v>3870</v>
      </c>
      <c r="Y504" s="2" t="s">
        <v>3871</v>
      </c>
      <c r="AA504" s="2" t="s">
        <v>3872</v>
      </c>
      <c r="AB504" s="2" t="s">
        <v>654</v>
      </c>
      <c r="AC504" s="2" t="s">
        <v>632</v>
      </c>
      <c r="AE504" s="2">
        <v>86032072</v>
      </c>
      <c r="AH504" s="2">
        <v>81717287</v>
      </c>
      <c r="AJ504" s="2">
        <v>86032072</v>
      </c>
      <c r="AK504" s="2">
        <v>3</v>
      </c>
      <c r="AL504" s="2" t="s">
        <v>633</v>
      </c>
      <c r="AM504" s="2">
        <v>0</v>
      </c>
      <c r="AN504" s="2">
        <v>0</v>
      </c>
      <c r="AO504" s="2">
        <v>1</v>
      </c>
      <c r="AP504" s="2">
        <v>0</v>
      </c>
      <c r="AQ504" s="2">
        <v>0</v>
      </c>
      <c r="AR504" s="2">
        <v>0</v>
      </c>
      <c r="AS504" s="2">
        <v>0</v>
      </c>
      <c r="AT504" s="2">
        <v>0</v>
      </c>
      <c r="BB504" s="2" t="str">
        <f>+PROPER(BD[[#This Row],[PRIMER_APELLIDO]])</f>
        <v>Lumbi</v>
      </c>
    </row>
    <row r="505" spans="1:54" x14ac:dyDescent="0.25">
      <c r="A505" s="2">
        <v>504</v>
      </c>
      <c r="B505" s="2">
        <v>56832</v>
      </c>
      <c r="C505" s="2" t="s">
        <v>619</v>
      </c>
      <c r="D505" s="2" t="s">
        <v>620</v>
      </c>
      <c r="E505" s="2" t="s">
        <v>3873</v>
      </c>
      <c r="G505" s="3">
        <v>36.819178082191783</v>
      </c>
      <c r="H505" s="2" t="s">
        <v>622</v>
      </c>
      <c r="I505" s="2" t="s">
        <v>3874</v>
      </c>
      <c r="J505" s="2" t="str">
        <f>+IF(BD[[#This Row],[DEPARTAMENTO_INSS]]="MANAGUA","_01_","_02_")</f>
        <v>_02_</v>
      </c>
      <c r="K505" s="2" t="str">
        <f>+CONCATENATE(BD[[#This Row],[Columna3]],BD[[#This Row],[Columna4]],BD[[#This Row],[NOMBRE COMPLETO]])</f>
        <v>E003_02_MARIA ELENA VILCHEZ TERCERO</v>
      </c>
      <c r="L505" s="2" t="s">
        <v>724</v>
      </c>
      <c r="M505" s="2" t="s">
        <v>1626</v>
      </c>
      <c r="N505" s="2" t="s">
        <v>239</v>
      </c>
      <c r="O505" s="2" t="s">
        <v>175</v>
      </c>
      <c r="P505" s="2" t="s">
        <v>626</v>
      </c>
      <c r="Q505" s="2" t="s">
        <v>351</v>
      </c>
      <c r="R505" s="2">
        <v>31357</v>
      </c>
      <c r="S505" s="2">
        <v>31357</v>
      </c>
      <c r="T505" s="2" t="s">
        <v>176</v>
      </c>
      <c r="U505" s="2" t="s">
        <v>176</v>
      </c>
      <c r="V505" s="2" t="s">
        <v>2609</v>
      </c>
      <c r="W505" s="2" t="s">
        <v>2609</v>
      </c>
      <c r="X505" s="2" t="s">
        <v>3875</v>
      </c>
      <c r="Y505" s="2" t="s">
        <v>3876</v>
      </c>
      <c r="Z505" s="2">
        <v>81722820</v>
      </c>
      <c r="AA505" s="2">
        <v>17909213</v>
      </c>
      <c r="AB505" s="2" t="s">
        <v>631</v>
      </c>
      <c r="AC505" s="2" t="s">
        <v>632</v>
      </c>
      <c r="AD505" s="2">
        <v>81722820</v>
      </c>
      <c r="AJ505" s="2">
        <v>81722820</v>
      </c>
      <c r="AK505" s="2">
        <v>2</v>
      </c>
      <c r="AL505" s="2" t="s">
        <v>633</v>
      </c>
      <c r="AM505" s="2">
        <v>0</v>
      </c>
      <c r="AN505" s="2">
        <v>0</v>
      </c>
      <c r="AO505" s="2">
        <v>1</v>
      </c>
      <c r="AP505" s="2">
        <v>0</v>
      </c>
      <c r="AQ505" s="2">
        <v>0</v>
      </c>
      <c r="AR505" s="2">
        <v>0</v>
      </c>
      <c r="AS505" s="2">
        <v>0</v>
      </c>
      <c r="AT505" s="2">
        <v>0</v>
      </c>
      <c r="AZ505" s="2" t="s">
        <v>3877</v>
      </c>
      <c r="BB505" s="2" t="str">
        <f>+PROPER(BD[[#This Row],[PRIMER_APELLIDO]])</f>
        <v>Vilchez</v>
      </c>
    </row>
    <row r="506" spans="1:54" x14ac:dyDescent="0.25">
      <c r="A506" s="2">
        <v>505</v>
      </c>
      <c r="B506" s="2">
        <v>58832</v>
      </c>
      <c r="C506" s="2" t="s">
        <v>619</v>
      </c>
      <c r="D506" s="2" t="s">
        <v>620</v>
      </c>
      <c r="E506" s="2" t="s">
        <v>3878</v>
      </c>
      <c r="G506" s="3">
        <v>36.819178082191783</v>
      </c>
      <c r="H506" s="2" t="s">
        <v>622</v>
      </c>
      <c r="I506" s="2" t="s">
        <v>3879</v>
      </c>
      <c r="J506" s="2" t="str">
        <f>+IF(BD[[#This Row],[DEPARTAMENTO_INSS]]="MANAGUA","_01_","_02_")</f>
        <v>_02_</v>
      </c>
      <c r="K506" s="2" t="str">
        <f>+CONCATENATE(BD[[#This Row],[Columna3]],BD[[#This Row],[Columna4]],BD[[#This Row],[NOMBRE COMPLETO]])</f>
        <v>E003_02_ELVIN JOSE SEGURA REYES</v>
      </c>
      <c r="L506" s="2" t="s">
        <v>3880</v>
      </c>
      <c r="M506" s="2" t="s">
        <v>243</v>
      </c>
      <c r="N506" s="2" t="s">
        <v>220</v>
      </c>
      <c r="O506" s="2" t="s">
        <v>74</v>
      </c>
      <c r="P506" s="2" t="s">
        <v>649</v>
      </c>
      <c r="Q506" s="2" t="s">
        <v>351</v>
      </c>
      <c r="R506" s="2">
        <v>31357</v>
      </c>
      <c r="S506" s="2">
        <v>31357</v>
      </c>
      <c r="T506" s="2" t="s">
        <v>780</v>
      </c>
      <c r="U506" s="2" t="s">
        <v>780</v>
      </c>
      <c r="V506" s="2" t="s">
        <v>781</v>
      </c>
      <c r="W506" s="2" t="s">
        <v>795</v>
      </c>
      <c r="X506" s="2" t="s">
        <v>3881</v>
      </c>
      <c r="Y506" s="2" t="s">
        <v>3882</v>
      </c>
      <c r="Z506" s="2">
        <v>77060612</v>
      </c>
      <c r="AA506" s="2">
        <v>58228381</v>
      </c>
      <c r="AB506" s="2" t="s">
        <v>654</v>
      </c>
      <c r="AC506" s="2" t="s">
        <v>632</v>
      </c>
      <c r="AD506" s="2">
        <v>77060612</v>
      </c>
      <c r="AF506" s="2">
        <v>58228381</v>
      </c>
      <c r="AJ506" s="2">
        <v>77060612</v>
      </c>
      <c r="AK506" s="2">
        <v>2</v>
      </c>
      <c r="AL506" s="2" t="s">
        <v>633</v>
      </c>
      <c r="AM506" s="2">
        <v>0</v>
      </c>
      <c r="AN506" s="2">
        <v>0</v>
      </c>
      <c r="AO506" s="2">
        <v>1</v>
      </c>
      <c r="AP506" s="2">
        <v>0</v>
      </c>
      <c r="AQ506" s="2">
        <v>0</v>
      </c>
      <c r="AR506" s="2">
        <v>0</v>
      </c>
      <c r="AS506" s="2">
        <v>0</v>
      </c>
      <c r="AT506" s="2">
        <v>0</v>
      </c>
      <c r="AZ506" s="2" t="s">
        <v>3883</v>
      </c>
      <c r="BB506" s="2" t="str">
        <f>+PROPER(BD[[#This Row],[PRIMER_APELLIDO]])</f>
        <v>Segura</v>
      </c>
    </row>
    <row r="507" spans="1:54" x14ac:dyDescent="0.25">
      <c r="A507" s="2">
        <v>506</v>
      </c>
      <c r="B507" s="2">
        <v>33362</v>
      </c>
      <c r="C507" s="2" t="s">
        <v>619</v>
      </c>
      <c r="D507" s="2" t="s">
        <v>620</v>
      </c>
      <c r="E507" s="2" t="s">
        <v>3884</v>
      </c>
      <c r="G507" s="3">
        <v>36.821917808219176</v>
      </c>
      <c r="H507" s="2" t="s">
        <v>622</v>
      </c>
      <c r="I507" s="2" t="s">
        <v>3885</v>
      </c>
      <c r="J507" s="2" t="str">
        <f>+IF(BD[[#This Row],[DEPARTAMENTO_INSS]]="MANAGUA","_01_","_02_")</f>
        <v>_02_</v>
      </c>
      <c r="K507" s="2" t="str">
        <f>+CONCATENATE(BD[[#This Row],[Columna3]],BD[[#This Row],[Columna4]],BD[[#This Row],[NOMBRE COMPLETO]])</f>
        <v>E003_02_FRANCISCO DAVID SOLIS SALMERON</v>
      </c>
      <c r="L507" s="2" t="s">
        <v>1692</v>
      </c>
      <c r="M507" s="2" t="s">
        <v>916</v>
      </c>
      <c r="N507" s="2" t="s">
        <v>111</v>
      </c>
      <c r="O507" s="2" t="s">
        <v>3886</v>
      </c>
      <c r="P507" s="2" t="s">
        <v>649</v>
      </c>
      <c r="Q507" s="2" t="s">
        <v>351</v>
      </c>
      <c r="R507" s="2">
        <v>31356</v>
      </c>
      <c r="S507" s="2">
        <v>31356</v>
      </c>
      <c r="T507" s="2" t="s">
        <v>176</v>
      </c>
      <c r="U507" s="2" t="s">
        <v>176</v>
      </c>
      <c r="V507" s="2" t="s">
        <v>1796</v>
      </c>
      <c r="W507" s="2" t="s">
        <v>1796</v>
      </c>
      <c r="X507" s="2" t="s">
        <v>3887</v>
      </c>
      <c r="Y507" s="2" t="s">
        <v>3888</v>
      </c>
      <c r="Z507" s="2">
        <v>76706289</v>
      </c>
      <c r="AB507" s="2" t="s">
        <v>654</v>
      </c>
      <c r="AC507" s="2" t="s">
        <v>632</v>
      </c>
      <c r="AD507" s="2">
        <v>76706289</v>
      </c>
      <c r="AJ507" s="2">
        <v>76706289</v>
      </c>
      <c r="AK507" s="2">
        <v>1</v>
      </c>
      <c r="AL507" s="2" t="s">
        <v>633</v>
      </c>
      <c r="AM507" s="2">
        <v>0</v>
      </c>
      <c r="AN507" s="2">
        <v>0</v>
      </c>
      <c r="AO507" s="2">
        <v>1</v>
      </c>
      <c r="AP507" s="2">
        <v>0</v>
      </c>
      <c r="AQ507" s="2">
        <v>0</v>
      </c>
      <c r="AR507" s="2">
        <v>0</v>
      </c>
      <c r="AS507" s="2">
        <v>0</v>
      </c>
      <c r="AT507" s="2">
        <v>0</v>
      </c>
      <c r="AZ507" s="2" t="s">
        <v>3889</v>
      </c>
      <c r="BB507" s="2" t="str">
        <f>+PROPER(BD[[#This Row],[PRIMER_APELLIDO]])</f>
        <v>Solis</v>
      </c>
    </row>
    <row r="508" spans="1:54" x14ac:dyDescent="0.25">
      <c r="A508" s="2">
        <v>507</v>
      </c>
      <c r="B508" s="2">
        <v>35522</v>
      </c>
      <c r="C508" s="2" t="s">
        <v>619</v>
      </c>
      <c r="D508" s="2" t="s">
        <v>620</v>
      </c>
      <c r="E508" s="2" t="s">
        <v>3890</v>
      </c>
      <c r="F508" s="2">
        <v>23236448</v>
      </c>
      <c r="G508" s="3">
        <v>36.824657534246576</v>
      </c>
      <c r="H508" s="2" t="s">
        <v>622</v>
      </c>
      <c r="I508" s="2" t="s">
        <v>3891</v>
      </c>
      <c r="J508" s="2" t="str">
        <f>+IF(BD[[#This Row],[DEPARTAMENTO_INSS]]="MANAGUA","_01_","_02_")</f>
        <v>_02_</v>
      </c>
      <c r="K508" s="2" t="str">
        <f>+CONCATENATE(BD[[#This Row],[Columna3]],BD[[#This Row],[Columna4]],BD[[#This Row],[NOMBRE COMPLETO]])</f>
        <v>E003_02_GRETHEL ODALIS ARDON RUIZ</v>
      </c>
      <c r="L508" s="2" t="s">
        <v>2586</v>
      </c>
      <c r="M508" s="2" t="s">
        <v>3892</v>
      </c>
      <c r="N508" s="2" t="s">
        <v>248</v>
      </c>
      <c r="O508" s="2" t="s">
        <v>84</v>
      </c>
      <c r="P508" s="2" t="s">
        <v>626</v>
      </c>
      <c r="Q508" s="2" t="s">
        <v>351</v>
      </c>
      <c r="R508" s="2">
        <v>31355</v>
      </c>
      <c r="S508" s="2">
        <v>31355</v>
      </c>
      <c r="T508" s="2" t="s">
        <v>1104</v>
      </c>
      <c r="U508" s="2" t="s">
        <v>1104</v>
      </c>
      <c r="V508" s="2" t="s">
        <v>1812</v>
      </c>
      <c r="W508" s="2" t="s">
        <v>1813</v>
      </c>
      <c r="X508" s="2" t="s">
        <v>3893</v>
      </c>
      <c r="Y508" s="2" t="s">
        <v>3894</v>
      </c>
      <c r="Z508" s="2">
        <v>82116453</v>
      </c>
      <c r="AB508" s="2" t="s">
        <v>654</v>
      </c>
      <c r="AC508" s="2" t="s">
        <v>632</v>
      </c>
      <c r="AD508" s="2">
        <v>82116453</v>
      </c>
      <c r="AJ508" s="2">
        <v>82116453</v>
      </c>
      <c r="AK508" s="2">
        <v>1</v>
      </c>
      <c r="AL508" s="2" t="s">
        <v>633</v>
      </c>
      <c r="AM508" s="2">
        <v>0</v>
      </c>
      <c r="AN508" s="2">
        <v>0</v>
      </c>
      <c r="AO508" s="2">
        <v>1</v>
      </c>
      <c r="AP508" s="2">
        <v>0</v>
      </c>
      <c r="AQ508" s="2">
        <v>0</v>
      </c>
      <c r="AR508" s="2">
        <v>0</v>
      </c>
      <c r="AS508" s="2">
        <v>0</v>
      </c>
      <c r="AT508" s="2">
        <v>0</v>
      </c>
      <c r="BB508" s="2" t="str">
        <f>+PROPER(BD[[#This Row],[PRIMER_APELLIDO]])</f>
        <v>Ardon</v>
      </c>
    </row>
    <row r="509" spans="1:54" x14ac:dyDescent="0.25">
      <c r="A509" s="2">
        <v>508</v>
      </c>
      <c r="B509" s="2">
        <v>49715</v>
      </c>
      <c r="C509" s="2" t="s">
        <v>619</v>
      </c>
      <c r="D509" s="2" t="s">
        <v>620</v>
      </c>
      <c r="E509" s="2" t="s">
        <v>3895</v>
      </c>
      <c r="F509" s="2">
        <v>25027064</v>
      </c>
      <c r="G509" s="3">
        <v>36.827397260273976</v>
      </c>
      <c r="H509" s="2" t="s">
        <v>622</v>
      </c>
      <c r="I509" s="2" t="s">
        <v>3896</v>
      </c>
      <c r="J509" s="2" t="str">
        <f>+IF(BD[[#This Row],[DEPARTAMENTO_INSS]]="MANAGUA","_01_","_02_")</f>
        <v>_02_</v>
      </c>
      <c r="K509" s="2" t="str">
        <f>+CONCATENATE(BD[[#This Row],[Columna3]],BD[[#This Row],[Columna4]],BD[[#This Row],[NOMBRE COMPLETO]])</f>
        <v>E003_02_MARISELA SULLEN MENDOZA SARAVIA</v>
      </c>
      <c r="L509" s="2" t="s">
        <v>3897</v>
      </c>
      <c r="M509" s="2" t="s">
        <v>3898</v>
      </c>
      <c r="N509" s="2" t="s">
        <v>9</v>
      </c>
      <c r="O509" s="2" t="s">
        <v>388</v>
      </c>
      <c r="P509" s="2" t="s">
        <v>626</v>
      </c>
      <c r="Q509" s="2" t="s">
        <v>351</v>
      </c>
      <c r="R509" s="2">
        <v>31354</v>
      </c>
      <c r="S509" s="2">
        <v>31354</v>
      </c>
      <c r="T509" s="2" t="s">
        <v>929</v>
      </c>
      <c r="U509" s="2" t="s">
        <v>929</v>
      </c>
      <c r="V509" s="2" t="s">
        <v>1653</v>
      </c>
      <c r="W509" s="2" t="s">
        <v>1653</v>
      </c>
      <c r="X509" s="2" t="s">
        <v>3899</v>
      </c>
      <c r="Y509" s="2" t="s">
        <v>3900</v>
      </c>
      <c r="Z509" s="2">
        <v>86303663</v>
      </c>
      <c r="AB509" s="2" t="s">
        <v>631</v>
      </c>
      <c r="AC509" s="2" t="s">
        <v>632</v>
      </c>
      <c r="AD509" s="2">
        <v>86303663</v>
      </c>
      <c r="AJ509" s="2">
        <v>86303663</v>
      </c>
      <c r="AK509" s="2">
        <v>1</v>
      </c>
      <c r="AL509" s="2" t="s">
        <v>633</v>
      </c>
      <c r="AM509" s="2">
        <v>0</v>
      </c>
      <c r="AN509" s="2">
        <v>0</v>
      </c>
      <c r="AO509" s="2">
        <v>1</v>
      </c>
      <c r="AP509" s="2">
        <v>0</v>
      </c>
      <c r="AQ509" s="2">
        <v>0</v>
      </c>
      <c r="AR509" s="2">
        <v>0</v>
      </c>
      <c r="AS509" s="2">
        <v>0</v>
      </c>
      <c r="AT509" s="2">
        <v>0</v>
      </c>
      <c r="AZ509" s="2" t="s">
        <v>3901</v>
      </c>
      <c r="BB509" s="2" t="str">
        <f>+PROPER(BD[[#This Row],[PRIMER_APELLIDO]])</f>
        <v>Mendoza</v>
      </c>
    </row>
    <row r="510" spans="1:54" x14ac:dyDescent="0.25">
      <c r="A510" s="2">
        <v>509</v>
      </c>
      <c r="B510" s="2">
        <v>43358</v>
      </c>
      <c r="C510" s="2" t="s">
        <v>619</v>
      </c>
      <c r="D510" s="2" t="s">
        <v>620</v>
      </c>
      <c r="E510" s="2" t="s">
        <v>3902</v>
      </c>
      <c r="F510" s="2">
        <v>24234922</v>
      </c>
      <c r="G510" s="3">
        <v>36.830136986301369</v>
      </c>
      <c r="H510" s="2" t="s">
        <v>622</v>
      </c>
      <c r="I510" s="2" t="s">
        <v>3903</v>
      </c>
      <c r="J510" s="2" t="str">
        <f>+IF(BD[[#This Row],[DEPARTAMENTO_INSS]]="MANAGUA","_01_","_02_")</f>
        <v>_01_</v>
      </c>
      <c r="K510" s="2" t="str">
        <f>+CONCATENATE(BD[[#This Row],[Columna3]],BD[[#This Row],[Columna4]],BD[[#This Row],[NOMBRE COMPLETO]])</f>
        <v>E003_01_SAIRY MARELVIS COX SABALLOS</v>
      </c>
      <c r="L510" s="2" t="s">
        <v>3904</v>
      </c>
      <c r="M510" s="2" t="s">
        <v>3905</v>
      </c>
      <c r="N510" s="2" t="s">
        <v>434</v>
      </c>
      <c r="O510" s="2" t="s">
        <v>3906</v>
      </c>
      <c r="P510" s="2" t="s">
        <v>626</v>
      </c>
      <c r="Q510" s="2" t="s">
        <v>351</v>
      </c>
      <c r="R510" s="2">
        <v>31353</v>
      </c>
      <c r="S510" s="2">
        <v>31353</v>
      </c>
      <c r="T510" s="2" t="s">
        <v>627</v>
      </c>
      <c r="U510" s="2" t="s">
        <v>627</v>
      </c>
      <c r="V510" s="2" t="s">
        <v>627</v>
      </c>
      <c r="W510" s="2" t="s">
        <v>627</v>
      </c>
      <c r="X510" s="2" t="s">
        <v>3907</v>
      </c>
      <c r="Y510" s="2" t="s">
        <v>3908</v>
      </c>
      <c r="Z510" s="2">
        <v>89298435</v>
      </c>
      <c r="AA510" s="2" t="s">
        <v>3909</v>
      </c>
      <c r="AB510" s="2" t="s">
        <v>642</v>
      </c>
      <c r="AC510" s="2" t="s">
        <v>632</v>
      </c>
      <c r="AD510" s="2">
        <v>89298435</v>
      </c>
      <c r="AJ510" s="2">
        <v>89298435</v>
      </c>
      <c r="AK510" s="2">
        <v>3</v>
      </c>
      <c r="AL510" s="2" t="s">
        <v>633</v>
      </c>
      <c r="AM510" s="2">
        <v>0</v>
      </c>
      <c r="AN510" s="2">
        <v>0</v>
      </c>
      <c r="AO510" s="2">
        <v>1</v>
      </c>
      <c r="AP510" s="2">
        <v>0</v>
      </c>
      <c r="AQ510" s="2">
        <v>0</v>
      </c>
      <c r="AR510" s="2">
        <v>0</v>
      </c>
      <c r="AS510" s="2">
        <v>0</v>
      </c>
      <c r="AT510" s="2">
        <v>0</v>
      </c>
      <c r="AZ510" s="2" t="s">
        <v>3910</v>
      </c>
      <c r="BB510" s="2" t="str">
        <f>+PROPER(BD[[#This Row],[PRIMER_APELLIDO]])</f>
        <v>Cox</v>
      </c>
    </row>
    <row r="511" spans="1:54" x14ac:dyDescent="0.25">
      <c r="A511" s="2">
        <v>510</v>
      </c>
      <c r="B511" s="2">
        <v>26552</v>
      </c>
      <c r="C511" s="2" t="s">
        <v>619</v>
      </c>
      <c r="D511" s="2" t="s">
        <v>620</v>
      </c>
      <c r="E511" s="2" t="s">
        <v>3911</v>
      </c>
      <c r="F511" s="2">
        <v>21016910</v>
      </c>
      <c r="G511" s="3">
        <v>36.838356164383562</v>
      </c>
      <c r="H511" s="2" t="s">
        <v>622</v>
      </c>
      <c r="I511" s="2" t="s">
        <v>3912</v>
      </c>
      <c r="J511" s="2" t="str">
        <f>+IF(BD[[#This Row],[DEPARTAMENTO_INSS]]="MANAGUA","_01_","_02_")</f>
        <v>_01_</v>
      </c>
      <c r="K511" s="2" t="str">
        <f>+CONCATENATE(BD[[#This Row],[Columna3]],BD[[#This Row],[Columna4]],BD[[#This Row],[NOMBRE COMPLETO]])</f>
        <v>E003_01_KEYLIN ANIELKA MEJIA CALERO</v>
      </c>
      <c r="L511" s="2" t="s">
        <v>3913</v>
      </c>
      <c r="M511" s="2" t="s">
        <v>723</v>
      </c>
      <c r="N511" s="2" t="s">
        <v>130</v>
      </c>
      <c r="O511" s="2" t="s">
        <v>80</v>
      </c>
      <c r="P511" s="2" t="s">
        <v>626</v>
      </c>
      <c r="Q511" s="2" t="s">
        <v>351</v>
      </c>
      <c r="R511" s="2">
        <v>31350</v>
      </c>
      <c r="S511" s="2">
        <v>31350</v>
      </c>
      <c r="T511" s="2" t="s">
        <v>627</v>
      </c>
      <c r="U511" s="2" t="s">
        <v>627</v>
      </c>
      <c r="V511" s="2" t="s">
        <v>627</v>
      </c>
      <c r="W511" s="2" t="s">
        <v>627</v>
      </c>
      <c r="X511" s="2" t="s">
        <v>3914</v>
      </c>
      <c r="Y511" s="2" t="s">
        <v>3915</v>
      </c>
      <c r="Z511" s="2">
        <v>84461730</v>
      </c>
      <c r="AA511" s="2">
        <v>84461730</v>
      </c>
      <c r="AB511" s="2" t="s">
        <v>642</v>
      </c>
      <c r="AC511" s="2" t="s">
        <v>632</v>
      </c>
      <c r="AD511" s="2">
        <v>84461730</v>
      </c>
      <c r="AJ511" s="2">
        <v>84461730</v>
      </c>
      <c r="AK511" s="2">
        <v>2</v>
      </c>
      <c r="AL511" s="2" t="s">
        <v>633</v>
      </c>
      <c r="AM511" s="2">
        <v>0</v>
      </c>
      <c r="AN511" s="2">
        <v>0</v>
      </c>
      <c r="AO511" s="2">
        <v>1</v>
      </c>
      <c r="AP511" s="2">
        <v>0</v>
      </c>
      <c r="AQ511" s="2">
        <v>0</v>
      </c>
      <c r="AR511" s="2">
        <v>0</v>
      </c>
      <c r="AS511" s="2">
        <v>0</v>
      </c>
      <c r="AT511" s="2">
        <v>0</v>
      </c>
      <c r="AZ511" s="2" t="s">
        <v>3916</v>
      </c>
      <c r="BB511" s="2" t="str">
        <f>+PROPER(BD[[#This Row],[PRIMER_APELLIDO]])</f>
        <v>Mejia</v>
      </c>
    </row>
    <row r="512" spans="1:54" x14ac:dyDescent="0.25">
      <c r="A512" s="2">
        <v>511</v>
      </c>
      <c r="B512" s="2">
        <v>43833</v>
      </c>
      <c r="C512" s="2" t="s">
        <v>619</v>
      </c>
      <c r="D512" s="2" t="s">
        <v>620</v>
      </c>
      <c r="E512" s="2" t="s">
        <v>3917</v>
      </c>
      <c r="F512" s="2">
        <v>24986089</v>
      </c>
      <c r="G512" s="3">
        <v>36.846575342465755</v>
      </c>
      <c r="H512" s="2" t="s">
        <v>622</v>
      </c>
      <c r="I512" s="2" t="s">
        <v>3918</v>
      </c>
      <c r="J512" s="2" t="str">
        <f>+IF(BD[[#This Row],[DEPARTAMENTO_INSS]]="MANAGUA","_01_","_02_")</f>
        <v>_02_</v>
      </c>
      <c r="K512" s="2" t="str">
        <f>+CONCATENATE(BD[[#This Row],[Columna3]],BD[[#This Row],[Columna4]],BD[[#This Row],[NOMBRE COMPLETO]])</f>
        <v>E003_02_IRENE SORAYA TOLEDO CRUZ</v>
      </c>
      <c r="L512" s="2" t="s">
        <v>2446</v>
      </c>
      <c r="M512" s="2" t="s">
        <v>3919</v>
      </c>
      <c r="N512" s="2" t="s">
        <v>146</v>
      </c>
      <c r="O512" s="2" t="s">
        <v>32</v>
      </c>
      <c r="P512" s="2" t="s">
        <v>626</v>
      </c>
      <c r="Q512" s="2" t="s">
        <v>351</v>
      </c>
      <c r="R512" s="2">
        <v>31347</v>
      </c>
      <c r="S512" s="2">
        <v>31347</v>
      </c>
      <c r="T512" s="2" t="s">
        <v>669</v>
      </c>
      <c r="U512" s="2" t="s">
        <v>669</v>
      </c>
      <c r="V512" s="2" t="s">
        <v>669</v>
      </c>
      <c r="W512" s="2" t="s">
        <v>669</v>
      </c>
      <c r="Y512" s="2" t="s">
        <v>3920</v>
      </c>
      <c r="AA512" s="2">
        <v>25421735</v>
      </c>
      <c r="AB512" s="2" t="s">
        <v>798</v>
      </c>
      <c r="AC512" s="2" t="s">
        <v>632</v>
      </c>
      <c r="AK512" s="2">
        <v>1</v>
      </c>
      <c r="AL512" s="2" t="s">
        <v>633</v>
      </c>
      <c r="AM512" s="2">
        <v>0</v>
      </c>
      <c r="AN512" s="2">
        <v>0</v>
      </c>
      <c r="AO512" s="2">
        <v>1</v>
      </c>
      <c r="AP512" s="2">
        <v>0</v>
      </c>
      <c r="AQ512" s="2">
        <v>0</v>
      </c>
      <c r="AR512" s="2">
        <v>0</v>
      </c>
      <c r="AS512" s="2">
        <v>0</v>
      </c>
      <c r="AT512" s="2">
        <v>0</v>
      </c>
      <c r="BB512" s="2" t="str">
        <f>+PROPER(BD[[#This Row],[PRIMER_APELLIDO]])</f>
        <v>Toledo</v>
      </c>
    </row>
    <row r="513" spans="1:54" x14ac:dyDescent="0.25">
      <c r="A513" s="2">
        <v>512</v>
      </c>
      <c r="B513" s="2">
        <v>47030</v>
      </c>
      <c r="C513" s="2" t="s">
        <v>619</v>
      </c>
      <c r="D513" s="2" t="s">
        <v>620</v>
      </c>
      <c r="E513" s="2" t="s">
        <v>3921</v>
      </c>
      <c r="F513" s="2">
        <v>25022339</v>
      </c>
      <c r="G513" s="3">
        <v>36.852054794520548</v>
      </c>
      <c r="H513" s="2" t="s">
        <v>622</v>
      </c>
      <c r="I513" s="2" t="s">
        <v>3922</v>
      </c>
      <c r="J513" s="2" t="str">
        <f>+IF(BD[[#This Row],[DEPARTAMENTO_INSS]]="MANAGUA","_01_","_02_")</f>
        <v>_02_</v>
      </c>
      <c r="K513" s="2" t="str">
        <f>+CONCATENATE(BD[[#This Row],[Columna3]],BD[[#This Row],[Columna4]],BD[[#This Row],[NOMBRE COMPLETO]])</f>
        <v>E003_02_JULIO FRANCISCO VASQUEZ HERNANDEZ</v>
      </c>
      <c r="L513" s="2" t="s">
        <v>3923</v>
      </c>
      <c r="M513" s="2" t="s">
        <v>1692</v>
      </c>
      <c r="N513" s="2" t="s">
        <v>52</v>
      </c>
      <c r="O513" s="2" t="s">
        <v>11</v>
      </c>
      <c r="P513" s="2" t="s">
        <v>649</v>
      </c>
      <c r="Q513" s="2" t="s">
        <v>351</v>
      </c>
      <c r="R513" s="2">
        <v>31345</v>
      </c>
      <c r="S513" s="2">
        <v>31345</v>
      </c>
      <c r="T513" s="2" t="s">
        <v>740</v>
      </c>
      <c r="U513" s="2" t="s">
        <v>740</v>
      </c>
      <c r="V513" s="2" t="s">
        <v>1334</v>
      </c>
      <c r="W513" s="2" t="s">
        <v>1334</v>
      </c>
      <c r="X513" s="2" t="s">
        <v>3924</v>
      </c>
      <c r="Y513" s="2" t="s">
        <v>3925</v>
      </c>
      <c r="Z513" s="2">
        <v>82633847</v>
      </c>
      <c r="AA513" s="2">
        <v>82633847</v>
      </c>
      <c r="AB513" s="2" t="s">
        <v>798</v>
      </c>
      <c r="AC513" s="2" t="s">
        <v>632</v>
      </c>
      <c r="AD513" s="2">
        <v>82633847</v>
      </c>
      <c r="AJ513" s="2">
        <v>82633847</v>
      </c>
      <c r="AK513" s="2">
        <v>2</v>
      </c>
      <c r="AL513" s="2" t="s">
        <v>633</v>
      </c>
      <c r="AM513" s="2">
        <v>0</v>
      </c>
      <c r="AN513" s="2">
        <v>0</v>
      </c>
      <c r="AO513" s="2">
        <v>1</v>
      </c>
      <c r="AP513" s="2">
        <v>0</v>
      </c>
      <c r="AQ513" s="2">
        <v>0</v>
      </c>
      <c r="AR513" s="2">
        <v>0</v>
      </c>
      <c r="AS513" s="2">
        <v>0</v>
      </c>
      <c r="AT513" s="2">
        <v>0</v>
      </c>
      <c r="AZ513" s="2" t="s">
        <v>3926</v>
      </c>
      <c r="BB513" s="2" t="str">
        <f>+PROPER(BD[[#This Row],[PRIMER_APELLIDO]])</f>
        <v>Vasquez</v>
      </c>
    </row>
    <row r="514" spans="1:54" x14ac:dyDescent="0.25">
      <c r="A514" s="2">
        <v>513</v>
      </c>
      <c r="B514" s="2">
        <v>58350</v>
      </c>
      <c r="C514" s="2" t="s">
        <v>619</v>
      </c>
      <c r="D514" s="2" t="s">
        <v>620</v>
      </c>
      <c r="E514" s="2" t="s">
        <v>3927</v>
      </c>
      <c r="G514" s="3">
        <v>36.857534246575341</v>
      </c>
      <c r="H514" s="2" t="s">
        <v>622</v>
      </c>
      <c r="I514" s="2" t="s">
        <v>3928</v>
      </c>
      <c r="J514" s="2" t="str">
        <f>+IF(BD[[#This Row],[DEPARTAMENTO_INSS]]="MANAGUA","_01_","_02_")</f>
        <v>_02_</v>
      </c>
      <c r="K514" s="2" t="str">
        <f>+CONCATENATE(BD[[#This Row],[Columna3]],BD[[#This Row],[Columna4]],BD[[#This Row],[NOMBRE COMPLETO]])</f>
        <v>E003_02_ISRAEL ELIEZER ESTRADA GONZALEZ</v>
      </c>
      <c r="L514" s="2" t="s">
        <v>3929</v>
      </c>
      <c r="M514" s="2" t="s">
        <v>1052</v>
      </c>
      <c r="N514" s="2" t="s">
        <v>225</v>
      </c>
      <c r="O514" s="2" t="s">
        <v>14</v>
      </c>
      <c r="P514" s="2" t="s">
        <v>649</v>
      </c>
      <c r="Q514" s="2" t="s">
        <v>351</v>
      </c>
      <c r="R514" s="2">
        <v>31343</v>
      </c>
      <c r="S514" s="2">
        <v>31343</v>
      </c>
      <c r="T514" s="2" t="s">
        <v>133</v>
      </c>
      <c r="U514" s="2" t="s">
        <v>133</v>
      </c>
      <c r="V514" s="2" t="s">
        <v>869</v>
      </c>
      <c r="W514" s="2" t="s">
        <v>869</v>
      </c>
      <c r="X514" s="2" t="s">
        <v>3930</v>
      </c>
      <c r="Y514" s="2" t="s">
        <v>3931</v>
      </c>
      <c r="Z514" s="2">
        <v>84458692</v>
      </c>
      <c r="AA514" s="2">
        <v>84458692</v>
      </c>
      <c r="AB514" s="2" t="s">
        <v>654</v>
      </c>
      <c r="AC514" s="2" t="s">
        <v>632</v>
      </c>
      <c r="AD514" s="2">
        <v>84458692</v>
      </c>
      <c r="AJ514" s="2">
        <v>84458692</v>
      </c>
      <c r="AK514" s="2">
        <v>2</v>
      </c>
      <c r="AL514" s="2" t="s">
        <v>633</v>
      </c>
      <c r="AM514" s="2">
        <v>0</v>
      </c>
      <c r="AN514" s="2">
        <v>0</v>
      </c>
      <c r="AO514" s="2">
        <v>1</v>
      </c>
      <c r="AP514" s="2">
        <v>0</v>
      </c>
      <c r="AQ514" s="2">
        <v>0</v>
      </c>
      <c r="AR514" s="2">
        <v>0</v>
      </c>
      <c r="AS514" s="2">
        <v>0</v>
      </c>
      <c r="AT514" s="2">
        <v>0</v>
      </c>
      <c r="AZ514" s="2" t="s">
        <v>3932</v>
      </c>
      <c r="BB514" s="2" t="str">
        <f>+PROPER(BD[[#This Row],[PRIMER_APELLIDO]])</f>
        <v>Estrada</v>
      </c>
    </row>
    <row r="515" spans="1:54" x14ac:dyDescent="0.25">
      <c r="A515" s="2">
        <v>514</v>
      </c>
      <c r="B515" s="2">
        <v>72646</v>
      </c>
      <c r="C515" s="2" t="s">
        <v>619</v>
      </c>
      <c r="D515" s="2" t="s">
        <v>2293</v>
      </c>
      <c r="E515" s="2">
        <v>240720190442</v>
      </c>
      <c r="G515" s="3">
        <v>36.857534246575341</v>
      </c>
      <c r="H515" s="2" t="s">
        <v>622</v>
      </c>
      <c r="I515" s="2" t="s">
        <v>3933</v>
      </c>
      <c r="J515" s="2" t="str">
        <f>+IF(BD[[#This Row],[DEPARTAMENTO_INSS]]="MANAGUA","_01_","_02_")</f>
        <v>_02_</v>
      </c>
      <c r="K515" s="2" t="str">
        <f>+CONCATENATE(BD[[#This Row],[Columna3]],BD[[#This Row],[Columna4]],BD[[#This Row],[NOMBRE COMPLETO]])</f>
        <v>E003_02_YANET ROSS CORDERO</v>
      </c>
      <c r="L515" s="2" t="s">
        <v>3934</v>
      </c>
      <c r="N515" s="2" t="s">
        <v>263</v>
      </c>
      <c r="O515" s="2" t="s">
        <v>3935</v>
      </c>
      <c r="P515" s="2" t="s">
        <v>626</v>
      </c>
      <c r="Q515" s="2" t="s">
        <v>3936</v>
      </c>
      <c r="R515" s="2">
        <v>31343</v>
      </c>
      <c r="T515" s="2" t="s">
        <v>627</v>
      </c>
      <c r="V515" s="2" t="s">
        <v>627</v>
      </c>
      <c r="X515" s="2" t="s">
        <v>3937</v>
      </c>
      <c r="Z515" s="2">
        <v>82759767</v>
      </c>
      <c r="AB515" s="2" t="s">
        <v>631</v>
      </c>
      <c r="AC515" s="2" t="s">
        <v>632</v>
      </c>
      <c r="AD515" s="2">
        <v>82759767</v>
      </c>
      <c r="AJ515" s="2">
        <v>82759767</v>
      </c>
      <c r="AK515" s="2">
        <v>1</v>
      </c>
      <c r="AL515" s="2" t="s">
        <v>633</v>
      </c>
      <c r="AM515" s="2">
        <v>0</v>
      </c>
      <c r="AN515" s="2">
        <v>0</v>
      </c>
      <c r="AO515" s="2">
        <v>1</v>
      </c>
      <c r="AP515" s="2">
        <v>0</v>
      </c>
      <c r="AQ515" s="2">
        <v>0</v>
      </c>
      <c r="AR515" s="2">
        <v>0</v>
      </c>
      <c r="AS515" s="2">
        <v>0</v>
      </c>
      <c r="AT515" s="2">
        <v>0</v>
      </c>
      <c r="AZ515" s="2" t="s">
        <v>3938</v>
      </c>
      <c r="BB515" s="2" t="str">
        <f>+PROPER(BD[[#This Row],[PRIMER_APELLIDO]])</f>
        <v>Ross</v>
      </c>
    </row>
    <row r="516" spans="1:54" x14ac:dyDescent="0.25">
      <c r="A516" s="2">
        <v>515</v>
      </c>
      <c r="B516" s="2">
        <v>46886</v>
      </c>
      <c r="C516" s="2" t="s">
        <v>619</v>
      </c>
      <c r="D516" s="2" t="s">
        <v>620</v>
      </c>
      <c r="E516" s="2" t="s">
        <v>3939</v>
      </c>
      <c r="F516" s="2">
        <v>29609628</v>
      </c>
      <c r="G516" s="3">
        <v>36.865753424657534</v>
      </c>
      <c r="H516" s="2" t="s">
        <v>622</v>
      </c>
      <c r="I516" s="2" t="s">
        <v>3940</v>
      </c>
      <c r="J516" s="2" t="str">
        <f>+IF(BD[[#This Row],[DEPARTAMENTO_INSS]]="MANAGUA","_01_","_02_")</f>
        <v>_01_</v>
      </c>
      <c r="K516" s="2" t="str">
        <f>+CONCATENATE(BD[[#This Row],[Columna3]],BD[[#This Row],[Columna4]],BD[[#This Row],[NOMBRE COMPLETO]])</f>
        <v>E003_01_PAUL DE JESUS SANDOVAL BONILLA</v>
      </c>
      <c r="L516" s="2" t="s">
        <v>3941</v>
      </c>
      <c r="M516" s="2" t="s">
        <v>2551</v>
      </c>
      <c r="N516" s="2" t="s">
        <v>64</v>
      </c>
      <c r="O516" s="2" t="s">
        <v>407</v>
      </c>
      <c r="P516" s="2" t="s">
        <v>649</v>
      </c>
      <c r="Q516" s="2" t="s">
        <v>351</v>
      </c>
      <c r="R516" s="2">
        <v>31340</v>
      </c>
      <c r="S516" s="2">
        <v>31340</v>
      </c>
      <c r="T516" s="2" t="s">
        <v>627</v>
      </c>
      <c r="U516" s="2" t="s">
        <v>627</v>
      </c>
      <c r="V516" s="2" t="s">
        <v>627</v>
      </c>
      <c r="W516" s="2" t="s">
        <v>627</v>
      </c>
      <c r="X516" s="2" t="s">
        <v>3942</v>
      </c>
      <c r="Y516" s="2" t="s">
        <v>3943</v>
      </c>
      <c r="Z516" s="2">
        <v>87465882</v>
      </c>
      <c r="AA516" s="2">
        <v>87465882</v>
      </c>
      <c r="AB516" s="2" t="s">
        <v>654</v>
      </c>
      <c r="AC516" s="2" t="s">
        <v>632</v>
      </c>
      <c r="AD516" s="2">
        <v>87465882</v>
      </c>
      <c r="AJ516" s="2">
        <v>87465882</v>
      </c>
      <c r="AK516" s="2">
        <v>2</v>
      </c>
      <c r="AL516" s="2" t="s">
        <v>633</v>
      </c>
      <c r="AM516" s="2">
        <v>0</v>
      </c>
      <c r="AN516" s="2">
        <v>0</v>
      </c>
      <c r="AO516" s="2">
        <v>1</v>
      </c>
      <c r="AP516" s="2">
        <v>0</v>
      </c>
      <c r="AQ516" s="2">
        <v>0</v>
      </c>
      <c r="AR516" s="2">
        <v>0</v>
      </c>
      <c r="AS516" s="2">
        <v>0</v>
      </c>
      <c r="AT516" s="2">
        <v>0</v>
      </c>
      <c r="AZ516" s="2" t="s">
        <v>3944</v>
      </c>
      <c r="BB516" s="2" t="str">
        <f>+PROPER(BD[[#This Row],[PRIMER_APELLIDO]])</f>
        <v>Sandoval</v>
      </c>
    </row>
    <row r="517" spans="1:54" x14ac:dyDescent="0.25">
      <c r="A517" s="2">
        <v>516</v>
      </c>
      <c r="B517" s="2">
        <v>39251</v>
      </c>
      <c r="C517" s="2" t="s">
        <v>619</v>
      </c>
      <c r="D517" s="2" t="s">
        <v>620</v>
      </c>
      <c r="E517" s="2" t="s">
        <v>3945</v>
      </c>
      <c r="F517" s="2">
        <v>23143094</v>
      </c>
      <c r="G517" s="3">
        <v>36.873972602739727</v>
      </c>
      <c r="H517" s="2" t="s">
        <v>622</v>
      </c>
      <c r="I517" s="2" t="s">
        <v>3946</v>
      </c>
      <c r="J517" s="2" t="str">
        <f>+IF(BD[[#This Row],[DEPARTAMENTO_INSS]]="MANAGUA","_01_","_02_")</f>
        <v>_01_</v>
      </c>
      <c r="K517" s="2" t="str">
        <f>+CONCATENATE(BD[[#This Row],[Columna3]],BD[[#This Row],[Columna4]],BD[[#This Row],[NOMBRE COMPLETO]])</f>
        <v>E003_01_MILEYDA ELIZABETH PRAVIA CASTILLO</v>
      </c>
      <c r="L517" s="2" t="s">
        <v>3947</v>
      </c>
      <c r="M517" s="2" t="s">
        <v>1881</v>
      </c>
      <c r="N517" s="2" t="s">
        <v>256</v>
      </c>
      <c r="O517" s="2" t="s">
        <v>100</v>
      </c>
      <c r="P517" s="2" t="s">
        <v>626</v>
      </c>
      <c r="Q517" s="2" t="s">
        <v>351</v>
      </c>
      <c r="R517" s="2">
        <v>31337</v>
      </c>
      <c r="S517" s="2">
        <v>31337</v>
      </c>
      <c r="T517" s="2" t="s">
        <v>627</v>
      </c>
      <c r="U517" s="2" t="s">
        <v>627</v>
      </c>
      <c r="V517" s="2" t="s">
        <v>627</v>
      </c>
      <c r="W517" s="2" t="s">
        <v>627</v>
      </c>
      <c r="X517" s="2" t="s">
        <v>3948</v>
      </c>
      <c r="Y517" s="2" t="s">
        <v>3949</v>
      </c>
      <c r="Z517" s="2">
        <v>82379101</v>
      </c>
      <c r="AA517" s="2">
        <v>27729155</v>
      </c>
      <c r="AB517" s="2" t="s">
        <v>642</v>
      </c>
      <c r="AC517" s="2" t="s">
        <v>632</v>
      </c>
      <c r="AD517" s="2">
        <v>82379101</v>
      </c>
      <c r="AJ517" s="2">
        <v>82379101</v>
      </c>
      <c r="AK517" s="2">
        <v>2</v>
      </c>
      <c r="AL517" s="2" t="s">
        <v>633</v>
      </c>
      <c r="AM517" s="2">
        <v>0</v>
      </c>
      <c r="AN517" s="2">
        <v>0</v>
      </c>
      <c r="AO517" s="2">
        <v>1</v>
      </c>
      <c r="AP517" s="2">
        <v>0</v>
      </c>
      <c r="AQ517" s="2">
        <v>0</v>
      </c>
      <c r="AR517" s="2">
        <v>0</v>
      </c>
      <c r="AS517" s="2">
        <v>0</v>
      </c>
      <c r="AT517" s="2">
        <v>0</v>
      </c>
      <c r="AZ517" s="2" t="s">
        <v>3950</v>
      </c>
      <c r="BB517" s="2" t="str">
        <f>+PROPER(BD[[#This Row],[PRIMER_APELLIDO]])</f>
        <v>Pravia</v>
      </c>
    </row>
    <row r="518" spans="1:54" x14ac:dyDescent="0.25">
      <c r="A518" s="2">
        <v>517</v>
      </c>
      <c r="B518" s="2">
        <v>44091</v>
      </c>
      <c r="C518" s="2" t="s">
        <v>619</v>
      </c>
      <c r="D518" s="2" t="s">
        <v>620</v>
      </c>
      <c r="E518" s="2" t="s">
        <v>3951</v>
      </c>
      <c r="F518" s="2">
        <v>29213746</v>
      </c>
      <c r="G518" s="3">
        <v>36.87945205479452</v>
      </c>
      <c r="H518" s="2" t="s">
        <v>622</v>
      </c>
      <c r="I518" s="2" t="s">
        <v>3952</v>
      </c>
      <c r="J518" s="2" t="str">
        <f>+IF(BD[[#This Row],[DEPARTAMENTO_INSS]]="MANAGUA","_01_","_02_")</f>
        <v>_02_</v>
      </c>
      <c r="K518" s="2" t="str">
        <f>+CONCATENATE(BD[[#This Row],[Columna3]],BD[[#This Row],[Columna4]],BD[[#This Row],[NOMBRE COMPLETO]])</f>
        <v>E003_02_DARWIN ALEXIS CERNA RODRIGUEZ</v>
      </c>
      <c r="L518" s="2" t="s">
        <v>754</v>
      </c>
      <c r="M518" s="2" t="s">
        <v>1142</v>
      </c>
      <c r="N518" s="2" t="s">
        <v>290</v>
      </c>
      <c r="O518" s="2" t="s">
        <v>185</v>
      </c>
      <c r="P518" s="2" t="s">
        <v>649</v>
      </c>
      <c r="Q518" s="2" t="s">
        <v>3953</v>
      </c>
      <c r="R518" s="2">
        <v>31335</v>
      </c>
      <c r="S518" s="2">
        <v>31335</v>
      </c>
      <c r="T518" s="2" t="s">
        <v>1044</v>
      </c>
      <c r="U518" s="2" t="s">
        <v>1044</v>
      </c>
      <c r="V518" s="2" t="s">
        <v>1838</v>
      </c>
      <c r="W518" s="2" t="s">
        <v>1838</v>
      </c>
      <c r="X518" s="2" t="s">
        <v>3954</v>
      </c>
      <c r="Y518" s="2" t="s">
        <v>3955</v>
      </c>
      <c r="AA518" s="2">
        <v>84193669</v>
      </c>
      <c r="AB518" s="2" t="s">
        <v>654</v>
      </c>
      <c r="AC518" s="2" t="s">
        <v>632</v>
      </c>
      <c r="AD518" s="2">
        <v>84193669</v>
      </c>
      <c r="AJ518" s="2">
        <v>84193669</v>
      </c>
      <c r="AK518" s="2">
        <v>1</v>
      </c>
      <c r="AL518" s="2" t="s">
        <v>633</v>
      </c>
      <c r="AM518" s="2">
        <v>0</v>
      </c>
      <c r="AN518" s="2">
        <v>0</v>
      </c>
      <c r="AO518" s="2">
        <v>1</v>
      </c>
      <c r="AP518" s="2">
        <v>0</v>
      </c>
      <c r="AQ518" s="2">
        <v>0</v>
      </c>
      <c r="AR518" s="2">
        <v>0</v>
      </c>
      <c r="AS518" s="2">
        <v>0</v>
      </c>
      <c r="AT518" s="2">
        <v>0</v>
      </c>
      <c r="BB518" s="2" t="str">
        <f>+PROPER(BD[[#This Row],[PRIMER_APELLIDO]])</f>
        <v>Cerna</v>
      </c>
    </row>
    <row r="519" spans="1:54" x14ac:dyDescent="0.25">
      <c r="A519" s="2">
        <v>518</v>
      </c>
      <c r="B519" s="2">
        <v>45416</v>
      </c>
      <c r="C519" s="2" t="s">
        <v>619</v>
      </c>
      <c r="D519" s="2" t="s">
        <v>620</v>
      </c>
      <c r="E519" s="2" t="s">
        <v>3956</v>
      </c>
      <c r="F519" s="2">
        <v>24237646</v>
      </c>
      <c r="G519" s="3">
        <v>36.87945205479452</v>
      </c>
      <c r="H519" s="2" t="s">
        <v>622</v>
      </c>
      <c r="I519" s="2" t="s">
        <v>3957</v>
      </c>
      <c r="J519" s="2" t="str">
        <f>+IF(BD[[#This Row],[DEPARTAMENTO_INSS]]="MANAGUA","_01_","_02_")</f>
        <v>_02_</v>
      </c>
      <c r="K519" s="2" t="str">
        <f>+CONCATENATE(BD[[#This Row],[Columna3]],BD[[#This Row],[Columna4]],BD[[#This Row],[NOMBRE COMPLETO]])</f>
        <v>E003_02_GERSON ZAMORA HITLER</v>
      </c>
      <c r="L519" s="2" t="s">
        <v>3958</v>
      </c>
      <c r="N519" s="2" t="s">
        <v>149</v>
      </c>
      <c r="O519" s="2" t="s">
        <v>3959</v>
      </c>
      <c r="P519" s="2" t="s">
        <v>649</v>
      </c>
      <c r="Q519" s="2" t="s">
        <v>351</v>
      </c>
      <c r="R519" s="2">
        <v>31335</v>
      </c>
      <c r="S519" s="2">
        <v>31335</v>
      </c>
      <c r="T519" s="2" t="s">
        <v>1005</v>
      </c>
      <c r="U519" s="2" t="s">
        <v>1005</v>
      </c>
      <c r="V519" s="2" t="s">
        <v>1006</v>
      </c>
      <c r="W519" s="2" t="s">
        <v>1006</v>
      </c>
      <c r="X519" s="2" t="s">
        <v>3960</v>
      </c>
      <c r="Y519" s="2" t="s">
        <v>3961</v>
      </c>
      <c r="Z519" s="2">
        <v>86570742</v>
      </c>
      <c r="AA519" s="2" t="s">
        <v>3962</v>
      </c>
      <c r="AB519" s="2" t="s">
        <v>654</v>
      </c>
      <c r="AC519" s="2" t="s">
        <v>632</v>
      </c>
      <c r="AD519" s="2">
        <v>86570742</v>
      </c>
      <c r="AE519" s="2">
        <v>87379459</v>
      </c>
      <c r="AJ519" s="2">
        <v>86570742</v>
      </c>
      <c r="AK519" s="2">
        <v>3</v>
      </c>
      <c r="AL519" s="2" t="s">
        <v>633</v>
      </c>
      <c r="AM519" s="2">
        <v>0</v>
      </c>
      <c r="AN519" s="2">
        <v>0</v>
      </c>
      <c r="AO519" s="2">
        <v>1</v>
      </c>
      <c r="AP519" s="2">
        <v>0</v>
      </c>
      <c r="AQ519" s="2">
        <v>0</v>
      </c>
      <c r="AR519" s="2">
        <v>0</v>
      </c>
      <c r="AS519" s="2">
        <v>0</v>
      </c>
      <c r="AT519" s="2">
        <v>0</v>
      </c>
      <c r="AZ519" s="2" t="s">
        <v>3963</v>
      </c>
      <c r="BB519" s="2" t="str">
        <f>+PROPER(BD[[#This Row],[PRIMER_APELLIDO]])</f>
        <v>Zamora</v>
      </c>
    </row>
    <row r="520" spans="1:54" x14ac:dyDescent="0.25">
      <c r="A520" s="2">
        <v>519</v>
      </c>
      <c r="B520" s="2">
        <v>46389</v>
      </c>
      <c r="C520" s="2" t="s">
        <v>619</v>
      </c>
      <c r="D520" s="2" t="s">
        <v>620</v>
      </c>
      <c r="E520" s="2" t="s">
        <v>3964</v>
      </c>
      <c r="F520" s="2">
        <v>16424203</v>
      </c>
      <c r="G520" s="3">
        <v>36.87945205479452</v>
      </c>
      <c r="H520" s="2" t="s">
        <v>622</v>
      </c>
      <c r="I520" s="2" t="s">
        <v>3965</v>
      </c>
      <c r="J520" s="2" t="str">
        <f>+IF(BD[[#This Row],[DEPARTAMENTO_INSS]]="MANAGUA","_01_","_02_")</f>
        <v>_02_</v>
      </c>
      <c r="K520" s="2" t="str">
        <f>+CONCATENATE(BD[[#This Row],[Columna3]],BD[[#This Row],[Columna4]],BD[[#This Row],[NOMBRE COMPLETO]])</f>
        <v>E003_02_LUVY EMPERATRIZ PASTRANA LINDO</v>
      </c>
      <c r="L520" s="2" t="s">
        <v>3966</v>
      </c>
      <c r="M520" s="2" t="s">
        <v>3967</v>
      </c>
      <c r="N520" s="2" t="s">
        <v>94</v>
      </c>
      <c r="O520" s="2" t="s">
        <v>3968</v>
      </c>
      <c r="P520" s="2" t="s">
        <v>626</v>
      </c>
      <c r="Q520" s="2" t="s">
        <v>351</v>
      </c>
      <c r="R520" s="2">
        <v>31335</v>
      </c>
      <c r="S520" s="2">
        <v>31335</v>
      </c>
      <c r="T520" s="2" t="s">
        <v>176</v>
      </c>
      <c r="U520" s="2" t="s">
        <v>176</v>
      </c>
      <c r="V520" s="2" t="s">
        <v>650</v>
      </c>
      <c r="W520" s="2" t="s">
        <v>176</v>
      </c>
      <c r="Y520" s="2" t="s">
        <v>3969</v>
      </c>
      <c r="AA520" s="2">
        <v>23111247</v>
      </c>
      <c r="AB520" s="2" t="s">
        <v>654</v>
      </c>
      <c r="AC520" s="2" t="s">
        <v>632</v>
      </c>
      <c r="AK520" s="2">
        <v>1</v>
      </c>
      <c r="AL520" s="2" t="s">
        <v>633</v>
      </c>
      <c r="AM520" s="2">
        <v>0</v>
      </c>
      <c r="AN520" s="2">
        <v>0</v>
      </c>
      <c r="AO520" s="2">
        <v>1</v>
      </c>
      <c r="AP520" s="2">
        <v>0</v>
      </c>
      <c r="AQ520" s="2">
        <v>0</v>
      </c>
      <c r="AR520" s="2">
        <v>0</v>
      </c>
      <c r="AS520" s="2">
        <v>0</v>
      </c>
      <c r="AT520" s="2">
        <v>0</v>
      </c>
      <c r="BB520" s="2" t="str">
        <f>+PROPER(BD[[#This Row],[PRIMER_APELLIDO]])</f>
        <v>Pastrana</v>
      </c>
    </row>
    <row r="521" spans="1:54" x14ac:dyDescent="0.25">
      <c r="A521" s="2">
        <v>520</v>
      </c>
      <c r="B521" s="2">
        <v>29760</v>
      </c>
      <c r="C521" s="2" t="s">
        <v>619</v>
      </c>
      <c r="D521" s="2" t="s">
        <v>620</v>
      </c>
      <c r="E521" s="2" t="s">
        <v>3970</v>
      </c>
      <c r="F521" s="2">
        <v>22685689</v>
      </c>
      <c r="G521" s="3">
        <v>36.88219178082192</v>
      </c>
      <c r="H521" s="2" t="s">
        <v>622</v>
      </c>
      <c r="I521" s="2" t="s">
        <v>3971</v>
      </c>
      <c r="J521" s="2" t="str">
        <f>+IF(BD[[#This Row],[DEPARTAMENTO_INSS]]="MANAGUA","_01_","_02_")</f>
        <v>_01_</v>
      </c>
      <c r="K521" s="2" t="str">
        <f>+CONCATENATE(BD[[#This Row],[Columna3]],BD[[#This Row],[Columna4]],BD[[#This Row],[NOMBRE COMPLETO]])</f>
        <v>E003_01_RUTH ALEJANDRA FLORES ESTRADA</v>
      </c>
      <c r="L521" s="2" t="s">
        <v>2825</v>
      </c>
      <c r="M521" s="2" t="s">
        <v>1242</v>
      </c>
      <c r="N521" s="2" t="s">
        <v>58</v>
      </c>
      <c r="O521" s="2" t="s">
        <v>225</v>
      </c>
      <c r="P521" s="2" t="s">
        <v>626</v>
      </c>
      <c r="Q521" s="2" t="s">
        <v>351</v>
      </c>
      <c r="R521" s="2">
        <v>31334</v>
      </c>
      <c r="S521" s="2">
        <v>31334</v>
      </c>
      <c r="T521" s="2" t="s">
        <v>627</v>
      </c>
      <c r="U521" s="2" t="s">
        <v>627</v>
      </c>
      <c r="V521" s="2" t="s">
        <v>627</v>
      </c>
      <c r="W521" s="2" t="s">
        <v>1026</v>
      </c>
      <c r="X521" s="2" t="s">
        <v>3972</v>
      </c>
      <c r="Y521" s="2" t="s">
        <v>3973</v>
      </c>
      <c r="AA521" s="2" t="s">
        <v>3974</v>
      </c>
      <c r="AB521" s="2" t="s">
        <v>642</v>
      </c>
      <c r="AC521" s="2" t="s">
        <v>632</v>
      </c>
      <c r="AE521" s="2">
        <v>88275929</v>
      </c>
      <c r="AJ521" s="2">
        <v>88275929</v>
      </c>
      <c r="AK521" s="2">
        <v>2</v>
      </c>
      <c r="AL521" s="2" t="s">
        <v>633</v>
      </c>
      <c r="AM521" s="2">
        <v>0</v>
      </c>
      <c r="AN521" s="2">
        <v>0</v>
      </c>
      <c r="AO521" s="2">
        <v>1</v>
      </c>
      <c r="AP521" s="2">
        <v>0</v>
      </c>
      <c r="AQ521" s="2">
        <v>0</v>
      </c>
      <c r="AR521" s="2">
        <v>0</v>
      </c>
      <c r="AS521" s="2">
        <v>0</v>
      </c>
      <c r="AT521" s="2">
        <v>0</v>
      </c>
      <c r="BB521" s="2" t="str">
        <f>+PROPER(BD[[#This Row],[PRIMER_APELLIDO]])</f>
        <v>Flores</v>
      </c>
    </row>
    <row r="522" spans="1:54" x14ac:dyDescent="0.25">
      <c r="A522" s="2">
        <v>521</v>
      </c>
      <c r="B522" s="2">
        <v>35223</v>
      </c>
      <c r="C522" s="2" t="s">
        <v>619</v>
      </c>
      <c r="D522" s="2" t="s">
        <v>620</v>
      </c>
      <c r="E522" s="2" t="s">
        <v>3975</v>
      </c>
      <c r="F522" s="2">
        <v>22137375</v>
      </c>
      <c r="G522" s="3">
        <v>36.88219178082192</v>
      </c>
      <c r="H522" s="2" t="s">
        <v>622</v>
      </c>
      <c r="I522" s="2" t="s">
        <v>3976</v>
      </c>
      <c r="J522" s="2" t="str">
        <f>+IF(BD[[#This Row],[DEPARTAMENTO_INSS]]="MANAGUA","_01_","_02_")</f>
        <v>_01_</v>
      </c>
      <c r="K522" s="2" t="str">
        <f>+CONCATENATE(BD[[#This Row],[Columna3]],BD[[#This Row],[Columna4]],BD[[#This Row],[NOMBRE COMPLETO]])</f>
        <v>E003_01_HELMUTH IVAN MARTINEZ CANALES</v>
      </c>
      <c r="L522" s="2" t="s">
        <v>3977</v>
      </c>
      <c r="M522" s="2" t="s">
        <v>2119</v>
      </c>
      <c r="N522" s="2" t="s">
        <v>44</v>
      </c>
      <c r="O522" s="2" t="s">
        <v>77</v>
      </c>
      <c r="P522" s="2" t="s">
        <v>649</v>
      </c>
      <c r="Q522" s="2" t="s">
        <v>3322</v>
      </c>
      <c r="R522" s="2">
        <v>31334</v>
      </c>
      <c r="S522" s="2">
        <v>31334</v>
      </c>
      <c r="T522" s="2" t="s">
        <v>627</v>
      </c>
      <c r="U522" s="2" t="s">
        <v>627</v>
      </c>
      <c r="V522" s="2" t="s">
        <v>627</v>
      </c>
      <c r="W522" s="2" t="s">
        <v>627</v>
      </c>
      <c r="X522" s="2" t="s">
        <v>3978</v>
      </c>
      <c r="Y522" s="2" t="s">
        <v>3979</v>
      </c>
      <c r="AA522" s="2" t="s">
        <v>3980</v>
      </c>
      <c r="AB522" s="2" t="s">
        <v>654</v>
      </c>
      <c r="AC522" s="2" t="s">
        <v>632</v>
      </c>
      <c r="AE522" s="2">
        <v>86473837</v>
      </c>
      <c r="AJ522" s="2">
        <v>86473837</v>
      </c>
      <c r="AK522" s="2">
        <v>2</v>
      </c>
      <c r="AL522" s="2" t="s">
        <v>633</v>
      </c>
      <c r="AM522" s="2">
        <v>0</v>
      </c>
      <c r="AN522" s="2">
        <v>0</v>
      </c>
      <c r="AO522" s="2">
        <v>1</v>
      </c>
      <c r="AP522" s="2">
        <v>0</v>
      </c>
      <c r="AQ522" s="2">
        <v>0</v>
      </c>
      <c r="AR522" s="2">
        <v>0</v>
      </c>
      <c r="AS522" s="2">
        <v>0</v>
      </c>
      <c r="AT522" s="2">
        <v>0</v>
      </c>
      <c r="BB522" s="2" t="str">
        <f>+PROPER(BD[[#This Row],[PRIMER_APELLIDO]])</f>
        <v>Martinez</v>
      </c>
    </row>
    <row r="523" spans="1:54" x14ac:dyDescent="0.25">
      <c r="A523" s="2">
        <v>522</v>
      </c>
      <c r="B523" s="2">
        <v>39206</v>
      </c>
      <c r="C523" s="2" t="s">
        <v>619</v>
      </c>
      <c r="D523" s="2" t="s">
        <v>620</v>
      </c>
      <c r="E523" s="2" t="s">
        <v>3981</v>
      </c>
      <c r="F523" s="2">
        <v>23143371</v>
      </c>
      <c r="G523" s="3">
        <v>36.884931506849313</v>
      </c>
      <c r="H523" s="2" t="s">
        <v>622</v>
      </c>
      <c r="I523" s="2" t="s">
        <v>3982</v>
      </c>
      <c r="J523" s="2" t="str">
        <f>+IF(BD[[#This Row],[DEPARTAMENTO_INSS]]="MANAGUA","_01_","_02_")</f>
        <v>_02_</v>
      </c>
      <c r="K523" s="2" t="str">
        <f>+CONCATENATE(BD[[#This Row],[Columna3]],BD[[#This Row],[Columna4]],BD[[#This Row],[NOMBRE COMPLETO]])</f>
        <v>E003_02_HILDA MARIA VALLEJOS REYES</v>
      </c>
      <c r="L523" s="2" t="s">
        <v>3983</v>
      </c>
      <c r="M523" s="2" t="s">
        <v>724</v>
      </c>
      <c r="N523" s="2" t="s">
        <v>102</v>
      </c>
      <c r="O523" s="2" t="s">
        <v>74</v>
      </c>
      <c r="P523" s="2" t="s">
        <v>626</v>
      </c>
      <c r="Q523" s="2" t="s">
        <v>351</v>
      </c>
      <c r="R523" s="2">
        <v>31333</v>
      </c>
      <c r="S523" s="2">
        <v>31333</v>
      </c>
      <c r="T523" s="2" t="s">
        <v>176</v>
      </c>
      <c r="U523" s="2" t="s">
        <v>176</v>
      </c>
      <c r="V523" s="2" t="s">
        <v>650</v>
      </c>
      <c r="W523" s="2" t="s">
        <v>176</v>
      </c>
      <c r="X523" s="2" t="s">
        <v>3984</v>
      </c>
      <c r="Y523" s="2" t="s">
        <v>3985</v>
      </c>
      <c r="AA523" s="2">
        <v>23114894</v>
      </c>
      <c r="AB523" s="2" t="s">
        <v>642</v>
      </c>
      <c r="AC523" s="2" t="s">
        <v>632</v>
      </c>
      <c r="AK523" s="2">
        <v>1</v>
      </c>
      <c r="AL523" s="2" t="s">
        <v>633</v>
      </c>
      <c r="AM523" s="2">
        <v>0</v>
      </c>
      <c r="AN523" s="2">
        <v>0</v>
      </c>
      <c r="AO523" s="2">
        <v>1</v>
      </c>
      <c r="AP523" s="2">
        <v>0</v>
      </c>
      <c r="AQ523" s="2">
        <v>0</v>
      </c>
      <c r="AR523" s="2">
        <v>0</v>
      </c>
      <c r="AS523" s="2">
        <v>0</v>
      </c>
      <c r="AT523" s="2">
        <v>0</v>
      </c>
      <c r="BB523" s="2" t="str">
        <f>+PROPER(BD[[#This Row],[PRIMER_APELLIDO]])</f>
        <v>Vallejos</v>
      </c>
    </row>
    <row r="524" spans="1:54" x14ac:dyDescent="0.25">
      <c r="A524" s="2">
        <v>523</v>
      </c>
      <c r="B524" s="2">
        <v>44611</v>
      </c>
      <c r="C524" s="2" t="s">
        <v>619</v>
      </c>
      <c r="D524" s="2" t="s">
        <v>620</v>
      </c>
      <c r="E524" s="2" t="s">
        <v>3986</v>
      </c>
      <c r="F524" s="2">
        <v>24985916</v>
      </c>
      <c r="G524" s="3">
        <v>36.884931506849313</v>
      </c>
      <c r="H524" s="2" t="s">
        <v>622</v>
      </c>
      <c r="I524" s="2" t="s">
        <v>3987</v>
      </c>
      <c r="J524" s="2" t="str">
        <f>+IF(BD[[#This Row],[DEPARTAMENTO_INSS]]="MANAGUA","_01_","_02_")</f>
        <v>_02_</v>
      </c>
      <c r="K524" s="2" t="str">
        <f>+CONCATENATE(BD[[#This Row],[Columna3]],BD[[#This Row],[Columna4]],BD[[#This Row],[NOMBRE COMPLETO]])</f>
        <v>E003_02_DITZON ESPINOZA ALVAREZ</v>
      </c>
      <c r="L524" s="2" t="s">
        <v>3988</v>
      </c>
      <c r="N524" s="2" t="s">
        <v>235</v>
      </c>
      <c r="O524" s="2" t="s">
        <v>456</v>
      </c>
      <c r="P524" s="2" t="s">
        <v>649</v>
      </c>
      <c r="Q524" s="2" t="s">
        <v>351</v>
      </c>
      <c r="R524" s="2">
        <v>31333</v>
      </c>
      <c r="S524" s="2">
        <v>31333</v>
      </c>
      <c r="T524" s="2" t="s">
        <v>780</v>
      </c>
      <c r="U524" s="2" t="s">
        <v>780</v>
      </c>
      <c r="V524" s="2" t="s">
        <v>2073</v>
      </c>
      <c r="W524" s="2" t="s">
        <v>2073</v>
      </c>
      <c r="X524" s="2" t="s">
        <v>3989</v>
      </c>
      <c r="Y524" s="2" t="s">
        <v>3990</v>
      </c>
      <c r="AA524" s="2">
        <v>87504160</v>
      </c>
      <c r="AB524" s="2" t="s">
        <v>798</v>
      </c>
      <c r="AC524" s="2" t="s">
        <v>632</v>
      </c>
      <c r="AD524" s="2">
        <v>87504160</v>
      </c>
      <c r="AJ524" s="2">
        <v>87504160</v>
      </c>
      <c r="AK524" s="2">
        <v>1</v>
      </c>
      <c r="AL524" s="2" t="s">
        <v>633</v>
      </c>
      <c r="AM524" s="2">
        <v>0</v>
      </c>
      <c r="AN524" s="2">
        <v>0</v>
      </c>
      <c r="AO524" s="2">
        <v>1</v>
      </c>
      <c r="AP524" s="2">
        <v>0</v>
      </c>
      <c r="AQ524" s="2">
        <v>0</v>
      </c>
      <c r="AR524" s="2">
        <v>0</v>
      </c>
      <c r="AS524" s="2">
        <v>0</v>
      </c>
      <c r="AT524" s="2">
        <v>0</v>
      </c>
      <c r="BB524" s="2" t="str">
        <f>+PROPER(BD[[#This Row],[PRIMER_APELLIDO]])</f>
        <v>Espinoza</v>
      </c>
    </row>
    <row r="525" spans="1:54" x14ac:dyDescent="0.25">
      <c r="A525" s="2">
        <v>524</v>
      </c>
      <c r="B525" s="2">
        <v>38022</v>
      </c>
      <c r="C525" s="2" t="s">
        <v>619</v>
      </c>
      <c r="D525" s="2" t="s">
        <v>620</v>
      </c>
      <c r="E525" s="2" t="s">
        <v>3991</v>
      </c>
      <c r="F525" s="2">
        <v>23720257</v>
      </c>
      <c r="G525" s="3">
        <v>36.887671232876713</v>
      </c>
      <c r="H525" s="2" t="s">
        <v>622</v>
      </c>
      <c r="I525" s="2" t="s">
        <v>3992</v>
      </c>
      <c r="J525" s="2" t="str">
        <f>+IF(BD[[#This Row],[DEPARTAMENTO_INSS]]="MANAGUA","_01_","_02_")</f>
        <v>_02_</v>
      </c>
      <c r="K525" s="2" t="str">
        <f>+CONCATENATE(BD[[#This Row],[Columna3]],BD[[#This Row],[Columna4]],BD[[#This Row],[NOMBRE COMPLETO]])</f>
        <v>E003_02_ELIETH HARYERI GARCIA RODRIGUEZ</v>
      </c>
      <c r="L525" s="2" t="s">
        <v>2337</v>
      </c>
      <c r="M525" s="2" t="s">
        <v>3993</v>
      </c>
      <c r="N525" s="2" t="s">
        <v>10</v>
      </c>
      <c r="O525" s="2" t="s">
        <v>185</v>
      </c>
      <c r="P525" s="2" t="s">
        <v>626</v>
      </c>
      <c r="Q525" s="2" t="s">
        <v>351</v>
      </c>
      <c r="R525" s="2">
        <v>31332</v>
      </c>
      <c r="S525" s="2">
        <v>31332</v>
      </c>
      <c r="T525" s="2" t="s">
        <v>929</v>
      </c>
      <c r="U525" s="2" t="s">
        <v>929</v>
      </c>
      <c r="V525" s="2" t="s">
        <v>3994</v>
      </c>
      <c r="W525" s="2" t="s">
        <v>3995</v>
      </c>
      <c r="X525" s="2" t="s">
        <v>3996</v>
      </c>
      <c r="Y525" s="2" t="s">
        <v>3997</v>
      </c>
      <c r="Z525" s="2">
        <v>83377688</v>
      </c>
      <c r="AA525" s="2">
        <v>57468796</v>
      </c>
      <c r="AB525" s="2" t="s">
        <v>631</v>
      </c>
      <c r="AC525" s="2" t="s">
        <v>632</v>
      </c>
      <c r="AD525" s="2">
        <v>83377688</v>
      </c>
      <c r="AF525" s="2">
        <v>57468796</v>
      </c>
      <c r="AJ525" s="2">
        <v>83377688</v>
      </c>
      <c r="AK525" s="2">
        <v>2</v>
      </c>
      <c r="AL525" s="2" t="s">
        <v>633</v>
      </c>
      <c r="AM525" s="2">
        <v>0</v>
      </c>
      <c r="AN525" s="2">
        <v>0</v>
      </c>
      <c r="AO525" s="2">
        <v>1</v>
      </c>
      <c r="AP525" s="2">
        <v>0</v>
      </c>
      <c r="AQ525" s="2">
        <v>0</v>
      </c>
      <c r="AR525" s="2">
        <v>0</v>
      </c>
      <c r="AS525" s="2">
        <v>0</v>
      </c>
      <c r="AT525" s="2">
        <v>0</v>
      </c>
      <c r="AZ525" s="2" t="s">
        <v>3998</v>
      </c>
      <c r="BA525" s="2" t="s">
        <v>3999</v>
      </c>
      <c r="BB525" s="2" t="str">
        <f>+PROPER(BD[[#This Row],[PRIMER_APELLIDO]])</f>
        <v>Garcia</v>
      </c>
    </row>
    <row r="526" spans="1:54" x14ac:dyDescent="0.25">
      <c r="A526" s="2">
        <v>525</v>
      </c>
      <c r="B526" s="2">
        <v>34307</v>
      </c>
      <c r="C526" s="2" t="s">
        <v>619</v>
      </c>
      <c r="D526" s="2" t="s">
        <v>620</v>
      </c>
      <c r="E526" s="2" t="s">
        <v>4000</v>
      </c>
      <c r="F526" s="2">
        <v>21669804</v>
      </c>
      <c r="G526" s="3">
        <v>36.893150684931506</v>
      </c>
      <c r="H526" s="2" t="s">
        <v>622</v>
      </c>
      <c r="I526" s="2" t="s">
        <v>4001</v>
      </c>
      <c r="J526" s="2" t="str">
        <f>+IF(BD[[#This Row],[DEPARTAMENTO_INSS]]="MANAGUA","_01_","_02_")</f>
        <v>_02_</v>
      </c>
      <c r="K526" s="2" t="str">
        <f>+CONCATENATE(BD[[#This Row],[Columna3]],BD[[#This Row],[Columna4]],BD[[#This Row],[NOMBRE COMPLETO]])</f>
        <v>E003_02_ELIZABETH CAROLINA DAVILA CARCAMO</v>
      </c>
      <c r="L526" s="2" t="s">
        <v>1881</v>
      </c>
      <c r="M526" s="2" t="s">
        <v>714</v>
      </c>
      <c r="N526" s="2" t="s">
        <v>88</v>
      </c>
      <c r="O526" s="2" t="s">
        <v>401</v>
      </c>
      <c r="P526" s="2" t="s">
        <v>626</v>
      </c>
      <c r="Q526" s="2" t="s">
        <v>351</v>
      </c>
      <c r="R526" s="2">
        <v>31330</v>
      </c>
      <c r="S526" s="2">
        <v>31330</v>
      </c>
      <c r="T526" s="2" t="s">
        <v>705</v>
      </c>
      <c r="U526" s="2" t="s">
        <v>705</v>
      </c>
      <c r="V526" s="2" t="s">
        <v>1014</v>
      </c>
      <c r="W526" s="2" t="s">
        <v>1014</v>
      </c>
      <c r="X526" s="2" t="s">
        <v>4002</v>
      </c>
      <c r="Y526" s="2" t="s">
        <v>4003</v>
      </c>
      <c r="AA526" s="2">
        <v>83228879</v>
      </c>
      <c r="AB526" s="2" t="s">
        <v>654</v>
      </c>
      <c r="AC526" s="2" t="s">
        <v>632</v>
      </c>
      <c r="AD526" s="2">
        <v>83228879</v>
      </c>
      <c r="AJ526" s="2">
        <v>83228879</v>
      </c>
      <c r="AK526" s="2">
        <v>1</v>
      </c>
      <c r="AL526" s="2" t="s">
        <v>633</v>
      </c>
      <c r="AM526" s="2">
        <v>0</v>
      </c>
      <c r="AN526" s="2">
        <v>0</v>
      </c>
      <c r="AO526" s="2">
        <v>1</v>
      </c>
      <c r="AP526" s="2">
        <v>0</v>
      </c>
      <c r="AQ526" s="2">
        <v>0</v>
      </c>
      <c r="AR526" s="2">
        <v>0</v>
      </c>
      <c r="AS526" s="2">
        <v>0</v>
      </c>
      <c r="AT526" s="2">
        <v>0</v>
      </c>
      <c r="BB526" s="2" t="str">
        <f>+PROPER(BD[[#This Row],[PRIMER_APELLIDO]])</f>
        <v>Davila</v>
      </c>
    </row>
    <row r="527" spans="1:54" x14ac:dyDescent="0.25">
      <c r="A527" s="2">
        <v>526</v>
      </c>
      <c r="B527" s="2">
        <v>39229</v>
      </c>
      <c r="C527" s="2" t="s">
        <v>619</v>
      </c>
      <c r="D527" s="2" t="s">
        <v>620</v>
      </c>
      <c r="E527" s="2" t="s">
        <v>4004</v>
      </c>
      <c r="F527" s="2">
        <v>23105948</v>
      </c>
      <c r="G527" s="3">
        <v>36.898630136986299</v>
      </c>
      <c r="H527" s="2" t="s">
        <v>622</v>
      </c>
      <c r="I527" s="2" t="s">
        <v>4005</v>
      </c>
      <c r="J527" s="2" t="str">
        <f>+IF(BD[[#This Row],[DEPARTAMENTO_INSS]]="MANAGUA","_01_","_02_")</f>
        <v>_01_</v>
      </c>
      <c r="K527" s="2" t="str">
        <f>+CONCATENATE(BD[[#This Row],[Columna3]],BD[[#This Row],[Columna4]],BD[[#This Row],[NOMBRE COMPLETO]])</f>
        <v>E003_01_MARCELA DE LOS ANGELES CALERO CALDERA</v>
      </c>
      <c r="L527" s="2" t="s">
        <v>1962</v>
      </c>
      <c r="M527" s="2" t="s">
        <v>683</v>
      </c>
      <c r="N527" s="2" t="s">
        <v>80</v>
      </c>
      <c r="O527" s="2" t="s">
        <v>481</v>
      </c>
      <c r="P527" s="2" t="s">
        <v>626</v>
      </c>
      <c r="Q527" s="2" t="s">
        <v>351</v>
      </c>
      <c r="R527" s="2">
        <v>31328</v>
      </c>
      <c r="S527" s="2">
        <v>31328</v>
      </c>
      <c r="T527" s="2" t="s">
        <v>627</v>
      </c>
      <c r="U527" s="2" t="s">
        <v>627</v>
      </c>
      <c r="V527" s="2" t="s">
        <v>1026</v>
      </c>
      <c r="W527" s="2" t="s">
        <v>1026</v>
      </c>
      <c r="X527" s="2" t="s">
        <v>4006</v>
      </c>
      <c r="Y527" s="2" t="s">
        <v>4007</v>
      </c>
      <c r="AA527" s="2" t="s">
        <v>4008</v>
      </c>
      <c r="AB527" s="2" t="s">
        <v>642</v>
      </c>
      <c r="AC527" s="2" t="s">
        <v>632</v>
      </c>
      <c r="AE527" s="2">
        <v>88663055</v>
      </c>
      <c r="AJ527" s="2">
        <v>88663055</v>
      </c>
      <c r="AK527" s="2">
        <v>2</v>
      </c>
      <c r="AL527" s="2" t="s">
        <v>633</v>
      </c>
      <c r="AM527" s="2">
        <v>0</v>
      </c>
      <c r="AN527" s="2">
        <v>0</v>
      </c>
      <c r="AO527" s="2">
        <v>1</v>
      </c>
      <c r="AP527" s="2">
        <v>0</v>
      </c>
      <c r="AQ527" s="2">
        <v>0</v>
      </c>
      <c r="AR527" s="2">
        <v>0</v>
      </c>
      <c r="AS527" s="2">
        <v>0</v>
      </c>
      <c r="AT527" s="2">
        <v>0</v>
      </c>
      <c r="BA527" s="2" t="s">
        <v>4009</v>
      </c>
      <c r="BB527" s="2" t="str">
        <f>+PROPER(BD[[#This Row],[PRIMER_APELLIDO]])</f>
        <v>Calero</v>
      </c>
    </row>
    <row r="528" spans="1:54" x14ac:dyDescent="0.25">
      <c r="A528" s="2">
        <v>527</v>
      </c>
      <c r="B528" s="2">
        <v>39192</v>
      </c>
      <c r="C528" s="2" t="s">
        <v>619</v>
      </c>
      <c r="D528" s="2" t="s">
        <v>620</v>
      </c>
      <c r="E528" s="2" t="s">
        <v>4010</v>
      </c>
      <c r="F528" s="2">
        <v>23109171</v>
      </c>
      <c r="G528" s="3">
        <v>36.901369863013699</v>
      </c>
      <c r="H528" s="2" t="s">
        <v>622</v>
      </c>
      <c r="I528" s="2" t="s">
        <v>4011</v>
      </c>
      <c r="J528" s="2" t="str">
        <f>+IF(BD[[#This Row],[DEPARTAMENTO_INSS]]="MANAGUA","_01_","_02_")</f>
        <v>_02_</v>
      </c>
      <c r="K528" s="2" t="str">
        <f>+CONCATENATE(BD[[#This Row],[Columna3]],BD[[#This Row],[Columna4]],BD[[#This Row],[NOMBRE COMPLETO]])</f>
        <v>E003_02_CRISTIAN JOSE RUIZ MAYORGA</v>
      </c>
      <c r="L528" s="2" t="s">
        <v>4012</v>
      </c>
      <c r="M528" s="2" t="s">
        <v>243</v>
      </c>
      <c r="N528" s="2" t="s">
        <v>84</v>
      </c>
      <c r="O528" s="2" t="s">
        <v>53</v>
      </c>
      <c r="P528" s="2" t="s">
        <v>649</v>
      </c>
      <c r="Q528" s="2" t="s">
        <v>351</v>
      </c>
      <c r="R528" s="2">
        <v>31327</v>
      </c>
      <c r="S528" s="2">
        <v>31327</v>
      </c>
      <c r="T528" s="2" t="s">
        <v>176</v>
      </c>
      <c r="U528" s="2" t="s">
        <v>176</v>
      </c>
      <c r="V528" s="2" t="s">
        <v>3701</v>
      </c>
      <c r="W528" s="2" t="s">
        <v>3701</v>
      </c>
      <c r="X528" s="2" t="s">
        <v>4013</v>
      </c>
      <c r="Y528" s="2" t="s">
        <v>4014</v>
      </c>
      <c r="Z528" s="2">
        <v>88421751</v>
      </c>
      <c r="AA528" s="2">
        <v>88421751</v>
      </c>
      <c r="AB528" s="2" t="s">
        <v>654</v>
      </c>
      <c r="AC528" s="2" t="s">
        <v>632</v>
      </c>
      <c r="AD528" s="2">
        <v>88421751</v>
      </c>
      <c r="AJ528" s="2">
        <v>88421751</v>
      </c>
      <c r="AK528" s="2">
        <v>2</v>
      </c>
      <c r="AL528" s="2" t="s">
        <v>633</v>
      </c>
      <c r="AM528" s="2">
        <v>0</v>
      </c>
      <c r="AN528" s="2">
        <v>0</v>
      </c>
      <c r="AO528" s="2">
        <v>1</v>
      </c>
      <c r="AP528" s="2">
        <v>0</v>
      </c>
      <c r="AQ528" s="2">
        <v>0</v>
      </c>
      <c r="AR528" s="2">
        <v>0</v>
      </c>
      <c r="AS528" s="2">
        <v>0</v>
      </c>
      <c r="AT528" s="2">
        <v>0</v>
      </c>
      <c r="AZ528" s="2" t="s">
        <v>4015</v>
      </c>
      <c r="BB528" s="2" t="str">
        <f>+PROPER(BD[[#This Row],[PRIMER_APELLIDO]])</f>
        <v>Ruiz</v>
      </c>
    </row>
    <row r="529" spans="1:54" x14ac:dyDescent="0.25">
      <c r="A529" s="2">
        <v>528</v>
      </c>
      <c r="B529" s="2">
        <v>31977</v>
      </c>
      <c r="C529" s="2" t="s">
        <v>619</v>
      </c>
      <c r="D529" s="2" t="s">
        <v>620</v>
      </c>
      <c r="E529" s="2" t="s">
        <v>4016</v>
      </c>
      <c r="F529" s="2">
        <v>22571296</v>
      </c>
      <c r="G529" s="3">
        <v>36.904109589041099</v>
      </c>
      <c r="H529" s="2" t="s">
        <v>622</v>
      </c>
      <c r="I529" s="2" t="s">
        <v>4017</v>
      </c>
      <c r="J529" s="2" t="str">
        <f>+IF(BD[[#This Row],[DEPARTAMENTO_INSS]]="MANAGUA","_01_","_02_")</f>
        <v>_01_</v>
      </c>
      <c r="K529" s="2" t="str">
        <f>+CONCATENATE(BD[[#This Row],[Columna3]],BD[[#This Row],[Columna4]],BD[[#This Row],[NOMBRE COMPLETO]])</f>
        <v>E003_01_SCARLETH DEL ROSARIO SOLIS COOPER</v>
      </c>
      <c r="L529" s="2" t="s">
        <v>4018</v>
      </c>
      <c r="M529" s="2" t="s">
        <v>1070</v>
      </c>
      <c r="N529" s="2" t="s">
        <v>111</v>
      </c>
      <c r="O529" s="2" t="s">
        <v>4019</v>
      </c>
      <c r="P529" s="2" t="s">
        <v>626</v>
      </c>
      <c r="Q529" s="2" t="s">
        <v>351</v>
      </c>
      <c r="R529" s="2">
        <v>31326</v>
      </c>
      <c r="S529" s="2">
        <v>31326</v>
      </c>
      <c r="T529" s="2" t="s">
        <v>627</v>
      </c>
      <c r="U529" s="2" t="s">
        <v>627</v>
      </c>
      <c r="V529" s="2" t="s">
        <v>627</v>
      </c>
      <c r="W529" s="2" t="s">
        <v>627</v>
      </c>
      <c r="X529" s="2" t="s">
        <v>4020</v>
      </c>
      <c r="Y529" s="2" t="s">
        <v>4021</v>
      </c>
      <c r="Z529" s="2">
        <v>78513144</v>
      </c>
      <c r="AA529" s="2" t="s">
        <v>4022</v>
      </c>
      <c r="AB529" s="2" t="s">
        <v>642</v>
      </c>
      <c r="AC529" s="2" t="s">
        <v>632</v>
      </c>
      <c r="AD529" s="2">
        <v>78513144</v>
      </c>
      <c r="AJ529" s="2">
        <v>78513144</v>
      </c>
      <c r="AK529" s="2">
        <v>3</v>
      </c>
      <c r="AL529" s="2" t="s">
        <v>633</v>
      </c>
      <c r="AM529" s="2">
        <v>0</v>
      </c>
      <c r="AN529" s="2">
        <v>0</v>
      </c>
      <c r="AO529" s="2">
        <v>1</v>
      </c>
      <c r="AP529" s="2">
        <v>0</v>
      </c>
      <c r="AQ529" s="2">
        <v>0</v>
      </c>
      <c r="AR529" s="2">
        <v>0</v>
      </c>
      <c r="AS529" s="2">
        <v>0</v>
      </c>
      <c r="AT529" s="2">
        <v>0</v>
      </c>
      <c r="AZ529" s="2" t="s">
        <v>4023</v>
      </c>
      <c r="BA529" s="2" t="s">
        <v>4023</v>
      </c>
      <c r="BB529" s="2" t="str">
        <f>+PROPER(BD[[#This Row],[PRIMER_APELLIDO]])</f>
        <v>Solis</v>
      </c>
    </row>
    <row r="530" spans="1:54" x14ac:dyDescent="0.25">
      <c r="A530" s="2">
        <v>529</v>
      </c>
      <c r="B530" s="2">
        <v>35678</v>
      </c>
      <c r="C530" s="2" t="s">
        <v>619</v>
      </c>
      <c r="D530" s="2" t="s">
        <v>620</v>
      </c>
      <c r="E530" s="2" t="s">
        <v>4024</v>
      </c>
      <c r="F530" s="2">
        <v>22179111</v>
      </c>
      <c r="G530" s="3">
        <v>36.906849315068492</v>
      </c>
      <c r="H530" s="2" t="s">
        <v>622</v>
      </c>
      <c r="I530" s="2" t="s">
        <v>4025</v>
      </c>
      <c r="J530" s="2" t="str">
        <f>+IF(BD[[#This Row],[DEPARTAMENTO_INSS]]="MANAGUA","_01_","_02_")</f>
        <v>_02_</v>
      </c>
      <c r="K530" s="2" t="str">
        <f>+CONCATENATE(BD[[#This Row],[Columna3]],BD[[#This Row],[Columna4]],BD[[#This Row],[NOMBRE COMPLETO]])</f>
        <v>E003_02_AURA ROSA CASTILLO ZAMORA</v>
      </c>
      <c r="L530" s="2" t="s">
        <v>875</v>
      </c>
      <c r="M530" s="2" t="s">
        <v>667</v>
      </c>
      <c r="N530" s="2" t="s">
        <v>100</v>
      </c>
      <c r="O530" s="2" t="s">
        <v>149</v>
      </c>
      <c r="P530" s="2" t="s">
        <v>626</v>
      </c>
      <c r="Q530" s="2" t="s">
        <v>351</v>
      </c>
      <c r="R530" s="2">
        <v>31325</v>
      </c>
      <c r="S530" s="2">
        <v>31325</v>
      </c>
      <c r="T530" s="2" t="s">
        <v>176</v>
      </c>
      <c r="U530" s="2" t="s">
        <v>176</v>
      </c>
      <c r="V530" s="2" t="s">
        <v>650</v>
      </c>
      <c r="W530" s="2" t="s">
        <v>176</v>
      </c>
      <c r="X530" s="2" t="s">
        <v>4026</v>
      </c>
      <c r="Y530" s="2" t="s">
        <v>4027</v>
      </c>
      <c r="AA530" s="2" t="s">
        <v>4028</v>
      </c>
      <c r="AB530" s="2" t="s">
        <v>654</v>
      </c>
      <c r="AC530" s="2" t="s">
        <v>632</v>
      </c>
      <c r="AE530" s="2">
        <v>88191222</v>
      </c>
      <c r="AJ530" s="2">
        <v>88191222</v>
      </c>
      <c r="AK530" s="2">
        <v>2</v>
      </c>
      <c r="AL530" s="2" t="s">
        <v>633</v>
      </c>
      <c r="AM530" s="2">
        <v>0</v>
      </c>
      <c r="AN530" s="2">
        <v>0</v>
      </c>
      <c r="AO530" s="2">
        <v>1</v>
      </c>
      <c r="AP530" s="2">
        <v>0</v>
      </c>
      <c r="AQ530" s="2">
        <v>0</v>
      </c>
      <c r="AR530" s="2">
        <v>0</v>
      </c>
      <c r="AS530" s="2">
        <v>0</v>
      </c>
      <c r="AT530" s="2">
        <v>0</v>
      </c>
      <c r="BB530" s="2" t="str">
        <f>+PROPER(BD[[#This Row],[PRIMER_APELLIDO]])</f>
        <v>Castillo</v>
      </c>
    </row>
    <row r="531" spans="1:54" x14ac:dyDescent="0.25">
      <c r="A531" s="2">
        <v>530</v>
      </c>
      <c r="B531" s="2">
        <v>36828</v>
      </c>
      <c r="C531" s="2" t="s">
        <v>619</v>
      </c>
      <c r="D531" s="2" t="s">
        <v>620</v>
      </c>
      <c r="E531" s="2" t="s">
        <v>4029</v>
      </c>
      <c r="F531" s="2">
        <v>22416126</v>
      </c>
      <c r="G531" s="3">
        <v>36.906849315068492</v>
      </c>
      <c r="H531" s="2" t="s">
        <v>622</v>
      </c>
      <c r="I531" s="2" t="s">
        <v>4030</v>
      </c>
      <c r="J531" s="2" t="str">
        <f>+IF(BD[[#This Row],[DEPARTAMENTO_INSS]]="MANAGUA","_01_","_02_")</f>
        <v>_01_</v>
      </c>
      <c r="K531" s="2" t="str">
        <f>+CONCATENATE(BD[[#This Row],[Columna3]],BD[[#This Row],[Columna4]],BD[[#This Row],[NOMBRE COMPLETO]])</f>
        <v>E003_01_BLANCA LEONOR LOPEZ BERNARD</v>
      </c>
      <c r="L531" s="2" t="s">
        <v>1169</v>
      </c>
      <c r="M531" s="2" t="s">
        <v>4031</v>
      </c>
      <c r="N531" s="2" t="s">
        <v>15</v>
      </c>
      <c r="O531" s="2" t="s">
        <v>4032</v>
      </c>
      <c r="P531" s="2" t="s">
        <v>626</v>
      </c>
      <c r="Q531" s="2" t="s">
        <v>351</v>
      </c>
      <c r="R531" s="2">
        <v>31325</v>
      </c>
      <c r="S531" s="2">
        <v>31325</v>
      </c>
      <c r="T531" s="2" t="s">
        <v>627</v>
      </c>
      <c r="U531" s="2" t="s">
        <v>627</v>
      </c>
      <c r="V531" s="2" t="s">
        <v>627</v>
      </c>
      <c r="W531" s="2" t="s">
        <v>627</v>
      </c>
      <c r="X531" s="2" t="s">
        <v>4033</v>
      </c>
      <c r="Y531" s="2" t="s">
        <v>4034</v>
      </c>
      <c r="AA531" s="2" t="s">
        <v>4035</v>
      </c>
      <c r="AB531" s="2" t="s">
        <v>642</v>
      </c>
      <c r="AC531" s="2" t="s">
        <v>632</v>
      </c>
      <c r="AD531" s="2">
        <v>84660284</v>
      </c>
      <c r="AE531" s="2">
        <v>88541656</v>
      </c>
      <c r="AJ531" s="2">
        <v>84660284</v>
      </c>
      <c r="AK531" s="2">
        <v>2</v>
      </c>
      <c r="AL531" s="2" t="s">
        <v>633</v>
      </c>
      <c r="AM531" s="2">
        <v>0</v>
      </c>
      <c r="AN531" s="2">
        <v>0</v>
      </c>
      <c r="AO531" s="2">
        <v>1</v>
      </c>
      <c r="AP531" s="2">
        <v>0</v>
      </c>
      <c r="AQ531" s="2">
        <v>0</v>
      </c>
      <c r="AR531" s="2">
        <v>0</v>
      </c>
      <c r="AS531" s="2">
        <v>0</v>
      </c>
      <c r="AT531" s="2">
        <v>0</v>
      </c>
      <c r="BA531" s="2" t="s">
        <v>4036</v>
      </c>
      <c r="BB531" s="2" t="str">
        <f>+PROPER(BD[[#This Row],[PRIMER_APELLIDO]])</f>
        <v>Lopez</v>
      </c>
    </row>
    <row r="532" spans="1:54" x14ac:dyDescent="0.25">
      <c r="A532" s="2">
        <v>531</v>
      </c>
      <c r="B532" s="2">
        <v>59558</v>
      </c>
      <c r="C532" s="2" t="s">
        <v>619</v>
      </c>
      <c r="D532" s="2" t="s">
        <v>620</v>
      </c>
      <c r="E532" s="2" t="s">
        <v>4037</v>
      </c>
      <c r="G532" s="3">
        <v>36.917808219178085</v>
      </c>
      <c r="H532" s="2" t="s">
        <v>622</v>
      </c>
      <c r="I532" s="2" t="s">
        <v>4038</v>
      </c>
      <c r="J532" s="2" t="str">
        <f>+IF(BD[[#This Row],[DEPARTAMENTO_INSS]]="MANAGUA","_01_","_02_")</f>
        <v>_01_</v>
      </c>
      <c r="K532" s="2" t="str">
        <f>+CONCATENATE(BD[[#This Row],[Columna3]],BD[[#This Row],[Columna4]],BD[[#This Row],[NOMBRE COMPLETO]])</f>
        <v>E003_01_DANELIA EUNICE GONZALEZ OPORTA</v>
      </c>
      <c r="L532" s="2" t="s">
        <v>4039</v>
      </c>
      <c r="M532" s="2" t="s">
        <v>4040</v>
      </c>
      <c r="N532" s="2" t="s">
        <v>14</v>
      </c>
      <c r="O532" s="2" t="s">
        <v>564</v>
      </c>
      <c r="P532" s="2" t="s">
        <v>626</v>
      </c>
      <c r="Q532" s="2" t="s">
        <v>351</v>
      </c>
      <c r="R532" s="2">
        <v>31321</v>
      </c>
      <c r="S532" s="2">
        <v>31321</v>
      </c>
      <c r="T532" s="2" t="s">
        <v>627</v>
      </c>
      <c r="U532" s="2" t="s">
        <v>627</v>
      </c>
      <c r="V532" s="2" t="s">
        <v>1026</v>
      </c>
      <c r="W532" s="2" t="s">
        <v>1026</v>
      </c>
      <c r="X532" s="2" t="s">
        <v>4041</v>
      </c>
      <c r="Y532" s="2" t="s">
        <v>4042</v>
      </c>
      <c r="AA532" s="2">
        <v>82643868</v>
      </c>
      <c r="AB532" s="2" t="s">
        <v>642</v>
      </c>
      <c r="AC532" s="2" t="s">
        <v>632</v>
      </c>
      <c r="AD532" s="2">
        <v>82643868</v>
      </c>
      <c r="AJ532" s="2">
        <v>82643868</v>
      </c>
      <c r="AK532" s="2">
        <v>1</v>
      </c>
      <c r="AL532" s="2" t="s">
        <v>633</v>
      </c>
      <c r="AM532" s="2">
        <v>0</v>
      </c>
      <c r="AN532" s="2">
        <v>0</v>
      </c>
      <c r="AO532" s="2">
        <v>1</v>
      </c>
      <c r="AP532" s="2">
        <v>0</v>
      </c>
      <c r="AQ532" s="2">
        <v>0</v>
      </c>
      <c r="AR532" s="2">
        <v>0</v>
      </c>
      <c r="AS532" s="2">
        <v>0</v>
      </c>
      <c r="AT532" s="2">
        <v>0</v>
      </c>
      <c r="BB532" s="2" t="str">
        <f>+PROPER(BD[[#This Row],[PRIMER_APELLIDO]])</f>
        <v>Gonzalez</v>
      </c>
    </row>
    <row r="533" spans="1:54" x14ac:dyDescent="0.25">
      <c r="A533" s="2">
        <v>532</v>
      </c>
      <c r="B533" s="2">
        <v>67349</v>
      </c>
      <c r="C533" s="2" t="s">
        <v>619</v>
      </c>
      <c r="D533" s="2" t="s">
        <v>620</v>
      </c>
      <c r="E533" s="2" t="s">
        <v>4043</v>
      </c>
      <c r="G533" s="3">
        <v>36.917808219178085</v>
      </c>
      <c r="H533" s="2" t="s">
        <v>622</v>
      </c>
      <c r="I533" s="2" t="s">
        <v>4044</v>
      </c>
      <c r="J533" s="2" t="str">
        <f>+IF(BD[[#This Row],[DEPARTAMENTO_INSS]]="MANAGUA","_01_","_02_")</f>
        <v>_02_</v>
      </c>
      <c r="K533" s="2" t="str">
        <f>+CONCATENATE(BD[[#This Row],[Columna3]],BD[[#This Row],[Columna4]],BD[[#This Row],[NOMBRE COMPLETO]])</f>
        <v>E003_02_CARLA ARACELLY MONTIEL BRICEÑO</v>
      </c>
      <c r="L533" s="2" t="s">
        <v>4045</v>
      </c>
      <c r="M533" s="2" t="s">
        <v>2608</v>
      </c>
      <c r="N533" s="2" t="s">
        <v>37</v>
      </c>
      <c r="O533" s="2" t="s">
        <v>443</v>
      </c>
      <c r="P533" s="2" t="s">
        <v>626</v>
      </c>
      <c r="Q533" s="2" t="s">
        <v>351</v>
      </c>
      <c r="R533" s="2">
        <v>31321</v>
      </c>
      <c r="S533" s="2">
        <v>31321</v>
      </c>
      <c r="T533" s="2" t="s">
        <v>732</v>
      </c>
      <c r="U533" s="2" t="s">
        <v>732</v>
      </c>
      <c r="V533" s="2" t="s">
        <v>962</v>
      </c>
      <c r="W533" s="2" t="s">
        <v>848</v>
      </c>
      <c r="X533" s="2" t="s">
        <v>4046</v>
      </c>
      <c r="Y533" s="2" t="s">
        <v>4047</v>
      </c>
      <c r="Z533" s="2">
        <v>82519564</v>
      </c>
      <c r="AA533" s="2">
        <v>82519564</v>
      </c>
      <c r="AB533" s="2" t="s">
        <v>642</v>
      </c>
      <c r="AC533" s="2" t="s">
        <v>632</v>
      </c>
      <c r="AD533" s="2">
        <v>82519564</v>
      </c>
      <c r="AJ533" s="2">
        <v>82519564</v>
      </c>
      <c r="AK533" s="2">
        <v>2</v>
      </c>
      <c r="AL533" s="2" t="s">
        <v>633</v>
      </c>
      <c r="AM533" s="2">
        <v>0</v>
      </c>
      <c r="AN533" s="2">
        <v>0</v>
      </c>
      <c r="AO533" s="2">
        <v>1</v>
      </c>
      <c r="AP533" s="2">
        <v>0</v>
      </c>
      <c r="AQ533" s="2">
        <v>0</v>
      </c>
      <c r="AR533" s="2">
        <v>0</v>
      </c>
      <c r="AS533" s="2">
        <v>0</v>
      </c>
      <c r="AT533" s="2">
        <v>0</v>
      </c>
      <c r="AZ533" s="2" t="s">
        <v>4048</v>
      </c>
      <c r="BB533" s="2" t="str">
        <f>+PROPER(BD[[#This Row],[PRIMER_APELLIDO]])</f>
        <v>Montiel</v>
      </c>
    </row>
    <row r="534" spans="1:54" x14ac:dyDescent="0.25">
      <c r="A534" s="2">
        <v>533</v>
      </c>
      <c r="B534" s="2">
        <v>47415</v>
      </c>
      <c r="C534" s="2" t="s">
        <v>619</v>
      </c>
      <c r="D534" s="2" t="s">
        <v>620</v>
      </c>
      <c r="E534" s="2" t="s">
        <v>4049</v>
      </c>
      <c r="F534" s="2">
        <v>25022069</v>
      </c>
      <c r="G534" s="3">
        <v>36.923287671232877</v>
      </c>
      <c r="H534" s="2" t="s">
        <v>622</v>
      </c>
      <c r="I534" s="2" t="s">
        <v>4050</v>
      </c>
      <c r="J534" s="2" t="str">
        <f>+IF(BD[[#This Row],[DEPARTAMENTO_INSS]]="MANAGUA","_01_","_02_")</f>
        <v>_02_</v>
      </c>
      <c r="K534" s="2" t="str">
        <f>+CONCATENATE(BD[[#This Row],[Columna3]],BD[[#This Row],[Columna4]],BD[[#This Row],[NOMBRE COMPLETO]])</f>
        <v>E003_02_LEOPOLDO MARTINEZ RIVERA</v>
      </c>
      <c r="L534" s="2" t="s">
        <v>4051</v>
      </c>
      <c r="N534" s="2" t="s">
        <v>44</v>
      </c>
      <c r="O534" s="2" t="s">
        <v>198</v>
      </c>
      <c r="P534" s="2" t="s">
        <v>649</v>
      </c>
      <c r="Q534" s="2" t="s">
        <v>351</v>
      </c>
      <c r="R534" s="2">
        <v>31319</v>
      </c>
      <c r="S534" s="2">
        <v>31319</v>
      </c>
      <c r="T534" s="2" t="s">
        <v>1104</v>
      </c>
      <c r="U534" s="2" t="s">
        <v>1104</v>
      </c>
      <c r="V534" s="2" t="s">
        <v>3078</v>
      </c>
      <c r="W534" s="2" t="s">
        <v>3078</v>
      </c>
      <c r="X534" s="2" t="s">
        <v>4052</v>
      </c>
      <c r="Y534" s="2" t="s">
        <v>4053</v>
      </c>
      <c r="Z534" s="2">
        <v>87252169</v>
      </c>
      <c r="AA534" s="2" t="s">
        <v>4054</v>
      </c>
      <c r="AB534" s="2" t="s">
        <v>798</v>
      </c>
      <c r="AC534" s="2" t="s">
        <v>632</v>
      </c>
      <c r="AD534" s="2">
        <v>87252169</v>
      </c>
      <c r="AE534" s="2">
        <v>85128449</v>
      </c>
      <c r="AJ534" s="2">
        <v>87252169</v>
      </c>
      <c r="AK534" s="2">
        <v>3</v>
      </c>
      <c r="AL534" s="2" t="s">
        <v>633</v>
      </c>
      <c r="AM534" s="2">
        <v>0</v>
      </c>
      <c r="AN534" s="2">
        <v>0</v>
      </c>
      <c r="AO534" s="2">
        <v>1</v>
      </c>
      <c r="AP534" s="2">
        <v>0</v>
      </c>
      <c r="AQ534" s="2">
        <v>0</v>
      </c>
      <c r="AR534" s="2">
        <v>0</v>
      </c>
      <c r="AS534" s="2">
        <v>0</v>
      </c>
      <c r="AT534" s="2">
        <v>0</v>
      </c>
      <c r="BB534" s="2" t="str">
        <f>+PROPER(BD[[#This Row],[PRIMER_APELLIDO]])</f>
        <v>Martinez</v>
      </c>
    </row>
    <row r="535" spans="1:54" x14ac:dyDescent="0.25">
      <c r="A535" s="2">
        <v>534</v>
      </c>
      <c r="B535" s="2">
        <v>41997</v>
      </c>
      <c r="C535" s="2" t="s">
        <v>619</v>
      </c>
      <c r="D535" s="2" t="s">
        <v>620</v>
      </c>
      <c r="E535" s="2" t="s">
        <v>4055</v>
      </c>
      <c r="F535" s="2">
        <v>24325507</v>
      </c>
      <c r="G535" s="3">
        <v>36.926027397260277</v>
      </c>
      <c r="H535" s="2" t="s">
        <v>622</v>
      </c>
      <c r="I535" s="2" t="s">
        <v>4056</v>
      </c>
      <c r="J535" s="2" t="str">
        <f>+IF(BD[[#This Row],[DEPARTAMENTO_INSS]]="MANAGUA","_01_","_02_")</f>
        <v>_02_</v>
      </c>
      <c r="K535" s="2" t="str">
        <f>+CONCATENATE(BD[[#This Row],[Columna3]],BD[[#This Row],[Columna4]],BD[[#This Row],[NOMBRE COMPLETO]])</f>
        <v>E003_02_DENIS ANTONIO SOLIS GUTIERREZ</v>
      </c>
      <c r="L535" s="2" t="s">
        <v>4057</v>
      </c>
      <c r="M535" s="2" t="s">
        <v>904</v>
      </c>
      <c r="N535" s="2" t="s">
        <v>111</v>
      </c>
      <c r="O535" s="2" t="s">
        <v>171</v>
      </c>
      <c r="P535" s="2" t="s">
        <v>649</v>
      </c>
      <c r="Q535" s="2" t="s">
        <v>351</v>
      </c>
      <c r="R535" s="2">
        <v>31318</v>
      </c>
      <c r="S535" s="2">
        <v>31318</v>
      </c>
      <c r="T535" s="2" t="s">
        <v>1104</v>
      </c>
      <c r="U535" s="2" t="s">
        <v>186</v>
      </c>
      <c r="V535" s="2" t="s">
        <v>1104</v>
      </c>
      <c r="W535" s="2" t="s">
        <v>4058</v>
      </c>
      <c r="X535" s="2" t="s">
        <v>4059</v>
      </c>
      <c r="Y535" s="2" t="s">
        <v>4060</v>
      </c>
      <c r="AA535" s="2" t="s">
        <v>4061</v>
      </c>
      <c r="AB535" s="2" t="s">
        <v>654</v>
      </c>
      <c r="AC535" s="2" t="s">
        <v>632</v>
      </c>
      <c r="AD535" s="2">
        <v>84342099</v>
      </c>
      <c r="AE535" s="2">
        <v>86955079</v>
      </c>
      <c r="AJ535" s="2">
        <v>84342099</v>
      </c>
      <c r="AK535" s="2">
        <v>2</v>
      </c>
      <c r="AL535" s="2" t="s">
        <v>633</v>
      </c>
      <c r="AM535" s="2">
        <v>0</v>
      </c>
      <c r="AN535" s="2">
        <v>0</v>
      </c>
      <c r="AO535" s="2">
        <v>1</v>
      </c>
      <c r="AP535" s="2">
        <v>0</v>
      </c>
      <c r="AQ535" s="2">
        <v>0</v>
      </c>
      <c r="AR535" s="2">
        <v>0</v>
      </c>
      <c r="AS535" s="2">
        <v>0</v>
      </c>
      <c r="AT535" s="2">
        <v>0</v>
      </c>
      <c r="BB535" s="2" t="str">
        <f>+PROPER(BD[[#This Row],[PRIMER_APELLIDO]])</f>
        <v>Solis</v>
      </c>
    </row>
    <row r="536" spans="1:54" x14ac:dyDescent="0.25">
      <c r="A536" s="2">
        <v>535</v>
      </c>
      <c r="B536" s="2">
        <v>37204</v>
      </c>
      <c r="C536" s="2" t="s">
        <v>619</v>
      </c>
      <c r="D536" s="2" t="s">
        <v>620</v>
      </c>
      <c r="E536" s="2" t="s">
        <v>4062</v>
      </c>
      <c r="G536" s="3">
        <v>36.942465753424656</v>
      </c>
      <c r="H536" s="2" t="s">
        <v>622</v>
      </c>
      <c r="I536" s="2" t="s">
        <v>4063</v>
      </c>
      <c r="J536" s="2" t="str">
        <f>+IF(BD[[#This Row],[DEPARTAMENTO_INSS]]="MANAGUA","_01_","_02_")</f>
        <v>_02_</v>
      </c>
      <c r="K536" s="2" t="str">
        <f>+CONCATENATE(BD[[#This Row],[Columna3]],BD[[#This Row],[Columna4]],BD[[#This Row],[NOMBRE COMPLETO]])</f>
        <v>E003_02_IRAYDA MARIANA DUARTE PEREIRA</v>
      </c>
      <c r="L536" s="2" t="s">
        <v>4064</v>
      </c>
      <c r="M536" s="2" t="s">
        <v>4065</v>
      </c>
      <c r="N536" s="2" t="s">
        <v>117</v>
      </c>
      <c r="O536" s="2" t="s">
        <v>447</v>
      </c>
      <c r="P536" s="2" t="s">
        <v>626</v>
      </c>
      <c r="Q536" s="2" t="s">
        <v>351</v>
      </c>
      <c r="R536" s="2">
        <v>31312</v>
      </c>
      <c r="S536" s="2">
        <v>31312</v>
      </c>
      <c r="T536" s="2" t="s">
        <v>176</v>
      </c>
      <c r="U536" s="2" t="s">
        <v>444</v>
      </c>
      <c r="V536" s="2" t="s">
        <v>650</v>
      </c>
      <c r="W536" s="2" t="s">
        <v>1845</v>
      </c>
      <c r="X536" s="2" t="s">
        <v>4066</v>
      </c>
      <c r="Y536" s="2" t="s">
        <v>4067</v>
      </c>
      <c r="Z536" s="2">
        <v>82090285</v>
      </c>
      <c r="AA536" s="2">
        <v>82090285</v>
      </c>
      <c r="AB536" s="2" t="s">
        <v>642</v>
      </c>
      <c r="AC536" s="2" t="s">
        <v>632</v>
      </c>
      <c r="AD536" s="2">
        <v>82090285</v>
      </c>
      <c r="AJ536" s="2">
        <v>82090285</v>
      </c>
      <c r="AK536" s="2">
        <v>2</v>
      </c>
      <c r="AL536" s="2" t="s">
        <v>633</v>
      </c>
      <c r="AM536" s="2">
        <v>0</v>
      </c>
      <c r="AN536" s="2">
        <v>0</v>
      </c>
      <c r="AO536" s="2">
        <v>1</v>
      </c>
      <c r="AP536" s="2">
        <v>0</v>
      </c>
      <c r="AQ536" s="2">
        <v>0</v>
      </c>
      <c r="AR536" s="2">
        <v>0</v>
      </c>
      <c r="AS536" s="2">
        <v>0</v>
      </c>
      <c r="AT536" s="2">
        <v>0</v>
      </c>
      <c r="AZ536" s="2" t="s">
        <v>4068</v>
      </c>
      <c r="BB536" s="2" t="str">
        <f>+PROPER(BD[[#This Row],[PRIMER_APELLIDO]])</f>
        <v>Duarte</v>
      </c>
    </row>
    <row r="537" spans="1:54" x14ac:dyDescent="0.25">
      <c r="A537" s="2">
        <v>536</v>
      </c>
      <c r="B537" s="2">
        <v>47067</v>
      </c>
      <c r="C537" s="2" t="s">
        <v>619</v>
      </c>
      <c r="D537" s="2" t="s">
        <v>620</v>
      </c>
      <c r="E537" s="2" t="s">
        <v>4069</v>
      </c>
      <c r="F537" s="2">
        <v>25023170</v>
      </c>
      <c r="G537" s="3">
        <v>36.942465753424656</v>
      </c>
      <c r="H537" s="2" t="s">
        <v>622</v>
      </c>
      <c r="I537" s="2" t="s">
        <v>4070</v>
      </c>
      <c r="J537" s="2" t="str">
        <f>+IF(BD[[#This Row],[DEPARTAMENTO_INSS]]="MANAGUA","_01_","_02_")</f>
        <v>_02_</v>
      </c>
      <c r="K537" s="2" t="str">
        <f>+CONCATENATE(BD[[#This Row],[Columna3]],BD[[#This Row],[Columna4]],BD[[#This Row],[NOMBRE COMPLETO]])</f>
        <v>E003_02_TIATIRA ESMIRNA GOMEZ PRADO</v>
      </c>
      <c r="L537" s="2" t="s">
        <v>4071</v>
      </c>
      <c r="M537" s="2" t="s">
        <v>4072</v>
      </c>
      <c r="N537" s="2" t="s">
        <v>43</v>
      </c>
      <c r="O537" s="2" t="s">
        <v>369</v>
      </c>
      <c r="P537" s="2" t="s">
        <v>626</v>
      </c>
      <c r="Q537" s="2" t="s">
        <v>351</v>
      </c>
      <c r="R537" s="2">
        <v>31312</v>
      </c>
      <c r="S537" s="2">
        <v>31312</v>
      </c>
      <c r="T537" s="2" t="s">
        <v>732</v>
      </c>
      <c r="U537" s="2" t="s">
        <v>732</v>
      </c>
      <c r="V537" s="2" t="s">
        <v>732</v>
      </c>
      <c r="W537" s="2" t="s">
        <v>2552</v>
      </c>
      <c r="X537" s="2" t="s">
        <v>4073</v>
      </c>
      <c r="Y537" s="2" t="s">
        <v>4074</v>
      </c>
      <c r="Z537" s="2">
        <v>85606798</v>
      </c>
      <c r="AA537" s="2" t="s">
        <v>4075</v>
      </c>
      <c r="AB537" s="2" t="s">
        <v>631</v>
      </c>
      <c r="AC537" s="2" t="s">
        <v>632</v>
      </c>
      <c r="AD537" s="2">
        <v>85606798</v>
      </c>
      <c r="AJ537" s="2">
        <v>85606798</v>
      </c>
      <c r="AK537" s="2">
        <v>3</v>
      </c>
      <c r="AL537" s="2" t="s">
        <v>633</v>
      </c>
      <c r="AM537" s="2">
        <v>0</v>
      </c>
      <c r="AN537" s="2">
        <v>0</v>
      </c>
      <c r="AO537" s="2">
        <v>1</v>
      </c>
      <c r="AP537" s="2">
        <v>0</v>
      </c>
      <c r="AQ537" s="2">
        <v>0</v>
      </c>
      <c r="AR537" s="2">
        <v>0</v>
      </c>
      <c r="AS537" s="2">
        <v>0</v>
      </c>
      <c r="AT537" s="2">
        <v>0</v>
      </c>
      <c r="AZ537" s="2" t="s">
        <v>4076</v>
      </c>
      <c r="BB537" s="2" t="str">
        <f>+PROPER(BD[[#This Row],[PRIMER_APELLIDO]])</f>
        <v>Gomez</v>
      </c>
    </row>
    <row r="538" spans="1:54" x14ac:dyDescent="0.25">
      <c r="A538" s="2">
        <v>537</v>
      </c>
      <c r="B538" s="2">
        <v>57085</v>
      </c>
      <c r="C538" s="2" t="s">
        <v>619</v>
      </c>
      <c r="D538" s="2" t="s">
        <v>620</v>
      </c>
      <c r="E538" s="2" t="s">
        <v>4077</v>
      </c>
      <c r="G538" s="3">
        <v>36.942465753424656</v>
      </c>
      <c r="H538" s="2" t="s">
        <v>622</v>
      </c>
      <c r="I538" s="2" t="s">
        <v>4078</v>
      </c>
      <c r="J538" s="2" t="str">
        <f>+IF(BD[[#This Row],[DEPARTAMENTO_INSS]]="MANAGUA","_01_","_02_")</f>
        <v>_01_</v>
      </c>
      <c r="K538" s="2" t="str">
        <f>+CONCATENATE(BD[[#This Row],[Columna3]],BD[[#This Row],[Columna4]],BD[[#This Row],[NOMBRE COMPLETO]])</f>
        <v>E003_01_JUDITH RAQUEL NAVARRETE LATINO</v>
      </c>
      <c r="L538" s="2" t="s">
        <v>1348</v>
      </c>
      <c r="M538" s="2" t="s">
        <v>2545</v>
      </c>
      <c r="N538" s="2" t="s">
        <v>276</v>
      </c>
      <c r="O538" s="2" t="s">
        <v>532</v>
      </c>
      <c r="P538" s="2" t="s">
        <v>626</v>
      </c>
      <c r="Q538" s="2" t="s">
        <v>351</v>
      </c>
      <c r="R538" s="2">
        <v>31312</v>
      </c>
      <c r="S538" s="2">
        <v>31312</v>
      </c>
      <c r="T538" s="2" t="s">
        <v>732</v>
      </c>
      <c r="U538" s="2" t="s">
        <v>627</v>
      </c>
      <c r="V538" s="2" t="s">
        <v>2793</v>
      </c>
      <c r="W538" s="2" t="s">
        <v>627</v>
      </c>
      <c r="X538" s="2" t="s">
        <v>4079</v>
      </c>
      <c r="Y538" s="2" t="s">
        <v>4080</v>
      </c>
      <c r="Z538" s="2">
        <v>89630466</v>
      </c>
      <c r="AA538" s="2">
        <v>89630466</v>
      </c>
      <c r="AB538" s="2" t="s">
        <v>1330</v>
      </c>
      <c r="AC538" s="2" t="s">
        <v>632</v>
      </c>
      <c r="AD538" s="2">
        <v>89630466</v>
      </c>
      <c r="AJ538" s="2">
        <v>89630466</v>
      </c>
      <c r="AK538" s="2">
        <v>2</v>
      </c>
      <c r="AL538" s="2" t="s">
        <v>633</v>
      </c>
      <c r="AM538" s="2">
        <v>0</v>
      </c>
      <c r="AN538" s="2">
        <v>0</v>
      </c>
      <c r="AO538" s="2">
        <v>1</v>
      </c>
      <c r="AP538" s="2">
        <v>0</v>
      </c>
      <c r="AQ538" s="2">
        <v>0</v>
      </c>
      <c r="AR538" s="2">
        <v>0</v>
      </c>
      <c r="AS538" s="2">
        <v>0</v>
      </c>
      <c r="AT538" s="2">
        <v>0</v>
      </c>
      <c r="BB538" s="2" t="str">
        <f>+PROPER(BD[[#This Row],[PRIMER_APELLIDO]])</f>
        <v>Navarrete</v>
      </c>
    </row>
    <row r="539" spans="1:54" x14ac:dyDescent="0.25">
      <c r="A539" s="2">
        <v>538</v>
      </c>
      <c r="B539" s="2">
        <v>47822</v>
      </c>
      <c r="C539" s="2" t="s">
        <v>619</v>
      </c>
      <c r="D539" s="2" t="s">
        <v>620</v>
      </c>
      <c r="E539" s="2" t="s">
        <v>4081</v>
      </c>
      <c r="F539" s="2">
        <v>17291619</v>
      </c>
      <c r="G539" s="3">
        <v>36.950684931506849</v>
      </c>
      <c r="H539" s="2" t="s">
        <v>622</v>
      </c>
      <c r="I539" s="2" t="s">
        <v>4082</v>
      </c>
      <c r="J539" s="2" t="str">
        <f>+IF(BD[[#This Row],[DEPARTAMENTO_INSS]]="MANAGUA","_01_","_02_")</f>
        <v>_01_</v>
      </c>
      <c r="K539" s="2" t="str">
        <f>+CONCATENATE(BD[[#This Row],[Columna3]],BD[[#This Row],[Columna4]],BD[[#This Row],[NOMBRE COMPLETO]])</f>
        <v>E003_01_KAREN GEOMAR CARRASCO ACUÑA</v>
      </c>
      <c r="L539" s="2" t="s">
        <v>1162</v>
      </c>
      <c r="M539" s="2" t="s">
        <v>4083</v>
      </c>
      <c r="N539" s="2" t="s">
        <v>152</v>
      </c>
      <c r="O539" s="2" t="s">
        <v>4084</v>
      </c>
      <c r="P539" s="2" t="s">
        <v>626</v>
      </c>
      <c r="Q539" s="2" t="s">
        <v>351</v>
      </c>
      <c r="R539" s="2">
        <v>31309</v>
      </c>
      <c r="S539" s="2">
        <v>31309</v>
      </c>
      <c r="T539" s="2" t="s">
        <v>691</v>
      </c>
      <c r="U539" s="2" t="s">
        <v>627</v>
      </c>
      <c r="V539" s="2" t="s">
        <v>3571</v>
      </c>
      <c r="W539" s="2" t="s">
        <v>692</v>
      </c>
      <c r="X539" s="2" t="s">
        <v>4085</v>
      </c>
      <c r="Y539" s="2" t="s">
        <v>4086</v>
      </c>
      <c r="AA539" s="2" t="s">
        <v>4087</v>
      </c>
      <c r="AB539" s="2" t="s">
        <v>798</v>
      </c>
      <c r="AC539" s="2" t="s">
        <v>632</v>
      </c>
      <c r="AE539" s="2">
        <v>58464334</v>
      </c>
      <c r="AJ539" s="2">
        <v>58464334</v>
      </c>
      <c r="AK539" s="2">
        <v>2</v>
      </c>
      <c r="AL539" s="2" t="s">
        <v>633</v>
      </c>
      <c r="AM539" s="2">
        <v>0</v>
      </c>
      <c r="AN539" s="2">
        <v>0</v>
      </c>
      <c r="AO539" s="2">
        <v>1</v>
      </c>
      <c r="AP539" s="2">
        <v>0</v>
      </c>
      <c r="AQ539" s="2">
        <v>0</v>
      </c>
      <c r="AR539" s="2">
        <v>0</v>
      </c>
      <c r="AS539" s="2">
        <v>0</v>
      </c>
      <c r="AT539" s="2">
        <v>0</v>
      </c>
      <c r="BB539" s="2" t="str">
        <f>+PROPER(BD[[#This Row],[PRIMER_APELLIDO]])</f>
        <v>Carrasco</v>
      </c>
    </row>
    <row r="540" spans="1:54" x14ac:dyDescent="0.25">
      <c r="A540" s="2">
        <v>539</v>
      </c>
      <c r="B540" s="2">
        <v>24794</v>
      </c>
      <c r="C540" s="2" t="s">
        <v>619</v>
      </c>
      <c r="D540" s="2" t="s">
        <v>620</v>
      </c>
      <c r="E540" s="2" t="s">
        <v>4088</v>
      </c>
      <c r="F540" s="2">
        <v>20230483</v>
      </c>
      <c r="G540" s="3">
        <v>36.953424657534249</v>
      </c>
      <c r="H540" s="2" t="s">
        <v>622</v>
      </c>
      <c r="I540" s="2" t="s">
        <v>4089</v>
      </c>
      <c r="J540" s="2" t="str">
        <f>+IF(BD[[#This Row],[DEPARTAMENTO_INSS]]="MANAGUA","_01_","_02_")</f>
        <v>_01_</v>
      </c>
      <c r="K540" s="2" t="str">
        <f>+CONCATENATE(BD[[#This Row],[Columna3]],BD[[#This Row],[Columna4]],BD[[#This Row],[NOMBRE COMPLETO]])</f>
        <v>E003_01_JOSE NICOLAS GARCIA VASQUEZ</v>
      </c>
      <c r="L540" s="2" t="s">
        <v>243</v>
      </c>
      <c r="M540" s="2" t="s">
        <v>3850</v>
      </c>
      <c r="N540" s="2" t="s">
        <v>10</v>
      </c>
      <c r="O540" s="2" t="s">
        <v>52</v>
      </c>
      <c r="P540" s="2" t="s">
        <v>649</v>
      </c>
      <c r="Q540" s="2" t="s">
        <v>351</v>
      </c>
      <c r="R540" s="2">
        <v>31308</v>
      </c>
      <c r="S540" s="2">
        <v>31308</v>
      </c>
      <c r="U540" s="2" t="s">
        <v>627</v>
      </c>
      <c r="W540" s="2" t="s">
        <v>627</v>
      </c>
      <c r="X540" s="2" t="s">
        <v>4090</v>
      </c>
      <c r="Y540" s="2" t="s">
        <v>4091</v>
      </c>
      <c r="AA540" s="2" t="s">
        <v>4092</v>
      </c>
      <c r="AB540" s="2" t="s">
        <v>894</v>
      </c>
      <c r="AC540" s="2" t="s">
        <v>632</v>
      </c>
      <c r="AH540" s="2">
        <v>84154423</v>
      </c>
      <c r="AK540" s="2">
        <v>3</v>
      </c>
      <c r="AL540" s="2" t="s">
        <v>633</v>
      </c>
      <c r="AM540" s="2">
        <v>0</v>
      </c>
      <c r="AN540" s="2">
        <v>0</v>
      </c>
      <c r="AO540" s="2">
        <v>1</v>
      </c>
      <c r="AP540" s="2">
        <v>0</v>
      </c>
      <c r="AQ540" s="2">
        <v>0</v>
      </c>
      <c r="AR540" s="2">
        <v>0</v>
      </c>
      <c r="AS540" s="2">
        <v>0</v>
      </c>
      <c r="AT540" s="2">
        <v>0</v>
      </c>
      <c r="BB540" s="2" t="str">
        <f>+PROPER(BD[[#This Row],[PRIMER_APELLIDO]])</f>
        <v>Garcia</v>
      </c>
    </row>
    <row r="541" spans="1:54" x14ac:dyDescent="0.25">
      <c r="A541" s="2">
        <v>540</v>
      </c>
      <c r="B541" s="2">
        <v>36479</v>
      </c>
      <c r="C541" s="2" t="s">
        <v>619</v>
      </c>
      <c r="D541" s="2" t="s">
        <v>620</v>
      </c>
      <c r="E541" s="2" t="s">
        <v>4093</v>
      </c>
      <c r="F541" s="2">
        <v>23277353</v>
      </c>
      <c r="G541" s="3">
        <v>36.953424657534249</v>
      </c>
      <c r="H541" s="2" t="s">
        <v>622</v>
      </c>
      <c r="I541" s="2" t="s">
        <v>4094</v>
      </c>
      <c r="J541" s="2" t="str">
        <f>+IF(BD[[#This Row],[DEPARTAMENTO_INSS]]="MANAGUA","_01_","_02_")</f>
        <v>_02_</v>
      </c>
      <c r="K541" s="2" t="str">
        <f>+CONCATENATE(BD[[#This Row],[Columna3]],BD[[#This Row],[Columna4]],BD[[#This Row],[NOMBRE COMPLETO]])</f>
        <v>E003_02_FRANCIS ELIZABETH NAVARRO PEREIRA</v>
      </c>
      <c r="L541" s="2" t="s">
        <v>362</v>
      </c>
      <c r="M541" s="2" t="s">
        <v>1881</v>
      </c>
      <c r="N541" s="2" t="s">
        <v>115</v>
      </c>
      <c r="O541" s="2" t="s">
        <v>447</v>
      </c>
      <c r="P541" s="2" t="s">
        <v>626</v>
      </c>
      <c r="Q541" s="2" t="s">
        <v>351</v>
      </c>
      <c r="R541" s="2">
        <v>31308</v>
      </c>
      <c r="S541" s="2">
        <v>31308</v>
      </c>
      <c r="T541" s="2" t="s">
        <v>176</v>
      </c>
      <c r="U541" s="2" t="s">
        <v>176</v>
      </c>
      <c r="V541" s="2" t="s">
        <v>650</v>
      </c>
      <c r="W541" s="2" t="s">
        <v>176</v>
      </c>
      <c r="X541" s="2" t="s">
        <v>4095</v>
      </c>
      <c r="Y541" s="2" t="s">
        <v>4096</v>
      </c>
      <c r="AA541" s="2" t="s">
        <v>4097</v>
      </c>
      <c r="AB541" s="2" t="s">
        <v>654</v>
      </c>
      <c r="AC541" s="2" t="s">
        <v>632</v>
      </c>
      <c r="AE541" s="2">
        <v>77015211</v>
      </c>
      <c r="AJ541" s="2">
        <v>77015211</v>
      </c>
      <c r="AK541" s="2">
        <v>2</v>
      </c>
      <c r="AL541" s="2" t="s">
        <v>633</v>
      </c>
      <c r="AM541" s="2">
        <v>0</v>
      </c>
      <c r="AN541" s="2">
        <v>0</v>
      </c>
      <c r="AO541" s="2">
        <v>1</v>
      </c>
      <c r="AP541" s="2">
        <v>0</v>
      </c>
      <c r="AQ541" s="2">
        <v>0</v>
      </c>
      <c r="AR541" s="2">
        <v>0</v>
      </c>
      <c r="AS541" s="2">
        <v>0</v>
      </c>
      <c r="AT541" s="2">
        <v>0</v>
      </c>
      <c r="BB541" s="2" t="str">
        <f>+PROPER(BD[[#This Row],[PRIMER_APELLIDO]])</f>
        <v>Navarro</v>
      </c>
    </row>
    <row r="542" spans="1:54" x14ac:dyDescent="0.25">
      <c r="A542" s="2">
        <v>541</v>
      </c>
      <c r="B542" s="2">
        <v>37914</v>
      </c>
      <c r="C542" s="2" t="s">
        <v>619</v>
      </c>
      <c r="D542" s="2" t="s">
        <v>620</v>
      </c>
      <c r="E542" s="2" t="s">
        <v>4098</v>
      </c>
      <c r="F542" s="2">
        <v>23720354</v>
      </c>
      <c r="G542" s="3">
        <v>36.958904109589042</v>
      </c>
      <c r="H542" s="2" t="s">
        <v>622</v>
      </c>
      <c r="I542" s="2" t="s">
        <v>4099</v>
      </c>
      <c r="J542" s="2" t="str">
        <f>+IF(BD[[#This Row],[DEPARTAMENTO_INSS]]="MANAGUA","_01_","_02_")</f>
        <v>_02_</v>
      </c>
      <c r="K542" s="2" t="str">
        <f>+CONCATENATE(BD[[#This Row],[Columna3]],BD[[#This Row],[Columna4]],BD[[#This Row],[NOMBRE COMPLETO]])</f>
        <v>E003_02_ELVIN ANTONIO QUINTERO GALEANO</v>
      </c>
      <c r="L542" s="2" t="s">
        <v>3880</v>
      </c>
      <c r="M542" s="2" t="s">
        <v>904</v>
      </c>
      <c r="N542" s="2" t="s">
        <v>188</v>
      </c>
      <c r="O542" s="2" t="s">
        <v>70</v>
      </c>
      <c r="P542" s="2" t="s">
        <v>649</v>
      </c>
      <c r="Q542" s="2" t="s">
        <v>351</v>
      </c>
      <c r="R542" s="2">
        <v>31306</v>
      </c>
      <c r="S542" s="2">
        <v>31306</v>
      </c>
      <c r="T542" s="2" t="s">
        <v>691</v>
      </c>
      <c r="U542" s="2" t="s">
        <v>1191</v>
      </c>
      <c r="V542" s="2" t="s">
        <v>716</v>
      </c>
      <c r="W542" s="2" t="s">
        <v>1300</v>
      </c>
      <c r="X542" s="2" t="s">
        <v>4100</v>
      </c>
      <c r="Y542" s="2" t="s">
        <v>4101</v>
      </c>
      <c r="AA542" s="2">
        <v>58063480</v>
      </c>
      <c r="AB542" s="2" t="s">
        <v>798</v>
      </c>
      <c r="AC542" s="2" t="s">
        <v>632</v>
      </c>
      <c r="AD542" s="2">
        <v>58063480</v>
      </c>
      <c r="AJ542" s="2">
        <v>58063480</v>
      </c>
      <c r="AK542" s="2">
        <v>1</v>
      </c>
      <c r="AL542" s="2" t="s">
        <v>633</v>
      </c>
      <c r="AM542" s="2">
        <v>0</v>
      </c>
      <c r="AN542" s="2">
        <v>0</v>
      </c>
      <c r="AO542" s="2">
        <v>1</v>
      </c>
      <c r="AP542" s="2">
        <v>0</v>
      </c>
      <c r="AQ542" s="2">
        <v>0</v>
      </c>
      <c r="AR542" s="2">
        <v>0</v>
      </c>
      <c r="AS542" s="2">
        <v>0</v>
      </c>
      <c r="AT542" s="2">
        <v>0</v>
      </c>
      <c r="BB542" s="2" t="str">
        <f>+PROPER(BD[[#This Row],[PRIMER_APELLIDO]])</f>
        <v>Quintero</v>
      </c>
    </row>
    <row r="543" spans="1:54" x14ac:dyDescent="0.25">
      <c r="A543" s="2">
        <v>542</v>
      </c>
      <c r="B543" s="2">
        <v>47086</v>
      </c>
      <c r="C543" s="2" t="s">
        <v>619</v>
      </c>
      <c r="D543" s="2" t="s">
        <v>620</v>
      </c>
      <c r="E543" s="2" t="s">
        <v>4102</v>
      </c>
      <c r="F543" s="2">
        <v>25021536</v>
      </c>
      <c r="G543" s="3">
        <v>36.958904109589042</v>
      </c>
      <c r="H543" s="2" t="s">
        <v>622</v>
      </c>
      <c r="I543" s="2" t="s">
        <v>4103</v>
      </c>
      <c r="J543" s="2" t="str">
        <f>+IF(BD[[#This Row],[DEPARTAMENTO_INSS]]="MANAGUA","_01_","_02_")</f>
        <v>_01_</v>
      </c>
      <c r="K543" s="2" t="str">
        <f>+CONCATENATE(BD[[#This Row],[Columna3]],BD[[#This Row],[Columna4]],BD[[#This Row],[NOMBRE COMPLETO]])</f>
        <v>E003_01_JAIRO EMMANUEL BLANDON RUIZ</v>
      </c>
      <c r="L543" s="2" t="s">
        <v>1803</v>
      </c>
      <c r="M543" s="2" t="s">
        <v>4104</v>
      </c>
      <c r="N543" s="2" t="s">
        <v>159</v>
      </c>
      <c r="O543" s="2" t="s">
        <v>84</v>
      </c>
      <c r="P543" s="2" t="s">
        <v>649</v>
      </c>
      <c r="Q543" s="2" t="s">
        <v>351</v>
      </c>
      <c r="R543" s="2">
        <v>31306</v>
      </c>
      <c r="S543" s="2">
        <v>31306</v>
      </c>
      <c r="T543" s="2" t="s">
        <v>627</v>
      </c>
      <c r="U543" s="2" t="s">
        <v>627</v>
      </c>
      <c r="V543" s="2" t="s">
        <v>627</v>
      </c>
      <c r="W543" s="2" t="s">
        <v>627</v>
      </c>
      <c r="X543" s="2" t="s">
        <v>4105</v>
      </c>
      <c r="Y543" s="2" t="s">
        <v>4106</v>
      </c>
      <c r="Z543" s="2">
        <v>89191882</v>
      </c>
      <c r="AA543" s="2">
        <v>89191882</v>
      </c>
      <c r="AB543" s="2" t="s">
        <v>798</v>
      </c>
      <c r="AC543" s="2" t="s">
        <v>632</v>
      </c>
      <c r="AD543" s="2">
        <v>89191882</v>
      </c>
      <c r="AJ543" s="2">
        <v>89191882</v>
      </c>
      <c r="AK543" s="2">
        <v>2</v>
      </c>
      <c r="AL543" s="2" t="s">
        <v>633</v>
      </c>
      <c r="AM543" s="2">
        <v>0</v>
      </c>
      <c r="AN543" s="2">
        <v>0</v>
      </c>
      <c r="AO543" s="2">
        <v>1</v>
      </c>
      <c r="AP543" s="2">
        <v>0</v>
      </c>
      <c r="AQ543" s="2">
        <v>0</v>
      </c>
      <c r="AR543" s="2">
        <v>0</v>
      </c>
      <c r="AS543" s="2">
        <v>0</v>
      </c>
      <c r="AT543" s="2">
        <v>0</v>
      </c>
      <c r="AZ543" s="2" t="s">
        <v>4107</v>
      </c>
      <c r="BB543" s="2" t="str">
        <f>+PROPER(BD[[#This Row],[PRIMER_APELLIDO]])</f>
        <v>Blandon</v>
      </c>
    </row>
    <row r="544" spans="1:54" x14ac:dyDescent="0.25">
      <c r="A544" s="2">
        <v>543</v>
      </c>
      <c r="B544" s="2">
        <v>39274</v>
      </c>
      <c r="C544" s="2" t="s">
        <v>619</v>
      </c>
      <c r="D544" s="2" t="s">
        <v>620</v>
      </c>
      <c r="E544" s="2" t="s">
        <v>4108</v>
      </c>
      <c r="F544" s="2">
        <v>23143959</v>
      </c>
      <c r="G544" s="3">
        <v>36.964383561643835</v>
      </c>
      <c r="H544" s="2" t="s">
        <v>622</v>
      </c>
      <c r="I544" s="2" t="s">
        <v>4109</v>
      </c>
      <c r="J544" s="2" t="str">
        <f>+IF(BD[[#This Row],[DEPARTAMENTO_INSS]]="MANAGUA","_01_","_02_")</f>
        <v>_02_</v>
      </c>
      <c r="K544" s="2" t="str">
        <f>+CONCATENATE(BD[[#This Row],[Columna3]],BD[[#This Row],[Columna4]],BD[[#This Row],[NOMBRE COMPLETO]])</f>
        <v>E003_02_SARA ESMERALDA ESTRADA RIVERA</v>
      </c>
      <c r="L544" s="2" t="s">
        <v>2137</v>
      </c>
      <c r="M544" s="2" t="s">
        <v>1177</v>
      </c>
      <c r="N544" s="2" t="s">
        <v>225</v>
      </c>
      <c r="O544" s="2" t="s">
        <v>198</v>
      </c>
      <c r="P544" s="2" t="s">
        <v>626</v>
      </c>
      <c r="Q544" s="2" t="s">
        <v>351</v>
      </c>
      <c r="R544" s="2">
        <v>31304</v>
      </c>
      <c r="S544" s="2">
        <v>31304</v>
      </c>
      <c r="T544" s="2" t="s">
        <v>732</v>
      </c>
      <c r="U544" s="2" t="s">
        <v>732</v>
      </c>
      <c r="V544" s="2" t="s">
        <v>732</v>
      </c>
      <c r="W544" s="2" t="s">
        <v>732</v>
      </c>
      <c r="X544" s="2" t="s">
        <v>4110</v>
      </c>
      <c r="Y544" s="2" t="s">
        <v>4111</v>
      </c>
      <c r="AA544" s="2">
        <v>83958787</v>
      </c>
      <c r="AB544" s="2" t="s">
        <v>654</v>
      </c>
      <c r="AC544" s="2" t="s">
        <v>632</v>
      </c>
      <c r="AD544" s="2">
        <v>83958787</v>
      </c>
      <c r="AJ544" s="2">
        <v>83958787</v>
      </c>
      <c r="AK544" s="2">
        <v>1</v>
      </c>
      <c r="AL544" s="2" t="s">
        <v>633</v>
      </c>
      <c r="AM544" s="2">
        <v>0</v>
      </c>
      <c r="AN544" s="2">
        <v>0</v>
      </c>
      <c r="AO544" s="2">
        <v>1</v>
      </c>
      <c r="AP544" s="2">
        <v>0</v>
      </c>
      <c r="AQ544" s="2">
        <v>0</v>
      </c>
      <c r="AR544" s="2">
        <v>0</v>
      </c>
      <c r="AS544" s="2">
        <v>0</v>
      </c>
      <c r="AT544" s="2">
        <v>0</v>
      </c>
      <c r="BA544" s="2" t="s">
        <v>4112</v>
      </c>
      <c r="BB544" s="2" t="str">
        <f>+PROPER(BD[[#This Row],[PRIMER_APELLIDO]])</f>
        <v>Estrada</v>
      </c>
    </row>
    <row r="545" spans="1:54" x14ac:dyDescent="0.25">
      <c r="A545" s="2">
        <v>544</v>
      </c>
      <c r="B545" s="2">
        <v>37386</v>
      </c>
      <c r="C545" s="2" t="s">
        <v>619</v>
      </c>
      <c r="D545" s="2" t="s">
        <v>620</v>
      </c>
      <c r="E545" s="2" t="s">
        <v>4113</v>
      </c>
      <c r="F545" s="2">
        <v>22790598</v>
      </c>
      <c r="G545" s="3">
        <v>36.967123287671235</v>
      </c>
      <c r="H545" s="2" t="s">
        <v>622</v>
      </c>
      <c r="I545" s="2" t="s">
        <v>4114</v>
      </c>
      <c r="J545" s="2" t="str">
        <f>+IF(BD[[#This Row],[DEPARTAMENTO_INSS]]="MANAGUA","_01_","_02_")</f>
        <v>_02_</v>
      </c>
      <c r="K545" s="2" t="str">
        <f>+CONCATENATE(BD[[#This Row],[Columna3]],BD[[#This Row],[Columna4]],BD[[#This Row],[NOMBRE COMPLETO]])</f>
        <v>E003_02_MARYURY MARBELY SEVILLA ROA</v>
      </c>
      <c r="L545" s="2" t="s">
        <v>4115</v>
      </c>
      <c r="M545" s="2" t="s">
        <v>4116</v>
      </c>
      <c r="N545" s="2" t="s">
        <v>280</v>
      </c>
      <c r="O545" s="2" t="s">
        <v>4117</v>
      </c>
      <c r="P545" s="2" t="s">
        <v>626</v>
      </c>
      <c r="Q545" s="2" t="s">
        <v>351</v>
      </c>
      <c r="R545" s="2">
        <v>31303</v>
      </c>
      <c r="S545" s="2">
        <v>31303</v>
      </c>
      <c r="T545" s="2" t="s">
        <v>1104</v>
      </c>
      <c r="U545" s="2" t="s">
        <v>1104</v>
      </c>
      <c r="V545" s="2" t="s">
        <v>1738</v>
      </c>
      <c r="W545" s="2" t="s">
        <v>1739</v>
      </c>
      <c r="X545" s="2" t="s">
        <v>4118</v>
      </c>
      <c r="Y545" s="2" t="s">
        <v>4119</v>
      </c>
      <c r="Z545" s="2">
        <v>89078766</v>
      </c>
      <c r="AA545" s="2">
        <v>86921044</v>
      </c>
      <c r="AB545" s="2" t="s">
        <v>631</v>
      </c>
      <c r="AC545" s="2" t="s">
        <v>632</v>
      </c>
      <c r="AD545" s="2">
        <v>89078766</v>
      </c>
      <c r="AF545" s="2">
        <v>86921044</v>
      </c>
      <c r="AJ545" s="2">
        <v>89078766</v>
      </c>
      <c r="AK545" s="2">
        <v>2</v>
      </c>
      <c r="AL545" s="2" t="s">
        <v>633</v>
      </c>
      <c r="AM545" s="2">
        <v>0</v>
      </c>
      <c r="AN545" s="2">
        <v>0</v>
      </c>
      <c r="AO545" s="2">
        <v>1</v>
      </c>
      <c r="AP545" s="2">
        <v>0</v>
      </c>
      <c r="AQ545" s="2">
        <v>0</v>
      </c>
      <c r="AR545" s="2">
        <v>0</v>
      </c>
      <c r="AS545" s="2">
        <v>0</v>
      </c>
      <c r="AT545" s="2">
        <v>0</v>
      </c>
      <c r="BB545" s="2" t="str">
        <f>+PROPER(BD[[#This Row],[PRIMER_APELLIDO]])</f>
        <v>Sevilla</v>
      </c>
    </row>
    <row r="546" spans="1:54" x14ac:dyDescent="0.25">
      <c r="A546" s="2">
        <v>545</v>
      </c>
      <c r="B546" s="2">
        <v>57237</v>
      </c>
      <c r="C546" s="2" t="s">
        <v>619</v>
      </c>
      <c r="D546" s="2" t="s">
        <v>620</v>
      </c>
      <c r="E546" s="2" t="s">
        <v>4120</v>
      </c>
      <c r="G546" s="3">
        <v>36.967123287671235</v>
      </c>
      <c r="H546" s="2" t="s">
        <v>622</v>
      </c>
      <c r="I546" s="2" t="s">
        <v>4121</v>
      </c>
      <c r="J546" s="2" t="str">
        <f>+IF(BD[[#This Row],[DEPARTAMENTO_INSS]]="MANAGUA","_01_","_02_")</f>
        <v>_02_</v>
      </c>
      <c r="K546" s="2" t="str">
        <f>+CONCATENATE(BD[[#This Row],[Columna3]],BD[[#This Row],[Columna4]],BD[[#This Row],[NOMBRE COMPLETO]])</f>
        <v>E003_02_JAIRO ANTONIO VALLEZ AMADOR</v>
      </c>
      <c r="L546" s="2" t="s">
        <v>1803</v>
      </c>
      <c r="M546" s="2" t="s">
        <v>904</v>
      </c>
      <c r="N546" s="2" t="s">
        <v>415</v>
      </c>
      <c r="O546" s="2" t="s">
        <v>281</v>
      </c>
      <c r="P546" s="2" t="s">
        <v>649</v>
      </c>
      <c r="Q546" s="2" t="s">
        <v>351</v>
      </c>
      <c r="R546" s="2">
        <v>31303</v>
      </c>
      <c r="S546" s="2">
        <v>31303</v>
      </c>
      <c r="T546" s="2" t="s">
        <v>1005</v>
      </c>
      <c r="U546" s="2" t="s">
        <v>669</v>
      </c>
      <c r="V546" s="2" t="s">
        <v>2405</v>
      </c>
      <c r="W546" s="2" t="s">
        <v>670</v>
      </c>
      <c r="X546" s="2" t="s">
        <v>4122</v>
      </c>
      <c r="Y546" s="2" t="s">
        <v>4123</v>
      </c>
      <c r="Z546" s="2">
        <v>88565564</v>
      </c>
      <c r="AA546" s="2">
        <v>25492090</v>
      </c>
      <c r="AB546" s="2" t="s">
        <v>798</v>
      </c>
      <c r="AC546" s="2" t="s">
        <v>632</v>
      </c>
      <c r="AD546" s="2">
        <v>88565564</v>
      </c>
      <c r="AJ546" s="2">
        <v>88565564</v>
      </c>
      <c r="AK546" s="2">
        <v>2</v>
      </c>
      <c r="AL546" s="2" t="s">
        <v>633</v>
      </c>
      <c r="AM546" s="2">
        <v>0</v>
      </c>
      <c r="AN546" s="2">
        <v>0</v>
      </c>
      <c r="AO546" s="2">
        <v>1</v>
      </c>
      <c r="AP546" s="2">
        <v>0</v>
      </c>
      <c r="AQ546" s="2">
        <v>0</v>
      </c>
      <c r="AR546" s="2">
        <v>0</v>
      </c>
      <c r="AS546" s="2">
        <v>0</v>
      </c>
      <c r="AT546" s="2">
        <v>0</v>
      </c>
      <c r="AZ546" s="2" t="s">
        <v>4124</v>
      </c>
      <c r="BB546" s="2" t="str">
        <f>+PROPER(BD[[#This Row],[PRIMER_APELLIDO]])</f>
        <v>Vallez</v>
      </c>
    </row>
    <row r="547" spans="1:54" x14ac:dyDescent="0.25">
      <c r="A547" s="2">
        <v>546</v>
      </c>
      <c r="B547" s="2">
        <v>47268</v>
      </c>
      <c r="C547" s="2" t="s">
        <v>619</v>
      </c>
      <c r="D547" s="2" t="s">
        <v>620</v>
      </c>
      <c r="E547" s="2" t="s">
        <v>4125</v>
      </c>
      <c r="F547" s="2">
        <v>25029767</v>
      </c>
      <c r="G547" s="3">
        <v>36.969863013698628</v>
      </c>
      <c r="H547" s="2" t="s">
        <v>622</v>
      </c>
      <c r="I547" s="2" t="s">
        <v>4126</v>
      </c>
      <c r="J547" s="2" t="str">
        <f>+IF(BD[[#This Row],[DEPARTAMENTO_INSS]]="MANAGUA","_01_","_02_")</f>
        <v>_02_</v>
      </c>
      <c r="K547" s="2" t="str">
        <f>+CONCATENATE(BD[[#This Row],[Columna3]],BD[[#This Row],[Columna4]],BD[[#This Row],[NOMBRE COMPLETO]])</f>
        <v>E003_02_GAMALIEL ANGEL ARROLIGA CRUZ</v>
      </c>
      <c r="L547" s="2" t="s">
        <v>4127</v>
      </c>
      <c r="M547" s="2" t="s">
        <v>3464</v>
      </c>
      <c r="N547" s="2" t="s">
        <v>87</v>
      </c>
      <c r="O547" s="2" t="s">
        <v>32</v>
      </c>
      <c r="P547" s="2" t="s">
        <v>649</v>
      </c>
      <c r="Q547" s="2" t="s">
        <v>351</v>
      </c>
      <c r="R547" s="2">
        <v>31302</v>
      </c>
      <c r="S547" s="2">
        <v>31302</v>
      </c>
      <c r="T547" s="2" t="s">
        <v>691</v>
      </c>
      <c r="U547" s="2" t="s">
        <v>691</v>
      </c>
      <c r="V547" s="2" t="s">
        <v>716</v>
      </c>
      <c r="W547" s="2" t="s">
        <v>691</v>
      </c>
      <c r="X547" s="2" t="s">
        <v>4128</v>
      </c>
      <c r="Y547" s="2" t="s">
        <v>4129</v>
      </c>
      <c r="Z547" s="2">
        <v>85456671</v>
      </c>
      <c r="AA547" s="2">
        <v>85592405</v>
      </c>
      <c r="AB547" s="2" t="s">
        <v>798</v>
      </c>
      <c r="AC547" s="2" t="s">
        <v>632</v>
      </c>
      <c r="AD547" s="2">
        <v>85456671</v>
      </c>
      <c r="AF547" s="2">
        <v>85592405</v>
      </c>
      <c r="AJ547" s="2">
        <v>85456671</v>
      </c>
      <c r="AK547" s="2">
        <v>2</v>
      </c>
      <c r="AL547" s="2" t="s">
        <v>633</v>
      </c>
      <c r="AM547" s="2">
        <v>0</v>
      </c>
      <c r="AN547" s="2">
        <v>0</v>
      </c>
      <c r="AO547" s="2">
        <v>1</v>
      </c>
      <c r="AP547" s="2">
        <v>0</v>
      </c>
      <c r="AQ547" s="2">
        <v>0</v>
      </c>
      <c r="AR547" s="2">
        <v>0</v>
      </c>
      <c r="AS547" s="2">
        <v>0</v>
      </c>
      <c r="AT547" s="2">
        <v>0</v>
      </c>
      <c r="AZ547" s="2" t="s">
        <v>4130</v>
      </c>
      <c r="BB547" s="2" t="str">
        <f>+PROPER(BD[[#This Row],[PRIMER_APELLIDO]])</f>
        <v>Arroliga</v>
      </c>
    </row>
    <row r="548" spans="1:54" x14ac:dyDescent="0.25">
      <c r="A548" s="2">
        <v>547</v>
      </c>
      <c r="B548" s="2">
        <v>47925</v>
      </c>
      <c r="C548" s="2" t="s">
        <v>619</v>
      </c>
      <c r="D548" s="2" t="s">
        <v>620</v>
      </c>
      <c r="E548" s="2" t="s">
        <v>4131</v>
      </c>
      <c r="F548" s="2">
        <v>25691212</v>
      </c>
      <c r="G548" s="3">
        <v>36.978082191780821</v>
      </c>
      <c r="H548" s="2" t="s">
        <v>622</v>
      </c>
      <c r="I548" s="2" t="s">
        <v>4132</v>
      </c>
      <c r="J548" s="2" t="str">
        <f>+IF(BD[[#This Row],[DEPARTAMENTO_INSS]]="MANAGUA","_01_","_02_")</f>
        <v>_02_</v>
      </c>
      <c r="K548" s="2" t="str">
        <f>+CONCATENATE(BD[[#This Row],[Columna3]],BD[[#This Row],[Columna4]],BD[[#This Row],[NOMBRE COMPLETO]])</f>
        <v>E003_02_MARIA MILAGROS RODRIGUEZ GARCIA</v>
      </c>
      <c r="L548" s="2" t="s">
        <v>724</v>
      </c>
      <c r="M548" s="2" t="s">
        <v>4133</v>
      </c>
      <c r="N548" s="2" t="s">
        <v>185</v>
      </c>
      <c r="O548" s="2" t="s">
        <v>10</v>
      </c>
      <c r="P548" s="2" t="s">
        <v>626</v>
      </c>
      <c r="Q548" s="2" t="s">
        <v>351</v>
      </c>
      <c r="R548" s="2">
        <v>31299</v>
      </c>
      <c r="S548" s="2">
        <v>31299</v>
      </c>
      <c r="T548" s="2" t="s">
        <v>627</v>
      </c>
      <c r="U548" s="2" t="s">
        <v>176</v>
      </c>
      <c r="V548" s="2" t="s">
        <v>627</v>
      </c>
      <c r="W548" s="2" t="s">
        <v>176</v>
      </c>
      <c r="X548" s="2" t="s">
        <v>4134</v>
      </c>
      <c r="Y548" s="2" t="s">
        <v>4135</v>
      </c>
      <c r="AA548" s="2">
        <v>89211858</v>
      </c>
      <c r="AB548" s="2" t="s">
        <v>642</v>
      </c>
      <c r="AC548" s="2" t="s">
        <v>632</v>
      </c>
      <c r="AD548" s="2">
        <v>89211858</v>
      </c>
      <c r="AJ548" s="2">
        <v>89211858</v>
      </c>
      <c r="AK548" s="2">
        <v>1</v>
      </c>
      <c r="AL548" s="2" t="s">
        <v>633</v>
      </c>
      <c r="AM548" s="2">
        <v>0</v>
      </c>
      <c r="AN548" s="2">
        <v>0</v>
      </c>
      <c r="AO548" s="2">
        <v>1</v>
      </c>
      <c r="AP548" s="2">
        <v>0</v>
      </c>
      <c r="AQ548" s="2">
        <v>0</v>
      </c>
      <c r="AR548" s="2">
        <v>0</v>
      </c>
      <c r="AS548" s="2">
        <v>0</v>
      </c>
      <c r="AT548" s="2">
        <v>0</v>
      </c>
      <c r="BB548" s="2" t="str">
        <f>+PROPER(BD[[#This Row],[PRIMER_APELLIDO]])</f>
        <v>Rodriguez</v>
      </c>
    </row>
    <row r="549" spans="1:54" x14ac:dyDescent="0.25">
      <c r="A549" s="2">
        <v>548</v>
      </c>
      <c r="B549" s="2">
        <v>67650</v>
      </c>
      <c r="C549" s="2" t="s">
        <v>619</v>
      </c>
      <c r="D549" s="2" t="s">
        <v>620</v>
      </c>
      <c r="E549" s="2" t="s">
        <v>4136</v>
      </c>
      <c r="G549" s="3">
        <v>36.986301369863014</v>
      </c>
      <c r="H549" s="2" t="s">
        <v>622</v>
      </c>
      <c r="I549" s="2" t="s">
        <v>4137</v>
      </c>
      <c r="J549" s="2" t="str">
        <f>+IF(BD[[#This Row],[DEPARTAMENTO_INSS]]="MANAGUA","_01_","_02_")</f>
        <v>_01_</v>
      </c>
      <c r="K549" s="2" t="str">
        <f>+CONCATENATE(BD[[#This Row],[Columna3]],BD[[#This Row],[Columna4]],BD[[#This Row],[NOMBRE COMPLETO]])</f>
        <v>E003_01_JOSE LUIS GALEANO PALACIOS</v>
      </c>
      <c r="L549" s="2" t="s">
        <v>243</v>
      </c>
      <c r="M549" s="2" t="s">
        <v>738</v>
      </c>
      <c r="N549" s="2" t="s">
        <v>70</v>
      </c>
      <c r="O549" s="2" t="s">
        <v>201</v>
      </c>
      <c r="P549" s="2" t="s">
        <v>649</v>
      </c>
      <c r="Q549" s="2" t="s">
        <v>351</v>
      </c>
      <c r="R549" s="2">
        <v>31296</v>
      </c>
      <c r="S549" s="2">
        <v>31296</v>
      </c>
      <c r="T549" s="2" t="s">
        <v>627</v>
      </c>
      <c r="U549" s="2" t="s">
        <v>627</v>
      </c>
      <c r="V549" s="2" t="s">
        <v>627</v>
      </c>
      <c r="W549" s="2" t="s">
        <v>627</v>
      </c>
      <c r="X549" s="2" t="s">
        <v>4138</v>
      </c>
      <c r="Y549" s="2" t="s">
        <v>4139</v>
      </c>
      <c r="Z549" s="2" t="s">
        <v>4140</v>
      </c>
      <c r="AA549" s="2" t="s">
        <v>4141</v>
      </c>
      <c r="AB549" s="2" t="s">
        <v>654</v>
      </c>
      <c r="AC549" s="2" t="s">
        <v>632</v>
      </c>
      <c r="AE549" s="2">
        <v>86390098</v>
      </c>
      <c r="AJ549" s="2">
        <v>86390098</v>
      </c>
      <c r="AK549" s="2">
        <v>4</v>
      </c>
      <c r="AL549" s="2" t="s">
        <v>633</v>
      </c>
      <c r="AM549" s="2">
        <v>0</v>
      </c>
      <c r="AN549" s="2">
        <v>0</v>
      </c>
      <c r="AO549" s="2">
        <v>1</v>
      </c>
      <c r="AP549" s="2">
        <v>0</v>
      </c>
      <c r="AQ549" s="2">
        <v>0</v>
      </c>
      <c r="AR549" s="2">
        <v>0</v>
      </c>
      <c r="AS549" s="2">
        <v>0</v>
      </c>
      <c r="AT549" s="2">
        <v>0</v>
      </c>
      <c r="AZ549" s="2" t="s">
        <v>4142</v>
      </c>
      <c r="BB549" s="2" t="str">
        <f>+PROPER(BD[[#This Row],[PRIMER_APELLIDO]])</f>
        <v>Galeano</v>
      </c>
    </row>
    <row r="550" spans="1:54" x14ac:dyDescent="0.25">
      <c r="A550" s="2">
        <v>549</v>
      </c>
      <c r="B550" s="2">
        <v>44001</v>
      </c>
      <c r="C550" s="2" t="s">
        <v>619</v>
      </c>
      <c r="D550" s="2" t="s">
        <v>620</v>
      </c>
      <c r="E550" s="2" t="s">
        <v>4143</v>
      </c>
      <c r="F550" s="2">
        <v>24234472</v>
      </c>
      <c r="G550" s="3">
        <v>36.994520547945207</v>
      </c>
      <c r="H550" s="2" t="s">
        <v>622</v>
      </c>
      <c r="I550" s="2" t="s">
        <v>4144</v>
      </c>
      <c r="J550" s="2" t="str">
        <f>+IF(BD[[#This Row],[DEPARTAMENTO_INSS]]="MANAGUA","_01_","_02_")</f>
        <v>_02_</v>
      </c>
      <c r="K550" s="2" t="str">
        <f>+CONCATENATE(BD[[#This Row],[Columna3]],BD[[#This Row],[Columna4]],BD[[#This Row],[NOMBRE COMPLETO]])</f>
        <v>E003_02_DANIA SARAHI RODAS QUIROZ</v>
      </c>
      <c r="L550" s="2" t="s">
        <v>4145</v>
      </c>
      <c r="M550" s="2" t="s">
        <v>946</v>
      </c>
      <c r="N550" s="2" t="s">
        <v>119</v>
      </c>
      <c r="O550" s="2" t="s">
        <v>463</v>
      </c>
      <c r="P550" s="2" t="s">
        <v>626</v>
      </c>
      <c r="Q550" s="2" t="s">
        <v>351</v>
      </c>
      <c r="R550" s="2">
        <v>31293</v>
      </c>
      <c r="S550" s="2">
        <v>31293</v>
      </c>
      <c r="T550" s="2" t="s">
        <v>176</v>
      </c>
      <c r="U550" s="2" t="s">
        <v>176</v>
      </c>
      <c r="V550" s="2" t="s">
        <v>650</v>
      </c>
      <c r="W550" s="2" t="s">
        <v>176</v>
      </c>
      <c r="X550" s="2" t="s">
        <v>4146</v>
      </c>
      <c r="Y550" s="2" t="s">
        <v>4147</v>
      </c>
      <c r="AA550" s="2" t="s">
        <v>4148</v>
      </c>
      <c r="AB550" s="2" t="s">
        <v>654</v>
      </c>
      <c r="AC550" s="2" t="s">
        <v>632</v>
      </c>
      <c r="AE550" s="2">
        <v>75106845</v>
      </c>
      <c r="AJ550" s="2">
        <v>75106845</v>
      </c>
      <c r="AK550" s="2">
        <v>2</v>
      </c>
      <c r="AL550" s="2" t="s">
        <v>633</v>
      </c>
      <c r="AM550" s="2">
        <v>0</v>
      </c>
      <c r="AN550" s="2">
        <v>0</v>
      </c>
      <c r="AO550" s="2">
        <v>1</v>
      </c>
      <c r="AP550" s="2">
        <v>0</v>
      </c>
      <c r="AQ550" s="2">
        <v>0</v>
      </c>
      <c r="AR550" s="2">
        <v>0</v>
      </c>
      <c r="AS550" s="2">
        <v>0</v>
      </c>
      <c r="AT550" s="2">
        <v>0</v>
      </c>
      <c r="BB550" s="2" t="str">
        <f>+PROPER(BD[[#This Row],[PRIMER_APELLIDO]])</f>
        <v>Rodas</v>
      </c>
    </row>
    <row r="551" spans="1:54" x14ac:dyDescent="0.25">
      <c r="A551" s="2">
        <v>550</v>
      </c>
      <c r="B551" s="2">
        <v>33579</v>
      </c>
      <c r="C551" s="2" t="s">
        <v>619</v>
      </c>
      <c r="D551" s="2" t="s">
        <v>620</v>
      </c>
      <c r="E551" s="2" t="s">
        <v>4149</v>
      </c>
      <c r="F551" s="2">
        <v>19416322</v>
      </c>
      <c r="G551" s="3">
        <v>37</v>
      </c>
      <c r="H551" s="2" t="s">
        <v>622</v>
      </c>
      <c r="I551" s="2" t="s">
        <v>4150</v>
      </c>
      <c r="J551" s="2" t="str">
        <f>+IF(BD[[#This Row],[DEPARTAMENTO_INSS]]="MANAGUA","_01_","_02_")</f>
        <v>_01_</v>
      </c>
      <c r="K551" s="2" t="str">
        <f>+CONCATENATE(BD[[#This Row],[Columna3]],BD[[#This Row],[Columna4]],BD[[#This Row],[NOMBRE COMPLETO]])</f>
        <v>E003_01_JOSE GABRIEL SUAREZ ORTEGA</v>
      </c>
      <c r="L551" s="2" t="s">
        <v>243</v>
      </c>
      <c r="M551" s="2" t="s">
        <v>1646</v>
      </c>
      <c r="N551" s="2" t="s">
        <v>55</v>
      </c>
      <c r="O551" s="2" t="s">
        <v>29</v>
      </c>
      <c r="P551" s="2" t="s">
        <v>649</v>
      </c>
      <c r="Q551" s="2" t="s">
        <v>351</v>
      </c>
      <c r="R551" s="2">
        <v>31291</v>
      </c>
      <c r="S551" s="2">
        <v>31291</v>
      </c>
      <c r="T551" s="2" t="s">
        <v>627</v>
      </c>
      <c r="U551" s="2" t="s">
        <v>627</v>
      </c>
      <c r="V551" s="2" t="s">
        <v>627</v>
      </c>
      <c r="W551" s="2" t="s">
        <v>627</v>
      </c>
      <c r="X551" s="2" t="s">
        <v>4151</v>
      </c>
      <c r="Y551" s="2" t="s">
        <v>4152</v>
      </c>
      <c r="AA551" s="2">
        <v>22509899</v>
      </c>
      <c r="AB551" s="2" t="s">
        <v>654</v>
      </c>
      <c r="AC551" s="2" t="s">
        <v>632</v>
      </c>
      <c r="AK551" s="2">
        <v>1</v>
      </c>
      <c r="AL551" s="2" t="s">
        <v>633</v>
      </c>
      <c r="AM551" s="2">
        <v>0</v>
      </c>
      <c r="AN551" s="2">
        <v>0</v>
      </c>
      <c r="AO551" s="2">
        <v>1</v>
      </c>
      <c r="AP551" s="2">
        <v>0</v>
      </c>
      <c r="AQ551" s="2">
        <v>0</v>
      </c>
      <c r="AR551" s="2">
        <v>0</v>
      </c>
      <c r="AS551" s="2">
        <v>0</v>
      </c>
      <c r="AT551" s="2">
        <v>0</v>
      </c>
      <c r="BB551" s="2" t="str">
        <f>+PROPER(BD[[#This Row],[PRIMER_APELLIDO]])</f>
        <v>Suarez</v>
      </c>
    </row>
    <row r="552" spans="1:54" x14ac:dyDescent="0.25">
      <c r="A552" s="2">
        <v>551</v>
      </c>
      <c r="B552" s="2">
        <v>35572</v>
      </c>
      <c r="C552" s="2" t="s">
        <v>619</v>
      </c>
      <c r="D552" s="2" t="s">
        <v>620</v>
      </c>
      <c r="E552" s="2" t="s">
        <v>4153</v>
      </c>
      <c r="F552" s="2">
        <v>22389596</v>
      </c>
      <c r="G552" s="3">
        <v>37.010958904109586</v>
      </c>
      <c r="H552" s="2" t="s">
        <v>622</v>
      </c>
      <c r="I552" s="2" t="s">
        <v>4154</v>
      </c>
      <c r="J552" s="2" t="str">
        <f>+IF(BD[[#This Row],[DEPARTAMENTO_INSS]]="MANAGUA","_01_","_02_")</f>
        <v>_02_</v>
      </c>
      <c r="K552" s="2" t="str">
        <f>+CONCATENATE(BD[[#This Row],[Columna3]],BD[[#This Row],[Columna4]],BD[[#This Row],[NOMBRE COMPLETO]])</f>
        <v>E003_02_GABRIELA LUCIA ESCOTO RODRIGUEZ</v>
      </c>
      <c r="L552" s="2" t="s">
        <v>1211</v>
      </c>
      <c r="M552" s="2" t="s">
        <v>676</v>
      </c>
      <c r="N552" s="2" t="s">
        <v>181</v>
      </c>
      <c r="O552" s="2" t="s">
        <v>185</v>
      </c>
      <c r="P552" s="2" t="s">
        <v>626</v>
      </c>
      <c r="Q552" s="2" t="s">
        <v>351</v>
      </c>
      <c r="R552" s="2">
        <v>31287</v>
      </c>
      <c r="S552" s="2">
        <v>31287</v>
      </c>
      <c r="T552" s="2" t="s">
        <v>176</v>
      </c>
      <c r="U552" s="2" t="s">
        <v>176</v>
      </c>
      <c r="V552" s="2" t="s">
        <v>650</v>
      </c>
      <c r="W552" s="2" t="s">
        <v>176</v>
      </c>
      <c r="X552" s="2" t="s">
        <v>4155</v>
      </c>
      <c r="Y552" s="2" t="s">
        <v>4156</v>
      </c>
      <c r="AA552" s="2">
        <v>86740262</v>
      </c>
      <c r="AB552" s="2" t="s">
        <v>654</v>
      </c>
      <c r="AC552" s="2" t="s">
        <v>632</v>
      </c>
      <c r="AD552" s="2">
        <v>86740262</v>
      </c>
      <c r="AJ552" s="2">
        <v>86740262</v>
      </c>
      <c r="AK552" s="2">
        <v>1</v>
      </c>
      <c r="AL552" s="2" t="s">
        <v>633</v>
      </c>
      <c r="AM552" s="2">
        <v>0</v>
      </c>
      <c r="AN552" s="2">
        <v>0</v>
      </c>
      <c r="AO552" s="2">
        <v>1</v>
      </c>
      <c r="AP552" s="2">
        <v>0</v>
      </c>
      <c r="AQ552" s="2">
        <v>0</v>
      </c>
      <c r="AR552" s="2">
        <v>0</v>
      </c>
      <c r="AS552" s="2">
        <v>0</v>
      </c>
      <c r="AT552" s="2">
        <v>0</v>
      </c>
      <c r="BB552" s="2" t="str">
        <f>+PROPER(BD[[#This Row],[PRIMER_APELLIDO]])</f>
        <v>Escoto</v>
      </c>
    </row>
    <row r="553" spans="1:54" x14ac:dyDescent="0.25">
      <c r="A553" s="2">
        <v>552</v>
      </c>
      <c r="B553" s="2">
        <v>35403</v>
      </c>
      <c r="C553" s="2" t="s">
        <v>619</v>
      </c>
      <c r="D553" s="2" t="s">
        <v>620</v>
      </c>
      <c r="E553" s="2" t="s">
        <v>4157</v>
      </c>
      <c r="F553" s="2">
        <v>22121895</v>
      </c>
      <c r="G553" s="3">
        <v>37.019178082191779</v>
      </c>
      <c r="H553" s="2" t="s">
        <v>622</v>
      </c>
      <c r="I553" s="2" t="s">
        <v>4158</v>
      </c>
      <c r="J553" s="2" t="str">
        <f>+IF(BD[[#This Row],[DEPARTAMENTO_INSS]]="MANAGUA","_01_","_02_")</f>
        <v>_01_</v>
      </c>
      <c r="K553" s="2" t="str">
        <f>+CONCATENATE(BD[[#This Row],[Columna3]],BD[[#This Row],[Columna4]],BD[[#This Row],[NOMBRE COMPLETO]])</f>
        <v>E003_01_KERSTIN KARELIA IZAGUIRRE HERNANDEZ</v>
      </c>
      <c r="L553" s="2" t="s">
        <v>4159</v>
      </c>
      <c r="M553" s="2" t="s">
        <v>1942</v>
      </c>
      <c r="N553" s="2" t="s">
        <v>412</v>
      </c>
      <c r="O553" s="2" t="s">
        <v>11</v>
      </c>
      <c r="P553" s="2" t="s">
        <v>626</v>
      </c>
      <c r="Q553" s="2" t="s">
        <v>351</v>
      </c>
      <c r="R553" s="2">
        <v>31284</v>
      </c>
      <c r="S553" s="2">
        <v>31284</v>
      </c>
      <c r="T553" s="2" t="s">
        <v>627</v>
      </c>
      <c r="U553" s="2" t="s">
        <v>627</v>
      </c>
      <c r="V553" s="2" t="s">
        <v>627</v>
      </c>
      <c r="W553" s="2" t="s">
        <v>627</v>
      </c>
      <c r="X553" s="2" t="s">
        <v>4160</v>
      </c>
      <c r="Y553" s="2" t="s">
        <v>4161</v>
      </c>
      <c r="Z553" s="2">
        <v>88484884</v>
      </c>
      <c r="AA553" s="2" t="s">
        <v>4162</v>
      </c>
      <c r="AB553" s="2" t="s">
        <v>654</v>
      </c>
      <c r="AC553" s="2" t="s">
        <v>632</v>
      </c>
      <c r="AD553" s="2">
        <v>88484884</v>
      </c>
      <c r="AE553" s="2">
        <v>76774281</v>
      </c>
      <c r="AJ553" s="2">
        <v>88484884</v>
      </c>
      <c r="AK553" s="2">
        <v>3</v>
      </c>
      <c r="AL553" s="2" t="s">
        <v>633</v>
      </c>
      <c r="AM553" s="2">
        <v>0</v>
      </c>
      <c r="AN553" s="2">
        <v>0</v>
      </c>
      <c r="AO553" s="2">
        <v>1</v>
      </c>
      <c r="AP553" s="2">
        <v>0</v>
      </c>
      <c r="AQ553" s="2">
        <v>0</v>
      </c>
      <c r="AR553" s="2">
        <v>0</v>
      </c>
      <c r="AS553" s="2">
        <v>0</v>
      </c>
      <c r="AT553" s="2">
        <v>0</v>
      </c>
      <c r="AZ553" s="2" t="s">
        <v>4163</v>
      </c>
      <c r="BB553" s="2" t="str">
        <f>+PROPER(BD[[#This Row],[PRIMER_APELLIDO]])</f>
        <v>Izaguirre</v>
      </c>
    </row>
    <row r="554" spans="1:54" x14ac:dyDescent="0.25">
      <c r="A554" s="2">
        <v>553</v>
      </c>
      <c r="B554" s="2">
        <v>47323</v>
      </c>
      <c r="C554" s="2" t="s">
        <v>619</v>
      </c>
      <c r="D554" s="2" t="s">
        <v>620</v>
      </c>
      <c r="E554" s="2" t="s">
        <v>4164</v>
      </c>
      <c r="F554" s="2">
        <v>24235718</v>
      </c>
      <c r="G554" s="3">
        <v>37.019178082191779</v>
      </c>
      <c r="H554" s="2" t="s">
        <v>622</v>
      </c>
      <c r="I554" s="2" t="s">
        <v>4165</v>
      </c>
      <c r="J554" s="2" t="str">
        <f>+IF(BD[[#This Row],[DEPARTAMENTO_INSS]]="MANAGUA","_01_","_02_")</f>
        <v>_01_</v>
      </c>
      <c r="K554" s="2" t="str">
        <f>+CONCATENATE(BD[[#This Row],[Columna3]],BD[[#This Row],[Columna4]],BD[[#This Row],[NOMBRE COMPLETO]])</f>
        <v>E003_01_LINETH NARCISSA GARCIA RUIZ</v>
      </c>
      <c r="L554" s="2" t="s">
        <v>4166</v>
      </c>
      <c r="M554" s="2" t="s">
        <v>4167</v>
      </c>
      <c r="N554" s="2" t="s">
        <v>10</v>
      </c>
      <c r="O554" s="2" t="s">
        <v>84</v>
      </c>
      <c r="P554" s="2" t="s">
        <v>626</v>
      </c>
      <c r="Q554" s="2" t="s">
        <v>351</v>
      </c>
      <c r="R554" s="2">
        <v>31284</v>
      </c>
      <c r="S554" s="2">
        <v>31284</v>
      </c>
      <c r="T554" s="2" t="s">
        <v>627</v>
      </c>
      <c r="U554" s="2" t="s">
        <v>627</v>
      </c>
      <c r="V554" s="2" t="s">
        <v>627</v>
      </c>
      <c r="W554" s="2" t="s">
        <v>627</v>
      </c>
      <c r="X554" s="2" t="s">
        <v>4168</v>
      </c>
      <c r="Y554" s="2" t="s">
        <v>4169</v>
      </c>
      <c r="Z554" s="2">
        <v>89316986</v>
      </c>
      <c r="AA554" s="2">
        <v>89316986</v>
      </c>
      <c r="AB554" s="2" t="s">
        <v>773</v>
      </c>
      <c r="AC554" s="2" t="s">
        <v>632</v>
      </c>
      <c r="AD554" s="2">
        <v>89316986</v>
      </c>
      <c r="AJ554" s="2">
        <v>89316986</v>
      </c>
      <c r="AK554" s="2">
        <v>2</v>
      </c>
      <c r="AL554" s="2" t="s">
        <v>633</v>
      </c>
      <c r="AM554" s="2">
        <v>0</v>
      </c>
      <c r="AN554" s="2">
        <v>0</v>
      </c>
      <c r="AO554" s="2">
        <v>1</v>
      </c>
      <c r="AP554" s="2">
        <v>0</v>
      </c>
      <c r="AQ554" s="2">
        <v>0</v>
      </c>
      <c r="AR554" s="2">
        <v>0</v>
      </c>
      <c r="AS554" s="2">
        <v>0</v>
      </c>
      <c r="AT554" s="2">
        <v>0</v>
      </c>
      <c r="BB554" s="2" t="str">
        <f>+PROPER(BD[[#This Row],[PRIMER_APELLIDO]])</f>
        <v>Garcia</v>
      </c>
    </row>
    <row r="555" spans="1:54" x14ac:dyDescent="0.25">
      <c r="A555" s="2">
        <v>554</v>
      </c>
      <c r="B555" s="2">
        <v>47944</v>
      </c>
      <c r="C555" s="2" t="s">
        <v>619</v>
      </c>
      <c r="D555" s="2" t="s">
        <v>620</v>
      </c>
      <c r="E555" s="2" t="s">
        <v>4170</v>
      </c>
      <c r="F555" s="2">
        <v>24511108</v>
      </c>
      <c r="G555" s="3">
        <v>37.035616438356165</v>
      </c>
      <c r="H555" s="2" t="s">
        <v>622</v>
      </c>
      <c r="I555" s="2" t="s">
        <v>4171</v>
      </c>
      <c r="J555" s="2" t="str">
        <f>+IF(BD[[#This Row],[DEPARTAMENTO_INSS]]="MANAGUA","_01_","_02_")</f>
        <v>_01_</v>
      </c>
      <c r="K555" s="2" t="str">
        <f>+CONCATENATE(BD[[#This Row],[Columna3]],BD[[#This Row],[Columna4]],BD[[#This Row],[NOMBRE COMPLETO]])</f>
        <v>E003_01_CLAUDIA DEL CARMEN CALERO PEREZ</v>
      </c>
      <c r="L555" s="2" t="s">
        <v>1850</v>
      </c>
      <c r="M555" s="2" t="s">
        <v>961</v>
      </c>
      <c r="N555" s="2" t="s">
        <v>80</v>
      </c>
      <c r="O555" s="2" t="s">
        <v>24</v>
      </c>
      <c r="P555" s="2" t="s">
        <v>626</v>
      </c>
      <c r="Q555" s="2" t="s">
        <v>351</v>
      </c>
      <c r="R555" s="2">
        <v>31278</v>
      </c>
      <c r="S555" s="2">
        <v>31278</v>
      </c>
      <c r="T555" s="2" t="s">
        <v>627</v>
      </c>
      <c r="U555" s="2" t="s">
        <v>627</v>
      </c>
      <c r="V555" s="2" t="s">
        <v>627</v>
      </c>
      <c r="W555" s="2" t="s">
        <v>627</v>
      </c>
      <c r="X555" s="2" t="s">
        <v>4172</v>
      </c>
      <c r="Y555" s="2" t="s">
        <v>4173</v>
      </c>
      <c r="Z555" s="2">
        <v>89884897</v>
      </c>
      <c r="AA555" s="2">
        <v>85010624</v>
      </c>
      <c r="AB555" s="2" t="s">
        <v>642</v>
      </c>
      <c r="AC555" s="2" t="s">
        <v>632</v>
      </c>
      <c r="AD555" s="2">
        <v>89884897</v>
      </c>
      <c r="AF555" s="2">
        <v>85010624</v>
      </c>
      <c r="AJ555" s="2">
        <v>89884897</v>
      </c>
      <c r="AK555" s="2">
        <v>2</v>
      </c>
      <c r="AL555" s="2" t="s">
        <v>633</v>
      </c>
      <c r="AM555" s="2">
        <v>0</v>
      </c>
      <c r="AN555" s="2">
        <v>0</v>
      </c>
      <c r="AO555" s="2">
        <v>1</v>
      </c>
      <c r="AP555" s="2">
        <v>0</v>
      </c>
      <c r="AQ555" s="2">
        <v>0</v>
      </c>
      <c r="AR555" s="2">
        <v>0</v>
      </c>
      <c r="AS555" s="2">
        <v>0</v>
      </c>
      <c r="AT555" s="2">
        <v>0</v>
      </c>
      <c r="AZ555" s="2" t="s">
        <v>4174</v>
      </c>
      <c r="BB555" s="2" t="str">
        <f>+PROPER(BD[[#This Row],[PRIMER_APELLIDO]])</f>
        <v>Calero</v>
      </c>
    </row>
    <row r="556" spans="1:54" x14ac:dyDescent="0.25">
      <c r="A556" s="2">
        <v>555</v>
      </c>
      <c r="B556" s="2">
        <v>41111</v>
      </c>
      <c r="C556" s="2" t="s">
        <v>619</v>
      </c>
      <c r="D556" s="2" t="s">
        <v>620</v>
      </c>
      <c r="E556" s="2" t="s">
        <v>4175</v>
      </c>
      <c r="F556" s="2">
        <v>23142796</v>
      </c>
      <c r="G556" s="3">
        <v>37.041095890410958</v>
      </c>
      <c r="H556" s="2" t="s">
        <v>622</v>
      </c>
      <c r="I556" s="2" t="s">
        <v>4176</v>
      </c>
      <c r="J556" s="2" t="str">
        <f>+IF(BD[[#This Row],[DEPARTAMENTO_INSS]]="MANAGUA","_01_","_02_")</f>
        <v>_01_</v>
      </c>
      <c r="K556" s="2" t="str">
        <f>+CONCATENATE(BD[[#This Row],[Columna3]],BD[[#This Row],[Columna4]],BD[[#This Row],[NOMBRE COMPLETO]])</f>
        <v>E003_01_DILVIA MILAGROS FLORES VANEGAS</v>
      </c>
      <c r="L556" s="2" t="s">
        <v>4177</v>
      </c>
      <c r="M556" s="2" t="s">
        <v>4133</v>
      </c>
      <c r="N556" s="2" t="s">
        <v>58</v>
      </c>
      <c r="O556" s="2" t="s">
        <v>75</v>
      </c>
      <c r="P556" s="2" t="s">
        <v>626</v>
      </c>
      <c r="Q556" s="2" t="s">
        <v>351</v>
      </c>
      <c r="R556" s="2">
        <v>31276</v>
      </c>
      <c r="S556" s="2">
        <v>31276</v>
      </c>
      <c r="T556" s="2" t="s">
        <v>627</v>
      </c>
      <c r="U556" s="2" t="s">
        <v>627</v>
      </c>
      <c r="V556" s="2" t="s">
        <v>627</v>
      </c>
      <c r="W556" s="2" t="s">
        <v>627</v>
      </c>
      <c r="X556" s="2" t="s">
        <v>4178</v>
      </c>
      <c r="Y556" s="2" t="s">
        <v>4179</v>
      </c>
      <c r="Z556" s="2">
        <v>83967733</v>
      </c>
      <c r="AB556" s="2" t="s">
        <v>642</v>
      </c>
      <c r="AC556" s="2" t="s">
        <v>632</v>
      </c>
      <c r="AD556" s="2">
        <v>83967733</v>
      </c>
      <c r="AJ556" s="2">
        <v>83967733</v>
      </c>
      <c r="AK556" s="2">
        <v>1</v>
      </c>
      <c r="AL556" s="2" t="s">
        <v>633</v>
      </c>
      <c r="AM556" s="2">
        <v>0</v>
      </c>
      <c r="AN556" s="2">
        <v>0</v>
      </c>
      <c r="AO556" s="2">
        <v>1</v>
      </c>
      <c r="AP556" s="2">
        <v>0</v>
      </c>
      <c r="AQ556" s="2">
        <v>0</v>
      </c>
      <c r="AR556" s="2">
        <v>0</v>
      </c>
      <c r="AS556" s="2">
        <v>0</v>
      </c>
      <c r="AT556" s="2">
        <v>0</v>
      </c>
      <c r="AZ556" s="2" t="s">
        <v>4180</v>
      </c>
      <c r="BB556" s="2" t="str">
        <f>+PROPER(BD[[#This Row],[PRIMER_APELLIDO]])</f>
        <v>Flores</v>
      </c>
    </row>
    <row r="557" spans="1:54" x14ac:dyDescent="0.25">
      <c r="A557" s="2">
        <v>556</v>
      </c>
      <c r="B557" s="2">
        <v>43247</v>
      </c>
      <c r="C557" s="2" t="s">
        <v>619</v>
      </c>
      <c r="D557" s="2" t="s">
        <v>620</v>
      </c>
      <c r="E557" s="2" t="s">
        <v>4181</v>
      </c>
      <c r="F557" s="2">
        <v>24235680</v>
      </c>
      <c r="G557" s="3">
        <v>37.041095890410958</v>
      </c>
      <c r="H557" s="2" t="s">
        <v>622</v>
      </c>
      <c r="I557" s="2" t="s">
        <v>4182</v>
      </c>
      <c r="J557" s="2" t="str">
        <f>+IF(BD[[#This Row],[DEPARTAMENTO_INSS]]="MANAGUA","_01_","_02_")</f>
        <v>_02_</v>
      </c>
      <c r="K557" s="2" t="str">
        <f>+CONCATENATE(BD[[#This Row],[Columna3]],BD[[#This Row],[Columna4]],BD[[#This Row],[NOMBRE COMPLETO]])</f>
        <v>E003_02_JONATHAN ISAAC RIVERA SOLORZANO</v>
      </c>
      <c r="L557" s="2" t="s">
        <v>981</v>
      </c>
      <c r="M557" s="2" t="s">
        <v>4183</v>
      </c>
      <c r="N557" s="2" t="s">
        <v>198</v>
      </c>
      <c r="O557" s="2" t="s">
        <v>466</v>
      </c>
      <c r="P557" s="2" t="s">
        <v>649</v>
      </c>
      <c r="Q557" s="2" t="s">
        <v>351</v>
      </c>
      <c r="R557" s="2">
        <v>31276</v>
      </c>
      <c r="S557" s="2">
        <v>31276</v>
      </c>
      <c r="T557" s="2" t="s">
        <v>627</v>
      </c>
      <c r="U557" s="2" t="s">
        <v>186</v>
      </c>
      <c r="V557" s="2" t="s">
        <v>627</v>
      </c>
      <c r="W557" s="2" t="s">
        <v>186</v>
      </c>
      <c r="X557" s="2" t="s">
        <v>4184</v>
      </c>
      <c r="Y557" s="2" t="s">
        <v>4185</v>
      </c>
      <c r="Z557" s="2">
        <v>58539697</v>
      </c>
      <c r="AA557" s="2" t="s">
        <v>4186</v>
      </c>
      <c r="AB557" s="2" t="s">
        <v>654</v>
      </c>
      <c r="AC557" s="2" t="s">
        <v>632</v>
      </c>
      <c r="AD557" s="2">
        <v>58539697</v>
      </c>
      <c r="AE557" s="2">
        <v>87642782</v>
      </c>
      <c r="AJ557" s="2">
        <v>58539697</v>
      </c>
      <c r="AK557" s="2">
        <v>3</v>
      </c>
      <c r="AL557" s="2" t="s">
        <v>633</v>
      </c>
      <c r="AM557" s="2">
        <v>0</v>
      </c>
      <c r="AN557" s="2">
        <v>0</v>
      </c>
      <c r="AO557" s="2">
        <v>1</v>
      </c>
      <c r="AP557" s="2">
        <v>0</v>
      </c>
      <c r="AQ557" s="2">
        <v>0</v>
      </c>
      <c r="AR557" s="2">
        <v>0</v>
      </c>
      <c r="AS557" s="2">
        <v>0</v>
      </c>
      <c r="AT557" s="2">
        <v>0</v>
      </c>
      <c r="AZ557" s="2" t="s">
        <v>4187</v>
      </c>
      <c r="BB557" s="2" t="str">
        <f>+PROPER(BD[[#This Row],[PRIMER_APELLIDO]])</f>
        <v>Rivera</v>
      </c>
    </row>
    <row r="558" spans="1:54" x14ac:dyDescent="0.25">
      <c r="A558" s="2">
        <v>557</v>
      </c>
      <c r="B558" s="2">
        <v>43907</v>
      </c>
      <c r="C558" s="2" t="s">
        <v>619</v>
      </c>
      <c r="D558" s="2" t="s">
        <v>620</v>
      </c>
      <c r="E558" s="2" t="s">
        <v>4188</v>
      </c>
      <c r="F558" s="2">
        <v>24234427</v>
      </c>
      <c r="G558" s="3">
        <v>37.041095890410958</v>
      </c>
      <c r="H558" s="2" t="s">
        <v>622</v>
      </c>
      <c r="I558" s="2" t="s">
        <v>4189</v>
      </c>
      <c r="J558" s="2" t="str">
        <f>+IF(BD[[#This Row],[DEPARTAMENTO_INSS]]="MANAGUA","_01_","_02_")</f>
        <v>_01_</v>
      </c>
      <c r="K558" s="2" t="str">
        <f>+CONCATENATE(BD[[#This Row],[Columna3]],BD[[#This Row],[Columna4]],BD[[#This Row],[NOMBRE COMPLETO]])</f>
        <v>E003_01_PABLO ESTEBAN NARVAEZ MELENDEZ</v>
      </c>
      <c r="L558" s="2" t="s">
        <v>2839</v>
      </c>
      <c r="M558" s="2" t="s">
        <v>4190</v>
      </c>
      <c r="N558" s="2" t="s">
        <v>121</v>
      </c>
      <c r="O558" s="2" t="s">
        <v>228</v>
      </c>
      <c r="P558" s="2" t="s">
        <v>649</v>
      </c>
      <c r="Q558" s="2" t="s">
        <v>351</v>
      </c>
      <c r="R558" s="2">
        <v>31276</v>
      </c>
      <c r="S558" s="2">
        <v>31276</v>
      </c>
      <c r="T558" s="2" t="s">
        <v>176</v>
      </c>
      <c r="U558" s="2" t="s">
        <v>627</v>
      </c>
      <c r="V558" s="2" t="s">
        <v>2609</v>
      </c>
      <c r="W558" s="2" t="s">
        <v>627</v>
      </c>
      <c r="X558" s="2" t="s">
        <v>4191</v>
      </c>
      <c r="Y558" s="2" t="s">
        <v>4192</v>
      </c>
      <c r="AA558" s="2">
        <v>89192104</v>
      </c>
      <c r="AB558" s="2" t="s">
        <v>654</v>
      </c>
      <c r="AC558" s="2" t="s">
        <v>632</v>
      </c>
      <c r="AD558" s="2">
        <v>89192104</v>
      </c>
      <c r="AJ558" s="2">
        <v>89192104</v>
      </c>
      <c r="AK558" s="2">
        <v>1</v>
      </c>
      <c r="AL558" s="2" t="s">
        <v>633</v>
      </c>
      <c r="AM558" s="2">
        <v>0</v>
      </c>
      <c r="AN558" s="2">
        <v>0</v>
      </c>
      <c r="AO558" s="2">
        <v>1</v>
      </c>
      <c r="AP558" s="2">
        <v>0</v>
      </c>
      <c r="AQ558" s="2">
        <v>0</v>
      </c>
      <c r="AR558" s="2">
        <v>0</v>
      </c>
      <c r="AS558" s="2">
        <v>0</v>
      </c>
      <c r="AT558" s="2">
        <v>0</v>
      </c>
      <c r="BB558" s="2" t="str">
        <f>+PROPER(BD[[#This Row],[PRIMER_APELLIDO]])</f>
        <v>Narvaez</v>
      </c>
    </row>
    <row r="559" spans="1:54" x14ac:dyDescent="0.25">
      <c r="A559" s="2">
        <v>558</v>
      </c>
      <c r="B559" s="2">
        <v>43729</v>
      </c>
      <c r="C559" s="2" t="s">
        <v>619</v>
      </c>
      <c r="D559" s="2" t="s">
        <v>620</v>
      </c>
      <c r="E559" s="2" t="s">
        <v>4193</v>
      </c>
      <c r="F559" s="2">
        <v>23143876</v>
      </c>
      <c r="G559" s="3">
        <v>37.043835616438358</v>
      </c>
      <c r="H559" s="2" t="s">
        <v>622</v>
      </c>
      <c r="I559" s="2" t="s">
        <v>4194</v>
      </c>
      <c r="J559" s="2" t="str">
        <f>+IF(BD[[#This Row],[DEPARTAMENTO_INSS]]="MANAGUA","_01_","_02_")</f>
        <v>_02_</v>
      </c>
      <c r="K559" s="2" t="str">
        <f>+CONCATENATE(BD[[#This Row],[Columna3]],BD[[#This Row],[Columna4]],BD[[#This Row],[NOMBRE COMPLETO]])</f>
        <v>E003_02_CARLOS ALBERTO SALAZAR LEIVA</v>
      </c>
      <c r="L559" s="2" t="s">
        <v>826</v>
      </c>
      <c r="M559" s="2" t="s">
        <v>1699</v>
      </c>
      <c r="N559" s="2" t="s">
        <v>165</v>
      </c>
      <c r="O559" s="2" t="s">
        <v>177</v>
      </c>
      <c r="P559" s="2" t="s">
        <v>649</v>
      </c>
      <c r="Q559" s="2" t="s">
        <v>351</v>
      </c>
      <c r="R559" s="2">
        <v>31275</v>
      </c>
      <c r="S559" s="2">
        <v>31275</v>
      </c>
      <c r="T559" s="2" t="s">
        <v>732</v>
      </c>
      <c r="U559" s="2" t="s">
        <v>732</v>
      </c>
      <c r="V559" s="2" t="s">
        <v>732</v>
      </c>
      <c r="W559" s="2" t="s">
        <v>732</v>
      </c>
      <c r="X559" s="2" t="s">
        <v>4195</v>
      </c>
      <c r="Y559" s="2" t="s">
        <v>4196</v>
      </c>
      <c r="Z559" s="2">
        <v>55000001</v>
      </c>
      <c r="AA559" s="2">
        <v>25223853</v>
      </c>
      <c r="AB559" s="2" t="s">
        <v>654</v>
      </c>
      <c r="AC559" s="2" t="s">
        <v>632</v>
      </c>
      <c r="AD559" s="2">
        <v>55000001</v>
      </c>
      <c r="AJ559" s="2">
        <v>55000001</v>
      </c>
      <c r="AK559" s="2">
        <v>2</v>
      </c>
      <c r="AL559" s="2" t="s">
        <v>633</v>
      </c>
      <c r="AM559" s="2">
        <v>0</v>
      </c>
      <c r="AN559" s="2">
        <v>0</v>
      </c>
      <c r="AO559" s="2">
        <v>1</v>
      </c>
      <c r="AP559" s="2">
        <v>0</v>
      </c>
      <c r="AQ559" s="2">
        <v>0</v>
      </c>
      <c r="AR559" s="2">
        <v>0</v>
      </c>
      <c r="AS559" s="2">
        <v>0</v>
      </c>
      <c r="AT559" s="2">
        <v>0</v>
      </c>
      <c r="AZ559" s="2" t="s">
        <v>4197</v>
      </c>
      <c r="BB559" s="2" t="str">
        <f>+PROPER(BD[[#This Row],[PRIMER_APELLIDO]])</f>
        <v>Salazar</v>
      </c>
    </row>
    <row r="560" spans="1:54" x14ac:dyDescent="0.25">
      <c r="A560" s="2">
        <v>559</v>
      </c>
      <c r="B560" s="2">
        <v>48133</v>
      </c>
      <c r="C560" s="2" t="s">
        <v>619</v>
      </c>
      <c r="D560" s="2" t="s">
        <v>620</v>
      </c>
      <c r="E560" s="2" t="s">
        <v>4198</v>
      </c>
      <c r="F560" s="2">
        <v>25023710</v>
      </c>
      <c r="G560" s="3">
        <v>37.049315068493151</v>
      </c>
      <c r="H560" s="2" t="s">
        <v>622</v>
      </c>
      <c r="I560" s="2" t="s">
        <v>4199</v>
      </c>
      <c r="J560" s="2" t="str">
        <f>+IF(BD[[#This Row],[DEPARTAMENTO_INSS]]="MANAGUA","_01_","_02_")</f>
        <v>_02_</v>
      </c>
      <c r="K560" s="2" t="str">
        <f>+CONCATENATE(BD[[#This Row],[Columna3]],BD[[#This Row],[Columna4]],BD[[#This Row],[NOMBRE COMPLETO]])</f>
        <v>E003_02_YULE ONEYDA CRUZ MORALES</v>
      </c>
      <c r="L560" s="2" t="s">
        <v>4200</v>
      </c>
      <c r="M560" s="2" t="s">
        <v>4201</v>
      </c>
      <c r="N560" s="2" t="s">
        <v>32</v>
      </c>
      <c r="O560" s="2" t="s">
        <v>82</v>
      </c>
      <c r="P560" s="2" t="s">
        <v>626</v>
      </c>
      <c r="Q560" s="2" t="s">
        <v>351</v>
      </c>
      <c r="R560" s="2">
        <v>31273</v>
      </c>
      <c r="S560" s="2">
        <v>31273</v>
      </c>
      <c r="T560" s="2" t="s">
        <v>1044</v>
      </c>
      <c r="U560" s="2" t="s">
        <v>1044</v>
      </c>
      <c r="V560" s="2" t="s">
        <v>1045</v>
      </c>
      <c r="W560" s="2" t="s">
        <v>1045</v>
      </c>
      <c r="X560" s="2" t="s">
        <v>4202</v>
      </c>
      <c r="Y560" s="2" t="s">
        <v>4203</v>
      </c>
      <c r="Z560" s="2">
        <v>88330247</v>
      </c>
      <c r="AA560" s="2">
        <v>87167953</v>
      </c>
      <c r="AB560" s="2" t="s">
        <v>631</v>
      </c>
      <c r="AC560" s="2" t="s">
        <v>632</v>
      </c>
      <c r="AD560" s="2">
        <v>88330247</v>
      </c>
      <c r="AF560" s="2">
        <v>87167953</v>
      </c>
      <c r="AJ560" s="2">
        <v>88330247</v>
      </c>
      <c r="AK560" s="2">
        <v>2</v>
      </c>
      <c r="AL560" s="2" t="s">
        <v>633</v>
      </c>
      <c r="AM560" s="2">
        <v>0</v>
      </c>
      <c r="AN560" s="2">
        <v>0</v>
      </c>
      <c r="AO560" s="2">
        <v>1</v>
      </c>
      <c r="AP560" s="2">
        <v>0</v>
      </c>
      <c r="AQ560" s="2">
        <v>0</v>
      </c>
      <c r="AR560" s="2">
        <v>0</v>
      </c>
      <c r="AS560" s="2">
        <v>0</v>
      </c>
      <c r="AT560" s="2">
        <v>0</v>
      </c>
      <c r="AZ560" s="2" t="s">
        <v>4204</v>
      </c>
      <c r="BB560" s="2" t="str">
        <f>+PROPER(BD[[#This Row],[PRIMER_APELLIDO]])</f>
        <v>Cruz</v>
      </c>
    </row>
    <row r="561" spans="1:54" x14ac:dyDescent="0.25">
      <c r="A561" s="2">
        <v>560</v>
      </c>
      <c r="B561" s="2">
        <v>60126</v>
      </c>
      <c r="C561" s="2" t="s">
        <v>619</v>
      </c>
      <c r="D561" s="2" t="s">
        <v>620</v>
      </c>
      <c r="E561" s="2" t="s">
        <v>4205</v>
      </c>
      <c r="G561" s="3">
        <v>37.057534246575344</v>
      </c>
      <c r="H561" s="2" t="s">
        <v>622</v>
      </c>
      <c r="I561" s="2" t="s">
        <v>4206</v>
      </c>
      <c r="J561" s="2" t="str">
        <f>+IF(BD[[#This Row],[DEPARTAMENTO_INSS]]="MANAGUA","_01_","_02_")</f>
        <v>_01_</v>
      </c>
      <c r="K561" s="2" t="str">
        <f>+CONCATENATE(BD[[#This Row],[Columna3]],BD[[#This Row],[Columna4]],BD[[#This Row],[NOMBRE COMPLETO]])</f>
        <v>E003_01_JOSE JAVIER MONTIEL JUAREZ</v>
      </c>
      <c r="L561" s="2" t="s">
        <v>243</v>
      </c>
      <c r="M561" s="2" t="s">
        <v>975</v>
      </c>
      <c r="N561" s="2" t="s">
        <v>37</v>
      </c>
      <c r="O561" s="2" t="s">
        <v>344</v>
      </c>
      <c r="P561" s="2" t="s">
        <v>649</v>
      </c>
      <c r="Q561" s="2" t="s">
        <v>351</v>
      </c>
      <c r="R561" s="2">
        <v>31270</v>
      </c>
      <c r="S561" s="2">
        <v>31270</v>
      </c>
      <c r="T561" s="2" t="s">
        <v>627</v>
      </c>
      <c r="U561" s="2" t="s">
        <v>627</v>
      </c>
      <c r="V561" s="2" t="s">
        <v>627</v>
      </c>
      <c r="W561" s="2" t="s">
        <v>627</v>
      </c>
      <c r="X561" s="2" t="s">
        <v>4207</v>
      </c>
      <c r="Y561" s="2" t="s">
        <v>4208</v>
      </c>
      <c r="AA561" s="2">
        <v>83340732</v>
      </c>
      <c r="AB561" s="2" t="s">
        <v>4209</v>
      </c>
      <c r="AC561" s="2" t="s">
        <v>632</v>
      </c>
      <c r="AD561" s="2">
        <v>83340732</v>
      </c>
      <c r="AJ561" s="2">
        <v>83340732</v>
      </c>
      <c r="AK561" s="2">
        <v>1</v>
      </c>
      <c r="AL561" s="2" t="s">
        <v>633</v>
      </c>
      <c r="AM561" s="2">
        <v>0</v>
      </c>
      <c r="AN561" s="2">
        <v>0</v>
      </c>
      <c r="AO561" s="2">
        <v>1</v>
      </c>
      <c r="AP561" s="2">
        <v>0</v>
      </c>
      <c r="AQ561" s="2">
        <v>0</v>
      </c>
      <c r="AR561" s="2">
        <v>0</v>
      </c>
      <c r="AS561" s="2">
        <v>0</v>
      </c>
      <c r="AT561" s="2">
        <v>0</v>
      </c>
      <c r="BB561" s="2" t="str">
        <f>+PROPER(BD[[#This Row],[PRIMER_APELLIDO]])</f>
        <v>Montiel</v>
      </c>
    </row>
    <row r="562" spans="1:54" x14ac:dyDescent="0.25">
      <c r="A562" s="2">
        <v>561</v>
      </c>
      <c r="B562" s="2">
        <v>76639</v>
      </c>
      <c r="C562" s="2" t="s">
        <v>619</v>
      </c>
      <c r="D562" s="2" t="s">
        <v>620</v>
      </c>
      <c r="E562" s="2" t="s">
        <v>4210</v>
      </c>
      <c r="G562" s="3">
        <v>37.057534246575344</v>
      </c>
      <c r="H562" s="2" t="s">
        <v>622</v>
      </c>
      <c r="I562" s="2" t="s">
        <v>4211</v>
      </c>
      <c r="J562" s="2" t="str">
        <f>+IF(BD[[#This Row],[DEPARTAMENTO_INSS]]="MANAGUA","_01_","_02_")</f>
        <v>_02_</v>
      </c>
      <c r="K562" s="2" t="str">
        <f>+CONCATENATE(BD[[#This Row],[Columna3]],BD[[#This Row],[Columna4]],BD[[#This Row],[NOMBRE COMPLETO]])</f>
        <v>E003_02_RUBENIA SOFÍA LORÍO CERROS</v>
      </c>
      <c r="L562" s="2" t="s">
        <v>4212</v>
      </c>
      <c r="M562" s="2" t="s">
        <v>4213</v>
      </c>
      <c r="N562" s="2" t="s">
        <v>96</v>
      </c>
      <c r="O562" s="2" t="s">
        <v>4214</v>
      </c>
      <c r="P562" s="2" t="s">
        <v>626</v>
      </c>
      <c r="Q562" s="2" t="s">
        <v>351</v>
      </c>
      <c r="R562" s="2">
        <v>31270</v>
      </c>
      <c r="S562" s="2">
        <v>31270</v>
      </c>
      <c r="T562" s="2" t="s">
        <v>176</v>
      </c>
      <c r="U562" s="2" t="s">
        <v>176</v>
      </c>
      <c r="V562" s="2" t="s">
        <v>650</v>
      </c>
      <c r="W562" s="2" t="s">
        <v>176</v>
      </c>
      <c r="X562" s="2" t="s">
        <v>4215</v>
      </c>
      <c r="Y562" s="2" t="s">
        <v>4216</v>
      </c>
      <c r="Z562" s="2" t="s">
        <v>4217</v>
      </c>
      <c r="AB562" s="2" t="s">
        <v>894</v>
      </c>
      <c r="AC562" s="2" t="s">
        <v>632</v>
      </c>
      <c r="AE562" s="2">
        <v>86352688</v>
      </c>
      <c r="AJ562" s="2">
        <v>86352688</v>
      </c>
      <c r="AK562" s="2">
        <v>2</v>
      </c>
      <c r="AL562" s="2" t="s">
        <v>633</v>
      </c>
      <c r="AM562" s="2">
        <v>0</v>
      </c>
      <c r="AN562" s="2">
        <v>0</v>
      </c>
      <c r="AO562" s="2">
        <v>1</v>
      </c>
      <c r="AP562" s="2">
        <v>0</v>
      </c>
      <c r="AQ562" s="2">
        <v>0</v>
      </c>
      <c r="AR562" s="2">
        <v>0</v>
      </c>
      <c r="AS562" s="2">
        <v>0</v>
      </c>
      <c r="AT562" s="2">
        <v>0</v>
      </c>
      <c r="AZ562" s="2" t="s">
        <v>4218</v>
      </c>
      <c r="BB562" s="2" t="str">
        <f>+PROPER(BD[[#This Row],[PRIMER_APELLIDO]])</f>
        <v>Lorío</v>
      </c>
    </row>
    <row r="563" spans="1:54" x14ac:dyDescent="0.25">
      <c r="A563" s="2">
        <v>562</v>
      </c>
      <c r="B563" s="2">
        <v>39074</v>
      </c>
      <c r="C563" s="2" t="s">
        <v>619</v>
      </c>
      <c r="D563" s="2" t="s">
        <v>620</v>
      </c>
      <c r="E563" s="2" t="s">
        <v>4219</v>
      </c>
      <c r="F563" s="2">
        <v>23142668</v>
      </c>
      <c r="G563" s="3">
        <v>37.060273972602737</v>
      </c>
      <c r="H563" s="2" t="s">
        <v>622</v>
      </c>
      <c r="I563" s="2" t="s">
        <v>4220</v>
      </c>
      <c r="J563" s="2" t="str">
        <f>+IF(BD[[#This Row],[DEPARTAMENTO_INSS]]="MANAGUA","_01_","_02_")</f>
        <v>_01_</v>
      </c>
      <c r="K563" s="2" t="str">
        <f>+CONCATENATE(BD[[#This Row],[Columna3]],BD[[#This Row],[Columna4]],BD[[#This Row],[NOMBRE COMPLETO]])</f>
        <v>E003_01_BLANCA ESTER ZAMORA RODRIGUEZ</v>
      </c>
      <c r="L563" s="2" t="s">
        <v>1169</v>
      </c>
      <c r="M563" s="2" t="s">
        <v>3392</v>
      </c>
      <c r="N563" s="2" t="s">
        <v>149</v>
      </c>
      <c r="O563" s="2" t="s">
        <v>185</v>
      </c>
      <c r="P563" s="2" t="s">
        <v>626</v>
      </c>
      <c r="Q563" s="2" t="s">
        <v>351</v>
      </c>
      <c r="R563" s="2">
        <v>31269</v>
      </c>
      <c r="S563" s="2">
        <v>31269</v>
      </c>
      <c r="T563" s="2" t="s">
        <v>740</v>
      </c>
      <c r="U563" s="2" t="s">
        <v>627</v>
      </c>
      <c r="V563" s="2" t="s">
        <v>740</v>
      </c>
      <c r="W563" s="2" t="s">
        <v>627</v>
      </c>
      <c r="X563" s="2" t="s">
        <v>4221</v>
      </c>
      <c r="Y563" s="2" t="s">
        <v>4222</v>
      </c>
      <c r="AA563" s="2" t="s">
        <v>4223</v>
      </c>
      <c r="AB563" s="2" t="s">
        <v>654</v>
      </c>
      <c r="AC563" s="2" t="s">
        <v>632</v>
      </c>
      <c r="AE563" s="2">
        <v>78467347</v>
      </c>
      <c r="AJ563" s="2">
        <v>78467347</v>
      </c>
      <c r="AK563" s="2">
        <v>2</v>
      </c>
      <c r="AL563" s="2" t="s">
        <v>633</v>
      </c>
      <c r="AM563" s="2">
        <v>0</v>
      </c>
      <c r="AN563" s="2">
        <v>0</v>
      </c>
      <c r="AO563" s="2">
        <v>1</v>
      </c>
      <c r="AP563" s="2">
        <v>0</v>
      </c>
      <c r="AQ563" s="2">
        <v>0</v>
      </c>
      <c r="AR563" s="2">
        <v>0</v>
      </c>
      <c r="AS563" s="2">
        <v>0</v>
      </c>
      <c r="AT563" s="2">
        <v>0</v>
      </c>
      <c r="BA563" s="2" t="s">
        <v>4224</v>
      </c>
      <c r="BB563" s="2" t="str">
        <f>+PROPER(BD[[#This Row],[PRIMER_APELLIDO]])</f>
        <v>Zamora</v>
      </c>
    </row>
    <row r="564" spans="1:54" x14ac:dyDescent="0.25">
      <c r="A564" s="2">
        <v>563</v>
      </c>
      <c r="B564" s="2">
        <v>41998</v>
      </c>
      <c r="C564" s="2" t="s">
        <v>619</v>
      </c>
      <c r="D564" s="2" t="s">
        <v>620</v>
      </c>
      <c r="E564" s="2" t="s">
        <v>4225</v>
      </c>
      <c r="F564" s="2">
        <v>24198738</v>
      </c>
      <c r="G564" s="3">
        <v>37.063013698630137</v>
      </c>
      <c r="H564" s="2" t="s">
        <v>622</v>
      </c>
      <c r="I564" s="2" t="s">
        <v>4226</v>
      </c>
      <c r="J564" s="2" t="str">
        <f>+IF(BD[[#This Row],[DEPARTAMENTO_INSS]]="MANAGUA","_01_","_02_")</f>
        <v>_02_</v>
      </c>
      <c r="K564" s="2" t="str">
        <f>+CONCATENATE(BD[[#This Row],[Columna3]],BD[[#This Row],[Columna4]],BD[[#This Row],[NOMBRE COMPLETO]])</f>
        <v>E003_02_SUYEN CAROLINA FLORES PALACIOS</v>
      </c>
      <c r="L564" s="2" t="s">
        <v>890</v>
      </c>
      <c r="M564" s="2" t="s">
        <v>714</v>
      </c>
      <c r="N564" s="2" t="s">
        <v>58</v>
      </c>
      <c r="O564" s="2" t="s">
        <v>201</v>
      </c>
      <c r="P564" s="2" t="s">
        <v>626</v>
      </c>
      <c r="Q564" s="2" t="s">
        <v>351</v>
      </c>
      <c r="R564" s="2">
        <v>31268</v>
      </c>
      <c r="S564" s="2">
        <v>31268</v>
      </c>
      <c r="T564" s="2" t="s">
        <v>1104</v>
      </c>
      <c r="U564" s="2" t="s">
        <v>186</v>
      </c>
      <c r="V564" s="2" t="s">
        <v>1104</v>
      </c>
      <c r="W564" s="2" t="s">
        <v>4058</v>
      </c>
      <c r="X564" s="2" t="s">
        <v>4227</v>
      </c>
      <c r="Y564" s="2" t="s">
        <v>4228</v>
      </c>
      <c r="AA564" s="2" t="s">
        <v>4229</v>
      </c>
      <c r="AB564" s="2" t="s">
        <v>642</v>
      </c>
      <c r="AC564" s="2" t="s">
        <v>632</v>
      </c>
      <c r="AF564" s="2">
        <v>86955079</v>
      </c>
      <c r="AJ564" s="2">
        <v>86955079</v>
      </c>
      <c r="AK564" s="2">
        <v>4</v>
      </c>
      <c r="AL564" s="2" t="s">
        <v>633</v>
      </c>
      <c r="AM564" s="2">
        <v>0</v>
      </c>
      <c r="AN564" s="2">
        <v>0</v>
      </c>
      <c r="AO564" s="2">
        <v>1</v>
      </c>
      <c r="AP564" s="2">
        <v>0</v>
      </c>
      <c r="AQ564" s="2">
        <v>0</v>
      </c>
      <c r="AR564" s="2">
        <v>0</v>
      </c>
      <c r="AS564" s="2">
        <v>0</v>
      </c>
      <c r="AT564" s="2">
        <v>0</v>
      </c>
      <c r="BB564" s="2" t="str">
        <f>+PROPER(BD[[#This Row],[PRIMER_APELLIDO]])</f>
        <v>Flores</v>
      </c>
    </row>
    <row r="565" spans="1:54" x14ac:dyDescent="0.25">
      <c r="A565" s="2">
        <v>564</v>
      </c>
      <c r="B565" s="2">
        <v>35122</v>
      </c>
      <c r="C565" s="2" t="s">
        <v>619</v>
      </c>
      <c r="D565" s="2" t="s">
        <v>620</v>
      </c>
      <c r="E565" s="2" t="s">
        <v>4230</v>
      </c>
      <c r="F565" s="2">
        <v>22121871</v>
      </c>
      <c r="G565" s="3">
        <v>37.065753424657537</v>
      </c>
      <c r="H565" s="2" t="s">
        <v>622</v>
      </c>
      <c r="I565" s="2" t="s">
        <v>4231</v>
      </c>
      <c r="J565" s="2" t="str">
        <f>+IF(BD[[#This Row],[DEPARTAMENTO_INSS]]="MANAGUA","_01_","_02_")</f>
        <v>_02_</v>
      </c>
      <c r="K565" s="2" t="str">
        <f>+CONCATENATE(BD[[#This Row],[Columna3]],BD[[#This Row],[Columna4]],BD[[#This Row],[NOMBRE COMPLETO]])</f>
        <v>E003_02_NANCY VANESSA LOPEZ BERROTERAN</v>
      </c>
      <c r="L565" s="2" t="s">
        <v>4232</v>
      </c>
      <c r="M565" s="2" t="s">
        <v>1163</v>
      </c>
      <c r="N565" s="2" t="s">
        <v>15</v>
      </c>
      <c r="O565" s="2" t="s">
        <v>4233</v>
      </c>
      <c r="P565" s="2" t="s">
        <v>626</v>
      </c>
      <c r="Q565" s="2" t="s">
        <v>351</v>
      </c>
      <c r="R565" s="2">
        <v>31267</v>
      </c>
      <c r="S565" s="2">
        <v>31267</v>
      </c>
      <c r="T565" s="2" t="s">
        <v>186</v>
      </c>
      <c r="U565" s="2" t="s">
        <v>186</v>
      </c>
      <c r="V565" s="2" t="s">
        <v>186</v>
      </c>
      <c r="W565" s="2" t="s">
        <v>186</v>
      </c>
      <c r="X565" s="2" t="s">
        <v>4234</v>
      </c>
      <c r="Y565" s="2" t="s">
        <v>4235</v>
      </c>
      <c r="Z565" s="2">
        <v>89043684</v>
      </c>
      <c r="AA565" s="2">
        <v>89043684</v>
      </c>
      <c r="AB565" s="2" t="s">
        <v>642</v>
      </c>
      <c r="AC565" s="2" t="s">
        <v>632</v>
      </c>
      <c r="AD565" s="2">
        <v>89043684</v>
      </c>
      <c r="AJ565" s="2">
        <v>89043684</v>
      </c>
      <c r="AK565" s="2">
        <v>2</v>
      </c>
      <c r="AL565" s="2" t="s">
        <v>633</v>
      </c>
      <c r="AM565" s="2">
        <v>0</v>
      </c>
      <c r="AN565" s="2">
        <v>0</v>
      </c>
      <c r="AO565" s="2">
        <v>1</v>
      </c>
      <c r="AP565" s="2">
        <v>0</v>
      </c>
      <c r="AQ565" s="2">
        <v>0</v>
      </c>
      <c r="AR565" s="2">
        <v>0</v>
      </c>
      <c r="AS565" s="2">
        <v>0</v>
      </c>
      <c r="AT565" s="2">
        <v>0</v>
      </c>
      <c r="AZ565" s="2" t="s">
        <v>4236</v>
      </c>
      <c r="BB565" s="2" t="str">
        <f>+PROPER(BD[[#This Row],[PRIMER_APELLIDO]])</f>
        <v>Lopez</v>
      </c>
    </row>
    <row r="566" spans="1:54" x14ac:dyDescent="0.25">
      <c r="A566" s="2">
        <v>565</v>
      </c>
      <c r="B566" s="2">
        <v>32525</v>
      </c>
      <c r="C566" s="2" t="s">
        <v>619</v>
      </c>
      <c r="D566" s="2" t="s">
        <v>620</v>
      </c>
      <c r="E566" s="2" t="s">
        <v>4237</v>
      </c>
      <c r="F566" s="2">
        <v>21669783</v>
      </c>
      <c r="G566" s="3">
        <v>37.06849315068493</v>
      </c>
      <c r="H566" s="2" t="s">
        <v>622</v>
      </c>
      <c r="I566" s="2" t="s">
        <v>4238</v>
      </c>
      <c r="J566" s="2" t="str">
        <f>+IF(BD[[#This Row],[DEPARTAMENTO_INSS]]="MANAGUA","_01_","_02_")</f>
        <v>_02_</v>
      </c>
      <c r="K566" s="2" t="str">
        <f>+CONCATENATE(BD[[#This Row],[Columna3]],BD[[#This Row],[Columna4]],BD[[#This Row],[NOMBRE COMPLETO]])</f>
        <v>E003_02_JOSE ADONAY ROMERO SOZA</v>
      </c>
      <c r="L566" s="2" t="s">
        <v>243</v>
      </c>
      <c r="M566" s="2" t="s">
        <v>4239</v>
      </c>
      <c r="N566" s="2" t="s">
        <v>41</v>
      </c>
      <c r="O566" s="2" t="s">
        <v>211</v>
      </c>
      <c r="P566" s="2" t="s">
        <v>649</v>
      </c>
      <c r="Q566" s="2" t="s">
        <v>351</v>
      </c>
      <c r="R566" s="2">
        <v>31266</v>
      </c>
      <c r="S566" s="2">
        <v>31266</v>
      </c>
      <c r="T566" s="2" t="s">
        <v>705</v>
      </c>
      <c r="U566" s="2" t="s">
        <v>705</v>
      </c>
      <c r="V566" s="2" t="s">
        <v>705</v>
      </c>
      <c r="W566" s="2" t="s">
        <v>705</v>
      </c>
      <c r="X566" s="2" t="s">
        <v>4240</v>
      </c>
      <c r="Y566" s="2" t="s">
        <v>4241</v>
      </c>
      <c r="Z566" s="2">
        <v>86455720</v>
      </c>
      <c r="AA566" s="2" t="s">
        <v>4242</v>
      </c>
      <c r="AB566" s="2" t="s">
        <v>654</v>
      </c>
      <c r="AC566" s="2" t="s">
        <v>632</v>
      </c>
      <c r="AD566" s="2">
        <v>86455720</v>
      </c>
      <c r="AE566" s="2">
        <v>85208715</v>
      </c>
      <c r="AJ566" s="2">
        <v>86455720</v>
      </c>
      <c r="AK566" s="2">
        <v>3</v>
      </c>
      <c r="AL566" s="2" t="s">
        <v>633</v>
      </c>
      <c r="AM566" s="2">
        <v>0</v>
      </c>
      <c r="AN566" s="2">
        <v>0</v>
      </c>
      <c r="AO566" s="2">
        <v>1</v>
      </c>
      <c r="AP566" s="2">
        <v>0</v>
      </c>
      <c r="AQ566" s="2">
        <v>0</v>
      </c>
      <c r="AR566" s="2">
        <v>0</v>
      </c>
      <c r="AS566" s="2">
        <v>0</v>
      </c>
      <c r="AT566" s="2">
        <v>0</v>
      </c>
      <c r="AZ566" s="2" t="s">
        <v>4243</v>
      </c>
      <c r="BB566" s="2" t="str">
        <f>+PROPER(BD[[#This Row],[PRIMER_APELLIDO]])</f>
        <v>Romero</v>
      </c>
    </row>
    <row r="567" spans="1:54" x14ac:dyDescent="0.25">
      <c r="A567" s="2">
        <v>566</v>
      </c>
      <c r="B567" s="2">
        <v>60452</v>
      </c>
      <c r="C567" s="2" t="s">
        <v>619</v>
      </c>
      <c r="D567" s="2" t="s">
        <v>620</v>
      </c>
      <c r="E567" s="2" t="s">
        <v>4244</v>
      </c>
      <c r="G567" s="3">
        <v>37.06849315068493</v>
      </c>
      <c r="H567" s="2" t="s">
        <v>622</v>
      </c>
      <c r="I567" s="2" t="s">
        <v>4245</v>
      </c>
      <c r="J567" s="2" t="str">
        <f>+IF(BD[[#This Row],[DEPARTAMENTO_INSS]]="MANAGUA","_01_","_02_")</f>
        <v>_02_</v>
      </c>
      <c r="K567" s="2" t="str">
        <f>+CONCATENATE(BD[[#This Row],[Columna3]],BD[[#This Row],[Columna4]],BD[[#This Row],[NOMBRE COMPLETO]])</f>
        <v>E003_02_ALEXANDER JOSE URIARTE ZAPATA</v>
      </c>
      <c r="L567" s="2" t="s">
        <v>2176</v>
      </c>
      <c r="M567" s="2" t="s">
        <v>243</v>
      </c>
      <c r="N567" s="2" t="s">
        <v>81</v>
      </c>
      <c r="O567" s="2" t="s">
        <v>222</v>
      </c>
      <c r="P567" s="2" t="s">
        <v>649</v>
      </c>
      <c r="Q567" s="2" t="s">
        <v>351</v>
      </c>
      <c r="R567" s="2">
        <v>31266</v>
      </c>
      <c r="S567" s="2">
        <v>31266</v>
      </c>
      <c r="T567" s="2" t="s">
        <v>186</v>
      </c>
      <c r="U567" s="2" t="s">
        <v>186</v>
      </c>
      <c r="V567" s="2" t="s">
        <v>186</v>
      </c>
      <c r="W567" s="2" t="s">
        <v>186</v>
      </c>
      <c r="X567" s="2" t="s">
        <v>4246</v>
      </c>
      <c r="Y567" s="2" t="s">
        <v>4247</v>
      </c>
      <c r="Z567" s="2">
        <v>85327653</v>
      </c>
      <c r="AA567" s="2">
        <v>27921078</v>
      </c>
      <c r="AB567" s="2" t="s">
        <v>4209</v>
      </c>
      <c r="AC567" s="2" t="s">
        <v>632</v>
      </c>
      <c r="AD567" s="2">
        <v>85327653</v>
      </c>
      <c r="AJ567" s="2">
        <v>85327653</v>
      </c>
      <c r="AK567" s="2">
        <v>2</v>
      </c>
      <c r="AL567" s="2" t="s">
        <v>633</v>
      </c>
      <c r="AM567" s="2">
        <v>0</v>
      </c>
      <c r="AN567" s="2">
        <v>0</v>
      </c>
      <c r="AO567" s="2">
        <v>1</v>
      </c>
      <c r="AP567" s="2">
        <v>0</v>
      </c>
      <c r="AQ567" s="2">
        <v>0</v>
      </c>
      <c r="AR567" s="2">
        <v>0</v>
      </c>
      <c r="AS567" s="2">
        <v>0</v>
      </c>
      <c r="AT567" s="2">
        <v>0</v>
      </c>
      <c r="AZ567" s="2" t="s">
        <v>4248</v>
      </c>
      <c r="BB567" s="2" t="str">
        <f>+PROPER(BD[[#This Row],[PRIMER_APELLIDO]])</f>
        <v>Uriarte</v>
      </c>
    </row>
    <row r="568" spans="1:54" x14ac:dyDescent="0.25">
      <c r="A568" s="2">
        <v>567</v>
      </c>
      <c r="B568" s="2">
        <v>36726</v>
      </c>
      <c r="C568" s="2" t="s">
        <v>619</v>
      </c>
      <c r="D568" s="2" t="s">
        <v>620</v>
      </c>
      <c r="E568" s="2" t="s">
        <v>4249</v>
      </c>
      <c r="F568" s="2">
        <v>22389143</v>
      </c>
      <c r="G568" s="3">
        <v>37.07123287671233</v>
      </c>
      <c r="H568" s="2" t="s">
        <v>622</v>
      </c>
      <c r="I568" s="2" t="s">
        <v>4250</v>
      </c>
      <c r="J568" s="2" t="str">
        <f>+IF(BD[[#This Row],[DEPARTAMENTO_INSS]]="MANAGUA","_01_","_02_")</f>
        <v>_02_</v>
      </c>
      <c r="K568" s="2" t="str">
        <f>+CONCATENATE(BD[[#This Row],[Columna3]],BD[[#This Row],[Columna4]],BD[[#This Row],[NOMBRE COMPLETO]])</f>
        <v>E003_02_TAMARA DE LOS ANGELES AGUILAR MARENCO</v>
      </c>
      <c r="L568" s="2" t="s">
        <v>1405</v>
      </c>
      <c r="M568" s="2" t="s">
        <v>683</v>
      </c>
      <c r="N568" s="2" t="s">
        <v>141</v>
      </c>
      <c r="O568" s="2" t="s">
        <v>327</v>
      </c>
      <c r="P568" s="2" t="s">
        <v>626</v>
      </c>
      <c r="Q568" s="2" t="s">
        <v>351</v>
      </c>
      <c r="R568" s="2">
        <v>31265</v>
      </c>
      <c r="S568" s="2">
        <v>31265</v>
      </c>
      <c r="T568" s="2" t="s">
        <v>176</v>
      </c>
      <c r="U568" s="2" t="s">
        <v>176</v>
      </c>
      <c r="V568" s="2" t="s">
        <v>650</v>
      </c>
      <c r="W568" s="2" t="s">
        <v>176</v>
      </c>
      <c r="X568" s="2" t="s">
        <v>4251</v>
      </c>
      <c r="Y568" s="2" t="s">
        <v>4252</v>
      </c>
      <c r="Z568" s="2">
        <v>83363807</v>
      </c>
      <c r="AA568" s="2" t="s">
        <v>4253</v>
      </c>
      <c r="AB568" s="2" t="s">
        <v>654</v>
      </c>
      <c r="AC568" s="2" t="s">
        <v>632</v>
      </c>
      <c r="AD568" s="2">
        <v>83363807</v>
      </c>
      <c r="AJ568" s="2">
        <v>83363807</v>
      </c>
      <c r="AK568" s="2">
        <v>3</v>
      </c>
      <c r="AL568" s="2" t="s">
        <v>633</v>
      </c>
      <c r="AM568" s="2">
        <v>0</v>
      </c>
      <c r="AN568" s="2">
        <v>0</v>
      </c>
      <c r="AO568" s="2">
        <v>1</v>
      </c>
      <c r="AP568" s="2">
        <v>0</v>
      </c>
      <c r="AQ568" s="2">
        <v>0</v>
      </c>
      <c r="AR568" s="2">
        <v>0</v>
      </c>
      <c r="AS568" s="2">
        <v>0</v>
      </c>
      <c r="AT568" s="2">
        <v>0</v>
      </c>
      <c r="AZ568" s="2" t="s">
        <v>4254</v>
      </c>
      <c r="BB568" s="2" t="str">
        <f>+PROPER(BD[[#This Row],[PRIMER_APELLIDO]])</f>
        <v>Aguilar</v>
      </c>
    </row>
    <row r="569" spans="1:54" x14ac:dyDescent="0.25">
      <c r="A569" s="2">
        <v>568</v>
      </c>
      <c r="B569" s="2">
        <v>47046</v>
      </c>
      <c r="C569" s="2" t="s">
        <v>619</v>
      </c>
      <c r="D569" s="2" t="s">
        <v>620</v>
      </c>
      <c r="E569" s="2" t="s">
        <v>4255</v>
      </c>
      <c r="F569" s="2">
        <v>15882897</v>
      </c>
      <c r="G569" s="3">
        <v>37.073972602739723</v>
      </c>
      <c r="H569" s="2" t="s">
        <v>622</v>
      </c>
      <c r="I569" s="2" t="s">
        <v>4256</v>
      </c>
      <c r="J569" s="2" t="str">
        <f>+IF(BD[[#This Row],[DEPARTAMENTO_INSS]]="MANAGUA","_01_","_02_")</f>
        <v>_01_</v>
      </c>
      <c r="K569" s="2" t="str">
        <f>+CONCATENATE(BD[[#This Row],[Columna3]],BD[[#This Row],[Columna4]],BD[[#This Row],[NOMBRE COMPLETO]])</f>
        <v>E003_01_SADY RAFAEL MENDEZ GAYTAN</v>
      </c>
      <c r="L569" s="2" t="s">
        <v>4257</v>
      </c>
      <c r="M569" s="2" t="s">
        <v>1857</v>
      </c>
      <c r="N569" s="2" t="s">
        <v>203</v>
      </c>
      <c r="O569" s="2" t="s">
        <v>4258</v>
      </c>
      <c r="P569" s="2" t="s">
        <v>649</v>
      </c>
      <c r="Q569" s="2" t="s">
        <v>351</v>
      </c>
      <c r="R569" s="2">
        <v>31264</v>
      </c>
      <c r="S569" s="2">
        <v>31264</v>
      </c>
      <c r="T569" s="2" t="s">
        <v>627</v>
      </c>
      <c r="U569" s="2" t="s">
        <v>627</v>
      </c>
      <c r="V569" s="2" t="s">
        <v>627</v>
      </c>
      <c r="W569" s="2" t="s">
        <v>1252</v>
      </c>
      <c r="X569" s="2" t="s">
        <v>4259</v>
      </c>
      <c r="Y569" s="2" t="s">
        <v>4260</v>
      </c>
      <c r="Z569" s="2">
        <v>75037683</v>
      </c>
      <c r="AA569" s="2">
        <v>84961485</v>
      </c>
      <c r="AB569" s="2" t="s">
        <v>798</v>
      </c>
      <c r="AC569" s="2" t="s">
        <v>632</v>
      </c>
      <c r="AD569" s="2">
        <v>75037683</v>
      </c>
      <c r="AF569" s="2">
        <v>84961485</v>
      </c>
      <c r="AJ569" s="2">
        <v>75037683</v>
      </c>
      <c r="AK569" s="2">
        <v>2</v>
      </c>
      <c r="AL569" s="2" t="s">
        <v>633</v>
      </c>
      <c r="AM569" s="2">
        <v>0</v>
      </c>
      <c r="AN569" s="2">
        <v>0</v>
      </c>
      <c r="AO569" s="2">
        <v>1</v>
      </c>
      <c r="AP569" s="2">
        <v>0</v>
      </c>
      <c r="AQ569" s="2">
        <v>0</v>
      </c>
      <c r="AR569" s="2">
        <v>0</v>
      </c>
      <c r="AS569" s="2">
        <v>0</v>
      </c>
      <c r="AT569" s="2">
        <v>0</v>
      </c>
      <c r="BB569" s="2" t="str">
        <f>+PROPER(BD[[#This Row],[PRIMER_APELLIDO]])</f>
        <v>Mendez</v>
      </c>
    </row>
    <row r="570" spans="1:54" x14ac:dyDescent="0.25">
      <c r="A570" s="2">
        <v>569</v>
      </c>
      <c r="B570" s="2">
        <v>43235</v>
      </c>
      <c r="C570" s="2" t="s">
        <v>619</v>
      </c>
      <c r="D570" s="2" t="s">
        <v>620</v>
      </c>
      <c r="E570" s="2" t="s">
        <v>4261</v>
      </c>
      <c r="F570" s="2">
        <v>24232700</v>
      </c>
      <c r="G570" s="3">
        <v>37.076712328767123</v>
      </c>
      <c r="H570" s="2" t="s">
        <v>622</v>
      </c>
      <c r="I570" s="2" t="s">
        <v>4262</v>
      </c>
      <c r="J570" s="2" t="str">
        <f>+IF(BD[[#This Row],[DEPARTAMENTO_INSS]]="MANAGUA","_01_","_02_")</f>
        <v>_01_</v>
      </c>
      <c r="K570" s="2" t="str">
        <f>+CONCATENATE(BD[[#This Row],[Columna3]],BD[[#This Row],[Columna4]],BD[[#This Row],[NOMBRE COMPLETO]])</f>
        <v>E003_01_ANA LUCIA RODRIGUEZ ZAMBRANO</v>
      </c>
      <c r="L570" s="2" t="s">
        <v>860</v>
      </c>
      <c r="M570" s="2" t="s">
        <v>676</v>
      </c>
      <c r="N570" s="2" t="s">
        <v>185</v>
      </c>
      <c r="O570" s="2" t="s">
        <v>4263</v>
      </c>
      <c r="P570" s="2" t="s">
        <v>626</v>
      </c>
      <c r="Q570" s="2" t="s">
        <v>351</v>
      </c>
      <c r="R570" s="2">
        <v>31263</v>
      </c>
      <c r="S570" s="2">
        <v>31263</v>
      </c>
      <c r="T570" s="2" t="s">
        <v>627</v>
      </c>
      <c r="U570" s="2" t="s">
        <v>627</v>
      </c>
      <c r="V570" s="2" t="s">
        <v>627</v>
      </c>
      <c r="W570" s="2" t="s">
        <v>1498</v>
      </c>
      <c r="X570" s="2" t="s">
        <v>4264</v>
      </c>
      <c r="Y570" s="2" t="s">
        <v>4265</v>
      </c>
      <c r="Z570" s="2">
        <v>82851376</v>
      </c>
      <c r="AB570" s="2" t="s">
        <v>642</v>
      </c>
      <c r="AC570" s="2" t="s">
        <v>632</v>
      </c>
      <c r="AD570" s="2">
        <v>82851376</v>
      </c>
      <c r="AJ570" s="2">
        <v>82851376</v>
      </c>
      <c r="AK570" s="2">
        <v>1</v>
      </c>
      <c r="AL570" s="2" t="s">
        <v>633</v>
      </c>
      <c r="AM570" s="2">
        <v>0</v>
      </c>
      <c r="AN570" s="2">
        <v>0</v>
      </c>
      <c r="AO570" s="2">
        <v>1</v>
      </c>
      <c r="AP570" s="2">
        <v>0</v>
      </c>
      <c r="AQ570" s="2">
        <v>0</v>
      </c>
      <c r="AR570" s="2">
        <v>0</v>
      </c>
      <c r="AS570" s="2">
        <v>0</v>
      </c>
      <c r="AT570" s="2">
        <v>0</v>
      </c>
      <c r="AZ570" s="2" t="s">
        <v>4266</v>
      </c>
      <c r="BB570" s="2" t="str">
        <f>+PROPER(BD[[#This Row],[PRIMER_APELLIDO]])</f>
        <v>Rodriguez</v>
      </c>
    </row>
    <row r="571" spans="1:54" x14ac:dyDescent="0.25">
      <c r="A571" s="2">
        <v>570</v>
      </c>
      <c r="B571" s="2">
        <v>38144</v>
      </c>
      <c r="C571" s="2" t="s">
        <v>619</v>
      </c>
      <c r="D571" s="2" t="s">
        <v>620</v>
      </c>
      <c r="E571" s="2" t="s">
        <v>4267</v>
      </c>
      <c r="F571" s="2">
        <v>22087847</v>
      </c>
      <c r="G571" s="3">
        <v>37.079452054794523</v>
      </c>
      <c r="H571" s="2" t="s">
        <v>622</v>
      </c>
      <c r="I571" s="2" t="s">
        <v>4268</v>
      </c>
      <c r="J571" s="2" t="str">
        <f>+IF(BD[[#This Row],[DEPARTAMENTO_INSS]]="MANAGUA","_01_","_02_")</f>
        <v>_02_</v>
      </c>
      <c r="K571" s="2" t="str">
        <f>+CONCATENATE(BD[[#This Row],[Columna3]],BD[[#This Row],[Columna4]],BD[[#This Row],[NOMBRE COMPLETO]])</f>
        <v>E003_02_OMAR ANTONIO MENESES CORDOBA</v>
      </c>
      <c r="L571" s="2" t="s">
        <v>2996</v>
      </c>
      <c r="M571" s="2" t="s">
        <v>904</v>
      </c>
      <c r="N571" s="2" t="s">
        <v>292</v>
      </c>
      <c r="O571" s="2" t="s">
        <v>558</v>
      </c>
      <c r="P571" s="2" t="s">
        <v>649</v>
      </c>
      <c r="Q571" s="2" t="s">
        <v>351</v>
      </c>
      <c r="R571" s="2">
        <v>31262</v>
      </c>
      <c r="S571" s="2">
        <v>31262</v>
      </c>
      <c r="T571" s="2" t="s">
        <v>691</v>
      </c>
      <c r="U571" s="2" t="s">
        <v>691</v>
      </c>
      <c r="V571" s="2" t="s">
        <v>716</v>
      </c>
      <c r="W571" s="2" t="s">
        <v>691</v>
      </c>
      <c r="X571" s="2" t="s">
        <v>4269</v>
      </c>
      <c r="Y571" s="2" t="s">
        <v>4270</v>
      </c>
      <c r="Z571" s="2">
        <v>84213522</v>
      </c>
      <c r="AA571" s="2">
        <v>84213522</v>
      </c>
      <c r="AB571" s="2" t="s">
        <v>654</v>
      </c>
      <c r="AC571" s="2" t="s">
        <v>632</v>
      </c>
      <c r="AD571" s="2">
        <v>84213522</v>
      </c>
      <c r="AJ571" s="2">
        <v>84213522</v>
      </c>
      <c r="AK571" s="2">
        <v>2</v>
      </c>
      <c r="AL571" s="2" t="s">
        <v>633</v>
      </c>
      <c r="AM571" s="2">
        <v>0</v>
      </c>
      <c r="AN571" s="2">
        <v>0</v>
      </c>
      <c r="AO571" s="2">
        <v>1</v>
      </c>
      <c r="AP571" s="2">
        <v>0</v>
      </c>
      <c r="AQ571" s="2">
        <v>0</v>
      </c>
      <c r="AR571" s="2">
        <v>0</v>
      </c>
      <c r="AS571" s="2">
        <v>0</v>
      </c>
      <c r="AT571" s="2">
        <v>0</v>
      </c>
      <c r="BB571" s="2" t="str">
        <f>+PROPER(BD[[#This Row],[PRIMER_APELLIDO]])</f>
        <v>Meneses</v>
      </c>
    </row>
    <row r="572" spans="1:54" x14ac:dyDescent="0.25">
      <c r="A572" s="2">
        <v>571</v>
      </c>
      <c r="B572" s="2">
        <v>40618</v>
      </c>
      <c r="C572" s="2" t="s">
        <v>619</v>
      </c>
      <c r="D572" s="2" t="s">
        <v>620</v>
      </c>
      <c r="E572" s="2" t="s">
        <v>4271</v>
      </c>
      <c r="F572" s="2">
        <v>22179412</v>
      </c>
      <c r="G572" s="3">
        <v>37.082191780821915</v>
      </c>
      <c r="H572" s="2" t="s">
        <v>622</v>
      </c>
      <c r="I572" s="2" t="s">
        <v>4272</v>
      </c>
      <c r="J572" s="2" t="str">
        <f>+IF(BD[[#This Row],[DEPARTAMENTO_INSS]]="MANAGUA","_01_","_02_")</f>
        <v>_02_</v>
      </c>
      <c r="K572" s="2" t="str">
        <f>+CONCATENATE(BD[[#This Row],[Columna3]],BD[[#This Row],[Columna4]],BD[[#This Row],[NOMBRE COMPLETO]])</f>
        <v>E003_02_ANGELICA MARIA MEZA RUGAMA</v>
      </c>
      <c r="L572" s="2" t="s">
        <v>1170</v>
      </c>
      <c r="M572" s="2" t="s">
        <v>724</v>
      </c>
      <c r="N572" s="2" t="s">
        <v>218</v>
      </c>
      <c r="O572" s="2" t="s">
        <v>182</v>
      </c>
      <c r="P572" s="2" t="s">
        <v>626</v>
      </c>
      <c r="Q572" s="2" t="s">
        <v>351</v>
      </c>
      <c r="R572" s="2">
        <v>31261</v>
      </c>
      <c r="S572" s="2">
        <v>31261</v>
      </c>
      <c r="T572" s="2" t="s">
        <v>176</v>
      </c>
      <c r="U572" s="2" t="s">
        <v>176</v>
      </c>
      <c r="V572" s="2" t="s">
        <v>650</v>
      </c>
      <c r="W572" s="2" t="s">
        <v>176</v>
      </c>
      <c r="X572" s="2" t="s">
        <v>4273</v>
      </c>
      <c r="Y572" s="2" t="s">
        <v>4274</v>
      </c>
      <c r="Z572" s="2">
        <v>89238241</v>
      </c>
      <c r="AA572" s="2">
        <v>89238241</v>
      </c>
      <c r="AB572" s="2" t="s">
        <v>642</v>
      </c>
      <c r="AC572" s="2" t="s">
        <v>632</v>
      </c>
      <c r="AD572" s="2">
        <v>89238241</v>
      </c>
      <c r="AJ572" s="2">
        <v>89238241</v>
      </c>
      <c r="AK572" s="2">
        <v>2</v>
      </c>
      <c r="AL572" s="2" t="s">
        <v>633</v>
      </c>
      <c r="AM572" s="2">
        <v>0</v>
      </c>
      <c r="AN572" s="2">
        <v>0</v>
      </c>
      <c r="AO572" s="2">
        <v>1</v>
      </c>
      <c r="AP572" s="2">
        <v>0</v>
      </c>
      <c r="AQ572" s="2">
        <v>0</v>
      </c>
      <c r="AR572" s="2">
        <v>0</v>
      </c>
      <c r="AS572" s="2">
        <v>0</v>
      </c>
      <c r="AT572" s="2">
        <v>0</v>
      </c>
      <c r="AZ572" s="2" t="s">
        <v>4275</v>
      </c>
      <c r="BB572" s="2" t="str">
        <f>+PROPER(BD[[#This Row],[PRIMER_APELLIDO]])</f>
        <v>Meza</v>
      </c>
    </row>
    <row r="573" spans="1:54" x14ac:dyDescent="0.25">
      <c r="A573" s="2">
        <v>572</v>
      </c>
      <c r="B573" s="2">
        <v>52750</v>
      </c>
      <c r="C573" s="2" t="s">
        <v>619</v>
      </c>
      <c r="D573" s="2" t="s">
        <v>620</v>
      </c>
      <c r="E573" s="2" t="s">
        <v>4276</v>
      </c>
      <c r="F573" s="2">
        <v>26591869</v>
      </c>
      <c r="G573" s="3">
        <v>37.082191780821915</v>
      </c>
      <c r="H573" s="2" t="s">
        <v>622</v>
      </c>
      <c r="I573" s="2" t="s">
        <v>4277</v>
      </c>
      <c r="J573" s="2" t="str">
        <f>+IF(BD[[#This Row],[DEPARTAMENTO_INSS]]="MANAGUA","_01_","_02_")</f>
        <v>_02_</v>
      </c>
      <c r="K573" s="2" t="str">
        <f>+CONCATENATE(BD[[#This Row],[Columna3]],BD[[#This Row],[Columna4]],BD[[#This Row],[NOMBRE COMPLETO]])</f>
        <v>E003_02_ELIZABETH DEL CARMEN HERRERA RIOS</v>
      </c>
      <c r="L573" s="2" t="s">
        <v>1881</v>
      </c>
      <c r="M573" s="2" t="s">
        <v>961</v>
      </c>
      <c r="N573" s="2" t="s">
        <v>179</v>
      </c>
      <c r="O573" s="2" t="s">
        <v>164</v>
      </c>
      <c r="P573" s="2" t="s">
        <v>626</v>
      </c>
      <c r="Q573" s="2" t="s">
        <v>351</v>
      </c>
      <c r="R573" s="2">
        <v>31261</v>
      </c>
      <c r="S573" s="2">
        <v>31261</v>
      </c>
      <c r="T573" s="2" t="s">
        <v>444</v>
      </c>
      <c r="U573" s="2" t="s">
        <v>444</v>
      </c>
      <c r="V573" s="2" t="s">
        <v>764</v>
      </c>
      <c r="W573" s="2" t="s">
        <v>764</v>
      </c>
      <c r="X573" s="2" t="s">
        <v>4278</v>
      </c>
      <c r="Y573" s="2" t="s">
        <v>4279</v>
      </c>
      <c r="AA573" s="2">
        <v>83674156</v>
      </c>
      <c r="AB573" s="2" t="s">
        <v>631</v>
      </c>
      <c r="AC573" s="2" t="s">
        <v>632</v>
      </c>
      <c r="AD573" s="2">
        <v>83674156</v>
      </c>
      <c r="AJ573" s="2">
        <v>83674156</v>
      </c>
      <c r="AK573" s="2">
        <v>1</v>
      </c>
      <c r="AL573" s="2" t="s">
        <v>633</v>
      </c>
      <c r="AM573" s="2">
        <v>0</v>
      </c>
      <c r="AN573" s="2">
        <v>0</v>
      </c>
      <c r="AO573" s="2">
        <v>1</v>
      </c>
      <c r="AP573" s="2">
        <v>0</v>
      </c>
      <c r="AQ573" s="2">
        <v>0</v>
      </c>
      <c r="AR573" s="2">
        <v>0</v>
      </c>
      <c r="AS573" s="2">
        <v>0</v>
      </c>
      <c r="AT573" s="2">
        <v>0</v>
      </c>
      <c r="BB573" s="2" t="str">
        <f>+PROPER(BD[[#This Row],[PRIMER_APELLIDO]])</f>
        <v>Herrera</v>
      </c>
    </row>
    <row r="574" spans="1:54" x14ac:dyDescent="0.25">
      <c r="A574" s="2">
        <v>573</v>
      </c>
      <c r="B574" s="2">
        <v>46990</v>
      </c>
      <c r="C574" s="2" t="s">
        <v>619</v>
      </c>
      <c r="D574" s="2" t="s">
        <v>620</v>
      </c>
      <c r="E574" s="2" t="s">
        <v>4280</v>
      </c>
      <c r="F574" s="2">
        <v>25025039</v>
      </c>
      <c r="G574" s="3">
        <v>37.084931506849315</v>
      </c>
      <c r="H574" s="2" t="s">
        <v>622</v>
      </c>
      <c r="I574" s="2" t="s">
        <v>4281</v>
      </c>
      <c r="J574" s="2" t="str">
        <f>+IF(BD[[#This Row],[DEPARTAMENTO_INSS]]="MANAGUA","_01_","_02_")</f>
        <v>_02_</v>
      </c>
      <c r="K574" s="2" t="str">
        <f>+CONCATENATE(BD[[#This Row],[Columna3]],BD[[#This Row],[Columna4]],BD[[#This Row],[NOMBRE COMPLETO]])</f>
        <v>E003_02_KARLELY MARIA HERNANDEZ MARTINEZ</v>
      </c>
      <c r="L574" s="2" t="s">
        <v>4282</v>
      </c>
      <c r="M574" s="2" t="s">
        <v>724</v>
      </c>
      <c r="N574" s="2" t="s">
        <v>11</v>
      </c>
      <c r="O574" s="2" t="s">
        <v>44</v>
      </c>
      <c r="P574" s="2" t="s">
        <v>626</v>
      </c>
      <c r="Q574" s="2" t="s">
        <v>351</v>
      </c>
      <c r="R574" s="2">
        <v>31260</v>
      </c>
      <c r="S574" s="2">
        <v>31260</v>
      </c>
      <c r="T574" s="2" t="s">
        <v>705</v>
      </c>
      <c r="U574" s="2" t="s">
        <v>705</v>
      </c>
      <c r="V574" s="2" t="s">
        <v>705</v>
      </c>
      <c r="W574" s="2" t="s">
        <v>705</v>
      </c>
      <c r="X574" s="2" t="s">
        <v>4283</v>
      </c>
      <c r="Y574" s="2" t="s">
        <v>4284</v>
      </c>
      <c r="Z574" s="2">
        <v>81004171</v>
      </c>
      <c r="AB574" s="2" t="s">
        <v>631</v>
      </c>
      <c r="AC574" s="2" t="s">
        <v>632</v>
      </c>
      <c r="AD574" s="2">
        <v>81004171</v>
      </c>
      <c r="AJ574" s="2">
        <v>81004171</v>
      </c>
      <c r="AK574" s="2">
        <v>1</v>
      </c>
      <c r="AL574" s="2" t="s">
        <v>633</v>
      </c>
      <c r="AM574" s="2">
        <v>0</v>
      </c>
      <c r="AN574" s="2">
        <v>0</v>
      </c>
      <c r="AO574" s="2">
        <v>1</v>
      </c>
      <c r="AP574" s="2">
        <v>0</v>
      </c>
      <c r="AQ574" s="2">
        <v>0</v>
      </c>
      <c r="AR574" s="2">
        <v>0</v>
      </c>
      <c r="AS574" s="2">
        <v>0</v>
      </c>
      <c r="AT574" s="2">
        <v>0</v>
      </c>
      <c r="AZ574" s="2" t="s">
        <v>4285</v>
      </c>
      <c r="BB574" s="2" t="str">
        <f>+PROPER(BD[[#This Row],[PRIMER_APELLIDO]])</f>
        <v>Hernandez</v>
      </c>
    </row>
    <row r="575" spans="1:54" x14ac:dyDescent="0.25">
      <c r="A575" s="2">
        <v>574</v>
      </c>
      <c r="B575" s="2">
        <v>36371</v>
      </c>
      <c r="C575" s="2" t="s">
        <v>619</v>
      </c>
      <c r="D575" s="2" t="s">
        <v>620</v>
      </c>
      <c r="E575" s="2" t="s">
        <v>4286</v>
      </c>
      <c r="F575" s="2">
        <v>22389378</v>
      </c>
      <c r="G575" s="3">
        <v>37.087671232876716</v>
      </c>
      <c r="H575" s="2" t="s">
        <v>622</v>
      </c>
      <c r="I575" s="2" t="s">
        <v>4287</v>
      </c>
      <c r="J575" s="2" t="str">
        <f>+IF(BD[[#This Row],[DEPARTAMENTO_INSS]]="MANAGUA","_01_","_02_")</f>
        <v>_02_</v>
      </c>
      <c r="K575" s="2" t="str">
        <f>+CONCATENATE(BD[[#This Row],[Columna3]],BD[[#This Row],[Columna4]],BD[[#This Row],[NOMBRE COMPLETO]])</f>
        <v>E003_02_ANA BELLA ROMERO MARTINEZ</v>
      </c>
      <c r="L575" s="2" t="s">
        <v>860</v>
      </c>
      <c r="M575" s="2" t="s">
        <v>4288</v>
      </c>
      <c r="N575" s="2" t="s">
        <v>41</v>
      </c>
      <c r="O575" s="2" t="s">
        <v>44</v>
      </c>
      <c r="P575" s="2" t="s">
        <v>626</v>
      </c>
      <c r="Q575" s="2" t="s">
        <v>351</v>
      </c>
      <c r="R575" s="2">
        <v>31259</v>
      </c>
      <c r="S575" s="2">
        <v>31259</v>
      </c>
      <c r="T575" s="2" t="s">
        <v>705</v>
      </c>
      <c r="U575" s="2" t="s">
        <v>705</v>
      </c>
      <c r="V575" s="2" t="s">
        <v>705</v>
      </c>
      <c r="W575" s="2" t="s">
        <v>705</v>
      </c>
      <c r="X575" s="2" t="s">
        <v>4289</v>
      </c>
      <c r="Y575" s="2" t="s">
        <v>4290</v>
      </c>
      <c r="Z575" s="2">
        <v>82404445</v>
      </c>
      <c r="AA575" s="2">
        <v>82404445</v>
      </c>
      <c r="AB575" s="2" t="s">
        <v>642</v>
      </c>
      <c r="AC575" s="2" t="s">
        <v>632</v>
      </c>
      <c r="AD575" s="2">
        <v>82404445</v>
      </c>
      <c r="AJ575" s="2">
        <v>82404445</v>
      </c>
      <c r="AK575" s="2">
        <v>2</v>
      </c>
      <c r="AL575" s="2" t="s">
        <v>633</v>
      </c>
      <c r="AM575" s="2">
        <v>0</v>
      </c>
      <c r="AN575" s="2">
        <v>0</v>
      </c>
      <c r="AO575" s="2">
        <v>1</v>
      </c>
      <c r="AP575" s="2">
        <v>0</v>
      </c>
      <c r="AQ575" s="2">
        <v>0</v>
      </c>
      <c r="AR575" s="2">
        <v>0</v>
      </c>
      <c r="AS575" s="2">
        <v>0</v>
      </c>
      <c r="AT575" s="2">
        <v>0</v>
      </c>
      <c r="BB575" s="2" t="str">
        <f>+PROPER(BD[[#This Row],[PRIMER_APELLIDO]])</f>
        <v>Romero</v>
      </c>
    </row>
    <row r="576" spans="1:54" x14ac:dyDescent="0.25">
      <c r="A576" s="2">
        <v>575</v>
      </c>
      <c r="B576" s="2">
        <v>57560</v>
      </c>
      <c r="C576" s="2" t="s">
        <v>619</v>
      </c>
      <c r="D576" s="2" t="s">
        <v>620</v>
      </c>
      <c r="E576" s="2" t="s">
        <v>4291</v>
      </c>
      <c r="G576" s="3">
        <v>37.087671232876716</v>
      </c>
      <c r="H576" s="2" t="s">
        <v>622</v>
      </c>
      <c r="I576" s="2" t="s">
        <v>4292</v>
      </c>
      <c r="J576" s="2" t="str">
        <f>+IF(BD[[#This Row],[DEPARTAMENTO_INSS]]="MANAGUA","_01_","_02_")</f>
        <v>_02_</v>
      </c>
      <c r="K576" s="2" t="str">
        <f>+CONCATENATE(BD[[#This Row],[Columna3]],BD[[#This Row],[Columna4]],BD[[#This Row],[NOMBRE COMPLETO]])</f>
        <v>E003_02_ELIZABETH ESTHER GONZALEZ</v>
      </c>
      <c r="L576" s="2" t="s">
        <v>1881</v>
      </c>
      <c r="M576" s="2" t="s">
        <v>704</v>
      </c>
      <c r="N576" s="2" t="s">
        <v>14</v>
      </c>
      <c r="P576" s="2" t="s">
        <v>626</v>
      </c>
      <c r="Q576" s="2" t="s">
        <v>351</v>
      </c>
      <c r="R576" s="2">
        <v>31259</v>
      </c>
      <c r="S576" s="2">
        <v>31259</v>
      </c>
      <c r="T576" s="2" t="s">
        <v>929</v>
      </c>
      <c r="U576" s="2" t="s">
        <v>929</v>
      </c>
      <c r="V576" s="2" t="s">
        <v>2885</v>
      </c>
      <c r="W576" s="2" t="s">
        <v>2885</v>
      </c>
      <c r="X576" s="2" t="s">
        <v>4293</v>
      </c>
      <c r="Y576" s="2" t="s">
        <v>4294</v>
      </c>
      <c r="Z576" s="2">
        <v>84905246</v>
      </c>
      <c r="AA576" s="2">
        <v>86319612</v>
      </c>
      <c r="AB576" s="2" t="s">
        <v>631</v>
      </c>
      <c r="AC576" s="2" t="s">
        <v>632</v>
      </c>
      <c r="AD576" s="2">
        <v>84905246</v>
      </c>
      <c r="AF576" s="2">
        <v>86319612</v>
      </c>
      <c r="AJ576" s="2">
        <v>84905246</v>
      </c>
      <c r="AK576" s="2">
        <v>2</v>
      </c>
      <c r="AL576" s="2" t="s">
        <v>633</v>
      </c>
      <c r="AM576" s="2">
        <v>0</v>
      </c>
      <c r="AN576" s="2">
        <v>0</v>
      </c>
      <c r="AO576" s="2">
        <v>1</v>
      </c>
      <c r="AP576" s="2">
        <v>0</v>
      </c>
      <c r="AQ576" s="2">
        <v>0</v>
      </c>
      <c r="AR576" s="2">
        <v>0</v>
      </c>
      <c r="AS576" s="2">
        <v>0</v>
      </c>
      <c r="AT576" s="2">
        <v>0</v>
      </c>
      <c r="BB576" s="2" t="str">
        <f>+PROPER(BD[[#This Row],[PRIMER_APELLIDO]])</f>
        <v>Gonzalez</v>
      </c>
    </row>
    <row r="577" spans="1:54" x14ac:dyDescent="0.25">
      <c r="A577" s="2">
        <v>576</v>
      </c>
      <c r="B577" s="2">
        <v>72500</v>
      </c>
      <c r="C577" s="2" t="s">
        <v>619</v>
      </c>
      <c r="D577" s="2" t="s">
        <v>620</v>
      </c>
      <c r="E577" s="2" t="s">
        <v>4295</v>
      </c>
      <c r="G577" s="3">
        <v>37.087671232876716</v>
      </c>
      <c r="H577" s="2" t="s">
        <v>622</v>
      </c>
      <c r="I577" s="2" t="s">
        <v>4296</v>
      </c>
      <c r="J577" s="2" t="str">
        <f>+IF(BD[[#This Row],[DEPARTAMENTO_INSS]]="MANAGUA","_01_","_02_")</f>
        <v>_02_</v>
      </c>
      <c r="K577" s="2" t="str">
        <f>+CONCATENATE(BD[[#This Row],[Columna3]],BD[[#This Row],[Columna4]],BD[[#This Row],[NOMBRE COMPLETO]])</f>
        <v>E003_02_ERIKA JEANETH ORTEGA</v>
      </c>
      <c r="L577" s="2" t="s">
        <v>675</v>
      </c>
      <c r="M577" s="2" t="s">
        <v>4297</v>
      </c>
      <c r="N577" s="2" t="s">
        <v>29</v>
      </c>
      <c r="P577" s="2" t="s">
        <v>626</v>
      </c>
      <c r="Q577" s="2" t="s">
        <v>351</v>
      </c>
      <c r="R577" s="2">
        <v>31259</v>
      </c>
      <c r="S577" s="2">
        <v>31259</v>
      </c>
      <c r="T577" s="2" t="s">
        <v>669</v>
      </c>
      <c r="U577" s="2" t="s">
        <v>669</v>
      </c>
      <c r="V577" s="2" t="s">
        <v>669</v>
      </c>
      <c r="W577" s="2" t="s">
        <v>669</v>
      </c>
      <c r="X577" s="2" t="s">
        <v>4298</v>
      </c>
      <c r="Y577" s="2" t="s">
        <v>4299</v>
      </c>
      <c r="Z577" s="2" t="s">
        <v>4300</v>
      </c>
      <c r="AA577" s="2" t="s">
        <v>4301</v>
      </c>
      <c r="AB577" s="2" t="s">
        <v>965</v>
      </c>
      <c r="AC577" s="2" t="s">
        <v>632</v>
      </c>
      <c r="AD577" s="2">
        <v>55004467</v>
      </c>
      <c r="AE577" s="2">
        <v>88110090</v>
      </c>
      <c r="AJ577" s="2">
        <v>55004467</v>
      </c>
      <c r="AK577" s="2">
        <v>4</v>
      </c>
      <c r="AL577" s="2" t="s">
        <v>633</v>
      </c>
      <c r="AM577" s="2">
        <v>0</v>
      </c>
      <c r="AN577" s="2">
        <v>0</v>
      </c>
      <c r="AO577" s="2">
        <v>1</v>
      </c>
      <c r="AP577" s="2">
        <v>0</v>
      </c>
      <c r="AQ577" s="2">
        <v>0</v>
      </c>
      <c r="AR577" s="2">
        <v>0</v>
      </c>
      <c r="AS577" s="2">
        <v>0</v>
      </c>
      <c r="AT577" s="2">
        <v>0</v>
      </c>
      <c r="AZ577" s="2" t="s">
        <v>4302</v>
      </c>
      <c r="BB577" s="2" t="str">
        <f>+PROPER(BD[[#This Row],[PRIMER_APELLIDO]])</f>
        <v>Ortega</v>
      </c>
    </row>
    <row r="578" spans="1:54" x14ac:dyDescent="0.25">
      <c r="A578" s="2">
        <v>577</v>
      </c>
      <c r="B578" s="2">
        <v>65668</v>
      </c>
      <c r="C578" s="2" t="s">
        <v>619</v>
      </c>
      <c r="D578" s="2" t="s">
        <v>620</v>
      </c>
      <c r="E578" s="2" t="s">
        <v>4303</v>
      </c>
      <c r="G578" s="3">
        <v>37.090410958904108</v>
      </c>
      <c r="H578" s="2" t="s">
        <v>622</v>
      </c>
      <c r="I578" s="2" t="s">
        <v>4304</v>
      </c>
      <c r="J578" s="2" t="str">
        <f>+IF(BD[[#This Row],[DEPARTAMENTO_INSS]]="MANAGUA","_01_","_02_")</f>
        <v>_02_</v>
      </c>
      <c r="K578" s="2" t="str">
        <f>+CONCATENATE(BD[[#This Row],[Columna3]],BD[[#This Row],[Columna4]],BD[[#This Row],[NOMBRE COMPLETO]])</f>
        <v>E003_02_ALVARO ISAAC LOPEZ GUTIERREZ</v>
      </c>
      <c r="L578" s="2" t="s">
        <v>1156</v>
      </c>
      <c r="M578" s="2" t="s">
        <v>4183</v>
      </c>
      <c r="N578" s="2" t="s">
        <v>15</v>
      </c>
      <c r="O578" s="2" t="s">
        <v>171</v>
      </c>
      <c r="P578" s="2" t="s">
        <v>649</v>
      </c>
      <c r="Q578" s="2" t="s">
        <v>351</v>
      </c>
      <c r="R578" s="2">
        <v>31258</v>
      </c>
      <c r="S578" s="2">
        <v>31258</v>
      </c>
      <c r="T578" s="2" t="s">
        <v>732</v>
      </c>
      <c r="U578" s="2" t="s">
        <v>732</v>
      </c>
      <c r="V578" s="2" t="s">
        <v>4305</v>
      </c>
      <c r="W578" s="2" t="s">
        <v>4305</v>
      </c>
      <c r="X578" s="2" t="s">
        <v>4306</v>
      </c>
      <c r="Y578" s="2" t="s">
        <v>4307</v>
      </c>
      <c r="Z578" s="2">
        <v>81661176</v>
      </c>
      <c r="AA578" s="2" t="s">
        <v>4308</v>
      </c>
      <c r="AB578" s="2" t="s">
        <v>798</v>
      </c>
      <c r="AC578" s="2" t="s">
        <v>632</v>
      </c>
      <c r="AD578" s="2">
        <v>81661176</v>
      </c>
      <c r="AE578" s="2">
        <v>82668953</v>
      </c>
      <c r="AJ578" s="2">
        <v>81661176</v>
      </c>
      <c r="AK578" s="2">
        <v>3</v>
      </c>
      <c r="AL578" s="2" t="s">
        <v>633</v>
      </c>
      <c r="AM578" s="2">
        <v>0</v>
      </c>
      <c r="AN578" s="2">
        <v>0</v>
      </c>
      <c r="AO578" s="2">
        <v>1</v>
      </c>
      <c r="AP578" s="2">
        <v>0</v>
      </c>
      <c r="AQ578" s="2">
        <v>0</v>
      </c>
      <c r="AR578" s="2">
        <v>0</v>
      </c>
      <c r="AS578" s="2">
        <v>0</v>
      </c>
      <c r="AT578" s="2">
        <v>0</v>
      </c>
      <c r="AZ578" s="2" t="s">
        <v>4309</v>
      </c>
      <c r="BB578" s="2" t="str">
        <f>+PROPER(BD[[#This Row],[PRIMER_APELLIDO]])</f>
        <v>Lopez</v>
      </c>
    </row>
    <row r="579" spans="1:54" x14ac:dyDescent="0.25">
      <c r="A579" s="2">
        <v>578</v>
      </c>
      <c r="B579" s="2">
        <v>67309</v>
      </c>
      <c r="C579" s="2" t="s">
        <v>619</v>
      </c>
      <c r="D579" s="2" t="s">
        <v>620</v>
      </c>
      <c r="E579" s="2" t="s">
        <v>4310</v>
      </c>
      <c r="G579" s="3">
        <v>37.095890410958901</v>
      </c>
      <c r="H579" s="2" t="s">
        <v>622</v>
      </c>
      <c r="I579" s="2" t="s">
        <v>4311</v>
      </c>
      <c r="J579" s="2" t="str">
        <f>+IF(BD[[#This Row],[DEPARTAMENTO_INSS]]="MANAGUA","_01_","_02_")</f>
        <v>_02_</v>
      </c>
      <c r="K579" s="2" t="str">
        <f>+CONCATENATE(BD[[#This Row],[Columna3]],BD[[#This Row],[Columna4]],BD[[#This Row],[NOMBRE COMPLETO]])</f>
        <v>E003_02_MARCIA JOHANA MARTINEZ SALAS</v>
      </c>
      <c r="L579" s="2" t="s">
        <v>511</v>
      </c>
      <c r="M579" s="2" t="s">
        <v>4312</v>
      </c>
      <c r="N579" s="2" t="s">
        <v>44</v>
      </c>
      <c r="O579" s="2" t="s">
        <v>375</v>
      </c>
      <c r="P579" s="2" t="s">
        <v>626</v>
      </c>
      <c r="Q579" s="2" t="s">
        <v>351</v>
      </c>
      <c r="R579" s="2">
        <v>31256</v>
      </c>
      <c r="S579" s="2">
        <v>31256</v>
      </c>
      <c r="T579" s="2" t="s">
        <v>780</v>
      </c>
      <c r="U579" s="2" t="s">
        <v>780</v>
      </c>
      <c r="V579" s="2" t="s">
        <v>1143</v>
      </c>
      <c r="W579" s="2" t="s">
        <v>1143</v>
      </c>
      <c r="X579" s="2" t="s">
        <v>4313</v>
      </c>
      <c r="Y579" s="2" t="s">
        <v>4314</v>
      </c>
      <c r="Z579" s="2">
        <v>84066846</v>
      </c>
      <c r="AB579" s="2" t="s">
        <v>642</v>
      </c>
      <c r="AC579" s="2" t="s">
        <v>632</v>
      </c>
      <c r="AD579" s="2">
        <v>84066846</v>
      </c>
      <c r="AJ579" s="2">
        <v>84066846</v>
      </c>
      <c r="AK579" s="2">
        <v>1</v>
      </c>
      <c r="AL579" s="2" t="s">
        <v>633</v>
      </c>
      <c r="AM579" s="2">
        <v>0</v>
      </c>
      <c r="AN579" s="2">
        <v>0</v>
      </c>
      <c r="AO579" s="2">
        <v>1</v>
      </c>
      <c r="AP579" s="2">
        <v>0</v>
      </c>
      <c r="AQ579" s="2">
        <v>0</v>
      </c>
      <c r="AR579" s="2">
        <v>0</v>
      </c>
      <c r="AS579" s="2">
        <v>0</v>
      </c>
      <c r="AT579" s="2">
        <v>0</v>
      </c>
      <c r="AZ579" s="2" t="s">
        <v>4315</v>
      </c>
      <c r="BB579" s="2" t="str">
        <f>+PROPER(BD[[#This Row],[PRIMER_APELLIDO]])</f>
        <v>Martinez</v>
      </c>
    </row>
    <row r="580" spans="1:54" x14ac:dyDescent="0.25">
      <c r="A580" s="2">
        <v>579</v>
      </c>
      <c r="B580" s="2">
        <v>47008</v>
      </c>
      <c r="C580" s="2" t="s">
        <v>619</v>
      </c>
      <c r="D580" s="2" t="s">
        <v>620</v>
      </c>
      <c r="E580" s="2" t="s">
        <v>4316</v>
      </c>
      <c r="F580" s="2">
        <v>25023945</v>
      </c>
      <c r="G580" s="3">
        <v>37.098630136986301</v>
      </c>
      <c r="H580" s="2" t="s">
        <v>622</v>
      </c>
      <c r="I580" s="2" t="s">
        <v>4317</v>
      </c>
      <c r="J580" s="2" t="str">
        <f>+IF(BD[[#This Row],[DEPARTAMENTO_INSS]]="MANAGUA","_01_","_02_")</f>
        <v>_01_</v>
      </c>
      <c r="K580" s="2" t="str">
        <f>+CONCATENATE(BD[[#This Row],[Columna3]],BD[[#This Row],[Columna4]],BD[[#This Row],[NOMBRE COMPLETO]])</f>
        <v>E003_01_ROBERTO CARLOS GOMEZ GONZALEZ</v>
      </c>
      <c r="L580" s="2" t="s">
        <v>1057</v>
      </c>
      <c r="M580" s="2" t="s">
        <v>826</v>
      </c>
      <c r="N580" s="2" t="s">
        <v>43</v>
      </c>
      <c r="O580" s="2" t="s">
        <v>14</v>
      </c>
      <c r="P580" s="2" t="s">
        <v>649</v>
      </c>
      <c r="Q580" s="2" t="s">
        <v>351</v>
      </c>
      <c r="R580" s="2">
        <v>31255</v>
      </c>
      <c r="S580" s="2">
        <v>31255</v>
      </c>
      <c r="T580" s="2" t="s">
        <v>627</v>
      </c>
      <c r="U580" s="2" t="s">
        <v>627</v>
      </c>
      <c r="V580" s="2" t="s">
        <v>1498</v>
      </c>
      <c r="W580" s="2" t="s">
        <v>1498</v>
      </c>
      <c r="X580" s="2" t="s">
        <v>4318</v>
      </c>
      <c r="Y580" s="2" t="s">
        <v>4319</v>
      </c>
      <c r="Z580" s="2">
        <v>87903645</v>
      </c>
      <c r="AA580" s="2">
        <v>22698089</v>
      </c>
      <c r="AB580" s="2" t="s">
        <v>798</v>
      </c>
      <c r="AC580" s="2" t="s">
        <v>632</v>
      </c>
      <c r="AD580" s="2">
        <v>87903645</v>
      </c>
      <c r="AJ580" s="2">
        <v>87903645</v>
      </c>
      <c r="AK580" s="2">
        <v>2</v>
      </c>
      <c r="AL580" s="2" t="s">
        <v>633</v>
      </c>
      <c r="AM580" s="2">
        <v>0</v>
      </c>
      <c r="AN580" s="2">
        <v>0</v>
      </c>
      <c r="AO580" s="2">
        <v>1</v>
      </c>
      <c r="AP580" s="2">
        <v>0</v>
      </c>
      <c r="AQ580" s="2">
        <v>0</v>
      </c>
      <c r="AR580" s="2">
        <v>0</v>
      </c>
      <c r="AS580" s="2">
        <v>0</v>
      </c>
      <c r="AT580" s="2">
        <v>0</v>
      </c>
      <c r="AZ580" s="2" t="s">
        <v>4320</v>
      </c>
      <c r="BB580" s="2" t="str">
        <f>+PROPER(BD[[#This Row],[PRIMER_APELLIDO]])</f>
        <v>Gomez</v>
      </c>
    </row>
    <row r="581" spans="1:54" x14ac:dyDescent="0.25">
      <c r="A581" s="2">
        <v>580</v>
      </c>
      <c r="B581" s="2">
        <v>36903</v>
      </c>
      <c r="C581" s="2" t="s">
        <v>619</v>
      </c>
      <c r="D581" s="2" t="s">
        <v>620</v>
      </c>
      <c r="E581" s="2" t="s">
        <v>4321</v>
      </c>
      <c r="F581" s="2">
        <v>22159643</v>
      </c>
      <c r="G581" s="3">
        <v>37.112328767123287</v>
      </c>
      <c r="H581" s="2" t="s">
        <v>622</v>
      </c>
      <c r="I581" s="2" t="s">
        <v>4322</v>
      </c>
      <c r="J581" s="2" t="str">
        <f>+IF(BD[[#This Row],[DEPARTAMENTO_INSS]]="MANAGUA","_01_","_02_")</f>
        <v>_02_</v>
      </c>
      <c r="K581" s="2" t="str">
        <f>+CONCATENATE(BD[[#This Row],[Columna3]],BD[[#This Row],[Columna4]],BD[[#This Row],[NOMBRE COMPLETO]])</f>
        <v>E003_02_MARTHA SILVANA PALMA MENDIETA</v>
      </c>
      <c r="L581" s="2" t="s">
        <v>1333</v>
      </c>
      <c r="M581" s="2" t="s">
        <v>4323</v>
      </c>
      <c r="N581" s="2" t="s">
        <v>78</v>
      </c>
      <c r="O581" s="2" t="s">
        <v>60</v>
      </c>
      <c r="P581" s="2" t="s">
        <v>626</v>
      </c>
      <c r="Q581" s="2" t="s">
        <v>351</v>
      </c>
      <c r="R581" s="2">
        <v>31250</v>
      </c>
      <c r="S581" s="2">
        <v>31250</v>
      </c>
      <c r="T581" s="2" t="s">
        <v>176</v>
      </c>
      <c r="U581" s="2" t="s">
        <v>659</v>
      </c>
      <c r="V581" s="2" t="s">
        <v>650</v>
      </c>
      <c r="W581" s="2" t="s">
        <v>659</v>
      </c>
      <c r="X581" s="2" t="s">
        <v>4324</v>
      </c>
      <c r="Y581" s="2" t="s">
        <v>4325</v>
      </c>
      <c r="AA581" s="2">
        <v>84309997</v>
      </c>
      <c r="AB581" s="2" t="s">
        <v>654</v>
      </c>
      <c r="AC581" s="2" t="s">
        <v>632</v>
      </c>
      <c r="AD581" s="2">
        <v>84309997</v>
      </c>
      <c r="AJ581" s="2">
        <v>84309997</v>
      </c>
      <c r="AK581" s="2">
        <v>1</v>
      </c>
      <c r="AL581" s="2" t="s">
        <v>633</v>
      </c>
      <c r="AM581" s="2">
        <v>0</v>
      </c>
      <c r="AN581" s="2">
        <v>0</v>
      </c>
      <c r="AO581" s="2">
        <v>1</v>
      </c>
      <c r="AP581" s="2">
        <v>0</v>
      </c>
      <c r="AQ581" s="2">
        <v>0</v>
      </c>
      <c r="AR581" s="2">
        <v>0</v>
      </c>
      <c r="AS581" s="2">
        <v>0</v>
      </c>
      <c r="AT581" s="2">
        <v>0</v>
      </c>
      <c r="BB581" s="2" t="str">
        <f>+PROPER(BD[[#This Row],[PRIMER_APELLIDO]])</f>
        <v>Palma</v>
      </c>
    </row>
    <row r="582" spans="1:54" x14ac:dyDescent="0.25">
      <c r="A582" s="2">
        <v>581</v>
      </c>
      <c r="B582" s="2">
        <v>47074</v>
      </c>
      <c r="C582" s="2" t="s">
        <v>619</v>
      </c>
      <c r="D582" s="2" t="s">
        <v>620</v>
      </c>
      <c r="E582" s="2" t="s">
        <v>4326</v>
      </c>
      <c r="F582" s="2">
        <v>25024423</v>
      </c>
      <c r="G582" s="3">
        <v>37.12054794520548</v>
      </c>
      <c r="H582" s="2" t="s">
        <v>622</v>
      </c>
      <c r="I582" s="2" t="s">
        <v>4327</v>
      </c>
      <c r="J582" s="2" t="str">
        <f>+IF(BD[[#This Row],[DEPARTAMENTO_INSS]]="MANAGUA","_01_","_02_")</f>
        <v>_01_</v>
      </c>
      <c r="K582" s="2" t="str">
        <f>+CONCATENATE(BD[[#This Row],[Columna3]],BD[[#This Row],[Columna4]],BD[[#This Row],[NOMBRE COMPLETO]])</f>
        <v>E003_01_ELVIS ENRRIQUE SILVA ARROLIGA</v>
      </c>
      <c r="L582" s="2" t="s">
        <v>4328</v>
      </c>
      <c r="M582" s="2" t="s">
        <v>4329</v>
      </c>
      <c r="N582" s="2" t="s">
        <v>113</v>
      </c>
      <c r="O582" s="2" t="s">
        <v>87</v>
      </c>
      <c r="P582" s="2" t="s">
        <v>649</v>
      </c>
      <c r="Q582" s="2" t="s">
        <v>351</v>
      </c>
      <c r="R582" s="2">
        <v>31247</v>
      </c>
      <c r="S582" s="2">
        <v>31247</v>
      </c>
      <c r="T582" s="2" t="s">
        <v>176</v>
      </c>
      <c r="U582" s="2" t="s">
        <v>627</v>
      </c>
      <c r="V582" s="2" t="s">
        <v>897</v>
      </c>
      <c r="W582" s="2" t="s">
        <v>1406</v>
      </c>
      <c r="X582" s="2" t="s">
        <v>4330</v>
      </c>
      <c r="Y582" s="2" t="s">
        <v>4331</v>
      </c>
      <c r="Z582" s="2">
        <v>82442427</v>
      </c>
      <c r="AA582" s="2">
        <v>82442427</v>
      </c>
      <c r="AB582" s="2" t="s">
        <v>798</v>
      </c>
      <c r="AC582" s="2" t="s">
        <v>632</v>
      </c>
      <c r="AD582" s="2">
        <v>82442427</v>
      </c>
      <c r="AJ582" s="2">
        <v>82442427</v>
      </c>
      <c r="AK582" s="2">
        <v>2</v>
      </c>
      <c r="AL582" s="2" t="s">
        <v>633</v>
      </c>
      <c r="AM582" s="2">
        <v>0</v>
      </c>
      <c r="AN582" s="2">
        <v>0</v>
      </c>
      <c r="AO582" s="2">
        <v>1</v>
      </c>
      <c r="AP582" s="2">
        <v>0</v>
      </c>
      <c r="AQ582" s="2">
        <v>0</v>
      </c>
      <c r="AR582" s="2">
        <v>0</v>
      </c>
      <c r="AS582" s="2">
        <v>0</v>
      </c>
      <c r="AT582" s="2">
        <v>0</v>
      </c>
      <c r="AZ582" s="2" t="s">
        <v>4332</v>
      </c>
      <c r="BB582" s="2" t="str">
        <f>+PROPER(BD[[#This Row],[PRIMER_APELLIDO]])</f>
        <v>Silva</v>
      </c>
    </row>
    <row r="583" spans="1:54" x14ac:dyDescent="0.25">
      <c r="A583" s="2">
        <v>582</v>
      </c>
      <c r="B583" s="2">
        <v>73250</v>
      </c>
      <c r="C583" s="2" t="s">
        <v>619</v>
      </c>
      <c r="D583" s="2" t="s">
        <v>620</v>
      </c>
      <c r="E583" s="2" t="s">
        <v>4333</v>
      </c>
      <c r="G583" s="3">
        <v>37.12054794520548</v>
      </c>
      <c r="H583" s="2" t="s">
        <v>622</v>
      </c>
      <c r="I583" s="2" t="s">
        <v>4334</v>
      </c>
      <c r="J583" s="2" t="str">
        <f>+IF(BD[[#This Row],[DEPARTAMENTO_INSS]]="MANAGUA","_01_","_02_")</f>
        <v>_02_</v>
      </c>
      <c r="K583" s="2" t="str">
        <f>+CONCATENATE(BD[[#This Row],[Columna3]],BD[[#This Row],[Columna4]],BD[[#This Row],[NOMBRE COMPLETO]])</f>
        <v>E003_02_ARLEN TATIANA MONCADA HERRERA</v>
      </c>
      <c r="L583" s="2" t="s">
        <v>624</v>
      </c>
      <c r="M583" s="2" t="s">
        <v>3023</v>
      </c>
      <c r="N583" s="2" t="s">
        <v>332</v>
      </c>
      <c r="O583" s="2" t="s">
        <v>179</v>
      </c>
      <c r="P583" s="2" t="s">
        <v>626</v>
      </c>
      <c r="Q583" s="2" t="s">
        <v>351</v>
      </c>
      <c r="R583" s="2">
        <v>31247</v>
      </c>
      <c r="S583" s="2">
        <v>31247</v>
      </c>
      <c r="T583" s="2" t="s">
        <v>627</v>
      </c>
      <c r="U583" s="2" t="s">
        <v>133</v>
      </c>
      <c r="V583" s="2" t="s">
        <v>627</v>
      </c>
      <c r="W583" s="2" t="s">
        <v>869</v>
      </c>
      <c r="X583" s="2" t="s">
        <v>4335</v>
      </c>
      <c r="Y583" s="2" t="s">
        <v>4336</v>
      </c>
      <c r="Z583" s="2">
        <v>85280943</v>
      </c>
      <c r="AB583" s="2" t="s">
        <v>642</v>
      </c>
      <c r="AC583" s="2" t="s">
        <v>632</v>
      </c>
      <c r="AD583" s="2">
        <v>85280943</v>
      </c>
      <c r="AJ583" s="2">
        <v>85280943</v>
      </c>
      <c r="AK583" s="2">
        <v>1</v>
      </c>
      <c r="AL583" s="2" t="s">
        <v>633</v>
      </c>
      <c r="AM583" s="2">
        <v>0</v>
      </c>
      <c r="AN583" s="2">
        <v>0</v>
      </c>
      <c r="AO583" s="2">
        <v>1</v>
      </c>
      <c r="AP583" s="2">
        <v>0</v>
      </c>
      <c r="AQ583" s="2">
        <v>0</v>
      </c>
      <c r="AR583" s="2">
        <v>0</v>
      </c>
      <c r="AS583" s="2">
        <v>0</v>
      </c>
      <c r="AT583" s="2">
        <v>0</v>
      </c>
      <c r="AZ583" s="2" t="s">
        <v>4337</v>
      </c>
      <c r="BB583" s="2" t="str">
        <f>+PROPER(BD[[#This Row],[PRIMER_APELLIDO]])</f>
        <v>Moncada</v>
      </c>
    </row>
    <row r="584" spans="1:54" x14ac:dyDescent="0.25">
      <c r="A584" s="2">
        <v>583</v>
      </c>
      <c r="B584" s="2">
        <v>43653</v>
      </c>
      <c r="C584" s="2" t="s">
        <v>619</v>
      </c>
      <c r="D584" s="2" t="s">
        <v>620</v>
      </c>
      <c r="E584" s="2" t="s">
        <v>4338</v>
      </c>
      <c r="F584" s="2">
        <v>24234555</v>
      </c>
      <c r="G584" s="3">
        <v>37.126027397260273</v>
      </c>
      <c r="H584" s="2" t="s">
        <v>622</v>
      </c>
      <c r="I584" s="2" t="s">
        <v>4339</v>
      </c>
      <c r="J584" s="2" t="str">
        <f>+IF(BD[[#This Row],[DEPARTAMENTO_INSS]]="MANAGUA","_01_","_02_")</f>
        <v>_02_</v>
      </c>
      <c r="K584" s="2" t="str">
        <f>+CONCATENATE(BD[[#This Row],[Columna3]],BD[[#This Row],[Columna4]],BD[[#This Row],[NOMBRE COMPLETO]])</f>
        <v>E003_02_EDGAR MARTIN NORORI TELLEZ</v>
      </c>
      <c r="L584" s="2" t="s">
        <v>4340</v>
      </c>
      <c r="M584" s="2" t="s">
        <v>1183</v>
      </c>
      <c r="N584" s="2" t="s">
        <v>398</v>
      </c>
      <c r="O584" s="2" t="s">
        <v>274</v>
      </c>
      <c r="P584" s="2" t="s">
        <v>649</v>
      </c>
      <c r="Q584" s="2" t="s">
        <v>351</v>
      </c>
      <c r="R584" s="2">
        <v>31245</v>
      </c>
      <c r="S584" s="2">
        <v>31245</v>
      </c>
      <c r="T584" s="2" t="s">
        <v>732</v>
      </c>
      <c r="U584" s="2" t="s">
        <v>732</v>
      </c>
      <c r="V584" s="2" t="s">
        <v>732</v>
      </c>
      <c r="W584" s="2" t="s">
        <v>4341</v>
      </c>
      <c r="X584" s="2" t="s">
        <v>4342</v>
      </c>
      <c r="Y584" s="2" t="s">
        <v>4343</v>
      </c>
      <c r="Z584" s="2">
        <v>88047722</v>
      </c>
      <c r="AA584" s="2">
        <v>25232295</v>
      </c>
      <c r="AB584" s="2" t="s">
        <v>654</v>
      </c>
      <c r="AC584" s="2" t="s">
        <v>632</v>
      </c>
      <c r="AD584" s="2">
        <v>88047722</v>
      </c>
      <c r="AJ584" s="2">
        <v>88047722</v>
      </c>
      <c r="AK584" s="2">
        <v>2</v>
      </c>
      <c r="AL584" s="2" t="s">
        <v>633</v>
      </c>
      <c r="AM584" s="2">
        <v>0</v>
      </c>
      <c r="AN584" s="2">
        <v>0</v>
      </c>
      <c r="AO584" s="2">
        <v>1</v>
      </c>
      <c r="AP584" s="2">
        <v>0</v>
      </c>
      <c r="AQ584" s="2">
        <v>0</v>
      </c>
      <c r="AR584" s="2">
        <v>0</v>
      </c>
      <c r="AS584" s="2">
        <v>0</v>
      </c>
      <c r="AT584" s="2">
        <v>0</v>
      </c>
      <c r="AZ584" s="2" t="s">
        <v>4344</v>
      </c>
      <c r="BB584" s="2" t="str">
        <f>+PROPER(BD[[#This Row],[PRIMER_APELLIDO]])</f>
        <v>Norori</v>
      </c>
    </row>
    <row r="585" spans="1:54" x14ac:dyDescent="0.25">
      <c r="A585" s="2">
        <v>584</v>
      </c>
      <c r="B585" s="2">
        <v>34740</v>
      </c>
      <c r="C585" s="2" t="s">
        <v>619</v>
      </c>
      <c r="D585" s="2" t="s">
        <v>620</v>
      </c>
      <c r="E585" s="2" t="s">
        <v>4345</v>
      </c>
      <c r="G585" s="3">
        <v>37.134246575342466</v>
      </c>
      <c r="H585" s="2" t="s">
        <v>622</v>
      </c>
      <c r="I585" s="2" t="s">
        <v>4346</v>
      </c>
      <c r="J585" s="2" t="str">
        <f>+IF(BD[[#This Row],[DEPARTAMENTO_INSS]]="MANAGUA","_01_","_02_")</f>
        <v>_02_</v>
      </c>
      <c r="K585" s="2" t="str">
        <f>+CONCATENATE(BD[[#This Row],[Columna3]],BD[[#This Row],[Columna4]],BD[[#This Row],[NOMBRE COMPLETO]])</f>
        <v>E003_02_LUIS CARLOS OROCHENA RIVAS</v>
      </c>
      <c r="L585" s="2" t="s">
        <v>738</v>
      </c>
      <c r="M585" s="2" t="s">
        <v>826</v>
      </c>
      <c r="N585" s="2" t="s">
        <v>424</v>
      </c>
      <c r="O585" s="2" t="s">
        <v>186</v>
      </c>
      <c r="P585" s="2" t="s">
        <v>649</v>
      </c>
      <c r="Q585" s="2" t="s">
        <v>351</v>
      </c>
      <c r="R585" s="2">
        <v>31242</v>
      </c>
      <c r="S585" s="2">
        <v>31242</v>
      </c>
      <c r="T585" s="2" t="s">
        <v>691</v>
      </c>
      <c r="U585" s="2" t="s">
        <v>691</v>
      </c>
      <c r="V585" s="2" t="s">
        <v>716</v>
      </c>
      <c r="W585" s="2" t="s">
        <v>691</v>
      </c>
      <c r="X585" s="2" t="s">
        <v>4347</v>
      </c>
      <c r="Y585" s="2" t="s">
        <v>4348</v>
      </c>
      <c r="Z585" s="2">
        <v>88974045</v>
      </c>
      <c r="AA585" s="2">
        <v>88974045</v>
      </c>
      <c r="AB585" s="2" t="s">
        <v>984</v>
      </c>
      <c r="AC585" s="2" t="s">
        <v>632</v>
      </c>
      <c r="AD585" s="2">
        <v>88974045</v>
      </c>
      <c r="AJ585" s="2">
        <v>88974045</v>
      </c>
      <c r="AK585" s="2">
        <v>2</v>
      </c>
      <c r="AL585" s="2" t="s">
        <v>633</v>
      </c>
      <c r="AM585" s="2">
        <v>0</v>
      </c>
      <c r="AN585" s="2">
        <v>0</v>
      </c>
      <c r="AO585" s="2">
        <v>1</v>
      </c>
      <c r="AP585" s="2">
        <v>0</v>
      </c>
      <c r="AQ585" s="2">
        <v>0</v>
      </c>
      <c r="AR585" s="2">
        <v>0</v>
      </c>
      <c r="AS585" s="2">
        <v>0</v>
      </c>
      <c r="AT585" s="2">
        <v>0</v>
      </c>
      <c r="AZ585" s="2" t="s">
        <v>4349</v>
      </c>
      <c r="BB585" s="2" t="str">
        <f>+PROPER(BD[[#This Row],[PRIMER_APELLIDO]])</f>
        <v>Orochena</v>
      </c>
    </row>
    <row r="586" spans="1:54" x14ac:dyDescent="0.25">
      <c r="A586" s="2">
        <v>585</v>
      </c>
      <c r="B586" s="2">
        <v>39902</v>
      </c>
      <c r="C586" s="2" t="s">
        <v>619</v>
      </c>
      <c r="D586" s="2" t="s">
        <v>620</v>
      </c>
      <c r="E586" s="2" t="s">
        <v>4350</v>
      </c>
      <c r="G586" s="3">
        <v>37.134246575342466</v>
      </c>
      <c r="H586" s="2" t="s">
        <v>622</v>
      </c>
      <c r="I586" s="2" t="s">
        <v>4351</v>
      </c>
      <c r="J586" s="2" t="str">
        <f>+IF(BD[[#This Row],[DEPARTAMENTO_INSS]]="MANAGUA","_01_","_02_")</f>
        <v>_02_</v>
      </c>
      <c r="K586" s="2" t="str">
        <f>+CONCATENATE(BD[[#This Row],[Columna3]],BD[[#This Row],[Columna4]],BD[[#This Row],[NOMBRE COMPLETO]])</f>
        <v>E003_02_WILBER ENRIQUE BUSTAMANTE CHAVARRIA</v>
      </c>
      <c r="L586" s="2" t="s">
        <v>3671</v>
      </c>
      <c r="M586" s="2" t="s">
        <v>1480</v>
      </c>
      <c r="N586" s="2" t="s">
        <v>289</v>
      </c>
      <c r="O586" s="2" t="s">
        <v>98</v>
      </c>
      <c r="P586" s="2" t="s">
        <v>649</v>
      </c>
      <c r="Q586" s="2" t="s">
        <v>351</v>
      </c>
      <c r="R586" s="2">
        <v>31242</v>
      </c>
      <c r="T586" s="2" t="s">
        <v>740</v>
      </c>
      <c r="V586" s="2" t="s">
        <v>740</v>
      </c>
      <c r="X586" s="2" t="s">
        <v>4352</v>
      </c>
      <c r="Z586" s="2">
        <v>84177452</v>
      </c>
      <c r="AB586" s="2" t="s">
        <v>654</v>
      </c>
      <c r="AC586" s="2" t="s">
        <v>632</v>
      </c>
      <c r="AD586" s="2">
        <v>84177452</v>
      </c>
      <c r="AJ586" s="2">
        <v>84177452</v>
      </c>
      <c r="AK586" s="2">
        <v>1</v>
      </c>
      <c r="AL586" s="2" t="s">
        <v>633</v>
      </c>
      <c r="AM586" s="2">
        <v>0</v>
      </c>
      <c r="AN586" s="2">
        <v>0</v>
      </c>
      <c r="AO586" s="2">
        <v>1</v>
      </c>
      <c r="AP586" s="2">
        <v>0</v>
      </c>
      <c r="AQ586" s="2">
        <v>0</v>
      </c>
      <c r="AR586" s="2">
        <v>0</v>
      </c>
      <c r="AS586" s="2">
        <v>0</v>
      </c>
      <c r="AT586" s="2">
        <v>0</v>
      </c>
      <c r="AZ586" s="2" t="s">
        <v>4353</v>
      </c>
      <c r="BB586" s="2" t="str">
        <f>+PROPER(BD[[#This Row],[PRIMER_APELLIDO]])</f>
        <v>Bustamante</v>
      </c>
    </row>
    <row r="587" spans="1:54" x14ac:dyDescent="0.25">
      <c r="A587" s="2">
        <v>586</v>
      </c>
      <c r="B587" s="2">
        <v>74581</v>
      </c>
      <c r="C587" s="2" t="s">
        <v>619</v>
      </c>
      <c r="D587" s="2" t="s">
        <v>620</v>
      </c>
      <c r="E587" s="2" t="s">
        <v>4354</v>
      </c>
      <c r="G587" s="3">
        <v>37.134246575342466</v>
      </c>
      <c r="H587" s="2" t="s">
        <v>622</v>
      </c>
      <c r="I587" s="2" t="s">
        <v>4355</v>
      </c>
      <c r="J587" s="2" t="str">
        <f>+IF(BD[[#This Row],[DEPARTAMENTO_INSS]]="MANAGUA","_01_","_02_")</f>
        <v>_02_</v>
      </c>
      <c r="K587" s="2" t="str">
        <f>+CONCATENATE(BD[[#This Row],[Columna3]],BD[[#This Row],[Columna4]],BD[[#This Row],[NOMBRE COMPLETO]])</f>
        <v>E003_02_MONICA ANDREA AGUILAR MARTEL</v>
      </c>
      <c r="L587" s="2" t="s">
        <v>4356</v>
      </c>
      <c r="M587" s="2" t="s">
        <v>4357</v>
      </c>
      <c r="N587" s="2" t="s">
        <v>141</v>
      </c>
      <c r="O587" s="2" t="s">
        <v>4358</v>
      </c>
      <c r="P587" s="2" t="s">
        <v>626</v>
      </c>
      <c r="Q587" s="2" t="s">
        <v>3953</v>
      </c>
      <c r="R587" s="2">
        <v>31242</v>
      </c>
      <c r="T587" s="2" t="s">
        <v>627</v>
      </c>
      <c r="V587" s="2" t="s">
        <v>627</v>
      </c>
      <c r="X587" s="2" t="s">
        <v>4359</v>
      </c>
      <c r="Z587" s="2">
        <v>77189316</v>
      </c>
      <c r="AB587" s="2" t="s">
        <v>4360</v>
      </c>
      <c r="AC587" s="2" t="s">
        <v>632</v>
      </c>
      <c r="AD587" s="2">
        <v>77189316</v>
      </c>
      <c r="AJ587" s="2">
        <v>77189316</v>
      </c>
      <c r="AK587" s="2">
        <v>1</v>
      </c>
      <c r="AL587" s="2" t="s">
        <v>633</v>
      </c>
      <c r="AM587" s="2">
        <v>0</v>
      </c>
      <c r="AN587" s="2">
        <v>0</v>
      </c>
      <c r="AO587" s="2">
        <v>1</v>
      </c>
      <c r="AP587" s="2">
        <v>0</v>
      </c>
      <c r="AQ587" s="2">
        <v>0</v>
      </c>
      <c r="AR587" s="2">
        <v>0</v>
      </c>
      <c r="AS587" s="2">
        <v>0</v>
      </c>
      <c r="AT587" s="2">
        <v>0</v>
      </c>
      <c r="AZ587" s="2" t="s">
        <v>4361</v>
      </c>
      <c r="BB587" s="2" t="str">
        <f>+PROPER(BD[[#This Row],[PRIMER_APELLIDO]])</f>
        <v>Aguilar</v>
      </c>
    </row>
    <row r="588" spans="1:54" x14ac:dyDescent="0.25">
      <c r="A588" s="2">
        <v>587</v>
      </c>
      <c r="B588" s="2">
        <v>48251</v>
      </c>
      <c r="C588" s="2" t="s">
        <v>619</v>
      </c>
      <c r="D588" s="2" t="s">
        <v>620</v>
      </c>
      <c r="E588" s="2" t="s">
        <v>4362</v>
      </c>
      <c r="F588" s="2">
        <v>25623390</v>
      </c>
      <c r="G588" s="3">
        <v>37.136986301369866</v>
      </c>
      <c r="H588" s="2" t="s">
        <v>622</v>
      </c>
      <c r="I588" s="2" t="s">
        <v>4363</v>
      </c>
      <c r="J588" s="2" t="str">
        <f>+IF(BD[[#This Row],[DEPARTAMENTO_INSS]]="MANAGUA","_01_","_02_")</f>
        <v>_02_</v>
      </c>
      <c r="K588" s="2" t="str">
        <f>+CONCATENATE(BD[[#This Row],[Columna3]],BD[[#This Row],[Columna4]],BD[[#This Row],[NOMBRE COMPLETO]])</f>
        <v>E003_02_MAYDER YAOSKA VIVAS JARQUIN</v>
      </c>
      <c r="L588" s="2" t="s">
        <v>4364</v>
      </c>
      <c r="M588" s="2" t="s">
        <v>1373</v>
      </c>
      <c r="N588" s="2" t="s">
        <v>138</v>
      </c>
      <c r="O588" s="2" t="s">
        <v>85</v>
      </c>
      <c r="P588" s="2" t="s">
        <v>626</v>
      </c>
      <c r="Q588" s="2" t="s">
        <v>351</v>
      </c>
      <c r="R588" s="2">
        <v>31241</v>
      </c>
      <c r="S588" s="2">
        <v>31241</v>
      </c>
      <c r="T588" s="2" t="s">
        <v>740</v>
      </c>
      <c r="U588" s="2" t="s">
        <v>740</v>
      </c>
      <c r="V588" s="2" t="s">
        <v>740</v>
      </c>
      <c r="W588" s="2" t="s">
        <v>740</v>
      </c>
      <c r="X588" s="2" t="s">
        <v>4365</v>
      </c>
      <c r="Y588" s="2" t="s">
        <v>4366</v>
      </c>
      <c r="AA588" s="2" t="s">
        <v>4367</v>
      </c>
      <c r="AB588" s="2" t="s">
        <v>642</v>
      </c>
      <c r="AC588" s="2" t="s">
        <v>632</v>
      </c>
      <c r="AD588" s="2">
        <v>76083576</v>
      </c>
      <c r="AJ588" s="2">
        <v>76083576</v>
      </c>
      <c r="AK588" s="2">
        <v>2</v>
      </c>
      <c r="AL588" s="2" t="s">
        <v>633</v>
      </c>
      <c r="AM588" s="2">
        <v>0</v>
      </c>
      <c r="AN588" s="2">
        <v>0</v>
      </c>
      <c r="AO588" s="2">
        <v>1</v>
      </c>
      <c r="AP588" s="2">
        <v>0</v>
      </c>
      <c r="AQ588" s="2">
        <v>0</v>
      </c>
      <c r="AR588" s="2">
        <v>0</v>
      </c>
      <c r="AS588" s="2">
        <v>0</v>
      </c>
      <c r="AT588" s="2">
        <v>0</v>
      </c>
      <c r="BB588" s="2" t="str">
        <f>+PROPER(BD[[#This Row],[PRIMER_APELLIDO]])</f>
        <v>Vivas</v>
      </c>
    </row>
    <row r="589" spans="1:54" x14ac:dyDescent="0.25">
      <c r="A589" s="2">
        <v>588</v>
      </c>
      <c r="B589" s="2">
        <v>39035</v>
      </c>
      <c r="C589" s="2" t="s">
        <v>619</v>
      </c>
      <c r="D589" s="2" t="s">
        <v>620</v>
      </c>
      <c r="E589" s="2" t="s">
        <v>4368</v>
      </c>
      <c r="F589" s="2">
        <v>23108444</v>
      </c>
      <c r="G589" s="3">
        <v>37.147945205479452</v>
      </c>
      <c r="H589" s="2" t="s">
        <v>622</v>
      </c>
      <c r="I589" s="2" t="s">
        <v>4369</v>
      </c>
      <c r="J589" s="2" t="str">
        <f>+IF(BD[[#This Row],[DEPARTAMENTO_INSS]]="MANAGUA","_01_","_02_")</f>
        <v>_02_</v>
      </c>
      <c r="K589" s="2" t="str">
        <f>+CONCATENATE(BD[[#This Row],[Columna3]],BD[[#This Row],[Columna4]],BD[[#This Row],[NOMBRE COMPLETO]])</f>
        <v>E003_02_RAQUEL DE LOS ANGELES BLAS CALERO</v>
      </c>
      <c r="L589" s="2" t="s">
        <v>2545</v>
      </c>
      <c r="M589" s="2" t="s">
        <v>683</v>
      </c>
      <c r="N589" s="2" t="s">
        <v>251</v>
      </c>
      <c r="O589" s="2" t="s">
        <v>80</v>
      </c>
      <c r="P589" s="2" t="s">
        <v>626</v>
      </c>
      <c r="Q589" s="2" t="s">
        <v>351</v>
      </c>
      <c r="R589" s="2">
        <v>31237</v>
      </c>
      <c r="S589" s="2">
        <v>31237</v>
      </c>
      <c r="T589" s="2" t="s">
        <v>133</v>
      </c>
      <c r="U589" s="2" t="s">
        <v>133</v>
      </c>
      <c r="V589" s="2" t="s">
        <v>870</v>
      </c>
      <c r="W589" s="2" t="s">
        <v>870</v>
      </c>
      <c r="X589" s="2" t="s">
        <v>4370</v>
      </c>
      <c r="Y589" s="2" t="s">
        <v>4371</v>
      </c>
      <c r="AA589" s="2">
        <v>82207118</v>
      </c>
      <c r="AB589" s="2" t="s">
        <v>642</v>
      </c>
      <c r="AC589" s="2" t="s">
        <v>632</v>
      </c>
      <c r="AD589" s="2">
        <v>82207118</v>
      </c>
      <c r="AJ589" s="2">
        <v>82207118</v>
      </c>
      <c r="AK589" s="2">
        <v>1</v>
      </c>
      <c r="AL589" s="2" t="s">
        <v>633</v>
      </c>
      <c r="AM589" s="2">
        <v>0</v>
      </c>
      <c r="AN589" s="2">
        <v>0</v>
      </c>
      <c r="AO589" s="2">
        <v>1</v>
      </c>
      <c r="AP589" s="2">
        <v>0</v>
      </c>
      <c r="AQ589" s="2">
        <v>0</v>
      </c>
      <c r="AR589" s="2">
        <v>0</v>
      </c>
      <c r="AS589" s="2">
        <v>0</v>
      </c>
      <c r="AT589" s="2">
        <v>0</v>
      </c>
      <c r="BB589" s="2" t="str">
        <f>+PROPER(BD[[#This Row],[PRIMER_APELLIDO]])</f>
        <v>Blas</v>
      </c>
    </row>
    <row r="590" spans="1:54" x14ac:dyDescent="0.25">
      <c r="A590" s="2">
        <v>589</v>
      </c>
      <c r="B590" s="2">
        <v>54419</v>
      </c>
      <c r="C590" s="2" t="s">
        <v>619</v>
      </c>
      <c r="D590" s="2" t="s">
        <v>620</v>
      </c>
      <c r="E590" s="2" t="s">
        <v>4372</v>
      </c>
      <c r="G590" s="3">
        <v>37.150684931506852</v>
      </c>
      <c r="H590" s="2" t="s">
        <v>622</v>
      </c>
      <c r="I590" s="2" t="s">
        <v>4373</v>
      </c>
      <c r="J590" s="2" t="str">
        <f>+IF(BD[[#This Row],[DEPARTAMENTO_INSS]]="MANAGUA","_01_","_02_")</f>
        <v>_02_</v>
      </c>
      <c r="K590" s="2" t="str">
        <f>+CONCATENATE(BD[[#This Row],[Columna3]],BD[[#This Row],[Columna4]],BD[[#This Row],[NOMBRE COMPLETO]])</f>
        <v>E003_02_GUADALUPE AZUCENA MONTOYA GONZALEZ</v>
      </c>
      <c r="L590" s="2" t="s">
        <v>1176</v>
      </c>
      <c r="M590" s="2" t="s">
        <v>1844</v>
      </c>
      <c r="N590" s="2" t="s">
        <v>257</v>
      </c>
      <c r="O590" s="2" t="s">
        <v>14</v>
      </c>
      <c r="P590" s="2" t="s">
        <v>626</v>
      </c>
      <c r="Q590" s="2" t="s">
        <v>351</v>
      </c>
      <c r="R590" s="2">
        <v>31236</v>
      </c>
      <c r="S590" s="2">
        <v>31236</v>
      </c>
      <c r="T590" s="2" t="s">
        <v>1104</v>
      </c>
      <c r="U590" s="2" t="s">
        <v>1104</v>
      </c>
      <c r="V590" s="2" t="s">
        <v>2858</v>
      </c>
      <c r="W590" s="2" t="s">
        <v>2859</v>
      </c>
      <c r="X590" s="2" t="s">
        <v>4374</v>
      </c>
      <c r="Y590" s="2" t="s">
        <v>4375</v>
      </c>
      <c r="Z590" s="2">
        <v>84371304</v>
      </c>
      <c r="AA590" s="2">
        <v>84371304</v>
      </c>
      <c r="AB590" s="2" t="s">
        <v>631</v>
      </c>
      <c r="AC590" s="2" t="s">
        <v>632</v>
      </c>
      <c r="AD590" s="2">
        <v>84371304</v>
      </c>
      <c r="AJ590" s="2">
        <v>84371304</v>
      </c>
      <c r="AK590" s="2">
        <v>2</v>
      </c>
      <c r="AL590" s="2" t="s">
        <v>633</v>
      </c>
      <c r="AM590" s="2">
        <v>0</v>
      </c>
      <c r="AN590" s="2">
        <v>0</v>
      </c>
      <c r="AO590" s="2">
        <v>1</v>
      </c>
      <c r="AP590" s="2">
        <v>0</v>
      </c>
      <c r="AQ590" s="2">
        <v>0</v>
      </c>
      <c r="AR590" s="2">
        <v>0</v>
      </c>
      <c r="AS590" s="2">
        <v>0</v>
      </c>
      <c r="AT590" s="2">
        <v>0</v>
      </c>
      <c r="AZ590" s="2" t="s">
        <v>4376</v>
      </c>
      <c r="BB590" s="2" t="str">
        <f>+PROPER(BD[[#This Row],[PRIMER_APELLIDO]])</f>
        <v>Montoya</v>
      </c>
    </row>
    <row r="591" spans="1:54" x14ac:dyDescent="0.25">
      <c r="A591" s="2">
        <v>590</v>
      </c>
      <c r="B591" s="2">
        <v>43162</v>
      </c>
      <c r="C591" s="2" t="s">
        <v>619</v>
      </c>
      <c r="D591" s="2" t="s">
        <v>620</v>
      </c>
      <c r="E591" s="2" t="s">
        <v>4377</v>
      </c>
      <c r="F591" s="2">
        <v>24237428</v>
      </c>
      <c r="G591" s="3">
        <v>37.153424657534245</v>
      </c>
      <c r="H591" s="2" t="s">
        <v>622</v>
      </c>
      <c r="I591" s="2" t="s">
        <v>4378</v>
      </c>
      <c r="J591" s="2" t="str">
        <f>+IF(BD[[#This Row],[DEPARTAMENTO_INSS]]="MANAGUA","_01_","_02_")</f>
        <v>_02_</v>
      </c>
      <c r="K591" s="2" t="str">
        <f>+CONCATENATE(BD[[#This Row],[Columna3]],BD[[#This Row],[Columna4]],BD[[#This Row],[NOMBRE COMPLETO]])</f>
        <v>E003_02_ANIELKA DE CONCEPCION BOLAÑOS MEZA</v>
      </c>
      <c r="L591" s="2" t="s">
        <v>723</v>
      </c>
      <c r="M591" s="2" t="s">
        <v>4379</v>
      </c>
      <c r="N591" s="2" t="s">
        <v>12</v>
      </c>
      <c r="O591" s="2" t="s">
        <v>218</v>
      </c>
      <c r="P591" s="2" t="s">
        <v>626</v>
      </c>
      <c r="Q591" s="2" t="s">
        <v>351</v>
      </c>
      <c r="R591" s="2">
        <v>31235</v>
      </c>
      <c r="S591" s="2">
        <v>31235</v>
      </c>
      <c r="T591" s="2" t="s">
        <v>732</v>
      </c>
      <c r="U591" s="2" t="s">
        <v>732</v>
      </c>
      <c r="V591" s="2" t="s">
        <v>962</v>
      </c>
      <c r="W591" s="2" t="s">
        <v>848</v>
      </c>
      <c r="X591" s="2" t="s">
        <v>4380</v>
      </c>
      <c r="Y591" s="2" t="s">
        <v>4381</v>
      </c>
      <c r="AA591" s="2" t="s">
        <v>4382</v>
      </c>
      <c r="AB591" s="2" t="s">
        <v>642</v>
      </c>
      <c r="AC591" s="2" t="s">
        <v>632</v>
      </c>
      <c r="AE591" s="2">
        <v>83259918</v>
      </c>
      <c r="AH591" s="2">
        <v>77727771</v>
      </c>
      <c r="AJ591" s="2">
        <v>83259918</v>
      </c>
      <c r="AK591" s="2">
        <v>3</v>
      </c>
      <c r="AL591" s="2" t="s">
        <v>633</v>
      </c>
      <c r="AM591" s="2">
        <v>0</v>
      </c>
      <c r="AN591" s="2">
        <v>0</v>
      </c>
      <c r="AO591" s="2">
        <v>1</v>
      </c>
      <c r="AP591" s="2">
        <v>0</v>
      </c>
      <c r="AQ591" s="2">
        <v>0</v>
      </c>
      <c r="AR591" s="2">
        <v>0</v>
      </c>
      <c r="AS591" s="2">
        <v>0</v>
      </c>
      <c r="AT591" s="2">
        <v>0</v>
      </c>
      <c r="BB591" s="2" t="str">
        <f>+PROPER(BD[[#This Row],[PRIMER_APELLIDO]])</f>
        <v>Bolaños</v>
      </c>
    </row>
    <row r="592" spans="1:54" x14ac:dyDescent="0.25">
      <c r="A592" s="2">
        <v>591</v>
      </c>
      <c r="B592" s="2">
        <v>43530</v>
      </c>
      <c r="C592" s="2" t="s">
        <v>619</v>
      </c>
      <c r="D592" s="2" t="s">
        <v>620</v>
      </c>
      <c r="E592" s="2" t="s">
        <v>4383</v>
      </c>
      <c r="F592" s="2">
        <v>24236272</v>
      </c>
      <c r="G592" s="3">
        <v>37.153424657534245</v>
      </c>
      <c r="H592" s="2" t="s">
        <v>622</v>
      </c>
      <c r="I592" s="2" t="s">
        <v>4384</v>
      </c>
      <c r="J592" s="2" t="str">
        <f>+IF(BD[[#This Row],[DEPARTAMENTO_INSS]]="MANAGUA","_01_","_02_")</f>
        <v>_02_</v>
      </c>
      <c r="K592" s="2" t="str">
        <f>+CONCATENATE(BD[[#This Row],[Columna3]],BD[[#This Row],[Columna4]],BD[[#This Row],[NOMBRE COMPLETO]])</f>
        <v>E003_02_VILMA MERCEDES CABALLERO REAL</v>
      </c>
      <c r="L592" s="2" t="s">
        <v>4385</v>
      </c>
      <c r="M592" s="2" t="s">
        <v>769</v>
      </c>
      <c r="N592" s="2" t="s">
        <v>302</v>
      </c>
      <c r="O592" s="2" t="s">
        <v>4386</v>
      </c>
      <c r="P592" s="2" t="s">
        <v>626</v>
      </c>
      <c r="Q592" s="2" t="s">
        <v>351</v>
      </c>
      <c r="R592" s="2">
        <v>31235</v>
      </c>
      <c r="S592" s="2">
        <v>31235</v>
      </c>
      <c r="T592" s="2" t="s">
        <v>176</v>
      </c>
      <c r="U592" s="2" t="s">
        <v>176</v>
      </c>
      <c r="V592" s="2" t="s">
        <v>650</v>
      </c>
      <c r="W592" s="2" t="s">
        <v>997</v>
      </c>
      <c r="Y592" s="2" t="s">
        <v>4387</v>
      </c>
      <c r="AA592" s="2">
        <v>84367337</v>
      </c>
      <c r="AB592" s="2" t="s">
        <v>642</v>
      </c>
      <c r="AC592" s="2" t="s">
        <v>632</v>
      </c>
      <c r="AD592" s="2">
        <v>84367337</v>
      </c>
      <c r="AJ592" s="2">
        <v>84367337</v>
      </c>
      <c r="AK592" s="2">
        <v>1</v>
      </c>
      <c r="AL592" s="2" t="s">
        <v>633</v>
      </c>
      <c r="AM592" s="2">
        <v>0</v>
      </c>
      <c r="AN592" s="2">
        <v>0</v>
      </c>
      <c r="AO592" s="2">
        <v>1</v>
      </c>
      <c r="AP592" s="2">
        <v>0</v>
      </c>
      <c r="AQ592" s="2">
        <v>0</v>
      </c>
      <c r="AR592" s="2">
        <v>0</v>
      </c>
      <c r="AS592" s="2">
        <v>0</v>
      </c>
      <c r="AT592" s="2">
        <v>0</v>
      </c>
      <c r="BB592" s="2" t="str">
        <f>+PROPER(BD[[#This Row],[PRIMER_APELLIDO]])</f>
        <v>Caballero</v>
      </c>
    </row>
    <row r="593" spans="1:54" x14ac:dyDescent="0.25">
      <c r="A593" s="2">
        <v>592</v>
      </c>
      <c r="B593" s="2">
        <v>41557</v>
      </c>
      <c r="C593" s="2" t="s">
        <v>619</v>
      </c>
      <c r="D593" s="2" t="s">
        <v>620</v>
      </c>
      <c r="E593" s="2" t="s">
        <v>4388</v>
      </c>
      <c r="F593" s="2">
        <v>26199687</v>
      </c>
      <c r="G593" s="3">
        <v>37.156164383561645</v>
      </c>
      <c r="H593" s="2" t="s">
        <v>622</v>
      </c>
      <c r="I593" s="2" t="s">
        <v>4389</v>
      </c>
      <c r="J593" s="2" t="str">
        <f>+IF(BD[[#This Row],[DEPARTAMENTO_INSS]]="MANAGUA","_01_","_02_")</f>
        <v>_01_</v>
      </c>
      <c r="K593" s="2" t="str">
        <f>+CONCATENATE(BD[[#This Row],[Columna3]],BD[[#This Row],[Columna4]],BD[[#This Row],[NOMBRE COMPLETO]])</f>
        <v>E003_01_ALVARO JOSE GUADAMUZ CRUZ</v>
      </c>
      <c r="L593" s="2" t="s">
        <v>1156</v>
      </c>
      <c r="M593" s="2" t="s">
        <v>243</v>
      </c>
      <c r="N593" s="2" t="s">
        <v>285</v>
      </c>
      <c r="O593" s="2" t="s">
        <v>32</v>
      </c>
      <c r="P593" s="2" t="s">
        <v>649</v>
      </c>
      <c r="Q593" s="2" t="s">
        <v>351</v>
      </c>
      <c r="R593" s="2">
        <v>31234</v>
      </c>
      <c r="S593" s="2">
        <v>31234</v>
      </c>
      <c r="T593" s="2" t="s">
        <v>627</v>
      </c>
      <c r="U593" s="2" t="s">
        <v>627</v>
      </c>
      <c r="V593" s="2" t="s">
        <v>627</v>
      </c>
      <c r="W593" s="2" t="s">
        <v>627</v>
      </c>
      <c r="X593" s="2" t="s">
        <v>4390</v>
      </c>
      <c r="Y593" s="2" t="s">
        <v>4391</v>
      </c>
      <c r="Z593" s="2">
        <v>88736826</v>
      </c>
      <c r="AA593" s="2">
        <v>88736826</v>
      </c>
      <c r="AB593" s="2" t="s">
        <v>654</v>
      </c>
      <c r="AC593" s="2" t="s">
        <v>632</v>
      </c>
      <c r="AD593" s="2">
        <v>88736826</v>
      </c>
      <c r="AJ593" s="2">
        <v>88736826</v>
      </c>
      <c r="AK593" s="2">
        <v>2</v>
      </c>
      <c r="AL593" s="2" t="s">
        <v>633</v>
      </c>
      <c r="AM593" s="2">
        <v>0</v>
      </c>
      <c r="AN593" s="2">
        <v>0</v>
      </c>
      <c r="AO593" s="2">
        <v>1</v>
      </c>
      <c r="AP593" s="2">
        <v>0</v>
      </c>
      <c r="AQ593" s="2">
        <v>0</v>
      </c>
      <c r="AR593" s="2">
        <v>0</v>
      </c>
      <c r="AS593" s="2">
        <v>0</v>
      </c>
      <c r="AT593" s="2">
        <v>0</v>
      </c>
      <c r="BB593" s="2" t="str">
        <f>+PROPER(BD[[#This Row],[PRIMER_APELLIDO]])</f>
        <v>Guadamuz</v>
      </c>
    </row>
    <row r="594" spans="1:54" x14ac:dyDescent="0.25">
      <c r="A594" s="2">
        <v>593</v>
      </c>
      <c r="B594" s="2">
        <v>48012</v>
      </c>
      <c r="C594" s="2" t="s">
        <v>619</v>
      </c>
      <c r="D594" s="2" t="s">
        <v>620</v>
      </c>
      <c r="E594" s="2" t="s">
        <v>4392</v>
      </c>
      <c r="F594" s="2">
        <v>25021868</v>
      </c>
      <c r="G594" s="3">
        <v>37.158904109589038</v>
      </c>
      <c r="H594" s="2" t="s">
        <v>622</v>
      </c>
      <c r="I594" s="2" t="s">
        <v>4393</v>
      </c>
      <c r="J594" s="2" t="str">
        <f>+IF(BD[[#This Row],[DEPARTAMENTO_INSS]]="MANAGUA","_01_","_02_")</f>
        <v>_02_</v>
      </c>
      <c r="K594" s="2" t="str">
        <f>+CONCATENATE(BD[[#This Row],[Columna3]],BD[[#This Row],[Columna4]],BD[[#This Row],[NOMBRE COMPLETO]])</f>
        <v>E003_02_CARLOS ANDRES RAMIREZ CASTRO</v>
      </c>
      <c r="L594" s="2" t="s">
        <v>826</v>
      </c>
      <c r="M594" s="2" t="s">
        <v>953</v>
      </c>
      <c r="N594" s="2" t="s">
        <v>38</v>
      </c>
      <c r="O594" s="2" t="s">
        <v>163</v>
      </c>
      <c r="P594" s="2" t="s">
        <v>649</v>
      </c>
      <c r="Q594" s="2" t="s">
        <v>351</v>
      </c>
      <c r="R594" s="2">
        <v>31233</v>
      </c>
      <c r="S594" s="2">
        <v>31233</v>
      </c>
      <c r="T594" s="2" t="s">
        <v>1005</v>
      </c>
      <c r="U594" s="2" t="s">
        <v>1005</v>
      </c>
      <c r="V594" s="2" t="s">
        <v>1674</v>
      </c>
      <c r="W594" s="2" t="s">
        <v>1674</v>
      </c>
      <c r="X594" s="2" t="s">
        <v>4394</v>
      </c>
      <c r="Y594" s="2" t="s">
        <v>4395</v>
      </c>
      <c r="Z594" s="2" t="s">
        <v>4396</v>
      </c>
      <c r="AA594" s="2">
        <v>86061708</v>
      </c>
      <c r="AB594" s="2" t="s">
        <v>798</v>
      </c>
      <c r="AC594" s="2" t="s">
        <v>632</v>
      </c>
      <c r="AD594" s="2">
        <v>81121337</v>
      </c>
      <c r="AE594" s="2">
        <v>86061708</v>
      </c>
      <c r="AJ594" s="2">
        <v>81121337</v>
      </c>
      <c r="AK594" s="2">
        <v>3</v>
      </c>
      <c r="AL594" s="2" t="s">
        <v>633</v>
      </c>
      <c r="AM594" s="2">
        <v>0</v>
      </c>
      <c r="AN594" s="2">
        <v>0</v>
      </c>
      <c r="AO594" s="2">
        <v>1</v>
      </c>
      <c r="AP594" s="2">
        <v>0</v>
      </c>
      <c r="AQ594" s="2">
        <v>0</v>
      </c>
      <c r="AR594" s="2">
        <v>0</v>
      </c>
      <c r="AS594" s="2">
        <v>0</v>
      </c>
      <c r="AT594" s="2">
        <v>0</v>
      </c>
      <c r="BB594" s="2" t="str">
        <f>+PROPER(BD[[#This Row],[PRIMER_APELLIDO]])</f>
        <v>Ramirez</v>
      </c>
    </row>
    <row r="595" spans="1:54" x14ac:dyDescent="0.25">
      <c r="A595" s="2">
        <v>594</v>
      </c>
      <c r="B595" s="2">
        <v>56678</v>
      </c>
      <c r="C595" s="2" t="s">
        <v>619</v>
      </c>
      <c r="D595" s="2" t="s">
        <v>620</v>
      </c>
      <c r="E595" s="2" t="s">
        <v>4397</v>
      </c>
      <c r="G595" s="3">
        <v>37.164383561643838</v>
      </c>
      <c r="H595" s="2" t="s">
        <v>622</v>
      </c>
      <c r="I595" s="2" t="s">
        <v>4398</v>
      </c>
      <c r="J595" s="2" t="str">
        <f>+IF(BD[[#This Row],[DEPARTAMENTO_INSS]]="MANAGUA","_01_","_02_")</f>
        <v>_02_</v>
      </c>
      <c r="K595" s="2" t="str">
        <f>+CONCATENATE(BD[[#This Row],[Columna3]],BD[[#This Row],[Columna4]],BD[[#This Row],[NOMBRE COMPLETO]])</f>
        <v>E003_02_DANIESKA MARITZA HERNANDEZ</v>
      </c>
      <c r="L595" s="2" t="s">
        <v>4399</v>
      </c>
      <c r="M595" s="2" t="s">
        <v>4400</v>
      </c>
      <c r="N595" s="2" t="s">
        <v>11</v>
      </c>
      <c r="P595" s="2" t="s">
        <v>626</v>
      </c>
      <c r="Q595" s="2" t="s">
        <v>351</v>
      </c>
      <c r="R595" s="2">
        <v>31231</v>
      </c>
      <c r="S595" s="2">
        <v>31231</v>
      </c>
      <c r="T595" s="2" t="s">
        <v>176</v>
      </c>
      <c r="U595" s="2" t="s">
        <v>176</v>
      </c>
      <c r="V595" s="2" t="s">
        <v>650</v>
      </c>
      <c r="W595" s="2" t="s">
        <v>176</v>
      </c>
      <c r="X595" s="2" t="s">
        <v>4401</v>
      </c>
      <c r="Y595" s="2" t="s">
        <v>4402</v>
      </c>
      <c r="Z595" s="2">
        <v>84194513</v>
      </c>
      <c r="AA595" s="2">
        <v>83301577</v>
      </c>
      <c r="AB595" s="2" t="s">
        <v>631</v>
      </c>
      <c r="AC595" s="2" t="s">
        <v>632</v>
      </c>
      <c r="AD595" s="2">
        <v>84194513</v>
      </c>
      <c r="AF595" s="2">
        <v>83301577</v>
      </c>
      <c r="AJ595" s="2">
        <v>84194513</v>
      </c>
      <c r="AK595" s="2">
        <v>2</v>
      </c>
      <c r="AL595" s="2" t="s">
        <v>633</v>
      </c>
      <c r="AM595" s="2">
        <v>0</v>
      </c>
      <c r="AN595" s="2">
        <v>0</v>
      </c>
      <c r="AO595" s="2">
        <v>1</v>
      </c>
      <c r="AP595" s="2">
        <v>0</v>
      </c>
      <c r="AQ595" s="2">
        <v>0</v>
      </c>
      <c r="AR595" s="2">
        <v>0</v>
      </c>
      <c r="AS595" s="2">
        <v>0</v>
      </c>
      <c r="AT595" s="2">
        <v>0</v>
      </c>
      <c r="BB595" s="2" t="str">
        <f>+PROPER(BD[[#This Row],[PRIMER_APELLIDO]])</f>
        <v>Hernandez</v>
      </c>
    </row>
    <row r="596" spans="1:54" x14ac:dyDescent="0.25">
      <c r="A596" s="2">
        <v>595</v>
      </c>
      <c r="B596" s="2">
        <v>34226</v>
      </c>
      <c r="C596" s="2" t="s">
        <v>619</v>
      </c>
      <c r="D596" s="2" t="s">
        <v>620</v>
      </c>
      <c r="E596" s="2" t="s">
        <v>4403</v>
      </c>
      <c r="F596" s="2">
        <v>24542120</v>
      </c>
      <c r="G596" s="3">
        <v>37.175342465753424</v>
      </c>
      <c r="H596" s="2" t="s">
        <v>622</v>
      </c>
      <c r="I596" s="2" t="s">
        <v>4404</v>
      </c>
      <c r="J596" s="2" t="str">
        <f>+IF(BD[[#This Row],[DEPARTAMENTO_INSS]]="MANAGUA","_01_","_02_")</f>
        <v>_01_</v>
      </c>
      <c r="K596" s="2" t="str">
        <f>+CONCATENATE(BD[[#This Row],[Columna3]],BD[[#This Row],[Columna4]],BD[[#This Row],[NOMBRE COMPLETO]])</f>
        <v>E003_01_JAVIER ALEJANDRO MURILLO RODRIGUEZ</v>
      </c>
      <c r="L596" s="2" t="s">
        <v>975</v>
      </c>
      <c r="M596" s="2" t="s">
        <v>1554</v>
      </c>
      <c r="N596" s="2" t="s">
        <v>118</v>
      </c>
      <c r="O596" s="2" t="s">
        <v>185</v>
      </c>
      <c r="P596" s="2" t="s">
        <v>649</v>
      </c>
      <c r="Q596" s="2" t="s">
        <v>351</v>
      </c>
      <c r="R596" s="2">
        <v>31227</v>
      </c>
      <c r="S596" s="2">
        <v>31227</v>
      </c>
      <c r="T596" s="2" t="s">
        <v>176</v>
      </c>
      <c r="U596" s="2" t="s">
        <v>627</v>
      </c>
      <c r="V596" s="2" t="s">
        <v>650</v>
      </c>
      <c r="W596" s="2" t="s">
        <v>627</v>
      </c>
      <c r="X596" s="2" t="s">
        <v>4405</v>
      </c>
      <c r="Y596" s="2" t="s">
        <v>4406</v>
      </c>
      <c r="AA596" s="2">
        <v>23192341</v>
      </c>
      <c r="AB596" s="2" t="s">
        <v>654</v>
      </c>
      <c r="AC596" s="2" t="s">
        <v>632</v>
      </c>
      <c r="AK596" s="2">
        <v>1</v>
      </c>
      <c r="AL596" s="2" t="s">
        <v>633</v>
      </c>
      <c r="AM596" s="2">
        <v>0</v>
      </c>
      <c r="AN596" s="2">
        <v>0</v>
      </c>
      <c r="AO596" s="2">
        <v>1</v>
      </c>
      <c r="AP596" s="2">
        <v>0</v>
      </c>
      <c r="AQ596" s="2">
        <v>0</v>
      </c>
      <c r="AR596" s="2">
        <v>0</v>
      </c>
      <c r="AS596" s="2">
        <v>0</v>
      </c>
      <c r="AT596" s="2">
        <v>0</v>
      </c>
      <c r="BB596" s="2" t="str">
        <f>+PROPER(BD[[#This Row],[PRIMER_APELLIDO]])</f>
        <v>Murillo</v>
      </c>
    </row>
    <row r="597" spans="1:54" x14ac:dyDescent="0.25">
      <c r="A597" s="2">
        <v>596</v>
      </c>
      <c r="B597" s="2">
        <v>61788</v>
      </c>
      <c r="C597" s="2" t="s">
        <v>619</v>
      </c>
      <c r="D597" s="2" t="s">
        <v>620</v>
      </c>
      <c r="E597" s="2" t="s">
        <v>4407</v>
      </c>
      <c r="G597" s="3">
        <v>37.175342465753424</v>
      </c>
      <c r="H597" s="2" t="s">
        <v>622</v>
      </c>
      <c r="I597" s="2" t="s">
        <v>4408</v>
      </c>
      <c r="J597" s="2" t="str">
        <f>+IF(BD[[#This Row],[DEPARTAMENTO_INSS]]="MANAGUA","_01_","_02_")</f>
        <v>_02_</v>
      </c>
      <c r="K597" s="2" t="str">
        <f>+CONCATENATE(BD[[#This Row],[Columna3]],BD[[#This Row],[Columna4]],BD[[#This Row],[NOMBRE COMPLETO]])</f>
        <v>E003_02_TANIA AIMARA RUGAMA RUIZ</v>
      </c>
      <c r="L597" s="2" t="s">
        <v>2305</v>
      </c>
      <c r="M597" s="2" t="s">
        <v>4409</v>
      </c>
      <c r="N597" s="2" t="s">
        <v>182</v>
      </c>
      <c r="O597" s="2" t="s">
        <v>84</v>
      </c>
      <c r="P597" s="2" t="s">
        <v>626</v>
      </c>
      <c r="Q597" s="2" t="s">
        <v>351</v>
      </c>
      <c r="R597" s="2">
        <v>31227</v>
      </c>
      <c r="S597" s="2">
        <v>31227</v>
      </c>
      <c r="T597" s="2" t="s">
        <v>659</v>
      </c>
      <c r="U597" s="2" t="s">
        <v>691</v>
      </c>
      <c r="V597" s="2" t="s">
        <v>659</v>
      </c>
      <c r="W597" s="2" t="s">
        <v>691</v>
      </c>
      <c r="X597" s="2" t="s">
        <v>4410</v>
      </c>
      <c r="Y597" s="2" t="s">
        <v>4411</v>
      </c>
      <c r="Z597" s="2">
        <v>87290030</v>
      </c>
      <c r="AA597" s="2">
        <v>87290030</v>
      </c>
      <c r="AB597" s="2" t="s">
        <v>631</v>
      </c>
      <c r="AC597" s="2" t="s">
        <v>632</v>
      </c>
      <c r="AD597" s="2">
        <v>87290030</v>
      </c>
      <c r="AJ597" s="2">
        <v>87290030</v>
      </c>
      <c r="AK597" s="2">
        <v>2</v>
      </c>
      <c r="AL597" s="2" t="s">
        <v>633</v>
      </c>
      <c r="AM597" s="2">
        <v>0</v>
      </c>
      <c r="AN597" s="2">
        <v>0</v>
      </c>
      <c r="AO597" s="2">
        <v>1</v>
      </c>
      <c r="AP597" s="2">
        <v>0</v>
      </c>
      <c r="AQ597" s="2">
        <v>0</v>
      </c>
      <c r="AR597" s="2">
        <v>0</v>
      </c>
      <c r="AS597" s="2">
        <v>0</v>
      </c>
      <c r="AT597" s="2">
        <v>0</v>
      </c>
      <c r="AZ597" s="2" t="s">
        <v>4412</v>
      </c>
      <c r="BB597" s="2" t="str">
        <f>+PROPER(BD[[#This Row],[PRIMER_APELLIDO]])</f>
        <v>Rugama</v>
      </c>
    </row>
    <row r="598" spans="1:54" x14ac:dyDescent="0.25">
      <c r="A598" s="2">
        <v>597</v>
      </c>
      <c r="B598" s="2">
        <v>28984</v>
      </c>
      <c r="C598" s="2" t="s">
        <v>619</v>
      </c>
      <c r="D598" s="2" t="s">
        <v>620</v>
      </c>
      <c r="E598" s="2" t="s">
        <v>4413</v>
      </c>
      <c r="F598" s="2">
        <v>22211286</v>
      </c>
      <c r="G598" s="3">
        <v>37.186301369863017</v>
      </c>
      <c r="H598" s="2" t="s">
        <v>622</v>
      </c>
      <c r="I598" s="2" t="s">
        <v>4414</v>
      </c>
      <c r="J598" s="2" t="str">
        <f>+IF(BD[[#This Row],[DEPARTAMENTO_INSS]]="MANAGUA","_01_","_02_")</f>
        <v>_01_</v>
      </c>
      <c r="K598" s="2" t="str">
        <f>+CONCATENATE(BD[[#This Row],[Columna3]],BD[[#This Row],[Columna4]],BD[[#This Row],[NOMBRE COMPLETO]])</f>
        <v>E003_01_XOCHILT ESTEYLING LÓPEZ LARIOS</v>
      </c>
      <c r="L598" s="2" t="s">
        <v>1935</v>
      </c>
      <c r="M598" s="2" t="s">
        <v>4415</v>
      </c>
      <c r="N598" s="2" t="s">
        <v>244</v>
      </c>
      <c r="O598" s="2" t="s">
        <v>512</v>
      </c>
      <c r="P598" s="2" t="s">
        <v>626</v>
      </c>
      <c r="Q598" s="2" t="s">
        <v>351</v>
      </c>
      <c r="R598" s="2">
        <v>31223</v>
      </c>
      <c r="S598" s="2">
        <v>31223</v>
      </c>
      <c r="T598" s="2" t="s">
        <v>627</v>
      </c>
      <c r="U598" s="2" t="s">
        <v>627</v>
      </c>
      <c r="V598" s="2" t="s">
        <v>627</v>
      </c>
      <c r="W598" s="2" t="s">
        <v>627</v>
      </c>
      <c r="X598" s="2" t="s">
        <v>4416</v>
      </c>
      <c r="Y598" s="2" t="s">
        <v>4417</v>
      </c>
      <c r="Z598" s="2">
        <v>81988365</v>
      </c>
      <c r="AA598" s="2" t="s">
        <v>4418</v>
      </c>
      <c r="AB598" s="2" t="s">
        <v>894</v>
      </c>
      <c r="AC598" s="2" t="s">
        <v>632</v>
      </c>
      <c r="AD598" s="2">
        <v>81988365</v>
      </c>
      <c r="AE598" s="2">
        <v>88299080</v>
      </c>
      <c r="AF598" s="2">
        <v>84251225</v>
      </c>
      <c r="AJ598" s="2">
        <v>81988365</v>
      </c>
      <c r="AK598" s="2">
        <v>3</v>
      </c>
      <c r="AL598" s="2" t="s">
        <v>633</v>
      </c>
      <c r="AM598" s="2">
        <v>0</v>
      </c>
      <c r="AN598" s="2">
        <v>0</v>
      </c>
      <c r="AO598" s="2">
        <v>1</v>
      </c>
      <c r="AP598" s="2">
        <v>0</v>
      </c>
      <c r="AQ598" s="2">
        <v>0</v>
      </c>
      <c r="AR598" s="2">
        <v>0</v>
      </c>
      <c r="AS598" s="2">
        <v>0</v>
      </c>
      <c r="AT598" s="2">
        <v>0</v>
      </c>
      <c r="AZ598" s="2" t="s">
        <v>4419</v>
      </c>
      <c r="BA598" s="2" t="s">
        <v>4420</v>
      </c>
      <c r="BB598" s="2" t="str">
        <f>+PROPER(BD[[#This Row],[PRIMER_APELLIDO]])</f>
        <v>López</v>
      </c>
    </row>
    <row r="599" spans="1:54" x14ac:dyDescent="0.25">
      <c r="A599" s="2">
        <v>598</v>
      </c>
      <c r="B599" s="2">
        <v>40642</v>
      </c>
      <c r="C599" s="2" t="s">
        <v>619</v>
      </c>
      <c r="D599" s="2" t="s">
        <v>620</v>
      </c>
      <c r="E599" s="2" t="s">
        <v>4421</v>
      </c>
      <c r="F599" s="2">
        <v>27468933</v>
      </c>
      <c r="G599" s="3">
        <v>37.18904109589041</v>
      </c>
      <c r="H599" s="2" t="s">
        <v>622</v>
      </c>
      <c r="I599" s="2" t="s">
        <v>4422</v>
      </c>
      <c r="J599" s="2" t="str">
        <f>+IF(BD[[#This Row],[DEPARTAMENTO_INSS]]="MANAGUA","_01_","_02_")</f>
        <v>_01_</v>
      </c>
      <c r="K599" s="2" t="str">
        <f>+CONCATENATE(BD[[#This Row],[Columna3]],BD[[#This Row],[Columna4]],BD[[#This Row],[NOMBRE COMPLETO]])</f>
        <v>E003_01_DIANA MARIA PEREZ TIJERINO</v>
      </c>
      <c r="L599" s="2" t="s">
        <v>1457</v>
      </c>
      <c r="M599" s="2" t="s">
        <v>724</v>
      </c>
      <c r="N599" s="2" t="s">
        <v>24</v>
      </c>
      <c r="O599" s="2" t="s">
        <v>431</v>
      </c>
      <c r="P599" s="2" t="s">
        <v>626</v>
      </c>
      <c r="Q599" s="2" t="s">
        <v>351</v>
      </c>
      <c r="R599" s="2">
        <v>31222</v>
      </c>
      <c r="S599" s="2">
        <v>31222</v>
      </c>
      <c r="T599" s="2" t="s">
        <v>627</v>
      </c>
      <c r="U599" s="2" t="s">
        <v>627</v>
      </c>
      <c r="V599" s="2" t="s">
        <v>627</v>
      </c>
      <c r="W599" s="2" t="s">
        <v>627</v>
      </c>
      <c r="X599" s="2" t="s">
        <v>4423</v>
      </c>
      <c r="Y599" s="2" t="s">
        <v>4424</v>
      </c>
      <c r="AA599" s="2">
        <v>88642123</v>
      </c>
      <c r="AB599" s="2" t="s">
        <v>642</v>
      </c>
      <c r="AC599" s="2" t="s">
        <v>632</v>
      </c>
      <c r="AD599" s="2">
        <v>88642123</v>
      </c>
      <c r="AJ599" s="2">
        <v>88642123</v>
      </c>
      <c r="AK599" s="2">
        <v>1</v>
      </c>
      <c r="AL599" s="2" t="s">
        <v>633</v>
      </c>
      <c r="AM599" s="2">
        <v>0</v>
      </c>
      <c r="AN599" s="2">
        <v>0</v>
      </c>
      <c r="AO599" s="2">
        <v>1</v>
      </c>
      <c r="AP599" s="2">
        <v>0</v>
      </c>
      <c r="AQ599" s="2">
        <v>0</v>
      </c>
      <c r="AR599" s="2">
        <v>0</v>
      </c>
      <c r="AS599" s="2">
        <v>0</v>
      </c>
      <c r="AT599" s="2">
        <v>0</v>
      </c>
      <c r="BB599" s="2" t="str">
        <f>+PROPER(BD[[#This Row],[PRIMER_APELLIDO]])</f>
        <v>Perez</v>
      </c>
    </row>
    <row r="600" spans="1:54" x14ac:dyDescent="0.25">
      <c r="A600" s="2">
        <v>599</v>
      </c>
      <c r="B600" s="2">
        <v>55814</v>
      </c>
      <c r="C600" s="2" t="s">
        <v>619</v>
      </c>
      <c r="D600" s="2" t="s">
        <v>620</v>
      </c>
      <c r="E600" s="2" t="s">
        <v>4425</v>
      </c>
      <c r="G600" s="3">
        <v>37.18904109589041</v>
      </c>
      <c r="H600" s="2" t="s">
        <v>622</v>
      </c>
      <c r="I600" s="2" t="s">
        <v>4426</v>
      </c>
      <c r="J600" s="2" t="str">
        <f>+IF(BD[[#This Row],[DEPARTAMENTO_INSS]]="MANAGUA","_01_","_02_")</f>
        <v>_02_</v>
      </c>
      <c r="K600" s="2" t="str">
        <f>+CONCATENATE(BD[[#This Row],[Columna3]],BD[[#This Row],[Columna4]],BD[[#This Row],[NOMBRE COMPLETO]])</f>
        <v>E003_02_JUAN RAMON HERNANDEZ GUZMAN</v>
      </c>
      <c r="L600" s="2" t="s">
        <v>825</v>
      </c>
      <c r="M600" s="2" t="s">
        <v>3218</v>
      </c>
      <c r="N600" s="2" t="s">
        <v>11</v>
      </c>
      <c r="O600" s="2" t="s">
        <v>3647</v>
      </c>
      <c r="P600" s="2" t="s">
        <v>649</v>
      </c>
      <c r="Q600" s="2" t="s">
        <v>351</v>
      </c>
      <c r="R600" s="2">
        <v>31222</v>
      </c>
      <c r="S600" s="2">
        <v>31222</v>
      </c>
      <c r="T600" s="2" t="s">
        <v>732</v>
      </c>
      <c r="U600" s="2" t="s">
        <v>1005</v>
      </c>
      <c r="V600" s="2" t="s">
        <v>962</v>
      </c>
      <c r="W600" s="2" t="s">
        <v>1006</v>
      </c>
      <c r="X600" s="2" t="s">
        <v>4427</v>
      </c>
      <c r="Y600" s="2" t="s">
        <v>4428</v>
      </c>
      <c r="Z600" s="2" t="s">
        <v>4429</v>
      </c>
      <c r="AA600" s="2">
        <v>27922298</v>
      </c>
      <c r="AB600" s="2" t="s">
        <v>798</v>
      </c>
      <c r="AC600" s="2" t="s">
        <v>632</v>
      </c>
      <c r="AD600" s="2">
        <v>81110140</v>
      </c>
      <c r="AE600" s="2">
        <v>86222439</v>
      </c>
      <c r="AJ600" s="2">
        <v>81110140</v>
      </c>
      <c r="AK600" s="2">
        <v>3</v>
      </c>
      <c r="AL600" s="2" t="s">
        <v>633</v>
      </c>
      <c r="AM600" s="2">
        <v>0</v>
      </c>
      <c r="AN600" s="2">
        <v>0</v>
      </c>
      <c r="AO600" s="2">
        <v>1</v>
      </c>
      <c r="AP600" s="2">
        <v>0</v>
      </c>
      <c r="AQ600" s="2">
        <v>0</v>
      </c>
      <c r="AR600" s="2">
        <v>0</v>
      </c>
      <c r="AS600" s="2">
        <v>0</v>
      </c>
      <c r="AT600" s="2">
        <v>0</v>
      </c>
      <c r="BB600" s="2" t="str">
        <f>+PROPER(BD[[#This Row],[PRIMER_APELLIDO]])</f>
        <v>Hernandez</v>
      </c>
    </row>
    <row r="601" spans="1:54" x14ac:dyDescent="0.25">
      <c r="A601" s="2">
        <v>600</v>
      </c>
      <c r="B601" s="2">
        <v>28969</v>
      </c>
      <c r="C601" s="2" t="s">
        <v>619</v>
      </c>
      <c r="D601" s="2" t="s">
        <v>620</v>
      </c>
      <c r="E601" s="2" t="s">
        <v>4430</v>
      </c>
      <c r="F601" s="2">
        <v>22992309</v>
      </c>
      <c r="G601" s="3">
        <v>37.197260273972603</v>
      </c>
      <c r="H601" s="2" t="s">
        <v>622</v>
      </c>
      <c r="I601" s="2" t="s">
        <v>4431</v>
      </c>
      <c r="J601" s="2" t="str">
        <f>+IF(BD[[#This Row],[DEPARTAMENTO_INSS]]="MANAGUA","_01_","_02_")</f>
        <v>_02_</v>
      </c>
      <c r="K601" s="2" t="str">
        <f>+CONCATENATE(BD[[#This Row],[Columna3]],BD[[#This Row],[Columna4]],BD[[#This Row],[NOMBRE COMPLETO]])</f>
        <v>E003_02_LIDIA RACHE RAMIREZ BALLADARES</v>
      </c>
      <c r="L601" s="2" t="s">
        <v>4432</v>
      </c>
      <c r="M601" s="2" t="s">
        <v>4433</v>
      </c>
      <c r="N601" s="2" t="s">
        <v>38</v>
      </c>
      <c r="O601" s="2" t="s">
        <v>328</v>
      </c>
      <c r="P601" s="2" t="s">
        <v>626</v>
      </c>
      <c r="Q601" s="2" t="s">
        <v>351</v>
      </c>
      <c r="R601" s="2">
        <v>31219</v>
      </c>
      <c r="S601" s="2">
        <v>31219</v>
      </c>
      <c r="T601" s="2" t="s">
        <v>780</v>
      </c>
      <c r="U601" s="2" t="s">
        <v>1191</v>
      </c>
      <c r="V601" s="2" t="s">
        <v>781</v>
      </c>
      <c r="W601" s="2" t="s">
        <v>1300</v>
      </c>
      <c r="X601" s="2" t="s">
        <v>4434</v>
      </c>
      <c r="Y601" s="2" t="s">
        <v>4435</v>
      </c>
      <c r="Z601" s="2">
        <v>84929884</v>
      </c>
      <c r="AA601" s="2">
        <v>84929884</v>
      </c>
      <c r="AB601" s="2" t="s">
        <v>2278</v>
      </c>
      <c r="AC601" s="2" t="s">
        <v>632</v>
      </c>
      <c r="AD601" s="2">
        <v>84929884</v>
      </c>
      <c r="AJ601" s="2">
        <v>84929884</v>
      </c>
      <c r="AK601" s="2">
        <v>2</v>
      </c>
      <c r="AL601" s="2" t="s">
        <v>633</v>
      </c>
      <c r="AM601" s="2">
        <v>0</v>
      </c>
      <c r="AN601" s="2">
        <v>0</v>
      </c>
      <c r="AO601" s="2">
        <v>1</v>
      </c>
      <c r="AP601" s="2">
        <v>0</v>
      </c>
      <c r="AQ601" s="2">
        <v>0</v>
      </c>
      <c r="AR601" s="2">
        <v>0</v>
      </c>
      <c r="AS601" s="2">
        <v>0</v>
      </c>
      <c r="AT601" s="2">
        <v>0</v>
      </c>
      <c r="AZ601" s="2" t="s">
        <v>2843</v>
      </c>
      <c r="BB601" s="2" t="str">
        <f>+PROPER(BD[[#This Row],[PRIMER_APELLIDO]])</f>
        <v>Ramirez</v>
      </c>
    </row>
    <row r="602" spans="1:54" x14ac:dyDescent="0.25">
      <c r="A602" s="2">
        <v>601</v>
      </c>
      <c r="B602" s="2">
        <v>48668</v>
      </c>
      <c r="C602" s="2" t="s">
        <v>619</v>
      </c>
      <c r="D602" s="2" t="s">
        <v>620</v>
      </c>
      <c r="E602" s="2" t="s">
        <v>4436</v>
      </c>
      <c r="F602" s="2">
        <v>31373210</v>
      </c>
      <c r="G602" s="3">
        <v>37.197260273972603</v>
      </c>
      <c r="H602" s="2" t="s">
        <v>622</v>
      </c>
      <c r="I602" s="2" t="s">
        <v>4437</v>
      </c>
      <c r="J602" s="2" t="str">
        <f>+IF(BD[[#This Row],[DEPARTAMENTO_INSS]]="MANAGUA","_01_","_02_")</f>
        <v>_01_</v>
      </c>
      <c r="K602" s="2" t="str">
        <f>+CONCATENATE(BD[[#This Row],[Columna3]],BD[[#This Row],[Columna4]],BD[[#This Row],[NOMBRE COMPLETO]])</f>
        <v>E003_01_LISSETTE HUETE VIERA</v>
      </c>
      <c r="L602" s="2" t="s">
        <v>4438</v>
      </c>
      <c r="N602" s="2" t="s">
        <v>219</v>
      </c>
      <c r="O602" s="2" t="s">
        <v>4439</v>
      </c>
      <c r="P602" s="2" t="s">
        <v>626</v>
      </c>
      <c r="Q602" s="2" t="s">
        <v>3936</v>
      </c>
      <c r="R602" s="2">
        <v>31219</v>
      </c>
      <c r="S602" s="2">
        <v>31219</v>
      </c>
      <c r="T602" s="2" t="s">
        <v>627</v>
      </c>
      <c r="U602" s="2" t="s">
        <v>627</v>
      </c>
      <c r="V602" s="2" t="s">
        <v>627</v>
      </c>
      <c r="W602" s="2" t="s">
        <v>627</v>
      </c>
      <c r="X602" s="2" t="s">
        <v>4440</v>
      </c>
      <c r="Y602" s="2" t="s">
        <v>4441</v>
      </c>
      <c r="AA602" s="2">
        <v>76918662</v>
      </c>
      <c r="AB602" s="2" t="s">
        <v>631</v>
      </c>
      <c r="AC602" s="2" t="s">
        <v>632</v>
      </c>
      <c r="AD602" s="2">
        <v>76918662</v>
      </c>
      <c r="AJ602" s="2">
        <v>76918662</v>
      </c>
      <c r="AK602" s="2">
        <v>1</v>
      </c>
      <c r="AL602" s="2" t="s">
        <v>633</v>
      </c>
      <c r="AM602" s="2">
        <v>0</v>
      </c>
      <c r="AN602" s="2">
        <v>0</v>
      </c>
      <c r="AO602" s="2">
        <v>1</v>
      </c>
      <c r="AP602" s="2">
        <v>0</v>
      </c>
      <c r="AQ602" s="2">
        <v>0</v>
      </c>
      <c r="AR602" s="2">
        <v>0</v>
      </c>
      <c r="AS602" s="2">
        <v>0</v>
      </c>
      <c r="AT602" s="2">
        <v>0</v>
      </c>
      <c r="BA602" s="2" t="s">
        <v>4442</v>
      </c>
      <c r="BB602" s="2" t="str">
        <f>+PROPER(BD[[#This Row],[PRIMER_APELLIDO]])</f>
        <v>Huete</v>
      </c>
    </row>
    <row r="603" spans="1:54" x14ac:dyDescent="0.25">
      <c r="A603" s="2">
        <v>602</v>
      </c>
      <c r="B603" s="2">
        <v>48091</v>
      </c>
      <c r="C603" s="2" t="s">
        <v>619</v>
      </c>
      <c r="D603" s="2" t="s">
        <v>620</v>
      </c>
      <c r="E603" s="2" t="s">
        <v>4443</v>
      </c>
      <c r="F603" s="2">
        <v>25623840</v>
      </c>
      <c r="G603" s="3">
        <v>37.202739726027396</v>
      </c>
      <c r="H603" s="2" t="s">
        <v>622</v>
      </c>
      <c r="I603" s="2" t="s">
        <v>4444</v>
      </c>
      <c r="J603" s="2" t="str">
        <f>+IF(BD[[#This Row],[DEPARTAMENTO_INSS]]="MANAGUA","_01_","_02_")</f>
        <v>_02_</v>
      </c>
      <c r="K603" s="2" t="str">
        <f>+CONCATENATE(BD[[#This Row],[Columna3]],BD[[#This Row],[Columna4]],BD[[#This Row],[NOMBRE COMPLETO]])</f>
        <v>E003_02_OSCAR DANILO HERNANDEZ ZAMORA</v>
      </c>
      <c r="L603" s="2" t="s">
        <v>2539</v>
      </c>
      <c r="M603" s="2" t="s">
        <v>1659</v>
      </c>
      <c r="N603" s="2" t="s">
        <v>11</v>
      </c>
      <c r="O603" s="2" t="s">
        <v>149</v>
      </c>
      <c r="P603" s="2" t="s">
        <v>649</v>
      </c>
      <c r="Q603" s="2" t="s">
        <v>351</v>
      </c>
      <c r="R603" s="2">
        <v>31217</v>
      </c>
      <c r="S603" s="2">
        <v>31217</v>
      </c>
      <c r="T603" s="2" t="s">
        <v>186</v>
      </c>
      <c r="U603" s="2" t="s">
        <v>186</v>
      </c>
      <c r="V603" s="2" t="s">
        <v>1754</v>
      </c>
      <c r="W603" s="2" t="s">
        <v>1755</v>
      </c>
      <c r="X603" s="2" t="s">
        <v>4445</v>
      </c>
      <c r="Y603" s="2" t="s">
        <v>4446</v>
      </c>
      <c r="Z603" s="2">
        <v>84515601</v>
      </c>
      <c r="AA603" s="2" t="s">
        <v>4447</v>
      </c>
      <c r="AB603" s="2" t="s">
        <v>654</v>
      </c>
      <c r="AC603" s="2" t="s">
        <v>632</v>
      </c>
      <c r="AD603" s="2">
        <v>84515601</v>
      </c>
      <c r="AJ603" s="2">
        <v>84515601</v>
      </c>
      <c r="AK603" s="2">
        <v>3</v>
      </c>
      <c r="AL603" s="2" t="s">
        <v>633</v>
      </c>
      <c r="AM603" s="2">
        <v>0</v>
      </c>
      <c r="AN603" s="2">
        <v>0</v>
      </c>
      <c r="AO603" s="2">
        <v>1</v>
      </c>
      <c r="AP603" s="2">
        <v>0</v>
      </c>
      <c r="AQ603" s="2">
        <v>0</v>
      </c>
      <c r="AR603" s="2">
        <v>0</v>
      </c>
      <c r="AS603" s="2">
        <v>0</v>
      </c>
      <c r="AT603" s="2">
        <v>0</v>
      </c>
      <c r="AZ603" s="2" t="s">
        <v>4448</v>
      </c>
      <c r="BB603" s="2" t="str">
        <f>+PROPER(BD[[#This Row],[PRIMER_APELLIDO]])</f>
        <v>Hernandez</v>
      </c>
    </row>
    <row r="604" spans="1:54" x14ac:dyDescent="0.25">
      <c r="A604" s="2">
        <v>603</v>
      </c>
      <c r="B604" s="2">
        <v>55655</v>
      </c>
      <c r="C604" s="2" t="s">
        <v>619</v>
      </c>
      <c r="D604" s="2" t="s">
        <v>620</v>
      </c>
      <c r="E604" s="2" t="s">
        <v>4449</v>
      </c>
      <c r="G604" s="3">
        <v>37.205479452054796</v>
      </c>
      <c r="H604" s="2" t="s">
        <v>622</v>
      </c>
      <c r="I604" s="2" t="s">
        <v>4450</v>
      </c>
      <c r="J604" s="2" t="str">
        <f>+IF(BD[[#This Row],[DEPARTAMENTO_INSS]]="MANAGUA","_01_","_02_")</f>
        <v>_02_</v>
      </c>
      <c r="K604" s="2" t="str">
        <f>+CONCATENATE(BD[[#This Row],[Columna3]],BD[[#This Row],[Columna4]],BD[[#This Row],[NOMBRE COMPLETO]])</f>
        <v>E003_02_YADIRA EUNICE BRAVO ALVAREZ</v>
      </c>
      <c r="L604" s="2" t="s">
        <v>2439</v>
      </c>
      <c r="M604" s="2" t="s">
        <v>4040</v>
      </c>
      <c r="N604" s="2" t="s">
        <v>287</v>
      </c>
      <c r="O604" s="2" t="s">
        <v>456</v>
      </c>
      <c r="P604" s="2" t="s">
        <v>626</v>
      </c>
      <c r="Q604" s="2" t="s">
        <v>351</v>
      </c>
      <c r="R604" s="2">
        <v>31216</v>
      </c>
      <c r="S604" s="2">
        <v>31216</v>
      </c>
      <c r="T604" s="2" t="s">
        <v>1005</v>
      </c>
      <c r="U604" s="2" t="s">
        <v>1005</v>
      </c>
      <c r="V604" s="2" t="s">
        <v>2405</v>
      </c>
      <c r="W604" s="2" t="s">
        <v>2406</v>
      </c>
      <c r="X604" s="2" t="s">
        <v>4451</v>
      </c>
      <c r="Y604" s="2" t="s">
        <v>4452</v>
      </c>
      <c r="Z604" s="2">
        <v>84167160</v>
      </c>
      <c r="AA604" s="2">
        <v>84167160</v>
      </c>
      <c r="AB604" s="2" t="s">
        <v>631</v>
      </c>
      <c r="AC604" s="2" t="s">
        <v>632</v>
      </c>
      <c r="AD604" s="2">
        <v>84167160</v>
      </c>
      <c r="AJ604" s="2">
        <v>84167160</v>
      </c>
      <c r="AK604" s="2">
        <v>2</v>
      </c>
      <c r="AL604" s="2" t="s">
        <v>633</v>
      </c>
      <c r="AM604" s="2">
        <v>0</v>
      </c>
      <c r="AN604" s="2">
        <v>0</v>
      </c>
      <c r="AO604" s="2">
        <v>1</v>
      </c>
      <c r="AP604" s="2">
        <v>0</v>
      </c>
      <c r="AQ604" s="2">
        <v>0</v>
      </c>
      <c r="AR604" s="2">
        <v>0</v>
      </c>
      <c r="AS604" s="2">
        <v>0</v>
      </c>
      <c r="AT604" s="2">
        <v>0</v>
      </c>
      <c r="BB604" s="2" t="str">
        <f>+PROPER(BD[[#This Row],[PRIMER_APELLIDO]])</f>
        <v>Bravo</v>
      </c>
    </row>
    <row r="605" spans="1:54" x14ac:dyDescent="0.25">
      <c r="A605" s="2">
        <v>604</v>
      </c>
      <c r="B605" s="2">
        <v>43943</v>
      </c>
      <c r="C605" s="2" t="s">
        <v>619</v>
      </c>
      <c r="D605" s="2" t="s">
        <v>620</v>
      </c>
      <c r="E605" s="2" t="s">
        <v>4453</v>
      </c>
      <c r="F605" s="2">
        <v>24232793</v>
      </c>
      <c r="G605" s="3">
        <v>37.208219178082189</v>
      </c>
      <c r="H605" s="2" t="s">
        <v>622</v>
      </c>
      <c r="I605" s="2" t="s">
        <v>4454</v>
      </c>
      <c r="J605" s="2" t="str">
        <f>+IF(BD[[#This Row],[DEPARTAMENTO_INSS]]="MANAGUA","_01_","_02_")</f>
        <v>_01_</v>
      </c>
      <c r="K605" s="2" t="str">
        <f>+CONCATENATE(BD[[#This Row],[Columna3]],BD[[#This Row],[Columna4]],BD[[#This Row],[NOMBRE COMPLETO]])</f>
        <v>E003_01_ANA ISABEL HERNANDEZ LEIVA</v>
      </c>
      <c r="L605" s="2" t="s">
        <v>860</v>
      </c>
      <c r="M605" s="2" t="s">
        <v>3736</v>
      </c>
      <c r="N605" s="2" t="s">
        <v>11</v>
      </c>
      <c r="O605" s="2" t="s">
        <v>177</v>
      </c>
      <c r="P605" s="2" t="s">
        <v>626</v>
      </c>
      <c r="Q605" s="2" t="s">
        <v>351</v>
      </c>
      <c r="R605" s="2">
        <v>31215</v>
      </c>
      <c r="S605" s="2">
        <v>31215</v>
      </c>
      <c r="T605" s="2" t="s">
        <v>627</v>
      </c>
      <c r="U605" s="2" t="s">
        <v>627</v>
      </c>
      <c r="V605" s="2" t="s">
        <v>627</v>
      </c>
      <c r="W605" s="2" t="s">
        <v>627</v>
      </c>
      <c r="X605" s="2" t="s">
        <v>4455</v>
      </c>
      <c r="Y605" s="2" t="s">
        <v>4456</v>
      </c>
      <c r="Z605" s="2">
        <v>87796212</v>
      </c>
      <c r="AA605" s="2">
        <v>87796212</v>
      </c>
      <c r="AB605" s="2" t="s">
        <v>654</v>
      </c>
      <c r="AC605" s="2" t="s">
        <v>632</v>
      </c>
      <c r="AD605" s="2">
        <v>87796212</v>
      </c>
      <c r="AJ605" s="2">
        <v>87796212</v>
      </c>
      <c r="AK605" s="2">
        <v>2</v>
      </c>
      <c r="AL605" s="2" t="s">
        <v>633</v>
      </c>
      <c r="AM605" s="2">
        <v>0</v>
      </c>
      <c r="AN605" s="2">
        <v>0</v>
      </c>
      <c r="AO605" s="2">
        <v>1</v>
      </c>
      <c r="AP605" s="2">
        <v>0</v>
      </c>
      <c r="AQ605" s="2">
        <v>0</v>
      </c>
      <c r="AR605" s="2">
        <v>0</v>
      </c>
      <c r="AS605" s="2">
        <v>0</v>
      </c>
      <c r="AT605" s="2">
        <v>0</v>
      </c>
      <c r="AZ605" s="2" t="s">
        <v>4457</v>
      </c>
      <c r="BB605" s="2" t="str">
        <f>+PROPER(BD[[#This Row],[PRIMER_APELLIDO]])</f>
        <v>Hernandez</v>
      </c>
    </row>
    <row r="606" spans="1:54" x14ac:dyDescent="0.25">
      <c r="A606" s="2">
        <v>605</v>
      </c>
      <c r="B606" s="2">
        <v>35550</v>
      </c>
      <c r="C606" s="2" t="s">
        <v>619</v>
      </c>
      <c r="D606" s="2" t="s">
        <v>620</v>
      </c>
      <c r="E606" s="2" t="s">
        <v>4458</v>
      </c>
      <c r="F606" s="2">
        <v>22158826</v>
      </c>
      <c r="G606" s="3">
        <v>37.210958904109589</v>
      </c>
      <c r="H606" s="2" t="s">
        <v>622</v>
      </c>
      <c r="I606" s="2" t="s">
        <v>4459</v>
      </c>
      <c r="J606" s="2" t="str">
        <f>+IF(BD[[#This Row],[DEPARTAMENTO_INSS]]="MANAGUA","_01_","_02_")</f>
        <v>_01_</v>
      </c>
      <c r="K606" s="2" t="str">
        <f>+CONCATENATE(BD[[#This Row],[Columna3]],BD[[#This Row],[Columna4]],BD[[#This Row],[NOMBRE COMPLETO]])</f>
        <v>E003_01_REYNA EUNICE GARCIA OROZCO</v>
      </c>
      <c r="L606" s="2" t="s">
        <v>3095</v>
      </c>
      <c r="M606" s="2" t="s">
        <v>4040</v>
      </c>
      <c r="N606" s="2" t="s">
        <v>10</v>
      </c>
      <c r="O606" s="2" t="s">
        <v>254</v>
      </c>
      <c r="P606" s="2" t="s">
        <v>626</v>
      </c>
      <c r="Q606" s="2" t="s">
        <v>351</v>
      </c>
      <c r="R606" s="2">
        <v>31214</v>
      </c>
      <c r="S606" s="2">
        <v>31214</v>
      </c>
      <c r="T606" s="2" t="s">
        <v>176</v>
      </c>
      <c r="U606" s="2" t="s">
        <v>627</v>
      </c>
      <c r="V606" s="2" t="s">
        <v>3701</v>
      </c>
      <c r="W606" s="2" t="s">
        <v>627</v>
      </c>
      <c r="X606" s="2" t="s">
        <v>4460</v>
      </c>
      <c r="Y606" s="2" t="s">
        <v>4461</v>
      </c>
      <c r="Z606" s="2">
        <v>86945968</v>
      </c>
      <c r="AA606" s="2">
        <v>84140355</v>
      </c>
      <c r="AB606" s="2" t="s">
        <v>773</v>
      </c>
      <c r="AC606" s="2" t="s">
        <v>632</v>
      </c>
      <c r="AD606" s="2">
        <v>86945968</v>
      </c>
      <c r="AF606" s="2">
        <v>84140355</v>
      </c>
      <c r="AJ606" s="2">
        <v>86945968</v>
      </c>
      <c r="AK606" s="2">
        <v>2</v>
      </c>
      <c r="AL606" s="2" t="s">
        <v>633</v>
      </c>
      <c r="AM606" s="2">
        <v>0</v>
      </c>
      <c r="AN606" s="2">
        <v>0</v>
      </c>
      <c r="AO606" s="2">
        <v>1</v>
      </c>
      <c r="AP606" s="2">
        <v>0</v>
      </c>
      <c r="AQ606" s="2">
        <v>0</v>
      </c>
      <c r="AR606" s="2">
        <v>0</v>
      </c>
      <c r="AS606" s="2">
        <v>0</v>
      </c>
      <c r="AT606" s="2">
        <v>0</v>
      </c>
      <c r="AZ606" s="2" t="s">
        <v>4462</v>
      </c>
      <c r="BA606" s="2" t="s">
        <v>4462</v>
      </c>
      <c r="BB606" s="2" t="str">
        <f>+PROPER(BD[[#This Row],[PRIMER_APELLIDO]])</f>
        <v>Garcia</v>
      </c>
    </row>
    <row r="607" spans="1:54" x14ac:dyDescent="0.25">
      <c r="A607" s="2">
        <v>606</v>
      </c>
      <c r="B607" s="2">
        <v>32013</v>
      </c>
      <c r="C607" s="2" t="s">
        <v>619</v>
      </c>
      <c r="D607" s="2" t="s">
        <v>620</v>
      </c>
      <c r="E607" s="2" t="s">
        <v>4463</v>
      </c>
      <c r="F607" s="2">
        <v>21711921</v>
      </c>
      <c r="G607" s="3">
        <v>37.213698630136989</v>
      </c>
      <c r="H607" s="2" t="s">
        <v>622</v>
      </c>
      <c r="I607" s="2" t="s">
        <v>4464</v>
      </c>
      <c r="J607" s="2" t="str">
        <f>+IF(BD[[#This Row],[DEPARTAMENTO_INSS]]="MANAGUA","_01_","_02_")</f>
        <v>_02_</v>
      </c>
      <c r="K607" s="2" t="str">
        <f>+CONCATENATE(BD[[#This Row],[Columna3]],BD[[#This Row],[Columna4]],BD[[#This Row],[NOMBRE COMPLETO]])</f>
        <v>E003_02_DANNY JOEL MORAGA MORAGA</v>
      </c>
      <c r="L607" s="2" t="s">
        <v>4465</v>
      </c>
      <c r="M607" s="2" t="s">
        <v>2118</v>
      </c>
      <c r="N607" s="2" t="s">
        <v>16</v>
      </c>
      <c r="O607" s="2" t="s">
        <v>16</v>
      </c>
      <c r="P607" s="2" t="s">
        <v>649</v>
      </c>
      <c r="Q607" s="2" t="s">
        <v>351</v>
      </c>
      <c r="R607" s="2">
        <v>31213</v>
      </c>
      <c r="S607" s="2">
        <v>31213</v>
      </c>
      <c r="T607" s="2" t="s">
        <v>732</v>
      </c>
      <c r="U607" s="2" t="s">
        <v>732</v>
      </c>
      <c r="V607" s="2" t="s">
        <v>1060</v>
      </c>
      <c r="W607" s="2" t="s">
        <v>1061</v>
      </c>
      <c r="X607" s="2" t="s">
        <v>4466</v>
      </c>
      <c r="Y607" s="2" t="s">
        <v>4467</v>
      </c>
      <c r="Z607" s="2">
        <v>85723687</v>
      </c>
      <c r="AA607" s="2">
        <v>85723687</v>
      </c>
      <c r="AB607" s="2" t="s">
        <v>654</v>
      </c>
      <c r="AC607" s="2" t="s">
        <v>632</v>
      </c>
      <c r="AD607" s="2">
        <v>85723687</v>
      </c>
      <c r="AJ607" s="2">
        <v>85723687</v>
      </c>
      <c r="AK607" s="2">
        <v>2</v>
      </c>
      <c r="AL607" s="2" t="s">
        <v>633</v>
      </c>
      <c r="AM607" s="2">
        <v>0</v>
      </c>
      <c r="AN607" s="2">
        <v>0</v>
      </c>
      <c r="AO607" s="2">
        <v>1</v>
      </c>
      <c r="AP607" s="2">
        <v>0</v>
      </c>
      <c r="AQ607" s="2">
        <v>0</v>
      </c>
      <c r="AR607" s="2">
        <v>0</v>
      </c>
      <c r="AS607" s="2">
        <v>0</v>
      </c>
      <c r="AT607" s="2">
        <v>0</v>
      </c>
      <c r="AZ607" s="2" t="s">
        <v>4468</v>
      </c>
      <c r="BB607" s="2" t="str">
        <f>+PROPER(BD[[#This Row],[PRIMER_APELLIDO]])</f>
        <v>Moraga</v>
      </c>
    </row>
    <row r="608" spans="1:54" x14ac:dyDescent="0.25">
      <c r="A608" s="2">
        <v>607</v>
      </c>
      <c r="B608" s="2">
        <v>39163</v>
      </c>
      <c r="C608" s="2" t="s">
        <v>619</v>
      </c>
      <c r="D608" s="2" t="s">
        <v>620</v>
      </c>
      <c r="E608" s="2" t="s">
        <v>4469</v>
      </c>
      <c r="F608" s="2">
        <v>23106215</v>
      </c>
      <c r="G608" s="3">
        <v>37.213698630136989</v>
      </c>
      <c r="H608" s="2" t="s">
        <v>622</v>
      </c>
      <c r="I608" s="2" t="s">
        <v>4470</v>
      </c>
      <c r="J608" s="2" t="str">
        <f>+IF(BD[[#This Row],[DEPARTAMENTO_INSS]]="MANAGUA","_01_","_02_")</f>
        <v>_02_</v>
      </c>
      <c r="K608" s="2" t="str">
        <f>+CONCATENATE(BD[[#This Row],[Columna3]],BD[[#This Row],[Columna4]],BD[[#This Row],[NOMBRE COMPLETO]])</f>
        <v>E003_02_ROSA ESMERALDA MORALES MENDIETA</v>
      </c>
      <c r="L608" s="2" t="s">
        <v>667</v>
      </c>
      <c r="M608" s="2" t="s">
        <v>1177</v>
      </c>
      <c r="N608" s="2" t="s">
        <v>82</v>
      </c>
      <c r="O608" s="2" t="s">
        <v>60</v>
      </c>
      <c r="P608" s="2" t="s">
        <v>626</v>
      </c>
      <c r="Q608" s="2" t="s">
        <v>351</v>
      </c>
      <c r="R608" s="2">
        <v>31213</v>
      </c>
      <c r="S608" s="2">
        <v>31213</v>
      </c>
      <c r="T608" s="2" t="s">
        <v>133</v>
      </c>
      <c r="U608" s="2" t="s">
        <v>133</v>
      </c>
      <c r="V608" s="2" t="s">
        <v>869</v>
      </c>
      <c r="W608" s="2" t="s">
        <v>869</v>
      </c>
      <c r="X608" s="2" t="s">
        <v>4471</v>
      </c>
      <c r="Y608" s="2" t="s">
        <v>4472</v>
      </c>
      <c r="Z608" s="2">
        <v>83308282</v>
      </c>
      <c r="AA608" s="2">
        <v>83308282</v>
      </c>
      <c r="AB608" s="2" t="s">
        <v>642</v>
      </c>
      <c r="AC608" s="2" t="s">
        <v>632</v>
      </c>
      <c r="AD608" s="2">
        <v>83308282</v>
      </c>
      <c r="AJ608" s="2">
        <v>83308282</v>
      </c>
      <c r="AK608" s="2">
        <v>2</v>
      </c>
      <c r="AL608" s="2" t="s">
        <v>633</v>
      </c>
      <c r="AM608" s="2">
        <v>0</v>
      </c>
      <c r="AN608" s="2">
        <v>0</v>
      </c>
      <c r="AO608" s="2">
        <v>1</v>
      </c>
      <c r="AP608" s="2">
        <v>0</v>
      </c>
      <c r="AQ608" s="2">
        <v>0</v>
      </c>
      <c r="AR608" s="2">
        <v>0</v>
      </c>
      <c r="AS608" s="2">
        <v>0</v>
      </c>
      <c r="AT608" s="2">
        <v>0</v>
      </c>
      <c r="BB608" s="2" t="str">
        <f>+PROPER(BD[[#This Row],[PRIMER_APELLIDO]])</f>
        <v>Morales</v>
      </c>
    </row>
    <row r="609" spans="1:54" x14ac:dyDescent="0.25">
      <c r="A609" s="2">
        <v>608</v>
      </c>
      <c r="B609" s="2">
        <v>43156</v>
      </c>
      <c r="C609" s="2" t="s">
        <v>619</v>
      </c>
      <c r="D609" s="2" t="s">
        <v>620</v>
      </c>
      <c r="E609" s="2" t="s">
        <v>4473</v>
      </c>
      <c r="F609" s="2">
        <v>24233631</v>
      </c>
      <c r="G609" s="3">
        <v>37.216438356164382</v>
      </c>
      <c r="H609" s="2" t="s">
        <v>622</v>
      </c>
      <c r="I609" s="2" t="s">
        <v>4474</v>
      </c>
      <c r="J609" s="2" t="str">
        <f>+IF(BD[[#This Row],[DEPARTAMENTO_INSS]]="MANAGUA","_01_","_02_")</f>
        <v>_01_</v>
      </c>
      <c r="K609" s="2" t="str">
        <f>+CONCATENATE(BD[[#This Row],[Columna3]],BD[[#This Row],[Columna4]],BD[[#This Row],[NOMBRE COMPLETO]])</f>
        <v>E003_01_MARVIN JOSE BONILLA SALAZAR</v>
      </c>
      <c r="L609" s="2" t="s">
        <v>3217</v>
      </c>
      <c r="M609" s="2" t="s">
        <v>243</v>
      </c>
      <c r="N609" s="2" t="s">
        <v>407</v>
      </c>
      <c r="O609" s="2" t="s">
        <v>165</v>
      </c>
      <c r="P609" s="2" t="s">
        <v>649</v>
      </c>
      <c r="Q609" s="2" t="s">
        <v>351</v>
      </c>
      <c r="R609" s="2">
        <v>31212</v>
      </c>
      <c r="S609" s="2">
        <v>31212</v>
      </c>
      <c r="T609" s="2" t="s">
        <v>669</v>
      </c>
      <c r="U609" s="2" t="s">
        <v>627</v>
      </c>
      <c r="V609" s="2" t="s">
        <v>670</v>
      </c>
      <c r="W609" s="2" t="s">
        <v>627</v>
      </c>
      <c r="X609" s="2" t="s">
        <v>4475</v>
      </c>
      <c r="Y609" s="2" t="s">
        <v>4476</v>
      </c>
      <c r="Z609" s="2">
        <v>88374872</v>
      </c>
      <c r="AA609" s="2">
        <v>88374872</v>
      </c>
      <c r="AB609" s="2" t="s">
        <v>654</v>
      </c>
      <c r="AC609" s="2" t="s">
        <v>632</v>
      </c>
      <c r="AD609" s="2">
        <v>88374872</v>
      </c>
      <c r="AJ609" s="2">
        <v>88374872</v>
      </c>
      <c r="AK609" s="2">
        <v>2</v>
      </c>
      <c r="AL609" s="2" t="s">
        <v>633</v>
      </c>
      <c r="AM609" s="2">
        <v>0</v>
      </c>
      <c r="AN609" s="2">
        <v>0</v>
      </c>
      <c r="AO609" s="2">
        <v>1</v>
      </c>
      <c r="AP609" s="2">
        <v>0</v>
      </c>
      <c r="AQ609" s="2">
        <v>0</v>
      </c>
      <c r="AR609" s="2">
        <v>0</v>
      </c>
      <c r="AS609" s="2">
        <v>0</v>
      </c>
      <c r="AT609" s="2">
        <v>0</v>
      </c>
      <c r="BB609" s="2" t="str">
        <f>+PROPER(BD[[#This Row],[PRIMER_APELLIDO]])</f>
        <v>Bonilla</v>
      </c>
    </row>
    <row r="610" spans="1:54" x14ac:dyDescent="0.25">
      <c r="A610" s="2">
        <v>609</v>
      </c>
      <c r="B610" s="2">
        <v>70655</v>
      </c>
      <c r="C610" s="2" t="s">
        <v>619</v>
      </c>
      <c r="D610" s="2" t="s">
        <v>620</v>
      </c>
      <c r="E610" s="2" t="s">
        <v>4477</v>
      </c>
      <c r="G610" s="3">
        <v>37.216438356164382</v>
      </c>
      <c r="H610" s="2" t="s">
        <v>622</v>
      </c>
      <c r="I610" s="2" t="s">
        <v>4478</v>
      </c>
      <c r="J610" s="2" t="str">
        <f>+IF(BD[[#This Row],[DEPARTAMENTO_INSS]]="MANAGUA","_01_","_02_")</f>
        <v>_02_</v>
      </c>
      <c r="K610" s="2" t="str">
        <f>+CONCATENATE(BD[[#This Row],[Columna3]],BD[[#This Row],[Columna4]],BD[[#This Row],[NOMBRE COMPLETO]])</f>
        <v>E003_02_LESTER AUGUSTO MOYA NAVARRO</v>
      </c>
      <c r="L610" s="2" t="s">
        <v>1412</v>
      </c>
      <c r="M610" s="2" t="s">
        <v>1969</v>
      </c>
      <c r="N610" s="2" t="s">
        <v>193</v>
      </c>
      <c r="O610" s="2" t="s">
        <v>115</v>
      </c>
      <c r="P610" s="2" t="s">
        <v>649</v>
      </c>
      <c r="Q610" s="2" t="s">
        <v>351</v>
      </c>
      <c r="R610" s="2">
        <v>31212</v>
      </c>
      <c r="S610" s="2">
        <v>31212</v>
      </c>
      <c r="T610" s="2" t="s">
        <v>705</v>
      </c>
      <c r="U610" s="2" t="s">
        <v>705</v>
      </c>
      <c r="V610" s="2" t="s">
        <v>725</v>
      </c>
      <c r="W610" s="2" t="s">
        <v>725</v>
      </c>
      <c r="X610" s="2" t="s">
        <v>4479</v>
      </c>
      <c r="Y610" s="2" t="s">
        <v>4480</v>
      </c>
      <c r="Z610" s="2">
        <v>58366546</v>
      </c>
      <c r="AA610" s="2">
        <v>58366546</v>
      </c>
      <c r="AB610" s="2" t="s">
        <v>654</v>
      </c>
      <c r="AC610" s="2" t="s">
        <v>632</v>
      </c>
      <c r="AD610" s="2">
        <v>58366546</v>
      </c>
      <c r="AJ610" s="2">
        <v>58366546</v>
      </c>
      <c r="AK610" s="2">
        <v>2</v>
      </c>
      <c r="AL610" s="2" t="s">
        <v>633</v>
      </c>
      <c r="AM610" s="2">
        <v>0</v>
      </c>
      <c r="AN610" s="2">
        <v>0</v>
      </c>
      <c r="AO610" s="2">
        <v>1</v>
      </c>
      <c r="AP610" s="2">
        <v>0</v>
      </c>
      <c r="AQ610" s="2">
        <v>0</v>
      </c>
      <c r="AR610" s="2">
        <v>0</v>
      </c>
      <c r="AS610" s="2">
        <v>0</v>
      </c>
      <c r="AT610" s="2">
        <v>0</v>
      </c>
      <c r="AZ610" s="2" t="s">
        <v>4481</v>
      </c>
      <c r="BB610" s="2" t="str">
        <f>+PROPER(BD[[#This Row],[PRIMER_APELLIDO]])</f>
        <v>Moya</v>
      </c>
    </row>
    <row r="611" spans="1:54" x14ac:dyDescent="0.25">
      <c r="A611" s="2">
        <v>610</v>
      </c>
      <c r="B611" s="2">
        <v>35494</v>
      </c>
      <c r="C611" s="2" t="s">
        <v>619</v>
      </c>
      <c r="D611" s="2" t="s">
        <v>620</v>
      </c>
      <c r="E611" s="2" t="s">
        <v>4482</v>
      </c>
      <c r="F611" s="2">
        <v>22087553</v>
      </c>
      <c r="G611" s="3">
        <v>37.219178082191782</v>
      </c>
      <c r="H611" s="2" t="s">
        <v>622</v>
      </c>
      <c r="I611" s="2" t="s">
        <v>4483</v>
      </c>
      <c r="J611" s="2" t="str">
        <f>+IF(BD[[#This Row],[DEPARTAMENTO_INSS]]="MANAGUA","_01_","_02_")</f>
        <v>_02_</v>
      </c>
      <c r="K611" s="2" t="str">
        <f>+CONCATENATE(BD[[#This Row],[Columna3]],BD[[#This Row],[Columna4]],BD[[#This Row],[NOMBRE COMPLETO]])</f>
        <v>E003_02_ROXANA MARISOL PALACIOS RAMIREZ</v>
      </c>
      <c r="L611" s="2" t="s">
        <v>4484</v>
      </c>
      <c r="M611" s="2" t="s">
        <v>4485</v>
      </c>
      <c r="N611" s="2" t="s">
        <v>201</v>
      </c>
      <c r="O611" s="2" t="s">
        <v>38</v>
      </c>
      <c r="P611" s="2" t="s">
        <v>626</v>
      </c>
      <c r="Q611" s="2" t="s">
        <v>351</v>
      </c>
      <c r="R611" s="2">
        <v>31211</v>
      </c>
      <c r="S611" s="2">
        <v>31211</v>
      </c>
      <c r="T611" s="2" t="s">
        <v>176</v>
      </c>
      <c r="U611" s="2" t="s">
        <v>176</v>
      </c>
      <c r="V611" s="2" t="s">
        <v>650</v>
      </c>
      <c r="W611" s="2" t="s">
        <v>176</v>
      </c>
      <c r="X611" s="2" t="s">
        <v>4486</v>
      </c>
      <c r="Y611" s="2" t="s">
        <v>4487</v>
      </c>
      <c r="Z611" s="2">
        <v>83625767</v>
      </c>
      <c r="AA611" s="2">
        <v>83625767</v>
      </c>
      <c r="AB611" s="2" t="s">
        <v>773</v>
      </c>
      <c r="AC611" s="2" t="s">
        <v>632</v>
      </c>
      <c r="AD611" s="2">
        <v>83625767</v>
      </c>
      <c r="AJ611" s="2">
        <v>83625767</v>
      </c>
      <c r="AK611" s="2">
        <v>2</v>
      </c>
      <c r="AL611" s="2" t="s">
        <v>633</v>
      </c>
      <c r="AM611" s="2">
        <v>0</v>
      </c>
      <c r="AN611" s="2">
        <v>0</v>
      </c>
      <c r="AO611" s="2">
        <v>1</v>
      </c>
      <c r="AP611" s="2">
        <v>0</v>
      </c>
      <c r="AQ611" s="2">
        <v>0</v>
      </c>
      <c r="AR611" s="2">
        <v>0</v>
      </c>
      <c r="AS611" s="2">
        <v>0</v>
      </c>
      <c r="AT611" s="2">
        <v>0</v>
      </c>
      <c r="AZ611" s="2" t="s">
        <v>4488</v>
      </c>
      <c r="BB611" s="2" t="str">
        <f>+PROPER(BD[[#This Row],[PRIMER_APELLIDO]])</f>
        <v>Palacios</v>
      </c>
    </row>
    <row r="612" spans="1:54" x14ac:dyDescent="0.25">
      <c r="A612" s="2">
        <v>611</v>
      </c>
      <c r="B612" s="2">
        <v>37837</v>
      </c>
      <c r="C612" s="2" t="s">
        <v>619</v>
      </c>
      <c r="D612" s="2" t="s">
        <v>620</v>
      </c>
      <c r="E612" s="2" t="s">
        <v>4489</v>
      </c>
      <c r="F612" s="2">
        <v>21325160</v>
      </c>
      <c r="G612" s="3">
        <v>37.224657534246575</v>
      </c>
      <c r="H612" s="2" t="s">
        <v>622</v>
      </c>
      <c r="I612" s="2" t="s">
        <v>4490</v>
      </c>
      <c r="J612" s="2" t="str">
        <f>+IF(BD[[#This Row],[DEPARTAMENTO_INSS]]="MANAGUA","_01_","_02_")</f>
        <v>_01_</v>
      </c>
      <c r="K612" s="2" t="str">
        <f>+CONCATENATE(BD[[#This Row],[Columna3]],BD[[#This Row],[Columna4]],BD[[#This Row],[NOMBRE COMPLETO]])</f>
        <v>E003_01_MARIA JOSE ROMERO SUAREZ</v>
      </c>
      <c r="L612" s="2" t="s">
        <v>724</v>
      </c>
      <c r="M612" s="2" t="s">
        <v>243</v>
      </c>
      <c r="N612" s="2" t="s">
        <v>41</v>
      </c>
      <c r="O612" s="2" t="s">
        <v>55</v>
      </c>
      <c r="P612" s="2" t="s">
        <v>626</v>
      </c>
      <c r="Q612" s="2" t="s">
        <v>351</v>
      </c>
      <c r="R612" s="2">
        <v>31209</v>
      </c>
      <c r="S612" s="2">
        <v>31209</v>
      </c>
      <c r="T612" s="2" t="s">
        <v>627</v>
      </c>
      <c r="U612" s="2" t="s">
        <v>627</v>
      </c>
      <c r="V612" s="2" t="s">
        <v>627</v>
      </c>
      <c r="W612" s="2" t="s">
        <v>627</v>
      </c>
      <c r="X612" s="2" t="s">
        <v>4491</v>
      </c>
      <c r="Y612" s="2" t="s">
        <v>4492</v>
      </c>
      <c r="AA612" s="2" t="s">
        <v>4493</v>
      </c>
      <c r="AB612" s="2" t="s">
        <v>642</v>
      </c>
      <c r="AC612" s="2" t="s">
        <v>632</v>
      </c>
      <c r="AE612" s="2">
        <v>85521117</v>
      </c>
      <c r="AJ612" s="2">
        <v>85521117</v>
      </c>
      <c r="AK612" s="2">
        <v>2</v>
      </c>
      <c r="AL612" s="2" t="s">
        <v>633</v>
      </c>
      <c r="AM612" s="2">
        <v>0</v>
      </c>
      <c r="AN612" s="2">
        <v>0</v>
      </c>
      <c r="AO612" s="2">
        <v>1</v>
      </c>
      <c r="AP612" s="2">
        <v>0</v>
      </c>
      <c r="AQ612" s="2">
        <v>0</v>
      </c>
      <c r="AR612" s="2">
        <v>0</v>
      </c>
      <c r="AS612" s="2">
        <v>0</v>
      </c>
      <c r="AT612" s="2">
        <v>0</v>
      </c>
      <c r="BB612" s="2" t="str">
        <f>+PROPER(BD[[#This Row],[PRIMER_APELLIDO]])</f>
        <v>Romero</v>
      </c>
    </row>
    <row r="613" spans="1:54" x14ac:dyDescent="0.25">
      <c r="A613" s="2">
        <v>612</v>
      </c>
      <c r="B613" s="2">
        <v>35326</v>
      </c>
      <c r="C613" s="2" t="s">
        <v>619</v>
      </c>
      <c r="D613" s="2" t="s">
        <v>620</v>
      </c>
      <c r="E613" s="2" t="s">
        <v>4494</v>
      </c>
      <c r="F613" s="2">
        <v>22189471</v>
      </c>
      <c r="G613" s="3">
        <v>37.230136986301368</v>
      </c>
      <c r="H613" s="2" t="s">
        <v>622</v>
      </c>
      <c r="I613" s="2" t="s">
        <v>4495</v>
      </c>
      <c r="J613" s="2" t="str">
        <f>+IF(BD[[#This Row],[DEPARTAMENTO_INSS]]="MANAGUA","_01_","_02_")</f>
        <v>_01_</v>
      </c>
      <c r="K613" s="2" t="str">
        <f>+CONCATENATE(BD[[#This Row],[Columna3]],BD[[#This Row],[Columna4]],BD[[#This Row],[NOMBRE COMPLETO]])</f>
        <v>E003_01_ERICKA MARIANA SANCHEZ GALO</v>
      </c>
      <c r="L613" s="2" t="s">
        <v>4496</v>
      </c>
      <c r="M613" s="2" t="s">
        <v>4065</v>
      </c>
      <c r="N613" s="2" t="s">
        <v>90</v>
      </c>
      <c r="O613" s="2" t="s">
        <v>2950</v>
      </c>
      <c r="P613" s="2" t="s">
        <v>626</v>
      </c>
      <c r="Q613" s="2" t="s">
        <v>351</v>
      </c>
      <c r="R613" s="2">
        <v>31207</v>
      </c>
      <c r="S613" s="2">
        <v>31207</v>
      </c>
      <c r="T613" s="2" t="s">
        <v>627</v>
      </c>
      <c r="U613" s="2" t="s">
        <v>627</v>
      </c>
      <c r="V613" s="2" t="s">
        <v>627</v>
      </c>
      <c r="W613" s="2" t="s">
        <v>627</v>
      </c>
      <c r="X613" s="2" t="s">
        <v>4497</v>
      </c>
      <c r="Y613" s="2" t="s">
        <v>4498</v>
      </c>
      <c r="AA613" s="2">
        <v>22894222</v>
      </c>
      <c r="AB613" s="2" t="s">
        <v>642</v>
      </c>
      <c r="AC613" s="2" t="s">
        <v>632</v>
      </c>
      <c r="AK613" s="2">
        <v>1</v>
      </c>
      <c r="AL613" s="2" t="s">
        <v>633</v>
      </c>
      <c r="AM613" s="2">
        <v>0</v>
      </c>
      <c r="AN613" s="2">
        <v>0</v>
      </c>
      <c r="AO613" s="2">
        <v>1</v>
      </c>
      <c r="AP613" s="2">
        <v>0</v>
      </c>
      <c r="AQ613" s="2">
        <v>0</v>
      </c>
      <c r="AR613" s="2">
        <v>0</v>
      </c>
      <c r="AS613" s="2">
        <v>0</v>
      </c>
      <c r="AT613" s="2">
        <v>0</v>
      </c>
      <c r="BB613" s="2" t="str">
        <f>+PROPER(BD[[#This Row],[PRIMER_APELLIDO]])</f>
        <v>Sanchez</v>
      </c>
    </row>
    <row r="614" spans="1:54" x14ac:dyDescent="0.25">
      <c r="A614" s="2">
        <v>613</v>
      </c>
      <c r="B614" s="2">
        <v>49011</v>
      </c>
      <c r="C614" s="2" t="s">
        <v>619</v>
      </c>
      <c r="D614" s="2" t="s">
        <v>620</v>
      </c>
      <c r="E614" s="2" t="s">
        <v>4499</v>
      </c>
      <c r="F614" s="2">
        <v>15752242</v>
      </c>
      <c r="G614" s="3">
        <v>37.235616438356168</v>
      </c>
      <c r="H614" s="2" t="s">
        <v>622</v>
      </c>
      <c r="I614" s="2" t="s">
        <v>4500</v>
      </c>
      <c r="J614" s="2" t="str">
        <f>+IF(BD[[#This Row],[DEPARTAMENTO_INSS]]="MANAGUA","_01_","_02_")</f>
        <v>_02_</v>
      </c>
      <c r="K614" s="2" t="str">
        <f>+CONCATENATE(BD[[#This Row],[Columna3]],BD[[#This Row],[Columna4]],BD[[#This Row],[NOMBRE COMPLETO]])</f>
        <v>E003_02_OSMAN RICARDO SANCHEZ ALANIZ</v>
      </c>
      <c r="L614" s="2" t="s">
        <v>3007</v>
      </c>
      <c r="M614" s="2" t="s">
        <v>4501</v>
      </c>
      <c r="N614" s="2" t="s">
        <v>90</v>
      </c>
      <c r="O614" s="2" t="s">
        <v>168</v>
      </c>
      <c r="P614" s="2" t="s">
        <v>649</v>
      </c>
      <c r="Q614" s="2" t="s">
        <v>351</v>
      </c>
      <c r="R614" s="2">
        <v>31205</v>
      </c>
      <c r="S614" s="2">
        <v>31205</v>
      </c>
      <c r="T614" s="2" t="s">
        <v>133</v>
      </c>
      <c r="U614" s="2" t="s">
        <v>133</v>
      </c>
      <c r="V614" s="2" t="s">
        <v>841</v>
      </c>
      <c r="W614" s="2" t="s">
        <v>841</v>
      </c>
      <c r="X614" s="2" t="s">
        <v>4502</v>
      </c>
      <c r="Y614" s="2" t="s">
        <v>4503</v>
      </c>
      <c r="Z614" s="2">
        <v>85388279</v>
      </c>
      <c r="AA614" s="2">
        <v>89388279</v>
      </c>
      <c r="AB614" s="2" t="s">
        <v>798</v>
      </c>
      <c r="AC614" s="2" t="s">
        <v>632</v>
      </c>
      <c r="AD614" s="2">
        <v>85388279</v>
      </c>
      <c r="AF614" s="2">
        <v>89388279</v>
      </c>
      <c r="AJ614" s="2">
        <v>85388279</v>
      </c>
      <c r="AK614" s="2">
        <v>2</v>
      </c>
      <c r="AL614" s="2" t="s">
        <v>633</v>
      </c>
      <c r="AM614" s="2">
        <v>0</v>
      </c>
      <c r="AN614" s="2">
        <v>0</v>
      </c>
      <c r="AO614" s="2">
        <v>1</v>
      </c>
      <c r="AP614" s="2">
        <v>0</v>
      </c>
      <c r="AQ614" s="2">
        <v>0</v>
      </c>
      <c r="AR614" s="2">
        <v>0</v>
      </c>
      <c r="AS614" s="2">
        <v>0</v>
      </c>
      <c r="AT614" s="2">
        <v>0</v>
      </c>
      <c r="BB614" s="2" t="str">
        <f>+PROPER(BD[[#This Row],[PRIMER_APELLIDO]])</f>
        <v>Sanchez</v>
      </c>
    </row>
    <row r="615" spans="1:54" x14ac:dyDescent="0.25">
      <c r="A615" s="2">
        <v>614</v>
      </c>
      <c r="B615" s="2">
        <v>35216</v>
      </c>
      <c r="C615" s="2" t="s">
        <v>619</v>
      </c>
      <c r="D615" s="2" t="s">
        <v>620</v>
      </c>
      <c r="E615" s="2" t="s">
        <v>4504</v>
      </c>
      <c r="F615" s="2">
        <v>22183877</v>
      </c>
      <c r="G615" s="3">
        <v>37.238356164383561</v>
      </c>
      <c r="H615" s="2" t="s">
        <v>622</v>
      </c>
      <c r="I615" s="2" t="s">
        <v>4505</v>
      </c>
      <c r="J615" s="2" t="str">
        <f>+IF(BD[[#This Row],[DEPARTAMENTO_INSS]]="MANAGUA","_01_","_02_")</f>
        <v>_02_</v>
      </c>
      <c r="K615" s="2" t="str">
        <f>+CONCATENATE(BD[[#This Row],[Columna3]],BD[[#This Row],[Columna4]],BD[[#This Row],[NOMBRE COMPLETO]])</f>
        <v>E003_02_MARCOS DAVID ALEMAN LOPEZ</v>
      </c>
      <c r="L615" s="2" t="s">
        <v>4506</v>
      </c>
      <c r="M615" s="2" t="s">
        <v>916</v>
      </c>
      <c r="N615" s="2" t="s">
        <v>194</v>
      </c>
      <c r="O615" s="2" t="s">
        <v>15</v>
      </c>
      <c r="P615" s="2" t="s">
        <v>649</v>
      </c>
      <c r="Q615" s="2" t="s">
        <v>351</v>
      </c>
      <c r="R615" s="2">
        <v>31204</v>
      </c>
      <c r="S615" s="2">
        <v>31204</v>
      </c>
      <c r="T615" s="2" t="s">
        <v>133</v>
      </c>
      <c r="U615" s="2" t="s">
        <v>133</v>
      </c>
      <c r="V615" s="2" t="s">
        <v>841</v>
      </c>
      <c r="W615" s="2" t="s">
        <v>841</v>
      </c>
      <c r="X615" s="2" t="s">
        <v>4507</v>
      </c>
      <c r="Y615" s="2" t="s">
        <v>4508</v>
      </c>
      <c r="Z615" s="2">
        <v>86911414</v>
      </c>
      <c r="AA615" s="2">
        <v>86911414</v>
      </c>
      <c r="AB615" s="2" t="s">
        <v>654</v>
      </c>
      <c r="AC615" s="2" t="s">
        <v>632</v>
      </c>
      <c r="AD615" s="2">
        <v>86911414</v>
      </c>
      <c r="AJ615" s="2">
        <v>86911414</v>
      </c>
      <c r="AK615" s="2">
        <v>2</v>
      </c>
      <c r="AL615" s="2" t="s">
        <v>633</v>
      </c>
      <c r="AM615" s="2">
        <v>0</v>
      </c>
      <c r="AN615" s="2">
        <v>0</v>
      </c>
      <c r="AO615" s="2">
        <v>1</v>
      </c>
      <c r="AP615" s="2">
        <v>0</v>
      </c>
      <c r="AQ615" s="2">
        <v>0</v>
      </c>
      <c r="AR615" s="2">
        <v>0</v>
      </c>
      <c r="AS615" s="2">
        <v>0</v>
      </c>
      <c r="AT615" s="2">
        <v>0</v>
      </c>
      <c r="BB615" s="2" t="str">
        <f>+PROPER(BD[[#This Row],[PRIMER_APELLIDO]])</f>
        <v>Aleman</v>
      </c>
    </row>
    <row r="616" spans="1:54" x14ac:dyDescent="0.25">
      <c r="A616" s="2">
        <v>615</v>
      </c>
      <c r="B616" s="2">
        <v>37606</v>
      </c>
      <c r="C616" s="2" t="s">
        <v>619</v>
      </c>
      <c r="D616" s="2" t="s">
        <v>620</v>
      </c>
      <c r="E616" s="2" t="s">
        <v>4509</v>
      </c>
      <c r="F616" s="2">
        <v>23347397</v>
      </c>
      <c r="G616" s="3">
        <v>37.238356164383561</v>
      </c>
      <c r="H616" s="2" t="s">
        <v>622</v>
      </c>
      <c r="I616" s="2" t="s">
        <v>4510</v>
      </c>
      <c r="J616" s="2" t="str">
        <f>+IF(BD[[#This Row],[DEPARTAMENTO_INSS]]="MANAGUA","_01_","_02_")</f>
        <v>_01_</v>
      </c>
      <c r="K616" s="2" t="str">
        <f>+CONCATENATE(BD[[#This Row],[Columna3]],BD[[#This Row],[Columna4]],BD[[#This Row],[NOMBRE COMPLETO]])</f>
        <v>E003_01_JUAN MANUEL SANCHEZ FUENTES</v>
      </c>
      <c r="L616" s="2" t="s">
        <v>825</v>
      </c>
      <c r="M616" s="2" t="s">
        <v>648</v>
      </c>
      <c r="N616" s="2" t="s">
        <v>90</v>
      </c>
      <c r="O616" s="2" t="s">
        <v>379</v>
      </c>
      <c r="P616" s="2" t="s">
        <v>649</v>
      </c>
      <c r="Q616" s="2" t="s">
        <v>351</v>
      </c>
      <c r="R616" s="2">
        <v>31204</v>
      </c>
      <c r="S616" s="2">
        <v>31204</v>
      </c>
      <c r="T616" s="2" t="s">
        <v>176</v>
      </c>
      <c r="U616" s="2" t="s">
        <v>627</v>
      </c>
      <c r="V616" s="2" t="s">
        <v>650</v>
      </c>
      <c r="W616" s="2" t="s">
        <v>1498</v>
      </c>
      <c r="X616" s="2" t="s">
        <v>4511</v>
      </c>
      <c r="Y616" s="2" t="s">
        <v>4512</v>
      </c>
      <c r="Z616" s="2">
        <v>77205214</v>
      </c>
      <c r="AA616" s="2">
        <v>87759875</v>
      </c>
      <c r="AB616" s="2" t="s">
        <v>654</v>
      </c>
      <c r="AC616" s="2" t="s">
        <v>632</v>
      </c>
      <c r="AD616" s="2">
        <v>77205214</v>
      </c>
      <c r="AF616" s="2">
        <v>87759875</v>
      </c>
      <c r="AJ616" s="2">
        <v>77205214</v>
      </c>
      <c r="AK616" s="2">
        <v>2</v>
      </c>
      <c r="AL616" s="2" t="s">
        <v>633</v>
      </c>
      <c r="AM616" s="2">
        <v>0</v>
      </c>
      <c r="AN616" s="2">
        <v>0</v>
      </c>
      <c r="AO616" s="2">
        <v>1</v>
      </c>
      <c r="AP616" s="2">
        <v>0</v>
      </c>
      <c r="AQ616" s="2">
        <v>0</v>
      </c>
      <c r="AR616" s="2">
        <v>0</v>
      </c>
      <c r="AS616" s="2">
        <v>0</v>
      </c>
      <c r="AT616" s="2">
        <v>0</v>
      </c>
      <c r="AZ616" s="2" t="s">
        <v>4513</v>
      </c>
      <c r="BB616" s="2" t="str">
        <f>+PROPER(BD[[#This Row],[PRIMER_APELLIDO]])</f>
        <v>Sanchez</v>
      </c>
    </row>
    <row r="617" spans="1:54" x14ac:dyDescent="0.25">
      <c r="A617" s="2">
        <v>616</v>
      </c>
      <c r="B617" s="2">
        <v>58726</v>
      </c>
      <c r="C617" s="2" t="s">
        <v>619</v>
      </c>
      <c r="D617" s="2" t="s">
        <v>620</v>
      </c>
      <c r="E617" s="2" t="s">
        <v>4514</v>
      </c>
      <c r="G617" s="3">
        <v>37.238356164383561</v>
      </c>
      <c r="H617" s="2" t="s">
        <v>622</v>
      </c>
      <c r="I617" s="2" t="s">
        <v>4515</v>
      </c>
      <c r="J617" s="2" t="str">
        <f>+IF(BD[[#This Row],[DEPARTAMENTO_INSS]]="MANAGUA","_01_","_02_")</f>
        <v>_02_</v>
      </c>
      <c r="K617" s="2" t="str">
        <f>+CONCATENATE(BD[[#This Row],[Columna3]],BD[[#This Row],[Columna4]],BD[[#This Row],[NOMBRE COMPLETO]])</f>
        <v>E003_02_ALVARO ANTONIO COLINDRES RIVERA</v>
      </c>
      <c r="L617" s="2" t="s">
        <v>1156</v>
      </c>
      <c r="M617" s="2" t="s">
        <v>904</v>
      </c>
      <c r="N617" s="2" t="s">
        <v>371</v>
      </c>
      <c r="O617" s="2" t="s">
        <v>198</v>
      </c>
      <c r="P617" s="2" t="s">
        <v>649</v>
      </c>
      <c r="Q617" s="2" t="s">
        <v>351</v>
      </c>
      <c r="R617" s="2">
        <v>31204</v>
      </c>
      <c r="S617" s="2">
        <v>31204</v>
      </c>
      <c r="T617" s="2" t="s">
        <v>1104</v>
      </c>
      <c r="U617" s="2" t="s">
        <v>1104</v>
      </c>
      <c r="V617" s="2" t="s">
        <v>1224</v>
      </c>
      <c r="W617" s="2" t="s">
        <v>4516</v>
      </c>
      <c r="X617" s="2" t="s">
        <v>4517</v>
      </c>
      <c r="Y617" s="2" t="s">
        <v>4518</v>
      </c>
      <c r="Z617" s="2">
        <v>86600174</v>
      </c>
      <c r="AA617" s="2" t="s">
        <v>4519</v>
      </c>
      <c r="AB617" s="2" t="s">
        <v>798</v>
      </c>
      <c r="AC617" s="2" t="s">
        <v>632</v>
      </c>
      <c r="AD617" s="2">
        <v>86600174</v>
      </c>
      <c r="AE617" s="2">
        <v>84388887</v>
      </c>
      <c r="AF617" s="2">
        <v>85324495</v>
      </c>
      <c r="AJ617" s="2">
        <v>86600174</v>
      </c>
      <c r="AK617" s="2">
        <v>3</v>
      </c>
      <c r="AL617" s="2" t="s">
        <v>633</v>
      </c>
      <c r="AM617" s="2">
        <v>0</v>
      </c>
      <c r="AN617" s="2">
        <v>0</v>
      </c>
      <c r="AO617" s="2">
        <v>1</v>
      </c>
      <c r="AP617" s="2">
        <v>0</v>
      </c>
      <c r="AQ617" s="2">
        <v>0</v>
      </c>
      <c r="AR617" s="2">
        <v>0</v>
      </c>
      <c r="AS617" s="2">
        <v>0</v>
      </c>
      <c r="AT617" s="2">
        <v>0</v>
      </c>
      <c r="AZ617" s="2" t="s">
        <v>4520</v>
      </c>
      <c r="BB617" s="2" t="str">
        <f>+PROPER(BD[[#This Row],[PRIMER_APELLIDO]])</f>
        <v>Colindres</v>
      </c>
    </row>
    <row r="618" spans="1:54" x14ac:dyDescent="0.25">
      <c r="A618" s="2">
        <v>617</v>
      </c>
      <c r="B618" s="2">
        <v>35107</v>
      </c>
      <c r="C618" s="2" t="s">
        <v>619</v>
      </c>
      <c r="D618" s="2" t="s">
        <v>620</v>
      </c>
      <c r="E618" s="2" t="s">
        <v>4521</v>
      </c>
      <c r="F618" s="2">
        <v>22117966</v>
      </c>
      <c r="G618" s="3">
        <v>37.243835616438353</v>
      </c>
      <c r="H618" s="2" t="s">
        <v>622</v>
      </c>
      <c r="I618" s="2" t="s">
        <v>4522</v>
      </c>
      <c r="J618" s="2" t="str">
        <f>+IF(BD[[#This Row],[DEPARTAMENTO_INSS]]="MANAGUA","_01_","_02_")</f>
        <v>_01_</v>
      </c>
      <c r="K618" s="2" t="str">
        <f>+CONCATENATE(BD[[#This Row],[Columna3]],BD[[#This Row],[Columna4]],BD[[#This Row],[NOMBRE COMPLETO]])</f>
        <v>E003_01_GINHAYDEE GABRIELA GARCIA NUÑEZ</v>
      </c>
      <c r="L618" s="2" t="s">
        <v>4523</v>
      </c>
      <c r="M618" s="2" t="s">
        <v>1211</v>
      </c>
      <c r="N618" s="2" t="s">
        <v>10</v>
      </c>
      <c r="O618" s="2" t="s">
        <v>166</v>
      </c>
      <c r="P618" s="2" t="s">
        <v>626</v>
      </c>
      <c r="Q618" s="2" t="s">
        <v>351</v>
      </c>
      <c r="R618" s="2">
        <v>31202</v>
      </c>
      <c r="S618" s="2">
        <v>31202</v>
      </c>
      <c r="T618" s="2" t="s">
        <v>627</v>
      </c>
      <c r="U618" s="2" t="s">
        <v>627</v>
      </c>
      <c r="V618" s="2" t="s">
        <v>627</v>
      </c>
      <c r="W618" s="2" t="s">
        <v>627</v>
      </c>
      <c r="X618" s="2" t="s">
        <v>4524</v>
      </c>
      <c r="Y618" s="2" t="s">
        <v>4525</v>
      </c>
      <c r="AA618" s="2">
        <v>88813729</v>
      </c>
      <c r="AB618" s="2" t="s">
        <v>642</v>
      </c>
      <c r="AC618" s="2" t="s">
        <v>632</v>
      </c>
      <c r="AD618" s="2">
        <v>88813729</v>
      </c>
      <c r="AJ618" s="2">
        <v>88813729</v>
      </c>
      <c r="AK618" s="2">
        <v>1</v>
      </c>
      <c r="AL618" s="2" t="s">
        <v>633</v>
      </c>
      <c r="AM618" s="2">
        <v>0</v>
      </c>
      <c r="AN618" s="2">
        <v>0</v>
      </c>
      <c r="AO618" s="2">
        <v>1</v>
      </c>
      <c r="AP618" s="2">
        <v>0</v>
      </c>
      <c r="AQ618" s="2">
        <v>0</v>
      </c>
      <c r="AR618" s="2">
        <v>0</v>
      </c>
      <c r="AS618" s="2">
        <v>0</v>
      </c>
      <c r="AT618" s="2">
        <v>0</v>
      </c>
      <c r="BB618" s="2" t="str">
        <f>+PROPER(BD[[#This Row],[PRIMER_APELLIDO]])</f>
        <v>Garcia</v>
      </c>
    </row>
    <row r="619" spans="1:54" x14ac:dyDescent="0.25">
      <c r="A619" s="2">
        <v>618</v>
      </c>
      <c r="B619" s="2">
        <v>58169</v>
      </c>
      <c r="C619" s="2" t="s">
        <v>619</v>
      </c>
      <c r="D619" s="2" t="s">
        <v>620</v>
      </c>
      <c r="E619" s="2" t="s">
        <v>4526</v>
      </c>
      <c r="G619" s="3">
        <v>37.243835616438353</v>
      </c>
      <c r="H619" s="2" t="s">
        <v>622</v>
      </c>
      <c r="I619" s="2" t="s">
        <v>4527</v>
      </c>
      <c r="J619" s="2" t="str">
        <f>+IF(BD[[#This Row],[DEPARTAMENTO_INSS]]="MANAGUA","_01_","_02_")</f>
        <v>_01_</v>
      </c>
      <c r="K619" s="2" t="str">
        <f>+CONCATENATE(BD[[#This Row],[Columna3]],BD[[#This Row],[Columna4]],BD[[#This Row],[NOMBRE COMPLETO]])</f>
        <v>E003_01_SORAYDA GIOCONDA CAJINA JIMENEZ</v>
      </c>
      <c r="L619" s="2" t="s">
        <v>4528</v>
      </c>
      <c r="M619" s="2" t="s">
        <v>4529</v>
      </c>
      <c r="N619" s="2" t="s">
        <v>26</v>
      </c>
      <c r="O619" s="2" t="s">
        <v>467</v>
      </c>
      <c r="P619" s="2" t="s">
        <v>626</v>
      </c>
      <c r="Q619" s="2" t="s">
        <v>351</v>
      </c>
      <c r="R619" s="2">
        <v>31202</v>
      </c>
      <c r="S619" s="2">
        <v>31202</v>
      </c>
      <c r="T619" s="2" t="s">
        <v>627</v>
      </c>
      <c r="U619" s="2" t="s">
        <v>627</v>
      </c>
      <c r="V619" s="2" t="s">
        <v>627</v>
      </c>
      <c r="W619" s="2" t="s">
        <v>1498</v>
      </c>
      <c r="X619" s="2" t="s">
        <v>4530</v>
      </c>
      <c r="Y619" s="2" t="s">
        <v>4531</v>
      </c>
      <c r="Z619" s="2">
        <v>86377316</v>
      </c>
      <c r="AA619" s="2" t="s">
        <v>4532</v>
      </c>
      <c r="AB619" s="2" t="s">
        <v>642</v>
      </c>
      <c r="AC619" s="2" t="s">
        <v>632</v>
      </c>
      <c r="AD619" s="2">
        <v>86377316</v>
      </c>
      <c r="AH619" s="2">
        <v>86377316</v>
      </c>
      <c r="AJ619" s="2">
        <v>86377316</v>
      </c>
      <c r="AK619" s="2">
        <v>4</v>
      </c>
      <c r="AL619" s="2" t="s">
        <v>633</v>
      </c>
      <c r="AM619" s="2">
        <v>0</v>
      </c>
      <c r="AN619" s="2">
        <v>0</v>
      </c>
      <c r="AO619" s="2">
        <v>1</v>
      </c>
      <c r="AP619" s="2">
        <v>0</v>
      </c>
      <c r="AQ619" s="2">
        <v>0</v>
      </c>
      <c r="AR619" s="2">
        <v>0</v>
      </c>
      <c r="AS619" s="2">
        <v>0</v>
      </c>
      <c r="AT619" s="2">
        <v>0</v>
      </c>
      <c r="BB619" s="2" t="str">
        <f>+PROPER(BD[[#This Row],[PRIMER_APELLIDO]])</f>
        <v>Cajina</v>
      </c>
    </row>
    <row r="620" spans="1:54" x14ac:dyDescent="0.25">
      <c r="A620" s="2">
        <v>619</v>
      </c>
      <c r="B620" s="2">
        <v>62320</v>
      </c>
      <c r="C620" s="2" t="s">
        <v>619</v>
      </c>
      <c r="D620" s="2" t="s">
        <v>620</v>
      </c>
      <c r="E620" s="2" t="s">
        <v>4533</v>
      </c>
      <c r="G620" s="3">
        <v>37.246575342465754</v>
      </c>
      <c r="H620" s="2" t="s">
        <v>622</v>
      </c>
      <c r="I620" s="2" t="s">
        <v>4534</v>
      </c>
      <c r="J620" s="2" t="str">
        <f>+IF(BD[[#This Row],[DEPARTAMENTO_INSS]]="MANAGUA","_01_","_02_")</f>
        <v>_02_</v>
      </c>
      <c r="K620" s="2" t="str">
        <f>+CONCATENATE(BD[[#This Row],[Columna3]],BD[[#This Row],[Columna4]],BD[[#This Row],[NOMBRE COMPLETO]])</f>
        <v>E003_02_KARLA DE LA CONCEPCION CENTENO UREY</v>
      </c>
      <c r="L620" s="2" t="s">
        <v>746</v>
      </c>
      <c r="M620" s="2" t="s">
        <v>4535</v>
      </c>
      <c r="N620" s="2" t="s">
        <v>116</v>
      </c>
      <c r="O620" s="2" t="s">
        <v>529</v>
      </c>
      <c r="P620" s="2" t="s">
        <v>626</v>
      </c>
      <c r="Q620" s="2" t="s">
        <v>351</v>
      </c>
      <c r="R620" s="2">
        <v>31201</v>
      </c>
      <c r="S620" s="2">
        <v>31201</v>
      </c>
      <c r="T620" s="2" t="s">
        <v>705</v>
      </c>
      <c r="U620" s="2" t="s">
        <v>705</v>
      </c>
      <c r="V620" s="2" t="s">
        <v>705</v>
      </c>
      <c r="W620" s="2" t="s">
        <v>705</v>
      </c>
      <c r="X620" s="2" t="s">
        <v>4536</v>
      </c>
      <c r="Y620" s="2" t="s">
        <v>4537</v>
      </c>
      <c r="Z620" s="2">
        <v>85742753</v>
      </c>
      <c r="AA620" s="2" t="s">
        <v>4538</v>
      </c>
      <c r="AB620" s="2" t="s">
        <v>773</v>
      </c>
      <c r="AC620" s="2" t="s">
        <v>632</v>
      </c>
      <c r="AD620" s="2">
        <v>85742753</v>
      </c>
      <c r="AE620" s="2">
        <v>57409175</v>
      </c>
      <c r="AJ620" s="2">
        <v>85742753</v>
      </c>
      <c r="AK620" s="2">
        <v>3</v>
      </c>
      <c r="AL620" s="2" t="s">
        <v>633</v>
      </c>
      <c r="AM620" s="2">
        <v>0</v>
      </c>
      <c r="AN620" s="2">
        <v>0</v>
      </c>
      <c r="AO620" s="2">
        <v>1</v>
      </c>
      <c r="AP620" s="2">
        <v>0</v>
      </c>
      <c r="AQ620" s="2">
        <v>0</v>
      </c>
      <c r="AR620" s="2">
        <v>0</v>
      </c>
      <c r="AS620" s="2">
        <v>0</v>
      </c>
      <c r="AT620" s="2">
        <v>0</v>
      </c>
      <c r="AZ620" s="2" t="s">
        <v>4539</v>
      </c>
      <c r="BB620" s="2" t="str">
        <f>+PROPER(BD[[#This Row],[PRIMER_APELLIDO]])</f>
        <v>Centeno</v>
      </c>
    </row>
    <row r="621" spans="1:54" x14ac:dyDescent="0.25">
      <c r="A621" s="2">
        <v>620</v>
      </c>
      <c r="B621" s="2">
        <v>60880</v>
      </c>
      <c r="C621" s="2" t="s">
        <v>619</v>
      </c>
      <c r="D621" s="2" t="s">
        <v>620</v>
      </c>
      <c r="E621" s="2" t="s">
        <v>4540</v>
      </c>
      <c r="G621" s="3">
        <v>37.257534246575339</v>
      </c>
      <c r="H621" s="2" t="s">
        <v>622</v>
      </c>
      <c r="I621" s="2" t="s">
        <v>4541</v>
      </c>
      <c r="J621" s="2" t="str">
        <f>+IF(BD[[#This Row],[DEPARTAMENTO_INSS]]="MANAGUA","_01_","_02_")</f>
        <v>_01_</v>
      </c>
      <c r="K621" s="2" t="str">
        <f>+CONCATENATE(BD[[#This Row],[Columna3]],BD[[#This Row],[Columna4]],BD[[#This Row],[NOMBRE COMPLETO]])</f>
        <v>E003_01_JOSE EDUARDO HENRIQUEZ HENRIQUEZ</v>
      </c>
      <c r="L621" s="2" t="s">
        <v>243</v>
      </c>
      <c r="M621" s="2" t="s">
        <v>1548</v>
      </c>
      <c r="N621" s="2" t="s">
        <v>366</v>
      </c>
      <c r="O621" s="2" t="s">
        <v>366</v>
      </c>
      <c r="P621" s="2" t="s">
        <v>649</v>
      </c>
      <c r="Q621" s="2" t="s">
        <v>351</v>
      </c>
      <c r="R621" s="2">
        <v>31197</v>
      </c>
      <c r="S621" s="2">
        <v>31197</v>
      </c>
      <c r="T621" s="2" t="s">
        <v>1005</v>
      </c>
      <c r="U621" s="2" t="s">
        <v>627</v>
      </c>
      <c r="V621" s="2" t="s">
        <v>1006</v>
      </c>
      <c r="W621" s="2" t="s">
        <v>627</v>
      </c>
      <c r="X621" s="2" t="s">
        <v>4542</v>
      </c>
      <c r="Y621" s="2" t="s">
        <v>4543</v>
      </c>
      <c r="AA621" s="2">
        <v>86439926</v>
      </c>
      <c r="AB621" s="2" t="s">
        <v>798</v>
      </c>
      <c r="AC621" s="2" t="s">
        <v>632</v>
      </c>
      <c r="AD621" s="2">
        <v>86439926</v>
      </c>
      <c r="AJ621" s="2">
        <v>86439926</v>
      </c>
      <c r="AK621" s="2">
        <v>1</v>
      </c>
      <c r="AL621" s="2" t="s">
        <v>633</v>
      </c>
      <c r="AM621" s="2">
        <v>0</v>
      </c>
      <c r="AN621" s="2">
        <v>0</v>
      </c>
      <c r="AO621" s="2">
        <v>1</v>
      </c>
      <c r="AP621" s="2">
        <v>0</v>
      </c>
      <c r="AQ621" s="2">
        <v>0</v>
      </c>
      <c r="AR621" s="2">
        <v>0</v>
      </c>
      <c r="AS621" s="2">
        <v>0</v>
      </c>
      <c r="AT621" s="2">
        <v>0</v>
      </c>
      <c r="BB621" s="2" t="str">
        <f>+PROPER(BD[[#This Row],[PRIMER_APELLIDO]])</f>
        <v>Henriquez</v>
      </c>
    </row>
    <row r="622" spans="1:54" x14ac:dyDescent="0.25">
      <c r="A622" s="2">
        <v>621</v>
      </c>
      <c r="B622" s="2">
        <v>63471</v>
      </c>
      <c r="C622" s="2" t="s">
        <v>619</v>
      </c>
      <c r="D622" s="2" t="s">
        <v>620</v>
      </c>
      <c r="E622" s="2" t="s">
        <v>4544</v>
      </c>
      <c r="G622" s="3">
        <v>37.260273972602739</v>
      </c>
      <c r="H622" s="2" t="s">
        <v>622</v>
      </c>
      <c r="I622" s="2" t="s">
        <v>4545</v>
      </c>
      <c r="J622" s="2" t="str">
        <f>+IF(BD[[#This Row],[DEPARTAMENTO_INSS]]="MANAGUA","_01_","_02_")</f>
        <v>_02_</v>
      </c>
      <c r="K622" s="2" t="str">
        <f>+CONCATENATE(BD[[#This Row],[Columna3]],BD[[#This Row],[Columna4]],BD[[#This Row],[NOMBRE COMPLETO]])</f>
        <v>E003_02_CÉSAR AUGUSTO BLANDÓN ARÁUZ</v>
      </c>
      <c r="L622" s="2" t="s">
        <v>4546</v>
      </c>
      <c r="M622" s="2" t="s">
        <v>1969</v>
      </c>
      <c r="N622" s="2" t="s">
        <v>296</v>
      </c>
      <c r="O622" s="2" t="s">
        <v>313</v>
      </c>
      <c r="P622" s="2" t="s">
        <v>649</v>
      </c>
      <c r="Q622" s="2" t="s">
        <v>351</v>
      </c>
      <c r="R622" s="2">
        <v>31196</v>
      </c>
      <c r="S622" s="2">
        <v>31196</v>
      </c>
      <c r="T622" s="2" t="s">
        <v>659</v>
      </c>
      <c r="U622" s="2" t="s">
        <v>659</v>
      </c>
      <c r="V622" s="2" t="s">
        <v>1819</v>
      </c>
      <c r="W622" s="2" t="s">
        <v>4547</v>
      </c>
      <c r="X622" s="2" t="s">
        <v>4548</v>
      </c>
      <c r="Y622" s="2" t="s">
        <v>4549</v>
      </c>
      <c r="AA622" s="2">
        <v>84258469</v>
      </c>
      <c r="AB622" s="2" t="s">
        <v>654</v>
      </c>
      <c r="AC622" s="2" t="s">
        <v>632</v>
      </c>
      <c r="AD622" s="2">
        <v>84258469</v>
      </c>
      <c r="AJ622" s="2">
        <v>84258469</v>
      </c>
      <c r="AK622" s="2">
        <v>1</v>
      </c>
      <c r="AL622" s="2" t="s">
        <v>633</v>
      </c>
      <c r="AM622" s="2">
        <v>0</v>
      </c>
      <c r="AN622" s="2">
        <v>0</v>
      </c>
      <c r="AO622" s="2">
        <v>1</v>
      </c>
      <c r="AP622" s="2">
        <v>0</v>
      </c>
      <c r="AQ622" s="2">
        <v>0</v>
      </c>
      <c r="AR622" s="2">
        <v>0</v>
      </c>
      <c r="AS622" s="2">
        <v>0</v>
      </c>
      <c r="AT622" s="2">
        <v>0</v>
      </c>
      <c r="BB622" s="2" t="str">
        <f>+PROPER(BD[[#This Row],[PRIMER_APELLIDO]])</f>
        <v>Blandón</v>
      </c>
    </row>
    <row r="623" spans="1:54" x14ac:dyDescent="0.25">
      <c r="A623" s="2">
        <v>622</v>
      </c>
      <c r="B623" s="2">
        <v>67773</v>
      </c>
      <c r="C623" s="2" t="s">
        <v>619</v>
      </c>
      <c r="D623" s="2" t="s">
        <v>620</v>
      </c>
      <c r="E623" s="2" t="s">
        <v>4550</v>
      </c>
      <c r="G623" s="3">
        <v>37.263013698630139</v>
      </c>
      <c r="H623" s="2" t="s">
        <v>622</v>
      </c>
      <c r="I623" s="2" t="s">
        <v>4551</v>
      </c>
      <c r="J623" s="2" t="str">
        <f>+IF(BD[[#This Row],[DEPARTAMENTO_INSS]]="MANAGUA","_01_","_02_")</f>
        <v>_02_</v>
      </c>
      <c r="K623" s="2" t="str">
        <f>+CONCATENATE(BD[[#This Row],[Columna3]],BD[[#This Row],[Columna4]],BD[[#This Row],[NOMBRE COMPLETO]])</f>
        <v>E003_02_ELDERNEY RIVAS IGLESIAS</v>
      </c>
      <c r="L623" s="2" t="s">
        <v>4552</v>
      </c>
      <c r="N623" s="2" t="s">
        <v>186</v>
      </c>
      <c r="O623" s="2" t="s">
        <v>435</v>
      </c>
      <c r="P623" s="2" t="s">
        <v>649</v>
      </c>
      <c r="Q623" s="2" t="s">
        <v>351</v>
      </c>
      <c r="R623" s="2">
        <v>31195</v>
      </c>
      <c r="S623" s="2">
        <v>31195</v>
      </c>
      <c r="T623" s="2" t="s">
        <v>627</v>
      </c>
      <c r="U623" s="2" t="s">
        <v>1044</v>
      </c>
      <c r="V623" s="2" t="s">
        <v>627</v>
      </c>
      <c r="W623" s="2" t="s">
        <v>1045</v>
      </c>
      <c r="X623" s="2" t="s">
        <v>4553</v>
      </c>
      <c r="Y623" s="2" t="s">
        <v>4554</v>
      </c>
      <c r="Z623" s="2">
        <v>86990157</v>
      </c>
      <c r="AB623" s="2" t="s">
        <v>654</v>
      </c>
      <c r="AC623" s="2" t="s">
        <v>632</v>
      </c>
      <c r="AD623" s="2">
        <v>86990157</v>
      </c>
      <c r="AJ623" s="2">
        <v>86990157</v>
      </c>
      <c r="AK623" s="2">
        <v>1</v>
      </c>
      <c r="AL623" s="2" t="s">
        <v>633</v>
      </c>
      <c r="AM623" s="2">
        <v>0</v>
      </c>
      <c r="AN623" s="2">
        <v>0</v>
      </c>
      <c r="AO623" s="2">
        <v>1</v>
      </c>
      <c r="AP623" s="2">
        <v>0</v>
      </c>
      <c r="AQ623" s="2">
        <v>0</v>
      </c>
      <c r="AR623" s="2">
        <v>0</v>
      </c>
      <c r="AS623" s="2">
        <v>0</v>
      </c>
      <c r="AT623" s="2">
        <v>0</v>
      </c>
      <c r="AZ623" s="2" t="s">
        <v>4555</v>
      </c>
      <c r="BB623" s="2" t="str">
        <f>+PROPER(BD[[#This Row],[PRIMER_APELLIDO]])</f>
        <v>Rivas</v>
      </c>
    </row>
    <row r="624" spans="1:54" x14ac:dyDescent="0.25">
      <c r="A624" s="2">
        <v>623</v>
      </c>
      <c r="B624" s="2">
        <v>41100</v>
      </c>
      <c r="C624" s="2" t="s">
        <v>619</v>
      </c>
      <c r="D624" s="2" t="s">
        <v>620</v>
      </c>
      <c r="E624" s="2" t="s">
        <v>4556</v>
      </c>
      <c r="F624" s="2">
        <v>23108181</v>
      </c>
      <c r="G624" s="3">
        <v>37.265753424657532</v>
      </c>
      <c r="H624" s="2" t="s">
        <v>622</v>
      </c>
      <c r="I624" s="2" t="s">
        <v>4557</v>
      </c>
      <c r="J624" s="2" t="str">
        <f>+IF(BD[[#This Row],[DEPARTAMENTO_INSS]]="MANAGUA","_01_","_02_")</f>
        <v>_02_</v>
      </c>
      <c r="K624" s="2" t="str">
        <f>+CONCATENATE(BD[[#This Row],[Columna3]],BD[[#This Row],[Columna4]],BD[[#This Row],[NOMBRE COMPLETO]])</f>
        <v>E003_02_KARLA PATRICIA BERMUDEZ ESTEBAN</v>
      </c>
      <c r="L624" s="2" t="s">
        <v>746</v>
      </c>
      <c r="M624" s="2" t="s">
        <v>747</v>
      </c>
      <c r="N624" s="2" t="s">
        <v>315</v>
      </c>
      <c r="O624" s="2" t="s">
        <v>4190</v>
      </c>
      <c r="P624" s="2" t="s">
        <v>626</v>
      </c>
      <c r="Q624" s="2" t="s">
        <v>351</v>
      </c>
      <c r="R624" s="2">
        <v>31194</v>
      </c>
      <c r="S624" s="2">
        <v>31194</v>
      </c>
      <c r="T624" s="2" t="s">
        <v>133</v>
      </c>
      <c r="U624" s="2" t="s">
        <v>133</v>
      </c>
      <c r="V624" s="2" t="s">
        <v>891</v>
      </c>
      <c r="W624" s="2" t="s">
        <v>891</v>
      </c>
      <c r="X624" s="2" t="s">
        <v>4558</v>
      </c>
      <c r="Y624" s="2" t="s">
        <v>4559</v>
      </c>
      <c r="AA624" s="2">
        <v>84809751</v>
      </c>
      <c r="AB624" s="2" t="s">
        <v>654</v>
      </c>
      <c r="AC624" s="2" t="s">
        <v>632</v>
      </c>
      <c r="AD624" s="2">
        <v>84809751</v>
      </c>
      <c r="AJ624" s="2">
        <v>84809751</v>
      </c>
      <c r="AK624" s="2">
        <v>1</v>
      </c>
      <c r="AL624" s="2" t="s">
        <v>633</v>
      </c>
      <c r="AM624" s="2">
        <v>0</v>
      </c>
      <c r="AN624" s="2">
        <v>0</v>
      </c>
      <c r="AO624" s="2">
        <v>1</v>
      </c>
      <c r="AP624" s="2">
        <v>0</v>
      </c>
      <c r="AQ624" s="2">
        <v>0</v>
      </c>
      <c r="AR624" s="2">
        <v>0</v>
      </c>
      <c r="AS624" s="2">
        <v>0</v>
      </c>
      <c r="AT624" s="2">
        <v>0</v>
      </c>
      <c r="BB624" s="2" t="str">
        <f>+PROPER(BD[[#This Row],[PRIMER_APELLIDO]])</f>
        <v>Bermudez</v>
      </c>
    </row>
    <row r="625" spans="1:54" x14ac:dyDescent="0.25">
      <c r="A625" s="2">
        <v>624</v>
      </c>
      <c r="B625" s="2">
        <v>39302</v>
      </c>
      <c r="C625" s="2" t="s">
        <v>619</v>
      </c>
      <c r="D625" s="2" t="s">
        <v>620</v>
      </c>
      <c r="E625" s="2" t="s">
        <v>4560</v>
      </c>
      <c r="F625" s="2">
        <v>23112359</v>
      </c>
      <c r="G625" s="3">
        <v>37.279452054794518</v>
      </c>
      <c r="H625" s="2" t="s">
        <v>622</v>
      </c>
      <c r="I625" s="2" t="s">
        <v>4561</v>
      </c>
      <c r="J625" s="2" t="str">
        <f>+IF(BD[[#This Row],[DEPARTAMENTO_INSS]]="MANAGUA","_01_","_02_")</f>
        <v>_01_</v>
      </c>
      <c r="K625" s="2" t="str">
        <f>+CONCATENATE(BD[[#This Row],[Columna3]],BD[[#This Row],[Columna4]],BD[[#This Row],[NOMBRE COMPLETO]])</f>
        <v>E003_01_SILVIA ALEJANDRA ESPINOZA LOPEZ</v>
      </c>
      <c r="L625" s="2" t="s">
        <v>638</v>
      </c>
      <c r="M625" s="2" t="s">
        <v>1242</v>
      </c>
      <c r="N625" s="2" t="s">
        <v>235</v>
      </c>
      <c r="O625" s="2" t="s">
        <v>15</v>
      </c>
      <c r="P625" s="2" t="s">
        <v>626</v>
      </c>
      <c r="Q625" s="2" t="s">
        <v>351</v>
      </c>
      <c r="R625" s="2">
        <v>31189</v>
      </c>
      <c r="S625" s="2">
        <v>31189</v>
      </c>
      <c r="T625" s="2" t="s">
        <v>627</v>
      </c>
      <c r="U625" s="2" t="s">
        <v>627</v>
      </c>
      <c r="V625" s="2" t="s">
        <v>627</v>
      </c>
      <c r="W625" s="2" t="s">
        <v>627</v>
      </c>
      <c r="X625" s="2" t="s">
        <v>4562</v>
      </c>
      <c r="Y625" s="2" t="s">
        <v>4563</v>
      </c>
      <c r="AA625" s="2">
        <v>81722567</v>
      </c>
      <c r="AB625" s="2" t="s">
        <v>654</v>
      </c>
      <c r="AC625" s="2" t="s">
        <v>632</v>
      </c>
      <c r="AD625" s="2">
        <v>81722567</v>
      </c>
      <c r="AJ625" s="2">
        <v>81722567</v>
      </c>
      <c r="AK625" s="2">
        <v>1</v>
      </c>
      <c r="AL625" s="2" t="s">
        <v>633</v>
      </c>
      <c r="AM625" s="2">
        <v>0</v>
      </c>
      <c r="AN625" s="2">
        <v>0</v>
      </c>
      <c r="AO625" s="2">
        <v>1</v>
      </c>
      <c r="AP625" s="2">
        <v>0</v>
      </c>
      <c r="AQ625" s="2">
        <v>0</v>
      </c>
      <c r="AR625" s="2">
        <v>0</v>
      </c>
      <c r="AS625" s="2">
        <v>0</v>
      </c>
      <c r="AT625" s="2">
        <v>0</v>
      </c>
      <c r="BA625" s="2" t="s">
        <v>4564</v>
      </c>
      <c r="BB625" s="2" t="str">
        <f>+PROPER(BD[[#This Row],[PRIMER_APELLIDO]])</f>
        <v>Espinoza</v>
      </c>
    </row>
    <row r="626" spans="1:54" x14ac:dyDescent="0.25">
      <c r="A626" s="2">
        <v>625</v>
      </c>
      <c r="B626" s="2">
        <v>50382</v>
      </c>
      <c r="C626" s="2" t="s">
        <v>619</v>
      </c>
      <c r="D626" s="2" t="s">
        <v>620</v>
      </c>
      <c r="E626" s="2" t="s">
        <v>4565</v>
      </c>
      <c r="F626" s="2">
        <v>25021439</v>
      </c>
      <c r="G626" s="3">
        <v>37.279452054794518</v>
      </c>
      <c r="H626" s="2" t="s">
        <v>622</v>
      </c>
      <c r="I626" s="2" t="s">
        <v>4566</v>
      </c>
      <c r="J626" s="2" t="str">
        <f>+IF(BD[[#This Row],[DEPARTAMENTO_INSS]]="MANAGUA","_01_","_02_")</f>
        <v>_02_</v>
      </c>
      <c r="K626" s="2" t="str">
        <f>+CONCATENATE(BD[[#This Row],[Columna3]],BD[[#This Row],[Columna4]],BD[[#This Row],[NOMBRE COMPLETO]])</f>
        <v>E003_02_INDIRA RAYTI VALERIO ROJAS</v>
      </c>
      <c r="L626" s="2" t="s">
        <v>1091</v>
      </c>
      <c r="M626" s="2" t="s">
        <v>4567</v>
      </c>
      <c r="N626" s="2" t="s">
        <v>303</v>
      </c>
      <c r="O626" s="2" t="s">
        <v>105</v>
      </c>
      <c r="P626" s="2" t="s">
        <v>626</v>
      </c>
      <c r="Q626" s="2" t="s">
        <v>351</v>
      </c>
      <c r="R626" s="2">
        <v>31189</v>
      </c>
      <c r="S626" s="2">
        <v>31189</v>
      </c>
      <c r="T626" s="2" t="s">
        <v>627</v>
      </c>
      <c r="U626" s="2" t="s">
        <v>780</v>
      </c>
      <c r="V626" s="2" t="s">
        <v>627</v>
      </c>
      <c r="W626" s="2" t="s">
        <v>781</v>
      </c>
      <c r="X626" s="2" t="s">
        <v>4568</v>
      </c>
      <c r="Y626" s="2" t="s">
        <v>4569</v>
      </c>
      <c r="Z626" s="2">
        <v>84378759</v>
      </c>
      <c r="AA626" s="2">
        <v>84378759</v>
      </c>
      <c r="AB626" s="2" t="s">
        <v>631</v>
      </c>
      <c r="AC626" s="2" t="s">
        <v>632</v>
      </c>
      <c r="AD626" s="2">
        <v>84378759</v>
      </c>
      <c r="AJ626" s="2">
        <v>84378759</v>
      </c>
      <c r="AK626" s="2">
        <v>2</v>
      </c>
      <c r="AL626" s="2" t="s">
        <v>633</v>
      </c>
      <c r="AM626" s="2">
        <v>0</v>
      </c>
      <c r="AN626" s="2">
        <v>0</v>
      </c>
      <c r="AO626" s="2">
        <v>1</v>
      </c>
      <c r="AP626" s="2">
        <v>0</v>
      </c>
      <c r="AQ626" s="2">
        <v>0</v>
      </c>
      <c r="AR626" s="2">
        <v>0</v>
      </c>
      <c r="AS626" s="2">
        <v>0</v>
      </c>
      <c r="AT626" s="2">
        <v>0</v>
      </c>
      <c r="AZ626" s="2" t="s">
        <v>4570</v>
      </c>
      <c r="BB626" s="2" t="str">
        <f>+PROPER(BD[[#This Row],[PRIMER_APELLIDO]])</f>
        <v>Valerio</v>
      </c>
    </row>
    <row r="627" spans="1:54" x14ac:dyDescent="0.25">
      <c r="A627" s="2">
        <v>626</v>
      </c>
      <c r="B627" s="2">
        <v>49819</v>
      </c>
      <c r="C627" s="2" t="s">
        <v>619</v>
      </c>
      <c r="D627" s="2" t="s">
        <v>620</v>
      </c>
      <c r="E627" s="2" t="s">
        <v>4571</v>
      </c>
      <c r="F627" s="2">
        <v>25028597</v>
      </c>
      <c r="G627" s="3">
        <v>37.284931506849318</v>
      </c>
      <c r="H627" s="2" t="s">
        <v>622</v>
      </c>
      <c r="I627" s="2" t="s">
        <v>4572</v>
      </c>
      <c r="J627" s="2" t="str">
        <f>+IF(BD[[#This Row],[DEPARTAMENTO_INSS]]="MANAGUA","_01_","_02_")</f>
        <v>_01_</v>
      </c>
      <c r="K627" s="2" t="str">
        <f>+CONCATENATE(BD[[#This Row],[Columna3]],BD[[#This Row],[Columna4]],BD[[#This Row],[NOMBRE COMPLETO]])</f>
        <v>E003_01_JUANA MARIA LOPEZ BOJORGE</v>
      </c>
      <c r="L627" s="2" t="s">
        <v>1485</v>
      </c>
      <c r="M627" s="2" t="s">
        <v>724</v>
      </c>
      <c r="N627" s="2" t="s">
        <v>15</v>
      </c>
      <c r="O627" s="2" t="s">
        <v>216</v>
      </c>
      <c r="P627" s="2" t="s">
        <v>626</v>
      </c>
      <c r="Q627" s="2" t="s">
        <v>351</v>
      </c>
      <c r="R627" s="2">
        <v>31187</v>
      </c>
      <c r="S627" s="2">
        <v>31187</v>
      </c>
      <c r="T627" s="2" t="s">
        <v>627</v>
      </c>
      <c r="U627" s="2" t="s">
        <v>627</v>
      </c>
      <c r="V627" s="2" t="s">
        <v>1026</v>
      </c>
      <c r="W627" s="2" t="s">
        <v>1026</v>
      </c>
      <c r="X627" s="2" t="s">
        <v>4573</v>
      </c>
      <c r="Y627" s="2" t="s">
        <v>4574</v>
      </c>
      <c r="Z627" s="2">
        <v>86445147</v>
      </c>
      <c r="AA627" s="2">
        <v>85137319</v>
      </c>
      <c r="AB627" s="2" t="s">
        <v>631</v>
      </c>
      <c r="AC627" s="2" t="s">
        <v>632</v>
      </c>
      <c r="AD627" s="2">
        <v>86445147</v>
      </c>
      <c r="AF627" s="2">
        <v>85137319</v>
      </c>
      <c r="AJ627" s="2">
        <v>86445147</v>
      </c>
      <c r="AK627" s="2">
        <v>2</v>
      </c>
      <c r="AL627" s="2" t="s">
        <v>633</v>
      </c>
      <c r="AM627" s="2">
        <v>0</v>
      </c>
      <c r="AN627" s="2">
        <v>0</v>
      </c>
      <c r="AO627" s="2">
        <v>1</v>
      </c>
      <c r="AP627" s="2">
        <v>0</v>
      </c>
      <c r="AQ627" s="2">
        <v>0</v>
      </c>
      <c r="AR627" s="2">
        <v>0</v>
      </c>
      <c r="AS627" s="2">
        <v>0</v>
      </c>
      <c r="AT627" s="2">
        <v>0</v>
      </c>
      <c r="AZ627" s="2" t="s">
        <v>4575</v>
      </c>
      <c r="BB627" s="2" t="str">
        <f>+PROPER(BD[[#This Row],[PRIMER_APELLIDO]])</f>
        <v>Lopez</v>
      </c>
    </row>
    <row r="628" spans="1:54" x14ac:dyDescent="0.25">
      <c r="A628" s="2">
        <v>627</v>
      </c>
      <c r="B628" s="2">
        <v>35452</v>
      </c>
      <c r="C628" s="2" t="s">
        <v>619</v>
      </c>
      <c r="D628" s="2" t="s">
        <v>620</v>
      </c>
      <c r="E628" s="2" t="s">
        <v>4576</v>
      </c>
      <c r="F628" s="2">
        <v>21677063</v>
      </c>
      <c r="G628" s="3">
        <v>37.287671232876711</v>
      </c>
      <c r="H628" s="2" t="s">
        <v>622</v>
      </c>
      <c r="I628" s="2" t="s">
        <v>4577</v>
      </c>
      <c r="J628" s="2" t="str">
        <f>+IF(BD[[#This Row],[DEPARTAMENTO_INSS]]="MANAGUA","_01_","_02_")</f>
        <v>_02_</v>
      </c>
      <c r="K628" s="2" t="str">
        <f>+CONCATENATE(BD[[#This Row],[Columna3]],BD[[#This Row],[Columna4]],BD[[#This Row],[NOMBRE COMPLETO]])</f>
        <v>E003_02_MARTHA LIDUVINA DAVILA SANCHEZ</v>
      </c>
      <c r="L628" s="2" t="s">
        <v>1333</v>
      </c>
      <c r="M628" s="2" t="s">
        <v>4578</v>
      </c>
      <c r="N628" s="2" t="s">
        <v>88</v>
      </c>
      <c r="O628" s="2" t="s">
        <v>90</v>
      </c>
      <c r="P628" s="2" t="s">
        <v>626</v>
      </c>
      <c r="Q628" s="2" t="s">
        <v>351</v>
      </c>
      <c r="R628" s="2">
        <v>31186</v>
      </c>
      <c r="S628" s="2">
        <v>31186</v>
      </c>
      <c r="T628" s="2" t="s">
        <v>627</v>
      </c>
      <c r="U628" s="2" t="s">
        <v>176</v>
      </c>
      <c r="V628" s="2" t="s">
        <v>627</v>
      </c>
      <c r="W628" s="2" t="s">
        <v>176</v>
      </c>
      <c r="X628" s="2" t="s">
        <v>4579</v>
      </c>
      <c r="Y628" s="2" t="s">
        <v>4580</v>
      </c>
      <c r="AA628" s="2">
        <v>86447211</v>
      </c>
      <c r="AB628" s="2" t="s">
        <v>654</v>
      </c>
      <c r="AC628" s="2" t="s">
        <v>632</v>
      </c>
      <c r="AD628" s="2">
        <v>86447211</v>
      </c>
      <c r="AJ628" s="2">
        <v>86447211</v>
      </c>
      <c r="AK628" s="2">
        <v>1</v>
      </c>
      <c r="AL628" s="2" t="s">
        <v>633</v>
      </c>
      <c r="AM628" s="2">
        <v>0</v>
      </c>
      <c r="AN628" s="2">
        <v>0</v>
      </c>
      <c r="AO628" s="2">
        <v>1</v>
      </c>
      <c r="AP628" s="2">
        <v>0</v>
      </c>
      <c r="AQ628" s="2">
        <v>0</v>
      </c>
      <c r="AR628" s="2">
        <v>0</v>
      </c>
      <c r="AS628" s="2">
        <v>0</v>
      </c>
      <c r="AT628" s="2">
        <v>0</v>
      </c>
      <c r="BB628" s="2" t="str">
        <f>+PROPER(BD[[#This Row],[PRIMER_APELLIDO]])</f>
        <v>Davila</v>
      </c>
    </row>
    <row r="629" spans="1:54" x14ac:dyDescent="0.25">
      <c r="A629" s="2">
        <v>628</v>
      </c>
      <c r="B629" s="2">
        <v>43164</v>
      </c>
      <c r="C629" s="2" t="s">
        <v>619</v>
      </c>
      <c r="D629" s="2" t="s">
        <v>620</v>
      </c>
      <c r="E629" s="2" t="s">
        <v>4581</v>
      </c>
      <c r="F629" s="2">
        <v>24235666</v>
      </c>
      <c r="G629" s="3">
        <v>37.290410958904111</v>
      </c>
      <c r="H629" s="2" t="s">
        <v>622</v>
      </c>
      <c r="I629" s="2" t="s">
        <v>4582</v>
      </c>
      <c r="J629" s="2" t="str">
        <f>+IF(BD[[#This Row],[DEPARTAMENTO_INSS]]="MANAGUA","_01_","_02_")</f>
        <v>_02_</v>
      </c>
      <c r="K629" s="2" t="str">
        <f>+CONCATENATE(BD[[#This Row],[Columna3]],BD[[#This Row],[Columna4]],BD[[#This Row],[NOMBRE COMPLETO]])</f>
        <v>E003_02_URIEL ASAEL ROJAS MOLINA</v>
      </c>
      <c r="L629" s="2" t="s">
        <v>2486</v>
      </c>
      <c r="M629" s="2" t="s">
        <v>4583</v>
      </c>
      <c r="N629" s="2" t="s">
        <v>105</v>
      </c>
      <c r="O629" s="2" t="s">
        <v>63</v>
      </c>
      <c r="P629" s="2" t="s">
        <v>649</v>
      </c>
      <c r="Q629" s="2" t="s">
        <v>351</v>
      </c>
      <c r="R629" s="2">
        <v>31185</v>
      </c>
      <c r="S629" s="2">
        <v>31185</v>
      </c>
      <c r="T629" s="2" t="s">
        <v>627</v>
      </c>
      <c r="U629" s="2" t="s">
        <v>732</v>
      </c>
      <c r="V629" s="2" t="s">
        <v>627</v>
      </c>
      <c r="W629" s="2" t="s">
        <v>848</v>
      </c>
      <c r="X629" s="2" t="s">
        <v>4584</v>
      </c>
      <c r="Y629" s="2" t="s">
        <v>4585</v>
      </c>
      <c r="Z629" s="2">
        <v>81125416</v>
      </c>
      <c r="AA629" s="2">
        <v>81125416</v>
      </c>
      <c r="AB629" s="2" t="s">
        <v>654</v>
      </c>
      <c r="AC629" s="2" t="s">
        <v>632</v>
      </c>
      <c r="AD629" s="2">
        <v>81125416</v>
      </c>
      <c r="AJ629" s="2">
        <v>81125416</v>
      </c>
      <c r="AK629" s="2">
        <v>2</v>
      </c>
      <c r="AL629" s="2" t="s">
        <v>633</v>
      </c>
      <c r="AM629" s="2">
        <v>0</v>
      </c>
      <c r="AN629" s="2">
        <v>0</v>
      </c>
      <c r="AO629" s="2">
        <v>1</v>
      </c>
      <c r="AP629" s="2">
        <v>0</v>
      </c>
      <c r="AQ629" s="2">
        <v>0</v>
      </c>
      <c r="AR629" s="2">
        <v>0</v>
      </c>
      <c r="AS629" s="2">
        <v>0</v>
      </c>
      <c r="AT629" s="2">
        <v>0</v>
      </c>
      <c r="AZ629" s="2" t="s">
        <v>4586</v>
      </c>
      <c r="BA629" s="2" t="s">
        <v>4587</v>
      </c>
      <c r="BB629" s="2" t="str">
        <f>+PROPER(BD[[#This Row],[PRIMER_APELLIDO]])</f>
        <v>Rojas</v>
      </c>
    </row>
    <row r="630" spans="1:54" x14ac:dyDescent="0.25">
      <c r="A630" s="2">
        <v>629</v>
      </c>
      <c r="B630" s="2">
        <v>51710</v>
      </c>
      <c r="C630" s="2" t="s">
        <v>619</v>
      </c>
      <c r="D630" s="2" t="s">
        <v>620</v>
      </c>
      <c r="E630" s="2" t="s">
        <v>4588</v>
      </c>
      <c r="F630" s="2">
        <v>23960370</v>
      </c>
      <c r="G630" s="3">
        <v>37.293150684931504</v>
      </c>
      <c r="H630" s="2" t="s">
        <v>622</v>
      </c>
      <c r="I630" s="2" t="s">
        <v>4589</v>
      </c>
      <c r="J630" s="2" t="str">
        <f>+IF(BD[[#This Row],[DEPARTAMENTO_INSS]]="MANAGUA","_01_","_02_")</f>
        <v>_01_</v>
      </c>
      <c r="K630" s="2" t="str">
        <f>+CONCATENATE(BD[[#This Row],[Columna3]],BD[[#This Row],[Columna4]],BD[[#This Row],[NOMBRE COMPLETO]])</f>
        <v>E003_01_EMERSON DIXON ALTAMIRANO CASTELLON</v>
      </c>
      <c r="L630" s="2" t="s">
        <v>4590</v>
      </c>
      <c r="M630" s="2" t="s">
        <v>4591</v>
      </c>
      <c r="N630" s="2" t="s">
        <v>73</v>
      </c>
      <c r="O630" s="2" t="s">
        <v>22</v>
      </c>
      <c r="P630" s="2" t="s">
        <v>649</v>
      </c>
      <c r="Q630" s="2" t="s">
        <v>351</v>
      </c>
      <c r="R630" s="2">
        <v>31184</v>
      </c>
      <c r="S630" s="2">
        <v>31184</v>
      </c>
      <c r="T630" s="2" t="s">
        <v>627</v>
      </c>
      <c r="U630" s="2" t="s">
        <v>627</v>
      </c>
      <c r="V630" s="2" t="s">
        <v>627</v>
      </c>
      <c r="W630" s="2" t="s">
        <v>627</v>
      </c>
      <c r="X630" s="2" t="s">
        <v>4592</v>
      </c>
      <c r="Y630" s="2" t="s">
        <v>4593</v>
      </c>
      <c r="Z630" s="2">
        <v>85326939</v>
      </c>
      <c r="AA630" s="2">
        <v>84222664</v>
      </c>
      <c r="AB630" s="2" t="s">
        <v>798</v>
      </c>
      <c r="AC630" s="2" t="s">
        <v>632</v>
      </c>
      <c r="AD630" s="2">
        <v>85326939</v>
      </c>
      <c r="AF630" s="2">
        <v>84222664</v>
      </c>
      <c r="AJ630" s="2">
        <v>85326939</v>
      </c>
      <c r="AK630" s="2">
        <v>2</v>
      </c>
      <c r="AL630" s="2" t="s">
        <v>633</v>
      </c>
      <c r="AM630" s="2">
        <v>0</v>
      </c>
      <c r="AN630" s="2">
        <v>0</v>
      </c>
      <c r="AO630" s="2">
        <v>1</v>
      </c>
      <c r="AP630" s="2">
        <v>0</v>
      </c>
      <c r="AQ630" s="2">
        <v>0</v>
      </c>
      <c r="AR630" s="2">
        <v>0</v>
      </c>
      <c r="AS630" s="2">
        <v>0</v>
      </c>
      <c r="AT630" s="2">
        <v>0</v>
      </c>
      <c r="AZ630" s="2" t="s">
        <v>4594</v>
      </c>
      <c r="BB630" s="2" t="str">
        <f>+PROPER(BD[[#This Row],[PRIMER_APELLIDO]])</f>
        <v>Altamirano</v>
      </c>
    </row>
    <row r="631" spans="1:54" x14ac:dyDescent="0.25">
      <c r="A631" s="2">
        <v>630</v>
      </c>
      <c r="B631" s="2">
        <v>58084</v>
      </c>
      <c r="C631" s="2" t="s">
        <v>619</v>
      </c>
      <c r="D631" s="2" t="s">
        <v>620</v>
      </c>
      <c r="E631" s="2" t="s">
        <v>4595</v>
      </c>
      <c r="G631" s="3">
        <v>37.295890410958904</v>
      </c>
      <c r="H631" s="2" t="s">
        <v>622</v>
      </c>
      <c r="I631" s="2" t="s">
        <v>4596</v>
      </c>
      <c r="J631" s="2" t="str">
        <f>+IF(BD[[#This Row],[DEPARTAMENTO_INSS]]="MANAGUA","_01_","_02_")</f>
        <v>_02_</v>
      </c>
      <c r="K631" s="2" t="str">
        <f>+CONCATENATE(BD[[#This Row],[Columna3]],BD[[#This Row],[Columna4]],BD[[#This Row],[NOMBRE COMPLETO]])</f>
        <v>E003_02_WENDY ANTONIETA VALLEJOS GONZALEZ</v>
      </c>
      <c r="L631" s="2" t="s">
        <v>4597</v>
      </c>
      <c r="M631" s="2" t="s">
        <v>4598</v>
      </c>
      <c r="N631" s="2" t="s">
        <v>102</v>
      </c>
      <c r="O631" s="2" t="s">
        <v>14</v>
      </c>
      <c r="P631" s="2" t="s">
        <v>626</v>
      </c>
      <c r="Q631" s="2" t="s">
        <v>351</v>
      </c>
      <c r="R631" s="2">
        <v>31183</v>
      </c>
      <c r="S631" s="2">
        <v>31183</v>
      </c>
      <c r="T631" s="2" t="s">
        <v>1104</v>
      </c>
      <c r="U631" s="2" t="s">
        <v>1104</v>
      </c>
      <c r="V631" s="2" t="s">
        <v>1104</v>
      </c>
      <c r="W631" s="2" t="s">
        <v>1104</v>
      </c>
      <c r="X631" s="2" t="s">
        <v>4599</v>
      </c>
      <c r="Y631" s="2" t="s">
        <v>4600</v>
      </c>
      <c r="AA631" s="2" t="s">
        <v>4601</v>
      </c>
      <c r="AB631" s="2" t="s">
        <v>631</v>
      </c>
      <c r="AC631" s="2" t="s">
        <v>632</v>
      </c>
      <c r="AE631" s="2">
        <v>82196505</v>
      </c>
      <c r="AJ631" s="2">
        <v>82196505</v>
      </c>
      <c r="AK631" s="2">
        <v>2</v>
      </c>
      <c r="AL631" s="2" t="s">
        <v>633</v>
      </c>
      <c r="AM631" s="2">
        <v>0</v>
      </c>
      <c r="AN631" s="2">
        <v>0</v>
      </c>
      <c r="AO631" s="2">
        <v>1</v>
      </c>
      <c r="AP631" s="2">
        <v>0</v>
      </c>
      <c r="AQ631" s="2">
        <v>0</v>
      </c>
      <c r="AR631" s="2">
        <v>0</v>
      </c>
      <c r="AS631" s="2">
        <v>0</v>
      </c>
      <c r="AT631" s="2">
        <v>0</v>
      </c>
      <c r="BB631" s="2" t="str">
        <f>+PROPER(BD[[#This Row],[PRIMER_APELLIDO]])</f>
        <v>Vallejos</v>
      </c>
    </row>
    <row r="632" spans="1:54" x14ac:dyDescent="0.25">
      <c r="A632" s="2">
        <v>631</v>
      </c>
      <c r="B632" s="2">
        <v>77231</v>
      </c>
      <c r="C632" s="2" t="s">
        <v>619</v>
      </c>
      <c r="D632" s="2" t="s">
        <v>620</v>
      </c>
      <c r="E632" s="2" t="s">
        <v>4602</v>
      </c>
      <c r="G632" s="3">
        <v>37.301369863013697</v>
      </c>
      <c r="H632" s="2" t="s">
        <v>622</v>
      </c>
      <c r="I632" s="2" t="s">
        <v>4603</v>
      </c>
      <c r="J632" s="2" t="str">
        <f>+IF(BD[[#This Row],[DEPARTAMENTO_INSS]]="MANAGUA","_01_","_02_")</f>
        <v>_01_</v>
      </c>
      <c r="K632" s="2" t="str">
        <f>+CONCATENATE(BD[[#This Row],[Columna3]],BD[[#This Row],[Columna4]],BD[[#This Row],[NOMBRE COMPLETO]])</f>
        <v>E003_01_REYNA PATRICIA HERNANDEZ ARROLIGA</v>
      </c>
      <c r="L632" s="2" t="s">
        <v>3095</v>
      </c>
      <c r="M632" s="2" t="s">
        <v>747</v>
      </c>
      <c r="N632" s="2" t="s">
        <v>11</v>
      </c>
      <c r="O632" s="2" t="s">
        <v>87</v>
      </c>
      <c r="P632" s="2" t="s">
        <v>626</v>
      </c>
      <c r="Q632" s="2" t="s">
        <v>351</v>
      </c>
      <c r="R632" s="2">
        <v>31181</v>
      </c>
      <c r="S632" s="2">
        <v>31181</v>
      </c>
      <c r="T632" s="2" t="s">
        <v>627</v>
      </c>
      <c r="U632" s="2" t="s">
        <v>627</v>
      </c>
      <c r="V632" s="2" t="s">
        <v>627</v>
      </c>
      <c r="W632" s="2" t="s">
        <v>627</v>
      </c>
      <c r="X632" s="2" t="s">
        <v>4604</v>
      </c>
      <c r="Y632" s="2" t="s">
        <v>4605</v>
      </c>
      <c r="Z632" s="2" t="s">
        <v>4606</v>
      </c>
      <c r="AA632" s="2">
        <v>22536848</v>
      </c>
      <c r="AB632" s="2" t="s">
        <v>642</v>
      </c>
      <c r="AC632" s="2" t="s">
        <v>632</v>
      </c>
      <c r="AE632" s="2">
        <v>83994993</v>
      </c>
      <c r="AJ632" s="2">
        <v>83994993</v>
      </c>
      <c r="AK632" s="2">
        <v>3</v>
      </c>
      <c r="AL632" s="2" t="s">
        <v>633</v>
      </c>
      <c r="AM632" s="2">
        <v>0</v>
      </c>
      <c r="AN632" s="2">
        <v>0</v>
      </c>
      <c r="AO632" s="2">
        <v>1</v>
      </c>
      <c r="AP632" s="2">
        <v>0</v>
      </c>
      <c r="AQ632" s="2">
        <v>0</v>
      </c>
      <c r="AR632" s="2">
        <v>0</v>
      </c>
      <c r="AS632" s="2">
        <v>0</v>
      </c>
      <c r="AT632" s="2">
        <v>0</v>
      </c>
      <c r="AZ632" s="2" t="s">
        <v>4607</v>
      </c>
      <c r="BB632" s="2" t="str">
        <f>+PROPER(BD[[#This Row],[PRIMER_APELLIDO]])</f>
        <v>Hernandez</v>
      </c>
    </row>
    <row r="633" spans="1:54" x14ac:dyDescent="0.25">
      <c r="A633" s="2">
        <v>632</v>
      </c>
      <c r="B633" s="2">
        <v>32962</v>
      </c>
      <c r="C633" s="2" t="s">
        <v>619</v>
      </c>
      <c r="D633" s="2" t="s">
        <v>620</v>
      </c>
      <c r="E633" s="2" t="s">
        <v>4608</v>
      </c>
      <c r="F633" s="2">
        <v>21713783</v>
      </c>
      <c r="G633" s="3">
        <v>37.304109589041097</v>
      </c>
      <c r="H633" s="2" t="s">
        <v>622</v>
      </c>
      <c r="I633" s="2" t="s">
        <v>4609</v>
      </c>
      <c r="J633" s="2" t="str">
        <f>+IF(BD[[#This Row],[DEPARTAMENTO_INSS]]="MANAGUA","_01_","_02_")</f>
        <v>_02_</v>
      </c>
      <c r="K633" s="2" t="str">
        <f>+CONCATENATE(BD[[#This Row],[Columna3]],BD[[#This Row],[Columna4]],BD[[#This Row],[NOMBRE COMPLETO]])</f>
        <v>E003_02_FATIMA MAYELA ROBLES SINCO</v>
      </c>
      <c r="L633" s="2" t="s">
        <v>2149</v>
      </c>
      <c r="M633" s="2" t="s">
        <v>1666</v>
      </c>
      <c r="N633" s="2" t="s">
        <v>156</v>
      </c>
      <c r="O633" s="2" t="s">
        <v>4610</v>
      </c>
      <c r="P633" s="2" t="s">
        <v>626</v>
      </c>
      <c r="Q633" s="2" t="s">
        <v>351</v>
      </c>
      <c r="R633" s="2">
        <v>31180</v>
      </c>
      <c r="S633" s="2">
        <v>31180</v>
      </c>
      <c r="T633" s="2" t="s">
        <v>1104</v>
      </c>
      <c r="U633" s="2" t="s">
        <v>1104</v>
      </c>
      <c r="V633" s="2" t="s">
        <v>1104</v>
      </c>
      <c r="W633" s="2" t="s">
        <v>1104</v>
      </c>
      <c r="X633" s="2" t="s">
        <v>4611</v>
      </c>
      <c r="Y633" s="2" t="s">
        <v>4612</v>
      </c>
      <c r="AA633" s="2" t="s">
        <v>4613</v>
      </c>
      <c r="AB633" s="2" t="s">
        <v>654</v>
      </c>
      <c r="AC633" s="2" t="s">
        <v>632</v>
      </c>
      <c r="AE633" s="2">
        <v>87365538</v>
      </c>
      <c r="AJ633" s="2">
        <v>87365538</v>
      </c>
      <c r="AK633" s="2">
        <v>2</v>
      </c>
      <c r="AL633" s="2" t="s">
        <v>633</v>
      </c>
      <c r="AM633" s="2">
        <v>0</v>
      </c>
      <c r="AN633" s="2">
        <v>0</v>
      </c>
      <c r="AO633" s="2">
        <v>1</v>
      </c>
      <c r="AP633" s="2">
        <v>0</v>
      </c>
      <c r="AQ633" s="2">
        <v>0</v>
      </c>
      <c r="AR633" s="2">
        <v>0</v>
      </c>
      <c r="AS633" s="2">
        <v>0</v>
      </c>
      <c r="AT633" s="2">
        <v>0</v>
      </c>
      <c r="BB633" s="2" t="str">
        <f>+PROPER(BD[[#This Row],[PRIMER_APELLIDO]])</f>
        <v>Robles</v>
      </c>
    </row>
    <row r="634" spans="1:54" x14ac:dyDescent="0.25">
      <c r="A634" s="2">
        <v>633</v>
      </c>
      <c r="B634" s="2">
        <v>62339</v>
      </c>
      <c r="C634" s="2" t="s">
        <v>619</v>
      </c>
      <c r="D634" s="2" t="s">
        <v>620</v>
      </c>
      <c r="E634" s="2" t="s">
        <v>4614</v>
      </c>
      <c r="G634" s="3">
        <v>37.304109589041097</v>
      </c>
      <c r="H634" s="2" t="s">
        <v>622</v>
      </c>
      <c r="I634" s="2" t="s">
        <v>4615</v>
      </c>
      <c r="J634" s="2" t="str">
        <f>+IF(BD[[#This Row],[DEPARTAMENTO_INSS]]="MANAGUA","_01_","_02_")</f>
        <v>_02_</v>
      </c>
      <c r="K634" s="2" t="str">
        <f>+CONCATENATE(BD[[#This Row],[Columna3]],BD[[#This Row],[Columna4]],BD[[#This Row],[NOMBRE COMPLETO]])</f>
        <v>E003_02_CARLOS RAFAEL LOPEZ VASQUEZ</v>
      </c>
      <c r="L634" s="2" t="s">
        <v>826</v>
      </c>
      <c r="M634" s="2" t="s">
        <v>1857</v>
      </c>
      <c r="N634" s="2" t="s">
        <v>15</v>
      </c>
      <c r="O634" s="2" t="s">
        <v>52</v>
      </c>
      <c r="P634" s="2" t="s">
        <v>649</v>
      </c>
      <c r="Q634" s="2" t="s">
        <v>351</v>
      </c>
      <c r="R634" s="2">
        <v>31180</v>
      </c>
      <c r="S634" s="2">
        <v>31180</v>
      </c>
      <c r="T634" s="2" t="s">
        <v>732</v>
      </c>
      <c r="U634" s="2" t="s">
        <v>732</v>
      </c>
      <c r="V634" s="2" t="s">
        <v>732</v>
      </c>
      <c r="W634" s="2" t="s">
        <v>732</v>
      </c>
      <c r="X634" s="2" t="s">
        <v>4616</v>
      </c>
      <c r="Y634" s="2" t="s">
        <v>4617</v>
      </c>
      <c r="Z634" s="2">
        <v>85666202</v>
      </c>
      <c r="AB634" s="2" t="s">
        <v>654</v>
      </c>
      <c r="AC634" s="2" t="s">
        <v>632</v>
      </c>
      <c r="AD634" s="2">
        <v>85666202</v>
      </c>
      <c r="AJ634" s="2">
        <v>85666202</v>
      </c>
      <c r="AK634" s="2">
        <v>1</v>
      </c>
      <c r="AL634" s="2" t="s">
        <v>633</v>
      </c>
      <c r="AM634" s="2">
        <v>0</v>
      </c>
      <c r="AN634" s="2">
        <v>0</v>
      </c>
      <c r="AO634" s="2">
        <v>1</v>
      </c>
      <c r="AP634" s="2">
        <v>0</v>
      </c>
      <c r="AQ634" s="2">
        <v>0</v>
      </c>
      <c r="AR634" s="2">
        <v>0</v>
      </c>
      <c r="AS634" s="2">
        <v>0</v>
      </c>
      <c r="AT634" s="2">
        <v>0</v>
      </c>
      <c r="AZ634" s="2" t="s">
        <v>4618</v>
      </c>
      <c r="BB634" s="2" t="str">
        <f>+PROPER(BD[[#This Row],[PRIMER_APELLIDO]])</f>
        <v>Lopez</v>
      </c>
    </row>
    <row r="635" spans="1:54" x14ac:dyDescent="0.25">
      <c r="A635" s="2">
        <v>634</v>
      </c>
      <c r="B635" s="2">
        <v>44641</v>
      </c>
      <c r="C635" s="2" t="s">
        <v>619</v>
      </c>
      <c r="D635" s="2" t="s">
        <v>620</v>
      </c>
      <c r="E635" s="2" t="s">
        <v>4619</v>
      </c>
      <c r="F635" s="2">
        <v>24235794</v>
      </c>
      <c r="G635" s="3">
        <v>37.30684931506849</v>
      </c>
      <c r="H635" s="2" t="s">
        <v>622</v>
      </c>
      <c r="I635" s="2" t="s">
        <v>4620</v>
      </c>
      <c r="J635" s="2" t="str">
        <f>+IF(BD[[#This Row],[DEPARTAMENTO_INSS]]="MANAGUA","_01_","_02_")</f>
        <v>_02_</v>
      </c>
      <c r="K635" s="2" t="str">
        <f>+CONCATENATE(BD[[#This Row],[Columna3]],BD[[#This Row],[Columna4]],BD[[#This Row],[NOMBRE COMPLETO]])</f>
        <v>E003_02_ERICK JOSE PEREZ HERNANDEZ</v>
      </c>
      <c r="L635" s="2" t="s">
        <v>1391</v>
      </c>
      <c r="M635" s="2" t="s">
        <v>243</v>
      </c>
      <c r="N635" s="2" t="s">
        <v>24</v>
      </c>
      <c r="O635" s="2" t="s">
        <v>11</v>
      </c>
      <c r="P635" s="2" t="s">
        <v>649</v>
      </c>
      <c r="Q635" s="2" t="s">
        <v>351</v>
      </c>
      <c r="R635" s="2">
        <v>31179</v>
      </c>
      <c r="S635" s="2">
        <v>31179</v>
      </c>
      <c r="T635" s="2" t="s">
        <v>176</v>
      </c>
      <c r="U635" s="2" t="s">
        <v>176</v>
      </c>
      <c r="V635" s="2" t="s">
        <v>650</v>
      </c>
      <c r="W635" s="2" t="s">
        <v>176</v>
      </c>
      <c r="X635" s="2" t="s">
        <v>4621</v>
      </c>
      <c r="Y635" s="2" t="s">
        <v>4622</v>
      </c>
      <c r="AA635" s="2">
        <v>23153032</v>
      </c>
      <c r="AB635" s="2" t="s">
        <v>654</v>
      </c>
      <c r="AC635" s="2" t="s">
        <v>632</v>
      </c>
      <c r="AK635" s="2">
        <v>1</v>
      </c>
      <c r="AL635" s="2" t="s">
        <v>633</v>
      </c>
      <c r="AM635" s="2">
        <v>0</v>
      </c>
      <c r="AN635" s="2">
        <v>0</v>
      </c>
      <c r="AO635" s="2">
        <v>1</v>
      </c>
      <c r="AP635" s="2">
        <v>0</v>
      </c>
      <c r="AQ635" s="2">
        <v>0</v>
      </c>
      <c r="AR635" s="2">
        <v>0</v>
      </c>
      <c r="AS635" s="2">
        <v>0</v>
      </c>
      <c r="AT635" s="2">
        <v>0</v>
      </c>
      <c r="BB635" s="2" t="str">
        <f>+PROPER(BD[[#This Row],[PRIMER_APELLIDO]])</f>
        <v>Perez</v>
      </c>
    </row>
    <row r="636" spans="1:54" x14ac:dyDescent="0.25">
      <c r="A636" s="2">
        <v>635</v>
      </c>
      <c r="B636" s="2">
        <v>35200</v>
      </c>
      <c r="C636" s="2" t="s">
        <v>619</v>
      </c>
      <c r="D636" s="2" t="s">
        <v>620</v>
      </c>
      <c r="E636" s="2" t="s">
        <v>4623</v>
      </c>
      <c r="F636" s="2">
        <v>22118897</v>
      </c>
      <c r="G636" s="3">
        <v>37.30958904109589</v>
      </c>
      <c r="H636" s="2" t="s">
        <v>622</v>
      </c>
      <c r="I636" s="2" t="s">
        <v>4624</v>
      </c>
      <c r="J636" s="2" t="str">
        <f>+IF(BD[[#This Row],[DEPARTAMENTO_INSS]]="MANAGUA","_01_","_02_")</f>
        <v>_01_</v>
      </c>
      <c r="K636" s="2" t="str">
        <f>+CONCATENATE(BD[[#This Row],[Columna3]],BD[[#This Row],[Columna4]],BD[[#This Row],[NOMBRE COMPLETO]])</f>
        <v>E003_01_ANIELKA MIROSLAVA PAVON HERNANDEZ</v>
      </c>
      <c r="L636" s="2" t="s">
        <v>723</v>
      </c>
      <c r="M636" s="2" t="s">
        <v>4625</v>
      </c>
      <c r="N636" s="2" t="s">
        <v>345</v>
      </c>
      <c r="O636" s="2" t="s">
        <v>11</v>
      </c>
      <c r="P636" s="2" t="s">
        <v>626</v>
      </c>
      <c r="Q636" s="2" t="s">
        <v>351</v>
      </c>
      <c r="R636" s="2">
        <v>31178</v>
      </c>
      <c r="S636" s="2">
        <v>31178</v>
      </c>
      <c r="T636" s="2" t="s">
        <v>627</v>
      </c>
      <c r="U636" s="2" t="s">
        <v>627</v>
      </c>
      <c r="V636" s="2" t="s">
        <v>627</v>
      </c>
      <c r="W636" s="2" t="s">
        <v>627</v>
      </c>
      <c r="X636" s="2" t="s">
        <v>4626</v>
      </c>
      <c r="Y636" s="2" t="s">
        <v>4627</v>
      </c>
      <c r="Z636" s="2">
        <v>89115614</v>
      </c>
      <c r="AA636" s="2" t="s">
        <v>4628</v>
      </c>
      <c r="AB636" s="2" t="s">
        <v>642</v>
      </c>
      <c r="AC636" s="2" t="s">
        <v>632</v>
      </c>
      <c r="AD636" s="2">
        <v>89115614</v>
      </c>
      <c r="AJ636" s="2">
        <v>89115614</v>
      </c>
      <c r="AK636" s="2">
        <v>3</v>
      </c>
      <c r="AL636" s="2" t="s">
        <v>633</v>
      </c>
      <c r="AM636" s="2">
        <v>0</v>
      </c>
      <c r="AN636" s="2">
        <v>0</v>
      </c>
      <c r="AO636" s="2">
        <v>1</v>
      </c>
      <c r="AP636" s="2">
        <v>0</v>
      </c>
      <c r="AQ636" s="2">
        <v>0</v>
      </c>
      <c r="AR636" s="2">
        <v>0</v>
      </c>
      <c r="AS636" s="2">
        <v>0</v>
      </c>
      <c r="AT636" s="2">
        <v>0</v>
      </c>
      <c r="AZ636" s="2" t="s">
        <v>4629</v>
      </c>
      <c r="BB636" s="2" t="str">
        <f>+PROPER(BD[[#This Row],[PRIMER_APELLIDO]])</f>
        <v>Pavon</v>
      </c>
    </row>
    <row r="637" spans="1:54" x14ac:dyDescent="0.25">
      <c r="A637" s="2">
        <v>636</v>
      </c>
      <c r="B637" s="2">
        <v>40636</v>
      </c>
      <c r="C637" s="2" t="s">
        <v>619</v>
      </c>
      <c r="D637" s="2" t="s">
        <v>620</v>
      </c>
      <c r="E637" s="2" t="s">
        <v>4630</v>
      </c>
      <c r="F637" s="2">
        <v>20936266</v>
      </c>
      <c r="G637" s="3">
        <v>37.315068493150683</v>
      </c>
      <c r="H637" s="2" t="s">
        <v>622</v>
      </c>
      <c r="I637" s="2" t="s">
        <v>4631</v>
      </c>
      <c r="J637" s="2" t="str">
        <f>+IF(BD[[#This Row],[DEPARTAMENTO_INSS]]="MANAGUA","_01_","_02_")</f>
        <v>_02_</v>
      </c>
      <c r="K637" s="2" t="str">
        <f>+CONCATENATE(BD[[#This Row],[Columna3]],BD[[#This Row],[Columna4]],BD[[#This Row],[NOMBRE COMPLETO]])</f>
        <v>E003_02_SONIA FATIMA MENDOZA OSEGUEDA</v>
      </c>
      <c r="L637" s="2" t="s">
        <v>4632</v>
      </c>
      <c r="M637" s="2" t="s">
        <v>2149</v>
      </c>
      <c r="N637" s="2" t="s">
        <v>9</v>
      </c>
      <c r="O637" s="2" t="s">
        <v>1428</v>
      </c>
      <c r="P637" s="2" t="s">
        <v>626</v>
      </c>
      <c r="Q637" s="2" t="s">
        <v>351</v>
      </c>
      <c r="R637" s="2">
        <v>31176</v>
      </c>
      <c r="S637" s="2">
        <v>31176</v>
      </c>
      <c r="T637" s="2" t="s">
        <v>176</v>
      </c>
      <c r="U637" s="2" t="s">
        <v>691</v>
      </c>
      <c r="V637" s="2" t="s">
        <v>4633</v>
      </c>
      <c r="W637" s="2" t="s">
        <v>691</v>
      </c>
      <c r="X637" s="2" t="s">
        <v>4634</v>
      </c>
      <c r="Y637" s="2" t="s">
        <v>4635</v>
      </c>
      <c r="Z637" s="2">
        <v>83384613</v>
      </c>
      <c r="AA637" s="2" t="s">
        <v>4636</v>
      </c>
      <c r="AB637" s="2" t="s">
        <v>654</v>
      </c>
      <c r="AC637" s="2" t="s">
        <v>632</v>
      </c>
      <c r="AD637" s="2">
        <v>83384613</v>
      </c>
      <c r="AE637" s="2">
        <v>57883729</v>
      </c>
      <c r="AF637" s="2">
        <v>57883743</v>
      </c>
      <c r="AJ637" s="2">
        <v>83384613</v>
      </c>
      <c r="AK637" s="2">
        <v>3</v>
      </c>
      <c r="AL637" s="2" t="s">
        <v>633</v>
      </c>
      <c r="AM637" s="2">
        <v>0</v>
      </c>
      <c r="AN637" s="2">
        <v>0</v>
      </c>
      <c r="AO637" s="2">
        <v>1</v>
      </c>
      <c r="AP637" s="2">
        <v>0</v>
      </c>
      <c r="AQ637" s="2">
        <v>0</v>
      </c>
      <c r="AR637" s="2">
        <v>0</v>
      </c>
      <c r="AS637" s="2">
        <v>0</v>
      </c>
      <c r="AT637" s="2">
        <v>0</v>
      </c>
      <c r="AZ637" s="2" t="s">
        <v>4637</v>
      </c>
      <c r="BA637" s="2" t="s">
        <v>4638</v>
      </c>
      <c r="BB637" s="2" t="str">
        <f>+PROPER(BD[[#This Row],[PRIMER_APELLIDO]])</f>
        <v>Mendoza</v>
      </c>
    </row>
    <row r="638" spans="1:54" x14ac:dyDescent="0.25">
      <c r="A638" s="2">
        <v>637</v>
      </c>
      <c r="B638" s="2">
        <v>50399</v>
      </c>
      <c r="C638" s="2" t="s">
        <v>619</v>
      </c>
      <c r="D638" s="2" t="s">
        <v>620</v>
      </c>
      <c r="E638" s="2" t="s">
        <v>4639</v>
      </c>
      <c r="F638" s="2">
        <v>25033001</v>
      </c>
      <c r="G638" s="3">
        <v>37.326027397260276</v>
      </c>
      <c r="H638" s="2" t="s">
        <v>622</v>
      </c>
      <c r="I638" s="2" t="s">
        <v>4640</v>
      </c>
      <c r="J638" s="2" t="str">
        <f>+IF(BD[[#This Row],[DEPARTAMENTO_INSS]]="MANAGUA","_01_","_02_")</f>
        <v>_01_</v>
      </c>
      <c r="K638" s="2" t="str">
        <f>+CONCATENATE(BD[[#This Row],[Columna3]],BD[[#This Row],[Columna4]],BD[[#This Row],[NOMBRE COMPLETO]])</f>
        <v>E003_01_GLORIA MARIA TERCERO ALTAMIRANO</v>
      </c>
      <c r="L638" s="2" t="s">
        <v>2131</v>
      </c>
      <c r="M638" s="2" t="s">
        <v>724</v>
      </c>
      <c r="N638" s="2" t="s">
        <v>175</v>
      </c>
      <c r="O638" s="2" t="s">
        <v>73</v>
      </c>
      <c r="P638" s="2" t="s">
        <v>626</v>
      </c>
      <c r="Q638" s="2" t="s">
        <v>351</v>
      </c>
      <c r="R638" s="2">
        <v>31172</v>
      </c>
      <c r="S638" s="2">
        <v>31172</v>
      </c>
      <c r="T638" s="2" t="s">
        <v>691</v>
      </c>
      <c r="U638" s="2" t="s">
        <v>627</v>
      </c>
      <c r="V638" s="2" t="s">
        <v>716</v>
      </c>
      <c r="W638" s="2" t="s">
        <v>627</v>
      </c>
      <c r="X638" s="2" t="s">
        <v>4641</v>
      </c>
      <c r="Y638" s="2" t="s">
        <v>4642</v>
      </c>
      <c r="AA638" s="2" t="s">
        <v>4643</v>
      </c>
      <c r="AB638" s="2" t="s">
        <v>631</v>
      </c>
      <c r="AC638" s="2" t="s">
        <v>632</v>
      </c>
      <c r="AD638" s="2">
        <v>84414985</v>
      </c>
      <c r="AE638" s="2">
        <v>84667767</v>
      </c>
      <c r="AJ638" s="2">
        <v>84414985</v>
      </c>
      <c r="AK638" s="2">
        <v>2</v>
      </c>
      <c r="AL638" s="2" t="s">
        <v>633</v>
      </c>
      <c r="AM638" s="2">
        <v>0</v>
      </c>
      <c r="AN638" s="2">
        <v>0</v>
      </c>
      <c r="AO638" s="2">
        <v>1</v>
      </c>
      <c r="AP638" s="2">
        <v>0</v>
      </c>
      <c r="AQ638" s="2">
        <v>0</v>
      </c>
      <c r="AR638" s="2">
        <v>0</v>
      </c>
      <c r="AS638" s="2">
        <v>0</v>
      </c>
      <c r="AT638" s="2">
        <v>0</v>
      </c>
      <c r="BB638" s="2" t="str">
        <f>+PROPER(BD[[#This Row],[PRIMER_APELLIDO]])</f>
        <v>Tercero</v>
      </c>
    </row>
    <row r="639" spans="1:54" x14ac:dyDescent="0.25">
      <c r="A639" s="2">
        <v>638</v>
      </c>
      <c r="B639" s="2">
        <v>32964</v>
      </c>
      <c r="C639" s="2" t="s">
        <v>619</v>
      </c>
      <c r="D639" s="2" t="s">
        <v>620</v>
      </c>
      <c r="E639" s="2" t="s">
        <v>4644</v>
      </c>
      <c r="F639" s="2">
        <v>22189938</v>
      </c>
      <c r="G639" s="3">
        <v>37.342465753424655</v>
      </c>
      <c r="H639" s="2" t="s">
        <v>622</v>
      </c>
      <c r="I639" s="2" t="s">
        <v>4645</v>
      </c>
      <c r="J639" s="2" t="str">
        <f>+IF(BD[[#This Row],[DEPARTAMENTO_INSS]]="MANAGUA","_01_","_02_")</f>
        <v>_02_</v>
      </c>
      <c r="K639" s="2" t="str">
        <f>+CONCATENATE(BD[[#This Row],[Columna3]],BD[[#This Row],[Columna4]],BD[[#This Row],[NOMBRE COMPLETO]])</f>
        <v>E003_02_MEYLING RAQUEL MUÑOZ CACERES</v>
      </c>
      <c r="L639" s="2" t="s">
        <v>2785</v>
      </c>
      <c r="M639" s="2" t="s">
        <v>2545</v>
      </c>
      <c r="N639" s="2" t="s">
        <v>356</v>
      </c>
      <c r="O639" s="2" t="s">
        <v>125</v>
      </c>
      <c r="P639" s="2" t="s">
        <v>626</v>
      </c>
      <c r="Q639" s="2" t="s">
        <v>351</v>
      </c>
      <c r="R639" s="2">
        <v>31166</v>
      </c>
      <c r="S639" s="2">
        <v>31166</v>
      </c>
      <c r="T639" s="2" t="s">
        <v>176</v>
      </c>
      <c r="U639" s="2" t="s">
        <v>1104</v>
      </c>
      <c r="V639" s="2" t="s">
        <v>650</v>
      </c>
      <c r="W639" s="2" t="s">
        <v>3078</v>
      </c>
      <c r="X639" s="2" t="s">
        <v>4646</v>
      </c>
      <c r="Y639" s="2" t="s">
        <v>4647</v>
      </c>
      <c r="AA639" s="2" t="s">
        <v>4648</v>
      </c>
      <c r="AB639" s="2" t="s">
        <v>654</v>
      </c>
      <c r="AC639" s="2" t="s">
        <v>632</v>
      </c>
      <c r="AD639" s="2">
        <v>87094331</v>
      </c>
      <c r="AE639" s="2">
        <v>85283783</v>
      </c>
      <c r="AJ639" s="2">
        <v>87094331</v>
      </c>
      <c r="AK639" s="2">
        <v>2</v>
      </c>
      <c r="AL639" s="2" t="s">
        <v>633</v>
      </c>
      <c r="AM639" s="2">
        <v>0</v>
      </c>
      <c r="AN639" s="2">
        <v>0</v>
      </c>
      <c r="AO639" s="2">
        <v>1</v>
      </c>
      <c r="AP639" s="2">
        <v>0</v>
      </c>
      <c r="AQ639" s="2">
        <v>0</v>
      </c>
      <c r="AR639" s="2">
        <v>0</v>
      </c>
      <c r="AS639" s="2">
        <v>0</v>
      </c>
      <c r="AT639" s="2">
        <v>0</v>
      </c>
      <c r="BB639" s="2" t="str">
        <f>+PROPER(BD[[#This Row],[PRIMER_APELLIDO]])</f>
        <v>Muñoz</v>
      </c>
    </row>
    <row r="640" spans="1:54" x14ac:dyDescent="0.25">
      <c r="A640" s="2">
        <v>639</v>
      </c>
      <c r="B640" s="2">
        <v>50481</v>
      </c>
      <c r="C640" s="2" t="s">
        <v>619</v>
      </c>
      <c r="D640" s="2" t="s">
        <v>620</v>
      </c>
      <c r="E640" s="2" t="s">
        <v>4649</v>
      </c>
      <c r="F640" s="2">
        <v>25022249</v>
      </c>
      <c r="G640" s="3">
        <v>37.342465753424655</v>
      </c>
      <c r="H640" s="2" t="s">
        <v>622</v>
      </c>
      <c r="I640" s="2" t="s">
        <v>4650</v>
      </c>
      <c r="J640" s="2" t="str">
        <f>+IF(BD[[#This Row],[DEPARTAMENTO_INSS]]="MANAGUA","_01_","_02_")</f>
        <v>_02_</v>
      </c>
      <c r="K640" s="2" t="str">
        <f>+CONCATENATE(BD[[#This Row],[Columna3]],BD[[#This Row],[Columna4]],BD[[#This Row],[NOMBRE COMPLETO]])</f>
        <v>E003_02_ENYELS LENIN SALCEDO ELIZABETH</v>
      </c>
      <c r="L640" s="2" t="s">
        <v>4651</v>
      </c>
      <c r="M640" s="2" t="s">
        <v>3384</v>
      </c>
      <c r="N640" s="2" t="s">
        <v>154</v>
      </c>
      <c r="O640" s="2" t="s">
        <v>1881</v>
      </c>
      <c r="P640" s="2" t="s">
        <v>649</v>
      </c>
      <c r="Q640" s="2" t="s">
        <v>351</v>
      </c>
      <c r="R640" s="2">
        <v>31166</v>
      </c>
      <c r="S640" s="2">
        <v>31166</v>
      </c>
      <c r="T640" s="2" t="s">
        <v>780</v>
      </c>
      <c r="U640" s="2" t="s">
        <v>1044</v>
      </c>
      <c r="V640" s="2" t="s">
        <v>2120</v>
      </c>
      <c r="W640" s="2" t="s">
        <v>1838</v>
      </c>
      <c r="X640" s="2" t="s">
        <v>4652</v>
      </c>
      <c r="Y640" s="2" t="s">
        <v>4653</v>
      </c>
      <c r="AA640" s="2" t="s">
        <v>4654</v>
      </c>
      <c r="AB640" s="2" t="s">
        <v>798</v>
      </c>
      <c r="AC640" s="2" t="s">
        <v>632</v>
      </c>
      <c r="AE640" s="2">
        <v>85426045</v>
      </c>
      <c r="AJ640" s="2">
        <v>85426045</v>
      </c>
      <c r="AK640" s="2">
        <v>2</v>
      </c>
      <c r="AL640" s="2" t="s">
        <v>633</v>
      </c>
      <c r="AM640" s="2">
        <v>0</v>
      </c>
      <c r="AN640" s="2">
        <v>0</v>
      </c>
      <c r="AO640" s="2">
        <v>1</v>
      </c>
      <c r="AP640" s="2">
        <v>0</v>
      </c>
      <c r="AQ640" s="2">
        <v>0</v>
      </c>
      <c r="AR640" s="2">
        <v>0</v>
      </c>
      <c r="AS640" s="2">
        <v>0</v>
      </c>
      <c r="AT640" s="2">
        <v>0</v>
      </c>
      <c r="BB640" s="2" t="str">
        <f>+PROPER(BD[[#This Row],[PRIMER_APELLIDO]])</f>
        <v>Salcedo</v>
      </c>
    </row>
    <row r="641" spans="1:54" x14ac:dyDescent="0.25">
      <c r="A641" s="2">
        <v>640</v>
      </c>
      <c r="B641" s="2">
        <v>47073</v>
      </c>
      <c r="C641" s="2" t="s">
        <v>619</v>
      </c>
      <c r="D641" s="2" t="s">
        <v>620</v>
      </c>
      <c r="E641" s="2" t="s">
        <v>4655</v>
      </c>
      <c r="F641" s="2">
        <v>25023125</v>
      </c>
      <c r="G641" s="3">
        <v>37.361643835616441</v>
      </c>
      <c r="H641" s="2" t="s">
        <v>622</v>
      </c>
      <c r="I641" s="2" t="s">
        <v>4656</v>
      </c>
      <c r="J641" s="2" t="str">
        <f>+IF(BD[[#This Row],[DEPARTAMENTO_INSS]]="MANAGUA","_01_","_02_")</f>
        <v>_01_</v>
      </c>
      <c r="K641" s="2" t="str">
        <f>+CONCATENATE(BD[[#This Row],[Columna3]],BD[[#This Row],[Columna4]],BD[[#This Row],[NOMBRE COMPLETO]])</f>
        <v>E003_01_MIRIAM OKSANA MORAN CERDA</v>
      </c>
      <c r="L641" s="2" t="s">
        <v>3210</v>
      </c>
      <c r="M641" s="2" t="s">
        <v>4657</v>
      </c>
      <c r="N641" s="2" t="s">
        <v>419</v>
      </c>
      <c r="O641" s="2" t="s">
        <v>293</v>
      </c>
      <c r="P641" s="2" t="s">
        <v>626</v>
      </c>
      <c r="Q641" s="2" t="s">
        <v>351</v>
      </c>
      <c r="R641" s="2">
        <v>31159</v>
      </c>
      <c r="S641" s="2">
        <v>31159</v>
      </c>
      <c r="T641" s="2" t="s">
        <v>627</v>
      </c>
      <c r="U641" s="2" t="s">
        <v>627</v>
      </c>
      <c r="V641" s="2" t="s">
        <v>627</v>
      </c>
      <c r="W641" s="2" t="s">
        <v>627</v>
      </c>
      <c r="X641" s="2" t="s">
        <v>4658</v>
      </c>
      <c r="Y641" s="2" t="s">
        <v>4659</v>
      </c>
      <c r="Z641" s="2">
        <v>88816346</v>
      </c>
      <c r="AA641" s="2" t="s">
        <v>4660</v>
      </c>
      <c r="AB641" s="2" t="s">
        <v>631</v>
      </c>
      <c r="AC641" s="2" t="s">
        <v>632</v>
      </c>
      <c r="AD641" s="2">
        <v>88816346</v>
      </c>
      <c r="AJ641" s="2">
        <v>88816346</v>
      </c>
      <c r="AK641" s="2">
        <v>3</v>
      </c>
      <c r="AL641" s="2" t="s">
        <v>633</v>
      </c>
      <c r="AM641" s="2">
        <v>0</v>
      </c>
      <c r="AN641" s="2">
        <v>0</v>
      </c>
      <c r="AO641" s="2">
        <v>1</v>
      </c>
      <c r="AP641" s="2">
        <v>0</v>
      </c>
      <c r="AQ641" s="2">
        <v>0</v>
      </c>
      <c r="AR641" s="2">
        <v>0</v>
      </c>
      <c r="AS641" s="2">
        <v>0</v>
      </c>
      <c r="AT641" s="2">
        <v>0</v>
      </c>
      <c r="AZ641" s="2" t="s">
        <v>4661</v>
      </c>
      <c r="BB641" s="2" t="str">
        <f>+PROPER(BD[[#This Row],[PRIMER_APELLIDO]])</f>
        <v>Moran</v>
      </c>
    </row>
    <row r="642" spans="1:54" x14ac:dyDescent="0.25">
      <c r="A642" s="2">
        <v>641</v>
      </c>
      <c r="B642" s="2">
        <v>43503</v>
      </c>
      <c r="C642" s="2" t="s">
        <v>619</v>
      </c>
      <c r="D642" s="2" t="s">
        <v>620</v>
      </c>
      <c r="E642" s="2" t="s">
        <v>4662</v>
      </c>
      <c r="F642" s="2">
        <v>24237376</v>
      </c>
      <c r="G642" s="3">
        <v>37.364383561643834</v>
      </c>
      <c r="H642" s="2" t="s">
        <v>622</v>
      </c>
      <c r="I642" s="2" t="s">
        <v>4663</v>
      </c>
      <c r="J642" s="2" t="str">
        <f>+IF(BD[[#This Row],[DEPARTAMENTO_INSS]]="MANAGUA","_01_","_02_")</f>
        <v>_02_</v>
      </c>
      <c r="K642" s="2" t="str">
        <f>+CONCATENATE(BD[[#This Row],[Columna3]],BD[[#This Row],[Columna4]],BD[[#This Row],[NOMBRE COMPLETO]])</f>
        <v>E003_02_SERGIO DANILO CASTRO ROCHA</v>
      </c>
      <c r="L642" s="2" t="s">
        <v>2071</v>
      </c>
      <c r="M642" s="2" t="s">
        <v>1659</v>
      </c>
      <c r="N642" s="2" t="s">
        <v>163</v>
      </c>
      <c r="O642" s="2" t="s">
        <v>49</v>
      </c>
      <c r="P642" s="2" t="s">
        <v>649</v>
      </c>
      <c r="Q642" s="2" t="s">
        <v>351</v>
      </c>
      <c r="R642" s="2">
        <v>31158</v>
      </c>
      <c r="S642" s="2">
        <v>31158</v>
      </c>
      <c r="T642" s="2" t="s">
        <v>186</v>
      </c>
      <c r="U642" s="2" t="s">
        <v>186</v>
      </c>
      <c r="V642" s="2" t="s">
        <v>2235</v>
      </c>
      <c r="W642" s="2" t="s">
        <v>186</v>
      </c>
      <c r="X642" s="2" t="s">
        <v>4664</v>
      </c>
      <c r="Y642" s="2" t="s">
        <v>4665</v>
      </c>
      <c r="Z642" s="2">
        <v>83967560</v>
      </c>
      <c r="AA642" s="2">
        <v>83967560</v>
      </c>
      <c r="AB642" s="2" t="s">
        <v>654</v>
      </c>
      <c r="AC642" s="2" t="s">
        <v>632</v>
      </c>
      <c r="AD642" s="2">
        <v>83967560</v>
      </c>
      <c r="AJ642" s="2">
        <v>83967560</v>
      </c>
      <c r="AK642" s="2">
        <v>2</v>
      </c>
      <c r="AL642" s="2" t="s">
        <v>633</v>
      </c>
      <c r="AM642" s="2">
        <v>0</v>
      </c>
      <c r="AN642" s="2">
        <v>0</v>
      </c>
      <c r="AO642" s="2">
        <v>1</v>
      </c>
      <c r="AP642" s="2">
        <v>0</v>
      </c>
      <c r="AQ642" s="2">
        <v>0</v>
      </c>
      <c r="AR642" s="2">
        <v>0</v>
      </c>
      <c r="AS642" s="2">
        <v>0</v>
      </c>
      <c r="AT642" s="2">
        <v>0</v>
      </c>
      <c r="AZ642" s="2" t="s">
        <v>4666</v>
      </c>
      <c r="BB642" s="2" t="str">
        <f>+PROPER(BD[[#This Row],[PRIMER_APELLIDO]])</f>
        <v>Castro</v>
      </c>
    </row>
    <row r="643" spans="1:54" x14ac:dyDescent="0.25">
      <c r="A643" s="2">
        <v>642</v>
      </c>
      <c r="B643" s="2">
        <v>50149</v>
      </c>
      <c r="C643" s="2" t="s">
        <v>619</v>
      </c>
      <c r="D643" s="2" t="s">
        <v>620</v>
      </c>
      <c r="E643" s="2" t="s">
        <v>4667</v>
      </c>
      <c r="F643" s="2">
        <v>15279499</v>
      </c>
      <c r="G643" s="3">
        <v>37.367123287671234</v>
      </c>
      <c r="H643" s="2" t="s">
        <v>622</v>
      </c>
      <c r="I643" s="2" t="s">
        <v>4668</v>
      </c>
      <c r="J643" s="2" t="str">
        <f>+IF(BD[[#This Row],[DEPARTAMENTO_INSS]]="MANAGUA","_01_","_02_")</f>
        <v>_02_</v>
      </c>
      <c r="K643" s="2" t="str">
        <f>+CONCATENATE(BD[[#This Row],[Columna3]],BD[[#This Row],[Columna4]],BD[[#This Row],[NOMBRE COMPLETO]])</f>
        <v>E003_02_ANDEL ANTONIO RODRIGUEZ</v>
      </c>
      <c r="L643" s="2" t="s">
        <v>4669</v>
      </c>
      <c r="M643" s="2" t="s">
        <v>904</v>
      </c>
      <c r="N643" s="2" t="s">
        <v>185</v>
      </c>
      <c r="P643" s="2" t="s">
        <v>649</v>
      </c>
      <c r="Q643" s="2" t="s">
        <v>351</v>
      </c>
      <c r="R643" s="2">
        <v>31157</v>
      </c>
      <c r="S643" s="2">
        <v>31157</v>
      </c>
      <c r="T643" s="2" t="s">
        <v>780</v>
      </c>
      <c r="U643" s="2" t="s">
        <v>1104</v>
      </c>
      <c r="V643" s="2" t="s">
        <v>2120</v>
      </c>
      <c r="W643" s="2" t="s">
        <v>1104</v>
      </c>
      <c r="X643" s="2" t="s">
        <v>4670</v>
      </c>
      <c r="Y643" s="2" t="s">
        <v>4671</v>
      </c>
      <c r="Z643" s="2">
        <v>87135270</v>
      </c>
      <c r="AA643" s="2">
        <v>58117000</v>
      </c>
      <c r="AB643" s="2" t="s">
        <v>798</v>
      </c>
      <c r="AC643" s="2" t="s">
        <v>632</v>
      </c>
      <c r="AD643" s="2">
        <v>87135270</v>
      </c>
      <c r="AF643" s="2">
        <v>58117000</v>
      </c>
      <c r="AJ643" s="2">
        <v>87135270</v>
      </c>
      <c r="AK643" s="2">
        <v>2</v>
      </c>
      <c r="AL643" s="2" t="s">
        <v>633</v>
      </c>
      <c r="AM643" s="2">
        <v>0</v>
      </c>
      <c r="AN643" s="2">
        <v>0</v>
      </c>
      <c r="AO643" s="2">
        <v>1</v>
      </c>
      <c r="AP643" s="2">
        <v>0</v>
      </c>
      <c r="AQ643" s="2">
        <v>0</v>
      </c>
      <c r="AR643" s="2">
        <v>0</v>
      </c>
      <c r="AS643" s="2">
        <v>0</v>
      </c>
      <c r="AT643" s="2">
        <v>0</v>
      </c>
      <c r="AZ643" s="2" t="s">
        <v>4672</v>
      </c>
      <c r="BB643" s="2" t="str">
        <f>+PROPER(BD[[#This Row],[PRIMER_APELLIDO]])</f>
        <v>Rodriguez</v>
      </c>
    </row>
    <row r="644" spans="1:54" x14ac:dyDescent="0.25">
      <c r="A644" s="2">
        <v>643</v>
      </c>
      <c r="B644" s="2">
        <v>41258</v>
      </c>
      <c r="C644" s="2" t="s">
        <v>619</v>
      </c>
      <c r="D644" s="2" t="s">
        <v>620</v>
      </c>
      <c r="E644" s="2" t="s">
        <v>4673</v>
      </c>
      <c r="F644" s="2">
        <v>23144679</v>
      </c>
      <c r="G644" s="3">
        <v>37.372602739726027</v>
      </c>
      <c r="H644" s="2" t="s">
        <v>622</v>
      </c>
      <c r="I644" s="2" t="s">
        <v>4674</v>
      </c>
      <c r="J644" s="2" t="str">
        <f>+IF(BD[[#This Row],[DEPARTAMENTO_INSS]]="MANAGUA","_01_","_02_")</f>
        <v>_02_</v>
      </c>
      <c r="K644" s="2" t="str">
        <f>+CONCATENATE(BD[[#This Row],[Columna3]],BD[[#This Row],[Columna4]],BD[[#This Row],[NOMBRE COMPLETO]])</f>
        <v>E003_02_WALTHER BISMARK ZELEDON VEGA</v>
      </c>
      <c r="L644" s="2" t="s">
        <v>4675</v>
      </c>
      <c r="M644" s="2" t="s">
        <v>3041</v>
      </c>
      <c r="N644" s="2" t="s">
        <v>151</v>
      </c>
      <c r="O644" s="2" t="s">
        <v>140</v>
      </c>
      <c r="P644" s="2" t="s">
        <v>649</v>
      </c>
      <c r="Q644" s="2" t="s">
        <v>351</v>
      </c>
      <c r="R644" s="2">
        <v>31155</v>
      </c>
      <c r="S644" s="2">
        <v>31155</v>
      </c>
      <c r="T644" s="2" t="s">
        <v>1104</v>
      </c>
      <c r="U644" s="2" t="s">
        <v>1104</v>
      </c>
      <c r="V644" s="2" t="s">
        <v>1812</v>
      </c>
      <c r="W644" s="2" t="s">
        <v>1813</v>
      </c>
      <c r="X644" s="2" t="s">
        <v>4676</v>
      </c>
      <c r="Y644" s="2" t="s">
        <v>4677</v>
      </c>
      <c r="Z644" s="2">
        <v>76890442</v>
      </c>
      <c r="AA644" s="2">
        <v>78644970</v>
      </c>
      <c r="AB644" s="2" t="s">
        <v>654</v>
      </c>
      <c r="AC644" s="2" t="s">
        <v>632</v>
      </c>
      <c r="AD644" s="2">
        <v>76890442</v>
      </c>
      <c r="AF644" s="2">
        <v>78644970</v>
      </c>
      <c r="AJ644" s="2">
        <v>76890442</v>
      </c>
      <c r="AK644" s="2">
        <v>2</v>
      </c>
      <c r="AL644" s="2" t="s">
        <v>633</v>
      </c>
      <c r="AM644" s="2">
        <v>0</v>
      </c>
      <c r="AN644" s="2">
        <v>0</v>
      </c>
      <c r="AO644" s="2">
        <v>1</v>
      </c>
      <c r="AP644" s="2">
        <v>0</v>
      </c>
      <c r="AQ644" s="2">
        <v>0</v>
      </c>
      <c r="AR644" s="2">
        <v>0</v>
      </c>
      <c r="AS644" s="2">
        <v>0</v>
      </c>
      <c r="AT644" s="2">
        <v>0</v>
      </c>
      <c r="BA644" s="2" t="s">
        <v>4678</v>
      </c>
      <c r="BB644" s="2" t="str">
        <f>+PROPER(BD[[#This Row],[PRIMER_APELLIDO]])</f>
        <v>Zeledon</v>
      </c>
    </row>
    <row r="645" spans="1:54" x14ac:dyDescent="0.25">
      <c r="A645" s="2">
        <v>644</v>
      </c>
      <c r="B645" s="2">
        <v>31968</v>
      </c>
      <c r="C645" s="2" t="s">
        <v>619</v>
      </c>
      <c r="D645" s="2" t="s">
        <v>620</v>
      </c>
      <c r="E645" s="2" t="s">
        <v>4679</v>
      </c>
      <c r="F645" s="2">
        <v>21707601</v>
      </c>
      <c r="G645" s="3">
        <v>37.38082191780822</v>
      </c>
      <c r="H645" s="2" t="s">
        <v>622</v>
      </c>
      <c r="I645" s="2" t="s">
        <v>4680</v>
      </c>
      <c r="J645" s="2" t="str">
        <f>+IF(BD[[#This Row],[DEPARTAMENTO_INSS]]="MANAGUA","_01_","_02_")</f>
        <v>_02_</v>
      </c>
      <c r="K645" s="2" t="str">
        <f>+CONCATENATE(BD[[#This Row],[Columna3]],BD[[#This Row],[Columna4]],BD[[#This Row],[NOMBRE COMPLETO]])</f>
        <v>E003_02_AMPARO MARIA SANCHEZ BARRANTES</v>
      </c>
      <c r="L645" s="2" t="s">
        <v>4681</v>
      </c>
      <c r="M645" s="2" t="s">
        <v>724</v>
      </c>
      <c r="N645" s="2" t="s">
        <v>90</v>
      </c>
      <c r="O645" s="2" t="s">
        <v>4682</v>
      </c>
      <c r="P645" s="2" t="s">
        <v>626</v>
      </c>
      <c r="Q645" s="2" t="s">
        <v>351</v>
      </c>
      <c r="R645" s="2">
        <v>31152</v>
      </c>
      <c r="S645" s="2">
        <v>31152</v>
      </c>
      <c r="T645" s="2" t="s">
        <v>133</v>
      </c>
      <c r="U645" s="2" t="s">
        <v>133</v>
      </c>
      <c r="V645" s="2" t="s">
        <v>869</v>
      </c>
      <c r="W645" s="2" t="s">
        <v>869</v>
      </c>
      <c r="X645" s="2" t="s">
        <v>4683</v>
      </c>
      <c r="Y645" s="2" t="s">
        <v>4684</v>
      </c>
      <c r="AA645" s="2">
        <v>83684178</v>
      </c>
      <c r="AB645" s="2" t="s">
        <v>642</v>
      </c>
      <c r="AC645" s="2" t="s">
        <v>632</v>
      </c>
      <c r="AD645" s="2">
        <v>83684178</v>
      </c>
      <c r="AJ645" s="2">
        <v>83684178</v>
      </c>
      <c r="AK645" s="2">
        <v>1</v>
      </c>
      <c r="AL645" s="2" t="s">
        <v>633</v>
      </c>
      <c r="AM645" s="2">
        <v>0</v>
      </c>
      <c r="AN645" s="2">
        <v>0</v>
      </c>
      <c r="AO645" s="2">
        <v>1</v>
      </c>
      <c r="AP645" s="2">
        <v>0</v>
      </c>
      <c r="AQ645" s="2">
        <v>0</v>
      </c>
      <c r="AR645" s="2">
        <v>0</v>
      </c>
      <c r="AS645" s="2">
        <v>0</v>
      </c>
      <c r="AT645" s="2">
        <v>0</v>
      </c>
      <c r="BB645" s="2" t="str">
        <f>+PROPER(BD[[#This Row],[PRIMER_APELLIDO]])</f>
        <v>Sanchez</v>
      </c>
    </row>
    <row r="646" spans="1:54" x14ac:dyDescent="0.25">
      <c r="A646" s="2">
        <v>645</v>
      </c>
      <c r="B646" s="2">
        <v>32041</v>
      </c>
      <c r="C646" s="2" t="s">
        <v>619</v>
      </c>
      <c r="D646" s="2" t="s">
        <v>620</v>
      </c>
      <c r="E646" s="2" t="s">
        <v>4685</v>
      </c>
      <c r="F646" s="2">
        <v>22133834</v>
      </c>
      <c r="G646" s="3">
        <v>37.391780821917806</v>
      </c>
      <c r="H646" s="2" t="s">
        <v>622</v>
      </c>
      <c r="I646" s="2" t="s">
        <v>4686</v>
      </c>
      <c r="J646" s="2" t="str">
        <f>+IF(BD[[#This Row],[DEPARTAMENTO_INSS]]="MANAGUA","_01_","_02_")</f>
        <v>_02_</v>
      </c>
      <c r="K646" s="2" t="str">
        <f>+CONCATENATE(BD[[#This Row],[Columna3]],BD[[#This Row],[Columna4]],BD[[#This Row],[NOMBRE COMPLETO]])</f>
        <v>E003_02_MARLA KARINA VALDIVIA TORUÑO</v>
      </c>
      <c r="L646" s="2" t="s">
        <v>4687</v>
      </c>
      <c r="M646" s="2" t="s">
        <v>1614</v>
      </c>
      <c r="N646" s="2" t="s">
        <v>93</v>
      </c>
      <c r="O646" s="2" t="s">
        <v>392</v>
      </c>
      <c r="P646" s="2" t="s">
        <v>626</v>
      </c>
      <c r="Q646" s="2" t="s">
        <v>351</v>
      </c>
      <c r="R646" s="2">
        <v>31148</v>
      </c>
      <c r="S646" s="2">
        <v>31148</v>
      </c>
      <c r="T646" s="2" t="s">
        <v>691</v>
      </c>
      <c r="U646" s="2" t="s">
        <v>691</v>
      </c>
      <c r="V646" s="2" t="s">
        <v>716</v>
      </c>
      <c r="W646" s="2" t="s">
        <v>691</v>
      </c>
      <c r="X646" s="2" t="s">
        <v>4688</v>
      </c>
      <c r="Y646" s="2" t="s">
        <v>4689</v>
      </c>
      <c r="Z646" s="2">
        <v>88447463</v>
      </c>
      <c r="AA646" s="2">
        <v>27132876</v>
      </c>
      <c r="AB646" s="2" t="s">
        <v>4690</v>
      </c>
      <c r="AC646" s="2" t="s">
        <v>632</v>
      </c>
      <c r="AD646" s="2">
        <v>88447463</v>
      </c>
      <c r="AJ646" s="2">
        <v>88447463</v>
      </c>
      <c r="AK646" s="2">
        <v>2</v>
      </c>
      <c r="AL646" s="2" t="s">
        <v>633</v>
      </c>
      <c r="AM646" s="2">
        <v>0</v>
      </c>
      <c r="AN646" s="2">
        <v>0</v>
      </c>
      <c r="AO646" s="2">
        <v>1</v>
      </c>
      <c r="AP646" s="2">
        <v>0</v>
      </c>
      <c r="AQ646" s="2">
        <v>0</v>
      </c>
      <c r="AR646" s="2">
        <v>0</v>
      </c>
      <c r="AS646" s="2">
        <v>0</v>
      </c>
      <c r="AT646" s="2">
        <v>0</v>
      </c>
      <c r="AZ646" s="2" t="s">
        <v>4691</v>
      </c>
      <c r="BB646" s="2" t="str">
        <f>+PROPER(BD[[#This Row],[PRIMER_APELLIDO]])</f>
        <v>Valdivia</v>
      </c>
    </row>
    <row r="647" spans="1:54" x14ac:dyDescent="0.25">
      <c r="A647" s="2">
        <v>646</v>
      </c>
      <c r="B647" s="2">
        <v>36940</v>
      </c>
      <c r="C647" s="2" t="s">
        <v>619</v>
      </c>
      <c r="D647" s="2" t="s">
        <v>620</v>
      </c>
      <c r="E647" s="2" t="s">
        <v>4692</v>
      </c>
      <c r="F647" s="2">
        <v>22063281</v>
      </c>
      <c r="G647" s="3">
        <v>37.408219178082192</v>
      </c>
      <c r="H647" s="2" t="s">
        <v>622</v>
      </c>
      <c r="I647" s="2" t="s">
        <v>4693</v>
      </c>
      <c r="J647" s="2" t="str">
        <f>+IF(BD[[#This Row],[DEPARTAMENTO_INSS]]="MANAGUA","_01_","_02_")</f>
        <v>_01_</v>
      </c>
      <c r="K647" s="2" t="str">
        <f>+CONCATENATE(BD[[#This Row],[Columna3]],BD[[#This Row],[Columna4]],BD[[#This Row],[NOMBRE COMPLETO]])</f>
        <v>E003_01_GABRIELA DEL SOCORRO VASQUEZ MAIRENA</v>
      </c>
      <c r="L647" s="2" t="s">
        <v>1211</v>
      </c>
      <c r="M647" s="2" t="s">
        <v>787</v>
      </c>
      <c r="N647" s="2" t="s">
        <v>52</v>
      </c>
      <c r="O647" s="2" t="s">
        <v>427</v>
      </c>
      <c r="P647" s="2" t="s">
        <v>626</v>
      </c>
      <c r="Q647" s="2" t="s">
        <v>351</v>
      </c>
      <c r="R647" s="2">
        <v>31142</v>
      </c>
      <c r="S647" s="2">
        <v>31142</v>
      </c>
      <c r="T647" s="2" t="s">
        <v>627</v>
      </c>
      <c r="U647" s="2" t="s">
        <v>627</v>
      </c>
      <c r="V647" s="2" t="s">
        <v>627</v>
      </c>
      <c r="W647" s="2" t="s">
        <v>627</v>
      </c>
      <c r="X647" s="2" t="s">
        <v>4694</v>
      </c>
      <c r="Y647" s="2" t="s">
        <v>4695</v>
      </c>
      <c r="AA647" s="2" t="s">
        <v>4696</v>
      </c>
      <c r="AB647" s="2" t="s">
        <v>642</v>
      </c>
      <c r="AC647" s="2" t="s">
        <v>632</v>
      </c>
      <c r="AE647" s="2">
        <v>83977970</v>
      </c>
      <c r="AJ647" s="2">
        <v>83977970</v>
      </c>
      <c r="AK647" s="2">
        <v>2</v>
      </c>
      <c r="AL647" s="2" t="s">
        <v>633</v>
      </c>
      <c r="AM647" s="2">
        <v>0</v>
      </c>
      <c r="AN647" s="2">
        <v>0</v>
      </c>
      <c r="AO647" s="2">
        <v>1</v>
      </c>
      <c r="AP647" s="2">
        <v>0</v>
      </c>
      <c r="AQ647" s="2">
        <v>0</v>
      </c>
      <c r="AR647" s="2">
        <v>0</v>
      </c>
      <c r="AS647" s="2">
        <v>0</v>
      </c>
      <c r="AT647" s="2">
        <v>0</v>
      </c>
      <c r="BA647" s="2" t="s">
        <v>4697</v>
      </c>
      <c r="BB647" s="2" t="str">
        <f>+PROPER(BD[[#This Row],[PRIMER_APELLIDO]])</f>
        <v>Vasquez</v>
      </c>
    </row>
    <row r="648" spans="1:54" x14ac:dyDescent="0.25">
      <c r="A648" s="2">
        <v>647</v>
      </c>
      <c r="B648" s="2">
        <v>45484</v>
      </c>
      <c r="C648" s="2" t="s">
        <v>619</v>
      </c>
      <c r="D648" s="2" t="s">
        <v>620</v>
      </c>
      <c r="E648" s="2" t="s">
        <v>4698</v>
      </c>
      <c r="G648" s="3">
        <v>37.410958904109592</v>
      </c>
      <c r="H648" s="2" t="s">
        <v>622</v>
      </c>
      <c r="I648" s="2" t="s">
        <v>4699</v>
      </c>
      <c r="J648" s="2" t="str">
        <f>+IF(BD[[#This Row],[DEPARTAMENTO_INSS]]="MANAGUA","_01_","_02_")</f>
        <v>_02_</v>
      </c>
      <c r="K648" s="2" t="str">
        <f>+CONCATENATE(BD[[#This Row],[Columna3]],BD[[#This Row],[Columna4]],BD[[#This Row],[NOMBRE COMPLETO]])</f>
        <v>E003_02_ELEAZAR LENIN ROJAS ROJAS</v>
      </c>
      <c r="L648" s="2" t="s">
        <v>4700</v>
      </c>
      <c r="M648" s="2" t="s">
        <v>3384</v>
      </c>
      <c r="N648" s="2" t="s">
        <v>105</v>
      </c>
      <c r="O648" s="2" t="s">
        <v>105</v>
      </c>
      <c r="P648" s="2" t="s">
        <v>649</v>
      </c>
      <c r="Q648" s="2" t="s">
        <v>351</v>
      </c>
      <c r="R648" s="2">
        <v>31141</v>
      </c>
      <c r="S648" s="2">
        <v>31141</v>
      </c>
      <c r="T648" s="2" t="s">
        <v>627</v>
      </c>
      <c r="U648" s="2" t="s">
        <v>444</v>
      </c>
      <c r="V648" s="2" t="s">
        <v>627</v>
      </c>
      <c r="W648" s="2" t="s">
        <v>764</v>
      </c>
      <c r="X648" s="2" t="s">
        <v>4701</v>
      </c>
      <c r="Y648" s="2" t="s">
        <v>4702</v>
      </c>
      <c r="Z648" s="2">
        <v>89379533</v>
      </c>
      <c r="AA648" s="2">
        <v>89379533</v>
      </c>
      <c r="AB648" s="2" t="s">
        <v>654</v>
      </c>
      <c r="AC648" s="2" t="s">
        <v>632</v>
      </c>
      <c r="AD648" s="2">
        <v>89379533</v>
      </c>
      <c r="AJ648" s="2">
        <v>89379533</v>
      </c>
      <c r="AK648" s="2">
        <v>2</v>
      </c>
      <c r="AL648" s="2" t="s">
        <v>633</v>
      </c>
      <c r="AM648" s="2">
        <v>0</v>
      </c>
      <c r="AN648" s="2">
        <v>0</v>
      </c>
      <c r="AO648" s="2">
        <v>1</v>
      </c>
      <c r="AP648" s="2">
        <v>0</v>
      </c>
      <c r="AQ648" s="2">
        <v>0</v>
      </c>
      <c r="AR648" s="2">
        <v>0</v>
      </c>
      <c r="AS648" s="2">
        <v>0</v>
      </c>
      <c r="AT648" s="2">
        <v>0</v>
      </c>
      <c r="AZ648" s="2" t="s">
        <v>4703</v>
      </c>
      <c r="BB648" s="2" t="str">
        <f>+PROPER(BD[[#This Row],[PRIMER_APELLIDO]])</f>
        <v>Rojas</v>
      </c>
    </row>
    <row r="649" spans="1:54" x14ac:dyDescent="0.25">
      <c r="A649" s="2">
        <v>648</v>
      </c>
      <c r="B649" s="2">
        <v>36904</v>
      </c>
      <c r="C649" s="2" t="s">
        <v>619</v>
      </c>
      <c r="D649" s="2" t="s">
        <v>620</v>
      </c>
      <c r="E649" s="2" t="s">
        <v>4704</v>
      </c>
      <c r="F649" s="2">
        <v>22156303</v>
      </c>
      <c r="G649" s="3">
        <v>37.421917808219177</v>
      </c>
      <c r="H649" s="2" t="s">
        <v>622</v>
      </c>
      <c r="I649" s="2" t="s">
        <v>4705</v>
      </c>
      <c r="J649" s="2" t="str">
        <f>+IF(BD[[#This Row],[DEPARTAMENTO_INSS]]="MANAGUA","_01_","_02_")</f>
        <v>_02_</v>
      </c>
      <c r="K649" s="2" t="str">
        <f>+CONCATENATE(BD[[#This Row],[Columna3]],BD[[#This Row],[Columna4]],BD[[#This Row],[NOMBRE COMPLETO]])</f>
        <v>E003_02_MICHAEL ANDRES PALACIOS CARVAJAL</v>
      </c>
      <c r="L649" s="2" t="s">
        <v>2568</v>
      </c>
      <c r="M649" s="2" t="s">
        <v>953</v>
      </c>
      <c r="N649" s="2" t="s">
        <v>201</v>
      </c>
      <c r="O649" s="2" t="s">
        <v>321</v>
      </c>
      <c r="P649" s="2" t="s">
        <v>649</v>
      </c>
      <c r="Q649" s="2" t="s">
        <v>351</v>
      </c>
      <c r="R649" s="2">
        <v>31137</v>
      </c>
      <c r="S649" s="2">
        <v>31137</v>
      </c>
      <c r="T649" s="2" t="s">
        <v>176</v>
      </c>
      <c r="U649" s="2" t="s">
        <v>659</v>
      </c>
      <c r="V649" s="2" t="s">
        <v>997</v>
      </c>
      <c r="W649" s="2" t="s">
        <v>659</v>
      </c>
      <c r="X649" s="2" t="s">
        <v>4706</v>
      </c>
      <c r="Y649" s="2" t="s">
        <v>4707</v>
      </c>
      <c r="Z649" s="2">
        <v>88576406</v>
      </c>
      <c r="AA649" s="2">
        <v>88576406</v>
      </c>
      <c r="AB649" s="2" t="s">
        <v>654</v>
      </c>
      <c r="AC649" s="2" t="s">
        <v>632</v>
      </c>
      <c r="AD649" s="2">
        <v>88576406</v>
      </c>
      <c r="AJ649" s="2">
        <v>88576406</v>
      </c>
      <c r="AK649" s="2">
        <v>2</v>
      </c>
      <c r="AL649" s="2" t="s">
        <v>633</v>
      </c>
      <c r="AM649" s="2">
        <v>0</v>
      </c>
      <c r="AN649" s="2">
        <v>0</v>
      </c>
      <c r="AO649" s="2">
        <v>1</v>
      </c>
      <c r="AP649" s="2">
        <v>0</v>
      </c>
      <c r="AQ649" s="2">
        <v>0</v>
      </c>
      <c r="AR649" s="2">
        <v>0</v>
      </c>
      <c r="AS649" s="2">
        <v>0</v>
      </c>
      <c r="AT649" s="2">
        <v>0</v>
      </c>
      <c r="AZ649" s="2" t="s">
        <v>4708</v>
      </c>
      <c r="BB649" s="2" t="str">
        <f>+PROPER(BD[[#This Row],[PRIMER_APELLIDO]])</f>
        <v>Palacios</v>
      </c>
    </row>
    <row r="650" spans="1:54" x14ac:dyDescent="0.25">
      <c r="A650" s="2">
        <v>649</v>
      </c>
      <c r="B650" s="2">
        <v>43272</v>
      </c>
      <c r="C650" s="2" t="s">
        <v>619</v>
      </c>
      <c r="D650" s="2" t="s">
        <v>620</v>
      </c>
      <c r="E650" s="2" t="s">
        <v>4709</v>
      </c>
      <c r="F650" s="2">
        <v>24235341</v>
      </c>
      <c r="G650" s="3">
        <v>37.424657534246577</v>
      </c>
      <c r="H650" s="2" t="s">
        <v>622</v>
      </c>
      <c r="I650" s="2" t="s">
        <v>4710</v>
      </c>
      <c r="J650" s="2" t="str">
        <f>+IF(BD[[#This Row],[DEPARTAMENTO_INSS]]="MANAGUA","_01_","_02_")</f>
        <v>_02_</v>
      </c>
      <c r="K650" s="2" t="str">
        <f>+CONCATENATE(BD[[#This Row],[Columna3]],BD[[#This Row],[Columna4]],BD[[#This Row],[NOMBRE COMPLETO]])</f>
        <v>E003_02_ISAAC MARTIN MORRAZ RIVAS</v>
      </c>
      <c r="L650" s="2" t="s">
        <v>4183</v>
      </c>
      <c r="M650" s="2" t="s">
        <v>1183</v>
      </c>
      <c r="N650" s="2" t="s">
        <v>137</v>
      </c>
      <c r="O650" s="2" t="s">
        <v>186</v>
      </c>
      <c r="P650" s="2" t="s">
        <v>649</v>
      </c>
      <c r="Q650" s="2" t="s">
        <v>351</v>
      </c>
      <c r="R650" s="2">
        <v>31136</v>
      </c>
      <c r="S650" s="2">
        <v>31136</v>
      </c>
      <c r="T650" s="2" t="s">
        <v>732</v>
      </c>
      <c r="U650" s="2" t="s">
        <v>732</v>
      </c>
      <c r="V650" s="2" t="s">
        <v>732</v>
      </c>
      <c r="W650" s="2" t="s">
        <v>732</v>
      </c>
      <c r="X650" s="2" t="s">
        <v>4711</v>
      </c>
      <c r="Y650" s="2" t="s">
        <v>4712</v>
      </c>
      <c r="AA650" s="2">
        <v>25224273</v>
      </c>
      <c r="AB650" s="2" t="s">
        <v>654</v>
      </c>
      <c r="AC650" s="2" t="s">
        <v>632</v>
      </c>
      <c r="AK650" s="2">
        <v>1</v>
      </c>
      <c r="AL650" s="2" t="s">
        <v>633</v>
      </c>
      <c r="AM650" s="2">
        <v>0</v>
      </c>
      <c r="AN650" s="2">
        <v>0</v>
      </c>
      <c r="AO650" s="2">
        <v>1</v>
      </c>
      <c r="AP650" s="2">
        <v>0</v>
      </c>
      <c r="AQ650" s="2">
        <v>0</v>
      </c>
      <c r="AR650" s="2">
        <v>0</v>
      </c>
      <c r="AS650" s="2">
        <v>0</v>
      </c>
      <c r="AT650" s="2">
        <v>0</v>
      </c>
      <c r="BB650" s="2" t="str">
        <f>+PROPER(BD[[#This Row],[PRIMER_APELLIDO]])</f>
        <v>Morraz</v>
      </c>
    </row>
    <row r="651" spans="1:54" x14ac:dyDescent="0.25">
      <c r="A651" s="2">
        <v>650</v>
      </c>
      <c r="B651" s="2">
        <v>29936</v>
      </c>
      <c r="C651" s="2" t="s">
        <v>619</v>
      </c>
      <c r="D651" s="2" t="s">
        <v>620</v>
      </c>
      <c r="E651" s="2" t="s">
        <v>4713</v>
      </c>
      <c r="F651" s="2">
        <v>23486018</v>
      </c>
      <c r="G651" s="3">
        <v>37.43287671232877</v>
      </c>
      <c r="H651" s="2" t="s">
        <v>622</v>
      </c>
      <c r="I651" s="2" t="s">
        <v>4714</v>
      </c>
      <c r="J651" s="2" t="str">
        <f>+IF(BD[[#This Row],[DEPARTAMENTO_INSS]]="MANAGUA","_01_","_02_")</f>
        <v>_02_</v>
      </c>
      <c r="K651" s="2" t="str">
        <f>+CONCATENATE(BD[[#This Row],[Columna3]],BD[[#This Row],[Columna4]],BD[[#This Row],[NOMBRE COMPLETO]])</f>
        <v>E003_02_BETTY MARGIORI MERCADO BETANCO</v>
      </c>
      <c r="L651" s="2" t="s">
        <v>713</v>
      </c>
      <c r="M651" s="2" t="s">
        <v>4715</v>
      </c>
      <c r="N651" s="2" t="s">
        <v>250</v>
      </c>
      <c r="O651" s="2" t="s">
        <v>253</v>
      </c>
      <c r="P651" s="2" t="s">
        <v>626</v>
      </c>
      <c r="Q651" s="2" t="s">
        <v>351</v>
      </c>
      <c r="R651" s="2">
        <v>31133</v>
      </c>
      <c r="S651" s="2">
        <v>31133</v>
      </c>
      <c r="T651" s="2" t="s">
        <v>732</v>
      </c>
      <c r="U651" s="2" t="s">
        <v>732</v>
      </c>
      <c r="V651" s="2" t="s">
        <v>4341</v>
      </c>
      <c r="W651" s="2" t="s">
        <v>4341</v>
      </c>
      <c r="X651" s="2" t="s">
        <v>4716</v>
      </c>
      <c r="Y651" s="2" t="s">
        <v>4717</v>
      </c>
      <c r="Z651" s="2">
        <v>82197326</v>
      </c>
      <c r="AA651" s="2" t="s">
        <v>4718</v>
      </c>
      <c r="AB651" s="2" t="s">
        <v>654</v>
      </c>
      <c r="AC651" s="2" t="s">
        <v>632</v>
      </c>
      <c r="AD651" s="2">
        <v>82197326</v>
      </c>
      <c r="AE651" s="2">
        <v>57624107</v>
      </c>
      <c r="AJ651" s="2">
        <v>82197326</v>
      </c>
      <c r="AK651" s="2">
        <v>3</v>
      </c>
      <c r="AL651" s="2" t="s">
        <v>633</v>
      </c>
      <c r="AM651" s="2">
        <v>0</v>
      </c>
      <c r="AN651" s="2">
        <v>0</v>
      </c>
      <c r="AO651" s="2">
        <v>1</v>
      </c>
      <c r="AP651" s="2">
        <v>0</v>
      </c>
      <c r="AQ651" s="2">
        <v>0</v>
      </c>
      <c r="AR651" s="2">
        <v>0</v>
      </c>
      <c r="AS651" s="2">
        <v>0</v>
      </c>
      <c r="AT651" s="2">
        <v>0</v>
      </c>
      <c r="BB651" s="2" t="str">
        <f>+PROPER(BD[[#This Row],[PRIMER_APELLIDO]])</f>
        <v>Mercado</v>
      </c>
    </row>
    <row r="652" spans="1:54" x14ac:dyDescent="0.25">
      <c r="A652" s="2">
        <v>651</v>
      </c>
      <c r="B652" s="2">
        <v>33160</v>
      </c>
      <c r="C652" s="2" t="s">
        <v>619</v>
      </c>
      <c r="D652" s="2" t="s">
        <v>620</v>
      </c>
      <c r="E652" s="2" t="s">
        <v>4719</v>
      </c>
      <c r="F652" s="2">
        <v>26199542</v>
      </c>
      <c r="G652" s="3">
        <v>37.435616438356163</v>
      </c>
      <c r="H652" s="2" t="s">
        <v>622</v>
      </c>
      <c r="I652" s="2" t="s">
        <v>4720</v>
      </c>
      <c r="J652" s="2" t="str">
        <f>+IF(BD[[#This Row],[DEPARTAMENTO_INSS]]="MANAGUA","_01_","_02_")</f>
        <v>_02_</v>
      </c>
      <c r="K652" s="2" t="str">
        <f>+CONCATENATE(BD[[#This Row],[Columna3]],BD[[#This Row],[Columna4]],BD[[#This Row],[NOMBRE COMPLETO]])</f>
        <v>E003_02_FRESIA REGINA LARGAESPADA NICARAGUA</v>
      </c>
      <c r="L652" s="2" t="s">
        <v>4721</v>
      </c>
      <c r="M652" s="2" t="s">
        <v>1379</v>
      </c>
      <c r="N652" s="2" t="s">
        <v>23</v>
      </c>
      <c r="O652" s="2" t="s">
        <v>351</v>
      </c>
      <c r="P652" s="2" t="s">
        <v>626</v>
      </c>
      <c r="Q652" s="2" t="s">
        <v>351</v>
      </c>
      <c r="R652" s="2">
        <v>31132</v>
      </c>
      <c r="S652" s="2">
        <v>31132</v>
      </c>
      <c r="T652" s="2" t="s">
        <v>705</v>
      </c>
      <c r="U652" s="2" t="s">
        <v>705</v>
      </c>
      <c r="V652" s="2" t="s">
        <v>705</v>
      </c>
      <c r="W652" s="2" t="s">
        <v>4722</v>
      </c>
      <c r="X652" s="2" t="s">
        <v>4723</v>
      </c>
      <c r="Y652" s="2" t="s">
        <v>4724</v>
      </c>
      <c r="AA652" s="2">
        <v>22710007</v>
      </c>
      <c r="AB652" s="2" t="s">
        <v>642</v>
      </c>
      <c r="AC652" s="2" t="s">
        <v>632</v>
      </c>
      <c r="AK652" s="2">
        <v>1</v>
      </c>
      <c r="AL652" s="2" t="s">
        <v>633</v>
      </c>
      <c r="AM652" s="2">
        <v>0</v>
      </c>
      <c r="AN652" s="2">
        <v>0</v>
      </c>
      <c r="AO652" s="2">
        <v>1</v>
      </c>
      <c r="AP652" s="2">
        <v>0</v>
      </c>
      <c r="AQ652" s="2">
        <v>0</v>
      </c>
      <c r="AR652" s="2">
        <v>0</v>
      </c>
      <c r="AS652" s="2">
        <v>0</v>
      </c>
      <c r="AT652" s="2">
        <v>0</v>
      </c>
      <c r="BB652" s="2" t="str">
        <f>+PROPER(BD[[#This Row],[PRIMER_APELLIDO]])</f>
        <v>Largaespada</v>
      </c>
    </row>
    <row r="653" spans="1:54" x14ac:dyDescent="0.25">
      <c r="A653" s="2">
        <v>652</v>
      </c>
      <c r="B653" s="2">
        <v>40070</v>
      </c>
      <c r="C653" s="2" t="s">
        <v>619</v>
      </c>
      <c r="D653" s="2" t="s">
        <v>620</v>
      </c>
      <c r="E653" s="2" t="s">
        <v>4725</v>
      </c>
      <c r="F653" s="2">
        <v>23144655</v>
      </c>
      <c r="G653" s="3">
        <v>37.441095890410956</v>
      </c>
      <c r="H653" s="2" t="s">
        <v>622</v>
      </c>
      <c r="I653" s="2" t="s">
        <v>4726</v>
      </c>
      <c r="J653" s="2" t="str">
        <f>+IF(BD[[#This Row],[DEPARTAMENTO_INSS]]="MANAGUA","_01_","_02_")</f>
        <v>_02_</v>
      </c>
      <c r="K653" s="2" t="str">
        <f>+CONCATENATE(BD[[#This Row],[Columna3]],BD[[#This Row],[Columna4]],BD[[#This Row],[NOMBRE COMPLETO]])</f>
        <v>E003_02_VERONICA AZUCENA RIVAS PALACIOS</v>
      </c>
      <c r="L653" s="2" t="s">
        <v>1464</v>
      </c>
      <c r="M653" s="2" t="s">
        <v>1844</v>
      </c>
      <c r="N653" s="2" t="s">
        <v>186</v>
      </c>
      <c r="O653" s="2" t="s">
        <v>201</v>
      </c>
      <c r="P653" s="2" t="s">
        <v>626</v>
      </c>
      <c r="Q653" s="2" t="s">
        <v>351</v>
      </c>
      <c r="R653" s="2">
        <v>31130</v>
      </c>
      <c r="S653" s="2">
        <v>31130</v>
      </c>
      <c r="T653" s="2" t="s">
        <v>1104</v>
      </c>
      <c r="U653" s="2" t="s">
        <v>1104</v>
      </c>
      <c r="V653" s="2" t="s">
        <v>1104</v>
      </c>
      <c r="W653" s="2" t="s">
        <v>1104</v>
      </c>
      <c r="X653" s="2" t="s">
        <v>4727</v>
      </c>
      <c r="Y653" s="2" t="s">
        <v>4728</v>
      </c>
      <c r="Z653" s="2">
        <v>85128449</v>
      </c>
      <c r="AB653" s="2" t="s">
        <v>654</v>
      </c>
      <c r="AC653" s="2" t="s">
        <v>632</v>
      </c>
      <c r="AD653" s="2">
        <v>85128449</v>
      </c>
      <c r="AJ653" s="2">
        <v>85128449</v>
      </c>
      <c r="AK653" s="2">
        <v>1</v>
      </c>
      <c r="AL653" s="2" t="s">
        <v>633</v>
      </c>
      <c r="AM653" s="2">
        <v>0</v>
      </c>
      <c r="AN653" s="2">
        <v>0</v>
      </c>
      <c r="AO653" s="2">
        <v>1</v>
      </c>
      <c r="AP653" s="2">
        <v>0</v>
      </c>
      <c r="AQ653" s="2">
        <v>0</v>
      </c>
      <c r="AR653" s="2">
        <v>0</v>
      </c>
      <c r="AS653" s="2">
        <v>0</v>
      </c>
      <c r="AT653" s="2">
        <v>0</v>
      </c>
      <c r="BB653" s="2" t="str">
        <f>+PROPER(BD[[#This Row],[PRIMER_APELLIDO]])</f>
        <v>Rivas</v>
      </c>
    </row>
    <row r="654" spans="1:54" x14ac:dyDescent="0.25">
      <c r="A654" s="2">
        <v>653</v>
      </c>
      <c r="B654" s="2">
        <v>47107</v>
      </c>
      <c r="C654" s="2" t="s">
        <v>619</v>
      </c>
      <c r="D654" s="2" t="s">
        <v>620</v>
      </c>
      <c r="E654" s="2" t="s">
        <v>4729</v>
      </c>
      <c r="F654" s="2">
        <v>25026254</v>
      </c>
      <c r="G654" s="3">
        <v>37.446575342465756</v>
      </c>
      <c r="H654" s="2" t="s">
        <v>622</v>
      </c>
      <c r="I654" s="2" t="s">
        <v>4730</v>
      </c>
      <c r="J654" s="2" t="str">
        <f>+IF(BD[[#This Row],[DEPARTAMENTO_INSS]]="MANAGUA","_01_","_02_")</f>
        <v>_02_</v>
      </c>
      <c r="K654" s="2" t="str">
        <f>+CONCATENATE(BD[[#This Row],[Columna3]],BD[[#This Row],[Columna4]],BD[[#This Row],[NOMBRE COMPLETO]])</f>
        <v>E003_02_ALBA LUZ VANEGA SEQUEIRA</v>
      </c>
      <c r="L654" s="2" t="s">
        <v>4731</v>
      </c>
      <c r="M654" s="2" t="s">
        <v>4732</v>
      </c>
      <c r="N654" s="2" t="s">
        <v>387</v>
      </c>
      <c r="O654" s="2" t="s">
        <v>348</v>
      </c>
      <c r="P654" s="2" t="s">
        <v>626</v>
      </c>
      <c r="Q654" s="2" t="s">
        <v>351</v>
      </c>
      <c r="R654" s="2">
        <v>31128</v>
      </c>
      <c r="S654" s="2">
        <v>31128</v>
      </c>
      <c r="T654" s="2" t="s">
        <v>780</v>
      </c>
      <c r="U654" s="2" t="s">
        <v>780</v>
      </c>
      <c r="V654" s="2" t="s">
        <v>2073</v>
      </c>
      <c r="W654" s="2" t="s">
        <v>2073</v>
      </c>
      <c r="X654" s="2" t="s">
        <v>4733</v>
      </c>
      <c r="Y654" s="2" t="s">
        <v>4734</v>
      </c>
      <c r="Z654" s="2">
        <v>87372719</v>
      </c>
      <c r="AA654" s="2">
        <v>85067503</v>
      </c>
      <c r="AB654" s="2" t="s">
        <v>631</v>
      </c>
      <c r="AC654" s="2" t="s">
        <v>632</v>
      </c>
      <c r="AD654" s="2">
        <v>87372719</v>
      </c>
      <c r="AF654" s="2">
        <v>85067503</v>
      </c>
      <c r="AJ654" s="2">
        <v>87372719</v>
      </c>
      <c r="AK654" s="2">
        <v>2</v>
      </c>
      <c r="AL654" s="2" t="s">
        <v>633</v>
      </c>
      <c r="AM654" s="2">
        <v>0</v>
      </c>
      <c r="AN654" s="2">
        <v>0</v>
      </c>
      <c r="AO654" s="2">
        <v>1</v>
      </c>
      <c r="AP654" s="2">
        <v>0</v>
      </c>
      <c r="AQ654" s="2">
        <v>0</v>
      </c>
      <c r="AR654" s="2">
        <v>0</v>
      </c>
      <c r="AS654" s="2">
        <v>0</v>
      </c>
      <c r="AT654" s="2">
        <v>0</v>
      </c>
      <c r="AZ654" s="2" t="s">
        <v>4735</v>
      </c>
      <c r="BB654" s="2" t="str">
        <f>+PROPER(BD[[#This Row],[PRIMER_APELLIDO]])</f>
        <v>Vanega</v>
      </c>
    </row>
    <row r="655" spans="1:54" x14ac:dyDescent="0.25">
      <c r="A655" s="2">
        <v>654</v>
      </c>
      <c r="B655" s="2">
        <v>51778</v>
      </c>
      <c r="C655" s="2" t="s">
        <v>619</v>
      </c>
      <c r="D655" s="2" t="s">
        <v>620</v>
      </c>
      <c r="E655" s="2" t="s">
        <v>4736</v>
      </c>
      <c r="F655" s="2">
        <v>26574437</v>
      </c>
      <c r="G655" s="3">
        <v>37.446575342465756</v>
      </c>
      <c r="H655" s="2" t="s">
        <v>622</v>
      </c>
      <c r="I655" s="2" t="s">
        <v>4737</v>
      </c>
      <c r="J655" s="2" t="str">
        <f>+IF(BD[[#This Row],[DEPARTAMENTO_INSS]]="MANAGUA","_01_","_02_")</f>
        <v>_02_</v>
      </c>
      <c r="K655" s="2" t="str">
        <f>+CONCATENATE(BD[[#This Row],[Columna3]],BD[[#This Row],[Columna4]],BD[[#This Row],[NOMBRE COMPLETO]])</f>
        <v>E003_02_INGRID MARIELL AMAYA DIAZ</v>
      </c>
      <c r="L655" s="2" t="s">
        <v>2029</v>
      </c>
      <c r="M655" s="2" t="s">
        <v>4738</v>
      </c>
      <c r="N655" s="2" t="s">
        <v>215</v>
      </c>
      <c r="O655" s="2" t="s">
        <v>91</v>
      </c>
      <c r="P655" s="2" t="s">
        <v>626</v>
      </c>
      <c r="Q655" s="2" t="s">
        <v>351</v>
      </c>
      <c r="R655" s="2">
        <v>31128</v>
      </c>
      <c r="S655" s="2">
        <v>31128</v>
      </c>
      <c r="T655" s="2" t="s">
        <v>669</v>
      </c>
      <c r="U655" s="2" t="s">
        <v>669</v>
      </c>
      <c r="V655" s="2" t="s">
        <v>670</v>
      </c>
      <c r="W655" s="2" t="s">
        <v>670</v>
      </c>
      <c r="X655" s="2" t="s">
        <v>4739</v>
      </c>
      <c r="Y655" s="2" t="s">
        <v>4740</v>
      </c>
      <c r="Z655" s="2">
        <v>76395569</v>
      </c>
      <c r="AB655" s="2" t="s">
        <v>631</v>
      </c>
      <c r="AC655" s="2" t="s">
        <v>632</v>
      </c>
      <c r="AD655" s="2">
        <v>76395569</v>
      </c>
      <c r="AJ655" s="2">
        <v>76395569</v>
      </c>
      <c r="AK655" s="2">
        <v>1</v>
      </c>
      <c r="AL655" s="2" t="s">
        <v>633</v>
      </c>
      <c r="AM655" s="2">
        <v>0</v>
      </c>
      <c r="AN655" s="2">
        <v>0</v>
      </c>
      <c r="AO655" s="2">
        <v>1</v>
      </c>
      <c r="AP655" s="2">
        <v>0</v>
      </c>
      <c r="AQ655" s="2">
        <v>0</v>
      </c>
      <c r="AR655" s="2">
        <v>0</v>
      </c>
      <c r="AS655" s="2">
        <v>0</v>
      </c>
      <c r="AT655" s="2">
        <v>0</v>
      </c>
      <c r="AZ655" s="2" t="s">
        <v>4741</v>
      </c>
      <c r="BB655" s="2" t="str">
        <f>+PROPER(BD[[#This Row],[PRIMER_APELLIDO]])</f>
        <v>Amaya</v>
      </c>
    </row>
    <row r="656" spans="1:54" x14ac:dyDescent="0.25">
      <c r="A656" s="2">
        <v>655</v>
      </c>
      <c r="B656" s="2">
        <v>32852</v>
      </c>
      <c r="C656" s="2" t="s">
        <v>619</v>
      </c>
      <c r="D656" s="2" t="s">
        <v>620</v>
      </c>
      <c r="E656" s="2" t="s">
        <v>4742</v>
      </c>
      <c r="F656" s="2">
        <v>21719574</v>
      </c>
      <c r="G656" s="3">
        <v>37.452054794520549</v>
      </c>
      <c r="H656" s="2" t="s">
        <v>622</v>
      </c>
      <c r="I656" s="2" t="s">
        <v>4743</v>
      </c>
      <c r="J656" s="2" t="str">
        <f>+IF(BD[[#This Row],[DEPARTAMENTO_INSS]]="MANAGUA","_01_","_02_")</f>
        <v>_02_</v>
      </c>
      <c r="K656" s="2" t="str">
        <f>+CONCATENATE(BD[[#This Row],[Columna3]],BD[[#This Row],[Columna4]],BD[[#This Row],[NOMBRE COMPLETO]])</f>
        <v>E003_02_ROGER FRANCISCO SEVILLA FLORES</v>
      </c>
      <c r="L656" s="2" t="s">
        <v>1298</v>
      </c>
      <c r="M656" s="2" t="s">
        <v>1692</v>
      </c>
      <c r="N656" s="2" t="s">
        <v>280</v>
      </c>
      <c r="O656" s="2" t="s">
        <v>58</v>
      </c>
      <c r="P656" s="2" t="s">
        <v>649</v>
      </c>
      <c r="Q656" s="2" t="s">
        <v>351</v>
      </c>
      <c r="R656" s="2">
        <v>31126</v>
      </c>
      <c r="S656" s="2">
        <v>31126</v>
      </c>
      <c r="T656" s="2" t="s">
        <v>176</v>
      </c>
      <c r="U656" s="2" t="s">
        <v>176</v>
      </c>
      <c r="V656" s="2" t="s">
        <v>650</v>
      </c>
      <c r="W656" s="2" t="s">
        <v>176</v>
      </c>
      <c r="X656" s="2" t="s">
        <v>4744</v>
      </c>
      <c r="Y656" s="2" t="s">
        <v>4745</v>
      </c>
      <c r="Z656" s="2">
        <v>83854147</v>
      </c>
      <c r="AA656" s="2">
        <v>23113592</v>
      </c>
      <c r="AB656" s="2" t="s">
        <v>654</v>
      </c>
      <c r="AC656" s="2" t="s">
        <v>632</v>
      </c>
      <c r="AD656" s="2">
        <v>83854147</v>
      </c>
      <c r="AJ656" s="2">
        <v>83854147</v>
      </c>
      <c r="AK656" s="2">
        <v>2</v>
      </c>
      <c r="AL656" s="2" t="s">
        <v>633</v>
      </c>
      <c r="AM656" s="2">
        <v>0</v>
      </c>
      <c r="AN656" s="2">
        <v>0</v>
      </c>
      <c r="AO656" s="2">
        <v>1</v>
      </c>
      <c r="AP656" s="2">
        <v>0</v>
      </c>
      <c r="AQ656" s="2">
        <v>0</v>
      </c>
      <c r="AR656" s="2">
        <v>0</v>
      </c>
      <c r="AS656" s="2">
        <v>0</v>
      </c>
      <c r="AT656" s="2">
        <v>0</v>
      </c>
      <c r="AZ656" s="2" t="s">
        <v>4746</v>
      </c>
      <c r="BB656" s="2" t="str">
        <f>+PROPER(BD[[#This Row],[PRIMER_APELLIDO]])</f>
        <v>Sevilla</v>
      </c>
    </row>
    <row r="657" spans="1:54" x14ac:dyDescent="0.25">
      <c r="A657" s="2">
        <v>656</v>
      </c>
      <c r="B657" s="2">
        <v>39070</v>
      </c>
      <c r="C657" s="2" t="s">
        <v>619</v>
      </c>
      <c r="D657" s="2" t="s">
        <v>620</v>
      </c>
      <c r="E657" s="2" t="s">
        <v>4747</v>
      </c>
      <c r="F657" s="2">
        <v>23110566</v>
      </c>
      <c r="G657" s="3">
        <v>37.457534246575342</v>
      </c>
      <c r="H657" s="2" t="s">
        <v>622</v>
      </c>
      <c r="I657" s="2" t="s">
        <v>4748</v>
      </c>
      <c r="J657" s="2" t="str">
        <f>+IF(BD[[#This Row],[DEPARTAMENTO_INSS]]="MANAGUA","_01_","_02_")</f>
        <v>_02_</v>
      </c>
      <c r="K657" s="2" t="str">
        <f>+CONCATENATE(BD[[#This Row],[Columna3]],BD[[#This Row],[Columna4]],BD[[#This Row],[NOMBRE COMPLETO]])</f>
        <v>E003_02_OSMAR ULISES TORREZ OPORTA</v>
      </c>
      <c r="L657" s="2" t="s">
        <v>4749</v>
      </c>
      <c r="M657" s="2" t="s">
        <v>1299</v>
      </c>
      <c r="N657" s="2" t="s">
        <v>158</v>
      </c>
      <c r="O657" s="2" t="s">
        <v>564</v>
      </c>
      <c r="P657" s="2" t="s">
        <v>649</v>
      </c>
      <c r="Q657" s="2" t="s">
        <v>351</v>
      </c>
      <c r="R657" s="2">
        <v>31124</v>
      </c>
      <c r="S657" s="2">
        <v>31124</v>
      </c>
      <c r="T657" s="2" t="s">
        <v>669</v>
      </c>
      <c r="U657" s="2" t="s">
        <v>669</v>
      </c>
      <c r="V657" s="2" t="s">
        <v>670</v>
      </c>
      <c r="W657" s="2" t="s">
        <v>670</v>
      </c>
      <c r="X657" s="2" t="s">
        <v>4750</v>
      </c>
      <c r="Y657" s="2" t="s">
        <v>4751</v>
      </c>
      <c r="Z657" s="2">
        <v>86358240</v>
      </c>
      <c r="AA657" s="2">
        <v>86358240</v>
      </c>
      <c r="AB657" s="2" t="s">
        <v>654</v>
      </c>
      <c r="AC657" s="2" t="s">
        <v>632</v>
      </c>
      <c r="AD657" s="2">
        <v>86358240</v>
      </c>
      <c r="AJ657" s="2">
        <v>86358240</v>
      </c>
      <c r="AK657" s="2">
        <v>2</v>
      </c>
      <c r="AL657" s="2" t="s">
        <v>633</v>
      </c>
      <c r="AM657" s="2">
        <v>0</v>
      </c>
      <c r="AN657" s="2">
        <v>0</v>
      </c>
      <c r="AO657" s="2">
        <v>1</v>
      </c>
      <c r="AP657" s="2">
        <v>0</v>
      </c>
      <c r="AQ657" s="2">
        <v>0</v>
      </c>
      <c r="AR657" s="2">
        <v>0</v>
      </c>
      <c r="AS657" s="2">
        <v>0</v>
      </c>
      <c r="AT657" s="2">
        <v>0</v>
      </c>
      <c r="BB657" s="2" t="str">
        <f>+PROPER(BD[[#This Row],[PRIMER_APELLIDO]])</f>
        <v>Torrez</v>
      </c>
    </row>
    <row r="658" spans="1:54" x14ac:dyDescent="0.25">
      <c r="A658" s="2">
        <v>657</v>
      </c>
      <c r="B658" s="2">
        <v>62912</v>
      </c>
      <c r="C658" s="2" t="s">
        <v>619</v>
      </c>
      <c r="D658" s="2" t="s">
        <v>620</v>
      </c>
      <c r="E658" s="2" t="s">
        <v>4752</v>
      </c>
      <c r="G658" s="3">
        <v>37.460273972602742</v>
      </c>
      <c r="H658" s="2" t="s">
        <v>622</v>
      </c>
      <c r="I658" s="2" t="s">
        <v>4753</v>
      </c>
      <c r="J658" s="2" t="str">
        <f>+IF(BD[[#This Row],[DEPARTAMENTO_INSS]]="MANAGUA","_01_","_02_")</f>
        <v>_02_</v>
      </c>
      <c r="K658" s="2" t="str">
        <f>+CONCATENATE(BD[[#This Row],[Columna3]],BD[[#This Row],[Columna4]],BD[[#This Row],[NOMBRE COMPLETO]])</f>
        <v>E003_02_MARLON JOSE PALACIOS MORAN</v>
      </c>
      <c r="L658" s="2" t="s">
        <v>793</v>
      </c>
      <c r="M658" s="2" t="s">
        <v>243</v>
      </c>
      <c r="N658" s="2" t="s">
        <v>201</v>
      </c>
      <c r="O658" s="2" t="s">
        <v>419</v>
      </c>
      <c r="P658" s="2" t="s">
        <v>649</v>
      </c>
      <c r="Q658" s="2" t="s">
        <v>351</v>
      </c>
      <c r="R658" s="2">
        <v>31123</v>
      </c>
      <c r="S658" s="2">
        <v>31123</v>
      </c>
      <c r="T658" s="2" t="s">
        <v>176</v>
      </c>
      <c r="U658" s="2" t="s">
        <v>176</v>
      </c>
      <c r="V658" s="2" t="s">
        <v>1796</v>
      </c>
      <c r="W658" s="2" t="s">
        <v>1796</v>
      </c>
      <c r="X658" s="2" t="s">
        <v>4754</v>
      </c>
      <c r="Y658" s="2" t="s">
        <v>4755</v>
      </c>
      <c r="Z658" s="2">
        <v>58793857</v>
      </c>
      <c r="AB658" s="2" t="s">
        <v>654</v>
      </c>
      <c r="AC658" s="2" t="s">
        <v>632</v>
      </c>
      <c r="AD658" s="2">
        <v>58793857</v>
      </c>
      <c r="AJ658" s="2">
        <v>58793857</v>
      </c>
      <c r="AK658" s="2">
        <v>1</v>
      </c>
      <c r="AL658" s="2" t="s">
        <v>633</v>
      </c>
      <c r="AM658" s="2">
        <v>0</v>
      </c>
      <c r="AN658" s="2">
        <v>0</v>
      </c>
      <c r="AO658" s="2">
        <v>1</v>
      </c>
      <c r="AP658" s="2">
        <v>0</v>
      </c>
      <c r="AQ658" s="2">
        <v>0</v>
      </c>
      <c r="AR658" s="2">
        <v>0</v>
      </c>
      <c r="AS658" s="2">
        <v>0</v>
      </c>
      <c r="AT658" s="2">
        <v>0</v>
      </c>
      <c r="AZ658" s="2" t="s">
        <v>4756</v>
      </c>
      <c r="BB658" s="2" t="str">
        <f>+PROPER(BD[[#This Row],[PRIMER_APELLIDO]])</f>
        <v>Palacios</v>
      </c>
    </row>
    <row r="659" spans="1:54" x14ac:dyDescent="0.25">
      <c r="A659" s="2">
        <v>658</v>
      </c>
      <c r="B659" s="2">
        <v>49674</v>
      </c>
      <c r="C659" s="2" t="s">
        <v>619</v>
      </c>
      <c r="D659" s="2" t="s">
        <v>620</v>
      </c>
      <c r="E659" s="2" t="s">
        <v>4757</v>
      </c>
      <c r="F659" s="2">
        <v>12426908</v>
      </c>
      <c r="G659" s="3">
        <v>37.463013698630135</v>
      </c>
      <c r="H659" s="2" t="s">
        <v>622</v>
      </c>
      <c r="I659" s="2" t="s">
        <v>4758</v>
      </c>
      <c r="J659" s="2" t="str">
        <f>+IF(BD[[#This Row],[DEPARTAMENTO_INSS]]="MANAGUA","_01_","_02_")</f>
        <v>_02_</v>
      </c>
      <c r="K659" s="2" t="str">
        <f>+CONCATENATE(BD[[#This Row],[Columna3]],BD[[#This Row],[Columna4]],BD[[#This Row],[NOMBRE COMPLETO]])</f>
        <v>E003_02_MILDRED KARINA JIRON GUTIERREZ</v>
      </c>
      <c r="L659" s="2" t="s">
        <v>2099</v>
      </c>
      <c r="M659" s="2" t="s">
        <v>1614</v>
      </c>
      <c r="N659" s="2" t="s">
        <v>349</v>
      </c>
      <c r="O659" s="2" t="s">
        <v>171</v>
      </c>
      <c r="P659" s="2" t="s">
        <v>626</v>
      </c>
      <c r="Q659" s="2" t="s">
        <v>351</v>
      </c>
      <c r="R659" s="2">
        <v>31122</v>
      </c>
      <c r="S659" s="2">
        <v>31122</v>
      </c>
      <c r="T659" s="2" t="s">
        <v>1044</v>
      </c>
      <c r="U659" s="2" t="s">
        <v>691</v>
      </c>
      <c r="V659" s="2" t="s">
        <v>1928</v>
      </c>
      <c r="W659" s="2" t="s">
        <v>691</v>
      </c>
      <c r="X659" s="2" t="s">
        <v>4759</v>
      </c>
      <c r="Y659" s="2" t="s">
        <v>4760</v>
      </c>
      <c r="Z659" s="2">
        <v>86026806</v>
      </c>
      <c r="AA659" s="2">
        <v>86026806</v>
      </c>
      <c r="AB659" s="2" t="s">
        <v>631</v>
      </c>
      <c r="AC659" s="2" t="s">
        <v>632</v>
      </c>
      <c r="AD659" s="2">
        <v>86026806</v>
      </c>
      <c r="AJ659" s="2">
        <v>86026806</v>
      </c>
      <c r="AK659" s="2">
        <v>2</v>
      </c>
      <c r="AL659" s="2" t="s">
        <v>633</v>
      </c>
      <c r="AM659" s="2">
        <v>0</v>
      </c>
      <c r="AN659" s="2">
        <v>0</v>
      </c>
      <c r="AO659" s="2">
        <v>1</v>
      </c>
      <c r="AP659" s="2">
        <v>0</v>
      </c>
      <c r="AQ659" s="2">
        <v>0</v>
      </c>
      <c r="AR659" s="2">
        <v>0</v>
      </c>
      <c r="AS659" s="2">
        <v>0</v>
      </c>
      <c r="AT659" s="2">
        <v>0</v>
      </c>
      <c r="AZ659" s="2" t="s">
        <v>4761</v>
      </c>
      <c r="BB659" s="2" t="str">
        <f>+PROPER(BD[[#This Row],[PRIMER_APELLIDO]])</f>
        <v>Jiron</v>
      </c>
    </row>
    <row r="660" spans="1:54" x14ac:dyDescent="0.25">
      <c r="A660" s="2">
        <v>659</v>
      </c>
      <c r="B660" s="2">
        <v>26062</v>
      </c>
      <c r="C660" s="2" t="s">
        <v>619</v>
      </c>
      <c r="D660" s="2" t="s">
        <v>620</v>
      </c>
      <c r="E660" s="2" t="s">
        <v>4762</v>
      </c>
      <c r="F660" s="2">
        <v>22556394</v>
      </c>
      <c r="G660" s="3">
        <v>37.471232876712328</v>
      </c>
      <c r="H660" s="2" t="s">
        <v>622</v>
      </c>
      <c r="I660" s="2" t="s">
        <v>4763</v>
      </c>
      <c r="J660" s="2" t="str">
        <f>+IF(BD[[#This Row],[DEPARTAMENTO_INSS]]="MANAGUA","_01_","_02_")</f>
        <v>_01_</v>
      </c>
      <c r="K660" s="2" t="str">
        <f>+CONCATENATE(BD[[#This Row],[Columna3]],BD[[#This Row],[Columna4]],BD[[#This Row],[NOMBRE COMPLETO]])</f>
        <v>E003_01_GUSTAVO ENRIQUE GRIJALVA SILVA</v>
      </c>
      <c r="L660" s="2" t="s">
        <v>2715</v>
      </c>
      <c r="M660" s="2" t="s">
        <v>1480</v>
      </c>
      <c r="N660" s="2" t="s">
        <v>346</v>
      </c>
      <c r="O660" s="2" t="s">
        <v>113</v>
      </c>
      <c r="P660" s="2" t="s">
        <v>649</v>
      </c>
      <c r="Q660" s="2" t="s">
        <v>351</v>
      </c>
      <c r="R660" s="2">
        <v>31119</v>
      </c>
      <c r="S660" s="2">
        <v>31119</v>
      </c>
      <c r="T660" s="2" t="s">
        <v>627</v>
      </c>
      <c r="U660" s="2" t="s">
        <v>627</v>
      </c>
      <c r="V660" s="2" t="s">
        <v>627</v>
      </c>
      <c r="W660" s="2" t="s">
        <v>627</v>
      </c>
      <c r="X660" s="2" t="s">
        <v>4764</v>
      </c>
      <c r="Y660" s="2" t="s">
        <v>4765</v>
      </c>
      <c r="Z660" s="2">
        <v>89381195</v>
      </c>
      <c r="AA660" s="2" t="s">
        <v>4766</v>
      </c>
      <c r="AB660" s="2" t="s">
        <v>654</v>
      </c>
      <c r="AC660" s="2" t="s">
        <v>632</v>
      </c>
      <c r="AD660" s="2">
        <v>89381195</v>
      </c>
      <c r="AF660" s="2">
        <v>82442676</v>
      </c>
      <c r="AJ660" s="2">
        <v>89381195</v>
      </c>
      <c r="AK660" s="2">
        <v>3</v>
      </c>
      <c r="AL660" s="2" t="s">
        <v>633</v>
      </c>
      <c r="AM660" s="2">
        <v>0</v>
      </c>
      <c r="AN660" s="2">
        <v>0</v>
      </c>
      <c r="AO660" s="2">
        <v>1</v>
      </c>
      <c r="AP660" s="2">
        <v>0</v>
      </c>
      <c r="AQ660" s="2">
        <v>0</v>
      </c>
      <c r="AR660" s="2">
        <v>0</v>
      </c>
      <c r="AS660" s="2">
        <v>0</v>
      </c>
      <c r="AT660" s="2">
        <v>0</v>
      </c>
      <c r="AZ660" s="2" t="s">
        <v>4767</v>
      </c>
      <c r="BB660" s="2" t="str">
        <f>+PROPER(BD[[#This Row],[PRIMER_APELLIDO]])</f>
        <v>Grijalva</v>
      </c>
    </row>
    <row r="661" spans="1:54" x14ac:dyDescent="0.25">
      <c r="A661" s="2">
        <v>660</v>
      </c>
      <c r="B661" s="2">
        <v>42080</v>
      </c>
      <c r="C661" s="2" t="s">
        <v>619</v>
      </c>
      <c r="D661" s="2" t="s">
        <v>620</v>
      </c>
      <c r="E661" s="2" t="s">
        <v>4768</v>
      </c>
      <c r="F661" s="2">
        <v>24988595</v>
      </c>
      <c r="G661" s="3">
        <v>37.471232876712328</v>
      </c>
      <c r="H661" s="2" t="s">
        <v>622</v>
      </c>
      <c r="I661" s="2" t="s">
        <v>4769</v>
      </c>
      <c r="J661" s="2" t="str">
        <f>+IF(BD[[#This Row],[DEPARTAMENTO_INSS]]="MANAGUA","_01_","_02_")</f>
        <v>_02_</v>
      </c>
      <c r="K661" s="2" t="str">
        <f>+CONCATENATE(BD[[#This Row],[Columna3]],BD[[#This Row],[Columna4]],BD[[#This Row],[NOMBRE COMPLETO]])</f>
        <v>E003_02_ELIDA PADILLA BRUNETH</v>
      </c>
      <c r="L661" s="2" t="s">
        <v>4770</v>
      </c>
      <c r="N661" s="2" t="s">
        <v>262</v>
      </c>
      <c r="O661" s="2" t="s">
        <v>4771</v>
      </c>
      <c r="P661" s="2" t="s">
        <v>626</v>
      </c>
      <c r="Q661" s="2" t="s">
        <v>351</v>
      </c>
      <c r="R661" s="2">
        <v>31119</v>
      </c>
      <c r="S661" s="2">
        <v>31119</v>
      </c>
      <c r="T661" s="2" t="s">
        <v>1005</v>
      </c>
      <c r="U661" s="2" t="s">
        <v>1005</v>
      </c>
      <c r="V661" s="2" t="s">
        <v>4772</v>
      </c>
      <c r="W661" s="2" t="s">
        <v>4773</v>
      </c>
      <c r="X661" s="2" t="s">
        <v>4774</v>
      </c>
      <c r="Y661" s="2" t="s">
        <v>4775</v>
      </c>
      <c r="Z661" s="2">
        <v>84218177</v>
      </c>
      <c r="AA661" s="2">
        <v>84218177</v>
      </c>
      <c r="AB661" s="2" t="s">
        <v>631</v>
      </c>
      <c r="AC661" s="2" t="s">
        <v>632</v>
      </c>
      <c r="AD661" s="2">
        <v>84218177</v>
      </c>
      <c r="AJ661" s="2">
        <v>84218177</v>
      </c>
      <c r="AK661" s="2">
        <v>2</v>
      </c>
      <c r="AL661" s="2" t="s">
        <v>633</v>
      </c>
      <c r="AM661" s="2">
        <v>0</v>
      </c>
      <c r="AN661" s="2">
        <v>0</v>
      </c>
      <c r="AO661" s="2">
        <v>1</v>
      </c>
      <c r="AP661" s="2">
        <v>0</v>
      </c>
      <c r="AQ661" s="2">
        <v>0</v>
      </c>
      <c r="AR661" s="2">
        <v>0</v>
      </c>
      <c r="AS661" s="2">
        <v>0</v>
      </c>
      <c r="AT661" s="2">
        <v>0</v>
      </c>
      <c r="AZ661" s="2" t="s">
        <v>4776</v>
      </c>
      <c r="BB661" s="2" t="str">
        <f>+PROPER(BD[[#This Row],[PRIMER_APELLIDO]])</f>
        <v>Padilla</v>
      </c>
    </row>
    <row r="662" spans="1:54" x14ac:dyDescent="0.25">
      <c r="A662" s="2">
        <v>661</v>
      </c>
      <c r="B662" s="2">
        <v>56646</v>
      </c>
      <c r="C662" s="2" t="s">
        <v>619</v>
      </c>
      <c r="D662" s="2" t="s">
        <v>620</v>
      </c>
      <c r="E662" s="2" t="s">
        <v>4777</v>
      </c>
      <c r="G662" s="3">
        <v>37.471232876712328</v>
      </c>
      <c r="H662" s="2" t="s">
        <v>622</v>
      </c>
      <c r="I662" s="2" t="s">
        <v>4778</v>
      </c>
      <c r="J662" s="2" t="str">
        <f>+IF(BD[[#This Row],[DEPARTAMENTO_INSS]]="MANAGUA","_01_","_02_")</f>
        <v>_02_</v>
      </c>
      <c r="K662" s="2" t="str">
        <f>+CONCATENATE(BD[[#This Row],[Columna3]],BD[[#This Row],[Columna4]],BD[[#This Row],[NOMBRE COMPLETO]])</f>
        <v>E003_02_ERNESTO JAVIER QUEZADA RODRIGUEZ</v>
      </c>
      <c r="L662" s="2" t="s">
        <v>4779</v>
      </c>
      <c r="M662" s="2" t="s">
        <v>975</v>
      </c>
      <c r="N662" s="2" t="s">
        <v>297</v>
      </c>
      <c r="O662" s="2" t="s">
        <v>185</v>
      </c>
      <c r="P662" s="2" t="s">
        <v>649</v>
      </c>
      <c r="Q662" s="2" t="s">
        <v>351</v>
      </c>
      <c r="R662" s="2">
        <v>31119</v>
      </c>
      <c r="S662" s="2">
        <v>31119</v>
      </c>
      <c r="T662" s="2" t="s">
        <v>1104</v>
      </c>
      <c r="U662" s="2" t="s">
        <v>1104</v>
      </c>
      <c r="V662" s="2" t="s">
        <v>1104</v>
      </c>
      <c r="W662" s="2" t="s">
        <v>1104</v>
      </c>
      <c r="X662" s="2" t="s">
        <v>4780</v>
      </c>
      <c r="Y662" s="2" t="s">
        <v>4781</v>
      </c>
      <c r="Z662" s="2">
        <v>84268822</v>
      </c>
      <c r="AA662" s="2">
        <v>27723920</v>
      </c>
      <c r="AB662" s="2" t="s">
        <v>798</v>
      </c>
      <c r="AC662" s="2" t="s">
        <v>632</v>
      </c>
      <c r="AD662" s="2">
        <v>84268822</v>
      </c>
      <c r="AJ662" s="2">
        <v>84268822</v>
      </c>
      <c r="AK662" s="2">
        <v>2</v>
      </c>
      <c r="AL662" s="2" t="s">
        <v>633</v>
      </c>
      <c r="AM662" s="2">
        <v>0</v>
      </c>
      <c r="AN662" s="2">
        <v>0</v>
      </c>
      <c r="AO662" s="2">
        <v>1</v>
      </c>
      <c r="AP662" s="2">
        <v>0</v>
      </c>
      <c r="AQ662" s="2">
        <v>0</v>
      </c>
      <c r="AR662" s="2">
        <v>0</v>
      </c>
      <c r="AS662" s="2">
        <v>0</v>
      </c>
      <c r="AT662" s="2">
        <v>0</v>
      </c>
      <c r="BB662" s="2" t="str">
        <f>+PROPER(BD[[#This Row],[PRIMER_APELLIDO]])</f>
        <v>Quezada</v>
      </c>
    </row>
    <row r="663" spans="1:54" x14ac:dyDescent="0.25">
      <c r="A663" s="2">
        <v>662</v>
      </c>
      <c r="B663" s="2">
        <v>43174</v>
      </c>
      <c r="C663" s="2" t="s">
        <v>619</v>
      </c>
      <c r="D663" s="2" t="s">
        <v>620</v>
      </c>
      <c r="E663" s="2" t="s">
        <v>4782</v>
      </c>
      <c r="F663" s="2">
        <v>24235998</v>
      </c>
      <c r="G663" s="3">
        <v>37.476712328767121</v>
      </c>
      <c r="H663" s="2" t="s">
        <v>622</v>
      </c>
      <c r="I663" s="2" t="s">
        <v>4783</v>
      </c>
      <c r="J663" s="2" t="str">
        <f>+IF(BD[[#This Row],[DEPARTAMENTO_INSS]]="MANAGUA","_01_","_02_")</f>
        <v>_02_</v>
      </c>
      <c r="K663" s="2" t="str">
        <f>+CONCATENATE(BD[[#This Row],[Columna3]],BD[[#This Row],[Columna4]],BD[[#This Row],[NOMBRE COMPLETO]])</f>
        <v>E003_02_MARIA INES GARCIA</v>
      </c>
      <c r="L663" s="2" t="s">
        <v>724</v>
      </c>
      <c r="M663" s="2" t="s">
        <v>4784</v>
      </c>
      <c r="N663" s="2" t="s">
        <v>10</v>
      </c>
      <c r="P663" s="2" t="s">
        <v>626</v>
      </c>
      <c r="Q663" s="2" t="s">
        <v>351</v>
      </c>
      <c r="R663" s="2">
        <v>31117</v>
      </c>
      <c r="S663" s="2">
        <v>31117</v>
      </c>
      <c r="T663" s="2" t="s">
        <v>669</v>
      </c>
      <c r="U663" s="2" t="s">
        <v>669</v>
      </c>
      <c r="V663" s="2" t="s">
        <v>670</v>
      </c>
      <c r="W663" s="2" t="s">
        <v>670</v>
      </c>
      <c r="X663" s="2" t="s">
        <v>4785</v>
      </c>
      <c r="Y663" s="2" t="s">
        <v>4786</v>
      </c>
      <c r="Z663" s="2">
        <v>88320403</v>
      </c>
      <c r="AA663" s="2">
        <v>88320403</v>
      </c>
      <c r="AB663" s="2" t="s">
        <v>642</v>
      </c>
      <c r="AC663" s="2" t="s">
        <v>632</v>
      </c>
      <c r="AD663" s="2">
        <v>88320403</v>
      </c>
      <c r="AJ663" s="2">
        <v>88320403</v>
      </c>
      <c r="AK663" s="2">
        <v>2</v>
      </c>
      <c r="AL663" s="2" t="s">
        <v>633</v>
      </c>
      <c r="AM663" s="2">
        <v>0</v>
      </c>
      <c r="AN663" s="2">
        <v>0</v>
      </c>
      <c r="AO663" s="2">
        <v>1</v>
      </c>
      <c r="AP663" s="2">
        <v>0</v>
      </c>
      <c r="AQ663" s="2">
        <v>0</v>
      </c>
      <c r="AR663" s="2">
        <v>0</v>
      </c>
      <c r="AS663" s="2">
        <v>0</v>
      </c>
      <c r="AT663" s="2">
        <v>0</v>
      </c>
      <c r="AZ663" s="2" t="s">
        <v>4787</v>
      </c>
      <c r="BB663" s="2" t="str">
        <f>+PROPER(BD[[#This Row],[PRIMER_APELLIDO]])</f>
        <v>Garcia</v>
      </c>
    </row>
    <row r="664" spans="1:54" x14ac:dyDescent="0.25">
      <c r="A664" s="2">
        <v>663</v>
      </c>
      <c r="B664" s="2">
        <v>51679</v>
      </c>
      <c r="C664" s="2" t="s">
        <v>619</v>
      </c>
      <c r="D664" s="2" t="s">
        <v>620</v>
      </c>
      <c r="E664" s="2" t="s">
        <v>4788</v>
      </c>
      <c r="F664" s="2">
        <v>15980904</v>
      </c>
      <c r="G664" s="3">
        <v>37.482191780821921</v>
      </c>
      <c r="H664" s="2" t="s">
        <v>622</v>
      </c>
      <c r="I664" s="2" t="s">
        <v>4789</v>
      </c>
      <c r="J664" s="2" t="str">
        <f>+IF(BD[[#This Row],[DEPARTAMENTO_INSS]]="MANAGUA","_01_","_02_")</f>
        <v>_01_</v>
      </c>
      <c r="K664" s="2" t="str">
        <f>+CONCATENATE(BD[[#This Row],[Columna3]],BD[[#This Row],[Columna4]],BD[[#This Row],[NOMBRE COMPLETO]])</f>
        <v>E003_01_FRANKLIN ANTONIO VARGAS GONZALEZ</v>
      </c>
      <c r="L664" s="2" t="s">
        <v>1427</v>
      </c>
      <c r="M664" s="2" t="s">
        <v>904</v>
      </c>
      <c r="N664" s="2" t="s">
        <v>34</v>
      </c>
      <c r="O664" s="2" t="s">
        <v>14</v>
      </c>
      <c r="P664" s="2" t="s">
        <v>626</v>
      </c>
      <c r="Q664" s="2" t="s">
        <v>351</v>
      </c>
      <c r="R664" s="2">
        <v>31115</v>
      </c>
      <c r="S664" s="2">
        <v>31115</v>
      </c>
      <c r="T664" s="2" t="s">
        <v>780</v>
      </c>
      <c r="U664" s="2" t="s">
        <v>627</v>
      </c>
      <c r="V664" s="2" t="s">
        <v>794</v>
      </c>
      <c r="W664" s="2" t="s">
        <v>627</v>
      </c>
      <c r="X664" s="2" t="s">
        <v>4790</v>
      </c>
      <c r="Y664" s="2" t="s">
        <v>4791</v>
      </c>
      <c r="Z664" s="2">
        <v>88584503</v>
      </c>
      <c r="AA664" s="2">
        <v>88584503</v>
      </c>
      <c r="AB664" s="2" t="s">
        <v>798</v>
      </c>
      <c r="AC664" s="2" t="s">
        <v>632</v>
      </c>
      <c r="AD664" s="2">
        <v>88584503</v>
      </c>
      <c r="AJ664" s="2">
        <v>88584503</v>
      </c>
      <c r="AK664" s="2">
        <v>2</v>
      </c>
      <c r="AL664" s="2" t="s">
        <v>633</v>
      </c>
      <c r="AM664" s="2">
        <v>0</v>
      </c>
      <c r="AN664" s="2">
        <v>0</v>
      </c>
      <c r="AO664" s="2">
        <v>1</v>
      </c>
      <c r="AP664" s="2">
        <v>0</v>
      </c>
      <c r="AQ664" s="2">
        <v>0</v>
      </c>
      <c r="AR664" s="2">
        <v>0</v>
      </c>
      <c r="AS664" s="2">
        <v>0</v>
      </c>
      <c r="AT664" s="2">
        <v>0</v>
      </c>
      <c r="AZ664" s="2" t="s">
        <v>4792</v>
      </c>
      <c r="BB664" s="2" t="str">
        <f>+PROPER(BD[[#This Row],[PRIMER_APELLIDO]])</f>
        <v>Vargas</v>
      </c>
    </row>
    <row r="665" spans="1:54" x14ac:dyDescent="0.25">
      <c r="A665" s="2">
        <v>664</v>
      </c>
      <c r="B665" s="2">
        <v>28335</v>
      </c>
      <c r="C665" s="2" t="s">
        <v>619</v>
      </c>
      <c r="D665" s="2" t="s">
        <v>620</v>
      </c>
      <c r="E665" s="2" t="s">
        <v>4793</v>
      </c>
      <c r="F665" s="2">
        <v>22518978</v>
      </c>
      <c r="G665" s="3">
        <v>37.490410958904107</v>
      </c>
      <c r="H665" s="2" t="s">
        <v>622</v>
      </c>
      <c r="I665" s="2" t="s">
        <v>4794</v>
      </c>
      <c r="J665" s="2" t="str">
        <f>+IF(BD[[#This Row],[DEPARTAMENTO_INSS]]="MANAGUA","_01_","_02_")</f>
        <v>_02_</v>
      </c>
      <c r="K665" s="2" t="str">
        <f>+CONCATENATE(BD[[#This Row],[Columna3]],BD[[#This Row],[Columna4]],BD[[#This Row],[NOMBRE COMPLETO]])</f>
        <v>E003_02_JESSICA MARIA MORALES ALEMAN</v>
      </c>
      <c r="L665" s="2" t="s">
        <v>1490</v>
      </c>
      <c r="M665" s="2" t="s">
        <v>724</v>
      </c>
      <c r="N665" s="2" t="s">
        <v>82</v>
      </c>
      <c r="O665" s="2" t="s">
        <v>194</v>
      </c>
      <c r="P665" s="2" t="s">
        <v>626</v>
      </c>
      <c r="Q665" s="2" t="s">
        <v>351</v>
      </c>
      <c r="R665" s="2">
        <v>31112</v>
      </c>
      <c r="S665" s="2">
        <v>31112</v>
      </c>
      <c r="T665" s="2" t="s">
        <v>133</v>
      </c>
      <c r="U665" s="2" t="s">
        <v>133</v>
      </c>
      <c r="V665" s="2" t="s">
        <v>870</v>
      </c>
      <c r="W665" s="2" t="s">
        <v>870</v>
      </c>
      <c r="X665" s="2" t="s">
        <v>4795</v>
      </c>
      <c r="Y665" s="2" t="s">
        <v>4796</v>
      </c>
      <c r="AA665" s="2" t="s">
        <v>4797</v>
      </c>
      <c r="AB665" s="2" t="s">
        <v>894</v>
      </c>
      <c r="AC665" s="2" t="s">
        <v>632</v>
      </c>
      <c r="AD665" s="2">
        <v>89474500</v>
      </c>
      <c r="AE665" s="2">
        <v>57493253</v>
      </c>
      <c r="AJ665" s="2">
        <v>89474500</v>
      </c>
      <c r="AK665" s="2">
        <v>2</v>
      </c>
      <c r="AL665" s="2" t="s">
        <v>633</v>
      </c>
      <c r="AM665" s="2">
        <v>0</v>
      </c>
      <c r="AN665" s="2">
        <v>0</v>
      </c>
      <c r="AO665" s="2">
        <v>1</v>
      </c>
      <c r="AP665" s="2">
        <v>0</v>
      </c>
      <c r="AQ665" s="2">
        <v>0</v>
      </c>
      <c r="AR665" s="2">
        <v>0</v>
      </c>
      <c r="AS665" s="2">
        <v>0</v>
      </c>
      <c r="AT665" s="2">
        <v>0</v>
      </c>
      <c r="BA665" s="2" t="s">
        <v>4798</v>
      </c>
      <c r="BB665" s="2" t="str">
        <f>+PROPER(BD[[#This Row],[PRIMER_APELLIDO]])</f>
        <v>Morales</v>
      </c>
    </row>
    <row r="666" spans="1:54" x14ac:dyDescent="0.25">
      <c r="A666" s="2">
        <v>665</v>
      </c>
      <c r="B666" s="2">
        <v>57262</v>
      </c>
      <c r="C666" s="2" t="s">
        <v>619</v>
      </c>
      <c r="D666" s="2" t="s">
        <v>620</v>
      </c>
      <c r="E666" s="2" t="s">
        <v>4799</v>
      </c>
      <c r="G666" s="3">
        <v>37.4986301369863</v>
      </c>
      <c r="H666" s="2" t="s">
        <v>622</v>
      </c>
      <c r="I666" s="2" t="s">
        <v>4800</v>
      </c>
      <c r="J666" s="2" t="str">
        <f>+IF(BD[[#This Row],[DEPARTAMENTO_INSS]]="MANAGUA","_01_","_02_")</f>
        <v>_02_</v>
      </c>
      <c r="K666" s="2" t="str">
        <f>+CONCATENATE(BD[[#This Row],[Columna3]],BD[[#This Row],[Columna4]],BD[[#This Row],[NOMBRE COMPLETO]])</f>
        <v>E003_02_OSMAN ANTONIO HERRERA</v>
      </c>
      <c r="L666" s="2" t="s">
        <v>3007</v>
      </c>
      <c r="M666" s="2" t="s">
        <v>904</v>
      </c>
      <c r="N666" s="2" t="s">
        <v>179</v>
      </c>
      <c r="P666" s="2" t="s">
        <v>649</v>
      </c>
      <c r="Q666" s="2" t="s">
        <v>351</v>
      </c>
      <c r="R666" s="2">
        <v>31109</v>
      </c>
      <c r="S666" s="2">
        <v>31109</v>
      </c>
      <c r="T666" s="2" t="s">
        <v>705</v>
      </c>
      <c r="U666" s="2" t="s">
        <v>705</v>
      </c>
      <c r="V666" s="2" t="s">
        <v>4801</v>
      </c>
      <c r="W666" s="2" t="s">
        <v>4801</v>
      </c>
      <c r="X666" s="2" t="s">
        <v>4802</v>
      </c>
      <c r="Y666" s="2" t="s">
        <v>4803</v>
      </c>
      <c r="Z666" s="2">
        <v>86382243</v>
      </c>
      <c r="AB666" s="2" t="s">
        <v>798</v>
      </c>
      <c r="AC666" s="2" t="s">
        <v>632</v>
      </c>
      <c r="AD666" s="2">
        <v>86382243</v>
      </c>
      <c r="AJ666" s="2">
        <v>86382243</v>
      </c>
      <c r="AK666" s="2">
        <v>1</v>
      </c>
      <c r="AL666" s="2" t="s">
        <v>633</v>
      </c>
      <c r="AM666" s="2">
        <v>0</v>
      </c>
      <c r="AN666" s="2">
        <v>0</v>
      </c>
      <c r="AO666" s="2">
        <v>1</v>
      </c>
      <c r="AP666" s="2">
        <v>0</v>
      </c>
      <c r="AQ666" s="2">
        <v>0</v>
      </c>
      <c r="AR666" s="2">
        <v>0</v>
      </c>
      <c r="AS666" s="2">
        <v>0</v>
      </c>
      <c r="AT666" s="2">
        <v>0</v>
      </c>
      <c r="AZ666" s="2" t="s">
        <v>4804</v>
      </c>
      <c r="BB666" s="2" t="str">
        <f>+PROPER(BD[[#This Row],[PRIMER_APELLIDO]])</f>
        <v>Herrera</v>
      </c>
    </row>
    <row r="667" spans="1:54" x14ac:dyDescent="0.25">
      <c r="A667" s="2">
        <v>666</v>
      </c>
      <c r="B667" s="2">
        <v>39064</v>
      </c>
      <c r="C667" s="2" t="s">
        <v>619</v>
      </c>
      <c r="D667" s="2" t="s">
        <v>620</v>
      </c>
      <c r="E667" s="2" t="s">
        <v>4805</v>
      </c>
      <c r="F667" s="2">
        <v>23143779</v>
      </c>
      <c r="G667" s="3">
        <v>37.504109589041093</v>
      </c>
      <c r="H667" s="2" t="s">
        <v>622</v>
      </c>
      <c r="I667" s="2" t="s">
        <v>4806</v>
      </c>
      <c r="J667" s="2" t="str">
        <f>+IF(BD[[#This Row],[DEPARTAMENTO_INSS]]="MANAGUA","_01_","_02_")</f>
        <v>_02_</v>
      </c>
      <c r="K667" s="2" t="str">
        <f>+CONCATENATE(BD[[#This Row],[Columna3]],BD[[#This Row],[Columna4]],BD[[#This Row],[NOMBRE COMPLETO]])</f>
        <v>E003_02_DHARMA VIDLA CASTILLO PARAJON</v>
      </c>
      <c r="L667" s="2" t="s">
        <v>4807</v>
      </c>
      <c r="M667" s="2" t="s">
        <v>4808</v>
      </c>
      <c r="N667" s="2" t="s">
        <v>100</v>
      </c>
      <c r="O667" s="2" t="s">
        <v>359</v>
      </c>
      <c r="P667" s="2" t="s">
        <v>626</v>
      </c>
      <c r="Q667" s="2" t="s">
        <v>351</v>
      </c>
      <c r="R667" s="2">
        <v>31107</v>
      </c>
      <c r="S667" s="2">
        <v>31107</v>
      </c>
      <c r="T667" s="2" t="s">
        <v>732</v>
      </c>
      <c r="U667" s="2" t="s">
        <v>133</v>
      </c>
      <c r="V667" s="2" t="s">
        <v>732</v>
      </c>
      <c r="W667" s="2" t="s">
        <v>869</v>
      </c>
      <c r="X667" s="2" t="s">
        <v>4809</v>
      </c>
      <c r="Y667" s="2" t="s">
        <v>4810</v>
      </c>
      <c r="AA667" s="2">
        <v>25222670</v>
      </c>
      <c r="AB667" s="2" t="s">
        <v>642</v>
      </c>
      <c r="AC667" s="2" t="s">
        <v>632</v>
      </c>
      <c r="AK667" s="2">
        <v>1</v>
      </c>
      <c r="AL667" s="2" t="s">
        <v>633</v>
      </c>
      <c r="AM667" s="2">
        <v>0</v>
      </c>
      <c r="AN667" s="2">
        <v>0</v>
      </c>
      <c r="AO667" s="2">
        <v>1</v>
      </c>
      <c r="AP667" s="2">
        <v>0</v>
      </c>
      <c r="AQ667" s="2">
        <v>0</v>
      </c>
      <c r="AR667" s="2">
        <v>0</v>
      </c>
      <c r="AS667" s="2">
        <v>0</v>
      </c>
      <c r="AT667" s="2">
        <v>0</v>
      </c>
      <c r="BB667" s="2" t="str">
        <f>+PROPER(BD[[#This Row],[PRIMER_APELLIDO]])</f>
        <v>Castillo</v>
      </c>
    </row>
    <row r="668" spans="1:54" x14ac:dyDescent="0.25">
      <c r="A668" s="2">
        <v>667</v>
      </c>
      <c r="B668" s="2">
        <v>53467</v>
      </c>
      <c r="C668" s="2" t="s">
        <v>619</v>
      </c>
      <c r="D668" s="2" t="s">
        <v>620</v>
      </c>
      <c r="E668" s="2" t="s">
        <v>4811</v>
      </c>
      <c r="G668" s="3">
        <v>37.509589041095893</v>
      </c>
      <c r="H668" s="2" t="s">
        <v>622</v>
      </c>
      <c r="I668" s="2" t="s">
        <v>4812</v>
      </c>
      <c r="J668" s="2" t="str">
        <f>+IF(BD[[#This Row],[DEPARTAMENTO_INSS]]="MANAGUA","_01_","_02_")</f>
        <v>_01_</v>
      </c>
      <c r="K668" s="2" t="str">
        <f>+CONCATENATE(BD[[#This Row],[Columna3]],BD[[#This Row],[Columna4]],BD[[#This Row],[NOMBRE COMPLETO]])</f>
        <v>E003_01_MARIO NOEL NAVAS CRUZ</v>
      </c>
      <c r="L668" s="2" t="s">
        <v>1640</v>
      </c>
      <c r="M668" s="2" t="s">
        <v>1718</v>
      </c>
      <c r="N668" s="2" t="s">
        <v>231</v>
      </c>
      <c r="O668" s="2" t="s">
        <v>32</v>
      </c>
      <c r="P668" s="2" t="s">
        <v>649</v>
      </c>
      <c r="Q668" s="2" t="s">
        <v>351</v>
      </c>
      <c r="R668" s="2">
        <v>31105</v>
      </c>
      <c r="S668" s="2">
        <v>31105</v>
      </c>
      <c r="T668" s="2" t="s">
        <v>627</v>
      </c>
      <c r="U668" s="2" t="s">
        <v>627</v>
      </c>
      <c r="V668" s="2" t="s">
        <v>627</v>
      </c>
      <c r="W668" s="2" t="s">
        <v>627</v>
      </c>
      <c r="X668" s="2" t="s">
        <v>4813</v>
      </c>
      <c r="Y668" s="2" t="s">
        <v>4814</v>
      </c>
      <c r="Z668" s="2">
        <v>78383130</v>
      </c>
      <c r="AB668" s="2" t="s">
        <v>654</v>
      </c>
      <c r="AC668" s="2" t="s">
        <v>632</v>
      </c>
      <c r="AD668" s="2">
        <v>78383130</v>
      </c>
      <c r="AJ668" s="2">
        <v>78383130</v>
      </c>
      <c r="AK668" s="2">
        <v>1</v>
      </c>
      <c r="AL668" s="2" t="s">
        <v>633</v>
      </c>
      <c r="AM668" s="2">
        <v>0</v>
      </c>
      <c r="AN668" s="2">
        <v>0</v>
      </c>
      <c r="AO668" s="2">
        <v>1</v>
      </c>
      <c r="AP668" s="2">
        <v>0</v>
      </c>
      <c r="AQ668" s="2">
        <v>0</v>
      </c>
      <c r="AR668" s="2">
        <v>0</v>
      </c>
      <c r="AS668" s="2">
        <v>0</v>
      </c>
      <c r="AT668" s="2">
        <v>0</v>
      </c>
      <c r="BB668" s="2" t="str">
        <f>+PROPER(BD[[#This Row],[PRIMER_APELLIDO]])</f>
        <v>Navas</v>
      </c>
    </row>
    <row r="669" spans="1:54" x14ac:dyDescent="0.25">
      <c r="A669" s="2">
        <v>668</v>
      </c>
      <c r="B669" s="2">
        <v>42694</v>
      </c>
      <c r="C669" s="2" t="s">
        <v>619</v>
      </c>
      <c r="D669" s="2" t="s">
        <v>620</v>
      </c>
      <c r="E669" s="2" t="s">
        <v>4815</v>
      </c>
      <c r="G669" s="3">
        <v>37.512328767123286</v>
      </c>
      <c r="H669" s="2" t="s">
        <v>622</v>
      </c>
      <c r="I669" s="2" t="s">
        <v>4816</v>
      </c>
      <c r="J669" s="2" t="str">
        <f>+IF(BD[[#This Row],[DEPARTAMENTO_INSS]]="MANAGUA","_01_","_02_")</f>
        <v>_01_</v>
      </c>
      <c r="K669" s="2" t="str">
        <f>+CONCATENATE(BD[[#This Row],[Columna3]],BD[[#This Row],[Columna4]],BD[[#This Row],[NOMBRE COMPLETO]])</f>
        <v>E003_01_FABIOLA IVANIA FONSECA PARRALES</v>
      </c>
      <c r="L669" s="2" t="s">
        <v>2806</v>
      </c>
      <c r="M669" s="2" t="s">
        <v>1419</v>
      </c>
      <c r="N669" s="2" t="s">
        <v>428</v>
      </c>
      <c r="O669" s="2" t="s">
        <v>378</v>
      </c>
      <c r="P669" s="2" t="s">
        <v>626</v>
      </c>
      <c r="Q669" s="2" t="s">
        <v>351</v>
      </c>
      <c r="R669" s="2">
        <v>31104</v>
      </c>
      <c r="S669" s="2">
        <v>31104</v>
      </c>
      <c r="T669" s="2" t="s">
        <v>627</v>
      </c>
      <c r="U669" s="2" t="s">
        <v>627</v>
      </c>
      <c r="V669" s="2" t="s">
        <v>627</v>
      </c>
      <c r="W669" s="2" t="s">
        <v>1026</v>
      </c>
      <c r="X669" s="2" t="s">
        <v>4817</v>
      </c>
      <c r="Y669" s="2" t="s">
        <v>4818</v>
      </c>
      <c r="AA669" s="2">
        <v>89140508</v>
      </c>
      <c r="AB669" s="2" t="s">
        <v>654</v>
      </c>
      <c r="AC669" s="2" t="s">
        <v>632</v>
      </c>
      <c r="AD669" s="2">
        <v>89140508</v>
      </c>
      <c r="AJ669" s="2">
        <v>89140508</v>
      </c>
      <c r="AK669" s="2">
        <v>1</v>
      </c>
      <c r="AL669" s="2" t="s">
        <v>633</v>
      </c>
      <c r="AM669" s="2">
        <v>0</v>
      </c>
      <c r="AN669" s="2">
        <v>0</v>
      </c>
      <c r="AO669" s="2">
        <v>1</v>
      </c>
      <c r="AP669" s="2">
        <v>0</v>
      </c>
      <c r="AQ669" s="2">
        <v>0</v>
      </c>
      <c r="AR669" s="2">
        <v>0</v>
      </c>
      <c r="AS669" s="2">
        <v>0</v>
      </c>
      <c r="AT669" s="2">
        <v>0</v>
      </c>
      <c r="BA669" s="2" t="s">
        <v>4819</v>
      </c>
      <c r="BB669" s="2" t="str">
        <f>+PROPER(BD[[#This Row],[PRIMER_APELLIDO]])</f>
        <v>Fonseca</v>
      </c>
    </row>
    <row r="670" spans="1:54" x14ac:dyDescent="0.25">
      <c r="A670" s="2">
        <v>669</v>
      </c>
      <c r="B670" s="2">
        <v>35214</v>
      </c>
      <c r="C670" s="2" t="s">
        <v>619</v>
      </c>
      <c r="D670" s="2" t="s">
        <v>620</v>
      </c>
      <c r="E670" s="2" t="s">
        <v>4820</v>
      </c>
      <c r="F670" s="2">
        <v>22118129</v>
      </c>
      <c r="G670" s="3">
        <v>37.520547945205479</v>
      </c>
      <c r="H670" s="2" t="s">
        <v>622</v>
      </c>
      <c r="I670" s="2" t="s">
        <v>4821</v>
      </c>
      <c r="J670" s="2" t="str">
        <f>+IF(BD[[#This Row],[DEPARTAMENTO_INSS]]="MANAGUA","_01_","_02_")</f>
        <v>_02_</v>
      </c>
      <c r="K670" s="2" t="str">
        <f>+CONCATENATE(BD[[#This Row],[Columna3]],BD[[#This Row],[Columna4]],BD[[#This Row],[NOMBRE COMPLETO]])</f>
        <v>E003_02_LUISA IDALINA SANCHEZ GAITAN</v>
      </c>
      <c r="L670" s="2" t="s">
        <v>1961</v>
      </c>
      <c r="M670" s="2" t="s">
        <v>4822</v>
      </c>
      <c r="N670" s="2" t="s">
        <v>90</v>
      </c>
      <c r="O670" s="2" t="s">
        <v>54</v>
      </c>
      <c r="P670" s="2" t="s">
        <v>626</v>
      </c>
      <c r="Q670" s="2" t="s">
        <v>351</v>
      </c>
      <c r="R670" s="2">
        <v>31101</v>
      </c>
      <c r="S670" s="2">
        <v>31101</v>
      </c>
      <c r="T670" s="2" t="s">
        <v>732</v>
      </c>
      <c r="U670" s="2" t="s">
        <v>732</v>
      </c>
      <c r="V670" s="2" t="s">
        <v>732</v>
      </c>
      <c r="W670" s="2" t="s">
        <v>732</v>
      </c>
      <c r="X670" s="2" t="s">
        <v>4823</v>
      </c>
      <c r="Y670" s="2" t="s">
        <v>4824</v>
      </c>
      <c r="Z670" s="2">
        <v>88764626</v>
      </c>
      <c r="AA670" s="2">
        <v>88764826</v>
      </c>
      <c r="AB670" s="2" t="s">
        <v>642</v>
      </c>
      <c r="AC670" s="2" t="s">
        <v>632</v>
      </c>
      <c r="AD670" s="2">
        <v>88764626</v>
      </c>
      <c r="AF670" s="2">
        <v>88764826</v>
      </c>
      <c r="AJ670" s="2">
        <v>88764626</v>
      </c>
      <c r="AK670" s="2">
        <v>2</v>
      </c>
      <c r="AL670" s="2" t="s">
        <v>633</v>
      </c>
      <c r="AM670" s="2">
        <v>0</v>
      </c>
      <c r="AN670" s="2">
        <v>0</v>
      </c>
      <c r="AO670" s="2">
        <v>1</v>
      </c>
      <c r="AP670" s="2">
        <v>0</v>
      </c>
      <c r="AQ670" s="2">
        <v>0</v>
      </c>
      <c r="AR670" s="2">
        <v>0</v>
      </c>
      <c r="AS670" s="2">
        <v>0</v>
      </c>
      <c r="AT670" s="2">
        <v>0</v>
      </c>
      <c r="AZ670" s="2" t="s">
        <v>4825</v>
      </c>
      <c r="BB670" s="2" t="str">
        <f>+PROPER(BD[[#This Row],[PRIMER_APELLIDO]])</f>
        <v>Sanchez</v>
      </c>
    </row>
    <row r="671" spans="1:54" x14ac:dyDescent="0.25">
      <c r="A671" s="2">
        <v>670</v>
      </c>
      <c r="B671" s="2">
        <v>40920</v>
      </c>
      <c r="C671" s="2" t="s">
        <v>619</v>
      </c>
      <c r="D671" s="2" t="s">
        <v>620</v>
      </c>
      <c r="E671" s="2" t="s">
        <v>4826</v>
      </c>
      <c r="F671" s="2">
        <v>23142637</v>
      </c>
      <c r="G671" s="3">
        <v>37.526027397260272</v>
      </c>
      <c r="H671" s="2" t="s">
        <v>622</v>
      </c>
      <c r="I671" s="2" t="s">
        <v>4827</v>
      </c>
      <c r="J671" s="2" t="str">
        <f>+IF(BD[[#This Row],[DEPARTAMENTO_INSS]]="MANAGUA","_01_","_02_")</f>
        <v>_02_</v>
      </c>
      <c r="K671" s="2" t="str">
        <f>+CONCATENATE(BD[[#This Row],[Columna3]],BD[[#This Row],[Columna4]],BD[[#This Row],[NOMBRE COMPLETO]])</f>
        <v>E003_02_ENMA AUXILIADORA VALLEJOS MORALES</v>
      </c>
      <c r="L671" s="2" t="s">
        <v>2856</v>
      </c>
      <c r="M671" s="2" t="s">
        <v>970</v>
      </c>
      <c r="N671" s="2" t="s">
        <v>102</v>
      </c>
      <c r="O671" s="2" t="s">
        <v>82</v>
      </c>
      <c r="P671" s="2" t="s">
        <v>626</v>
      </c>
      <c r="Q671" s="2" t="s">
        <v>351</v>
      </c>
      <c r="R671" s="2">
        <v>31099</v>
      </c>
      <c r="S671" s="2">
        <v>31099</v>
      </c>
      <c r="T671" s="2" t="s">
        <v>740</v>
      </c>
      <c r="U671" s="2" t="s">
        <v>740</v>
      </c>
      <c r="V671" s="2" t="s">
        <v>740</v>
      </c>
      <c r="W671" s="2" t="s">
        <v>740</v>
      </c>
      <c r="X671" s="2" t="s">
        <v>4828</v>
      </c>
      <c r="Y671" s="2" t="s">
        <v>4829</v>
      </c>
      <c r="Z671" s="2">
        <v>84685857</v>
      </c>
      <c r="AB671" s="2" t="s">
        <v>642</v>
      </c>
      <c r="AC671" s="2" t="s">
        <v>632</v>
      </c>
      <c r="AD671" s="2">
        <v>84685857</v>
      </c>
      <c r="AJ671" s="2">
        <v>84685857</v>
      </c>
      <c r="AK671" s="2">
        <v>1</v>
      </c>
      <c r="AL671" s="2" t="s">
        <v>633</v>
      </c>
      <c r="AM671" s="2">
        <v>0</v>
      </c>
      <c r="AN671" s="2">
        <v>0</v>
      </c>
      <c r="AO671" s="2">
        <v>1</v>
      </c>
      <c r="AP671" s="2">
        <v>0</v>
      </c>
      <c r="AQ671" s="2">
        <v>0</v>
      </c>
      <c r="AR671" s="2">
        <v>0</v>
      </c>
      <c r="AS671" s="2">
        <v>0</v>
      </c>
      <c r="AT671" s="2">
        <v>0</v>
      </c>
      <c r="AZ671" s="2" t="s">
        <v>4830</v>
      </c>
      <c r="BB671" s="2" t="str">
        <f>+PROPER(BD[[#This Row],[PRIMER_APELLIDO]])</f>
        <v>Vallejos</v>
      </c>
    </row>
    <row r="672" spans="1:54" x14ac:dyDescent="0.25">
      <c r="A672" s="2">
        <v>671</v>
      </c>
      <c r="B672" s="2">
        <v>37246</v>
      </c>
      <c r="C672" s="2" t="s">
        <v>619</v>
      </c>
      <c r="D672" s="2" t="s">
        <v>620</v>
      </c>
      <c r="E672" s="2" t="s">
        <v>4831</v>
      </c>
      <c r="F672" s="2">
        <v>21663020</v>
      </c>
      <c r="G672" s="3">
        <v>37.542465753424658</v>
      </c>
      <c r="H672" s="2" t="s">
        <v>622</v>
      </c>
      <c r="I672" s="2" t="s">
        <v>4832</v>
      </c>
      <c r="J672" s="2" t="str">
        <f>+IF(BD[[#This Row],[DEPARTAMENTO_INSS]]="MANAGUA","_01_","_02_")</f>
        <v>_01_</v>
      </c>
      <c r="K672" s="2" t="str">
        <f>+CONCATENATE(BD[[#This Row],[Columna3]],BD[[#This Row],[Columna4]],BD[[#This Row],[NOMBRE COMPLETO]])</f>
        <v>E003_01_ANIELKA LOURDES FARGAS TAPIA</v>
      </c>
      <c r="L672" s="2" t="s">
        <v>723</v>
      </c>
      <c r="M672" s="2" t="s">
        <v>4833</v>
      </c>
      <c r="N672" s="2" t="s">
        <v>147</v>
      </c>
      <c r="O672" s="2" t="s">
        <v>338</v>
      </c>
      <c r="P672" s="2" t="s">
        <v>626</v>
      </c>
      <c r="Q672" s="2" t="s">
        <v>351</v>
      </c>
      <c r="R672" s="2">
        <v>31093</v>
      </c>
      <c r="S672" s="2">
        <v>31093</v>
      </c>
      <c r="T672" s="2" t="s">
        <v>176</v>
      </c>
      <c r="U672" s="2" t="s">
        <v>627</v>
      </c>
      <c r="V672" s="2" t="s">
        <v>650</v>
      </c>
      <c r="W672" s="2" t="s">
        <v>627</v>
      </c>
      <c r="X672" s="2" t="s">
        <v>4834</v>
      </c>
      <c r="Y672" s="2" t="s">
        <v>4835</v>
      </c>
      <c r="AA672" s="2" t="s">
        <v>4836</v>
      </c>
      <c r="AB672" s="2" t="s">
        <v>642</v>
      </c>
      <c r="AC672" s="2" t="s">
        <v>632</v>
      </c>
      <c r="AE672" s="2">
        <v>84962895</v>
      </c>
      <c r="AJ672" s="2">
        <v>84962895</v>
      </c>
      <c r="AK672" s="2">
        <v>2</v>
      </c>
      <c r="AL672" s="2" t="s">
        <v>633</v>
      </c>
      <c r="AM672" s="2">
        <v>0</v>
      </c>
      <c r="AN672" s="2">
        <v>0</v>
      </c>
      <c r="AO672" s="2">
        <v>1</v>
      </c>
      <c r="AP672" s="2">
        <v>0</v>
      </c>
      <c r="AQ672" s="2">
        <v>0</v>
      </c>
      <c r="AR672" s="2">
        <v>0</v>
      </c>
      <c r="AS672" s="2">
        <v>0</v>
      </c>
      <c r="AT672" s="2">
        <v>0</v>
      </c>
      <c r="BB672" s="2" t="str">
        <f>+PROPER(BD[[#This Row],[PRIMER_APELLIDO]])</f>
        <v>Fargas</v>
      </c>
    </row>
    <row r="673" spans="1:54" x14ac:dyDescent="0.25">
      <c r="A673" s="2">
        <v>672</v>
      </c>
      <c r="B673" s="2">
        <v>51018</v>
      </c>
      <c r="C673" s="2" t="s">
        <v>619</v>
      </c>
      <c r="D673" s="2" t="s">
        <v>620</v>
      </c>
      <c r="E673" s="2" t="s">
        <v>4837</v>
      </c>
      <c r="F673" s="2">
        <v>25023796</v>
      </c>
      <c r="G673" s="3">
        <v>37.553424657534244</v>
      </c>
      <c r="H673" s="2" t="s">
        <v>622</v>
      </c>
      <c r="I673" s="2" t="s">
        <v>4838</v>
      </c>
      <c r="J673" s="2" t="str">
        <f>+IF(BD[[#This Row],[DEPARTAMENTO_INSS]]="MANAGUA","_01_","_02_")</f>
        <v>_02_</v>
      </c>
      <c r="K673" s="2" t="str">
        <f>+CONCATENATE(BD[[#This Row],[Columna3]],BD[[#This Row],[Columna4]],BD[[#This Row],[NOMBRE COMPLETO]])</f>
        <v>E003_02_LUIS ALFONSO ARAUZ RIVERA</v>
      </c>
      <c r="L673" s="2" t="s">
        <v>738</v>
      </c>
      <c r="M673" s="2" t="s">
        <v>2057</v>
      </c>
      <c r="N673" s="2" t="s">
        <v>174</v>
      </c>
      <c r="O673" s="2" t="s">
        <v>198</v>
      </c>
      <c r="P673" s="2" t="s">
        <v>649</v>
      </c>
      <c r="Q673" s="2" t="s">
        <v>351</v>
      </c>
      <c r="R673" s="2">
        <v>31089</v>
      </c>
      <c r="S673" s="2">
        <v>31089</v>
      </c>
      <c r="T673" s="2" t="s">
        <v>1044</v>
      </c>
      <c r="U673" s="2" t="s">
        <v>1044</v>
      </c>
      <c r="V673" s="2" t="s">
        <v>1045</v>
      </c>
      <c r="W673" s="2" t="s">
        <v>1045</v>
      </c>
      <c r="X673" s="2" t="s">
        <v>4839</v>
      </c>
      <c r="Y673" s="2" t="s">
        <v>4840</v>
      </c>
      <c r="Z673" s="2" t="s">
        <v>4841</v>
      </c>
      <c r="AA673" s="2">
        <v>27372566</v>
      </c>
      <c r="AB673" s="2" t="s">
        <v>798</v>
      </c>
      <c r="AC673" s="2" t="s">
        <v>632</v>
      </c>
      <c r="AD673" s="2">
        <v>81548245</v>
      </c>
      <c r="AE673" s="2">
        <v>87098297</v>
      </c>
      <c r="AJ673" s="2">
        <v>81548245</v>
      </c>
      <c r="AK673" s="2">
        <v>3</v>
      </c>
      <c r="AL673" s="2" t="s">
        <v>633</v>
      </c>
      <c r="AM673" s="2">
        <v>0</v>
      </c>
      <c r="AN673" s="2">
        <v>0</v>
      </c>
      <c r="AO673" s="2">
        <v>1</v>
      </c>
      <c r="AP673" s="2">
        <v>0</v>
      </c>
      <c r="AQ673" s="2">
        <v>0</v>
      </c>
      <c r="AR673" s="2">
        <v>0</v>
      </c>
      <c r="AS673" s="2">
        <v>0</v>
      </c>
      <c r="AT673" s="2">
        <v>0</v>
      </c>
      <c r="AZ673" s="2" t="s">
        <v>4842</v>
      </c>
      <c r="BB673" s="2" t="str">
        <f>+PROPER(BD[[#This Row],[PRIMER_APELLIDO]])</f>
        <v>Arauz</v>
      </c>
    </row>
    <row r="674" spans="1:54" x14ac:dyDescent="0.25">
      <c r="A674" s="2">
        <v>673</v>
      </c>
      <c r="B674" s="2">
        <v>45469</v>
      </c>
      <c r="C674" s="2" t="s">
        <v>619</v>
      </c>
      <c r="D674" s="2" t="s">
        <v>620</v>
      </c>
      <c r="E674" s="2" t="s">
        <v>4843</v>
      </c>
      <c r="F674" s="2">
        <v>23160426</v>
      </c>
      <c r="G674" s="3">
        <v>37.561643835616437</v>
      </c>
      <c r="H674" s="2" t="s">
        <v>622</v>
      </c>
      <c r="I674" s="2" t="s">
        <v>4844</v>
      </c>
      <c r="J674" s="2" t="str">
        <f>+IF(BD[[#This Row],[DEPARTAMENTO_INSS]]="MANAGUA","_01_","_02_")</f>
        <v>_01_</v>
      </c>
      <c r="K674" s="2" t="str">
        <f>+CONCATENATE(BD[[#This Row],[Columna3]],BD[[#This Row],[Columna4]],BD[[#This Row],[NOMBRE COMPLETO]])</f>
        <v>E003_01_MARTHA LILLIAM HERNANDEZ GARAY</v>
      </c>
      <c r="L674" s="2" t="s">
        <v>1333</v>
      </c>
      <c r="M674" s="2" t="s">
        <v>3418</v>
      </c>
      <c r="N674" s="2" t="s">
        <v>11</v>
      </c>
      <c r="O674" s="2" t="s">
        <v>4845</v>
      </c>
      <c r="P674" s="2" t="s">
        <v>626</v>
      </c>
      <c r="Q674" s="2" t="s">
        <v>351</v>
      </c>
      <c r="R674" s="2">
        <v>31086</v>
      </c>
      <c r="S674" s="2">
        <v>31086</v>
      </c>
      <c r="T674" s="2" t="s">
        <v>627</v>
      </c>
      <c r="U674" s="2" t="s">
        <v>627</v>
      </c>
      <c r="V674" s="2" t="s">
        <v>627</v>
      </c>
      <c r="W674" s="2" t="s">
        <v>627</v>
      </c>
      <c r="X674" s="2" t="s">
        <v>4846</v>
      </c>
      <c r="Y674" s="2" t="s">
        <v>4847</v>
      </c>
      <c r="AA674" s="2" t="s">
        <v>4848</v>
      </c>
      <c r="AB674" s="2" t="s">
        <v>642</v>
      </c>
      <c r="AC674" s="2" t="s">
        <v>632</v>
      </c>
      <c r="AE674" s="2">
        <v>78100790</v>
      </c>
      <c r="AJ674" s="2">
        <v>78100790</v>
      </c>
      <c r="AK674" s="2">
        <v>2</v>
      </c>
      <c r="AL674" s="2" t="s">
        <v>633</v>
      </c>
      <c r="AM674" s="2">
        <v>0</v>
      </c>
      <c r="AN674" s="2">
        <v>0</v>
      </c>
      <c r="AO674" s="2">
        <v>1</v>
      </c>
      <c r="AP674" s="2">
        <v>0</v>
      </c>
      <c r="AQ674" s="2">
        <v>0</v>
      </c>
      <c r="AR674" s="2">
        <v>0</v>
      </c>
      <c r="AS674" s="2">
        <v>0</v>
      </c>
      <c r="AT674" s="2">
        <v>0</v>
      </c>
      <c r="BB674" s="2" t="str">
        <f>+PROPER(BD[[#This Row],[PRIMER_APELLIDO]])</f>
        <v>Hernandez</v>
      </c>
    </row>
    <row r="675" spans="1:54" x14ac:dyDescent="0.25">
      <c r="A675" s="2">
        <v>674</v>
      </c>
      <c r="B675" s="2">
        <v>45410</v>
      </c>
      <c r="C675" s="2" t="s">
        <v>619</v>
      </c>
      <c r="D675" s="2" t="s">
        <v>620</v>
      </c>
      <c r="E675" s="2" t="s">
        <v>4849</v>
      </c>
      <c r="F675" s="2">
        <v>30333464</v>
      </c>
      <c r="G675" s="3">
        <v>37.564383561643837</v>
      </c>
      <c r="H675" s="2" t="s">
        <v>622</v>
      </c>
      <c r="I675" s="2" t="s">
        <v>4850</v>
      </c>
      <c r="J675" s="2" t="str">
        <f>+IF(BD[[#This Row],[DEPARTAMENTO_INSS]]="MANAGUA","_01_","_02_")</f>
        <v>_01_</v>
      </c>
      <c r="K675" s="2" t="str">
        <f>+CONCATENATE(BD[[#This Row],[Columna3]],BD[[#This Row],[Columna4]],BD[[#This Row],[NOMBRE COMPLETO]])</f>
        <v>E003_01_FRANCISCO ABEL FLORES NEIRA</v>
      </c>
      <c r="L675" s="2" t="s">
        <v>1692</v>
      </c>
      <c r="M675" s="2" t="s">
        <v>4851</v>
      </c>
      <c r="N675" s="2" t="s">
        <v>58</v>
      </c>
      <c r="O675" s="2" t="s">
        <v>4852</v>
      </c>
      <c r="P675" s="2" t="s">
        <v>649</v>
      </c>
      <c r="Q675" s="2" t="s">
        <v>351</v>
      </c>
      <c r="R675" s="2">
        <v>31085</v>
      </c>
      <c r="S675" s="2">
        <v>31085</v>
      </c>
      <c r="U675" s="2" t="s">
        <v>627</v>
      </c>
      <c r="W675" s="2" t="s">
        <v>627</v>
      </c>
      <c r="Y675" s="2" t="s">
        <v>4853</v>
      </c>
      <c r="AA675" s="2">
        <v>77018995</v>
      </c>
      <c r="AB675" s="2" t="s">
        <v>654</v>
      </c>
      <c r="AC675" s="2" t="s">
        <v>632</v>
      </c>
      <c r="AD675" s="2">
        <v>77018995</v>
      </c>
      <c r="AJ675" s="2">
        <v>77018995</v>
      </c>
      <c r="AK675" s="2">
        <v>1</v>
      </c>
      <c r="AL675" s="2" t="s">
        <v>633</v>
      </c>
      <c r="AM675" s="2">
        <v>0</v>
      </c>
      <c r="AN675" s="2">
        <v>0</v>
      </c>
      <c r="AO675" s="2">
        <v>1</v>
      </c>
      <c r="AP675" s="2">
        <v>0</v>
      </c>
      <c r="AQ675" s="2">
        <v>0</v>
      </c>
      <c r="AR675" s="2">
        <v>0</v>
      </c>
      <c r="AS675" s="2">
        <v>0</v>
      </c>
      <c r="AT675" s="2">
        <v>0</v>
      </c>
      <c r="BB675" s="2" t="str">
        <f>+PROPER(BD[[#This Row],[PRIMER_APELLIDO]])</f>
        <v>Flores</v>
      </c>
    </row>
    <row r="676" spans="1:54" x14ac:dyDescent="0.25">
      <c r="A676" s="2">
        <v>675</v>
      </c>
      <c r="B676" s="2">
        <v>51990</v>
      </c>
      <c r="C676" s="2" t="s">
        <v>619</v>
      </c>
      <c r="D676" s="2" t="s">
        <v>620</v>
      </c>
      <c r="E676" s="2" t="s">
        <v>4854</v>
      </c>
      <c r="F676" s="2">
        <v>25030754</v>
      </c>
      <c r="G676" s="3">
        <v>37.564383561643837</v>
      </c>
      <c r="H676" s="2" t="s">
        <v>622</v>
      </c>
      <c r="I676" s="2" t="s">
        <v>4855</v>
      </c>
      <c r="J676" s="2" t="str">
        <f>+IF(BD[[#This Row],[DEPARTAMENTO_INSS]]="MANAGUA","_01_","_02_")</f>
        <v>_01_</v>
      </c>
      <c r="K676" s="2" t="str">
        <f>+CONCATENATE(BD[[#This Row],[Columna3]],BD[[#This Row],[Columna4]],BD[[#This Row],[NOMBRE COMPLETO]])</f>
        <v>E003_01_MARCIA DEL CARMEN RODRIGUEZ ZELEDON</v>
      </c>
      <c r="L676" s="2" t="s">
        <v>511</v>
      </c>
      <c r="M676" s="2" t="s">
        <v>961</v>
      </c>
      <c r="N676" s="2" t="s">
        <v>185</v>
      </c>
      <c r="O676" s="2" t="s">
        <v>151</v>
      </c>
      <c r="P676" s="2" t="s">
        <v>626</v>
      </c>
      <c r="Q676" s="2" t="s">
        <v>351</v>
      </c>
      <c r="R676" s="2">
        <v>31085</v>
      </c>
      <c r="S676" s="2">
        <v>31085</v>
      </c>
      <c r="T676" s="2" t="s">
        <v>691</v>
      </c>
      <c r="U676" s="2" t="s">
        <v>627</v>
      </c>
      <c r="V676" s="2" t="s">
        <v>716</v>
      </c>
      <c r="W676" s="2" t="s">
        <v>1406</v>
      </c>
      <c r="X676" s="2" t="s">
        <v>4856</v>
      </c>
      <c r="Y676" s="2" t="s">
        <v>4857</v>
      </c>
      <c r="Z676" s="2">
        <v>83282654</v>
      </c>
      <c r="AA676" s="2" t="s">
        <v>4858</v>
      </c>
      <c r="AB676" s="2" t="s">
        <v>631</v>
      </c>
      <c r="AC676" s="2" t="s">
        <v>632</v>
      </c>
      <c r="AD676" s="2">
        <v>83282654</v>
      </c>
      <c r="AE676" s="2">
        <v>85095066</v>
      </c>
      <c r="AJ676" s="2">
        <v>83282654</v>
      </c>
      <c r="AK676" s="2">
        <v>3</v>
      </c>
      <c r="AL676" s="2" t="s">
        <v>633</v>
      </c>
      <c r="AM676" s="2">
        <v>0</v>
      </c>
      <c r="AN676" s="2">
        <v>0</v>
      </c>
      <c r="AO676" s="2">
        <v>1</v>
      </c>
      <c r="AP676" s="2">
        <v>0</v>
      </c>
      <c r="AQ676" s="2">
        <v>0</v>
      </c>
      <c r="AR676" s="2">
        <v>0</v>
      </c>
      <c r="AS676" s="2">
        <v>0</v>
      </c>
      <c r="AT676" s="2">
        <v>0</v>
      </c>
      <c r="AZ676" s="2" t="s">
        <v>4859</v>
      </c>
      <c r="BB676" s="2" t="str">
        <f>+PROPER(BD[[#This Row],[PRIMER_APELLIDO]])</f>
        <v>Rodriguez</v>
      </c>
    </row>
    <row r="677" spans="1:54" x14ac:dyDescent="0.25">
      <c r="A677" s="2">
        <v>676</v>
      </c>
      <c r="B677" s="2">
        <v>36817</v>
      </c>
      <c r="C677" s="2" t="s">
        <v>619</v>
      </c>
      <c r="D677" s="2" t="s">
        <v>620</v>
      </c>
      <c r="E677" s="2" t="s">
        <v>4860</v>
      </c>
      <c r="F677" s="2">
        <v>22389309</v>
      </c>
      <c r="G677" s="3">
        <v>37.56712328767123</v>
      </c>
      <c r="H677" s="2" t="s">
        <v>622</v>
      </c>
      <c r="I677" s="2" t="s">
        <v>4861</v>
      </c>
      <c r="J677" s="2" t="str">
        <f>+IF(BD[[#This Row],[DEPARTAMENTO_INSS]]="MANAGUA","_01_","_02_")</f>
        <v>_02_</v>
      </c>
      <c r="K677" s="2" t="str">
        <f>+CONCATENATE(BD[[#This Row],[Columna3]],BD[[#This Row],[Columna4]],BD[[#This Row],[NOMBRE COMPLETO]])</f>
        <v>E003_02_FREDDY EZEQUIEL ROMERO RIVERA</v>
      </c>
      <c r="L677" s="2" t="s">
        <v>1765</v>
      </c>
      <c r="M677" s="2" t="s">
        <v>854</v>
      </c>
      <c r="N677" s="2" t="s">
        <v>41</v>
      </c>
      <c r="O677" s="2" t="s">
        <v>198</v>
      </c>
      <c r="P677" s="2" t="s">
        <v>649</v>
      </c>
      <c r="Q677" s="2" t="s">
        <v>351</v>
      </c>
      <c r="R677" s="2">
        <v>31084</v>
      </c>
      <c r="S677" s="2">
        <v>31084</v>
      </c>
      <c r="T677" s="2" t="s">
        <v>705</v>
      </c>
      <c r="U677" s="2" t="s">
        <v>705</v>
      </c>
      <c r="V677" s="2" t="s">
        <v>705</v>
      </c>
      <c r="W677" s="2" t="s">
        <v>705</v>
      </c>
      <c r="X677" s="2" t="s">
        <v>4862</v>
      </c>
      <c r="Y677" s="2" t="s">
        <v>4863</v>
      </c>
      <c r="AA677" s="2" t="s">
        <v>4864</v>
      </c>
      <c r="AB677" s="2" t="s">
        <v>654</v>
      </c>
      <c r="AC677" s="2" t="s">
        <v>632</v>
      </c>
      <c r="AE677" s="2">
        <v>78757886</v>
      </c>
      <c r="AJ677" s="2">
        <v>78757886</v>
      </c>
      <c r="AK677" s="2">
        <v>2</v>
      </c>
      <c r="AL677" s="2" t="s">
        <v>633</v>
      </c>
      <c r="AM677" s="2">
        <v>0</v>
      </c>
      <c r="AN677" s="2">
        <v>0</v>
      </c>
      <c r="AO677" s="2">
        <v>1</v>
      </c>
      <c r="AP677" s="2">
        <v>0</v>
      </c>
      <c r="AQ677" s="2">
        <v>0</v>
      </c>
      <c r="AR677" s="2">
        <v>0</v>
      </c>
      <c r="AS677" s="2">
        <v>0</v>
      </c>
      <c r="AT677" s="2">
        <v>0</v>
      </c>
      <c r="BB677" s="2" t="str">
        <f>+PROPER(BD[[#This Row],[PRIMER_APELLIDO]])</f>
        <v>Romero</v>
      </c>
    </row>
    <row r="678" spans="1:54" x14ac:dyDescent="0.25">
      <c r="A678" s="2">
        <v>677</v>
      </c>
      <c r="B678" s="2">
        <v>34549</v>
      </c>
      <c r="C678" s="2" t="s">
        <v>619</v>
      </c>
      <c r="D678" s="2" t="s">
        <v>620</v>
      </c>
      <c r="E678" s="2" t="s">
        <v>4865</v>
      </c>
      <c r="F678" s="2">
        <v>25575963</v>
      </c>
      <c r="G678" s="3">
        <v>37.56986301369863</v>
      </c>
      <c r="H678" s="2" t="s">
        <v>622</v>
      </c>
      <c r="I678" s="2" t="s">
        <v>4866</v>
      </c>
      <c r="J678" s="2" t="str">
        <f>+IF(BD[[#This Row],[DEPARTAMENTO_INSS]]="MANAGUA","_01_","_02_")</f>
        <v>_01_</v>
      </c>
      <c r="K678" s="2" t="str">
        <f>+CONCATENATE(BD[[#This Row],[Columna3]],BD[[#This Row],[Columna4]],BD[[#This Row],[NOMBRE COMPLETO]])</f>
        <v>E003_01_SERGIO ADOLFO SAENZ VILCHEZ</v>
      </c>
      <c r="L678" s="2" t="s">
        <v>2071</v>
      </c>
      <c r="M678" s="2" t="s">
        <v>2716</v>
      </c>
      <c r="N678" s="2" t="s">
        <v>317</v>
      </c>
      <c r="O678" s="2" t="s">
        <v>239</v>
      </c>
      <c r="P678" s="2" t="s">
        <v>649</v>
      </c>
      <c r="Q678" s="2" t="s">
        <v>351</v>
      </c>
      <c r="R678" s="2">
        <v>31083</v>
      </c>
      <c r="S678" s="2">
        <v>31083</v>
      </c>
      <c r="T678" s="2" t="s">
        <v>627</v>
      </c>
      <c r="U678" s="2" t="s">
        <v>627</v>
      </c>
      <c r="V678" s="2" t="s">
        <v>627</v>
      </c>
      <c r="W678" s="2" t="s">
        <v>627</v>
      </c>
      <c r="X678" s="2" t="s">
        <v>4867</v>
      </c>
      <c r="Y678" s="2" t="s">
        <v>4868</v>
      </c>
      <c r="Z678" s="2">
        <v>84852304</v>
      </c>
      <c r="AA678" s="2">
        <v>22774917</v>
      </c>
      <c r="AB678" s="2" t="s">
        <v>654</v>
      </c>
      <c r="AC678" s="2" t="s">
        <v>632</v>
      </c>
      <c r="AD678" s="2">
        <v>84852304</v>
      </c>
      <c r="AJ678" s="2">
        <v>84852304</v>
      </c>
      <c r="AK678" s="2">
        <v>2</v>
      </c>
      <c r="AL678" s="2" t="s">
        <v>633</v>
      </c>
      <c r="AM678" s="2">
        <v>0</v>
      </c>
      <c r="AN678" s="2">
        <v>0</v>
      </c>
      <c r="AO678" s="2">
        <v>1</v>
      </c>
      <c r="AP678" s="2">
        <v>0</v>
      </c>
      <c r="AQ678" s="2">
        <v>0</v>
      </c>
      <c r="AR678" s="2">
        <v>0</v>
      </c>
      <c r="AS678" s="2">
        <v>0</v>
      </c>
      <c r="AT678" s="2">
        <v>0</v>
      </c>
      <c r="AZ678" s="2" t="s">
        <v>4869</v>
      </c>
      <c r="BB678" s="2" t="str">
        <f>+PROPER(BD[[#This Row],[PRIMER_APELLIDO]])</f>
        <v>Saenz</v>
      </c>
    </row>
    <row r="679" spans="1:54" x14ac:dyDescent="0.25">
      <c r="A679" s="2">
        <v>678</v>
      </c>
      <c r="B679" s="2">
        <v>65899</v>
      </c>
      <c r="C679" s="2" t="s">
        <v>619</v>
      </c>
      <c r="D679" s="2" t="s">
        <v>620</v>
      </c>
      <c r="E679" s="2" t="s">
        <v>4870</v>
      </c>
      <c r="G679" s="3">
        <v>37.56986301369863</v>
      </c>
      <c r="H679" s="2" t="s">
        <v>622</v>
      </c>
      <c r="I679" s="2" t="s">
        <v>4871</v>
      </c>
      <c r="J679" s="2" t="str">
        <f>+IF(BD[[#This Row],[DEPARTAMENTO_INSS]]="MANAGUA","_01_","_02_")</f>
        <v>_02_</v>
      </c>
      <c r="K679" s="2" t="str">
        <f>+CONCATENATE(BD[[#This Row],[Columna3]],BD[[#This Row],[Columna4]],BD[[#This Row],[NOMBRE COMPLETO]])</f>
        <v>E003_02_AMPARO DEL SOCORRO MENDOZA CANTARERO</v>
      </c>
      <c r="L679" s="2" t="s">
        <v>4681</v>
      </c>
      <c r="M679" s="2" t="s">
        <v>787</v>
      </c>
      <c r="N679" s="2" t="s">
        <v>9</v>
      </c>
      <c r="O679" s="2" t="s">
        <v>238</v>
      </c>
      <c r="P679" s="2" t="s">
        <v>626</v>
      </c>
      <c r="Q679" s="2" t="s">
        <v>351</v>
      </c>
      <c r="R679" s="2">
        <v>31083</v>
      </c>
      <c r="S679" s="2">
        <v>31083</v>
      </c>
      <c r="T679" s="2" t="s">
        <v>627</v>
      </c>
      <c r="U679" s="2" t="s">
        <v>1104</v>
      </c>
      <c r="V679" s="2" t="s">
        <v>627</v>
      </c>
      <c r="W679" s="2" t="s">
        <v>1104</v>
      </c>
      <c r="X679" s="2" t="s">
        <v>4872</v>
      </c>
      <c r="Y679" s="2" t="s">
        <v>4873</v>
      </c>
      <c r="Z679" s="2">
        <v>84500227</v>
      </c>
      <c r="AA679" s="2">
        <v>89398483</v>
      </c>
      <c r="AB679" s="2" t="s">
        <v>642</v>
      </c>
      <c r="AC679" s="2" t="s">
        <v>632</v>
      </c>
      <c r="AD679" s="2">
        <v>84500227</v>
      </c>
      <c r="AF679" s="2">
        <v>89398483</v>
      </c>
      <c r="AJ679" s="2">
        <v>84500227</v>
      </c>
      <c r="AK679" s="2">
        <v>2</v>
      </c>
      <c r="AL679" s="2" t="s">
        <v>633</v>
      </c>
      <c r="AM679" s="2">
        <v>0</v>
      </c>
      <c r="AN679" s="2">
        <v>0</v>
      </c>
      <c r="AO679" s="2">
        <v>1</v>
      </c>
      <c r="AP679" s="2">
        <v>0</v>
      </c>
      <c r="AQ679" s="2">
        <v>0</v>
      </c>
      <c r="AR679" s="2">
        <v>0</v>
      </c>
      <c r="AS679" s="2">
        <v>0</v>
      </c>
      <c r="AT679" s="2">
        <v>0</v>
      </c>
      <c r="AZ679" s="2" t="s">
        <v>4874</v>
      </c>
      <c r="BB679" s="2" t="str">
        <f>+PROPER(BD[[#This Row],[PRIMER_APELLIDO]])</f>
        <v>Mendoza</v>
      </c>
    </row>
    <row r="680" spans="1:54" x14ac:dyDescent="0.25">
      <c r="A680" s="2">
        <v>679</v>
      </c>
      <c r="B680" s="2">
        <v>39188</v>
      </c>
      <c r="C680" s="2" t="s">
        <v>619</v>
      </c>
      <c r="D680" s="2" t="s">
        <v>620</v>
      </c>
      <c r="E680" s="2" t="s">
        <v>4875</v>
      </c>
      <c r="F680" s="2">
        <v>23103027</v>
      </c>
      <c r="G680" s="3">
        <v>37.575342465753423</v>
      </c>
      <c r="H680" s="2" t="s">
        <v>622</v>
      </c>
      <c r="I680" s="2" t="s">
        <v>4876</v>
      </c>
      <c r="J680" s="2" t="str">
        <f>+IF(BD[[#This Row],[DEPARTAMENTO_INSS]]="MANAGUA","_01_","_02_")</f>
        <v>_01_</v>
      </c>
      <c r="K680" s="2" t="str">
        <f>+CONCATENATE(BD[[#This Row],[Columna3]],BD[[#This Row],[Columna4]],BD[[#This Row],[NOMBRE COMPLETO]])</f>
        <v>E003_01_LISBETH MARIA ALFARO LIRA</v>
      </c>
      <c r="L680" s="2" t="s">
        <v>1359</v>
      </c>
      <c r="M680" s="2" t="s">
        <v>724</v>
      </c>
      <c r="N680" s="2" t="s">
        <v>196</v>
      </c>
      <c r="O680" s="2" t="s">
        <v>404</v>
      </c>
      <c r="P680" s="2" t="s">
        <v>626</v>
      </c>
      <c r="Q680" s="2" t="s">
        <v>351</v>
      </c>
      <c r="R680" s="2">
        <v>31081</v>
      </c>
      <c r="S680" s="2">
        <v>31081</v>
      </c>
      <c r="T680" s="2" t="s">
        <v>627</v>
      </c>
      <c r="U680" s="2" t="s">
        <v>627</v>
      </c>
      <c r="V680" s="2" t="s">
        <v>627</v>
      </c>
      <c r="W680" s="2" t="s">
        <v>627</v>
      </c>
      <c r="X680" s="2" t="s">
        <v>4877</v>
      </c>
      <c r="Y680" s="2" t="s">
        <v>4878</v>
      </c>
      <c r="AA680" s="2">
        <v>88237343</v>
      </c>
      <c r="AB680" s="2" t="s">
        <v>642</v>
      </c>
      <c r="AC680" s="2" t="s">
        <v>632</v>
      </c>
      <c r="AD680" s="2">
        <v>88237343</v>
      </c>
      <c r="AJ680" s="2">
        <v>88237343</v>
      </c>
      <c r="AK680" s="2">
        <v>1</v>
      </c>
      <c r="AL680" s="2" t="s">
        <v>633</v>
      </c>
      <c r="AM680" s="2">
        <v>0</v>
      </c>
      <c r="AN680" s="2">
        <v>0</v>
      </c>
      <c r="AO680" s="2">
        <v>1</v>
      </c>
      <c r="AP680" s="2">
        <v>0</v>
      </c>
      <c r="AQ680" s="2">
        <v>0</v>
      </c>
      <c r="AR680" s="2">
        <v>0</v>
      </c>
      <c r="AS680" s="2">
        <v>0</v>
      </c>
      <c r="AT680" s="2">
        <v>0</v>
      </c>
      <c r="BB680" s="2" t="str">
        <f>+PROPER(BD[[#This Row],[PRIMER_APELLIDO]])</f>
        <v>Alfaro</v>
      </c>
    </row>
    <row r="681" spans="1:54" x14ac:dyDescent="0.25">
      <c r="A681" s="2">
        <v>680</v>
      </c>
      <c r="B681" s="2">
        <v>60561</v>
      </c>
      <c r="C681" s="2" t="s">
        <v>619</v>
      </c>
      <c r="D681" s="2" t="s">
        <v>620</v>
      </c>
      <c r="E681" s="2" t="s">
        <v>4879</v>
      </c>
      <c r="G681" s="3">
        <v>37.583561643835615</v>
      </c>
      <c r="H681" s="2" t="s">
        <v>622</v>
      </c>
      <c r="I681" s="2" t="s">
        <v>4880</v>
      </c>
      <c r="J681" s="2" t="str">
        <f>+IF(BD[[#This Row],[DEPARTAMENTO_INSS]]="MANAGUA","_01_","_02_")</f>
        <v>_02_</v>
      </c>
      <c r="K681" s="2" t="str">
        <f>+CONCATENATE(BD[[#This Row],[Columna3]],BD[[#This Row],[Columna4]],BD[[#This Row],[NOMBRE COMPLETO]])</f>
        <v>E003_02_KEENETH RAMON MOLINARES MEZA</v>
      </c>
      <c r="L681" s="2" t="s">
        <v>4881</v>
      </c>
      <c r="M681" s="2" t="s">
        <v>3218</v>
      </c>
      <c r="N681" s="2" t="s">
        <v>441</v>
      </c>
      <c r="O681" s="2" t="s">
        <v>218</v>
      </c>
      <c r="P681" s="2" t="s">
        <v>649</v>
      </c>
      <c r="Q681" s="2" t="s">
        <v>351</v>
      </c>
      <c r="R681" s="2">
        <v>31078</v>
      </c>
      <c r="S681" s="2">
        <v>31078</v>
      </c>
      <c r="T681" s="2" t="s">
        <v>1104</v>
      </c>
      <c r="U681" s="2" t="s">
        <v>1104</v>
      </c>
      <c r="V681" s="2" t="s">
        <v>1812</v>
      </c>
      <c r="W681" s="2" t="s">
        <v>1813</v>
      </c>
      <c r="X681" s="2" t="s">
        <v>4882</v>
      </c>
      <c r="Y681" s="2" t="s">
        <v>4883</v>
      </c>
      <c r="Z681" s="2">
        <v>89464143</v>
      </c>
      <c r="AA681" s="2" t="s">
        <v>4884</v>
      </c>
      <c r="AB681" s="2" t="s">
        <v>654</v>
      </c>
      <c r="AC681" s="2" t="s">
        <v>632</v>
      </c>
      <c r="AD681" s="2">
        <v>89464143</v>
      </c>
      <c r="AJ681" s="2">
        <v>89464143</v>
      </c>
      <c r="AK681" s="2">
        <v>3</v>
      </c>
      <c r="AL681" s="2" t="s">
        <v>633</v>
      </c>
      <c r="AM681" s="2">
        <v>0</v>
      </c>
      <c r="AN681" s="2">
        <v>0</v>
      </c>
      <c r="AO681" s="2">
        <v>1</v>
      </c>
      <c r="AP681" s="2">
        <v>0</v>
      </c>
      <c r="AQ681" s="2">
        <v>0</v>
      </c>
      <c r="AR681" s="2">
        <v>0</v>
      </c>
      <c r="AS681" s="2">
        <v>0</v>
      </c>
      <c r="AT681" s="2">
        <v>0</v>
      </c>
      <c r="AZ681" s="2" t="s">
        <v>4885</v>
      </c>
      <c r="BB681" s="2" t="str">
        <f>+PROPER(BD[[#This Row],[PRIMER_APELLIDO]])</f>
        <v>Molinares</v>
      </c>
    </row>
    <row r="682" spans="1:54" x14ac:dyDescent="0.25">
      <c r="A682" s="2">
        <v>681</v>
      </c>
      <c r="B682" s="2">
        <v>32276</v>
      </c>
      <c r="C682" s="2" t="s">
        <v>619</v>
      </c>
      <c r="D682" s="2" t="s">
        <v>620</v>
      </c>
      <c r="E682" s="2" t="s">
        <v>4886</v>
      </c>
      <c r="F682" s="2">
        <v>21719332</v>
      </c>
      <c r="G682" s="3">
        <v>37.586301369863016</v>
      </c>
      <c r="H682" s="2" t="s">
        <v>622</v>
      </c>
      <c r="I682" s="2" t="s">
        <v>4887</v>
      </c>
      <c r="J682" s="2" t="str">
        <f>+IF(BD[[#This Row],[DEPARTAMENTO_INSS]]="MANAGUA","_01_","_02_")</f>
        <v>_02_</v>
      </c>
      <c r="K682" s="2" t="str">
        <f>+CONCATENATE(BD[[#This Row],[Columna3]],BD[[#This Row],[Columna4]],BD[[#This Row],[NOMBRE COMPLETO]])</f>
        <v>E003_02_RUTH MERCEDES CANO CENTENO</v>
      </c>
      <c r="L682" s="2" t="s">
        <v>2825</v>
      </c>
      <c r="M682" s="2" t="s">
        <v>769</v>
      </c>
      <c r="N682" s="2" t="s">
        <v>340</v>
      </c>
      <c r="O682" s="2" t="s">
        <v>116</v>
      </c>
      <c r="P682" s="2" t="s">
        <v>626</v>
      </c>
      <c r="Q682" s="2" t="s">
        <v>351</v>
      </c>
      <c r="R682" s="2">
        <v>31077</v>
      </c>
      <c r="S682" s="2">
        <v>31077</v>
      </c>
      <c r="T682" s="2" t="s">
        <v>176</v>
      </c>
      <c r="U682" s="2" t="s">
        <v>176</v>
      </c>
      <c r="V682" s="2" t="s">
        <v>650</v>
      </c>
      <c r="W682" s="2" t="s">
        <v>176</v>
      </c>
      <c r="X682" s="2" t="s">
        <v>4888</v>
      </c>
      <c r="Y682" s="2" t="s">
        <v>4889</v>
      </c>
      <c r="AA682" s="2">
        <v>89858751</v>
      </c>
      <c r="AB682" s="2" t="s">
        <v>654</v>
      </c>
      <c r="AC682" s="2" t="s">
        <v>632</v>
      </c>
      <c r="AD682" s="2">
        <v>89858751</v>
      </c>
      <c r="AJ682" s="2">
        <v>89858751</v>
      </c>
      <c r="AK682" s="2">
        <v>1</v>
      </c>
      <c r="AL682" s="2" t="s">
        <v>633</v>
      </c>
      <c r="AM682" s="2">
        <v>0</v>
      </c>
      <c r="AN682" s="2">
        <v>0</v>
      </c>
      <c r="AO682" s="2">
        <v>1</v>
      </c>
      <c r="AP682" s="2">
        <v>0</v>
      </c>
      <c r="AQ682" s="2">
        <v>0</v>
      </c>
      <c r="AR682" s="2">
        <v>0</v>
      </c>
      <c r="AS682" s="2">
        <v>0</v>
      </c>
      <c r="AT682" s="2">
        <v>0</v>
      </c>
      <c r="BB682" s="2" t="str">
        <f>+PROPER(BD[[#This Row],[PRIMER_APELLIDO]])</f>
        <v>Cano</v>
      </c>
    </row>
    <row r="683" spans="1:54" x14ac:dyDescent="0.25">
      <c r="A683" s="2">
        <v>682</v>
      </c>
      <c r="B683" s="2">
        <v>51255</v>
      </c>
      <c r="C683" s="2" t="s">
        <v>619</v>
      </c>
      <c r="D683" s="2" t="s">
        <v>620</v>
      </c>
      <c r="E683" s="2" t="s">
        <v>4890</v>
      </c>
      <c r="G683" s="3">
        <v>37.586301369863016</v>
      </c>
      <c r="H683" s="2" t="s">
        <v>622</v>
      </c>
      <c r="I683" s="2" t="s">
        <v>4891</v>
      </c>
      <c r="J683" s="2" t="str">
        <f>+IF(BD[[#This Row],[DEPARTAMENTO_INSS]]="MANAGUA","_01_","_02_")</f>
        <v>_01_</v>
      </c>
      <c r="K683" s="2" t="str">
        <f>+CONCATENATE(BD[[#This Row],[Columna3]],BD[[#This Row],[Columna4]],BD[[#This Row],[NOMBRE COMPLETO]])</f>
        <v>E003_01_ANA PATRICIA SANDOVAL MORA</v>
      </c>
      <c r="L683" s="2" t="s">
        <v>860</v>
      </c>
      <c r="M683" s="2" t="s">
        <v>747</v>
      </c>
      <c r="N683" s="2" t="s">
        <v>64</v>
      </c>
      <c r="O683" s="2" t="s">
        <v>394</v>
      </c>
      <c r="P683" s="2" t="s">
        <v>626</v>
      </c>
      <c r="Q683" s="2" t="s">
        <v>4892</v>
      </c>
      <c r="R683" s="2">
        <v>31077</v>
      </c>
      <c r="S683" s="2">
        <v>31077</v>
      </c>
      <c r="T683" s="2" t="s">
        <v>627</v>
      </c>
      <c r="U683" s="2" t="s">
        <v>627</v>
      </c>
      <c r="V683" s="2" t="s">
        <v>627</v>
      </c>
      <c r="W683" s="2" t="s">
        <v>627</v>
      </c>
      <c r="X683" s="2" t="s">
        <v>4893</v>
      </c>
      <c r="Y683" s="2" t="s">
        <v>4894</v>
      </c>
      <c r="AA683" s="2">
        <v>22553889</v>
      </c>
      <c r="AB683" s="2" t="s">
        <v>642</v>
      </c>
      <c r="AC683" s="2" t="s">
        <v>632</v>
      </c>
      <c r="AK683" s="2">
        <v>1</v>
      </c>
      <c r="AL683" s="2" t="s">
        <v>633</v>
      </c>
      <c r="AM683" s="2">
        <v>0</v>
      </c>
      <c r="AN683" s="2">
        <v>0</v>
      </c>
      <c r="AO683" s="2">
        <v>1</v>
      </c>
      <c r="AP683" s="2">
        <v>0</v>
      </c>
      <c r="AQ683" s="2">
        <v>0</v>
      </c>
      <c r="AR683" s="2">
        <v>0</v>
      </c>
      <c r="AS683" s="2">
        <v>0</v>
      </c>
      <c r="AT683" s="2">
        <v>0</v>
      </c>
      <c r="BB683" s="2" t="str">
        <f>+PROPER(BD[[#This Row],[PRIMER_APELLIDO]])</f>
        <v>Sandoval</v>
      </c>
    </row>
    <row r="684" spans="1:54" x14ac:dyDescent="0.25">
      <c r="A684" s="2">
        <v>683</v>
      </c>
      <c r="B684" s="2">
        <v>63926</v>
      </c>
      <c r="C684" s="2" t="s">
        <v>619</v>
      </c>
      <c r="D684" s="2" t="s">
        <v>620</v>
      </c>
      <c r="E684" s="2" t="s">
        <v>4895</v>
      </c>
      <c r="G684" s="3">
        <v>37.586301369863016</v>
      </c>
      <c r="H684" s="2" t="s">
        <v>622</v>
      </c>
      <c r="I684" s="2" t="s">
        <v>4896</v>
      </c>
      <c r="J684" s="2" t="str">
        <f>+IF(BD[[#This Row],[DEPARTAMENTO_INSS]]="MANAGUA","_01_","_02_")</f>
        <v>_02_</v>
      </c>
      <c r="K684" s="2" t="str">
        <f>+CONCATENATE(BD[[#This Row],[Columna3]],BD[[#This Row],[Columna4]],BD[[#This Row],[NOMBRE COMPLETO]])</f>
        <v>E003_02_MOISES RODRIGUEZ GONZALEZ</v>
      </c>
      <c r="L684" s="2" t="s">
        <v>1512</v>
      </c>
      <c r="N684" s="2" t="s">
        <v>185</v>
      </c>
      <c r="O684" s="2" t="s">
        <v>14</v>
      </c>
      <c r="P684" s="2" t="s">
        <v>649</v>
      </c>
      <c r="Q684" s="2" t="s">
        <v>351</v>
      </c>
      <c r="R684" s="2">
        <v>31077</v>
      </c>
      <c r="S684" s="2">
        <v>31077</v>
      </c>
      <c r="T684" s="2" t="s">
        <v>1005</v>
      </c>
      <c r="U684" s="2" t="s">
        <v>1005</v>
      </c>
      <c r="V684" s="2" t="s">
        <v>1988</v>
      </c>
      <c r="W684" s="2" t="s">
        <v>1988</v>
      </c>
      <c r="X684" s="2" t="s">
        <v>4897</v>
      </c>
      <c r="Y684" s="2" t="s">
        <v>4898</v>
      </c>
      <c r="Z684" s="2">
        <v>57950449</v>
      </c>
      <c r="AA684" s="2">
        <v>57788148</v>
      </c>
      <c r="AB684" s="2" t="s">
        <v>654</v>
      </c>
      <c r="AC684" s="2" t="s">
        <v>632</v>
      </c>
      <c r="AD684" s="2">
        <v>57950449</v>
      </c>
      <c r="AE684" s="2">
        <v>57788148</v>
      </c>
      <c r="AJ684" s="2">
        <v>57950449</v>
      </c>
      <c r="AK684" s="2">
        <v>2</v>
      </c>
      <c r="AL684" s="2" t="s">
        <v>633</v>
      </c>
      <c r="AM684" s="2">
        <v>0</v>
      </c>
      <c r="AN684" s="2">
        <v>0</v>
      </c>
      <c r="AO684" s="2">
        <v>1</v>
      </c>
      <c r="AP684" s="2">
        <v>0</v>
      </c>
      <c r="AQ684" s="2">
        <v>0</v>
      </c>
      <c r="AR684" s="2">
        <v>0</v>
      </c>
      <c r="AS684" s="2">
        <v>0</v>
      </c>
      <c r="AT684" s="2">
        <v>0</v>
      </c>
      <c r="AZ684" s="2" t="s">
        <v>4899</v>
      </c>
      <c r="BB684" s="2" t="str">
        <f>+PROPER(BD[[#This Row],[PRIMER_APELLIDO]])</f>
        <v>Rodriguez</v>
      </c>
    </row>
    <row r="685" spans="1:54" x14ac:dyDescent="0.25">
      <c r="A685" s="2">
        <v>684</v>
      </c>
      <c r="B685" s="2">
        <v>30668</v>
      </c>
      <c r="C685" s="2" t="s">
        <v>619</v>
      </c>
      <c r="D685" s="2" t="s">
        <v>620</v>
      </c>
      <c r="E685" s="2" t="s">
        <v>4900</v>
      </c>
      <c r="F685" s="2">
        <v>21669143</v>
      </c>
      <c r="G685" s="3">
        <v>37.589041095890408</v>
      </c>
      <c r="H685" s="2" t="s">
        <v>622</v>
      </c>
      <c r="I685" s="2" t="s">
        <v>4901</v>
      </c>
      <c r="J685" s="2" t="str">
        <f>+IF(BD[[#This Row],[DEPARTAMENTO_INSS]]="MANAGUA","_01_","_02_")</f>
        <v>_01_</v>
      </c>
      <c r="K685" s="2" t="str">
        <f>+CONCATENATE(BD[[#This Row],[Columna3]],BD[[#This Row],[Columna4]],BD[[#This Row],[NOMBRE COMPLETO]])</f>
        <v>E003_01_ALMA TAMARA SANCHEZ JIMENEZ</v>
      </c>
      <c r="L685" s="2" t="s">
        <v>4902</v>
      </c>
      <c r="M685" s="2" t="s">
        <v>1405</v>
      </c>
      <c r="N685" s="2" t="s">
        <v>90</v>
      </c>
      <c r="O685" s="2" t="s">
        <v>467</v>
      </c>
      <c r="P685" s="2" t="s">
        <v>626</v>
      </c>
      <c r="Q685" s="2" t="s">
        <v>351</v>
      </c>
      <c r="R685" s="2">
        <v>31076</v>
      </c>
      <c r="S685" s="2">
        <v>31076</v>
      </c>
      <c r="U685" s="2" t="s">
        <v>627</v>
      </c>
      <c r="W685" s="2" t="s">
        <v>627</v>
      </c>
      <c r="X685" s="2" t="s">
        <v>4903</v>
      </c>
      <c r="Y685" s="2" t="s">
        <v>4904</v>
      </c>
      <c r="AA685" s="2">
        <v>88834771</v>
      </c>
      <c r="AB685" s="2" t="s">
        <v>642</v>
      </c>
      <c r="AC685" s="2" t="s">
        <v>632</v>
      </c>
      <c r="AD685" s="2">
        <v>88834771</v>
      </c>
      <c r="AJ685" s="2">
        <v>88834771</v>
      </c>
      <c r="AK685" s="2">
        <v>1</v>
      </c>
      <c r="AL685" s="2" t="s">
        <v>633</v>
      </c>
      <c r="AM685" s="2">
        <v>0</v>
      </c>
      <c r="AN685" s="2">
        <v>0</v>
      </c>
      <c r="AO685" s="2">
        <v>1</v>
      </c>
      <c r="AP685" s="2">
        <v>0</v>
      </c>
      <c r="AQ685" s="2">
        <v>0</v>
      </c>
      <c r="AR685" s="2">
        <v>0</v>
      </c>
      <c r="AS685" s="2">
        <v>0</v>
      </c>
      <c r="AT685" s="2">
        <v>0</v>
      </c>
      <c r="BA685" s="2" t="s">
        <v>4905</v>
      </c>
      <c r="BB685" s="2" t="str">
        <f>+PROPER(BD[[#This Row],[PRIMER_APELLIDO]])</f>
        <v>Sanchez</v>
      </c>
    </row>
    <row r="686" spans="1:54" x14ac:dyDescent="0.25">
      <c r="A686" s="2">
        <v>685</v>
      </c>
      <c r="B686" s="2">
        <v>35916</v>
      </c>
      <c r="C686" s="2" t="s">
        <v>619</v>
      </c>
      <c r="D686" s="2" t="s">
        <v>620</v>
      </c>
      <c r="E686" s="2" t="s">
        <v>4906</v>
      </c>
      <c r="F686" s="2">
        <v>22805379</v>
      </c>
      <c r="G686" s="3">
        <v>37.589041095890408</v>
      </c>
      <c r="H686" s="2" t="s">
        <v>622</v>
      </c>
      <c r="I686" s="2" t="s">
        <v>4907</v>
      </c>
      <c r="J686" s="2" t="str">
        <f>+IF(BD[[#This Row],[DEPARTAMENTO_INSS]]="MANAGUA","_01_","_02_")</f>
        <v>_02_</v>
      </c>
      <c r="K686" s="2" t="str">
        <f>+CONCATENATE(BD[[#This Row],[Columna3]],BD[[#This Row],[Columna4]],BD[[#This Row],[NOMBRE COMPLETO]])</f>
        <v>E003_02_DARLING MASSIEL SEVILLA VALDIVIA</v>
      </c>
      <c r="L686" s="2" t="s">
        <v>3616</v>
      </c>
      <c r="M686" s="2" t="s">
        <v>2529</v>
      </c>
      <c r="N686" s="2" t="s">
        <v>280</v>
      </c>
      <c r="O686" s="2" t="s">
        <v>93</v>
      </c>
      <c r="P686" s="2" t="s">
        <v>626</v>
      </c>
      <c r="Q686" s="2" t="s">
        <v>351</v>
      </c>
      <c r="R686" s="2">
        <v>31076</v>
      </c>
      <c r="S686" s="2">
        <v>31076</v>
      </c>
      <c r="T686" s="2" t="s">
        <v>691</v>
      </c>
      <c r="U686" s="2" t="s">
        <v>691</v>
      </c>
      <c r="V686" s="2" t="s">
        <v>716</v>
      </c>
      <c r="W686" s="2" t="s">
        <v>691</v>
      </c>
      <c r="X686" s="2" t="s">
        <v>4908</v>
      </c>
      <c r="Y686" s="2" t="s">
        <v>4909</v>
      </c>
      <c r="Z686" s="2">
        <v>86928517</v>
      </c>
      <c r="AA686" s="2">
        <v>86928517</v>
      </c>
      <c r="AB686" s="2" t="s">
        <v>631</v>
      </c>
      <c r="AC686" s="2" t="s">
        <v>632</v>
      </c>
      <c r="AD686" s="2">
        <v>86928517</v>
      </c>
      <c r="AJ686" s="2">
        <v>86928517</v>
      </c>
      <c r="AK686" s="2">
        <v>2</v>
      </c>
      <c r="AL686" s="2" t="s">
        <v>633</v>
      </c>
      <c r="AM686" s="2">
        <v>0</v>
      </c>
      <c r="AN686" s="2">
        <v>0</v>
      </c>
      <c r="AO686" s="2">
        <v>1</v>
      </c>
      <c r="AP686" s="2">
        <v>0</v>
      </c>
      <c r="AQ686" s="2">
        <v>0</v>
      </c>
      <c r="AR686" s="2">
        <v>0</v>
      </c>
      <c r="AS686" s="2">
        <v>0</v>
      </c>
      <c r="AT686" s="2">
        <v>0</v>
      </c>
      <c r="AZ686" s="2" t="s">
        <v>4910</v>
      </c>
      <c r="BA686" s="2" t="s">
        <v>4910</v>
      </c>
      <c r="BB686" s="2" t="str">
        <f>+PROPER(BD[[#This Row],[PRIMER_APELLIDO]])</f>
        <v>Sevilla</v>
      </c>
    </row>
    <row r="687" spans="1:54" x14ac:dyDescent="0.25">
      <c r="A687" s="2">
        <v>686</v>
      </c>
      <c r="B687" s="2">
        <v>59743</v>
      </c>
      <c r="C687" s="2" t="s">
        <v>619</v>
      </c>
      <c r="D687" s="2" t="s">
        <v>620</v>
      </c>
      <c r="E687" s="2" t="s">
        <v>4911</v>
      </c>
      <c r="G687" s="3">
        <v>37.589041095890408</v>
      </c>
      <c r="H687" s="2" t="s">
        <v>622</v>
      </c>
      <c r="I687" s="2" t="s">
        <v>4912</v>
      </c>
      <c r="J687" s="2" t="str">
        <f>+IF(BD[[#This Row],[DEPARTAMENTO_INSS]]="MANAGUA","_01_","_02_")</f>
        <v>_02_</v>
      </c>
      <c r="K687" s="2" t="str">
        <f>+CONCATENATE(BD[[#This Row],[Columna3]],BD[[#This Row],[Columna4]],BD[[#This Row],[NOMBRE COMPLETO]])</f>
        <v>E003_02_MARIO JOSE TORREZ OTERO</v>
      </c>
      <c r="L687" s="2" t="s">
        <v>1640</v>
      </c>
      <c r="M687" s="2" t="s">
        <v>243</v>
      </c>
      <c r="N687" s="2" t="s">
        <v>158</v>
      </c>
      <c r="O687" s="2" t="s">
        <v>325</v>
      </c>
      <c r="P687" s="2" t="s">
        <v>649</v>
      </c>
      <c r="Q687" s="2" t="s">
        <v>351</v>
      </c>
      <c r="R687" s="2">
        <v>31076</v>
      </c>
      <c r="S687" s="2">
        <v>31076</v>
      </c>
      <c r="T687" s="2" t="s">
        <v>732</v>
      </c>
      <c r="U687" s="2" t="s">
        <v>732</v>
      </c>
      <c r="V687" s="2" t="s">
        <v>732</v>
      </c>
      <c r="W687" s="2" t="s">
        <v>732</v>
      </c>
      <c r="X687" s="2" t="s">
        <v>4913</v>
      </c>
      <c r="Y687" s="2" t="s">
        <v>4914</v>
      </c>
      <c r="Z687" s="2" t="s">
        <v>4915</v>
      </c>
      <c r="AA687" s="2">
        <v>85693545</v>
      </c>
      <c r="AB687" s="2" t="s">
        <v>654</v>
      </c>
      <c r="AC687" s="2" t="s">
        <v>632</v>
      </c>
      <c r="AD687" s="2">
        <v>84741965</v>
      </c>
      <c r="AE687" s="2">
        <v>85693545</v>
      </c>
      <c r="AJ687" s="2">
        <v>84741965</v>
      </c>
      <c r="AK687" s="2">
        <v>3</v>
      </c>
      <c r="AL687" s="2" t="s">
        <v>633</v>
      </c>
      <c r="AM687" s="2">
        <v>0</v>
      </c>
      <c r="AN687" s="2">
        <v>0</v>
      </c>
      <c r="AO687" s="2">
        <v>1</v>
      </c>
      <c r="AP687" s="2">
        <v>0</v>
      </c>
      <c r="AQ687" s="2">
        <v>0</v>
      </c>
      <c r="AR687" s="2">
        <v>0</v>
      </c>
      <c r="AS687" s="2">
        <v>0</v>
      </c>
      <c r="AT687" s="2">
        <v>0</v>
      </c>
      <c r="AZ687" s="2" t="s">
        <v>4916</v>
      </c>
      <c r="BB687" s="2" t="str">
        <f>+PROPER(BD[[#This Row],[PRIMER_APELLIDO]])</f>
        <v>Torrez</v>
      </c>
    </row>
    <row r="688" spans="1:54" x14ac:dyDescent="0.25">
      <c r="A688" s="2">
        <v>687</v>
      </c>
      <c r="B688" s="2">
        <v>63670</v>
      </c>
      <c r="C688" s="2" t="s">
        <v>619</v>
      </c>
      <c r="D688" s="2" t="s">
        <v>620</v>
      </c>
      <c r="E688" s="2" t="s">
        <v>4917</v>
      </c>
      <c r="G688" s="3">
        <v>37.6</v>
      </c>
      <c r="H688" s="2" t="s">
        <v>622</v>
      </c>
      <c r="I688" s="2" t="s">
        <v>4918</v>
      </c>
      <c r="J688" s="2" t="str">
        <f>+IF(BD[[#This Row],[DEPARTAMENTO_INSS]]="MANAGUA","_01_","_02_")</f>
        <v>_02_</v>
      </c>
      <c r="K688" s="2" t="str">
        <f>+CONCATENATE(BD[[#This Row],[Columna3]],BD[[#This Row],[Columna4]],BD[[#This Row],[NOMBRE COMPLETO]])</f>
        <v>E003_02_ANDRES EDUARDO LOPEZ HARRISON WONG VALLE</v>
      </c>
      <c r="L688" s="2" t="s">
        <v>953</v>
      </c>
      <c r="M688" s="2" t="s">
        <v>1548</v>
      </c>
      <c r="N688" s="2" t="s">
        <v>68</v>
      </c>
      <c r="O688" s="2" t="s">
        <v>4919</v>
      </c>
      <c r="P688" s="2" t="s">
        <v>649</v>
      </c>
      <c r="Q688" s="2" t="s">
        <v>351</v>
      </c>
      <c r="R688" s="2">
        <v>31072</v>
      </c>
      <c r="T688" s="2" t="s">
        <v>627</v>
      </c>
      <c r="V688" s="2" t="s">
        <v>627</v>
      </c>
      <c r="X688" s="2" t="s">
        <v>4920</v>
      </c>
      <c r="Z688" s="2">
        <v>22658643</v>
      </c>
      <c r="AB688" s="2" t="s">
        <v>4921</v>
      </c>
      <c r="AC688" s="2" t="s">
        <v>632</v>
      </c>
      <c r="AK688" s="2">
        <v>1</v>
      </c>
      <c r="AL688" s="2" t="s">
        <v>633</v>
      </c>
      <c r="AM688" s="2">
        <v>0</v>
      </c>
      <c r="AN688" s="2">
        <v>0</v>
      </c>
      <c r="AO688" s="2">
        <v>1</v>
      </c>
      <c r="AP688" s="2">
        <v>0</v>
      </c>
      <c r="AQ688" s="2">
        <v>0</v>
      </c>
      <c r="AR688" s="2">
        <v>0</v>
      </c>
      <c r="AS688" s="2">
        <v>0</v>
      </c>
      <c r="AT688" s="2">
        <v>0</v>
      </c>
      <c r="BB688" s="2" t="str">
        <f>+PROPER(BD[[#This Row],[PRIMER_APELLIDO]])</f>
        <v>Lopez Harrison</v>
      </c>
    </row>
    <row r="689" spans="1:54" x14ac:dyDescent="0.25">
      <c r="A689" s="2">
        <v>688</v>
      </c>
      <c r="B689" s="2">
        <v>39271</v>
      </c>
      <c r="C689" s="2" t="s">
        <v>619</v>
      </c>
      <c r="D689" s="2" t="s">
        <v>620</v>
      </c>
      <c r="E689" s="2" t="s">
        <v>4922</v>
      </c>
      <c r="F689" s="2">
        <v>23141218</v>
      </c>
      <c r="G689" s="3">
        <v>37.610958904109587</v>
      </c>
      <c r="H689" s="2" t="s">
        <v>622</v>
      </c>
      <c r="I689" s="2" t="s">
        <v>4923</v>
      </c>
      <c r="J689" s="2" t="str">
        <f>+IF(BD[[#This Row],[DEPARTAMENTO_INSS]]="MANAGUA","_01_","_02_")</f>
        <v>_02_</v>
      </c>
      <c r="K689" s="2" t="str">
        <f>+CONCATENATE(BD[[#This Row],[Columna3]],BD[[#This Row],[Columna4]],BD[[#This Row],[NOMBRE COMPLETO]])</f>
        <v>E003_02_DAVID IGNACIO QUEZADA PEREZ</v>
      </c>
      <c r="L689" s="2" t="s">
        <v>916</v>
      </c>
      <c r="M689" s="2" t="s">
        <v>2522</v>
      </c>
      <c r="N689" s="2" t="s">
        <v>297</v>
      </c>
      <c r="O689" s="2" t="s">
        <v>24</v>
      </c>
      <c r="P689" s="2" t="s">
        <v>649</v>
      </c>
      <c r="Q689" s="2" t="s">
        <v>351</v>
      </c>
      <c r="R689" s="2">
        <v>31068</v>
      </c>
      <c r="S689" s="2">
        <v>31068</v>
      </c>
      <c r="T689" s="2" t="s">
        <v>176</v>
      </c>
      <c r="U689" s="2" t="s">
        <v>659</v>
      </c>
      <c r="V689" s="2" t="s">
        <v>2609</v>
      </c>
      <c r="W689" s="2" t="s">
        <v>659</v>
      </c>
      <c r="X689" s="2" t="s">
        <v>4924</v>
      </c>
      <c r="Y689" s="2" t="s">
        <v>4925</v>
      </c>
      <c r="Z689" s="2">
        <v>87260076</v>
      </c>
      <c r="AA689" s="2">
        <v>87260076</v>
      </c>
      <c r="AB689" s="2" t="s">
        <v>654</v>
      </c>
      <c r="AC689" s="2" t="s">
        <v>632</v>
      </c>
      <c r="AD689" s="2">
        <v>87260076</v>
      </c>
      <c r="AJ689" s="2">
        <v>87260076</v>
      </c>
      <c r="AK689" s="2">
        <v>2</v>
      </c>
      <c r="AL689" s="2" t="s">
        <v>633</v>
      </c>
      <c r="AM689" s="2">
        <v>0</v>
      </c>
      <c r="AN689" s="2">
        <v>0</v>
      </c>
      <c r="AO689" s="2">
        <v>1</v>
      </c>
      <c r="AP689" s="2">
        <v>0</v>
      </c>
      <c r="AQ689" s="2">
        <v>0</v>
      </c>
      <c r="AR689" s="2">
        <v>0</v>
      </c>
      <c r="AS689" s="2">
        <v>0</v>
      </c>
      <c r="AT689" s="2">
        <v>0</v>
      </c>
      <c r="AZ689" s="2" t="s">
        <v>4926</v>
      </c>
      <c r="BB689" s="2" t="str">
        <f>+PROPER(BD[[#This Row],[PRIMER_APELLIDO]])</f>
        <v>Quezada</v>
      </c>
    </row>
    <row r="690" spans="1:54" x14ac:dyDescent="0.25">
      <c r="A690" s="2">
        <v>689</v>
      </c>
      <c r="B690" s="2">
        <v>39638</v>
      </c>
      <c r="C690" s="2" t="s">
        <v>619</v>
      </c>
      <c r="D690" s="2" t="s">
        <v>620</v>
      </c>
      <c r="E690" s="2" t="s">
        <v>4927</v>
      </c>
      <c r="F690" s="2">
        <v>17103886</v>
      </c>
      <c r="G690" s="3">
        <v>37.610958904109587</v>
      </c>
      <c r="H690" s="2" t="s">
        <v>622</v>
      </c>
      <c r="I690" s="2" t="s">
        <v>4928</v>
      </c>
      <c r="J690" s="2" t="str">
        <f>+IF(BD[[#This Row],[DEPARTAMENTO_INSS]]="MANAGUA","_01_","_02_")</f>
        <v>_02_</v>
      </c>
      <c r="K690" s="2" t="str">
        <f>+CONCATENATE(BD[[#This Row],[Columna3]],BD[[#This Row],[Columna4]],BD[[#This Row],[NOMBRE COMPLETO]])</f>
        <v>E003_02_FATIMA LISSETH GONZALEZ ZAVALA</v>
      </c>
      <c r="L690" s="2" t="s">
        <v>2149</v>
      </c>
      <c r="M690" s="2" t="s">
        <v>2080</v>
      </c>
      <c r="N690" s="2" t="s">
        <v>14</v>
      </c>
      <c r="O690" s="2" t="s">
        <v>258</v>
      </c>
      <c r="P690" s="2" t="s">
        <v>626</v>
      </c>
      <c r="Q690" s="2" t="s">
        <v>351</v>
      </c>
      <c r="R690" s="2">
        <v>31068</v>
      </c>
      <c r="S690" s="2">
        <v>31068</v>
      </c>
      <c r="T690" s="2" t="s">
        <v>691</v>
      </c>
      <c r="U690" s="2" t="s">
        <v>691</v>
      </c>
      <c r="V690" s="2" t="s">
        <v>716</v>
      </c>
      <c r="W690" s="2" t="s">
        <v>691</v>
      </c>
      <c r="X690" s="2" t="s">
        <v>4929</v>
      </c>
      <c r="Y690" s="2" t="s">
        <v>4930</v>
      </c>
      <c r="Z690" s="2">
        <v>88549716</v>
      </c>
      <c r="AB690" s="2" t="s">
        <v>984</v>
      </c>
      <c r="AC690" s="2" t="s">
        <v>632</v>
      </c>
      <c r="AD690" s="2">
        <v>88549716</v>
      </c>
      <c r="AJ690" s="2">
        <v>88549716</v>
      </c>
      <c r="AK690" s="2">
        <v>1</v>
      </c>
      <c r="AL690" s="2" t="s">
        <v>633</v>
      </c>
      <c r="AM690" s="2">
        <v>0</v>
      </c>
      <c r="AN690" s="2">
        <v>0</v>
      </c>
      <c r="AO690" s="2">
        <v>1</v>
      </c>
      <c r="AP690" s="2">
        <v>0</v>
      </c>
      <c r="AQ690" s="2">
        <v>0</v>
      </c>
      <c r="AR690" s="2">
        <v>0</v>
      </c>
      <c r="AS690" s="2">
        <v>0</v>
      </c>
      <c r="AT690" s="2">
        <v>0</v>
      </c>
      <c r="BB690" s="2" t="str">
        <f>+PROPER(BD[[#This Row],[PRIMER_APELLIDO]])</f>
        <v>Gonzalez</v>
      </c>
    </row>
    <row r="691" spans="1:54" x14ac:dyDescent="0.25">
      <c r="A691" s="2">
        <v>690</v>
      </c>
      <c r="B691" s="2">
        <v>32262</v>
      </c>
      <c r="C691" s="2" t="s">
        <v>619</v>
      </c>
      <c r="D691" s="2" t="s">
        <v>620</v>
      </c>
      <c r="E691" s="2" t="s">
        <v>4931</v>
      </c>
      <c r="F691" s="2">
        <v>21663369</v>
      </c>
      <c r="G691" s="3">
        <v>37.613698630136987</v>
      </c>
      <c r="H691" s="2" t="s">
        <v>622</v>
      </c>
      <c r="I691" s="2" t="s">
        <v>4932</v>
      </c>
      <c r="J691" s="2" t="str">
        <f>+IF(BD[[#This Row],[DEPARTAMENTO_INSS]]="MANAGUA","_01_","_02_")</f>
        <v>_02_</v>
      </c>
      <c r="K691" s="2" t="str">
        <f>+CONCATENATE(BD[[#This Row],[Columna3]],BD[[#This Row],[Columna4]],BD[[#This Row],[NOMBRE COMPLETO]])</f>
        <v>E003_02_YAHOSKA MARIA CALERO FERNANDEZ</v>
      </c>
      <c r="L691" s="2" t="s">
        <v>2379</v>
      </c>
      <c r="M691" s="2" t="s">
        <v>724</v>
      </c>
      <c r="N691" s="2" t="s">
        <v>80</v>
      </c>
      <c r="O691" s="2" t="s">
        <v>4933</v>
      </c>
      <c r="P691" s="2" t="s">
        <v>626</v>
      </c>
      <c r="Q691" s="2" t="s">
        <v>351</v>
      </c>
      <c r="R691" s="2">
        <v>31067</v>
      </c>
      <c r="S691" s="2">
        <v>31067</v>
      </c>
      <c r="T691" s="2" t="s">
        <v>929</v>
      </c>
      <c r="U691" s="2" t="s">
        <v>929</v>
      </c>
      <c r="V691" s="2" t="s">
        <v>1653</v>
      </c>
      <c r="W691" s="2" t="s">
        <v>1653</v>
      </c>
      <c r="X691" s="2" t="s">
        <v>4934</v>
      </c>
      <c r="Y691" s="2" t="s">
        <v>4935</v>
      </c>
      <c r="Z691" s="2">
        <v>86597722</v>
      </c>
      <c r="AA691" s="2">
        <v>86597722</v>
      </c>
      <c r="AB691" s="2" t="s">
        <v>654</v>
      </c>
      <c r="AC691" s="2" t="s">
        <v>632</v>
      </c>
      <c r="AD691" s="2">
        <v>86597722</v>
      </c>
      <c r="AJ691" s="2">
        <v>86597722</v>
      </c>
      <c r="AK691" s="2">
        <v>2</v>
      </c>
      <c r="AL691" s="2" t="s">
        <v>633</v>
      </c>
      <c r="AM691" s="2">
        <v>0</v>
      </c>
      <c r="AN691" s="2">
        <v>0</v>
      </c>
      <c r="AO691" s="2">
        <v>1</v>
      </c>
      <c r="AP691" s="2">
        <v>0</v>
      </c>
      <c r="AQ691" s="2">
        <v>0</v>
      </c>
      <c r="AR691" s="2">
        <v>0</v>
      </c>
      <c r="AS691" s="2">
        <v>0</v>
      </c>
      <c r="AT691" s="2">
        <v>0</v>
      </c>
      <c r="AZ691" s="2" t="s">
        <v>4936</v>
      </c>
      <c r="BB691" s="2" t="str">
        <f>+PROPER(BD[[#This Row],[PRIMER_APELLIDO]])</f>
        <v>Calero</v>
      </c>
    </row>
    <row r="692" spans="1:54" x14ac:dyDescent="0.25">
      <c r="A692" s="2">
        <v>691</v>
      </c>
      <c r="B692" s="2">
        <v>57774</v>
      </c>
      <c r="C692" s="2" t="s">
        <v>619</v>
      </c>
      <c r="D692" s="2" t="s">
        <v>620</v>
      </c>
      <c r="E692" s="2" t="s">
        <v>4937</v>
      </c>
      <c r="G692" s="3">
        <v>37.61643835616438</v>
      </c>
      <c r="H692" s="2" t="s">
        <v>622</v>
      </c>
      <c r="I692" s="2" t="s">
        <v>4938</v>
      </c>
      <c r="J692" s="2" t="str">
        <f>+IF(BD[[#This Row],[DEPARTAMENTO_INSS]]="MANAGUA","_01_","_02_")</f>
        <v>_02_</v>
      </c>
      <c r="K692" s="2" t="str">
        <f>+CONCATENATE(BD[[#This Row],[Columna3]],BD[[#This Row],[Columna4]],BD[[#This Row],[NOMBRE COMPLETO]])</f>
        <v>E003_02_LENNIN BLADIMIR LOPEZ COREA</v>
      </c>
      <c r="L692" s="2" t="s">
        <v>4939</v>
      </c>
      <c r="M692" s="2" t="s">
        <v>2792</v>
      </c>
      <c r="N692" s="2" t="s">
        <v>15</v>
      </c>
      <c r="O692" s="2" t="s">
        <v>212</v>
      </c>
      <c r="P692" s="2" t="s">
        <v>626</v>
      </c>
      <c r="Q692" s="2" t="s">
        <v>351</v>
      </c>
      <c r="R692" s="2">
        <v>31066</v>
      </c>
      <c r="S692" s="2">
        <v>31066</v>
      </c>
      <c r="T692" s="2" t="s">
        <v>732</v>
      </c>
      <c r="U692" s="2" t="s">
        <v>1104</v>
      </c>
      <c r="V692" s="2" t="s">
        <v>732</v>
      </c>
      <c r="W692" s="2" t="s">
        <v>1106</v>
      </c>
      <c r="X692" s="2" t="s">
        <v>4940</v>
      </c>
      <c r="Y692" s="2" t="s">
        <v>4941</v>
      </c>
      <c r="AA692" s="2">
        <v>88323953</v>
      </c>
      <c r="AB692" s="2" t="s">
        <v>798</v>
      </c>
      <c r="AC692" s="2" t="s">
        <v>632</v>
      </c>
      <c r="AD692" s="2">
        <v>88323953</v>
      </c>
      <c r="AJ692" s="2">
        <v>88323953</v>
      </c>
      <c r="AK692" s="2">
        <v>1</v>
      </c>
      <c r="AL692" s="2" t="s">
        <v>633</v>
      </c>
      <c r="AM692" s="2">
        <v>0</v>
      </c>
      <c r="AN692" s="2">
        <v>0</v>
      </c>
      <c r="AO692" s="2">
        <v>1</v>
      </c>
      <c r="AP692" s="2">
        <v>0</v>
      </c>
      <c r="AQ692" s="2">
        <v>0</v>
      </c>
      <c r="AR692" s="2">
        <v>0</v>
      </c>
      <c r="AS692" s="2">
        <v>0</v>
      </c>
      <c r="AT692" s="2">
        <v>0</v>
      </c>
      <c r="BB692" s="2" t="str">
        <f>+PROPER(BD[[#This Row],[PRIMER_APELLIDO]])</f>
        <v>Lopez</v>
      </c>
    </row>
    <row r="693" spans="1:54" x14ac:dyDescent="0.25">
      <c r="A693" s="2">
        <v>692</v>
      </c>
      <c r="B693" s="2">
        <v>46612</v>
      </c>
      <c r="C693" s="2" t="s">
        <v>619</v>
      </c>
      <c r="D693" s="2" t="s">
        <v>620</v>
      </c>
      <c r="E693" s="2" t="s">
        <v>4942</v>
      </c>
      <c r="F693" s="2">
        <v>24233565</v>
      </c>
      <c r="G693" s="3">
        <v>37.61917808219178</v>
      </c>
      <c r="H693" s="2" t="s">
        <v>622</v>
      </c>
      <c r="I693" s="2" t="s">
        <v>4943</v>
      </c>
      <c r="J693" s="2" t="str">
        <f>+IF(BD[[#This Row],[DEPARTAMENTO_INSS]]="MANAGUA","_01_","_02_")</f>
        <v>_02_</v>
      </c>
      <c r="K693" s="2" t="str">
        <f>+CONCATENATE(BD[[#This Row],[Columna3]],BD[[#This Row],[Columna4]],BD[[#This Row],[NOMBRE COMPLETO]])</f>
        <v>E003_02_JULIO RAUL GONZALEZ ESCOBAR</v>
      </c>
      <c r="L693" s="2" t="s">
        <v>3923</v>
      </c>
      <c r="M693" s="2" t="s">
        <v>2056</v>
      </c>
      <c r="N693" s="2" t="s">
        <v>14</v>
      </c>
      <c r="O693" s="2" t="s">
        <v>122</v>
      </c>
      <c r="P693" s="2" t="s">
        <v>649</v>
      </c>
      <c r="Q693" s="2" t="s">
        <v>351</v>
      </c>
      <c r="R693" s="2">
        <v>31065</v>
      </c>
      <c r="S693" s="2">
        <v>31065</v>
      </c>
      <c r="T693" s="2" t="s">
        <v>176</v>
      </c>
      <c r="U693" s="2" t="s">
        <v>176</v>
      </c>
      <c r="V693" s="2" t="s">
        <v>650</v>
      </c>
      <c r="W693" s="2" t="s">
        <v>176</v>
      </c>
      <c r="X693" s="2" t="s">
        <v>4944</v>
      </c>
      <c r="Y693" s="2" t="s">
        <v>4945</v>
      </c>
      <c r="Z693" s="2">
        <v>86663522</v>
      </c>
      <c r="AA693" s="2">
        <v>89465053</v>
      </c>
      <c r="AB693" s="2" t="s">
        <v>654</v>
      </c>
      <c r="AC693" s="2" t="s">
        <v>632</v>
      </c>
      <c r="AD693" s="2">
        <v>86663522</v>
      </c>
      <c r="AF693" s="2">
        <v>89465053</v>
      </c>
      <c r="AJ693" s="2">
        <v>86663522</v>
      </c>
      <c r="AK693" s="2">
        <v>2</v>
      </c>
      <c r="AL693" s="2" t="s">
        <v>633</v>
      </c>
      <c r="AM693" s="2">
        <v>0</v>
      </c>
      <c r="AN693" s="2">
        <v>0</v>
      </c>
      <c r="AO693" s="2">
        <v>1</v>
      </c>
      <c r="AP693" s="2">
        <v>0</v>
      </c>
      <c r="AQ693" s="2">
        <v>0</v>
      </c>
      <c r="AR693" s="2">
        <v>0</v>
      </c>
      <c r="AS693" s="2">
        <v>0</v>
      </c>
      <c r="AT693" s="2">
        <v>0</v>
      </c>
      <c r="AZ693" s="2" t="s">
        <v>4946</v>
      </c>
      <c r="BB693" s="2" t="str">
        <f>+PROPER(BD[[#This Row],[PRIMER_APELLIDO]])</f>
        <v>Gonzalez</v>
      </c>
    </row>
    <row r="694" spans="1:54" x14ac:dyDescent="0.25">
      <c r="A694" s="2">
        <v>693</v>
      </c>
      <c r="B694" s="2">
        <v>40564</v>
      </c>
      <c r="C694" s="2" t="s">
        <v>619</v>
      </c>
      <c r="D694" s="2" t="s">
        <v>620</v>
      </c>
      <c r="E694" s="2" t="s">
        <v>4947</v>
      </c>
      <c r="F694" s="2">
        <v>23720451</v>
      </c>
      <c r="G694" s="3">
        <v>37.630136986301373</v>
      </c>
      <c r="H694" s="2" t="s">
        <v>622</v>
      </c>
      <c r="I694" s="2" t="s">
        <v>4948</v>
      </c>
      <c r="J694" s="2" t="str">
        <f>+IF(BD[[#This Row],[DEPARTAMENTO_INSS]]="MANAGUA","_01_","_02_")</f>
        <v>_02_</v>
      </c>
      <c r="K694" s="2" t="str">
        <f>+CONCATENATE(BD[[#This Row],[Columna3]],BD[[#This Row],[Columna4]],BD[[#This Row],[NOMBRE COMPLETO]])</f>
        <v>E003_02_INDIRA KARELIA ESCOTO GONZALEZ</v>
      </c>
      <c r="L694" s="2" t="s">
        <v>1091</v>
      </c>
      <c r="M694" s="2" t="s">
        <v>1942</v>
      </c>
      <c r="N694" s="2" t="s">
        <v>181</v>
      </c>
      <c r="O694" s="2" t="s">
        <v>14</v>
      </c>
      <c r="P694" s="2" t="s">
        <v>626</v>
      </c>
      <c r="Q694" s="2" t="s">
        <v>351</v>
      </c>
      <c r="R694" s="2">
        <v>31061</v>
      </c>
      <c r="S694" s="2">
        <v>31061</v>
      </c>
      <c r="T694" s="2" t="s">
        <v>1044</v>
      </c>
      <c r="U694" s="2" t="s">
        <v>691</v>
      </c>
      <c r="V694" s="2" t="s">
        <v>4949</v>
      </c>
      <c r="W694" s="2" t="s">
        <v>691</v>
      </c>
      <c r="X694" s="2" t="s">
        <v>4950</v>
      </c>
      <c r="Y694" s="2" t="s">
        <v>4951</v>
      </c>
      <c r="Z694" s="2">
        <v>57762322</v>
      </c>
      <c r="AA694" s="2" t="s">
        <v>4952</v>
      </c>
      <c r="AB694" s="2" t="s">
        <v>631</v>
      </c>
      <c r="AC694" s="2" t="s">
        <v>632</v>
      </c>
      <c r="AD694" s="2">
        <v>57762322</v>
      </c>
      <c r="AE694" s="2">
        <v>87306686</v>
      </c>
      <c r="AF694" s="2">
        <v>89283861</v>
      </c>
      <c r="AJ694" s="2">
        <v>57762322</v>
      </c>
      <c r="AK694" s="2">
        <v>3</v>
      </c>
      <c r="AL694" s="2" t="s">
        <v>633</v>
      </c>
      <c r="AM694" s="2">
        <v>0</v>
      </c>
      <c r="AN694" s="2">
        <v>0</v>
      </c>
      <c r="AO694" s="2">
        <v>1</v>
      </c>
      <c r="AP694" s="2">
        <v>0</v>
      </c>
      <c r="AQ694" s="2">
        <v>0</v>
      </c>
      <c r="AR694" s="2">
        <v>0</v>
      </c>
      <c r="AS694" s="2">
        <v>0</v>
      </c>
      <c r="AT694" s="2">
        <v>0</v>
      </c>
      <c r="AZ694" s="2" t="s">
        <v>4953</v>
      </c>
      <c r="BB694" s="2" t="str">
        <f>+PROPER(BD[[#This Row],[PRIMER_APELLIDO]])</f>
        <v>Escoto</v>
      </c>
    </row>
    <row r="695" spans="1:54" x14ac:dyDescent="0.25">
      <c r="A695" s="2">
        <v>694</v>
      </c>
      <c r="B695" s="2">
        <v>35143</v>
      </c>
      <c r="C695" s="2" t="s">
        <v>619</v>
      </c>
      <c r="D695" s="2" t="s">
        <v>620</v>
      </c>
      <c r="E695" s="2" t="s">
        <v>4954</v>
      </c>
      <c r="F695" s="2">
        <v>22389022</v>
      </c>
      <c r="G695" s="3">
        <v>37.635616438356166</v>
      </c>
      <c r="H695" s="2" t="s">
        <v>622</v>
      </c>
      <c r="I695" s="2" t="s">
        <v>4955</v>
      </c>
      <c r="J695" s="2" t="str">
        <f>+IF(BD[[#This Row],[DEPARTAMENTO_INSS]]="MANAGUA","_01_","_02_")</f>
        <v>_02_</v>
      </c>
      <c r="K695" s="2" t="str">
        <f>+CONCATENATE(BD[[#This Row],[Columna3]],BD[[#This Row],[Columna4]],BD[[#This Row],[NOMBRE COMPLETO]])</f>
        <v>E003_02_YORLENE MERCEDES ESCORCIA SAAVEDRA</v>
      </c>
      <c r="L695" s="2" t="s">
        <v>4956</v>
      </c>
      <c r="M695" s="2" t="s">
        <v>769</v>
      </c>
      <c r="N695" s="2" t="s">
        <v>445</v>
      </c>
      <c r="O695" s="2" t="s">
        <v>4957</v>
      </c>
      <c r="P695" s="2" t="s">
        <v>626</v>
      </c>
      <c r="Q695" s="2" t="s">
        <v>351</v>
      </c>
      <c r="R695" s="2">
        <v>31059</v>
      </c>
      <c r="S695" s="2">
        <v>31059</v>
      </c>
      <c r="T695" s="2" t="s">
        <v>176</v>
      </c>
      <c r="U695" s="2" t="s">
        <v>176</v>
      </c>
      <c r="V695" s="2" t="s">
        <v>3701</v>
      </c>
      <c r="W695" s="2" t="s">
        <v>3701</v>
      </c>
      <c r="X695" s="2" t="s">
        <v>4958</v>
      </c>
      <c r="Y695" s="2" t="s">
        <v>4959</v>
      </c>
      <c r="Z695" s="2">
        <v>89591230</v>
      </c>
      <c r="AA695" s="2">
        <v>89591230</v>
      </c>
      <c r="AB695" s="2" t="s">
        <v>642</v>
      </c>
      <c r="AC695" s="2" t="s">
        <v>632</v>
      </c>
      <c r="AD695" s="2">
        <v>89591230</v>
      </c>
      <c r="AJ695" s="2">
        <v>89591230</v>
      </c>
      <c r="AK695" s="2">
        <v>2</v>
      </c>
      <c r="AL695" s="2" t="s">
        <v>633</v>
      </c>
      <c r="AM695" s="2">
        <v>0</v>
      </c>
      <c r="AN695" s="2">
        <v>0</v>
      </c>
      <c r="AO695" s="2">
        <v>1</v>
      </c>
      <c r="AP695" s="2">
        <v>0</v>
      </c>
      <c r="AQ695" s="2">
        <v>0</v>
      </c>
      <c r="AR695" s="2">
        <v>0</v>
      </c>
      <c r="AS695" s="2">
        <v>0</v>
      </c>
      <c r="AT695" s="2">
        <v>0</v>
      </c>
      <c r="AZ695" s="2" t="s">
        <v>4960</v>
      </c>
      <c r="BB695" s="2" t="str">
        <f>+PROPER(BD[[#This Row],[PRIMER_APELLIDO]])</f>
        <v>Escorcia</v>
      </c>
    </row>
    <row r="696" spans="1:54" x14ac:dyDescent="0.25">
      <c r="A696" s="2">
        <v>695</v>
      </c>
      <c r="B696" s="2">
        <v>78055</v>
      </c>
      <c r="C696" s="2" t="s">
        <v>619</v>
      </c>
      <c r="D696" s="2" t="s">
        <v>620</v>
      </c>
      <c r="E696" s="2" t="s">
        <v>4961</v>
      </c>
      <c r="G696" s="3">
        <v>37.646575342465752</v>
      </c>
      <c r="H696" s="2" t="s">
        <v>622</v>
      </c>
      <c r="I696" s="2" t="s">
        <v>4962</v>
      </c>
      <c r="J696" s="2" t="str">
        <f>+IF(BD[[#This Row],[DEPARTAMENTO_INSS]]="MANAGUA","_01_","_02_")</f>
        <v>_02_</v>
      </c>
      <c r="K696" s="2" t="str">
        <f>+CONCATENATE(BD[[#This Row],[Columna3]],BD[[#This Row],[Columna4]],BD[[#This Row],[NOMBRE COMPLETO]])</f>
        <v>E003_02_ADWRUBAL JOHEL UMANZOR LAGUNA</v>
      </c>
      <c r="L696" s="2" t="s">
        <v>4963</v>
      </c>
      <c r="M696" s="2" t="s">
        <v>4964</v>
      </c>
      <c r="N696" s="2" t="s">
        <v>227</v>
      </c>
      <c r="O696" s="2" t="s">
        <v>320</v>
      </c>
      <c r="P696" s="2" t="s">
        <v>649</v>
      </c>
      <c r="Q696" s="2" t="s">
        <v>351</v>
      </c>
      <c r="R696" s="2">
        <v>31055</v>
      </c>
      <c r="S696" s="2">
        <v>31055</v>
      </c>
      <c r="T696" s="2" t="s">
        <v>1104</v>
      </c>
      <c r="U696" s="2" t="s">
        <v>1005</v>
      </c>
      <c r="V696" s="2" t="s">
        <v>1738</v>
      </c>
      <c r="W696" s="2" t="s">
        <v>1988</v>
      </c>
      <c r="X696" s="2" t="s">
        <v>4965</v>
      </c>
      <c r="Y696" s="2" t="s">
        <v>4966</v>
      </c>
      <c r="Z696" s="2">
        <v>77608665</v>
      </c>
      <c r="AA696" s="2">
        <v>58592697</v>
      </c>
      <c r="AB696" s="2" t="s">
        <v>654</v>
      </c>
      <c r="AC696" s="2" t="s">
        <v>632</v>
      </c>
      <c r="AD696" s="2">
        <v>77608665</v>
      </c>
      <c r="AF696" s="2">
        <v>58592697</v>
      </c>
      <c r="AJ696" s="2">
        <v>77608665</v>
      </c>
      <c r="AK696" s="2">
        <v>2</v>
      </c>
      <c r="AL696" s="2" t="s">
        <v>633</v>
      </c>
      <c r="AM696" s="2">
        <v>0</v>
      </c>
      <c r="AN696" s="2">
        <v>0</v>
      </c>
      <c r="AO696" s="2">
        <v>1</v>
      </c>
      <c r="AP696" s="2">
        <v>0</v>
      </c>
      <c r="AQ696" s="2">
        <v>0</v>
      </c>
      <c r="AR696" s="2">
        <v>0</v>
      </c>
      <c r="AS696" s="2">
        <v>0</v>
      </c>
      <c r="AT696" s="2">
        <v>0</v>
      </c>
      <c r="AZ696" s="2" t="s">
        <v>4967</v>
      </c>
      <c r="BB696" s="2" t="str">
        <f>+PROPER(BD[[#This Row],[PRIMER_APELLIDO]])</f>
        <v>Umanzor</v>
      </c>
    </row>
    <row r="697" spans="1:54" x14ac:dyDescent="0.25">
      <c r="A697" s="2">
        <v>696</v>
      </c>
      <c r="B697" s="2">
        <v>48201</v>
      </c>
      <c r="C697" s="2" t="s">
        <v>619</v>
      </c>
      <c r="D697" s="2" t="s">
        <v>620</v>
      </c>
      <c r="E697" s="2" t="s">
        <v>4968</v>
      </c>
      <c r="F697" s="2">
        <v>25021671</v>
      </c>
      <c r="G697" s="3">
        <v>37.652054794520545</v>
      </c>
      <c r="H697" s="2" t="s">
        <v>622</v>
      </c>
      <c r="I697" s="2" t="s">
        <v>4969</v>
      </c>
      <c r="J697" s="2" t="str">
        <f>+IF(BD[[#This Row],[DEPARTAMENTO_INSS]]="MANAGUA","_01_","_02_")</f>
        <v>_01_</v>
      </c>
      <c r="K697" s="2" t="str">
        <f>+CONCATENATE(BD[[#This Row],[Columna3]],BD[[#This Row],[Columna4]],BD[[#This Row],[NOMBRE COMPLETO]])</f>
        <v>E003_01_RICARDO SABINO AGUILAR BRAVO</v>
      </c>
      <c r="L697" s="2" t="s">
        <v>4501</v>
      </c>
      <c r="M697" s="2" t="s">
        <v>4970</v>
      </c>
      <c r="N697" s="2" t="s">
        <v>141</v>
      </c>
      <c r="O697" s="2" t="s">
        <v>287</v>
      </c>
      <c r="P697" s="2" t="s">
        <v>649</v>
      </c>
      <c r="Q697" s="2" t="s">
        <v>351</v>
      </c>
      <c r="R697" s="2">
        <v>31053</v>
      </c>
      <c r="S697" s="2">
        <v>31326</v>
      </c>
      <c r="T697" s="2" t="s">
        <v>627</v>
      </c>
      <c r="U697" s="2" t="s">
        <v>627</v>
      </c>
      <c r="V697" s="2" t="s">
        <v>627</v>
      </c>
      <c r="W697" s="2" t="s">
        <v>627</v>
      </c>
      <c r="X697" s="2" t="s">
        <v>4971</v>
      </c>
      <c r="Y697" s="2" t="s">
        <v>4972</v>
      </c>
      <c r="Z697" s="2">
        <v>82015581</v>
      </c>
      <c r="AA697" s="2">
        <v>82015581</v>
      </c>
      <c r="AB697" s="2" t="s">
        <v>798</v>
      </c>
      <c r="AC697" s="2" t="s">
        <v>632</v>
      </c>
      <c r="AD697" s="2">
        <v>82015581</v>
      </c>
      <c r="AJ697" s="2">
        <v>82015581</v>
      </c>
      <c r="AK697" s="2">
        <v>2</v>
      </c>
      <c r="AL697" s="2" t="s">
        <v>633</v>
      </c>
      <c r="AM697" s="2">
        <v>0</v>
      </c>
      <c r="AN697" s="2">
        <v>0</v>
      </c>
      <c r="AO697" s="2">
        <v>1</v>
      </c>
      <c r="AP697" s="2">
        <v>0</v>
      </c>
      <c r="AQ697" s="2">
        <v>0</v>
      </c>
      <c r="AR697" s="2">
        <v>0</v>
      </c>
      <c r="AS697" s="2">
        <v>0</v>
      </c>
      <c r="AT697" s="2">
        <v>0</v>
      </c>
      <c r="BB697" s="2" t="str">
        <f>+PROPER(BD[[#This Row],[PRIMER_APELLIDO]])</f>
        <v>Aguilar</v>
      </c>
    </row>
    <row r="698" spans="1:54" x14ac:dyDescent="0.25">
      <c r="A698" s="2">
        <v>697</v>
      </c>
      <c r="B698" s="2">
        <v>35840</v>
      </c>
      <c r="C698" s="2" t="s">
        <v>619</v>
      </c>
      <c r="D698" s="2" t="s">
        <v>620</v>
      </c>
      <c r="E698" s="2" t="s">
        <v>4973</v>
      </c>
      <c r="F698" s="2">
        <v>23236417</v>
      </c>
      <c r="G698" s="3">
        <v>37.660273972602738</v>
      </c>
      <c r="H698" s="2" t="s">
        <v>622</v>
      </c>
      <c r="I698" s="2" t="s">
        <v>4974</v>
      </c>
      <c r="J698" s="2" t="str">
        <f>+IF(BD[[#This Row],[DEPARTAMENTO_INSS]]="MANAGUA","_01_","_02_")</f>
        <v>_02_</v>
      </c>
      <c r="K698" s="2" t="str">
        <f>+CONCATENATE(BD[[#This Row],[Columna3]],BD[[#This Row],[Columna4]],BD[[#This Row],[NOMBRE COMPLETO]])</f>
        <v>E003_02_DARLING YESENIA URBINA RAYO</v>
      </c>
      <c r="L698" s="2" t="s">
        <v>3616</v>
      </c>
      <c r="M698" s="2" t="s">
        <v>4975</v>
      </c>
      <c r="N698" s="2" t="s">
        <v>86</v>
      </c>
      <c r="O698" s="2" t="s">
        <v>4976</v>
      </c>
      <c r="P698" s="2" t="s">
        <v>626</v>
      </c>
      <c r="Q698" s="2" t="s">
        <v>351</v>
      </c>
      <c r="R698" s="2">
        <v>31050</v>
      </c>
      <c r="S698" s="2">
        <v>31050</v>
      </c>
      <c r="T698" s="2" t="s">
        <v>176</v>
      </c>
      <c r="U698" s="2" t="s">
        <v>1104</v>
      </c>
      <c r="V698" s="2" t="s">
        <v>650</v>
      </c>
      <c r="W698" s="2" t="s">
        <v>1104</v>
      </c>
      <c r="X698" s="2" t="s">
        <v>4977</v>
      </c>
      <c r="Y698" s="2" t="s">
        <v>4978</v>
      </c>
      <c r="Z698" s="2">
        <v>57800633</v>
      </c>
      <c r="AA698" s="2" t="s">
        <v>4979</v>
      </c>
      <c r="AB698" s="2" t="s">
        <v>1030</v>
      </c>
      <c r="AC698" s="2" t="s">
        <v>632</v>
      </c>
      <c r="AD698" s="2">
        <v>57800633</v>
      </c>
      <c r="AE698" s="2">
        <v>86317965</v>
      </c>
      <c r="AJ698" s="2">
        <v>57800633</v>
      </c>
      <c r="AK698" s="2">
        <v>3</v>
      </c>
      <c r="AL698" s="2" t="s">
        <v>633</v>
      </c>
      <c r="AM698" s="2">
        <v>0</v>
      </c>
      <c r="AN698" s="2">
        <v>0</v>
      </c>
      <c r="AO698" s="2">
        <v>1</v>
      </c>
      <c r="AP698" s="2">
        <v>0</v>
      </c>
      <c r="AQ698" s="2">
        <v>0</v>
      </c>
      <c r="AR698" s="2">
        <v>0</v>
      </c>
      <c r="AS698" s="2">
        <v>0</v>
      </c>
      <c r="AT698" s="2">
        <v>0</v>
      </c>
      <c r="AZ698" s="2" t="s">
        <v>4980</v>
      </c>
      <c r="BB698" s="2" t="str">
        <f>+PROPER(BD[[#This Row],[PRIMER_APELLIDO]])</f>
        <v>Urbina</v>
      </c>
    </row>
    <row r="699" spans="1:54" x14ac:dyDescent="0.25">
      <c r="A699" s="2">
        <v>698</v>
      </c>
      <c r="B699" s="2">
        <v>39169</v>
      </c>
      <c r="C699" s="2" t="s">
        <v>619</v>
      </c>
      <c r="D699" s="2" t="s">
        <v>620</v>
      </c>
      <c r="E699" s="2" t="s">
        <v>4981</v>
      </c>
      <c r="F699" s="2">
        <v>23106336</v>
      </c>
      <c r="G699" s="3">
        <v>37.665753424657531</v>
      </c>
      <c r="H699" s="2" t="s">
        <v>622</v>
      </c>
      <c r="I699" s="2" t="s">
        <v>4982</v>
      </c>
      <c r="J699" s="2" t="str">
        <f>+IF(BD[[#This Row],[DEPARTAMENTO_INSS]]="MANAGUA","_01_","_02_")</f>
        <v>_02_</v>
      </c>
      <c r="K699" s="2" t="str">
        <f>+CONCATENATE(BD[[#This Row],[Columna3]],BD[[#This Row],[Columna4]],BD[[#This Row],[NOMBRE COMPLETO]])</f>
        <v>E003_02_DARLING MARIA CHAVARRIA CERDA</v>
      </c>
      <c r="L699" s="2" t="s">
        <v>3616</v>
      </c>
      <c r="M699" s="2" t="s">
        <v>724</v>
      </c>
      <c r="N699" s="2" t="s">
        <v>98</v>
      </c>
      <c r="O699" s="2" t="s">
        <v>293</v>
      </c>
      <c r="P699" s="2" t="s">
        <v>626</v>
      </c>
      <c r="Q699" s="2" t="s">
        <v>351</v>
      </c>
      <c r="R699" s="2">
        <v>31048</v>
      </c>
      <c r="S699" s="2">
        <v>31048</v>
      </c>
      <c r="T699" s="2" t="s">
        <v>780</v>
      </c>
      <c r="U699" s="2" t="s">
        <v>780</v>
      </c>
      <c r="V699" s="2" t="s">
        <v>781</v>
      </c>
      <c r="W699" s="2" t="s">
        <v>781</v>
      </c>
      <c r="X699" s="2" t="s">
        <v>4983</v>
      </c>
      <c r="Y699" s="2" t="s">
        <v>4569</v>
      </c>
      <c r="Z699" s="2">
        <v>88318780</v>
      </c>
      <c r="AA699" s="2">
        <v>88318980</v>
      </c>
      <c r="AB699" s="2" t="s">
        <v>642</v>
      </c>
      <c r="AC699" s="2" t="s">
        <v>632</v>
      </c>
      <c r="AD699" s="2">
        <v>88318780</v>
      </c>
      <c r="AF699" s="2">
        <v>88318980</v>
      </c>
      <c r="AJ699" s="2">
        <v>88318780</v>
      </c>
      <c r="AK699" s="2">
        <v>2</v>
      </c>
      <c r="AL699" s="2" t="s">
        <v>633</v>
      </c>
      <c r="AM699" s="2">
        <v>0</v>
      </c>
      <c r="AN699" s="2">
        <v>0</v>
      </c>
      <c r="AO699" s="2">
        <v>1</v>
      </c>
      <c r="AP699" s="2">
        <v>0</v>
      </c>
      <c r="AQ699" s="2">
        <v>0</v>
      </c>
      <c r="AR699" s="2">
        <v>0</v>
      </c>
      <c r="AS699" s="2">
        <v>0</v>
      </c>
      <c r="AT699" s="2">
        <v>0</v>
      </c>
      <c r="AZ699" s="2" t="s">
        <v>4984</v>
      </c>
      <c r="BB699" s="2" t="str">
        <f>+PROPER(BD[[#This Row],[PRIMER_APELLIDO]])</f>
        <v>Chavarria</v>
      </c>
    </row>
    <row r="700" spans="1:54" x14ac:dyDescent="0.25">
      <c r="A700" s="2">
        <v>699</v>
      </c>
      <c r="B700" s="2">
        <v>43323</v>
      </c>
      <c r="C700" s="2" t="s">
        <v>619</v>
      </c>
      <c r="D700" s="2" t="s">
        <v>620</v>
      </c>
      <c r="E700" s="2" t="s">
        <v>4985</v>
      </c>
      <c r="F700" s="2">
        <v>24237750</v>
      </c>
      <c r="G700" s="3">
        <v>37.665753424657531</v>
      </c>
      <c r="H700" s="2" t="s">
        <v>622</v>
      </c>
      <c r="I700" s="2" t="s">
        <v>4986</v>
      </c>
      <c r="J700" s="2" t="str">
        <f>+IF(BD[[#This Row],[DEPARTAMENTO_INSS]]="MANAGUA","_01_","_02_")</f>
        <v>_02_</v>
      </c>
      <c r="K700" s="2" t="str">
        <f>+CONCATENATE(BD[[#This Row],[Columna3]],BD[[#This Row],[Columna4]],BD[[#This Row],[NOMBRE COMPLETO]])</f>
        <v>E003_02_CIRYL JAVIER MEZA DIAZ</v>
      </c>
      <c r="L700" s="2" t="s">
        <v>4987</v>
      </c>
      <c r="M700" s="2" t="s">
        <v>975</v>
      </c>
      <c r="N700" s="2" t="s">
        <v>218</v>
      </c>
      <c r="O700" s="2" t="s">
        <v>91</v>
      </c>
      <c r="P700" s="2" t="s">
        <v>649</v>
      </c>
      <c r="Q700" s="2" t="s">
        <v>351</v>
      </c>
      <c r="R700" s="2">
        <v>31048</v>
      </c>
      <c r="S700" s="2">
        <v>31048</v>
      </c>
      <c r="T700" s="2" t="s">
        <v>627</v>
      </c>
      <c r="U700" s="2" t="s">
        <v>1005</v>
      </c>
      <c r="V700" s="2" t="s">
        <v>2915</v>
      </c>
      <c r="W700" s="2" t="s">
        <v>1006</v>
      </c>
      <c r="X700" s="2" t="s">
        <v>4988</v>
      </c>
      <c r="Y700" s="2" t="s">
        <v>4989</v>
      </c>
      <c r="Z700" s="2">
        <v>86322623</v>
      </c>
      <c r="AA700" s="2">
        <v>27922298</v>
      </c>
      <c r="AB700" s="2" t="s">
        <v>654</v>
      </c>
      <c r="AC700" s="2" t="s">
        <v>632</v>
      </c>
      <c r="AD700" s="2">
        <v>86322623</v>
      </c>
      <c r="AJ700" s="2">
        <v>86322623</v>
      </c>
      <c r="AK700" s="2">
        <v>2</v>
      </c>
      <c r="AL700" s="2" t="s">
        <v>633</v>
      </c>
      <c r="AM700" s="2">
        <v>0</v>
      </c>
      <c r="AN700" s="2">
        <v>0</v>
      </c>
      <c r="AO700" s="2">
        <v>1</v>
      </c>
      <c r="AP700" s="2">
        <v>0</v>
      </c>
      <c r="AQ700" s="2">
        <v>0</v>
      </c>
      <c r="AR700" s="2">
        <v>0</v>
      </c>
      <c r="AS700" s="2">
        <v>0</v>
      </c>
      <c r="AT700" s="2">
        <v>0</v>
      </c>
      <c r="AZ700" s="2" t="s">
        <v>4990</v>
      </c>
      <c r="BB700" s="2" t="str">
        <f>+PROPER(BD[[#This Row],[PRIMER_APELLIDO]])</f>
        <v>Meza</v>
      </c>
    </row>
    <row r="701" spans="1:54" x14ac:dyDescent="0.25">
      <c r="A701" s="2">
        <v>700</v>
      </c>
      <c r="B701" s="2">
        <v>48294</v>
      </c>
      <c r="C701" s="2" t="s">
        <v>619</v>
      </c>
      <c r="D701" s="2" t="s">
        <v>620</v>
      </c>
      <c r="E701" s="2" t="s">
        <v>4991</v>
      </c>
      <c r="F701" s="2">
        <v>25024603</v>
      </c>
      <c r="G701" s="3">
        <v>37.668493150684931</v>
      </c>
      <c r="H701" s="2" t="s">
        <v>622</v>
      </c>
      <c r="I701" s="2" t="s">
        <v>4992</v>
      </c>
      <c r="J701" s="2" t="str">
        <f>+IF(BD[[#This Row],[DEPARTAMENTO_INSS]]="MANAGUA","_01_","_02_")</f>
        <v>_02_</v>
      </c>
      <c r="K701" s="2" t="str">
        <f>+CONCATENATE(BD[[#This Row],[Columna3]],BD[[#This Row],[Columna4]],BD[[#This Row],[NOMBRE COMPLETO]])</f>
        <v>E003_02_ERIBETH DEL CARMEN ZAMORA</v>
      </c>
      <c r="L701" s="2" t="s">
        <v>4993</v>
      </c>
      <c r="M701" s="2" t="s">
        <v>961</v>
      </c>
      <c r="N701" s="2" t="s">
        <v>149</v>
      </c>
      <c r="P701" s="2" t="s">
        <v>626</v>
      </c>
      <c r="Q701" s="2" t="s">
        <v>351</v>
      </c>
      <c r="R701" s="2">
        <v>31047</v>
      </c>
      <c r="S701" s="2">
        <v>31047</v>
      </c>
      <c r="T701" s="2" t="s">
        <v>929</v>
      </c>
      <c r="U701" s="2" t="s">
        <v>929</v>
      </c>
      <c r="V701" s="2" t="s">
        <v>3994</v>
      </c>
      <c r="W701" s="2" t="s">
        <v>3995</v>
      </c>
      <c r="X701" s="2" t="s">
        <v>4994</v>
      </c>
      <c r="Y701" s="2" t="s">
        <v>4995</v>
      </c>
      <c r="Z701" s="2">
        <v>89069302</v>
      </c>
      <c r="AA701" s="2">
        <v>89069302</v>
      </c>
      <c r="AB701" s="2" t="s">
        <v>631</v>
      </c>
      <c r="AC701" s="2" t="s">
        <v>632</v>
      </c>
      <c r="AD701" s="2">
        <v>89069302</v>
      </c>
      <c r="AJ701" s="2">
        <v>89069302</v>
      </c>
      <c r="AK701" s="2">
        <v>2</v>
      </c>
      <c r="AL701" s="2" t="s">
        <v>633</v>
      </c>
      <c r="AM701" s="2">
        <v>0</v>
      </c>
      <c r="AN701" s="2">
        <v>0</v>
      </c>
      <c r="AO701" s="2">
        <v>1</v>
      </c>
      <c r="AP701" s="2">
        <v>0</v>
      </c>
      <c r="AQ701" s="2">
        <v>0</v>
      </c>
      <c r="AR701" s="2">
        <v>0</v>
      </c>
      <c r="AS701" s="2">
        <v>0</v>
      </c>
      <c r="AT701" s="2">
        <v>0</v>
      </c>
      <c r="AZ701" s="2" t="s">
        <v>4996</v>
      </c>
      <c r="BB701" s="2" t="str">
        <f>+PROPER(BD[[#This Row],[PRIMER_APELLIDO]])</f>
        <v>Zamora</v>
      </c>
    </row>
    <row r="702" spans="1:54" x14ac:dyDescent="0.25">
      <c r="A702" s="2">
        <v>701</v>
      </c>
      <c r="B702" s="2">
        <v>49413</v>
      </c>
      <c r="C702" s="2" t="s">
        <v>619</v>
      </c>
      <c r="D702" s="2" t="s">
        <v>620</v>
      </c>
      <c r="E702" s="2" t="s">
        <v>4997</v>
      </c>
      <c r="F702" s="2">
        <v>17912228</v>
      </c>
      <c r="G702" s="3">
        <v>37.69315068493151</v>
      </c>
      <c r="H702" s="2" t="s">
        <v>622</v>
      </c>
      <c r="I702" s="2" t="s">
        <v>4998</v>
      </c>
      <c r="J702" s="2" t="str">
        <f>+IF(BD[[#This Row],[DEPARTAMENTO_INSS]]="MANAGUA","_01_","_02_")</f>
        <v>_02_</v>
      </c>
      <c r="K702" s="2" t="str">
        <f>+CONCATENATE(BD[[#This Row],[Columna3]],BD[[#This Row],[Columna4]],BD[[#This Row],[NOMBRE COMPLETO]])</f>
        <v>E003_02_YAHOSCA RAITI RAMIREZ LUNA</v>
      </c>
      <c r="L702" s="2" t="s">
        <v>4999</v>
      </c>
      <c r="M702" s="2" t="s">
        <v>5000</v>
      </c>
      <c r="N702" s="2" t="s">
        <v>38</v>
      </c>
      <c r="O702" s="2" t="s">
        <v>329</v>
      </c>
      <c r="P702" s="2" t="s">
        <v>626</v>
      </c>
      <c r="Q702" s="2" t="s">
        <v>351</v>
      </c>
      <c r="R702" s="2">
        <v>31038</v>
      </c>
      <c r="S702" s="2">
        <v>31038</v>
      </c>
      <c r="T702" s="2" t="s">
        <v>732</v>
      </c>
      <c r="U702" s="2" t="s">
        <v>929</v>
      </c>
      <c r="V702" s="2" t="s">
        <v>732</v>
      </c>
      <c r="W702" s="2" t="s">
        <v>5001</v>
      </c>
      <c r="X702" s="2" t="s">
        <v>5002</v>
      </c>
      <c r="Y702" s="2" t="s">
        <v>5003</v>
      </c>
      <c r="Z702" s="2">
        <v>88253055</v>
      </c>
      <c r="AA702" s="2">
        <v>82783584</v>
      </c>
      <c r="AB702" s="2" t="s">
        <v>631</v>
      </c>
      <c r="AC702" s="2" t="s">
        <v>632</v>
      </c>
      <c r="AD702" s="2">
        <v>88253055</v>
      </c>
      <c r="AF702" s="2">
        <v>82783584</v>
      </c>
      <c r="AJ702" s="2">
        <v>88253055</v>
      </c>
      <c r="AK702" s="2">
        <v>2</v>
      </c>
      <c r="AL702" s="2" t="s">
        <v>633</v>
      </c>
      <c r="AM702" s="2">
        <v>0</v>
      </c>
      <c r="AN702" s="2">
        <v>0</v>
      </c>
      <c r="AO702" s="2">
        <v>1</v>
      </c>
      <c r="AP702" s="2">
        <v>0</v>
      </c>
      <c r="AQ702" s="2">
        <v>0</v>
      </c>
      <c r="AR702" s="2">
        <v>0</v>
      </c>
      <c r="AS702" s="2">
        <v>0</v>
      </c>
      <c r="AT702" s="2">
        <v>0</v>
      </c>
      <c r="AZ702" s="2" t="s">
        <v>5004</v>
      </c>
      <c r="BB702" s="2" t="str">
        <f>+PROPER(BD[[#This Row],[PRIMER_APELLIDO]])</f>
        <v>Ramirez</v>
      </c>
    </row>
    <row r="703" spans="1:54" x14ac:dyDescent="0.25">
      <c r="A703" s="2">
        <v>702</v>
      </c>
      <c r="B703" s="2">
        <v>38578</v>
      </c>
      <c r="C703" s="2" t="s">
        <v>619</v>
      </c>
      <c r="D703" s="2" t="s">
        <v>620</v>
      </c>
      <c r="E703" s="2" t="s">
        <v>5005</v>
      </c>
      <c r="F703" s="2">
        <v>22119029</v>
      </c>
      <c r="G703" s="3">
        <v>37.695890410958903</v>
      </c>
      <c r="H703" s="2" t="s">
        <v>622</v>
      </c>
      <c r="I703" s="2" t="s">
        <v>5006</v>
      </c>
      <c r="J703" s="2" t="str">
        <f>+IF(BD[[#This Row],[DEPARTAMENTO_INSS]]="MANAGUA","_01_","_02_")</f>
        <v>_02_</v>
      </c>
      <c r="K703" s="2" t="str">
        <f>+CONCATENATE(BD[[#This Row],[Columna3]],BD[[#This Row],[Columna4]],BD[[#This Row],[NOMBRE COMPLETO]])</f>
        <v>E003_02_DENIS MARTIN FLORES HERNANDEZ</v>
      </c>
      <c r="L703" s="2" t="s">
        <v>4057</v>
      </c>
      <c r="M703" s="2" t="s">
        <v>1183</v>
      </c>
      <c r="N703" s="2" t="s">
        <v>58</v>
      </c>
      <c r="O703" s="2" t="s">
        <v>11</v>
      </c>
      <c r="P703" s="2" t="s">
        <v>649</v>
      </c>
      <c r="Q703" s="2" t="s">
        <v>351</v>
      </c>
      <c r="R703" s="2">
        <v>31037</v>
      </c>
      <c r="S703" s="2">
        <v>31037</v>
      </c>
      <c r="T703" s="2" t="s">
        <v>732</v>
      </c>
      <c r="U703" s="2" t="s">
        <v>732</v>
      </c>
      <c r="V703" s="2" t="s">
        <v>732</v>
      </c>
      <c r="W703" s="2" t="s">
        <v>732</v>
      </c>
      <c r="X703" s="2" t="s">
        <v>5007</v>
      </c>
      <c r="Y703" s="2" t="s">
        <v>5008</v>
      </c>
      <c r="AA703" s="2" t="s">
        <v>5009</v>
      </c>
      <c r="AB703" s="2" t="s">
        <v>654</v>
      </c>
      <c r="AC703" s="2" t="s">
        <v>632</v>
      </c>
      <c r="AE703" s="2">
        <v>88203788</v>
      </c>
      <c r="AJ703" s="2">
        <v>88203788</v>
      </c>
      <c r="AK703" s="2">
        <v>2</v>
      </c>
      <c r="AL703" s="2" t="s">
        <v>633</v>
      </c>
      <c r="AM703" s="2">
        <v>0</v>
      </c>
      <c r="AN703" s="2">
        <v>0</v>
      </c>
      <c r="AO703" s="2">
        <v>1</v>
      </c>
      <c r="AP703" s="2">
        <v>0</v>
      </c>
      <c r="AQ703" s="2">
        <v>0</v>
      </c>
      <c r="AR703" s="2">
        <v>0</v>
      </c>
      <c r="AS703" s="2">
        <v>0</v>
      </c>
      <c r="AT703" s="2">
        <v>0</v>
      </c>
      <c r="BB703" s="2" t="str">
        <f>+PROPER(BD[[#This Row],[PRIMER_APELLIDO]])</f>
        <v>Flores</v>
      </c>
    </row>
    <row r="704" spans="1:54" x14ac:dyDescent="0.25">
      <c r="A704" s="2">
        <v>703</v>
      </c>
      <c r="B704" s="2">
        <v>31626</v>
      </c>
      <c r="C704" s="2" t="s">
        <v>619</v>
      </c>
      <c r="D704" s="2" t="s">
        <v>620</v>
      </c>
      <c r="E704" s="2" t="s">
        <v>5010</v>
      </c>
      <c r="F704" s="2">
        <v>24291691</v>
      </c>
      <c r="G704" s="3">
        <v>37.698630136986303</v>
      </c>
      <c r="H704" s="2" t="s">
        <v>622</v>
      </c>
      <c r="I704" s="2" t="s">
        <v>5011</v>
      </c>
      <c r="J704" s="2" t="str">
        <f>+IF(BD[[#This Row],[DEPARTAMENTO_INSS]]="MANAGUA","_01_","_02_")</f>
        <v>_01_</v>
      </c>
      <c r="K704" s="2" t="str">
        <f>+CONCATENATE(BD[[#This Row],[Columna3]],BD[[#This Row],[Columna4]],BD[[#This Row],[NOMBRE COMPLETO]])</f>
        <v>E003_01_MARIA IRENE GARCIA REYES</v>
      </c>
      <c r="L704" s="2" t="s">
        <v>724</v>
      </c>
      <c r="M704" s="2" t="s">
        <v>2446</v>
      </c>
      <c r="N704" s="2" t="s">
        <v>10</v>
      </c>
      <c r="O704" s="2" t="s">
        <v>74</v>
      </c>
      <c r="P704" s="2" t="s">
        <v>626</v>
      </c>
      <c r="Q704" s="2" t="s">
        <v>351</v>
      </c>
      <c r="R704" s="2">
        <v>31036</v>
      </c>
      <c r="S704" s="2">
        <v>31036</v>
      </c>
      <c r="T704" s="2" t="s">
        <v>627</v>
      </c>
      <c r="U704" s="2" t="s">
        <v>627</v>
      </c>
      <c r="V704" s="2" t="s">
        <v>1406</v>
      </c>
      <c r="W704" s="2" t="s">
        <v>1406</v>
      </c>
      <c r="X704" s="2" t="s">
        <v>5012</v>
      </c>
      <c r="Y704" s="2" t="s">
        <v>5013</v>
      </c>
      <c r="AA704" s="2">
        <v>84270409</v>
      </c>
      <c r="AB704" s="2" t="s">
        <v>654</v>
      </c>
      <c r="AC704" s="2" t="s">
        <v>632</v>
      </c>
      <c r="AD704" s="2">
        <v>84270409</v>
      </c>
      <c r="AJ704" s="2">
        <v>84270409</v>
      </c>
      <c r="AK704" s="2">
        <v>1</v>
      </c>
      <c r="AL704" s="2" t="s">
        <v>633</v>
      </c>
      <c r="AM704" s="2">
        <v>0</v>
      </c>
      <c r="AN704" s="2">
        <v>0</v>
      </c>
      <c r="AO704" s="2">
        <v>1</v>
      </c>
      <c r="AP704" s="2">
        <v>0</v>
      </c>
      <c r="AQ704" s="2">
        <v>0</v>
      </c>
      <c r="AR704" s="2">
        <v>0</v>
      </c>
      <c r="AS704" s="2">
        <v>0</v>
      </c>
      <c r="AT704" s="2">
        <v>0</v>
      </c>
      <c r="BB704" s="2" t="str">
        <f>+PROPER(BD[[#This Row],[PRIMER_APELLIDO]])</f>
        <v>Garcia</v>
      </c>
    </row>
    <row r="705" spans="1:54" x14ac:dyDescent="0.25">
      <c r="A705" s="2">
        <v>704</v>
      </c>
      <c r="B705" s="2">
        <v>35005</v>
      </c>
      <c r="C705" s="2" t="s">
        <v>619</v>
      </c>
      <c r="D705" s="2" t="s">
        <v>620</v>
      </c>
      <c r="E705" s="2" t="s">
        <v>5014</v>
      </c>
      <c r="F705" s="2">
        <v>22189488</v>
      </c>
      <c r="G705" s="3">
        <v>37.709589041095889</v>
      </c>
      <c r="H705" s="2" t="s">
        <v>622</v>
      </c>
      <c r="I705" s="2" t="s">
        <v>5015</v>
      </c>
      <c r="J705" s="2" t="str">
        <f>+IF(BD[[#This Row],[DEPARTAMENTO_INSS]]="MANAGUA","_01_","_02_")</f>
        <v>_02_</v>
      </c>
      <c r="K705" s="2" t="str">
        <f>+CONCATENATE(BD[[#This Row],[Columna3]],BD[[#This Row],[Columna4]],BD[[#This Row],[NOMBRE COMPLETO]])</f>
        <v>E003_02_DONAL ENRIQUE URBINA FLORES</v>
      </c>
      <c r="L705" s="2" t="s">
        <v>5016</v>
      </c>
      <c r="M705" s="2" t="s">
        <v>1480</v>
      </c>
      <c r="N705" s="2" t="s">
        <v>86</v>
      </c>
      <c r="O705" s="2" t="s">
        <v>58</v>
      </c>
      <c r="P705" s="2" t="s">
        <v>649</v>
      </c>
      <c r="Q705" s="2" t="s">
        <v>351</v>
      </c>
      <c r="R705" s="2">
        <v>31032</v>
      </c>
      <c r="S705" s="2">
        <v>31032</v>
      </c>
      <c r="T705" s="2" t="s">
        <v>669</v>
      </c>
      <c r="U705" s="2" t="s">
        <v>669</v>
      </c>
      <c r="V705" s="2" t="s">
        <v>2427</v>
      </c>
      <c r="W705" s="2" t="s">
        <v>2427</v>
      </c>
      <c r="X705" s="2" t="s">
        <v>5017</v>
      </c>
      <c r="Y705" s="2" t="s">
        <v>5018</v>
      </c>
      <c r="Z705" s="2">
        <v>86034731</v>
      </c>
      <c r="AA705" s="2">
        <v>86034731</v>
      </c>
      <c r="AB705" s="2" t="s">
        <v>654</v>
      </c>
      <c r="AC705" s="2" t="s">
        <v>632</v>
      </c>
      <c r="AD705" s="2">
        <v>86034731</v>
      </c>
      <c r="AJ705" s="2">
        <v>86034731</v>
      </c>
      <c r="AK705" s="2">
        <v>2</v>
      </c>
      <c r="AL705" s="2" t="s">
        <v>633</v>
      </c>
      <c r="AM705" s="2">
        <v>0</v>
      </c>
      <c r="AN705" s="2">
        <v>0</v>
      </c>
      <c r="AO705" s="2">
        <v>1</v>
      </c>
      <c r="AP705" s="2">
        <v>0</v>
      </c>
      <c r="AQ705" s="2">
        <v>0</v>
      </c>
      <c r="AR705" s="2">
        <v>0</v>
      </c>
      <c r="AS705" s="2">
        <v>0</v>
      </c>
      <c r="AT705" s="2">
        <v>0</v>
      </c>
      <c r="AZ705" s="2" t="s">
        <v>5019</v>
      </c>
      <c r="BB705" s="2" t="str">
        <f>+PROPER(BD[[#This Row],[PRIMER_APELLIDO]])</f>
        <v>Urbina</v>
      </c>
    </row>
    <row r="706" spans="1:54" x14ac:dyDescent="0.25">
      <c r="A706" s="2">
        <v>705</v>
      </c>
      <c r="B706" s="2">
        <v>43735</v>
      </c>
      <c r="C706" s="2" t="s">
        <v>619</v>
      </c>
      <c r="D706" s="2" t="s">
        <v>620</v>
      </c>
      <c r="E706" s="2" t="s">
        <v>5020</v>
      </c>
      <c r="F706" s="2">
        <v>22048725</v>
      </c>
      <c r="G706" s="3">
        <v>37.709589041095889</v>
      </c>
      <c r="H706" s="2" t="s">
        <v>622</v>
      </c>
      <c r="I706" s="2" t="s">
        <v>5021</v>
      </c>
      <c r="J706" s="2" t="str">
        <f>+IF(BD[[#This Row],[DEPARTAMENTO_INSS]]="MANAGUA","_01_","_02_")</f>
        <v>_01_</v>
      </c>
      <c r="K706" s="2" t="str">
        <f>+CONCATENATE(BD[[#This Row],[Columna3]],BD[[#This Row],[Columna4]],BD[[#This Row],[NOMBRE COMPLETO]])</f>
        <v>E003_01_ALEJANDRO BARLACK MEDINA HERNANDEZ</v>
      </c>
      <c r="L706" s="2" t="s">
        <v>1554</v>
      </c>
      <c r="M706" s="2" t="s">
        <v>5022</v>
      </c>
      <c r="N706" s="2" t="s">
        <v>104</v>
      </c>
      <c r="O706" s="2" t="s">
        <v>11</v>
      </c>
      <c r="P706" s="2" t="s">
        <v>649</v>
      </c>
      <c r="Q706" s="2" t="s">
        <v>351</v>
      </c>
      <c r="R706" s="2">
        <v>31032</v>
      </c>
      <c r="S706" s="2">
        <v>31032</v>
      </c>
      <c r="T706" s="2" t="s">
        <v>627</v>
      </c>
      <c r="U706" s="2" t="s">
        <v>627</v>
      </c>
      <c r="V706" s="2" t="s">
        <v>627</v>
      </c>
      <c r="W706" s="2" t="s">
        <v>627</v>
      </c>
      <c r="X706" s="2" t="s">
        <v>5023</v>
      </c>
      <c r="Y706" s="2" t="s">
        <v>5024</v>
      </c>
      <c r="AA706" s="2">
        <v>87572330</v>
      </c>
      <c r="AB706" s="2" t="s">
        <v>654</v>
      </c>
      <c r="AC706" s="2" t="s">
        <v>632</v>
      </c>
      <c r="AD706" s="2">
        <v>87572330</v>
      </c>
      <c r="AJ706" s="2">
        <v>87572330</v>
      </c>
      <c r="AK706" s="2">
        <v>1</v>
      </c>
      <c r="AL706" s="2" t="s">
        <v>633</v>
      </c>
      <c r="AM706" s="2">
        <v>0</v>
      </c>
      <c r="AN706" s="2">
        <v>0</v>
      </c>
      <c r="AO706" s="2">
        <v>1</v>
      </c>
      <c r="AP706" s="2">
        <v>0</v>
      </c>
      <c r="AQ706" s="2">
        <v>0</v>
      </c>
      <c r="AR706" s="2">
        <v>0</v>
      </c>
      <c r="AS706" s="2">
        <v>0</v>
      </c>
      <c r="AT706" s="2">
        <v>0</v>
      </c>
      <c r="BA706" s="2" t="s">
        <v>5025</v>
      </c>
      <c r="BB706" s="2" t="str">
        <f>+PROPER(BD[[#This Row],[PRIMER_APELLIDO]])</f>
        <v>Medina</v>
      </c>
    </row>
    <row r="707" spans="1:54" x14ac:dyDescent="0.25">
      <c r="A707" s="2">
        <v>706</v>
      </c>
      <c r="B707" s="2">
        <v>36257</v>
      </c>
      <c r="C707" s="2" t="s">
        <v>619</v>
      </c>
      <c r="D707" s="2" t="s">
        <v>620</v>
      </c>
      <c r="E707" s="2" t="s">
        <v>5026</v>
      </c>
      <c r="F707" s="2">
        <v>22117779</v>
      </c>
      <c r="G707" s="3">
        <v>37.715068493150682</v>
      </c>
      <c r="H707" s="2" t="s">
        <v>622</v>
      </c>
      <c r="I707" s="2" t="s">
        <v>5027</v>
      </c>
      <c r="J707" s="2" t="str">
        <f>+IF(BD[[#This Row],[DEPARTAMENTO_INSS]]="MANAGUA","_01_","_02_")</f>
        <v>_02_</v>
      </c>
      <c r="K707" s="2" t="str">
        <f>+CONCATENATE(BD[[#This Row],[Columna3]],BD[[#This Row],[Columna4]],BD[[#This Row],[NOMBRE COMPLETO]])</f>
        <v>E003_02_GARYS ENRIQUE LOPEZ MONTIEL</v>
      </c>
      <c r="L707" s="2" t="s">
        <v>5028</v>
      </c>
      <c r="M707" s="2" t="s">
        <v>1480</v>
      </c>
      <c r="N707" s="2" t="s">
        <v>15</v>
      </c>
      <c r="O707" s="2" t="s">
        <v>37</v>
      </c>
      <c r="P707" s="2" t="s">
        <v>649</v>
      </c>
      <c r="Q707" s="2" t="s">
        <v>351</v>
      </c>
      <c r="R707" s="2">
        <v>31030</v>
      </c>
      <c r="S707" s="2">
        <v>31030</v>
      </c>
      <c r="T707" s="2" t="s">
        <v>740</v>
      </c>
      <c r="U707" s="2" t="s">
        <v>740</v>
      </c>
      <c r="V707" s="2" t="s">
        <v>740</v>
      </c>
      <c r="W707" s="2" t="s">
        <v>740</v>
      </c>
      <c r="X707" s="2" t="s">
        <v>5029</v>
      </c>
      <c r="Y707" s="2" t="s">
        <v>5030</v>
      </c>
      <c r="Z707" s="2">
        <v>88668360</v>
      </c>
      <c r="AA707" s="2">
        <v>87339106</v>
      </c>
      <c r="AB707" s="2" t="s">
        <v>654</v>
      </c>
      <c r="AC707" s="2" t="s">
        <v>632</v>
      </c>
      <c r="AD707" s="2">
        <v>88668360</v>
      </c>
      <c r="AF707" s="2">
        <v>87339106</v>
      </c>
      <c r="AJ707" s="2">
        <v>88668360</v>
      </c>
      <c r="AK707" s="2">
        <v>2</v>
      </c>
      <c r="AL707" s="2" t="s">
        <v>633</v>
      </c>
      <c r="AM707" s="2">
        <v>0</v>
      </c>
      <c r="AN707" s="2">
        <v>0</v>
      </c>
      <c r="AO707" s="2">
        <v>1</v>
      </c>
      <c r="AP707" s="2">
        <v>0</v>
      </c>
      <c r="AQ707" s="2">
        <v>0</v>
      </c>
      <c r="AR707" s="2">
        <v>0</v>
      </c>
      <c r="AS707" s="2">
        <v>0</v>
      </c>
      <c r="AT707" s="2">
        <v>0</v>
      </c>
      <c r="BB707" s="2" t="str">
        <f>+PROPER(BD[[#This Row],[PRIMER_APELLIDO]])</f>
        <v>Lopez</v>
      </c>
    </row>
    <row r="708" spans="1:54" x14ac:dyDescent="0.25">
      <c r="A708" s="2">
        <v>707</v>
      </c>
      <c r="B708" s="2">
        <v>53260</v>
      </c>
      <c r="C708" s="2" t="s">
        <v>619</v>
      </c>
      <c r="D708" s="2" t="s">
        <v>620</v>
      </c>
      <c r="E708" s="2" t="s">
        <v>5031</v>
      </c>
      <c r="G708" s="3">
        <v>37.717808219178082</v>
      </c>
      <c r="H708" s="2" t="s">
        <v>622</v>
      </c>
      <c r="I708" s="2" t="s">
        <v>5032</v>
      </c>
      <c r="J708" s="2" t="str">
        <f>+IF(BD[[#This Row],[DEPARTAMENTO_INSS]]="MANAGUA","_01_","_02_")</f>
        <v>_02_</v>
      </c>
      <c r="K708" s="2" t="str">
        <f>+CONCATENATE(BD[[#This Row],[Columna3]],BD[[#This Row],[Columna4]],BD[[#This Row],[NOMBRE COMPLETO]])</f>
        <v>E003_02_SANDRA MARIA CALERO GUTIERREZ</v>
      </c>
      <c r="L708" s="2" t="s">
        <v>1843</v>
      </c>
      <c r="M708" s="2" t="s">
        <v>724</v>
      </c>
      <c r="N708" s="2" t="s">
        <v>80</v>
      </c>
      <c r="O708" s="2" t="s">
        <v>171</v>
      </c>
      <c r="P708" s="2" t="s">
        <v>626</v>
      </c>
      <c r="Q708" s="2" t="s">
        <v>351</v>
      </c>
      <c r="R708" s="2">
        <v>31029</v>
      </c>
      <c r="S708" s="2">
        <v>31029</v>
      </c>
      <c r="T708" s="2" t="s">
        <v>732</v>
      </c>
      <c r="U708" s="2" t="s">
        <v>732</v>
      </c>
      <c r="V708" s="2" t="s">
        <v>5033</v>
      </c>
      <c r="W708" s="2" t="s">
        <v>5033</v>
      </c>
      <c r="X708" s="2" t="s">
        <v>5034</v>
      </c>
      <c r="Y708" s="2" t="s">
        <v>5035</v>
      </c>
      <c r="Z708" s="2">
        <v>89522149</v>
      </c>
      <c r="AA708" s="2" t="s">
        <v>5036</v>
      </c>
      <c r="AB708" s="2" t="s">
        <v>642</v>
      </c>
      <c r="AC708" s="2" t="s">
        <v>632</v>
      </c>
      <c r="AD708" s="2">
        <v>89522149</v>
      </c>
      <c r="AE708" s="2">
        <v>78056193</v>
      </c>
      <c r="AF708" s="2">
        <v>75112693</v>
      </c>
      <c r="AJ708" s="2">
        <v>89522149</v>
      </c>
      <c r="AK708" s="2">
        <v>3</v>
      </c>
      <c r="AL708" s="2" t="s">
        <v>633</v>
      </c>
      <c r="AM708" s="2">
        <v>0</v>
      </c>
      <c r="AN708" s="2">
        <v>0</v>
      </c>
      <c r="AO708" s="2">
        <v>1</v>
      </c>
      <c r="AP708" s="2">
        <v>0</v>
      </c>
      <c r="AQ708" s="2">
        <v>0</v>
      </c>
      <c r="AR708" s="2">
        <v>0</v>
      </c>
      <c r="AS708" s="2">
        <v>0</v>
      </c>
      <c r="AT708" s="2">
        <v>0</v>
      </c>
      <c r="BB708" s="2" t="str">
        <f>+PROPER(BD[[#This Row],[PRIMER_APELLIDO]])</f>
        <v>Calero</v>
      </c>
    </row>
    <row r="709" spans="1:54" x14ac:dyDescent="0.25">
      <c r="A709" s="2">
        <v>708</v>
      </c>
      <c r="B709" s="2">
        <v>62233</v>
      </c>
      <c r="C709" s="2" t="s">
        <v>619</v>
      </c>
      <c r="D709" s="2" t="s">
        <v>620</v>
      </c>
      <c r="E709" s="2" t="s">
        <v>5037</v>
      </c>
      <c r="G709" s="3">
        <v>37.717808219178082</v>
      </c>
      <c r="H709" s="2" t="s">
        <v>622</v>
      </c>
      <c r="I709" s="2" t="s">
        <v>5038</v>
      </c>
      <c r="J709" s="2" t="str">
        <f>+IF(BD[[#This Row],[DEPARTAMENTO_INSS]]="MANAGUA","_01_","_02_")</f>
        <v>_02_</v>
      </c>
      <c r="K709" s="2" t="str">
        <f>+CONCATENATE(BD[[#This Row],[Columna3]],BD[[#This Row],[Columna4]],BD[[#This Row],[NOMBRE COMPLETO]])</f>
        <v>E003_02_ANA MARIA SOMARRIBA GAITAN</v>
      </c>
      <c r="L709" s="2" t="s">
        <v>860</v>
      </c>
      <c r="M709" s="2" t="s">
        <v>724</v>
      </c>
      <c r="N709" s="2" t="s">
        <v>50</v>
      </c>
      <c r="O709" s="2" t="s">
        <v>54</v>
      </c>
      <c r="P709" s="2" t="s">
        <v>626</v>
      </c>
      <c r="Q709" s="2" t="s">
        <v>351</v>
      </c>
      <c r="R709" s="2">
        <v>31029</v>
      </c>
      <c r="S709" s="2">
        <v>31029</v>
      </c>
      <c r="T709" s="2" t="s">
        <v>732</v>
      </c>
      <c r="U709" s="2" t="s">
        <v>732</v>
      </c>
      <c r="V709" s="2" t="s">
        <v>962</v>
      </c>
      <c r="W709" s="2" t="s">
        <v>848</v>
      </c>
      <c r="X709" s="2" t="s">
        <v>5039</v>
      </c>
      <c r="Y709" s="2" t="s">
        <v>5040</v>
      </c>
      <c r="Z709" s="2">
        <v>75593791</v>
      </c>
      <c r="AA709" s="2" t="s">
        <v>5041</v>
      </c>
      <c r="AB709" s="2" t="s">
        <v>773</v>
      </c>
      <c r="AC709" s="2" t="s">
        <v>632</v>
      </c>
      <c r="AD709" s="2">
        <v>75593791</v>
      </c>
      <c r="AE709" s="2">
        <v>82820476</v>
      </c>
      <c r="AJ709" s="2">
        <v>75593791</v>
      </c>
      <c r="AK709" s="2">
        <v>3</v>
      </c>
      <c r="AL709" s="2" t="s">
        <v>633</v>
      </c>
      <c r="AM709" s="2">
        <v>0</v>
      </c>
      <c r="AN709" s="2">
        <v>0</v>
      </c>
      <c r="AO709" s="2">
        <v>1</v>
      </c>
      <c r="AP709" s="2">
        <v>0</v>
      </c>
      <c r="AQ709" s="2">
        <v>0</v>
      </c>
      <c r="AR709" s="2">
        <v>0</v>
      </c>
      <c r="AS709" s="2">
        <v>0</v>
      </c>
      <c r="AT709" s="2">
        <v>0</v>
      </c>
      <c r="AZ709" s="2" t="s">
        <v>5042</v>
      </c>
      <c r="BB709" s="2" t="str">
        <f>+PROPER(BD[[#This Row],[PRIMER_APELLIDO]])</f>
        <v>Somarriba</v>
      </c>
    </row>
    <row r="710" spans="1:54" x14ac:dyDescent="0.25">
      <c r="A710" s="2">
        <v>709</v>
      </c>
      <c r="B710" s="2">
        <v>32438</v>
      </c>
      <c r="C710" s="2" t="s">
        <v>619</v>
      </c>
      <c r="D710" s="2" t="s">
        <v>620</v>
      </c>
      <c r="E710" s="2" t="s">
        <v>5043</v>
      </c>
      <c r="F710" s="2">
        <v>21719280</v>
      </c>
      <c r="G710" s="3">
        <v>37.728767123287675</v>
      </c>
      <c r="H710" s="2" t="s">
        <v>622</v>
      </c>
      <c r="I710" s="2" t="s">
        <v>5044</v>
      </c>
      <c r="J710" s="2" t="str">
        <f>+IF(BD[[#This Row],[DEPARTAMENTO_INSS]]="MANAGUA","_01_","_02_")</f>
        <v>_02_</v>
      </c>
      <c r="K710" s="2" t="str">
        <f>+CONCATENATE(BD[[#This Row],[Columna3]],BD[[#This Row],[Columna4]],BD[[#This Row],[NOMBRE COMPLETO]])</f>
        <v>E003_02_GLORIA MARIA ACOSTA GARCIA</v>
      </c>
      <c r="L710" s="2" t="s">
        <v>2131</v>
      </c>
      <c r="M710" s="2" t="s">
        <v>724</v>
      </c>
      <c r="N710" s="2" t="s">
        <v>42</v>
      </c>
      <c r="O710" s="2" t="s">
        <v>10</v>
      </c>
      <c r="P710" s="2" t="s">
        <v>626</v>
      </c>
      <c r="Q710" s="2" t="s">
        <v>351</v>
      </c>
      <c r="R710" s="2">
        <v>31025</v>
      </c>
      <c r="S710" s="2">
        <v>31025</v>
      </c>
      <c r="T710" s="2" t="s">
        <v>176</v>
      </c>
      <c r="U710" s="2" t="s">
        <v>176</v>
      </c>
      <c r="V710" s="2" t="s">
        <v>650</v>
      </c>
      <c r="W710" s="2" t="s">
        <v>176</v>
      </c>
      <c r="X710" s="2" t="s">
        <v>5045</v>
      </c>
      <c r="Y710" s="2" t="s">
        <v>5046</v>
      </c>
      <c r="AA710" s="2" t="s">
        <v>5047</v>
      </c>
      <c r="AB710" s="2" t="s">
        <v>642</v>
      </c>
      <c r="AC710" s="2" t="s">
        <v>632</v>
      </c>
      <c r="AD710" s="2">
        <v>84900298</v>
      </c>
      <c r="AE710" s="2">
        <v>85389791</v>
      </c>
      <c r="AJ710" s="2">
        <v>84900298</v>
      </c>
      <c r="AK710" s="2">
        <v>5</v>
      </c>
      <c r="AL710" s="2" t="s">
        <v>633</v>
      </c>
      <c r="AM710" s="2">
        <v>0</v>
      </c>
      <c r="AN710" s="2">
        <v>0</v>
      </c>
      <c r="AO710" s="2">
        <v>1</v>
      </c>
      <c r="AP710" s="2">
        <v>0</v>
      </c>
      <c r="AQ710" s="2">
        <v>0</v>
      </c>
      <c r="AR710" s="2">
        <v>0</v>
      </c>
      <c r="AS710" s="2">
        <v>0</v>
      </c>
      <c r="AT710" s="2">
        <v>0</v>
      </c>
      <c r="BA710" s="2" t="s">
        <v>5048</v>
      </c>
      <c r="BB710" s="2" t="str">
        <f>+PROPER(BD[[#This Row],[PRIMER_APELLIDO]])</f>
        <v>Acosta</v>
      </c>
    </row>
    <row r="711" spans="1:54" x14ac:dyDescent="0.25">
      <c r="A711" s="2">
        <v>710</v>
      </c>
      <c r="B711" s="2">
        <v>33075</v>
      </c>
      <c r="C711" s="2" t="s">
        <v>619</v>
      </c>
      <c r="D711" s="2" t="s">
        <v>620</v>
      </c>
      <c r="E711" s="2" t="s">
        <v>5049</v>
      </c>
      <c r="F711" s="2">
        <v>22190008</v>
      </c>
      <c r="G711" s="3">
        <v>37.731506849315068</v>
      </c>
      <c r="H711" s="2" t="s">
        <v>622</v>
      </c>
      <c r="I711" s="2" t="s">
        <v>5050</v>
      </c>
      <c r="J711" s="2" t="str">
        <f>+IF(BD[[#This Row],[DEPARTAMENTO_INSS]]="MANAGUA","_01_","_02_")</f>
        <v>_02_</v>
      </c>
      <c r="K711" s="2" t="str">
        <f>+CONCATENATE(BD[[#This Row],[Columna3]],BD[[#This Row],[Columna4]],BD[[#This Row],[NOMBRE COMPLETO]])</f>
        <v>E003_02_MILTON GONZALO VALLEJOS ROJAS</v>
      </c>
      <c r="L711" s="2" t="s">
        <v>1204</v>
      </c>
      <c r="M711" s="2" t="s">
        <v>5051</v>
      </c>
      <c r="N711" s="2" t="s">
        <v>102</v>
      </c>
      <c r="O711" s="2" t="s">
        <v>105</v>
      </c>
      <c r="P711" s="2" t="s">
        <v>649</v>
      </c>
      <c r="Q711" s="2" t="s">
        <v>351</v>
      </c>
      <c r="R711" s="2">
        <v>31024</v>
      </c>
      <c r="S711" s="2">
        <v>31024</v>
      </c>
      <c r="T711" s="2" t="s">
        <v>176</v>
      </c>
      <c r="U711" s="2" t="s">
        <v>659</v>
      </c>
      <c r="V711" s="2" t="s">
        <v>2967</v>
      </c>
      <c r="W711" s="2" t="s">
        <v>659</v>
      </c>
      <c r="X711" s="2" t="s">
        <v>5052</v>
      </c>
      <c r="Y711" s="2" t="s">
        <v>5053</v>
      </c>
      <c r="Z711" s="2">
        <v>82088434</v>
      </c>
      <c r="AA711" s="2">
        <v>82088434</v>
      </c>
      <c r="AB711" s="2" t="s">
        <v>654</v>
      </c>
      <c r="AC711" s="2" t="s">
        <v>632</v>
      </c>
      <c r="AD711" s="2">
        <v>82088434</v>
      </c>
      <c r="AJ711" s="2">
        <v>82088434</v>
      </c>
      <c r="AK711" s="2">
        <v>2</v>
      </c>
      <c r="AL711" s="2" t="s">
        <v>633</v>
      </c>
      <c r="AM711" s="2">
        <v>0</v>
      </c>
      <c r="AN711" s="2">
        <v>0</v>
      </c>
      <c r="AO711" s="2">
        <v>1</v>
      </c>
      <c r="AP711" s="2">
        <v>0</v>
      </c>
      <c r="AQ711" s="2">
        <v>0</v>
      </c>
      <c r="AR711" s="2">
        <v>0</v>
      </c>
      <c r="AS711" s="2">
        <v>0</v>
      </c>
      <c r="AT711" s="2">
        <v>0</v>
      </c>
      <c r="AZ711" s="2" t="s">
        <v>5054</v>
      </c>
      <c r="BB711" s="2" t="str">
        <f>+PROPER(BD[[#This Row],[PRIMER_APELLIDO]])</f>
        <v>Vallejos</v>
      </c>
    </row>
    <row r="712" spans="1:54" x14ac:dyDescent="0.25">
      <c r="A712" s="2">
        <v>711</v>
      </c>
      <c r="B712" s="2">
        <v>47625</v>
      </c>
      <c r="C712" s="2" t="s">
        <v>619</v>
      </c>
      <c r="D712" s="2" t="s">
        <v>620</v>
      </c>
      <c r="E712" s="2" t="s">
        <v>5055</v>
      </c>
      <c r="F712" s="2">
        <v>25021792</v>
      </c>
      <c r="G712" s="3">
        <v>37.734246575342468</v>
      </c>
      <c r="H712" s="2" t="s">
        <v>622</v>
      </c>
      <c r="I712" s="2" t="s">
        <v>5056</v>
      </c>
      <c r="J712" s="2" t="str">
        <f>+IF(BD[[#This Row],[DEPARTAMENTO_INSS]]="MANAGUA","_01_","_02_")</f>
        <v>_02_</v>
      </c>
      <c r="K712" s="2" t="str">
        <f>+CONCATENATE(BD[[#This Row],[Columna3]],BD[[#This Row],[Columna4]],BD[[#This Row],[NOMBRE COMPLETO]])</f>
        <v>E003_02_DELVIN JOSE MATAMOROS VELASQUEZ</v>
      </c>
      <c r="L712" s="2" t="s">
        <v>3449</v>
      </c>
      <c r="M712" s="2" t="s">
        <v>243</v>
      </c>
      <c r="N712" s="2" t="s">
        <v>382</v>
      </c>
      <c r="O712" s="2" t="s">
        <v>48</v>
      </c>
      <c r="P712" s="2" t="s">
        <v>649</v>
      </c>
      <c r="Q712" s="2" t="s">
        <v>351</v>
      </c>
      <c r="R712" s="2">
        <v>31023</v>
      </c>
      <c r="S712" s="2">
        <v>31023</v>
      </c>
      <c r="T712" s="2" t="s">
        <v>1191</v>
      </c>
      <c r="U712" s="2" t="s">
        <v>1191</v>
      </c>
      <c r="V712" s="2" t="s">
        <v>1300</v>
      </c>
      <c r="W712" s="2" t="s">
        <v>1300</v>
      </c>
      <c r="X712" s="2" t="s">
        <v>5057</v>
      </c>
      <c r="Y712" s="2" t="s">
        <v>5058</v>
      </c>
      <c r="Z712" s="2">
        <v>87123871</v>
      </c>
      <c r="AA712" s="2">
        <v>87123871</v>
      </c>
      <c r="AB712" s="2" t="s">
        <v>798</v>
      </c>
      <c r="AC712" s="2" t="s">
        <v>632</v>
      </c>
      <c r="AD712" s="2">
        <v>87123871</v>
      </c>
      <c r="AJ712" s="2">
        <v>87123871</v>
      </c>
      <c r="AK712" s="2">
        <v>2</v>
      </c>
      <c r="AL712" s="2" t="s">
        <v>633</v>
      </c>
      <c r="AM712" s="2">
        <v>0</v>
      </c>
      <c r="AN712" s="2">
        <v>0</v>
      </c>
      <c r="AO712" s="2">
        <v>1</v>
      </c>
      <c r="AP712" s="2">
        <v>0</v>
      </c>
      <c r="AQ712" s="2">
        <v>0</v>
      </c>
      <c r="AR712" s="2">
        <v>0</v>
      </c>
      <c r="AS712" s="2">
        <v>0</v>
      </c>
      <c r="AT712" s="2">
        <v>0</v>
      </c>
      <c r="AZ712" s="2" t="s">
        <v>5059</v>
      </c>
      <c r="BB712" s="2" t="str">
        <f>+PROPER(BD[[#This Row],[PRIMER_APELLIDO]])</f>
        <v>Matamoros</v>
      </c>
    </row>
    <row r="713" spans="1:54" x14ac:dyDescent="0.25">
      <c r="A713" s="2">
        <v>712</v>
      </c>
      <c r="B713" s="2">
        <v>49008</v>
      </c>
      <c r="C713" s="2" t="s">
        <v>619</v>
      </c>
      <c r="D713" s="2" t="s">
        <v>620</v>
      </c>
      <c r="E713" s="2" t="s">
        <v>5060</v>
      </c>
      <c r="F713" s="2">
        <v>26965961</v>
      </c>
      <c r="G713" s="3">
        <v>37.734246575342468</v>
      </c>
      <c r="H713" s="2" t="s">
        <v>622</v>
      </c>
      <c r="I713" s="2" t="s">
        <v>5061</v>
      </c>
      <c r="J713" s="2" t="str">
        <f>+IF(BD[[#This Row],[DEPARTAMENTO_INSS]]="MANAGUA","_01_","_02_")</f>
        <v>_01_</v>
      </c>
      <c r="K713" s="2" t="str">
        <f>+CONCATENATE(BD[[#This Row],[Columna3]],BD[[#This Row],[Columna4]],BD[[#This Row],[NOMBRE COMPLETO]])</f>
        <v>E003_01_ERICKA PATRICIA GRIJALVA JIMENEZ</v>
      </c>
      <c r="L713" s="2" t="s">
        <v>4496</v>
      </c>
      <c r="M713" s="2" t="s">
        <v>747</v>
      </c>
      <c r="N713" s="2" t="s">
        <v>346</v>
      </c>
      <c r="O713" s="2" t="s">
        <v>467</v>
      </c>
      <c r="P713" s="2" t="s">
        <v>626</v>
      </c>
      <c r="Q713" s="2" t="s">
        <v>351</v>
      </c>
      <c r="R713" s="2">
        <v>31023</v>
      </c>
      <c r="S713" s="2">
        <v>31023</v>
      </c>
      <c r="T713" s="2" t="s">
        <v>627</v>
      </c>
      <c r="U713" s="2" t="s">
        <v>627</v>
      </c>
      <c r="V713" s="2" t="s">
        <v>627</v>
      </c>
      <c r="W713" s="2" t="s">
        <v>627</v>
      </c>
      <c r="X713" s="2" t="s">
        <v>5062</v>
      </c>
      <c r="Y713" s="2" t="s">
        <v>5063</v>
      </c>
      <c r="Z713" s="2">
        <v>86013096</v>
      </c>
      <c r="AA713" s="2">
        <v>57675319</v>
      </c>
      <c r="AB713" s="2" t="s">
        <v>631</v>
      </c>
      <c r="AC713" s="2" t="s">
        <v>632</v>
      </c>
      <c r="AD713" s="2">
        <v>86013096</v>
      </c>
      <c r="AF713" s="2">
        <v>57675319</v>
      </c>
      <c r="AJ713" s="2">
        <v>86013096</v>
      </c>
      <c r="AK713" s="2">
        <v>2</v>
      </c>
      <c r="AL713" s="2" t="s">
        <v>633</v>
      </c>
      <c r="AM713" s="2">
        <v>0</v>
      </c>
      <c r="AN713" s="2">
        <v>0</v>
      </c>
      <c r="AO713" s="2">
        <v>1</v>
      </c>
      <c r="AP713" s="2">
        <v>0</v>
      </c>
      <c r="AQ713" s="2">
        <v>0</v>
      </c>
      <c r="AR713" s="2">
        <v>0</v>
      </c>
      <c r="AS713" s="2">
        <v>0</v>
      </c>
      <c r="AT713" s="2">
        <v>0</v>
      </c>
      <c r="AZ713" s="2" t="s">
        <v>5064</v>
      </c>
      <c r="BB713" s="2" t="str">
        <f>+PROPER(BD[[#This Row],[PRIMER_APELLIDO]])</f>
        <v>Grijalva</v>
      </c>
    </row>
    <row r="714" spans="1:54" x14ac:dyDescent="0.25">
      <c r="A714" s="2">
        <v>713</v>
      </c>
      <c r="B714" s="2">
        <v>32045</v>
      </c>
      <c r="C714" s="2" t="s">
        <v>619</v>
      </c>
      <c r="D714" s="2" t="s">
        <v>620</v>
      </c>
      <c r="E714" s="2" t="s">
        <v>5065</v>
      </c>
      <c r="F714" s="2">
        <v>22134004</v>
      </c>
      <c r="G714" s="3">
        <v>37.742465753424661</v>
      </c>
      <c r="H714" s="2" t="s">
        <v>622</v>
      </c>
      <c r="I714" s="2" t="s">
        <v>5066</v>
      </c>
      <c r="J714" s="2" t="str">
        <f>+IF(BD[[#This Row],[DEPARTAMENTO_INSS]]="MANAGUA","_01_","_02_")</f>
        <v>_02_</v>
      </c>
      <c r="K714" s="2" t="str">
        <f>+CONCATENATE(BD[[#This Row],[Columna3]],BD[[#This Row],[Columna4]],BD[[#This Row],[NOMBRE COMPLETO]])</f>
        <v>E003_02_YAJAIRA DE LOS ANGELES PEREZ MOLINA</v>
      </c>
      <c r="L714" s="2" t="s">
        <v>770</v>
      </c>
      <c r="M714" s="2" t="s">
        <v>683</v>
      </c>
      <c r="N714" s="2" t="s">
        <v>24</v>
      </c>
      <c r="O714" s="2" t="s">
        <v>63</v>
      </c>
      <c r="P714" s="2" t="s">
        <v>626</v>
      </c>
      <c r="Q714" s="2" t="s">
        <v>351</v>
      </c>
      <c r="R714" s="2">
        <v>31020</v>
      </c>
      <c r="S714" s="2">
        <v>31020</v>
      </c>
      <c r="T714" s="2" t="s">
        <v>691</v>
      </c>
      <c r="U714" s="2" t="s">
        <v>691</v>
      </c>
      <c r="V714" s="2" t="s">
        <v>716</v>
      </c>
      <c r="W714" s="2" t="s">
        <v>691</v>
      </c>
      <c r="X714" s="2" t="s">
        <v>5067</v>
      </c>
      <c r="Y714" s="2" t="s">
        <v>5068</v>
      </c>
      <c r="Z714" s="2">
        <v>58537250</v>
      </c>
      <c r="AA714" s="2">
        <v>53587250</v>
      </c>
      <c r="AB714" s="2" t="s">
        <v>654</v>
      </c>
      <c r="AC714" s="2" t="s">
        <v>632</v>
      </c>
      <c r="AD714" s="2">
        <v>58537250</v>
      </c>
      <c r="AF714" s="2">
        <v>53587250</v>
      </c>
      <c r="AJ714" s="2">
        <v>58537250</v>
      </c>
      <c r="AK714" s="2">
        <v>2</v>
      </c>
      <c r="AL714" s="2" t="s">
        <v>633</v>
      </c>
      <c r="AM714" s="2">
        <v>0</v>
      </c>
      <c r="AN714" s="2">
        <v>0</v>
      </c>
      <c r="AO714" s="2">
        <v>1</v>
      </c>
      <c r="AP714" s="2">
        <v>0</v>
      </c>
      <c r="AQ714" s="2">
        <v>0</v>
      </c>
      <c r="AR714" s="2">
        <v>0</v>
      </c>
      <c r="AS714" s="2">
        <v>0</v>
      </c>
      <c r="AT714" s="2">
        <v>0</v>
      </c>
      <c r="AZ714" s="2" t="s">
        <v>5069</v>
      </c>
      <c r="BB714" s="2" t="str">
        <f>+PROPER(BD[[#This Row],[PRIMER_APELLIDO]])</f>
        <v>Perez</v>
      </c>
    </row>
    <row r="715" spans="1:54" x14ac:dyDescent="0.25">
      <c r="A715" s="2">
        <v>714</v>
      </c>
      <c r="B715" s="2">
        <v>72985</v>
      </c>
      <c r="C715" s="2" t="s">
        <v>619</v>
      </c>
      <c r="D715" s="2" t="s">
        <v>620</v>
      </c>
      <c r="E715" s="2" t="s">
        <v>5070</v>
      </c>
      <c r="G715" s="3">
        <v>37.747945205479454</v>
      </c>
      <c r="H715" s="2" t="s">
        <v>622</v>
      </c>
      <c r="I715" s="2" t="s">
        <v>5071</v>
      </c>
      <c r="J715" s="2" t="str">
        <f>+IF(BD[[#This Row],[DEPARTAMENTO_INSS]]="MANAGUA","_01_","_02_")</f>
        <v>_01_</v>
      </c>
      <c r="K715" s="2" t="str">
        <f>+CONCATENATE(BD[[#This Row],[Columna3]],BD[[#This Row],[Columna4]],BD[[#This Row],[NOMBRE COMPLETO]])</f>
        <v>E003_01_CARLOS ADÁN MEJIA VALDIVIA</v>
      </c>
      <c r="L715" s="2" t="s">
        <v>826</v>
      </c>
      <c r="M715" s="2" t="s">
        <v>5072</v>
      </c>
      <c r="N715" s="2" t="s">
        <v>130</v>
      </c>
      <c r="O715" s="2" t="s">
        <v>93</v>
      </c>
      <c r="P715" s="2" t="s">
        <v>649</v>
      </c>
      <c r="Q715" s="2" t="s">
        <v>351</v>
      </c>
      <c r="R715" s="2">
        <v>31018</v>
      </c>
      <c r="S715" s="2">
        <v>31018</v>
      </c>
      <c r="T715" s="2" t="s">
        <v>627</v>
      </c>
      <c r="U715" s="2" t="s">
        <v>627</v>
      </c>
      <c r="V715" s="2" t="s">
        <v>627</v>
      </c>
      <c r="W715" s="2" t="s">
        <v>627</v>
      </c>
      <c r="X715" s="2" t="s">
        <v>5073</v>
      </c>
      <c r="Y715" s="2" t="s">
        <v>5074</v>
      </c>
      <c r="Z715" s="2">
        <v>87433264</v>
      </c>
      <c r="AA715" s="2" t="s">
        <v>5075</v>
      </c>
      <c r="AB715" s="2" t="s">
        <v>894</v>
      </c>
      <c r="AC715" s="2" t="s">
        <v>632</v>
      </c>
      <c r="AD715" s="2">
        <v>87433264</v>
      </c>
      <c r="AJ715" s="2">
        <v>87433264</v>
      </c>
      <c r="AK715" s="2">
        <v>3</v>
      </c>
      <c r="AL715" s="2" t="s">
        <v>633</v>
      </c>
      <c r="AM715" s="2">
        <v>0</v>
      </c>
      <c r="AN715" s="2">
        <v>0</v>
      </c>
      <c r="AO715" s="2">
        <v>1</v>
      </c>
      <c r="AP715" s="2">
        <v>0</v>
      </c>
      <c r="AQ715" s="2">
        <v>0</v>
      </c>
      <c r="AR715" s="2">
        <v>0</v>
      </c>
      <c r="AS715" s="2">
        <v>0</v>
      </c>
      <c r="AT715" s="2">
        <v>0</v>
      </c>
      <c r="AZ715" s="2" t="s">
        <v>5076</v>
      </c>
      <c r="BA715" s="2" t="s">
        <v>5077</v>
      </c>
      <c r="BB715" s="2" t="str">
        <f>+PROPER(BD[[#This Row],[PRIMER_APELLIDO]])</f>
        <v>Mejia</v>
      </c>
    </row>
    <row r="716" spans="1:54" x14ac:dyDescent="0.25">
      <c r="A716" s="2">
        <v>715</v>
      </c>
      <c r="B716" s="2">
        <v>36168</v>
      </c>
      <c r="C716" s="2" t="s">
        <v>619</v>
      </c>
      <c r="D716" s="2" t="s">
        <v>620</v>
      </c>
      <c r="E716" s="2" t="s">
        <v>5078</v>
      </c>
      <c r="F716" s="2">
        <v>22126205</v>
      </c>
      <c r="G716" s="3">
        <v>37.750684931506846</v>
      </c>
      <c r="H716" s="2" t="s">
        <v>622</v>
      </c>
      <c r="I716" s="2" t="s">
        <v>5079</v>
      </c>
      <c r="J716" s="2" t="str">
        <f>+IF(BD[[#This Row],[DEPARTAMENTO_INSS]]="MANAGUA","_01_","_02_")</f>
        <v>_02_</v>
      </c>
      <c r="K716" s="2" t="str">
        <f>+CONCATENATE(BD[[#This Row],[Columna3]],BD[[#This Row],[Columna4]],BD[[#This Row],[NOMBRE COMPLETO]])</f>
        <v>E003_02_CLAUDIA CAROLINA RUIZ MUÑOZ</v>
      </c>
      <c r="L716" s="2" t="s">
        <v>1850</v>
      </c>
      <c r="M716" s="2" t="s">
        <v>714</v>
      </c>
      <c r="N716" s="2" t="s">
        <v>84</v>
      </c>
      <c r="O716" s="2" t="s">
        <v>356</v>
      </c>
      <c r="P716" s="2" t="s">
        <v>626</v>
      </c>
      <c r="Q716" s="2" t="s">
        <v>351</v>
      </c>
      <c r="R716" s="2">
        <v>31017</v>
      </c>
      <c r="S716" s="2">
        <v>31017</v>
      </c>
      <c r="T716" s="2" t="s">
        <v>732</v>
      </c>
      <c r="U716" s="2" t="s">
        <v>732</v>
      </c>
      <c r="V716" s="2" t="s">
        <v>2793</v>
      </c>
      <c r="W716" s="2" t="s">
        <v>2793</v>
      </c>
      <c r="X716" s="2" t="s">
        <v>5080</v>
      </c>
      <c r="Y716" s="2" t="s">
        <v>5081</v>
      </c>
      <c r="AA716" s="2" t="s">
        <v>5082</v>
      </c>
      <c r="AB716" s="2" t="s">
        <v>654</v>
      </c>
      <c r="AC716" s="2" t="s">
        <v>632</v>
      </c>
      <c r="AD716" s="2">
        <v>78258491</v>
      </c>
      <c r="AE716" s="2">
        <v>85622538</v>
      </c>
      <c r="AJ716" s="2">
        <v>78258491</v>
      </c>
      <c r="AK716" s="2">
        <v>2</v>
      </c>
      <c r="AL716" s="2" t="s">
        <v>633</v>
      </c>
      <c r="AM716" s="2">
        <v>0</v>
      </c>
      <c r="AN716" s="2">
        <v>0</v>
      </c>
      <c r="AO716" s="2">
        <v>1</v>
      </c>
      <c r="AP716" s="2">
        <v>0</v>
      </c>
      <c r="AQ716" s="2">
        <v>0</v>
      </c>
      <c r="AR716" s="2">
        <v>0</v>
      </c>
      <c r="AS716" s="2">
        <v>0</v>
      </c>
      <c r="AT716" s="2">
        <v>0</v>
      </c>
      <c r="BA716" s="2" t="s">
        <v>5083</v>
      </c>
      <c r="BB716" s="2" t="str">
        <f>+PROPER(BD[[#This Row],[PRIMER_APELLIDO]])</f>
        <v>Ruiz</v>
      </c>
    </row>
    <row r="717" spans="1:54" x14ac:dyDescent="0.25">
      <c r="A717" s="2">
        <v>716</v>
      </c>
      <c r="B717" s="2">
        <v>39201</v>
      </c>
      <c r="C717" s="2" t="s">
        <v>619</v>
      </c>
      <c r="D717" s="2" t="s">
        <v>620</v>
      </c>
      <c r="E717" s="2" t="s">
        <v>5084</v>
      </c>
      <c r="F717" s="2">
        <v>23109188</v>
      </c>
      <c r="G717" s="3">
        <v>37.753424657534246</v>
      </c>
      <c r="H717" s="2" t="s">
        <v>622</v>
      </c>
      <c r="I717" s="2" t="s">
        <v>5085</v>
      </c>
      <c r="J717" s="2" t="str">
        <f>+IF(BD[[#This Row],[DEPARTAMENTO_INSS]]="MANAGUA","_01_","_02_")</f>
        <v>_02_</v>
      </c>
      <c r="K717" s="2" t="str">
        <f>+CONCATENATE(BD[[#This Row],[Columna3]],BD[[#This Row],[Columna4]],BD[[#This Row],[NOMBRE COMPLETO]])</f>
        <v>E003_02_MYNOR ALEXANDER RODRIGUEZ DELGADO</v>
      </c>
      <c r="L717" s="2" t="s">
        <v>5086</v>
      </c>
      <c r="M717" s="2" t="s">
        <v>2176</v>
      </c>
      <c r="N717" s="2" t="s">
        <v>185</v>
      </c>
      <c r="O717" s="2" t="s">
        <v>363</v>
      </c>
      <c r="P717" s="2" t="s">
        <v>649</v>
      </c>
      <c r="Q717" s="2" t="s">
        <v>351</v>
      </c>
      <c r="R717" s="2">
        <v>31016</v>
      </c>
      <c r="S717" s="2">
        <v>31016</v>
      </c>
      <c r="T717" s="2" t="s">
        <v>1044</v>
      </c>
      <c r="U717" s="2" t="s">
        <v>133</v>
      </c>
      <c r="V717" s="2" t="s">
        <v>1045</v>
      </c>
      <c r="W717" s="2" t="s">
        <v>869</v>
      </c>
      <c r="X717" s="2" t="s">
        <v>5087</v>
      </c>
      <c r="Y717" s="2" t="s">
        <v>5088</v>
      </c>
      <c r="AA717" s="2">
        <v>83300091</v>
      </c>
      <c r="AB717" s="2" t="s">
        <v>654</v>
      </c>
      <c r="AC717" s="2" t="s">
        <v>632</v>
      </c>
      <c r="AD717" s="2">
        <v>83300091</v>
      </c>
      <c r="AJ717" s="2">
        <v>83300091</v>
      </c>
      <c r="AK717" s="2">
        <v>1</v>
      </c>
      <c r="AL717" s="2" t="s">
        <v>633</v>
      </c>
      <c r="AM717" s="2">
        <v>0</v>
      </c>
      <c r="AN717" s="2">
        <v>0</v>
      </c>
      <c r="AO717" s="2">
        <v>1</v>
      </c>
      <c r="AP717" s="2">
        <v>0</v>
      </c>
      <c r="AQ717" s="2">
        <v>0</v>
      </c>
      <c r="AR717" s="2">
        <v>0</v>
      </c>
      <c r="AS717" s="2">
        <v>0</v>
      </c>
      <c r="AT717" s="2">
        <v>0</v>
      </c>
      <c r="BB717" s="2" t="str">
        <f>+PROPER(BD[[#This Row],[PRIMER_APELLIDO]])</f>
        <v>Rodriguez</v>
      </c>
    </row>
    <row r="718" spans="1:54" x14ac:dyDescent="0.25">
      <c r="A718" s="2">
        <v>717</v>
      </c>
      <c r="B718" s="2">
        <v>51673</v>
      </c>
      <c r="C718" s="2" t="s">
        <v>619</v>
      </c>
      <c r="D718" s="2" t="s">
        <v>620</v>
      </c>
      <c r="E718" s="2" t="s">
        <v>5089</v>
      </c>
      <c r="F718" s="2">
        <v>26582582</v>
      </c>
      <c r="G718" s="3">
        <v>37.753424657534246</v>
      </c>
      <c r="H718" s="2" t="s">
        <v>622</v>
      </c>
      <c r="I718" s="2" t="s">
        <v>5090</v>
      </c>
      <c r="J718" s="2" t="str">
        <f>+IF(BD[[#This Row],[DEPARTAMENTO_INSS]]="MANAGUA","_01_","_02_")</f>
        <v>_02_</v>
      </c>
      <c r="K718" s="2" t="str">
        <f>+CONCATENATE(BD[[#This Row],[Columna3]],BD[[#This Row],[Columna4]],BD[[#This Row],[NOMBRE COMPLETO]])</f>
        <v>E003_02_FELIX RUBEN ALFARO OROZCO</v>
      </c>
      <c r="L718" s="2" t="s">
        <v>5091</v>
      </c>
      <c r="M718" s="2" t="s">
        <v>5092</v>
      </c>
      <c r="N718" s="2" t="s">
        <v>196</v>
      </c>
      <c r="O718" s="2" t="s">
        <v>254</v>
      </c>
      <c r="P718" s="2" t="s">
        <v>649</v>
      </c>
      <c r="Q718" s="2" t="s">
        <v>351</v>
      </c>
      <c r="R718" s="2">
        <v>31016</v>
      </c>
      <c r="S718" s="2">
        <v>31016</v>
      </c>
      <c r="T718" s="2" t="s">
        <v>627</v>
      </c>
      <c r="U718" s="2" t="s">
        <v>1191</v>
      </c>
      <c r="V718" s="2" t="s">
        <v>627</v>
      </c>
      <c r="W718" s="2" t="s">
        <v>1300</v>
      </c>
      <c r="X718" s="2" t="s">
        <v>5093</v>
      </c>
      <c r="Y718" s="2" t="s">
        <v>5094</v>
      </c>
      <c r="Z718" s="2" t="s">
        <v>5095</v>
      </c>
      <c r="AB718" s="2" t="s">
        <v>798</v>
      </c>
      <c r="AC718" s="2" t="s">
        <v>632</v>
      </c>
      <c r="AD718" s="2">
        <v>58489841</v>
      </c>
      <c r="AE718" s="2">
        <v>87911721</v>
      </c>
      <c r="AJ718" s="2">
        <v>58489841</v>
      </c>
      <c r="AK718" s="2">
        <v>2</v>
      </c>
      <c r="AL718" s="2" t="s">
        <v>633</v>
      </c>
      <c r="AM718" s="2">
        <v>0</v>
      </c>
      <c r="AN718" s="2">
        <v>0</v>
      </c>
      <c r="AO718" s="2">
        <v>1</v>
      </c>
      <c r="AP718" s="2">
        <v>0</v>
      </c>
      <c r="AQ718" s="2">
        <v>0</v>
      </c>
      <c r="AR718" s="2">
        <v>0</v>
      </c>
      <c r="AS718" s="2">
        <v>0</v>
      </c>
      <c r="AT718" s="2">
        <v>0</v>
      </c>
      <c r="AZ718" s="2" t="s">
        <v>5096</v>
      </c>
      <c r="BB718" s="2" t="str">
        <f>+PROPER(BD[[#This Row],[PRIMER_APELLIDO]])</f>
        <v>Alfaro</v>
      </c>
    </row>
    <row r="719" spans="1:54" x14ac:dyDescent="0.25">
      <c r="A719" s="2">
        <v>718</v>
      </c>
      <c r="B719" s="2">
        <v>32753</v>
      </c>
      <c r="C719" s="2" t="s">
        <v>619</v>
      </c>
      <c r="D719" s="2" t="s">
        <v>620</v>
      </c>
      <c r="E719" s="2" t="s">
        <v>5097</v>
      </c>
      <c r="F719" s="2">
        <v>21712852</v>
      </c>
      <c r="G719" s="3">
        <v>37.758904109589039</v>
      </c>
      <c r="H719" s="2" t="s">
        <v>622</v>
      </c>
      <c r="I719" s="2" t="s">
        <v>5098</v>
      </c>
      <c r="J719" s="2" t="str">
        <f>+IF(BD[[#This Row],[DEPARTAMENTO_INSS]]="MANAGUA","_01_","_02_")</f>
        <v>_02_</v>
      </c>
      <c r="K719" s="2" t="str">
        <f>+CONCATENATE(BD[[#This Row],[Columna3]],BD[[#This Row],[Columna4]],BD[[#This Row],[NOMBRE COMPLETO]])</f>
        <v>E003_02_MARCELA ESMERALDA PARAJON VARGAS</v>
      </c>
      <c r="L719" s="2" t="s">
        <v>1962</v>
      </c>
      <c r="M719" s="2" t="s">
        <v>1177</v>
      </c>
      <c r="N719" s="2" t="s">
        <v>359</v>
      </c>
      <c r="O719" s="2" t="s">
        <v>34</v>
      </c>
      <c r="P719" s="2" t="s">
        <v>626</v>
      </c>
      <c r="Q719" s="2" t="s">
        <v>351</v>
      </c>
      <c r="R719" s="2">
        <v>31014</v>
      </c>
      <c r="S719" s="2">
        <v>31014</v>
      </c>
      <c r="T719" s="2" t="s">
        <v>176</v>
      </c>
      <c r="U719" s="2" t="s">
        <v>176</v>
      </c>
      <c r="V719" s="2" t="s">
        <v>650</v>
      </c>
      <c r="W719" s="2" t="s">
        <v>176</v>
      </c>
      <c r="X719" s="2" t="s">
        <v>5099</v>
      </c>
      <c r="Y719" s="2" t="s">
        <v>5100</v>
      </c>
      <c r="AA719" s="2">
        <v>86237255</v>
      </c>
      <c r="AB719" s="2" t="s">
        <v>654</v>
      </c>
      <c r="AC719" s="2" t="s">
        <v>632</v>
      </c>
      <c r="AD719" s="2">
        <v>86237255</v>
      </c>
      <c r="AJ719" s="2">
        <v>86237255</v>
      </c>
      <c r="AK719" s="2">
        <v>1</v>
      </c>
      <c r="AL719" s="2" t="s">
        <v>633</v>
      </c>
      <c r="AM719" s="2">
        <v>0</v>
      </c>
      <c r="AN719" s="2">
        <v>0</v>
      </c>
      <c r="AO719" s="2">
        <v>1</v>
      </c>
      <c r="AP719" s="2">
        <v>0</v>
      </c>
      <c r="AQ719" s="2">
        <v>0</v>
      </c>
      <c r="AR719" s="2">
        <v>0</v>
      </c>
      <c r="AS719" s="2">
        <v>0</v>
      </c>
      <c r="AT719" s="2">
        <v>0</v>
      </c>
      <c r="BB719" s="2" t="str">
        <f>+PROPER(BD[[#This Row],[PRIMER_APELLIDO]])</f>
        <v>Parajon</v>
      </c>
    </row>
    <row r="720" spans="1:54" x14ac:dyDescent="0.25">
      <c r="A720" s="2">
        <v>719</v>
      </c>
      <c r="B720" s="2">
        <v>60684</v>
      </c>
      <c r="C720" s="2" t="s">
        <v>619</v>
      </c>
      <c r="D720" s="2" t="s">
        <v>620</v>
      </c>
      <c r="E720" s="2" t="s">
        <v>5101</v>
      </c>
      <c r="G720" s="3">
        <v>37.758904109589039</v>
      </c>
      <c r="H720" s="2" t="s">
        <v>622</v>
      </c>
      <c r="I720" s="2" t="s">
        <v>5102</v>
      </c>
      <c r="J720" s="2" t="str">
        <f>+IF(BD[[#This Row],[DEPARTAMENTO_INSS]]="MANAGUA","_01_","_02_")</f>
        <v>_02_</v>
      </c>
      <c r="K720" s="2" t="str">
        <f>+CONCATENATE(BD[[#This Row],[Columna3]],BD[[#This Row],[Columna4]],BD[[#This Row],[NOMBRE COMPLETO]])</f>
        <v>E003_02_FÁTIMA MILEYDI TORRES LUNA</v>
      </c>
      <c r="L720" s="2" t="s">
        <v>5103</v>
      </c>
      <c r="M720" s="2" t="s">
        <v>5104</v>
      </c>
      <c r="N720" s="2" t="s">
        <v>132</v>
      </c>
      <c r="O720" s="2" t="s">
        <v>329</v>
      </c>
      <c r="P720" s="2" t="s">
        <v>626</v>
      </c>
      <c r="Q720" s="2" t="s">
        <v>351</v>
      </c>
      <c r="R720" s="2">
        <v>31014</v>
      </c>
      <c r="S720" s="2">
        <v>31014</v>
      </c>
      <c r="T720" s="2" t="s">
        <v>1104</v>
      </c>
      <c r="U720" s="2" t="s">
        <v>1104</v>
      </c>
      <c r="V720" s="2" t="s">
        <v>1738</v>
      </c>
      <c r="W720" s="2" t="s">
        <v>1739</v>
      </c>
      <c r="X720" s="2" t="s">
        <v>5105</v>
      </c>
      <c r="Y720" s="2" t="s">
        <v>5106</v>
      </c>
      <c r="Z720" s="2">
        <v>57453007</v>
      </c>
      <c r="AA720" s="2">
        <v>57453007</v>
      </c>
      <c r="AB720" s="2" t="s">
        <v>642</v>
      </c>
      <c r="AC720" s="2" t="s">
        <v>632</v>
      </c>
      <c r="AD720" s="2">
        <v>57453007</v>
      </c>
      <c r="AJ720" s="2">
        <v>57453007</v>
      </c>
      <c r="AK720" s="2">
        <v>2</v>
      </c>
      <c r="AL720" s="2" t="s">
        <v>633</v>
      </c>
      <c r="AM720" s="2">
        <v>0</v>
      </c>
      <c r="AN720" s="2">
        <v>0</v>
      </c>
      <c r="AO720" s="2">
        <v>1</v>
      </c>
      <c r="AP720" s="2">
        <v>0</v>
      </c>
      <c r="AQ720" s="2">
        <v>0</v>
      </c>
      <c r="AR720" s="2">
        <v>0</v>
      </c>
      <c r="AS720" s="2">
        <v>0</v>
      </c>
      <c r="AT720" s="2">
        <v>0</v>
      </c>
      <c r="AZ720" s="2" t="s">
        <v>5107</v>
      </c>
      <c r="BB720" s="2" t="str">
        <f>+PROPER(BD[[#This Row],[PRIMER_APELLIDO]])</f>
        <v>Torres</v>
      </c>
    </row>
    <row r="721" spans="1:54" x14ac:dyDescent="0.25">
      <c r="A721" s="2">
        <v>720</v>
      </c>
      <c r="B721" s="2">
        <v>30519</v>
      </c>
      <c r="C721" s="2" t="s">
        <v>619</v>
      </c>
      <c r="D721" s="2" t="s">
        <v>620</v>
      </c>
      <c r="E721" s="2" t="s">
        <v>5108</v>
      </c>
      <c r="F721" s="2">
        <v>23696486</v>
      </c>
      <c r="G721" s="3">
        <v>37.761643835616439</v>
      </c>
      <c r="H721" s="2" t="s">
        <v>622</v>
      </c>
      <c r="I721" s="2" t="s">
        <v>5109</v>
      </c>
      <c r="J721" s="2" t="str">
        <f>+IF(BD[[#This Row],[DEPARTAMENTO_INSS]]="MANAGUA","_01_","_02_")</f>
        <v>_01_</v>
      </c>
      <c r="K721" s="2" t="str">
        <f>+CONCATENATE(BD[[#This Row],[Columna3]],BD[[#This Row],[Columna4]],BD[[#This Row],[NOMBRE COMPLETO]])</f>
        <v>E003_01_ALEXANDRA ROSA RASKOSKY PASOS</v>
      </c>
      <c r="L721" s="2" t="s">
        <v>5110</v>
      </c>
      <c r="M721" s="2" t="s">
        <v>667</v>
      </c>
      <c r="N721" s="2" t="s">
        <v>66</v>
      </c>
      <c r="O721" s="2" t="s">
        <v>5111</v>
      </c>
      <c r="P721" s="2" t="s">
        <v>626</v>
      </c>
      <c r="Q721" s="2" t="s">
        <v>351</v>
      </c>
      <c r="R721" s="2">
        <v>31013</v>
      </c>
      <c r="S721" s="2">
        <v>31013</v>
      </c>
      <c r="T721" s="2" t="s">
        <v>627</v>
      </c>
      <c r="U721" s="2" t="s">
        <v>627</v>
      </c>
      <c r="V721" s="2" t="s">
        <v>627</v>
      </c>
      <c r="W721" s="2" t="s">
        <v>627</v>
      </c>
      <c r="X721" s="2" t="s">
        <v>5112</v>
      </c>
      <c r="Y721" s="2" t="s">
        <v>5113</v>
      </c>
      <c r="AA721" s="2" t="s">
        <v>5114</v>
      </c>
      <c r="AB721" s="2" t="s">
        <v>654</v>
      </c>
      <c r="AC721" s="2" t="s">
        <v>632</v>
      </c>
      <c r="AE721" s="2">
        <v>88872465</v>
      </c>
      <c r="AJ721" s="2">
        <v>88872465</v>
      </c>
      <c r="AK721" s="2">
        <v>2</v>
      </c>
      <c r="AL721" s="2" t="s">
        <v>633</v>
      </c>
      <c r="AM721" s="2">
        <v>0</v>
      </c>
      <c r="AN721" s="2">
        <v>0</v>
      </c>
      <c r="AO721" s="2">
        <v>1</v>
      </c>
      <c r="AP721" s="2">
        <v>0</v>
      </c>
      <c r="AQ721" s="2">
        <v>0</v>
      </c>
      <c r="AR721" s="2">
        <v>0</v>
      </c>
      <c r="AS721" s="2">
        <v>0</v>
      </c>
      <c r="AT721" s="2">
        <v>0</v>
      </c>
      <c r="BA721" s="2" t="s">
        <v>5115</v>
      </c>
      <c r="BB721" s="2" t="str">
        <f>+PROPER(BD[[#This Row],[PRIMER_APELLIDO]])</f>
        <v>Raskosky</v>
      </c>
    </row>
    <row r="722" spans="1:54" x14ac:dyDescent="0.25">
      <c r="A722" s="2">
        <v>721</v>
      </c>
      <c r="B722" s="2">
        <v>34111</v>
      </c>
      <c r="C722" s="2" t="s">
        <v>619</v>
      </c>
      <c r="D722" s="2" t="s">
        <v>620</v>
      </c>
      <c r="E722" s="2" t="s">
        <v>5116</v>
      </c>
      <c r="F722" s="2">
        <v>21670905</v>
      </c>
      <c r="G722" s="3">
        <v>37.761643835616439</v>
      </c>
      <c r="H722" s="2" t="s">
        <v>622</v>
      </c>
      <c r="I722" s="2" t="s">
        <v>5117</v>
      </c>
      <c r="J722" s="2" t="str">
        <f>+IF(BD[[#This Row],[DEPARTAMENTO_INSS]]="MANAGUA","_01_","_02_")</f>
        <v>_01_</v>
      </c>
      <c r="K722" s="2" t="str">
        <f>+CONCATENATE(BD[[#This Row],[Columna3]],BD[[#This Row],[Columna4]],BD[[#This Row],[NOMBRE COMPLETO]])</f>
        <v>E003_01_YANDLY MACIED GUARDADO IBARRA</v>
      </c>
      <c r="L722" s="2" t="s">
        <v>5118</v>
      </c>
      <c r="M722" s="2" t="s">
        <v>5119</v>
      </c>
      <c r="N722" s="2" t="s">
        <v>400</v>
      </c>
      <c r="O722" s="2" t="s">
        <v>383</v>
      </c>
      <c r="P722" s="2" t="s">
        <v>626</v>
      </c>
      <c r="Q722" s="2" t="s">
        <v>351</v>
      </c>
      <c r="R722" s="2">
        <v>31013</v>
      </c>
      <c r="S722" s="2">
        <v>31013</v>
      </c>
      <c r="T722" s="2" t="s">
        <v>627</v>
      </c>
      <c r="U722" s="2" t="s">
        <v>627</v>
      </c>
      <c r="V722" s="2" t="s">
        <v>692</v>
      </c>
      <c r="W722" s="2" t="s">
        <v>692</v>
      </c>
      <c r="X722" s="2" t="s">
        <v>5120</v>
      </c>
      <c r="Y722" s="2" t="s">
        <v>5121</v>
      </c>
      <c r="Z722" s="2">
        <v>88088016</v>
      </c>
      <c r="AA722" s="2">
        <v>88088016</v>
      </c>
      <c r="AB722" s="2" t="s">
        <v>642</v>
      </c>
      <c r="AC722" s="2" t="s">
        <v>632</v>
      </c>
      <c r="AD722" s="2">
        <v>88088016</v>
      </c>
      <c r="AJ722" s="2">
        <v>88088016</v>
      </c>
      <c r="AK722" s="2">
        <v>2</v>
      </c>
      <c r="AL722" s="2" t="s">
        <v>633</v>
      </c>
      <c r="AM722" s="2">
        <v>0</v>
      </c>
      <c r="AN722" s="2">
        <v>0</v>
      </c>
      <c r="AO722" s="2">
        <v>1</v>
      </c>
      <c r="AP722" s="2">
        <v>0</v>
      </c>
      <c r="AQ722" s="2">
        <v>0</v>
      </c>
      <c r="AR722" s="2">
        <v>0</v>
      </c>
      <c r="AS722" s="2">
        <v>0</v>
      </c>
      <c r="AT722" s="2">
        <v>0</v>
      </c>
      <c r="AZ722" s="2" t="s">
        <v>5122</v>
      </c>
      <c r="BB722" s="2" t="str">
        <f>+PROPER(BD[[#This Row],[PRIMER_APELLIDO]])</f>
        <v>Guardado</v>
      </c>
    </row>
    <row r="723" spans="1:54" x14ac:dyDescent="0.25">
      <c r="A723" s="2">
        <v>722</v>
      </c>
      <c r="B723" s="2">
        <v>45952</v>
      </c>
      <c r="C723" s="2" t="s">
        <v>619</v>
      </c>
      <c r="D723" s="2" t="s">
        <v>620</v>
      </c>
      <c r="E723" s="2" t="s">
        <v>5123</v>
      </c>
      <c r="F723" s="2">
        <v>22825397</v>
      </c>
      <c r="G723" s="3">
        <v>37.764383561643832</v>
      </c>
      <c r="H723" s="2" t="s">
        <v>622</v>
      </c>
      <c r="I723" s="2" t="s">
        <v>5124</v>
      </c>
      <c r="J723" s="2" t="str">
        <f>+IF(BD[[#This Row],[DEPARTAMENTO_INSS]]="MANAGUA","_01_","_02_")</f>
        <v>_02_</v>
      </c>
      <c r="K723" s="2" t="str">
        <f>+CONCATENATE(BD[[#This Row],[Columna3]],BD[[#This Row],[Columna4]],BD[[#This Row],[NOMBRE COMPLETO]])</f>
        <v>E003_02_HANSY ADELAYDA ARAUZ ALFARO</v>
      </c>
      <c r="L723" s="2" t="s">
        <v>5125</v>
      </c>
      <c r="M723" s="2" t="s">
        <v>5126</v>
      </c>
      <c r="N723" s="2" t="s">
        <v>174</v>
      </c>
      <c r="O723" s="2" t="s">
        <v>196</v>
      </c>
      <c r="P723" s="2" t="s">
        <v>626</v>
      </c>
      <c r="Q723" s="2" t="s">
        <v>351</v>
      </c>
      <c r="R723" s="2">
        <v>31012</v>
      </c>
      <c r="S723" s="2">
        <v>31012</v>
      </c>
      <c r="T723" s="2" t="s">
        <v>176</v>
      </c>
      <c r="U723" s="2" t="s">
        <v>176</v>
      </c>
      <c r="V723" s="2" t="s">
        <v>1796</v>
      </c>
      <c r="W723" s="2" t="s">
        <v>748</v>
      </c>
      <c r="Y723" s="2" t="s">
        <v>5127</v>
      </c>
      <c r="AA723" s="2">
        <v>58748928</v>
      </c>
      <c r="AB723" s="2" t="s">
        <v>654</v>
      </c>
      <c r="AC723" s="2" t="s">
        <v>632</v>
      </c>
      <c r="AD723" s="2">
        <v>58748928</v>
      </c>
      <c r="AJ723" s="2">
        <v>58748928</v>
      </c>
      <c r="AK723" s="2">
        <v>1</v>
      </c>
      <c r="AL723" s="2" t="s">
        <v>633</v>
      </c>
      <c r="AM723" s="2">
        <v>0</v>
      </c>
      <c r="AN723" s="2">
        <v>0</v>
      </c>
      <c r="AO723" s="2">
        <v>1</v>
      </c>
      <c r="AP723" s="2">
        <v>0</v>
      </c>
      <c r="AQ723" s="2">
        <v>0</v>
      </c>
      <c r="AR723" s="2">
        <v>0</v>
      </c>
      <c r="AS723" s="2">
        <v>0</v>
      </c>
      <c r="AT723" s="2">
        <v>0</v>
      </c>
      <c r="BB723" s="2" t="str">
        <f>+PROPER(BD[[#This Row],[PRIMER_APELLIDO]])</f>
        <v>Arauz</v>
      </c>
    </row>
    <row r="724" spans="1:54" x14ac:dyDescent="0.25">
      <c r="A724" s="2">
        <v>723</v>
      </c>
      <c r="B724" s="2">
        <v>77210</v>
      </c>
      <c r="C724" s="2" t="s">
        <v>619</v>
      </c>
      <c r="D724" s="2" t="s">
        <v>620</v>
      </c>
      <c r="E724" s="2" t="s">
        <v>5128</v>
      </c>
      <c r="G724" s="3">
        <v>37.767123287671232</v>
      </c>
      <c r="H724" s="2" t="s">
        <v>622</v>
      </c>
      <c r="I724" s="2" t="s">
        <v>5129</v>
      </c>
      <c r="J724" s="2" t="str">
        <f>+IF(BD[[#This Row],[DEPARTAMENTO_INSS]]="MANAGUA","_01_","_02_")</f>
        <v>_02_</v>
      </c>
      <c r="K724" s="2" t="str">
        <f>+CONCATENATE(BD[[#This Row],[Columna3]],BD[[#This Row],[Columna4]],BD[[#This Row],[NOMBRE COMPLETO]])</f>
        <v>E003_02_MALIKA HELWA DIPP GONZALEZ</v>
      </c>
      <c r="L724" s="2" t="s">
        <v>5130</v>
      </c>
      <c r="M724" s="2" t="s">
        <v>5131</v>
      </c>
      <c r="N724" s="2" t="s">
        <v>209</v>
      </c>
      <c r="O724" s="2" t="s">
        <v>14</v>
      </c>
      <c r="P724" s="2" t="s">
        <v>626</v>
      </c>
      <c r="Q724" s="2" t="s">
        <v>351</v>
      </c>
      <c r="R724" s="2">
        <v>31011</v>
      </c>
      <c r="S724" s="2">
        <v>31011</v>
      </c>
      <c r="T724" s="2" t="s">
        <v>732</v>
      </c>
      <c r="U724" s="2" t="s">
        <v>780</v>
      </c>
      <c r="V724" s="2" t="s">
        <v>962</v>
      </c>
      <c r="W724" s="2" t="s">
        <v>781</v>
      </c>
      <c r="X724" s="2" t="s">
        <v>5132</v>
      </c>
      <c r="Y724" s="2" t="s">
        <v>5133</v>
      </c>
      <c r="Z724" s="2">
        <v>75290712</v>
      </c>
      <c r="AA724" s="2" t="s">
        <v>5134</v>
      </c>
      <c r="AB724" s="2" t="s">
        <v>654</v>
      </c>
      <c r="AC724" s="2" t="s">
        <v>632</v>
      </c>
      <c r="AD724" s="2">
        <v>75290712</v>
      </c>
      <c r="AE724" s="2">
        <v>87189915</v>
      </c>
      <c r="AF724" s="2">
        <v>57200952</v>
      </c>
      <c r="AJ724" s="2">
        <v>75290712</v>
      </c>
      <c r="AK724" s="2">
        <v>3</v>
      </c>
      <c r="AL724" s="2" t="s">
        <v>633</v>
      </c>
      <c r="AM724" s="2">
        <v>0</v>
      </c>
      <c r="AN724" s="2">
        <v>0</v>
      </c>
      <c r="AO724" s="2">
        <v>1</v>
      </c>
      <c r="AP724" s="2">
        <v>0</v>
      </c>
      <c r="AQ724" s="2">
        <v>0</v>
      </c>
      <c r="AR724" s="2">
        <v>0</v>
      </c>
      <c r="AS724" s="2">
        <v>0</v>
      </c>
      <c r="AT724" s="2">
        <v>0</v>
      </c>
      <c r="AZ724" s="2" t="s">
        <v>5135</v>
      </c>
      <c r="BB724" s="2" t="str">
        <f>+PROPER(BD[[#This Row],[PRIMER_APELLIDO]])</f>
        <v>Dipp</v>
      </c>
    </row>
    <row r="725" spans="1:54" x14ac:dyDescent="0.25">
      <c r="A725" s="2">
        <v>724</v>
      </c>
      <c r="B725" s="2">
        <v>33927</v>
      </c>
      <c r="C725" s="2" t="s">
        <v>619</v>
      </c>
      <c r="D725" s="2" t="s">
        <v>620</v>
      </c>
      <c r="E725" s="2" t="s">
        <v>5136</v>
      </c>
      <c r="F725" s="2">
        <v>21719491</v>
      </c>
      <c r="G725" s="3">
        <v>37.769863013698632</v>
      </c>
      <c r="H725" s="2" t="s">
        <v>622</v>
      </c>
      <c r="I725" s="2" t="s">
        <v>5137</v>
      </c>
      <c r="J725" s="2" t="str">
        <f>+IF(BD[[#This Row],[DEPARTAMENTO_INSS]]="MANAGUA","_01_","_02_")</f>
        <v>_02_</v>
      </c>
      <c r="K725" s="2" t="str">
        <f>+CONCATENATE(BD[[#This Row],[Columna3]],BD[[#This Row],[Columna4]],BD[[#This Row],[NOMBRE COMPLETO]])</f>
        <v>E003_02_ROSA MIRIAM OBANDO PICHARDO</v>
      </c>
      <c r="L725" s="2" t="s">
        <v>667</v>
      </c>
      <c r="M725" s="2" t="s">
        <v>3210</v>
      </c>
      <c r="N725" s="2" t="s">
        <v>79</v>
      </c>
      <c r="O725" s="2" t="s">
        <v>471</v>
      </c>
      <c r="P725" s="2" t="s">
        <v>626</v>
      </c>
      <c r="Q725" s="2" t="s">
        <v>351</v>
      </c>
      <c r="R725" s="2">
        <v>31010</v>
      </c>
      <c r="S725" s="2">
        <v>31010</v>
      </c>
      <c r="T725" s="2" t="s">
        <v>176</v>
      </c>
      <c r="U725" s="2" t="s">
        <v>176</v>
      </c>
      <c r="V725" s="2" t="s">
        <v>650</v>
      </c>
      <c r="W725" s="2" t="s">
        <v>176</v>
      </c>
      <c r="X725" s="2" t="s">
        <v>5138</v>
      </c>
      <c r="Y725" s="2" t="s">
        <v>5139</v>
      </c>
      <c r="Z725" s="2">
        <v>88374430</v>
      </c>
      <c r="AA725" s="2">
        <v>23114165</v>
      </c>
      <c r="AB725" s="2" t="s">
        <v>642</v>
      </c>
      <c r="AC725" s="2" t="s">
        <v>632</v>
      </c>
      <c r="AD725" s="2">
        <v>88374430</v>
      </c>
      <c r="AJ725" s="2">
        <v>88374430</v>
      </c>
      <c r="AK725" s="2">
        <v>2</v>
      </c>
      <c r="AL725" s="2" t="s">
        <v>633</v>
      </c>
      <c r="AM725" s="2">
        <v>0</v>
      </c>
      <c r="AN725" s="2">
        <v>0</v>
      </c>
      <c r="AO725" s="2">
        <v>1</v>
      </c>
      <c r="AP725" s="2">
        <v>0</v>
      </c>
      <c r="AQ725" s="2">
        <v>0</v>
      </c>
      <c r="AR725" s="2">
        <v>0</v>
      </c>
      <c r="AS725" s="2">
        <v>0</v>
      </c>
      <c r="AT725" s="2">
        <v>0</v>
      </c>
      <c r="AZ725" s="2" t="s">
        <v>5140</v>
      </c>
      <c r="BB725" s="2" t="str">
        <f>+PROPER(BD[[#This Row],[PRIMER_APELLIDO]])</f>
        <v>Obando</v>
      </c>
    </row>
    <row r="726" spans="1:54" x14ac:dyDescent="0.25">
      <c r="A726" s="2">
        <v>725</v>
      </c>
      <c r="B726" s="2">
        <v>32347</v>
      </c>
      <c r="C726" s="2" t="s">
        <v>619</v>
      </c>
      <c r="D726" s="2" t="s">
        <v>620</v>
      </c>
      <c r="E726" s="2" t="s">
        <v>5141</v>
      </c>
      <c r="F726" s="2">
        <v>21677184</v>
      </c>
      <c r="G726" s="3">
        <v>37.772602739726025</v>
      </c>
      <c r="H726" s="2" t="s">
        <v>622</v>
      </c>
      <c r="I726" s="2" t="s">
        <v>5142</v>
      </c>
      <c r="J726" s="2" t="str">
        <f>+IF(BD[[#This Row],[DEPARTAMENTO_INSS]]="MANAGUA","_01_","_02_")</f>
        <v>_01_</v>
      </c>
      <c r="K726" s="2" t="str">
        <f>+CONCATENATE(BD[[#This Row],[Columna3]],BD[[#This Row],[Columna4]],BD[[#This Row],[NOMBRE COMPLETO]])</f>
        <v>E003_01_FERNANDO AHUMADA CANTILLANO</v>
      </c>
      <c r="L726" s="2" t="s">
        <v>2009</v>
      </c>
      <c r="N726" s="2" t="s">
        <v>334</v>
      </c>
      <c r="O726" s="2" t="s">
        <v>5143</v>
      </c>
      <c r="P726" s="2" t="s">
        <v>649</v>
      </c>
      <c r="Q726" s="2" t="s">
        <v>5144</v>
      </c>
      <c r="R726" s="2">
        <v>31009</v>
      </c>
      <c r="S726" s="2">
        <v>31009</v>
      </c>
      <c r="T726" s="2" t="s">
        <v>627</v>
      </c>
      <c r="U726" s="2" t="s">
        <v>627</v>
      </c>
      <c r="V726" s="2" t="s">
        <v>1026</v>
      </c>
      <c r="W726" s="2" t="s">
        <v>1026</v>
      </c>
      <c r="X726" s="2" t="s">
        <v>5145</v>
      </c>
      <c r="Y726" s="2" t="s">
        <v>5146</v>
      </c>
      <c r="AA726" s="2">
        <v>85375585</v>
      </c>
      <c r="AB726" s="2" t="s">
        <v>654</v>
      </c>
      <c r="AC726" s="2" t="s">
        <v>632</v>
      </c>
      <c r="AD726" s="2">
        <v>85375585</v>
      </c>
      <c r="AJ726" s="2">
        <v>85375585</v>
      </c>
      <c r="AK726" s="2">
        <v>1</v>
      </c>
      <c r="AL726" s="2" t="s">
        <v>633</v>
      </c>
      <c r="AM726" s="2">
        <v>0</v>
      </c>
      <c r="AN726" s="2">
        <v>0</v>
      </c>
      <c r="AO726" s="2">
        <v>1</v>
      </c>
      <c r="AP726" s="2">
        <v>0</v>
      </c>
      <c r="AQ726" s="2">
        <v>0</v>
      </c>
      <c r="AR726" s="2">
        <v>0</v>
      </c>
      <c r="AS726" s="2">
        <v>0</v>
      </c>
      <c r="AT726" s="2">
        <v>0</v>
      </c>
      <c r="BB726" s="2" t="str">
        <f>+PROPER(BD[[#This Row],[PRIMER_APELLIDO]])</f>
        <v>Ahumada</v>
      </c>
    </row>
    <row r="727" spans="1:54" x14ac:dyDescent="0.25">
      <c r="A727" s="2">
        <v>726</v>
      </c>
      <c r="B727" s="2">
        <v>35227</v>
      </c>
      <c r="C727" s="2" t="s">
        <v>619</v>
      </c>
      <c r="D727" s="2" t="s">
        <v>620</v>
      </c>
      <c r="E727" s="2" t="s">
        <v>5147</v>
      </c>
      <c r="F727" s="2">
        <v>23309120</v>
      </c>
      <c r="G727" s="3">
        <v>37.775342465753425</v>
      </c>
      <c r="H727" s="2" t="s">
        <v>622</v>
      </c>
      <c r="I727" s="2" t="s">
        <v>5148</v>
      </c>
      <c r="J727" s="2" t="str">
        <f>+IF(BD[[#This Row],[DEPARTAMENTO_INSS]]="MANAGUA","_01_","_02_")</f>
        <v>_01_</v>
      </c>
      <c r="K727" s="2" t="str">
        <f>+CONCATENATE(BD[[#This Row],[Columna3]],BD[[#This Row],[Columna4]],BD[[#This Row],[NOMBRE COMPLETO]])</f>
        <v>E003_01_ALMA GRISELA MORALES TERCERO</v>
      </c>
      <c r="L727" s="2" t="s">
        <v>4902</v>
      </c>
      <c r="M727" s="2" t="s">
        <v>5149</v>
      </c>
      <c r="N727" s="2" t="s">
        <v>82</v>
      </c>
      <c r="O727" s="2" t="s">
        <v>175</v>
      </c>
      <c r="P727" s="2" t="s">
        <v>626</v>
      </c>
      <c r="Q727" s="2" t="s">
        <v>351</v>
      </c>
      <c r="R727" s="2">
        <v>31008</v>
      </c>
      <c r="S727" s="2">
        <v>31008</v>
      </c>
      <c r="T727" s="2" t="s">
        <v>627</v>
      </c>
      <c r="U727" s="2" t="s">
        <v>627</v>
      </c>
      <c r="V727" s="2" t="s">
        <v>627</v>
      </c>
      <c r="W727" s="2" t="s">
        <v>627</v>
      </c>
      <c r="X727" s="2" t="s">
        <v>5150</v>
      </c>
      <c r="Y727" s="2" t="s">
        <v>5151</v>
      </c>
      <c r="AA727" s="2" t="s">
        <v>5152</v>
      </c>
      <c r="AB727" s="2" t="s">
        <v>631</v>
      </c>
      <c r="AC727" s="2" t="s">
        <v>632</v>
      </c>
      <c r="AD727" s="2">
        <v>82592102</v>
      </c>
      <c r="AE727" s="2">
        <v>81072714</v>
      </c>
      <c r="AJ727" s="2">
        <v>82592102</v>
      </c>
      <c r="AK727" s="2">
        <v>2</v>
      </c>
      <c r="AL727" s="2" t="s">
        <v>633</v>
      </c>
      <c r="AM727" s="2">
        <v>0</v>
      </c>
      <c r="AN727" s="2">
        <v>0</v>
      </c>
      <c r="AO727" s="2">
        <v>1</v>
      </c>
      <c r="AP727" s="2">
        <v>0</v>
      </c>
      <c r="AQ727" s="2">
        <v>0</v>
      </c>
      <c r="AR727" s="2">
        <v>0</v>
      </c>
      <c r="AS727" s="2">
        <v>0</v>
      </c>
      <c r="AT727" s="2">
        <v>0</v>
      </c>
      <c r="BB727" s="2" t="str">
        <f>+PROPER(BD[[#This Row],[PRIMER_APELLIDO]])</f>
        <v>Morales</v>
      </c>
    </row>
    <row r="728" spans="1:54" x14ac:dyDescent="0.25">
      <c r="A728" s="2">
        <v>727</v>
      </c>
      <c r="B728" s="2">
        <v>46843</v>
      </c>
      <c r="C728" s="2" t="s">
        <v>619</v>
      </c>
      <c r="D728" s="2" t="s">
        <v>620</v>
      </c>
      <c r="E728" s="2" t="s">
        <v>5153</v>
      </c>
      <c r="F728" s="2">
        <v>23145278</v>
      </c>
      <c r="G728" s="3">
        <v>37.780821917808218</v>
      </c>
      <c r="H728" s="2" t="s">
        <v>622</v>
      </c>
      <c r="I728" s="2" t="s">
        <v>5154</v>
      </c>
      <c r="J728" s="2" t="str">
        <f>+IF(BD[[#This Row],[DEPARTAMENTO_INSS]]="MANAGUA","_01_","_02_")</f>
        <v>_02_</v>
      </c>
      <c r="K728" s="2" t="str">
        <f>+CONCATENATE(BD[[#This Row],[Columna3]],BD[[#This Row],[Columna4]],BD[[#This Row],[NOMBRE COMPLETO]])</f>
        <v>E003_02_INGRID MARIELA ZELAYA MARTINEZ</v>
      </c>
      <c r="L728" s="2" t="s">
        <v>2029</v>
      </c>
      <c r="M728" s="2" t="s">
        <v>2634</v>
      </c>
      <c r="N728" s="2" t="s">
        <v>72</v>
      </c>
      <c r="O728" s="2" t="s">
        <v>44</v>
      </c>
      <c r="P728" s="2" t="s">
        <v>626</v>
      </c>
      <c r="Q728" s="2" t="s">
        <v>351</v>
      </c>
      <c r="R728" s="2">
        <v>31006</v>
      </c>
      <c r="S728" s="2">
        <v>31006</v>
      </c>
      <c r="T728" s="2" t="s">
        <v>1104</v>
      </c>
      <c r="U728" s="2" t="s">
        <v>1104</v>
      </c>
      <c r="V728" s="2" t="s">
        <v>1224</v>
      </c>
      <c r="W728" s="2" t="s">
        <v>4516</v>
      </c>
      <c r="X728" s="2" t="s">
        <v>5155</v>
      </c>
      <c r="Y728" s="2" t="s">
        <v>5156</v>
      </c>
      <c r="Z728" s="2">
        <v>89116285</v>
      </c>
      <c r="AA728" s="2" t="s">
        <v>5157</v>
      </c>
      <c r="AB728" s="2" t="s">
        <v>654</v>
      </c>
      <c r="AC728" s="2" t="s">
        <v>632</v>
      </c>
      <c r="AD728" s="2">
        <v>89116285</v>
      </c>
      <c r="AJ728" s="2">
        <v>89116285</v>
      </c>
      <c r="AK728" s="2">
        <v>3</v>
      </c>
      <c r="AL728" s="2" t="s">
        <v>633</v>
      </c>
      <c r="AM728" s="2">
        <v>0</v>
      </c>
      <c r="AN728" s="2">
        <v>0</v>
      </c>
      <c r="AO728" s="2">
        <v>1</v>
      </c>
      <c r="AP728" s="2">
        <v>0</v>
      </c>
      <c r="AQ728" s="2">
        <v>0</v>
      </c>
      <c r="AR728" s="2">
        <v>0</v>
      </c>
      <c r="AS728" s="2">
        <v>0</v>
      </c>
      <c r="AT728" s="2">
        <v>0</v>
      </c>
      <c r="AZ728" s="2" t="s">
        <v>5158</v>
      </c>
      <c r="BB728" s="2" t="str">
        <f>+PROPER(BD[[#This Row],[PRIMER_APELLIDO]])</f>
        <v>Zelaya</v>
      </c>
    </row>
    <row r="729" spans="1:54" x14ac:dyDescent="0.25">
      <c r="A729" s="2">
        <v>728</v>
      </c>
      <c r="B729" s="2">
        <v>34462</v>
      </c>
      <c r="C729" s="2" t="s">
        <v>619</v>
      </c>
      <c r="D729" s="2" t="s">
        <v>620</v>
      </c>
      <c r="E729" s="2" t="s">
        <v>5159</v>
      </c>
      <c r="F729" s="2">
        <v>21719387</v>
      </c>
      <c r="G729" s="3">
        <v>37.786301369863011</v>
      </c>
      <c r="H729" s="2" t="s">
        <v>622</v>
      </c>
      <c r="I729" s="2" t="s">
        <v>5160</v>
      </c>
      <c r="J729" s="2" t="str">
        <f>+IF(BD[[#This Row],[DEPARTAMENTO_INSS]]="MANAGUA","_01_","_02_")</f>
        <v>_02_</v>
      </c>
      <c r="K729" s="2" t="str">
        <f>+CONCATENATE(BD[[#This Row],[Columna3]],BD[[#This Row],[Columna4]],BD[[#This Row],[NOMBRE COMPLETO]])</f>
        <v>E003_02_SUYAPA JUDITH CASTELLON ROJAS</v>
      </c>
      <c r="L729" s="2" t="s">
        <v>5161</v>
      </c>
      <c r="M729" s="2" t="s">
        <v>1348</v>
      </c>
      <c r="N729" s="2" t="s">
        <v>22</v>
      </c>
      <c r="O729" s="2" t="s">
        <v>105</v>
      </c>
      <c r="P729" s="2" t="s">
        <v>626</v>
      </c>
      <c r="Q729" s="2" t="s">
        <v>351</v>
      </c>
      <c r="R729" s="2">
        <v>31004</v>
      </c>
      <c r="S729" s="2">
        <v>31004</v>
      </c>
      <c r="T729" s="2" t="s">
        <v>1044</v>
      </c>
      <c r="U729" s="2" t="s">
        <v>1044</v>
      </c>
      <c r="V729" s="2" t="s">
        <v>4949</v>
      </c>
      <c r="W729" s="2" t="s">
        <v>3379</v>
      </c>
      <c r="X729" s="2" t="s">
        <v>5162</v>
      </c>
      <c r="Y729" s="2" t="s">
        <v>5163</v>
      </c>
      <c r="Z729" s="2">
        <v>89080345</v>
      </c>
      <c r="AB729" s="2" t="s">
        <v>654</v>
      </c>
      <c r="AC729" s="2" t="s">
        <v>632</v>
      </c>
      <c r="AD729" s="2">
        <v>89080345</v>
      </c>
      <c r="AJ729" s="2">
        <v>89080345</v>
      </c>
      <c r="AK729" s="2">
        <v>1</v>
      </c>
      <c r="AL729" s="2" t="s">
        <v>633</v>
      </c>
      <c r="AM729" s="2">
        <v>0</v>
      </c>
      <c r="AN729" s="2">
        <v>0</v>
      </c>
      <c r="AO729" s="2">
        <v>1</v>
      </c>
      <c r="AP729" s="2">
        <v>0</v>
      </c>
      <c r="AQ729" s="2">
        <v>0</v>
      </c>
      <c r="AR729" s="2">
        <v>0</v>
      </c>
      <c r="AS729" s="2">
        <v>0</v>
      </c>
      <c r="AT729" s="2">
        <v>0</v>
      </c>
      <c r="AZ729" s="2" t="s">
        <v>5164</v>
      </c>
      <c r="BB729" s="2" t="str">
        <f>+PROPER(BD[[#This Row],[PRIMER_APELLIDO]])</f>
        <v>Castellon</v>
      </c>
    </row>
    <row r="730" spans="1:54" x14ac:dyDescent="0.25">
      <c r="A730" s="2">
        <v>729</v>
      </c>
      <c r="B730" s="2">
        <v>33824</v>
      </c>
      <c r="C730" s="2" t="s">
        <v>619</v>
      </c>
      <c r="D730" s="2" t="s">
        <v>620</v>
      </c>
      <c r="E730" s="2" t="s">
        <v>5165</v>
      </c>
      <c r="F730" s="2">
        <v>21734988</v>
      </c>
      <c r="G730" s="3">
        <v>37.791780821917811</v>
      </c>
      <c r="H730" s="2" t="s">
        <v>622</v>
      </c>
      <c r="I730" s="2" t="s">
        <v>5166</v>
      </c>
      <c r="J730" s="2" t="str">
        <f>+IF(BD[[#This Row],[DEPARTAMENTO_INSS]]="MANAGUA","_01_","_02_")</f>
        <v>_02_</v>
      </c>
      <c r="K730" s="2" t="str">
        <f>+CONCATENATE(BD[[#This Row],[Columna3]],BD[[#This Row],[Columna4]],BD[[#This Row],[NOMBRE COMPLETO]])</f>
        <v>E003_02_JEYSON ANTONIO DIAZ GUTIERREZ</v>
      </c>
      <c r="L730" s="2" t="s">
        <v>5167</v>
      </c>
      <c r="M730" s="2" t="s">
        <v>904</v>
      </c>
      <c r="N730" s="2" t="s">
        <v>91</v>
      </c>
      <c r="O730" s="2" t="s">
        <v>171</v>
      </c>
      <c r="P730" s="2" t="s">
        <v>649</v>
      </c>
      <c r="Q730" s="2" t="s">
        <v>351</v>
      </c>
      <c r="R730" s="2">
        <v>31002</v>
      </c>
      <c r="S730" s="2">
        <v>31002</v>
      </c>
      <c r="T730" s="2" t="s">
        <v>176</v>
      </c>
      <c r="U730" s="2" t="s">
        <v>659</v>
      </c>
      <c r="V730" s="2" t="s">
        <v>650</v>
      </c>
      <c r="W730" s="2" t="s">
        <v>5168</v>
      </c>
      <c r="X730" s="2" t="s">
        <v>5169</v>
      </c>
      <c r="Y730" s="2" t="s">
        <v>5170</v>
      </c>
      <c r="AA730" s="2">
        <v>88559968</v>
      </c>
      <c r="AB730" s="2" t="s">
        <v>654</v>
      </c>
      <c r="AC730" s="2" t="s">
        <v>632</v>
      </c>
      <c r="AD730" s="2">
        <v>88559968</v>
      </c>
      <c r="AJ730" s="2">
        <v>88559968</v>
      </c>
      <c r="AK730" s="2">
        <v>1</v>
      </c>
      <c r="AL730" s="2" t="s">
        <v>633</v>
      </c>
      <c r="AM730" s="2">
        <v>0</v>
      </c>
      <c r="AN730" s="2">
        <v>0</v>
      </c>
      <c r="AO730" s="2">
        <v>1</v>
      </c>
      <c r="AP730" s="2">
        <v>0</v>
      </c>
      <c r="AQ730" s="2">
        <v>0</v>
      </c>
      <c r="AR730" s="2">
        <v>0</v>
      </c>
      <c r="AS730" s="2">
        <v>0</v>
      </c>
      <c r="AT730" s="2">
        <v>0</v>
      </c>
      <c r="BB730" s="2" t="str">
        <f>+PROPER(BD[[#This Row],[PRIMER_APELLIDO]])</f>
        <v>Diaz</v>
      </c>
    </row>
    <row r="731" spans="1:54" x14ac:dyDescent="0.25">
      <c r="A731" s="2">
        <v>730</v>
      </c>
      <c r="B731" s="2">
        <v>36881</v>
      </c>
      <c r="C731" s="2" t="s">
        <v>619</v>
      </c>
      <c r="D731" s="2" t="s">
        <v>620</v>
      </c>
      <c r="E731" s="2" t="s">
        <v>5171</v>
      </c>
      <c r="F731" s="2">
        <v>22230252</v>
      </c>
      <c r="G731" s="3">
        <v>37.794520547945204</v>
      </c>
      <c r="H731" s="2" t="s">
        <v>622</v>
      </c>
      <c r="I731" s="2" t="s">
        <v>5172</v>
      </c>
      <c r="J731" s="2" t="str">
        <f>+IF(BD[[#This Row],[DEPARTAMENTO_INSS]]="MANAGUA","_01_","_02_")</f>
        <v>_02_</v>
      </c>
      <c r="K731" s="2" t="str">
        <f>+CONCATENATE(BD[[#This Row],[Columna3]],BD[[#This Row],[Columna4]],BD[[#This Row],[NOMBRE COMPLETO]])</f>
        <v>E003_02_YASSER TABARE SANDINO ELIZABETH</v>
      </c>
      <c r="L731" s="2" t="s">
        <v>3610</v>
      </c>
      <c r="M731" s="2" t="s">
        <v>5173</v>
      </c>
      <c r="N731" s="2" t="s">
        <v>405</v>
      </c>
      <c r="O731" s="2" t="s">
        <v>1881</v>
      </c>
      <c r="P731" s="2" t="s">
        <v>649</v>
      </c>
      <c r="Q731" s="2" t="s">
        <v>351</v>
      </c>
      <c r="R731" s="2">
        <v>31001</v>
      </c>
      <c r="S731" s="2">
        <v>31001</v>
      </c>
      <c r="T731" s="2" t="s">
        <v>176</v>
      </c>
      <c r="U731" s="2" t="s">
        <v>176</v>
      </c>
      <c r="V731" s="2" t="s">
        <v>997</v>
      </c>
      <c r="W731" s="2" t="s">
        <v>997</v>
      </c>
      <c r="X731" s="2" t="s">
        <v>5174</v>
      </c>
      <c r="Y731" s="2" t="s">
        <v>5175</v>
      </c>
      <c r="Z731" s="2">
        <v>88298505</v>
      </c>
      <c r="AA731" s="2" t="s">
        <v>5176</v>
      </c>
      <c r="AB731" s="2" t="s">
        <v>654</v>
      </c>
      <c r="AC731" s="2" t="s">
        <v>632</v>
      </c>
      <c r="AD731" s="2">
        <v>88298505</v>
      </c>
      <c r="AE731" s="2">
        <v>89257934</v>
      </c>
      <c r="AJ731" s="2">
        <v>88298505</v>
      </c>
      <c r="AK731" s="2">
        <v>3</v>
      </c>
      <c r="AL731" s="2" t="s">
        <v>633</v>
      </c>
      <c r="AM731" s="2">
        <v>0</v>
      </c>
      <c r="AN731" s="2">
        <v>0</v>
      </c>
      <c r="AO731" s="2">
        <v>1</v>
      </c>
      <c r="AP731" s="2">
        <v>0</v>
      </c>
      <c r="AQ731" s="2">
        <v>0</v>
      </c>
      <c r="AR731" s="2">
        <v>0</v>
      </c>
      <c r="AS731" s="2">
        <v>0</v>
      </c>
      <c r="AT731" s="2">
        <v>0</v>
      </c>
      <c r="AZ731" s="2" t="s">
        <v>5177</v>
      </c>
      <c r="BB731" s="2" t="str">
        <f>+PROPER(BD[[#This Row],[PRIMER_APELLIDO]])</f>
        <v>Sandino</v>
      </c>
    </row>
    <row r="732" spans="1:54" x14ac:dyDescent="0.25">
      <c r="A732" s="2">
        <v>731</v>
      </c>
      <c r="B732" s="2">
        <v>35177</v>
      </c>
      <c r="C732" s="2" t="s">
        <v>619</v>
      </c>
      <c r="D732" s="2" t="s">
        <v>620</v>
      </c>
      <c r="E732" s="2" t="s">
        <v>5178</v>
      </c>
      <c r="F732" s="2">
        <v>21719598</v>
      </c>
      <c r="G732" s="3">
        <v>37.797260273972604</v>
      </c>
      <c r="H732" s="2" t="s">
        <v>622</v>
      </c>
      <c r="I732" s="2" t="s">
        <v>5179</v>
      </c>
      <c r="J732" s="2" t="str">
        <f>+IF(BD[[#This Row],[DEPARTAMENTO_INSS]]="MANAGUA","_01_","_02_")</f>
        <v>_02_</v>
      </c>
      <c r="K732" s="2" t="str">
        <f>+CONCATENATE(BD[[#This Row],[Columna3]],BD[[#This Row],[Columna4]],BD[[#This Row],[NOMBRE COMPLETO]])</f>
        <v>E003_02_EDUARDO JOSE VALLE VELASQUEZ</v>
      </c>
      <c r="L732" s="2" t="s">
        <v>1548</v>
      </c>
      <c r="M732" s="2" t="s">
        <v>243</v>
      </c>
      <c r="N732" s="2" t="s">
        <v>99</v>
      </c>
      <c r="O732" s="2" t="s">
        <v>48</v>
      </c>
      <c r="P732" s="2" t="s">
        <v>649</v>
      </c>
      <c r="Q732" s="2" t="s">
        <v>351</v>
      </c>
      <c r="R732" s="2">
        <v>31000</v>
      </c>
      <c r="S732" s="2">
        <v>31000</v>
      </c>
      <c r="U732" s="2" t="s">
        <v>176</v>
      </c>
      <c r="W732" s="2" t="s">
        <v>176</v>
      </c>
      <c r="X732" s="2" t="s">
        <v>5180</v>
      </c>
      <c r="Y732" s="2" t="s">
        <v>5181</v>
      </c>
      <c r="AA732" s="2">
        <v>23113567</v>
      </c>
      <c r="AB732" s="2" t="s">
        <v>654</v>
      </c>
      <c r="AC732" s="2" t="s">
        <v>632</v>
      </c>
      <c r="AK732" s="2">
        <v>1</v>
      </c>
      <c r="AL732" s="2" t="s">
        <v>633</v>
      </c>
      <c r="AM732" s="2">
        <v>0</v>
      </c>
      <c r="AN732" s="2">
        <v>0</v>
      </c>
      <c r="AO732" s="2">
        <v>1</v>
      </c>
      <c r="AP732" s="2">
        <v>0</v>
      </c>
      <c r="AQ732" s="2">
        <v>0</v>
      </c>
      <c r="AR732" s="2">
        <v>0</v>
      </c>
      <c r="AS732" s="2">
        <v>0</v>
      </c>
      <c r="AT732" s="2">
        <v>0</v>
      </c>
      <c r="BB732" s="2" t="str">
        <f>+PROPER(BD[[#This Row],[PRIMER_APELLIDO]])</f>
        <v>Valle</v>
      </c>
    </row>
    <row r="733" spans="1:54" x14ac:dyDescent="0.25">
      <c r="A733" s="2">
        <v>732</v>
      </c>
      <c r="B733" s="2">
        <v>69685</v>
      </c>
      <c r="C733" s="2" t="s">
        <v>619</v>
      </c>
      <c r="D733" s="2" t="s">
        <v>620</v>
      </c>
      <c r="E733" s="2" t="s">
        <v>5182</v>
      </c>
      <c r="G733" s="3">
        <v>37.797260273972604</v>
      </c>
      <c r="H733" s="2" t="s">
        <v>622</v>
      </c>
      <c r="I733" s="2" t="s">
        <v>5183</v>
      </c>
      <c r="J733" s="2" t="str">
        <f>+IF(BD[[#This Row],[DEPARTAMENTO_INSS]]="MANAGUA","_01_","_02_")</f>
        <v>_02_</v>
      </c>
      <c r="K733" s="2" t="str">
        <f>+CONCATENATE(BD[[#This Row],[Columna3]],BD[[#This Row],[Columna4]],BD[[#This Row],[NOMBRE COMPLETO]])</f>
        <v>E003_02_MILENA YOKASTA JARQUIN GOMEZ</v>
      </c>
      <c r="L733" s="2" t="s">
        <v>5184</v>
      </c>
      <c r="M733" s="2" t="s">
        <v>5185</v>
      </c>
      <c r="N733" s="2" t="s">
        <v>85</v>
      </c>
      <c r="O733" s="2" t="s">
        <v>43</v>
      </c>
      <c r="P733" s="2" t="s">
        <v>626</v>
      </c>
      <c r="Q733" s="2" t="s">
        <v>351</v>
      </c>
      <c r="R733" s="2">
        <v>31000</v>
      </c>
      <c r="T733" s="2" t="s">
        <v>627</v>
      </c>
      <c r="V733" s="2" t="s">
        <v>627</v>
      </c>
      <c r="X733" s="2" t="s">
        <v>5186</v>
      </c>
      <c r="Z733" s="2">
        <v>88590442</v>
      </c>
      <c r="AB733" s="2" t="s">
        <v>631</v>
      </c>
      <c r="AC733" s="2" t="s">
        <v>632</v>
      </c>
      <c r="AD733" s="2">
        <v>88590442</v>
      </c>
      <c r="AJ733" s="2">
        <v>88590442</v>
      </c>
      <c r="AK733" s="2">
        <v>1</v>
      </c>
      <c r="AL733" s="2" t="s">
        <v>633</v>
      </c>
      <c r="AM733" s="2">
        <v>0</v>
      </c>
      <c r="AN733" s="2">
        <v>0</v>
      </c>
      <c r="AO733" s="2">
        <v>1</v>
      </c>
      <c r="AP733" s="2">
        <v>0</v>
      </c>
      <c r="AQ733" s="2">
        <v>0</v>
      </c>
      <c r="AR733" s="2">
        <v>0</v>
      </c>
      <c r="AS733" s="2">
        <v>0</v>
      </c>
      <c r="AT733" s="2">
        <v>0</v>
      </c>
      <c r="AZ733" s="2" t="s">
        <v>5187</v>
      </c>
      <c r="BB733" s="2" t="str">
        <f>+PROPER(BD[[#This Row],[PRIMER_APELLIDO]])</f>
        <v>Jarquin</v>
      </c>
    </row>
    <row r="734" spans="1:54" x14ac:dyDescent="0.25">
      <c r="A734" s="2">
        <v>733</v>
      </c>
      <c r="B734" s="2">
        <v>49621</v>
      </c>
      <c r="C734" s="2" t="s">
        <v>619</v>
      </c>
      <c r="D734" s="2" t="s">
        <v>620</v>
      </c>
      <c r="E734" s="2" t="s">
        <v>5188</v>
      </c>
      <c r="F734" s="2">
        <v>25022502</v>
      </c>
      <c r="G734" s="3">
        <v>37.799999999999997</v>
      </c>
      <c r="H734" s="2" t="s">
        <v>622</v>
      </c>
      <c r="I734" s="2" t="s">
        <v>5189</v>
      </c>
      <c r="J734" s="2" t="str">
        <f>+IF(BD[[#This Row],[DEPARTAMENTO_INSS]]="MANAGUA","_01_","_02_")</f>
        <v>_02_</v>
      </c>
      <c r="K734" s="2" t="str">
        <f>+CONCATENATE(BD[[#This Row],[Columna3]],BD[[#This Row],[Columna4]],BD[[#This Row],[NOMBRE COMPLETO]])</f>
        <v>E003_02_LEXANDRA BETANCO VELASQUEZ</v>
      </c>
      <c r="L734" s="2" t="s">
        <v>5190</v>
      </c>
      <c r="N734" s="2" t="s">
        <v>253</v>
      </c>
      <c r="O734" s="2" t="s">
        <v>48</v>
      </c>
      <c r="P734" s="2" t="s">
        <v>626</v>
      </c>
      <c r="Q734" s="2" t="s">
        <v>351</v>
      </c>
      <c r="R734" s="2">
        <v>30999</v>
      </c>
      <c r="S734" s="2">
        <v>30999</v>
      </c>
      <c r="T734" s="2" t="s">
        <v>444</v>
      </c>
      <c r="U734" s="2" t="s">
        <v>444</v>
      </c>
      <c r="V734" s="2" t="s">
        <v>764</v>
      </c>
      <c r="W734" s="2" t="s">
        <v>764</v>
      </c>
      <c r="X734" s="2" t="s">
        <v>5191</v>
      </c>
      <c r="Y734" s="2" t="s">
        <v>5192</v>
      </c>
      <c r="Z734" s="2">
        <v>86997797</v>
      </c>
      <c r="AA734" s="2">
        <v>86990797</v>
      </c>
      <c r="AB734" s="2" t="s">
        <v>631</v>
      </c>
      <c r="AC734" s="2" t="s">
        <v>632</v>
      </c>
      <c r="AD734" s="2">
        <v>86997797</v>
      </c>
      <c r="AF734" s="2">
        <v>86990797</v>
      </c>
      <c r="AJ734" s="2">
        <v>86997797</v>
      </c>
      <c r="AK734" s="2">
        <v>2</v>
      </c>
      <c r="AL734" s="2" t="s">
        <v>633</v>
      </c>
      <c r="AM734" s="2">
        <v>0</v>
      </c>
      <c r="AN734" s="2">
        <v>0</v>
      </c>
      <c r="AO734" s="2">
        <v>1</v>
      </c>
      <c r="AP734" s="2">
        <v>0</v>
      </c>
      <c r="AQ734" s="2">
        <v>0</v>
      </c>
      <c r="AR734" s="2">
        <v>0</v>
      </c>
      <c r="AS734" s="2">
        <v>0</v>
      </c>
      <c r="AT734" s="2">
        <v>0</v>
      </c>
      <c r="BB734" s="2" t="str">
        <f>+PROPER(BD[[#This Row],[PRIMER_APELLIDO]])</f>
        <v>Betanco</v>
      </c>
    </row>
    <row r="735" spans="1:54" x14ac:dyDescent="0.25">
      <c r="A735" s="2">
        <v>734</v>
      </c>
      <c r="B735" s="2">
        <v>39870</v>
      </c>
      <c r="C735" s="2" t="s">
        <v>619</v>
      </c>
      <c r="D735" s="2" t="s">
        <v>620</v>
      </c>
      <c r="E735" s="2" t="s">
        <v>5193</v>
      </c>
      <c r="F735" s="2">
        <v>23112058</v>
      </c>
      <c r="G735" s="3">
        <v>37.802739726027397</v>
      </c>
      <c r="H735" s="2" t="s">
        <v>622</v>
      </c>
      <c r="I735" s="2" t="s">
        <v>5194</v>
      </c>
      <c r="J735" s="2" t="str">
        <f>+IF(BD[[#This Row],[DEPARTAMENTO_INSS]]="MANAGUA","_01_","_02_")</f>
        <v>_01_</v>
      </c>
      <c r="K735" s="2" t="str">
        <f>+CONCATENATE(BD[[#This Row],[Columna3]],BD[[#This Row],[Columna4]],BD[[#This Row],[NOMBRE COMPLETO]])</f>
        <v>E003_01_ARMANDO JOSE GOMEZ TORRENTES</v>
      </c>
      <c r="L735" s="2" t="s">
        <v>5195</v>
      </c>
      <c r="M735" s="2" t="s">
        <v>243</v>
      </c>
      <c r="N735" s="2" t="s">
        <v>43</v>
      </c>
      <c r="O735" s="2" t="s">
        <v>5196</v>
      </c>
      <c r="P735" s="2" t="s">
        <v>649</v>
      </c>
      <c r="Q735" s="2" t="s">
        <v>351</v>
      </c>
      <c r="R735" s="2">
        <v>30998</v>
      </c>
      <c r="S735" s="2">
        <v>30998</v>
      </c>
      <c r="T735" s="2" t="s">
        <v>627</v>
      </c>
      <c r="U735" s="2" t="s">
        <v>627</v>
      </c>
      <c r="V735" s="2" t="s">
        <v>627</v>
      </c>
      <c r="W735" s="2" t="s">
        <v>627</v>
      </c>
      <c r="X735" s="2" t="s">
        <v>5197</v>
      </c>
      <c r="Y735" s="2" t="s">
        <v>5198</v>
      </c>
      <c r="AA735" s="2" t="s">
        <v>5199</v>
      </c>
      <c r="AB735" s="2" t="s">
        <v>654</v>
      </c>
      <c r="AC735" s="2" t="s">
        <v>632</v>
      </c>
      <c r="AE735" s="2">
        <v>83675547</v>
      </c>
      <c r="AJ735" s="2">
        <v>83675547</v>
      </c>
      <c r="AK735" s="2">
        <v>2</v>
      </c>
      <c r="AL735" s="2" t="s">
        <v>633</v>
      </c>
      <c r="AM735" s="2">
        <v>0</v>
      </c>
      <c r="AN735" s="2">
        <v>0</v>
      </c>
      <c r="AO735" s="2">
        <v>1</v>
      </c>
      <c r="AP735" s="2">
        <v>0</v>
      </c>
      <c r="AQ735" s="2">
        <v>0</v>
      </c>
      <c r="AR735" s="2">
        <v>0</v>
      </c>
      <c r="AS735" s="2">
        <v>0</v>
      </c>
      <c r="AT735" s="2">
        <v>0</v>
      </c>
      <c r="BB735" s="2" t="str">
        <f>+PROPER(BD[[#This Row],[PRIMER_APELLIDO]])</f>
        <v>Gomez</v>
      </c>
    </row>
    <row r="736" spans="1:54" x14ac:dyDescent="0.25">
      <c r="A736" s="2">
        <v>735</v>
      </c>
      <c r="B736" s="2">
        <v>49076</v>
      </c>
      <c r="C736" s="2" t="s">
        <v>619</v>
      </c>
      <c r="D736" s="2" t="s">
        <v>620</v>
      </c>
      <c r="E736" s="2" t="s">
        <v>5200</v>
      </c>
      <c r="F736" s="2">
        <v>25024115</v>
      </c>
      <c r="G736" s="3">
        <v>37.805479452054797</v>
      </c>
      <c r="H736" s="2" t="s">
        <v>622</v>
      </c>
      <c r="I736" s="2" t="s">
        <v>5201</v>
      </c>
      <c r="J736" s="2" t="str">
        <f>+IF(BD[[#This Row],[DEPARTAMENTO_INSS]]="MANAGUA","_01_","_02_")</f>
        <v>_02_</v>
      </c>
      <c r="K736" s="2" t="str">
        <f>+CONCATENATE(BD[[#This Row],[Columna3]],BD[[#This Row],[Columna4]],BD[[#This Row],[NOMBRE COMPLETO]])</f>
        <v>E003_02_DOMINGO ANTONIO CASTRO OLAYO</v>
      </c>
      <c r="L736" s="2" t="s">
        <v>5202</v>
      </c>
      <c r="M736" s="2" t="s">
        <v>904</v>
      </c>
      <c r="N736" s="2" t="s">
        <v>163</v>
      </c>
      <c r="O736" s="2" t="s">
        <v>5203</v>
      </c>
      <c r="P736" s="2" t="s">
        <v>649</v>
      </c>
      <c r="Q736" s="2" t="s">
        <v>351</v>
      </c>
      <c r="R736" s="2">
        <v>30997</v>
      </c>
      <c r="S736" s="2">
        <v>30997</v>
      </c>
      <c r="T736" s="2" t="s">
        <v>627</v>
      </c>
      <c r="U736" s="2" t="s">
        <v>1005</v>
      </c>
      <c r="V736" s="2" t="s">
        <v>627</v>
      </c>
      <c r="W736" s="2" t="s">
        <v>1006</v>
      </c>
      <c r="X736" s="2" t="s">
        <v>5204</v>
      </c>
      <c r="Y736" s="2" t="s">
        <v>5205</v>
      </c>
      <c r="Z736" s="2">
        <v>87480604</v>
      </c>
      <c r="AA736" s="2">
        <v>27922298</v>
      </c>
      <c r="AB736" s="2" t="s">
        <v>798</v>
      </c>
      <c r="AC736" s="2" t="s">
        <v>632</v>
      </c>
      <c r="AD736" s="2">
        <v>87480604</v>
      </c>
      <c r="AJ736" s="2">
        <v>87480604</v>
      </c>
      <c r="AK736" s="2">
        <v>2</v>
      </c>
      <c r="AL736" s="2" t="s">
        <v>633</v>
      </c>
      <c r="AM736" s="2">
        <v>0</v>
      </c>
      <c r="AN736" s="2">
        <v>0</v>
      </c>
      <c r="AO736" s="2">
        <v>1</v>
      </c>
      <c r="AP736" s="2">
        <v>0</v>
      </c>
      <c r="AQ736" s="2">
        <v>0</v>
      </c>
      <c r="AR736" s="2">
        <v>0</v>
      </c>
      <c r="AS736" s="2">
        <v>0</v>
      </c>
      <c r="AT736" s="2">
        <v>0</v>
      </c>
      <c r="AZ736" s="2" t="s">
        <v>5206</v>
      </c>
      <c r="BB736" s="2" t="str">
        <f>+PROPER(BD[[#This Row],[PRIMER_APELLIDO]])</f>
        <v>Castro</v>
      </c>
    </row>
    <row r="737" spans="1:54" x14ac:dyDescent="0.25">
      <c r="A737" s="2">
        <v>736</v>
      </c>
      <c r="B737" s="2">
        <v>31529</v>
      </c>
      <c r="C737" s="2" t="s">
        <v>619</v>
      </c>
      <c r="D737" s="2" t="s">
        <v>620</v>
      </c>
      <c r="E737" s="2" t="s">
        <v>5207</v>
      </c>
      <c r="F737" s="2">
        <v>21872512</v>
      </c>
      <c r="G737" s="3">
        <v>37.80821917808219</v>
      </c>
      <c r="H737" s="2" t="s">
        <v>622</v>
      </c>
      <c r="I737" s="2" t="s">
        <v>5208</v>
      </c>
      <c r="J737" s="2" t="str">
        <f>+IF(BD[[#This Row],[DEPARTAMENTO_INSS]]="MANAGUA","_01_","_02_")</f>
        <v>_02_</v>
      </c>
      <c r="K737" s="2" t="str">
        <f>+CONCATENATE(BD[[#This Row],[Columna3]],BD[[#This Row],[Columna4]],BD[[#This Row],[NOMBRE COMPLETO]])</f>
        <v>E003_02_VICTOR HUGO PALACIOS GONZALEZ</v>
      </c>
      <c r="L737" s="2" t="s">
        <v>1314</v>
      </c>
      <c r="M737" s="2" t="s">
        <v>1222</v>
      </c>
      <c r="N737" s="2" t="s">
        <v>201</v>
      </c>
      <c r="O737" s="2" t="s">
        <v>14</v>
      </c>
      <c r="P737" s="2" t="s">
        <v>649</v>
      </c>
      <c r="Q737" s="2" t="s">
        <v>351</v>
      </c>
      <c r="R737" s="2">
        <v>30996</v>
      </c>
      <c r="S737" s="2">
        <v>30996</v>
      </c>
      <c r="T737" s="2" t="s">
        <v>732</v>
      </c>
      <c r="U737" s="2" t="s">
        <v>732</v>
      </c>
      <c r="V737" s="2" t="s">
        <v>732</v>
      </c>
      <c r="W737" s="2" t="s">
        <v>732</v>
      </c>
      <c r="X737" s="2" t="s">
        <v>5209</v>
      </c>
      <c r="Y737" s="2" t="s">
        <v>5210</v>
      </c>
      <c r="AA737" s="2" t="s">
        <v>5211</v>
      </c>
      <c r="AB737" s="2" t="s">
        <v>798</v>
      </c>
      <c r="AC737" s="2" t="s">
        <v>632</v>
      </c>
      <c r="AD737" s="2">
        <v>89886949</v>
      </c>
      <c r="AE737" s="2">
        <v>86697753</v>
      </c>
      <c r="AJ737" s="2">
        <v>89886949</v>
      </c>
      <c r="AK737" s="2">
        <v>2</v>
      </c>
      <c r="AL737" s="2" t="s">
        <v>633</v>
      </c>
      <c r="AM737" s="2">
        <v>0</v>
      </c>
      <c r="AN737" s="2">
        <v>0</v>
      </c>
      <c r="AO737" s="2">
        <v>1</v>
      </c>
      <c r="AP737" s="2">
        <v>0</v>
      </c>
      <c r="AQ737" s="2">
        <v>0</v>
      </c>
      <c r="AR737" s="2">
        <v>0</v>
      </c>
      <c r="AS737" s="2">
        <v>0</v>
      </c>
      <c r="AT737" s="2">
        <v>0</v>
      </c>
      <c r="BB737" s="2" t="str">
        <f>+PROPER(BD[[#This Row],[PRIMER_APELLIDO]])</f>
        <v>Palacios</v>
      </c>
    </row>
    <row r="738" spans="1:54" x14ac:dyDescent="0.25">
      <c r="A738" s="2">
        <v>737</v>
      </c>
      <c r="B738" s="2">
        <v>31780</v>
      </c>
      <c r="C738" s="2" t="s">
        <v>619</v>
      </c>
      <c r="D738" s="2" t="s">
        <v>620</v>
      </c>
      <c r="E738" s="2" t="s">
        <v>5212</v>
      </c>
      <c r="F738" s="2">
        <v>22104546</v>
      </c>
      <c r="G738" s="3">
        <v>37.816438356164383</v>
      </c>
      <c r="H738" s="2" t="s">
        <v>622</v>
      </c>
      <c r="I738" s="2" t="s">
        <v>5213</v>
      </c>
      <c r="J738" s="2" t="str">
        <f>+IF(BD[[#This Row],[DEPARTAMENTO_INSS]]="MANAGUA","_01_","_02_")</f>
        <v>_02_</v>
      </c>
      <c r="K738" s="2" t="str">
        <f>+CONCATENATE(BD[[#This Row],[Columna3]],BD[[#This Row],[Columna4]],BD[[#This Row],[NOMBRE COMPLETO]])</f>
        <v>E003_02_MARIA GABRIELA JARQUIN LESAGE</v>
      </c>
      <c r="L738" s="2" t="s">
        <v>724</v>
      </c>
      <c r="M738" s="2" t="s">
        <v>1211</v>
      </c>
      <c r="N738" s="2" t="s">
        <v>85</v>
      </c>
      <c r="O738" s="2" t="s">
        <v>5214</v>
      </c>
      <c r="P738" s="2" t="s">
        <v>626</v>
      </c>
      <c r="Q738" s="2" t="s">
        <v>351</v>
      </c>
      <c r="R738" s="2">
        <v>30993</v>
      </c>
      <c r="S738" s="2">
        <v>30993</v>
      </c>
      <c r="T738" s="2" t="s">
        <v>133</v>
      </c>
      <c r="U738" s="2" t="s">
        <v>133</v>
      </c>
      <c r="V738" s="2" t="s">
        <v>869</v>
      </c>
      <c r="W738" s="2" t="s">
        <v>869</v>
      </c>
      <c r="X738" s="2" t="s">
        <v>5215</v>
      </c>
      <c r="Y738" s="2" t="s">
        <v>5216</v>
      </c>
      <c r="AA738" s="2">
        <v>25322352</v>
      </c>
      <c r="AB738" s="2" t="s">
        <v>642</v>
      </c>
      <c r="AC738" s="2" t="s">
        <v>632</v>
      </c>
      <c r="AK738" s="2">
        <v>1</v>
      </c>
      <c r="AL738" s="2" t="s">
        <v>633</v>
      </c>
      <c r="AM738" s="2">
        <v>0</v>
      </c>
      <c r="AN738" s="2">
        <v>0</v>
      </c>
      <c r="AO738" s="2">
        <v>1</v>
      </c>
      <c r="AP738" s="2">
        <v>0</v>
      </c>
      <c r="AQ738" s="2">
        <v>0</v>
      </c>
      <c r="AR738" s="2">
        <v>0</v>
      </c>
      <c r="AS738" s="2">
        <v>0</v>
      </c>
      <c r="AT738" s="2">
        <v>0</v>
      </c>
      <c r="BB738" s="2" t="str">
        <f>+PROPER(BD[[#This Row],[PRIMER_APELLIDO]])</f>
        <v>Jarquin</v>
      </c>
    </row>
    <row r="739" spans="1:54" x14ac:dyDescent="0.25">
      <c r="A739" s="2">
        <v>738</v>
      </c>
      <c r="B739" s="2">
        <v>61831</v>
      </c>
      <c r="C739" s="2" t="s">
        <v>619</v>
      </c>
      <c r="D739" s="2" t="s">
        <v>620</v>
      </c>
      <c r="E739" s="2" t="s">
        <v>5217</v>
      </c>
      <c r="G739" s="3">
        <v>37.816438356164383</v>
      </c>
      <c r="H739" s="2" t="s">
        <v>622</v>
      </c>
      <c r="I739" s="2" t="s">
        <v>5218</v>
      </c>
      <c r="J739" s="2" t="str">
        <f>+IF(BD[[#This Row],[DEPARTAMENTO_INSS]]="MANAGUA","_01_","_02_")</f>
        <v>_01_</v>
      </c>
      <c r="K739" s="2" t="str">
        <f>+CONCATENATE(BD[[#This Row],[Columna3]],BD[[#This Row],[Columna4]],BD[[#This Row],[NOMBRE COMPLETO]])</f>
        <v>E003_01_MARGINA MERCEDES SOMARRIBA ARAUZ</v>
      </c>
      <c r="L739" s="2" t="s">
        <v>5219</v>
      </c>
      <c r="M739" s="2" t="s">
        <v>769</v>
      </c>
      <c r="N739" s="2" t="s">
        <v>50</v>
      </c>
      <c r="O739" s="2" t="s">
        <v>174</v>
      </c>
      <c r="P739" s="2" t="s">
        <v>626</v>
      </c>
      <c r="Q739" s="2" t="s">
        <v>351</v>
      </c>
      <c r="R739" s="2">
        <v>30993</v>
      </c>
      <c r="S739" s="2">
        <v>30993</v>
      </c>
      <c r="T739" s="2" t="s">
        <v>627</v>
      </c>
      <c r="U739" s="2" t="s">
        <v>627</v>
      </c>
      <c r="V739" s="2" t="s">
        <v>627</v>
      </c>
      <c r="W739" s="2" t="s">
        <v>627</v>
      </c>
      <c r="X739" s="2" t="s">
        <v>5220</v>
      </c>
      <c r="Y739" s="2" t="s">
        <v>5221</v>
      </c>
      <c r="Z739" s="2">
        <v>88109490</v>
      </c>
      <c r="AA739" s="2" t="s">
        <v>5222</v>
      </c>
      <c r="AB739" s="2" t="s">
        <v>773</v>
      </c>
      <c r="AC739" s="2" t="s">
        <v>632</v>
      </c>
      <c r="AD739" s="2">
        <v>88109490</v>
      </c>
      <c r="AE739" s="2">
        <v>86329971</v>
      </c>
      <c r="AJ739" s="2">
        <v>88109490</v>
      </c>
      <c r="AK739" s="2">
        <v>3</v>
      </c>
      <c r="AL739" s="2" t="s">
        <v>633</v>
      </c>
      <c r="AM739" s="2">
        <v>0</v>
      </c>
      <c r="AN739" s="2">
        <v>0</v>
      </c>
      <c r="AO739" s="2">
        <v>1</v>
      </c>
      <c r="AP739" s="2">
        <v>0</v>
      </c>
      <c r="AQ739" s="2">
        <v>0</v>
      </c>
      <c r="AR739" s="2">
        <v>0</v>
      </c>
      <c r="AS739" s="2">
        <v>0</v>
      </c>
      <c r="AT739" s="2">
        <v>0</v>
      </c>
      <c r="AZ739" s="2" t="s">
        <v>5223</v>
      </c>
      <c r="BB739" s="2" t="str">
        <f>+PROPER(BD[[#This Row],[PRIMER_APELLIDO]])</f>
        <v>Somarriba</v>
      </c>
    </row>
    <row r="740" spans="1:54" x14ac:dyDescent="0.25">
      <c r="A740" s="2">
        <v>739</v>
      </c>
      <c r="B740" s="2">
        <v>31936</v>
      </c>
      <c r="C740" s="2" t="s">
        <v>619</v>
      </c>
      <c r="D740" s="2" t="s">
        <v>620</v>
      </c>
      <c r="E740" s="2" t="s">
        <v>5224</v>
      </c>
      <c r="F740" s="2">
        <v>22303491</v>
      </c>
      <c r="G740" s="3">
        <v>37.827397260273976</v>
      </c>
      <c r="H740" s="2" t="s">
        <v>622</v>
      </c>
      <c r="I740" s="2" t="s">
        <v>5225</v>
      </c>
      <c r="J740" s="2" t="str">
        <f>+IF(BD[[#This Row],[DEPARTAMENTO_INSS]]="MANAGUA","_01_","_02_")</f>
        <v>_01_</v>
      </c>
      <c r="K740" s="2" t="str">
        <f>+CONCATENATE(BD[[#This Row],[Columna3]],BD[[#This Row],[Columna4]],BD[[#This Row],[NOMBRE COMPLETO]])</f>
        <v>E003_01_JETTZABELL DEL CARMEN TOLEDO ARANA</v>
      </c>
      <c r="L740" s="2" t="s">
        <v>5226</v>
      </c>
      <c r="M740" s="2" t="s">
        <v>961</v>
      </c>
      <c r="N740" s="2" t="s">
        <v>146</v>
      </c>
      <c r="O740" s="2" t="s">
        <v>40</v>
      </c>
      <c r="P740" s="2" t="s">
        <v>626</v>
      </c>
      <c r="Q740" s="2" t="s">
        <v>351</v>
      </c>
      <c r="R740" s="2">
        <v>30989</v>
      </c>
      <c r="S740" s="2">
        <v>30989</v>
      </c>
      <c r="T740" s="2" t="s">
        <v>627</v>
      </c>
      <c r="U740" s="2" t="s">
        <v>627</v>
      </c>
      <c r="V740" s="2" t="s">
        <v>627</v>
      </c>
      <c r="W740" s="2" t="s">
        <v>627</v>
      </c>
      <c r="X740" s="2" t="s">
        <v>5227</v>
      </c>
      <c r="Y740" s="2" t="s">
        <v>5228</v>
      </c>
      <c r="AA740" s="2">
        <v>88663699</v>
      </c>
      <c r="AB740" s="2" t="s">
        <v>642</v>
      </c>
      <c r="AC740" s="2" t="s">
        <v>632</v>
      </c>
      <c r="AD740" s="2">
        <v>88663699</v>
      </c>
      <c r="AJ740" s="2">
        <v>88663699</v>
      </c>
      <c r="AK740" s="2">
        <v>1</v>
      </c>
      <c r="AL740" s="2" t="s">
        <v>633</v>
      </c>
      <c r="AM740" s="2">
        <v>0</v>
      </c>
      <c r="AN740" s="2">
        <v>0</v>
      </c>
      <c r="AO740" s="2">
        <v>1</v>
      </c>
      <c r="AP740" s="2">
        <v>0</v>
      </c>
      <c r="AQ740" s="2">
        <v>0</v>
      </c>
      <c r="AR740" s="2">
        <v>0</v>
      </c>
      <c r="AS740" s="2">
        <v>0</v>
      </c>
      <c r="AT740" s="2">
        <v>0</v>
      </c>
      <c r="BB740" s="2" t="str">
        <f>+PROPER(BD[[#This Row],[PRIMER_APELLIDO]])</f>
        <v>Toledo</v>
      </c>
    </row>
    <row r="741" spans="1:54" x14ac:dyDescent="0.25">
      <c r="A741" s="2">
        <v>740</v>
      </c>
      <c r="B741" s="2">
        <v>23558</v>
      </c>
      <c r="C741" s="2" t="s">
        <v>619</v>
      </c>
      <c r="D741" s="2" t="s">
        <v>620</v>
      </c>
      <c r="E741" s="2" t="s">
        <v>5229</v>
      </c>
      <c r="F741" s="2">
        <v>18375776</v>
      </c>
      <c r="G741" s="3">
        <v>37.832876712328769</v>
      </c>
      <c r="H741" s="2" t="s">
        <v>622</v>
      </c>
      <c r="I741" s="2" t="s">
        <v>5230</v>
      </c>
      <c r="J741" s="2" t="str">
        <f>+IF(BD[[#This Row],[DEPARTAMENTO_INSS]]="MANAGUA","_01_","_02_")</f>
        <v>_01_</v>
      </c>
      <c r="K741" s="2" t="str">
        <f>+CONCATENATE(BD[[#This Row],[Columna3]],BD[[#This Row],[Columna4]],BD[[#This Row],[NOMBRE COMPLETO]])</f>
        <v>E003_01_EDWIN SALVADOR URBINA SILVA</v>
      </c>
      <c r="L741" s="2" t="s">
        <v>996</v>
      </c>
      <c r="M741" s="2" t="s">
        <v>1103</v>
      </c>
      <c r="N741" s="2" t="s">
        <v>86</v>
      </c>
      <c r="O741" s="2" t="s">
        <v>113</v>
      </c>
      <c r="P741" s="2" t="s">
        <v>649</v>
      </c>
      <c r="Q741" s="2" t="s">
        <v>351</v>
      </c>
      <c r="R741" s="2">
        <v>30987</v>
      </c>
      <c r="S741" s="2">
        <v>30987</v>
      </c>
      <c r="U741" s="2" t="s">
        <v>627</v>
      </c>
      <c r="W741" s="2" t="s">
        <v>627</v>
      </c>
      <c r="X741" s="2" t="s">
        <v>5231</v>
      </c>
      <c r="Y741" s="2" t="s">
        <v>5232</v>
      </c>
      <c r="AA741" s="2">
        <v>87989252</v>
      </c>
      <c r="AB741" s="2" t="s">
        <v>894</v>
      </c>
      <c r="AC741" s="2" t="s">
        <v>632</v>
      </c>
      <c r="AD741" s="2">
        <v>87989252</v>
      </c>
      <c r="AJ741" s="2">
        <v>87989252</v>
      </c>
      <c r="AK741" s="2">
        <v>1</v>
      </c>
      <c r="AL741" s="2" t="s">
        <v>633</v>
      </c>
      <c r="AM741" s="2">
        <v>0</v>
      </c>
      <c r="AN741" s="2">
        <v>0</v>
      </c>
      <c r="AO741" s="2">
        <v>1</v>
      </c>
      <c r="AP741" s="2">
        <v>0</v>
      </c>
      <c r="AQ741" s="2">
        <v>0</v>
      </c>
      <c r="AR741" s="2">
        <v>0</v>
      </c>
      <c r="AS741" s="2">
        <v>0</v>
      </c>
      <c r="AT741" s="2">
        <v>0</v>
      </c>
      <c r="BB741" s="2" t="str">
        <f>+PROPER(BD[[#This Row],[PRIMER_APELLIDO]])</f>
        <v>Urbina</v>
      </c>
    </row>
    <row r="742" spans="1:54" x14ac:dyDescent="0.25">
      <c r="A742" s="2">
        <v>741</v>
      </c>
      <c r="B742" s="2">
        <v>50538</v>
      </c>
      <c r="C742" s="2" t="s">
        <v>619</v>
      </c>
      <c r="D742" s="2" t="s">
        <v>620</v>
      </c>
      <c r="E742" s="2" t="s">
        <v>5233</v>
      </c>
      <c r="F742" s="2">
        <v>25022661</v>
      </c>
      <c r="G742" s="3">
        <v>37.841095890410962</v>
      </c>
      <c r="H742" s="2" t="s">
        <v>622</v>
      </c>
      <c r="I742" s="2" t="s">
        <v>5234</v>
      </c>
      <c r="J742" s="2" t="str">
        <f>+IF(BD[[#This Row],[DEPARTAMENTO_INSS]]="MANAGUA","_01_","_02_")</f>
        <v>_02_</v>
      </c>
      <c r="K742" s="2" t="str">
        <f>+CONCATENATE(BD[[#This Row],[Columna3]],BD[[#This Row],[Columna4]],BD[[#This Row],[NOMBRE COMPLETO]])</f>
        <v>E003_02_YORLENY DEYANIRA HERRERA PALACIOS</v>
      </c>
      <c r="L742" s="2" t="s">
        <v>5235</v>
      </c>
      <c r="M742" s="2" t="s">
        <v>5236</v>
      </c>
      <c r="N742" s="2" t="s">
        <v>179</v>
      </c>
      <c r="O742" s="2" t="s">
        <v>201</v>
      </c>
      <c r="P742" s="2" t="s">
        <v>626</v>
      </c>
      <c r="Q742" s="2" t="s">
        <v>351</v>
      </c>
      <c r="R742" s="2">
        <v>30984</v>
      </c>
      <c r="S742" s="2">
        <v>30984</v>
      </c>
      <c r="T742" s="2" t="s">
        <v>627</v>
      </c>
      <c r="U742" s="2" t="s">
        <v>1005</v>
      </c>
      <c r="V742" s="2" t="s">
        <v>627</v>
      </c>
      <c r="W742" s="2" t="s">
        <v>1988</v>
      </c>
      <c r="X742" s="2" t="s">
        <v>5237</v>
      </c>
      <c r="Y742" s="2" t="s">
        <v>5238</v>
      </c>
      <c r="Z742" s="2">
        <v>87064164</v>
      </c>
      <c r="AA742" s="2">
        <v>87064164</v>
      </c>
      <c r="AB742" s="2" t="s">
        <v>798</v>
      </c>
      <c r="AC742" s="2" t="s">
        <v>632</v>
      </c>
      <c r="AD742" s="2">
        <v>87064164</v>
      </c>
      <c r="AJ742" s="2">
        <v>87064164</v>
      </c>
      <c r="AK742" s="2">
        <v>2</v>
      </c>
      <c r="AL742" s="2" t="s">
        <v>633</v>
      </c>
      <c r="AM742" s="2">
        <v>0</v>
      </c>
      <c r="AN742" s="2">
        <v>0</v>
      </c>
      <c r="AO742" s="2">
        <v>1</v>
      </c>
      <c r="AP742" s="2">
        <v>0</v>
      </c>
      <c r="AQ742" s="2">
        <v>0</v>
      </c>
      <c r="AR742" s="2">
        <v>0</v>
      </c>
      <c r="AS742" s="2">
        <v>0</v>
      </c>
      <c r="AT742" s="2">
        <v>0</v>
      </c>
      <c r="AZ742" s="2" t="s">
        <v>5239</v>
      </c>
      <c r="BB742" s="2" t="str">
        <f>+PROPER(BD[[#This Row],[PRIMER_APELLIDO]])</f>
        <v>Herrera</v>
      </c>
    </row>
    <row r="743" spans="1:54" x14ac:dyDescent="0.25">
      <c r="A743" s="2">
        <v>742</v>
      </c>
      <c r="B743" s="2">
        <v>50335</v>
      </c>
      <c r="C743" s="2" t="s">
        <v>619</v>
      </c>
      <c r="D743" s="2" t="s">
        <v>620</v>
      </c>
      <c r="E743" s="2" t="s">
        <v>5240</v>
      </c>
      <c r="F743" s="2">
        <v>16589207</v>
      </c>
      <c r="G743" s="3">
        <v>37.843835616438355</v>
      </c>
      <c r="H743" s="2" t="s">
        <v>622</v>
      </c>
      <c r="I743" s="2" t="s">
        <v>5241</v>
      </c>
      <c r="J743" s="2" t="str">
        <f>+IF(BD[[#This Row],[DEPARTAMENTO_INSS]]="MANAGUA","_01_","_02_")</f>
        <v>_02_</v>
      </c>
      <c r="K743" s="2" t="str">
        <f>+CONCATENATE(BD[[#This Row],[Columna3]],BD[[#This Row],[Columna4]],BD[[#This Row],[NOMBRE COMPLETO]])</f>
        <v>E003_02_DONALD HUMBERTO CARRANZA GALAN</v>
      </c>
      <c r="L743" s="2" t="s">
        <v>3595</v>
      </c>
      <c r="M743" s="2" t="s">
        <v>2023</v>
      </c>
      <c r="N743" s="2" t="s">
        <v>260</v>
      </c>
      <c r="O743" s="2" t="s">
        <v>5242</v>
      </c>
      <c r="P743" s="2" t="s">
        <v>649</v>
      </c>
      <c r="Q743" s="2" t="s">
        <v>351</v>
      </c>
      <c r="R743" s="2">
        <v>30983</v>
      </c>
      <c r="S743" s="2">
        <v>30983</v>
      </c>
      <c r="T743" s="2" t="s">
        <v>732</v>
      </c>
      <c r="U743" s="2" t="s">
        <v>732</v>
      </c>
      <c r="V743" s="2" t="s">
        <v>732</v>
      </c>
      <c r="W743" s="2" t="s">
        <v>732</v>
      </c>
      <c r="X743" s="2" t="s">
        <v>5243</v>
      </c>
      <c r="Y743" s="2" t="s">
        <v>5244</v>
      </c>
      <c r="Z743" s="2">
        <v>82633288</v>
      </c>
      <c r="AA743" s="2">
        <v>58402623</v>
      </c>
      <c r="AB743" s="2" t="s">
        <v>798</v>
      </c>
      <c r="AC743" s="2" t="s">
        <v>632</v>
      </c>
      <c r="AD743" s="2">
        <v>82633288</v>
      </c>
      <c r="AF743" s="2">
        <v>58402623</v>
      </c>
      <c r="AJ743" s="2">
        <v>82633288</v>
      </c>
      <c r="AK743" s="2">
        <v>2</v>
      </c>
      <c r="AL743" s="2" t="s">
        <v>633</v>
      </c>
      <c r="AM743" s="2">
        <v>0</v>
      </c>
      <c r="AN743" s="2">
        <v>0</v>
      </c>
      <c r="AO743" s="2">
        <v>1</v>
      </c>
      <c r="AP743" s="2">
        <v>0</v>
      </c>
      <c r="AQ743" s="2">
        <v>0</v>
      </c>
      <c r="AR743" s="2">
        <v>0</v>
      </c>
      <c r="AS743" s="2">
        <v>0</v>
      </c>
      <c r="AT743" s="2">
        <v>0</v>
      </c>
      <c r="BB743" s="2" t="str">
        <f>+PROPER(BD[[#This Row],[PRIMER_APELLIDO]])</f>
        <v>Carranza</v>
      </c>
    </row>
    <row r="744" spans="1:54" x14ac:dyDescent="0.25">
      <c r="A744" s="2">
        <v>743</v>
      </c>
      <c r="B744" s="2">
        <v>30110</v>
      </c>
      <c r="C744" s="2" t="s">
        <v>619</v>
      </c>
      <c r="D744" s="2" t="s">
        <v>620</v>
      </c>
      <c r="E744" s="2" t="s">
        <v>5245</v>
      </c>
      <c r="F744" s="2">
        <v>21721340</v>
      </c>
      <c r="G744" s="3">
        <v>37.852054794520548</v>
      </c>
      <c r="H744" s="2" t="s">
        <v>622</v>
      </c>
      <c r="I744" s="2" t="s">
        <v>5246</v>
      </c>
      <c r="J744" s="2" t="str">
        <f>+IF(BD[[#This Row],[DEPARTAMENTO_INSS]]="MANAGUA","_01_","_02_")</f>
        <v>_01_</v>
      </c>
      <c r="K744" s="2" t="str">
        <f>+CONCATENATE(BD[[#This Row],[Columna3]],BD[[#This Row],[Columna4]],BD[[#This Row],[NOMBRE COMPLETO]])</f>
        <v>E003_01_MARIA AUXILIADORA CEDEÑO VILLAGRA</v>
      </c>
      <c r="L744" s="2" t="s">
        <v>724</v>
      </c>
      <c r="M744" s="2" t="s">
        <v>970</v>
      </c>
      <c r="N744" s="2" t="s">
        <v>92</v>
      </c>
      <c r="O744" s="2" t="s">
        <v>5247</v>
      </c>
      <c r="P744" s="2" t="s">
        <v>626</v>
      </c>
      <c r="Q744" s="2" t="s">
        <v>351</v>
      </c>
      <c r="R744" s="2">
        <v>30980</v>
      </c>
      <c r="S744" s="2">
        <v>30980</v>
      </c>
      <c r="T744" s="2" t="s">
        <v>627</v>
      </c>
      <c r="U744" s="2" t="s">
        <v>627</v>
      </c>
      <c r="V744" s="2" t="s">
        <v>627</v>
      </c>
      <c r="W744" s="2" t="s">
        <v>627</v>
      </c>
      <c r="X744" s="2" t="s">
        <v>5248</v>
      </c>
      <c r="Y744" s="2" t="s">
        <v>5249</v>
      </c>
      <c r="AA744" s="2">
        <v>22897101</v>
      </c>
      <c r="AB744" s="2" t="s">
        <v>642</v>
      </c>
      <c r="AC744" s="2" t="s">
        <v>632</v>
      </c>
      <c r="AK744" s="2">
        <v>1</v>
      </c>
      <c r="AL744" s="2" t="s">
        <v>633</v>
      </c>
      <c r="AM744" s="2">
        <v>0</v>
      </c>
      <c r="AN744" s="2">
        <v>0</v>
      </c>
      <c r="AO744" s="2">
        <v>1</v>
      </c>
      <c r="AP744" s="2">
        <v>0</v>
      </c>
      <c r="AQ744" s="2">
        <v>0</v>
      </c>
      <c r="AR744" s="2">
        <v>0</v>
      </c>
      <c r="AS744" s="2">
        <v>0</v>
      </c>
      <c r="AT744" s="2">
        <v>0</v>
      </c>
      <c r="BB744" s="2" t="str">
        <f>+PROPER(BD[[#This Row],[PRIMER_APELLIDO]])</f>
        <v>Cedeño</v>
      </c>
    </row>
    <row r="745" spans="1:54" x14ac:dyDescent="0.25">
      <c r="A745" s="2">
        <v>744</v>
      </c>
      <c r="B745" s="2">
        <v>49230</v>
      </c>
      <c r="C745" s="2" t="s">
        <v>619</v>
      </c>
      <c r="D745" s="2" t="s">
        <v>620</v>
      </c>
      <c r="E745" s="2" t="s">
        <v>5250</v>
      </c>
      <c r="F745" s="2">
        <v>15623023</v>
      </c>
      <c r="G745" s="3">
        <v>37.854794520547948</v>
      </c>
      <c r="H745" s="2" t="s">
        <v>622</v>
      </c>
      <c r="I745" s="2" t="s">
        <v>5251</v>
      </c>
      <c r="J745" s="2" t="str">
        <f>+IF(BD[[#This Row],[DEPARTAMENTO_INSS]]="MANAGUA","_01_","_02_")</f>
        <v>_02_</v>
      </c>
      <c r="K745" s="2" t="str">
        <f>+CONCATENATE(BD[[#This Row],[Columna3]],BD[[#This Row],[Columna4]],BD[[#This Row],[NOMBRE COMPLETO]])</f>
        <v>E003_02_ODILI DEL SOCORRO ZELEDON DIAZ</v>
      </c>
      <c r="L745" s="2" t="s">
        <v>5252</v>
      </c>
      <c r="M745" s="2" t="s">
        <v>787</v>
      </c>
      <c r="N745" s="2" t="s">
        <v>151</v>
      </c>
      <c r="O745" s="2" t="s">
        <v>91</v>
      </c>
      <c r="P745" s="2" t="s">
        <v>626</v>
      </c>
      <c r="Q745" s="2" t="s">
        <v>351</v>
      </c>
      <c r="R745" s="2">
        <v>30979</v>
      </c>
      <c r="S745" s="2">
        <v>30979</v>
      </c>
      <c r="T745" s="2" t="s">
        <v>1104</v>
      </c>
      <c r="U745" s="2" t="s">
        <v>929</v>
      </c>
      <c r="V745" s="2" t="s">
        <v>1104</v>
      </c>
      <c r="W745" s="2" t="s">
        <v>1731</v>
      </c>
      <c r="X745" s="2" t="s">
        <v>5253</v>
      </c>
      <c r="Y745" s="2" t="s">
        <v>5254</v>
      </c>
      <c r="Z745" s="2">
        <v>86544748</v>
      </c>
      <c r="AA745" s="2">
        <v>57723711</v>
      </c>
      <c r="AB745" s="2" t="s">
        <v>631</v>
      </c>
      <c r="AC745" s="2" t="s">
        <v>632</v>
      </c>
      <c r="AD745" s="2">
        <v>86544748</v>
      </c>
      <c r="AF745" s="2">
        <v>57723711</v>
      </c>
      <c r="AJ745" s="2">
        <v>86544748</v>
      </c>
      <c r="AK745" s="2">
        <v>2</v>
      </c>
      <c r="AL745" s="2" t="s">
        <v>633</v>
      </c>
      <c r="AM745" s="2">
        <v>0</v>
      </c>
      <c r="AN745" s="2">
        <v>0</v>
      </c>
      <c r="AO745" s="2">
        <v>1</v>
      </c>
      <c r="AP745" s="2">
        <v>0</v>
      </c>
      <c r="AQ745" s="2">
        <v>0</v>
      </c>
      <c r="AR745" s="2">
        <v>0</v>
      </c>
      <c r="AS745" s="2">
        <v>0</v>
      </c>
      <c r="AT745" s="2">
        <v>0</v>
      </c>
      <c r="BB745" s="2" t="str">
        <f>+PROPER(BD[[#This Row],[PRIMER_APELLIDO]])</f>
        <v>Zeledon</v>
      </c>
    </row>
    <row r="746" spans="1:54" x14ac:dyDescent="0.25">
      <c r="A746" s="2">
        <v>745</v>
      </c>
      <c r="B746" s="2">
        <v>51570</v>
      </c>
      <c r="C746" s="2" t="s">
        <v>619</v>
      </c>
      <c r="D746" s="2" t="s">
        <v>620</v>
      </c>
      <c r="E746" s="2" t="s">
        <v>5255</v>
      </c>
      <c r="F746" s="2">
        <v>20881913</v>
      </c>
      <c r="G746" s="3">
        <v>37.854794520547948</v>
      </c>
      <c r="H746" s="2" t="s">
        <v>622</v>
      </c>
      <c r="I746" s="2" t="s">
        <v>5256</v>
      </c>
      <c r="J746" s="2" t="str">
        <f>+IF(BD[[#This Row],[DEPARTAMENTO_INSS]]="MANAGUA","_01_","_02_")</f>
        <v>_01_</v>
      </c>
      <c r="K746" s="2" t="str">
        <f>+CONCATENATE(BD[[#This Row],[Columna3]],BD[[#This Row],[Columna4]],BD[[#This Row],[NOMBRE COMPLETO]])</f>
        <v>E003_01_SHEYLA PATRICIA BLANDON SOMARRIBA</v>
      </c>
      <c r="L746" s="2" t="s">
        <v>5257</v>
      </c>
      <c r="M746" s="2" t="s">
        <v>747</v>
      </c>
      <c r="N746" s="2" t="s">
        <v>159</v>
      </c>
      <c r="O746" s="2" t="s">
        <v>50</v>
      </c>
      <c r="P746" s="2" t="s">
        <v>626</v>
      </c>
      <c r="Q746" s="2" t="s">
        <v>351</v>
      </c>
      <c r="R746" s="2">
        <v>30979</v>
      </c>
      <c r="S746" s="2">
        <v>30979</v>
      </c>
      <c r="T746" s="2" t="s">
        <v>627</v>
      </c>
      <c r="U746" s="2" t="s">
        <v>627</v>
      </c>
      <c r="V746" s="2" t="s">
        <v>627</v>
      </c>
      <c r="W746" s="2" t="s">
        <v>1498</v>
      </c>
      <c r="X746" s="2" t="s">
        <v>5258</v>
      </c>
      <c r="Y746" s="2" t="s">
        <v>5259</v>
      </c>
      <c r="AA746" s="2">
        <v>87823513</v>
      </c>
      <c r="AB746" s="2" t="s">
        <v>2629</v>
      </c>
      <c r="AC746" s="2" t="s">
        <v>632</v>
      </c>
      <c r="AD746" s="2">
        <v>87823513</v>
      </c>
      <c r="AJ746" s="2">
        <v>87823513</v>
      </c>
      <c r="AK746" s="2">
        <v>1</v>
      </c>
      <c r="AL746" s="2" t="s">
        <v>633</v>
      </c>
      <c r="AM746" s="2">
        <v>0</v>
      </c>
      <c r="AN746" s="2">
        <v>0</v>
      </c>
      <c r="AO746" s="2">
        <v>1</v>
      </c>
      <c r="AP746" s="2">
        <v>0</v>
      </c>
      <c r="AQ746" s="2">
        <v>0</v>
      </c>
      <c r="AR746" s="2">
        <v>0</v>
      </c>
      <c r="AS746" s="2">
        <v>0</v>
      </c>
      <c r="AT746" s="2">
        <v>0</v>
      </c>
      <c r="BB746" s="2" t="str">
        <f>+PROPER(BD[[#This Row],[PRIMER_APELLIDO]])</f>
        <v>Blandon</v>
      </c>
    </row>
    <row r="747" spans="1:54" x14ac:dyDescent="0.25">
      <c r="A747" s="2">
        <v>746</v>
      </c>
      <c r="B747" s="2">
        <v>32996</v>
      </c>
      <c r="C747" s="2" t="s">
        <v>619</v>
      </c>
      <c r="D747" s="2" t="s">
        <v>620</v>
      </c>
      <c r="E747" s="2" t="s">
        <v>5260</v>
      </c>
      <c r="G747" s="3">
        <v>37.863013698630134</v>
      </c>
      <c r="H747" s="2" t="s">
        <v>622</v>
      </c>
      <c r="I747" s="2" t="s">
        <v>5261</v>
      </c>
      <c r="J747" s="2" t="str">
        <f>+IF(BD[[#This Row],[DEPARTAMENTO_INSS]]="MANAGUA","_01_","_02_")</f>
        <v>_02_</v>
      </c>
      <c r="K747" s="2" t="str">
        <f>+CONCATENATE(BD[[#This Row],[Columna3]],BD[[#This Row],[Columna4]],BD[[#This Row],[NOMBRE COMPLETO]])</f>
        <v>E003_02_HAYRI DANIELA PAVON RIVAS</v>
      </c>
      <c r="L747" s="2" t="s">
        <v>5262</v>
      </c>
      <c r="M747" s="2" t="s">
        <v>1126</v>
      </c>
      <c r="N747" s="2" t="s">
        <v>345</v>
      </c>
      <c r="O747" s="2" t="s">
        <v>186</v>
      </c>
      <c r="P747" s="2" t="s">
        <v>626</v>
      </c>
      <c r="Q747" s="2" t="s">
        <v>351</v>
      </c>
      <c r="R747" s="2">
        <v>30976</v>
      </c>
      <c r="S747" s="2">
        <v>30976</v>
      </c>
      <c r="T747" s="2" t="s">
        <v>691</v>
      </c>
      <c r="U747" s="2" t="s">
        <v>691</v>
      </c>
      <c r="V747" s="2" t="s">
        <v>3571</v>
      </c>
      <c r="W747" s="2" t="s">
        <v>3571</v>
      </c>
      <c r="X747" s="2" t="s">
        <v>5263</v>
      </c>
      <c r="Y747" s="2" t="s">
        <v>5264</v>
      </c>
      <c r="Z747" s="2">
        <v>87454683</v>
      </c>
      <c r="AA747" s="2">
        <v>87454683</v>
      </c>
      <c r="AB747" s="2" t="s">
        <v>642</v>
      </c>
      <c r="AC747" s="2" t="s">
        <v>632</v>
      </c>
      <c r="AD747" s="2">
        <v>87454683</v>
      </c>
      <c r="AJ747" s="2">
        <v>87454683</v>
      </c>
      <c r="AK747" s="2">
        <v>2</v>
      </c>
      <c r="AL747" s="2" t="s">
        <v>633</v>
      </c>
      <c r="AM747" s="2">
        <v>0</v>
      </c>
      <c r="AN747" s="2">
        <v>0</v>
      </c>
      <c r="AO747" s="2">
        <v>1</v>
      </c>
      <c r="AP747" s="2">
        <v>0</v>
      </c>
      <c r="AQ747" s="2">
        <v>0</v>
      </c>
      <c r="AR747" s="2">
        <v>0</v>
      </c>
      <c r="AS747" s="2">
        <v>0</v>
      </c>
      <c r="AT747" s="2">
        <v>0</v>
      </c>
      <c r="BB747" s="2" t="str">
        <f>+PROPER(BD[[#This Row],[PRIMER_APELLIDO]])</f>
        <v>Pavon</v>
      </c>
    </row>
    <row r="748" spans="1:54" x14ac:dyDescent="0.25">
      <c r="A748" s="2">
        <v>747</v>
      </c>
      <c r="B748" s="2">
        <v>42305</v>
      </c>
      <c r="C748" s="2" t="s">
        <v>619</v>
      </c>
      <c r="D748" s="2" t="s">
        <v>620</v>
      </c>
      <c r="E748" s="2" t="s">
        <v>5265</v>
      </c>
      <c r="F748" s="2">
        <v>29110634</v>
      </c>
      <c r="G748" s="3">
        <v>37.863013698630134</v>
      </c>
      <c r="H748" s="2" t="s">
        <v>622</v>
      </c>
      <c r="I748" s="2" t="s">
        <v>5266</v>
      </c>
      <c r="J748" s="2" t="str">
        <f>+IF(BD[[#This Row],[DEPARTAMENTO_INSS]]="MANAGUA","_01_","_02_")</f>
        <v>_01_</v>
      </c>
      <c r="K748" s="2" t="str">
        <f>+CONCATENATE(BD[[#This Row],[Columna3]],BD[[#This Row],[Columna4]],BD[[#This Row],[NOMBRE COMPLETO]])</f>
        <v>E003_01_ANIBAL ANTONIO GAITAN BONILLA</v>
      </c>
      <c r="L748" s="2" t="s">
        <v>5267</v>
      </c>
      <c r="M748" s="2" t="s">
        <v>904</v>
      </c>
      <c r="N748" s="2" t="s">
        <v>54</v>
      </c>
      <c r="O748" s="2" t="s">
        <v>407</v>
      </c>
      <c r="P748" s="2" t="s">
        <v>649</v>
      </c>
      <c r="Q748" s="2" t="s">
        <v>351</v>
      </c>
      <c r="R748" s="2">
        <v>30976</v>
      </c>
      <c r="S748" s="2">
        <v>30976</v>
      </c>
      <c r="T748" s="2" t="s">
        <v>627</v>
      </c>
      <c r="U748" s="2" t="s">
        <v>627</v>
      </c>
      <c r="V748" s="2" t="s">
        <v>627</v>
      </c>
      <c r="W748" s="2" t="s">
        <v>627</v>
      </c>
      <c r="X748" s="2" t="s">
        <v>5268</v>
      </c>
      <c r="Y748" s="2" t="s">
        <v>5269</v>
      </c>
      <c r="AA748" s="2">
        <v>22661576</v>
      </c>
      <c r="AB748" s="2" t="s">
        <v>654</v>
      </c>
      <c r="AC748" s="2" t="s">
        <v>632</v>
      </c>
      <c r="AK748" s="2">
        <v>1</v>
      </c>
      <c r="AL748" s="2" t="s">
        <v>633</v>
      </c>
      <c r="AM748" s="2">
        <v>0</v>
      </c>
      <c r="AN748" s="2">
        <v>0</v>
      </c>
      <c r="AO748" s="2">
        <v>1</v>
      </c>
      <c r="AP748" s="2">
        <v>0</v>
      </c>
      <c r="AQ748" s="2">
        <v>0</v>
      </c>
      <c r="AR748" s="2">
        <v>0</v>
      </c>
      <c r="AS748" s="2">
        <v>0</v>
      </c>
      <c r="AT748" s="2">
        <v>0</v>
      </c>
      <c r="BB748" s="2" t="str">
        <f>+PROPER(BD[[#This Row],[PRIMER_APELLIDO]])</f>
        <v>Gaitan</v>
      </c>
    </row>
    <row r="749" spans="1:54" x14ac:dyDescent="0.25">
      <c r="A749" s="2">
        <v>748</v>
      </c>
      <c r="B749" s="2">
        <v>34678</v>
      </c>
      <c r="C749" s="2" t="s">
        <v>619</v>
      </c>
      <c r="D749" s="2" t="s">
        <v>620</v>
      </c>
      <c r="E749" s="2" t="s">
        <v>5270</v>
      </c>
      <c r="F749" s="2">
        <v>23464373</v>
      </c>
      <c r="G749" s="3">
        <v>37.865753424657534</v>
      </c>
      <c r="H749" s="2" t="s">
        <v>622</v>
      </c>
      <c r="I749" s="2" t="s">
        <v>5271</v>
      </c>
      <c r="J749" s="2" t="str">
        <f>+IF(BD[[#This Row],[DEPARTAMENTO_INSS]]="MANAGUA","_01_","_02_")</f>
        <v>_02_</v>
      </c>
      <c r="K749" s="2" t="str">
        <f>+CONCATENATE(BD[[#This Row],[Columna3]],BD[[#This Row],[Columna4]],BD[[#This Row],[NOMBRE COMPLETO]])</f>
        <v>E003_02_MAURICIO RAFAEL GARCIA MONCADA</v>
      </c>
      <c r="L749" s="2" t="s">
        <v>2324</v>
      </c>
      <c r="M749" s="2" t="s">
        <v>1857</v>
      </c>
      <c r="N749" s="2" t="s">
        <v>10</v>
      </c>
      <c r="O749" s="2" t="s">
        <v>332</v>
      </c>
      <c r="P749" s="2" t="s">
        <v>649</v>
      </c>
      <c r="Q749" s="2" t="s">
        <v>351</v>
      </c>
      <c r="R749" s="2">
        <v>30975</v>
      </c>
      <c r="S749" s="2">
        <v>30975</v>
      </c>
      <c r="T749" s="2" t="s">
        <v>444</v>
      </c>
      <c r="U749" s="2" t="s">
        <v>1005</v>
      </c>
      <c r="V749" s="2" t="s">
        <v>764</v>
      </c>
      <c r="W749" s="2" t="s">
        <v>1006</v>
      </c>
      <c r="X749" s="2" t="s">
        <v>5272</v>
      </c>
      <c r="Y749" s="2" t="s">
        <v>5273</v>
      </c>
      <c r="AA749" s="2" t="s">
        <v>5274</v>
      </c>
      <c r="AB749" s="2" t="s">
        <v>798</v>
      </c>
      <c r="AC749" s="2" t="s">
        <v>632</v>
      </c>
      <c r="AD749" s="2">
        <v>84983830</v>
      </c>
      <c r="AE749" s="2">
        <v>84919081</v>
      </c>
      <c r="AJ749" s="2">
        <v>84983830</v>
      </c>
      <c r="AK749" s="2">
        <v>2</v>
      </c>
      <c r="AL749" s="2" t="s">
        <v>633</v>
      </c>
      <c r="AM749" s="2">
        <v>0</v>
      </c>
      <c r="AN749" s="2">
        <v>0</v>
      </c>
      <c r="AO749" s="2">
        <v>1</v>
      </c>
      <c r="AP749" s="2">
        <v>0</v>
      </c>
      <c r="AQ749" s="2">
        <v>0</v>
      </c>
      <c r="AR749" s="2">
        <v>0</v>
      </c>
      <c r="AS749" s="2">
        <v>0</v>
      </c>
      <c r="AT749" s="2">
        <v>0</v>
      </c>
      <c r="BB749" s="2" t="str">
        <f>+PROPER(BD[[#This Row],[PRIMER_APELLIDO]])</f>
        <v>Garcia</v>
      </c>
    </row>
    <row r="750" spans="1:54" x14ac:dyDescent="0.25">
      <c r="A750" s="2">
        <v>749</v>
      </c>
      <c r="B750" s="2">
        <v>35338</v>
      </c>
      <c r="C750" s="2" t="s">
        <v>619</v>
      </c>
      <c r="D750" s="2" t="s">
        <v>620</v>
      </c>
      <c r="E750" s="2" t="s">
        <v>5275</v>
      </c>
      <c r="F750" s="2">
        <v>22416344</v>
      </c>
      <c r="G750" s="3">
        <v>37.873972602739727</v>
      </c>
      <c r="H750" s="2" t="s">
        <v>622</v>
      </c>
      <c r="I750" s="2" t="s">
        <v>5276</v>
      </c>
      <c r="J750" s="2" t="str">
        <f>+IF(BD[[#This Row],[DEPARTAMENTO_INSS]]="MANAGUA","_01_","_02_")</f>
        <v>_02_</v>
      </c>
      <c r="K750" s="2" t="str">
        <f>+CONCATENATE(BD[[#This Row],[Columna3]],BD[[#This Row],[Columna4]],BD[[#This Row],[NOMBRE COMPLETO]])</f>
        <v>E003_02_CRISTINA AURY SUAREZ ROMERO</v>
      </c>
      <c r="L750" s="2" t="s">
        <v>1795</v>
      </c>
      <c r="M750" s="2" t="s">
        <v>5277</v>
      </c>
      <c r="N750" s="2" t="s">
        <v>55</v>
      </c>
      <c r="O750" s="2" t="s">
        <v>41</v>
      </c>
      <c r="P750" s="2" t="s">
        <v>626</v>
      </c>
      <c r="Q750" s="2" t="s">
        <v>351</v>
      </c>
      <c r="R750" s="2">
        <v>30972</v>
      </c>
      <c r="S750" s="2">
        <v>30972</v>
      </c>
      <c r="T750" s="2" t="s">
        <v>627</v>
      </c>
      <c r="U750" s="2" t="s">
        <v>740</v>
      </c>
      <c r="V750" s="2" t="s">
        <v>627</v>
      </c>
      <c r="W750" s="2" t="s">
        <v>5278</v>
      </c>
      <c r="X750" s="2" t="s">
        <v>5279</v>
      </c>
      <c r="Y750" s="2" t="s">
        <v>5280</v>
      </c>
      <c r="AA750" s="2">
        <v>88330706</v>
      </c>
      <c r="AB750" s="2" t="s">
        <v>642</v>
      </c>
      <c r="AC750" s="2" t="s">
        <v>632</v>
      </c>
      <c r="AD750" s="2">
        <v>88330706</v>
      </c>
      <c r="AJ750" s="2">
        <v>88330706</v>
      </c>
      <c r="AK750" s="2">
        <v>1</v>
      </c>
      <c r="AL750" s="2" t="s">
        <v>633</v>
      </c>
      <c r="AM750" s="2">
        <v>0</v>
      </c>
      <c r="AN750" s="2">
        <v>0</v>
      </c>
      <c r="AO750" s="2">
        <v>1</v>
      </c>
      <c r="AP750" s="2">
        <v>0</v>
      </c>
      <c r="AQ750" s="2">
        <v>0</v>
      </c>
      <c r="AR750" s="2">
        <v>0</v>
      </c>
      <c r="AS750" s="2">
        <v>0</v>
      </c>
      <c r="AT750" s="2">
        <v>0</v>
      </c>
      <c r="BB750" s="2" t="str">
        <f>+PROPER(BD[[#This Row],[PRIMER_APELLIDO]])</f>
        <v>Suarez</v>
      </c>
    </row>
    <row r="751" spans="1:54" x14ac:dyDescent="0.25">
      <c r="A751" s="2">
        <v>750</v>
      </c>
      <c r="B751" s="2">
        <v>49054</v>
      </c>
      <c r="C751" s="2" t="s">
        <v>619</v>
      </c>
      <c r="D751" s="2" t="s">
        <v>620</v>
      </c>
      <c r="E751" s="2" t="s">
        <v>5281</v>
      </c>
      <c r="F751" s="2">
        <v>25022623</v>
      </c>
      <c r="G751" s="3">
        <v>37.873972602739727</v>
      </c>
      <c r="H751" s="2" t="s">
        <v>622</v>
      </c>
      <c r="I751" s="2" t="s">
        <v>5282</v>
      </c>
      <c r="J751" s="2" t="str">
        <f>+IF(BD[[#This Row],[DEPARTAMENTO_INSS]]="MANAGUA","_01_","_02_")</f>
        <v>_02_</v>
      </c>
      <c r="K751" s="2" t="str">
        <f>+CONCATENATE(BD[[#This Row],[Columna3]],BD[[#This Row],[Columna4]],BD[[#This Row],[NOMBRE COMPLETO]])</f>
        <v>E003_02_REGIS ERNESTO ALVARADO PEREZ</v>
      </c>
      <c r="L751" s="2" t="s">
        <v>5283</v>
      </c>
      <c r="M751" s="2" t="s">
        <v>4779</v>
      </c>
      <c r="N751" s="2" t="s">
        <v>18</v>
      </c>
      <c r="O751" s="2" t="s">
        <v>24</v>
      </c>
      <c r="P751" s="2" t="s">
        <v>649</v>
      </c>
      <c r="Q751" s="2" t="s">
        <v>351</v>
      </c>
      <c r="R751" s="2">
        <v>30972</v>
      </c>
      <c r="S751" s="2">
        <v>30972</v>
      </c>
      <c r="T751" s="2" t="s">
        <v>444</v>
      </c>
      <c r="U751" s="2" t="s">
        <v>444</v>
      </c>
      <c r="V751" s="2" t="s">
        <v>764</v>
      </c>
      <c r="W751" s="2" t="s">
        <v>764</v>
      </c>
      <c r="X751" s="2" t="s">
        <v>5284</v>
      </c>
      <c r="Y751" s="2" t="s">
        <v>5285</v>
      </c>
      <c r="Z751" s="2">
        <v>57070273</v>
      </c>
      <c r="AA751" s="2" t="s">
        <v>5286</v>
      </c>
      <c r="AB751" s="2" t="s">
        <v>798</v>
      </c>
      <c r="AC751" s="2" t="s">
        <v>632</v>
      </c>
      <c r="AD751" s="2">
        <v>57070273</v>
      </c>
      <c r="AH751" s="2">
        <v>86240096</v>
      </c>
      <c r="AJ751" s="2">
        <v>57070273</v>
      </c>
      <c r="AK751" s="2">
        <v>4</v>
      </c>
      <c r="AL751" s="2" t="s">
        <v>633</v>
      </c>
      <c r="AM751" s="2">
        <v>0</v>
      </c>
      <c r="AN751" s="2">
        <v>0</v>
      </c>
      <c r="AO751" s="2">
        <v>1</v>
      </c>
      <c r="AP751" s="2">
        <v>0</v>
      </c>
      <c r="AQ751" s="2">
        <v>0</v>
      </c>
      <c r="AR751" s="2">
        <v>0</v>
      </c>
      <c r="AS751" s="2">
        <v>0</v>
      </c>
      <c r="AT751" s="2">
        <v>0</v>
      </c>
      <c r="AZ751" s="2" t="s">
        <v>5287</v>
      </c>
      <c r="BB751" s="2" t="str">
        <f>+PROPER(BD[[#This Row],[PRIMER_APELLIDO]])</f>
        <v>Alvarado</v>
      </c>
    </row>
    <row r="752" spans="1:54" x14ac:dyDescent="0.25">
      <c r="A752" s="2">
        <v>751</v>
      </c>
      <c r="B752" s="2">
        <v>33012</v>
      </c>
      <c r="C752" s="2" t="s">
        <v>619</v>
      </c>
      <c r="D752" s="2" t="s">
        <v>620</v>
      </c>
      <c r="E752" s="2" t="s">
        <v>5288</v>
      </c>
      <c r="F752" s="2">
        <v>21667727</v>
      </c>
      <c r="G752" s="3">
        <v>37.87945205479452</v>
      </c>
      <c r="H752" s="2" t="s">
        <v>622</v>
      </c>
      <c r="I752" s="2" t="s">
        <v>5289</v>
      </c>
      <c r="J752" s="2" t="str">
        <f>+IF(BD[[#This Row],[DEPARTAMENTO_INSS]]="MANAGUA","_01_","_02_")</f>
        <v>_02_</v>
      </c>
      <c r="K752" s="2" t="str">
        <f>+CONCATENATE(BD[[#This Row],[Columna3]],BD[[#This Row],[Columna4]],BD[[#This Row],[NOMBRE COMPLETO]])</f>
        <v>E003_02_TERESA DEL SOCORRO BOZA</v>
      </c>
      <c r="L752" s="2" t="s">
        <v>1525</v>
      </c>
      <c r="M752" s="2" t="s">
        <v>787</v>
      </c>
      <c r="N752" s="2" t="s">
        <v>294</v>
      </c>
      <c r="P752" s="2" t="s">
        <v>626</v>
      </c>
      <c r="Q752" s="2" t="s">
        <v>351</v>
      </c>
      <c r="R752" s="2">
        <v>30970</v>
      </c>
      <c r="S752" s="2">
        <v>30970</v>
      </c>
      <c r="T752" s="2" t="s">
        <v>186</v>
      </c>
      <c r="U752" s="2" t="s">
        <v>186</v>
      </c>
      <c r="V752" s="2" t="s">
        <v>186</v>
      </c>
      <c r="W752" s="2" t="s">
        <v>186</v>
      </c>
      <c r="X752" s="2" t="s">
        <v>5290</v>
      </c>
      <c r="Y752" s="2" t="s">
        <v>5291</v>
      </c>
      <c r="Z752" s="2">
        <v>84247728</v>
      </c>
      <c r="AB752" s="2" t="s">
        <v>642</v>
      </c>
      <c r="AC752" s="2" t="s">
        <v>632</v>
      </c>
      <c r="AD752" s="2">
        <v>84247728</v>
      </c>
      <c r="AJ752" s="2">
        <v>84247728</v>
      </c>
      <c r="AK752" s="2">
        <v>1</v>
      </c>
      <c r="AL752" s="2" t="s">
        <v>633</v>
      </c>
      <c r="AM752" s="2">
        <v>0</v>
      </c>
      <c r="AN752" s="2">
        <v>0</v>
      </c>
      <c r="AO752" s="2">
        <v>1</v>
      </c>
      <c r="AP752" s="2">
        <v>0</v>
      </c>
      <c r="AQ752" s="2">
        <v>0</v>
      </c>
      <c r="AR752" s="2">
        <v>0</v>
      </c>
      <c r="AS752" s="2">
        <v>0</v>
      </c>
      <c r="AT752" s="2">
        <v>0</v>
      </c>
      <c r="AZ752" s="2" t="s">
        <v>5292</v>
      </c>
      <c r="BB752" s="2" t="str">
        <f>+PROPER(BD[[#This Row],[PRIMER_APELLIDO]])</f>
        <v>Boza</v>
      </c>
    </row>
    <row r="753" spans="1:54" x14ac:dyDescent="0.25">
      <c r="A753" s="2">
        <v>752</v>
      </c>
      <c r="B753" s="2">
        <v>39199</v>
      </c>
      <c r="C753" s="2" t="s">
        <v>619</v>
      </c>
      <c r="D753" s="2" t="s">
        <v>620</v>
      </c>
      <c r="E753" s="2" t="s">
        <v>5293</v>
      </c>
      <c r="F753" s="2">
        <v>23146884</v>
      </c>
      <c r="G753" s="3">
        <v>37.88219178082192</v>
      </c>
      <c r="H753" s="2" t="s">
        <v>622</v>
      </c>
      <c r="I753" s="2" t="s">
        <v>5294</v>
      </c>
      <c r="J753" s="2" t="str">
        <f>+IF(BD[[#This Row],[DEPARTAMENTO_INSS]]="MANAGUA","_01_","_02_")</f>
        <v>_02_</v>
      </c>
      <c r="K753" s="2" t="str">
        <f>+CONCATENATE(BD[[#This Row],[Columna3]],BD[[#This Row],[Columna4]],BD[[#This Row],[NOMBRE COMPLETO]])</f>
        <v>E003_02_ALEXIS ROLANDO GONZALEZ SAMPSON</v>
      </c>
      <c r="L753" s="2" t="s">
        <v>1142</v>
      </c>
      <c r="M753" s="2" t="s">
        <v>2357</v>
      </c>
      <c r="N753" s="2" t="s">
        <v>14</v>
      </c>
      <c r="O753" s="2" t="s">
        <v>523</v>
      </c>
      <c r="P753" s="2" t="s">
        <v>649</v>
      </c>
      <c r="Q753" s="2" t="s">
        <v>351</v>
      </c>
      <c r="R753" s="2">
        <v>30969</v>
      </c>
      <c r="S753" s="2">
        <v>30969</v>
      </c>
      <c r="T753" s="2" t="s">
        <v>176</v>
      </c>
      <c r="U753" s="2" t="s">
        <v>176</v>
      </c>
      <c r="V753" s="2" t="s">
        <v>650</v>
      </c>
      <c r="W753" s="2" t="s">
        <v>176</v>
      </c>
      <c r="X753" s="2" t="s">
        <v>5295</v>
      </c>
      <c r="Y753" s="2" t="s">
        <v>5296</v>
      </c>
      <c r="AA753" s="2" t="s">
        <v>5297</v>
      </c>
      <c r="AB753" s="2" t="s">
        <v>654</v>
      </c>
      <c r="AC753" s="2" t="s">
        <v>632</v>
      </c>
      <c r="AE753" s="2">
        <v>85189300</v>
      </c>
      <c r="AJ753" s="2">
        <v>85189300</v>
      </c>
      <c r="AK753" s="2">
        <v>2</v>
      </c>
      <c r="AL753" s="2" t="s">
        <v>633</v>
      </c>
      <c r="AM753" s="2">
        <v>0</v>
      </c>
      <c r="AN753" s="2">
        <v>0</v>
      </c>
      <c r="AO753" s="2">
        <v>1</v>
      </c>
      <c r="AP753" s="2">
        <v>0</v>
      </c>
      <c r="AQ753" s="2">
        <v>0</v>
      </c>
      <c r="AR753" s="2">
        <v>0</v>
      </c>
      <c r="AS753" s="2">
        <v>0</v>
      </c>
      <c r="AT753" s="2">
        <v>0</v>
      </c>
      <c r="BB753" s="2" t="str">
        <f>+PROPER(BD[[#This Row],[PRIMER_APELLIDO]])</f>
        <v>Gonzalez</v>
      </c>
    </row>
    <row r="754" spans="1:54" x14ac:dyDescent="0.25">
      <c r="A754" s="2">
        <v>753</v>
      </c>
      <c r="B754" s="2">
        <v>31211</v>
      </c>
      <c r="C754" s="2" t="s">
        <v>619</v>
      </c>
      <c r="D754" s="2" t="s">
        <v>620</v>
      </c>
      <c r="E754" s="2" t="s">
        <v>5298</v>
      </c>
      <c r="F754" s="2">
        <v>21666436</v>
      </c>
      <c r="G754" s="3">
        <v>37.884931506849313</v>
      </c>
      <c r="H754" s="2" t="s">
        <v>622</v>
      </c>
      <c r="I754" s="2" t="s">
        <v>5299</v>
      </c>
      <c r="J754" s="2" t="str">
        <f>+IF(BD[[#This Row],[DEPARTAMENTO_INSS]]="MANAGUA","_01_","_02_")</f>
        <v>_01_</v>
      </c>
      <c r="K754" s="2" t="str">
        <f>+CONCATENATE(BD[[#This Row],[Columna3]],BD[[#This Row],[Columna4]],BD[[#This Row],[NOMBRE COMPLETO]])</f>
        <v>E003_01_TANIA LIBERTAD TERCERO PEREZ</v>
      </c>
      <c r="L754" s="2" t="s">
        <v>2305</v>
      </c>
      <c r="M754" s="2" t="s">
        <v>2765</v>
      </c>
      <c r="N754" s="2" t="s">
        <v>175</v>
      </c>
      <c r="O754" s="2" t="s">
        <v>24</v>
      </c>
      <c r="P754" s="2" t="s">
        <v>626</v>
      </c>
      <c r="Q754" s="2" t="s">
        <v>351</v>
      </c>
      <c r="R754" s="2">
        <v>30968</v>
      </c>
      <c r="S754" s="2">
        <v>30968</v>
      </c>
      <c r="T754" s="2" t="s">
        <v>627</v>
      </c>
      <c r="U754" s="2" t="s">
        <v>627</v>
      </c>
      <c r="V754" s="2" t="s">
        <v>627</v>
      </c>
      <c r="W754" s="2" t="s">
        <v>692</v>
      </c>
      <c r="X754" s="2" t="s">
        <v>5300</v>
      </c>
      <c r="Y754" s="2" t="s">
        <v>5301</v>
      </c>
      <c r="Z754" s="2">
        <v>85218152</v>
      </c>
      <c r="AA754" s="2">
        <v>78708714</v>
      </c>
      <c r="AB754" s="2" t="s">
        <v>642</v>
      </c>
      <c r="AC754" s="2" t="s">
        <v>632</v>
      </c>
      <c r="AD754" s="2">
        <v>85218152</v>
      </c>
      <c r="AF754" s="2">
        <v>78708714</v>
      </c>
      <c r="AJ754" s="2">
        <v>85218152</v>
      </c>
      <c r="AK754" s="2">
        <v>2</v>
      </c>
      <c r="AL754" s="2" t="s">
        <v>633</v>
      </c>
      <c r="AM754" s="2">
        <v>0</v>
      </c>
      <c r="AN754" s="2">
        <v>0</v>
      </c>
      <c r="AO754" s="2">
        <v>1</v>
      </c>
      <c r="AP754" s="2">
        <v>0</v>
      </c>
      <c r="AQ754" s="2">
        <v>0</v>
      </c>
      <c r="AR754" s="2">
        <v>0</v>
      </c>
      <c r="AS754" s="2">
        <v>0</v>
      </c>
      <c r="AT754" s="2">
        <v>0</v>
      </c>
      <c r="AZ754" s="2" t="s">
        <v>5302</v>
      </c>
      <c r="BB754" s="2" t="str">
        <f>+PROPER(BD[[#This Row],[PRIMER_APELLIDO]])</f>
        <v>Tercero</v>
      </c>
    </row>
    <row r="755" spans="1:54" x14ac:dyDescent="0.25">
      <c r="A755" s="2">
        <v>754</v>
      </c>
      <c r="B755" s="2">
        <v>48429</v>
      </c>
      <c r="C755" s="2" t="s">
        <v>619</v>
      </c>
      <c r="D755" s="2" t="s">
        <v>620</v>
      </c>
      <c r="E755" s="2" t="s">
        <v>5303</v>
      </c>
      <c r="F755" s="2">
        <v>16332050</v>
      </c>
      <c r="G755" s="3">
        <v>37.884931506849313</v>
      </c>
      <c r="H755" s="2" t="s">
        <v>622</v>
      </c>
      <c r="I755" s="2" t="s">
        <v>5304</v>
      </c>
      <c r="J755" s="2" t="str">
        <f>+IF(BD[[#This Row],[DEPARTAMENTO_INSS]]="MANAGUA","_01_","_02_")</f>
        <v>_01_</v>
      </c>
      <c r="K755" s="2" t="str">
        <f>+CONCATENATE(BD[[#This Row],[Columna3]],BD[[#This Row],[Columna4]],BD[[#This Row],[NOMBRE COMPLETO]])</f>
        <v>E003_01_CARLOS ANDRES PEREZ CHAVEZ</v>
      </c>
      <c r="L755" s="2" t="s">
        <v>826</v>
      </c>
      <c r="M755" s="2" t="s">
        <v>953</v>
      </c>
      <c r="N755" s="2" t="s">
        <v>24</v>
      </c>
      <c r="O755" s="2" t="s">
        <v>207</v>
      </c>
      <c r="P755" s="2" t="s">
        <v>649</v>
      </c>
      <c r="Q755" s="2" t="s">
        <v>351</v>
      </c>
      <c r="R755" s="2">
        <v>30968</v>
      </c>
      <c r="S755" s="2">
        <v>30968</v>
      </c>
      <c r="T755" s="2" t="s">
        <v>1005</v>
      </c>
      <c r="U755" s="2" t="s">
        <v>627</v>
      </c>
      <c r="V755" s="2" t="s">
        <v>1006</v>
      </c>
      <c r="W755" s="2" t="s">
        <v>2915</v>
      </c>
      <c r="X755" s="2" t="s">
        <v>5305</v>
      </c>
      <c r="Y755" s="2" t="s">
        <v>5306</v>
      </c>
      <c r="Z755" s="2">
        <v>86467105</v>
      </c>
      <c r="AA755" s="2">
        <v>86467105</v>
      </c>
      <c r="AB755" s="2" t="s">
        <v>798</v>
      </c>
      <c r="AC755" s="2" t="s">
        <v>632</v>
      </c>
      <c r="AD755" s="2">
        <v>86467105</v>
      </c>
      <c r="AJ755" s="2">
        <v>86467105</v>
      </c>
      <c r="AK755" s="2">
        <v>2</v>
      </c>
      <c r="AL755" s="2" t="s">
        <v>633</v>
      </c>
      <c r="AM755" s="2">
        <v>0</v>
      </c>
      <c r="AN755" s="2">
        <v>0</v>
      </c>
      <c r="AO755" s="2">
        <v>1</v>
      </c>
      <c r="AP755" s="2">
        <v>0</v>
      </c>
      <c r="AQ755" s="2">
        <v>0</v>
      </c>
      <c r="AR755" s="2">
        <v>0</v>
      </c>
      <c r="AS755" s="2">
        <v>0</v>
      </c>
      <c r="AT755" s="2">
        <v>0</v>
      </c>
      <c r="AZ755" s="2" t="s">
        <v>5307</v>
      </c>
      <c r="BA755" s="2" t="s">
        <v>5307</v>
      </c>
      <c r="BB755" s="2" t="str">
        <f>+PROPER(BD[[#This Row],[PRIMER_APELLIDO]])</f>
        <v>Perez</v>
      </c>
    </row>
    <row r="756" spans="1:54" x14ac:dyDescent="0.25">
      <c r="A756" s="2">
        <v>755</v>
      </c>
      <c r="B756" s="2">
        <v>64871</v>
      </c>
      <c r="C756" s="2" t="s">
        <v>619</v>
      </c>
      <c r="D756" s="2" t="s">
        <v>620</v>
      </c>
      <c r="E756" s="2" t="s">
        <v>5308</v>
      </c>
      <c r="G756" s="3">
        <v>37.887671232876713</v>
      </c>
      <c r="H756" s="2" t="s">
        <v>622</v>
      </c>
      <c r="I756" s="2" t="s">
        <v>5309</v>
      </c>
      <c r="J756" s="2" t="str">
        <f>+IF(BD[[#This Row],[DEPARTAMENTO_INSS]]="MANAGUA","_01_","_02_")</f>
        <v>_02_</v>
      </c>
      <c r="K756" s="2" t="str">
        <f>+CONCATENATE(BD[[#This Row],[Columna3]],BD[[#This Row],[Columna4]],BD[[#This Row],[NOMBRE COMPLETO]])</f>
        <v>E003_02_ALAN DIRIANGEN MERLO CASTILLO</v>
      </c>
      <c r="L756" s="2" t="s">
        <v>5310</v>
      </c>
      <c r="M756" s="2" t="s">
        <v>5311</v>
      </c>
      <c r="N756" s="2" t="s">
        <v>167</v>
      </c>
      <c r="O756" s="2" t="s">
        <v>100</v>
      </c>
      <c r="P756" s="2" t="s">
        <v>649</v>
      </c>
      <c r="Q756" s="2" t="s">
        <v>351</v>
      </c>
      <c r="R756" s="2">
        <v>30967</v>
      </c>
      <c r="S756" s="2">
        <v>30967</v>
      </c>
      <c r="T756" s="2" t="s">
        <v>691</v>
      </c>
      <c r="U756" s="2" t="s">
        <v>659</v>
      </c>
      <c r="V756" s="2" t="s">
        <v>3571</v>
      </c>
      <c r="W756" s="2" t="s">
        <v>659</v>
      </c>
      <c r="X756" s="2" t="s">
        <v>5312</v>
      </c>
      <c r="Y756" s="2" t="s">
        <v>5313</v>
      </c>
      <c r="AA756" s="2" t="s">
        <v>5314</v>
      </c>
      <c r="AB756" s="2" t="s">
        <v>798</v>
      </c>
      <c r="AC756" s="2" t="s">
        <v>632</v>
      </c>
      <c r="AD756" s="2">
        <v>57017165</v>
      </c>
      <c r="AE756" s="2">
        <v>58855806</v>
      </c>
      <c r="AJ756" s="2">
        <v>57017165</v>
      </c>
      <c r="AK756" s="2">
        <v>2</v>
      </c>
      <c r="AL756" s="2" t="s">
        <v>633</v>
      </c>
      <c r="AM756" s="2">
        <v>0</v>
      </c>
      <c r="AN756" s="2">
        <v>0</v>
      </c>
      <c r="AO756" s="2">
        <v>1</v>
      </c>
      <c r="AP756" s="2">
        <v>0</v>
      </c>
      <c r="AQ756" s="2">
        <v>0</v>
      </c>
      <c r="AR756" s="2">
        <v>0</v>
      </c>
      <c r="AS756" s="2">
        <v>0</v>
      </c>
      <c r="AT756" s="2">
        <v>0</v>
      </c>
      <c r="BB756" s="2" t="str">
        <f>+PROPER(BD[[#This Row],[PRIMER_APELLIDO]])</f>
        <v>Merlo</v>
      </c>
    </row>
    <row r="757" spans="1:54" x14ac:dyDescent="0.25">
      <c r="A757" s="2">
        <v>756</v>
      </c>
      <c r="B757" s="2">
        <v>29367</v>
      </c>
      <c r="C757" s="2" t="s">
        <v>619</v>
      </c>
      <c r="D757" s="2" t="s">
        <v>620</v>
      </c>
      <c r="E757" s="2" t="s">
        <v>5315</v>
      </c>
      <c r="F757" s="2">
        <v>23091313</v>
      </c>
      <c r="G757" s="3">
        <v>37.893150684931506</v>
      </c>
      <c r="H757" s="2" t="s">
        <v>622</v>
      </c>
      <c r="I757" s="2" t="s">
        <v>5316</v>
      </c>
      <c r="J757" s="2" t="str">
        <f>+IF(BD[[#This Row],[DEPARTAMENTO_INSS]]="MANAGUA","_01_","_02_")</f>
        <v>_02_</v>
      </c>
      <c r="K757" s="2" t="str">
        <f>+CONCATENATE(BD[[#This Row],[Columna3]],BD[[#This Row],[Columna4]],BD[[#This Row],[NOMBRE COMPLETO]])</f>
        <v>E003_02_URSULA MATRIUSKA IBARRA ESCOBAR</v>
      </c>
      <c r="L757" s="2" t="s">
        <v>5317</v>
      </c>
      <c r="M757" s="2" t="s">
        <v>5318</v>
      </c>
      <c r="N757" s="2" t="s">
        <v>383</v>
      </c>
      <c r="O757" s="2" t="s">
        <v>122</v>
      </c>
      <c r="P757" s="2" t="s">
        <v>626</v>
      </c>
      <c r="Q757" s="2" t="s">
        <v>351</v>
      </c>
      <c r="R757" s="2">
        <v>30965</v>
      </c>
      <c r="S757" s="2">
        <v>30965</v>
      </c>
      <c r="T757" s="2" t="s">
        <v>627</v>
      </c>
      <c r="U757" s="2" t="s">
        <v>732</v>
      </c>
      <c r="V757" s="2" t="s">
        <v>627</v>
      </c>
      <c r="W757" s="2" t="s">
        <v>848</v>
      </c>
      <c r="X757" s="2" t="s">
        <v>5319</v>
      </c>
      <c r="Y757" s="2" t="s">
        <v>5320</v>
      </c>
      <c r="AA757" s="2">
        <v>88994894</v>
      </c>
      <c r="AB757" s="2" t="s">
        <v>642</v>
      </c>
      <c r="AC757" s="2" t="s">
        <v>632</v>
      </c>
      <c r="AD757" s="2">
        <v>88994894</v>
      </c>
      <c r="AJ757" s="2">
        <v>88994894</v>
      </c>
      <c r="AK757" s="2">
        <v>1</v>
      </c>
      <c r="AL757" s="2" t="s">
        <v>633</v>
      </c>
      <c r="AM757" s="2">
        <v>0</v>
      </c>
      <c r="AN757" s="2">
        <v>0</v>
      </c>
      <c r="AO757" s="2">
        <v>1</v>
      </c>
      <c r="AP757" s="2">
        <v>0</v>
      </c>
      <c r="AQ757" s="2">
        <v>0</v>
      </c>
      <c r="AR757" s="2">
        <v>0</v>
      </c>
      <c r="AS757" s="2">
        <v>0</v>
      </c>
      <c r="AT757" s="2">
        <v>0</v>
      </c>
      <c r="BA757" s="2" t="s">
        <v>5321</v>
      </c>
      <c r="BB757" s="2" t="str">
        <f>+PROPER(BD[[#This Row],[PRIMER_APELLIDO]])</f>
        <v>Ibarra</v>
      </c>
    </row>
    <row r="758" spans="1:54" x14ac:dyDescent="0.25">
      <c r="A758" s="2">
        <v>757</v>
      </c>
      <c r="B758" s="2">
        <v>33862</v>
      </c>
      <c r="C758" s="2" t="s">
        <v>619</v>
      </c>
      <c r="D758" s="2" t="s">
        <v>620</v>
      </c>
      <c r="E758" s="2" t="s">
        <v>5322</v>
      </c>
      <c r="F758" s="2">
        <v>21663224</v>
      </c>
      <c r="G758" s="3">
        <v>37.895890410958906</v>
      </c>
      <c r="H758" s="2" t="s">
        <v>622</v>
      </c>
      <c r="I758" s="2" t="s">
        <v>5323</v>
      </c>
      <c r="J758" s="2" t="str">
        <f>+IF(BD[[#This Row],[DEPARTAMENTO_INSS]]="MANAGUA","_01_","_02_")</f>
        <v>_02_</v>
      </c>
      <c r="K758" s="2" t="str">
        <f>+CONCATENATE(BD[[#This Row],[Columna3]],BD[[#This Row],[Columna4]],BD[[#This Row],[NOMBRE COMPLETO]])</f>
        <v>E003_02_EVELING DEL CARMEN GARCIA MARTINEZ</v>
      </c>
      <c r="L758" s="2" t="s">
        <v>1134</v>
      </c>
      <c r="M758" s="2" t="s">
        <v>961</v>
      </c>
      <c r="N758" s="2" t="s">
        <v>10</v>
      </c>
      <c r="O758" s="2" t="s">
        <v>44</v>
      </c>
      <c r="P758" s="2" t="s">
        <v>626</v>
      </c>
      <c r="Q758" s="2" t="s">
        <v>351</v>
      </c>
      <c r="R758" s="2">
        <v>30964</v>
      </c>
      <c r="S758" s="2">
        <v>30964</v>
      </c>
      <c r="T758" s="2" t="s">
        <v>176</v>
      </c>
      <c r="U758" s="2" t="s">
        <v>176</v>
      </c>
      <c r="V758" s="2" t="s">
        <v>650</v>
      </c>
      <c r="W758" s="2" t="s">
        <v>176</v>
      </c>
      <c r="X758" s="2" t="s">
        <v>5324</v>
      </c>
      <c r="Y758" s="2" t="s">
        <v>5325</v>
      </c>
      <c r="AA758" s="2">
        <v>89274737</v>
      </c>
      <c r="AB758" s="2" t="s">
        <v>654</v>
      </c>
      <c r="AC758" s="2" t="s">
        <v>632</v>
      </c>
      <c r="AD758" s="2">
        <v>89274737</v>
      </c>
      <c r="AJ758" s="2">
        <v>89274737</v>
      </c>
      <c r="AK758" s="2">
        <v>1</v>
      </c>
      <c r="AL758" s="2" t="s">
        <v>633</v>
      </c>
      <c r="AM758" s="2">
        <v>0</v>
      </c>
      <c r="AN758" s="2">
        <v>0</v>
      </c>
      <c r="AO758" s="2">
        <v>1</v>
      </c>
      <c r="AP758" s="2">
        <v>0</v>
      </c>
      <c r="AQ758" s="2">
        <v>0</v>
      </c>
      <c r="AR758" s="2">
        <v>0</v>
      </c>
      <c r="AS758" s="2">
        <v>0</v>
      </c>
      <c r="AT758" s="2">
        <v>0</v>
      </c>
      <c r="BB758" s="2" t="str">
        <f>+PROPER(BD[[#This Row],[PRIMER_APELLIDO]])</f>
        <v>Garcia</v>
      </c>
    </row>
    <row r="759" spans="1:54" x14ac:dyDescent="0.25">
      <c r="A759" s="2">
        <v>758</v>
      </c>
      <c r="B759" s="2">
        <v>32131</v>
      </c>
      <c r="C759" s="2" t="s">
        <v>619</v>
      </c>
      <c r="D759" s="2" t="s">
        <v>620</v>
      </c>
      <c r="E759" s="2" t="s">
        <v>5326</v>
      </c>
      <c r="F759" s="2">
        <v>21672691</v>
      </c>
      <c r="G759" s="3">
        <v>37.898630136986299</v>
      </c>
      <c r="H759" s="2" t="s">
        <v>622</v>
      </c>
      <c r="I759" s="2" t="s">
        <v>5327</v>
      </c>
      <c r="J759" s="2" t="str">
        <f>+IF(BD[[#This Row],[DEPARTAMENTO_INSS]]="MANAGUA","_01_","_02_")</f>
        <v>_02_</v>
      </c>
      <c r="K759" s="2" t="str">
        <f>+CONCATENATE(BD[[#This Row],[Columna3]],BD[[#This Row],[Columna4]],BD[[#This Row],[NOMBRE COMPLETO]])</f>
        <v>E003_02_HILDA RAQUEL OCAMPO ESTRADA</v>
      </c>
      <c r="L759" s="2" t="s">
        <v>3983</v>
      </c>
      <c r="M759" s="2" t="s">
        <v>2545</v>
      </c>
      <c r="N759" s="2" t="s">
        <v>286</v>
      </c>
      <c r="O759" s="2" t="s">
        <v>225</v>
      </c>
      <c r="P759" s="2" t="s">
        <v>626</v>
      </c>
      <c r="Q759" s="2" t="s">
        <v>351</v>
      </c>
      <c r="R759" s="2">
        <v>30963</v>
      </c>
      <c r="S759" s="2">
        <v>30963</v>
      </c>
      <c r="T759" s="2" t="s">
        <v>1044</v>
      </c>
      <c r="U759" s="2" t="s">
        <v>1044</v>
      </c>
      <c r="V759" s="2" t="s">
        <v>1838</v>
      </c>
      <c r="W759" s="2" t="s">
        <v>1838</v>
      </c>
      <c r="X759" s="2" t="s">
        <v>5328</v>
      </c>
      <c r="Y759" s="2" t="s">
        <v>5329</v>
      </c>
      <c r="Z759" s="2">
        <v>85242944</v>
      </c>
      <c r="AB759" s="2" t="s">
        <v>642</v>
      </c>
      <c r="AC759" s="2" t="s">
        <v>632</v>
      </c>
      <c r="AD759" s="2">
        <v>85242944</v>
      </c>
      <c r="AJ759" s="2">
        <v>85242944</v>
      </c>
      <c r="AK759" s="2">
        <v>1</v>
      </c>
      <c r="AL759" s="2" t="s">
        <v>633</v>
      </c>
      <c r="AM759" s="2">
        <v>0</v>
      </c>
      <c r="AN759" s="2">
        <v>0</v>
      </c>
      <c r="AO759" s="2">
        <v>1</v>
      </c>
      <c r="AP759" s="2">
        <v>0</v>
      </c>
      <c r="AQ759" s="2">
        <v>0</v>
      </c>
      <c r="AR759" s="2">
        <v>0</v>
      </c>
      <c r="AS759" s="2">
        <v>0</v>
      </c>
      <c r="AT759" s="2">
        <v>0</v>
      </c>
      <c r="BB759" s="2" t="str">
        <f>+PROPER(BD[[#This Row],[PRIMER_APELLIDO]])</f>
        <v>Ocampo</v>
      </c>
    </row>
    <row r="760" spans="1:54" x14ac:dyDescent="0.25">
      <c r="A760" s="2">
        <v>759</v>
      </c>
      <c r="B760" s="2">
        <v>37867</v>
      </c>
      <c r="C760" s="2" t="s">
        <v>619</v>
      </c>
      <c r="D760" s="2" t="s">
        <v>620</v>
      </c>
      <c r="E760" s="2" t="s">
        <v>5330</v>
      </c>
      <c r="G760" s="3">
        <v>37.898630136986299</v>
      </c>
      <c r="H760" s="2" t="s">
        <v>622</v>
      </c>
      <c r="I760" s="2" t="s">
        <v>5331</v>
      </c>
      <c r="J760" s="2" t="str">
        <f>+IF(BD[[#This Row],[DEPARTAMENTO_INSS]]="MANAGUA","_01_","_02_")</f>
        <v>_02_</v>
      </c>
      <c r="K760" s="2" t="str">
        <f>+CONCATENATE(BD[[#This Row],[Columna3]],BD[[#This Row],[Columna4]],BD[[#This Row],[NOMBRE COMPLETO]])</f>
        <v>E003_02_JOSE FRANCISCO GALEANO VARGAS</v>
      </c>
      <c r="L760" s="2" t="s">
        <v>243</v>
      </c>
      <c r="M760" s="2" t="s">
        <v>1692</v>
      </c>
      <c r="N760" s="2" t="s">
        <v>70</v>
      </c>
      <c r="O760" s="2" t="s">
        <v>34</v>
      </c>
      <c r="P760" s="2" t="s">
        <v>649</v>
      </c>
      <c r="Q760" s="2" t="s">
        <v>351</v>
      </c>
      <c r="R760" s="2">
        <v>30963</v>
      </c>
      <c r="S760" s="2">
        <v>30963</v>
      </c>
      <c r="T760" s="2" t="s">
        <v>705</v>
      </c>
      <c r="U760" s="2" t="s">
        <v>705</v>
      </c>
      <c r="V760" s="2" t="s">
        <v>1014</v>
      </c>
      <c r="W760" s="2" t="s">
        <v>1014</v>
      </c>
      <c r="X760" s="2" t="s">
        <v>5332</v>
      </c>
      <c r="Y760" s="2" t="s">
        <v>5333</v>
      </c>
      <c r="Z760" s="2">
        <v>89999857</v>
      </c>
      <c r="AA760" s="2">
        <v>23433059</v>
      </c>
      <c r="AB760" s="2" t="s">
        <v>654</v>
      </c>
      <c r="AC760" s="2" t="s">
        <v>632</v>
      </c>
      <c r="AD760" s="2">
        <v>89999857</v>
      </c>
      <c r="AJ760" s="2">
        <v>89999857</v>
      </c>
      <c r="AK760" s="2">
        <v>2</v>
      </c>
      <c r="AL760" s="2" t="s">
        <v>633</v>
      </c>
      <c r="AM760" s="2">
        <v>0</v>
      </c>
      <c r="AN760" s="2">
        <v>0</v>
      </c>
      <c r="AO760" s="2">
        <v>1</v>
      </c>
      <c r="AP760" s="2">
        <v>0</v>
      </c>
      <c r="AQ760" s="2">
        <v>0</v>
      </c>
      <c r="AR760" s="2">
        <v>0</v>
      </c>
      <c r="AS760" s="2">
        <v>0</v>
      </c>
      <c r="AT760" s="2">
        <v>0</v>
      </c>
      <c r="AZ760" s="2" t="s">
        <v>5334</v>
      </c>
      <c r="BB760" s="2" t="str">
        <f>+PROPER(BD[[#This Row],[PRIMER_APELLIDO]])</f>
        <v>Galeano</v>
      </c>
    </row>
    <row r="761" spans="1:54" x14ac:dyDescent="0.25">
      <c r="A761" s="2">
        <v>760</v>
      </c>
      <c r="B761" s="2">
        <v>64728</v>
      </c>
      <c r="C761" s="2" t="s">
        <v>619</v>
      </c>
      <c r="D761" s="2" t="s">
        <v>620</v>
      </c>
      <c r="E761" s="2" t="s">
        <v>5335</v>
      </c>
      <c r="G761" s="3">
        <v>37.901369863013699</v>
      </c>
      <c r="H761" s="2" t="s">
        <v>622</v>
      </c>
      <c r="I761" s="2" t="s">
        <v>5336</v>
      </c>
      <c r="J761" s="2" t="str">
        <f>+IF(BD[[#This Row],[DEPARTAMENTO_INSS]]="MANAGUA","_01_","_02_")</f>
        <v>_02_</v>
      </c>
      <c r="K761" s="2" t="str">
        <f>+CONCATENATE(BD[[#This Row],[Columna3]],BD[[#This Row],[Columna4]],BD[[#This Row],[NOMBRE COMPLETO]])</f>
        <v>E003_02_JULIEN GREEN DAMACIO PÉREZ</v>
      </c>
      <c r="L761" s="2" t="s">
        <v>5337</v>
      </c>
      <c r="M761" s="2" t="s">
        <v>5338</v>
      </c>
      <c r="N761" s="2" t="s">
        <v>426</v>
      </c>
      <c r="O761" s="2" t="s">
        <v>5339</v>
      </c>
      <c r="P761" s="2" t="s">
        <v>626</v>
      </c>
      <c r="Q761" s="2" t="s">
        <v>351</v>
      </c>
      <c r="R761" s="2">
        <v>30962</v>
      </c>
      <c r="S761" s="2">
        <v>30962</v>
      </c>
      <c r="T761" s="2" t="s">
        <v>659</v>
      </c>
      <c r="U761" s="2" t="s">
        <v>659</v>
      </c>
      <c r="V761" s="2" t="s">
        <v>5340</v>
      </c>
      <c r="W761" s="2" t="s">
        <v>5341</v>
      </c>
      <c r="X761" s="2" t="s">
        <v>5342</v>
      </c>
      <c r="Y761" s="2" t="s">
        <v>5343</v>
      </c>
      <c r="AA761" s="2">
        <v>89006056</v>
      </c>
      <c r="AB761" s="2" t="s">
        <v>758</v>
      </c>
      <c r="AC761" s="2" t="s">
        <v>632</v>
      </c>
      <c r="AD761" s="2">
        <v>89006056</v>
      </c>
      <c r="AJ761" s="2">
        <v>89006056</v>
      </c>
      <c r="AK761" s="2">
        <v>1</v>
      </c>
      <c r="AL761" s="2" t="s">
        <v>633</v>
      </c>
      <c r="AM761" s="2">
        <v>0</v>
      </c>
      <c r="AN761" s="2">
        <v>0</v>
      </c>
      <c r="AO761" s="2">
        <v>1</v>
      </c>
      <c r="AP761" s="2">
        <v>0</v>
      </c>
      <c r="AQ761" s="2">
        <v>0</v>
      </c>
      <c r="AR761" s="2">
        <v>0</v>
      </c>
      <c r="AS761" s="2">
        <v>0</v>
      </c>
      <c r="AT761" s="2">
        <v>0</v>
      </c>
      <c r="BB761" s="2" t="str">
        <f>+PROPER(BD[[#This Row],[PRIMER_APELLIDO]])</f>
        <v>Damacio</v>
      </c>
    </row>
    <row r="762" spans="1:54" x14ac:dyDescent="0.25">
      <c r="A762" s="2">
        <v>761</v>
      </c>
      <c r="B762" s="2">
        <v>32055</v>
      </c>
      <c r="C762" s="2" t="s">
        <v>619</v>
      </c>
      <c r="D762" s="2" t="s">
        <v>620</v>
      </c>
      <c r="E762" s="2" t="s">
        <v>5344</v>
      </c>
      <c r="F762" s="2">
        <v>21669444</v>
      </c>
      <c r="G762" s="3">
        <v>37.906849315068492</v>
      </c>
      <c r="H762" s="2" t="s">
        <v>622</v>
      </c>
      <c r="I762" s="2" t="s">
        <v>5345</v>
      </c>
      <c r="J762" s="2" t="str">
        <f>+IF(BD[[#This Row],[DEPARTAMENTO_INSS]]="MANAGUA","_01_","_02_")</f>
        <v>_02_</v>
      </c>
      <c r="K762" s="2" t="str">
        <f>+CONCATENATE(BD[[#This Row],[Columna3]],BD[[#This Row],[Columna4]],BD[[#This Row],[NOMBRE COMPLETO]])</f>
        <v>E003_02_MARIA XIMENA LANUZA CUADRA</v>
      </c>
      <c r="L762" s="2" t="s">
        <v>724</v>
      </c>
      <c r="M762" s="2" t="s">
        <v>5346</v>
      </c>
      <c r="N762" s="2" t="s">
        <v>131</v>
      </c>
      <c r="O762" s="2" t="s">
        <v>206</v>
      </c>
      <c r="P762" s="2" t="s">
        <v>626</v>
      </c>
      <c r="Q762" s="2" t="s">
        <v>351</v>
      </c>
      <c r="R762" s="2">
        <v>30960</v>
      </c>
      <c r="S762" s="2">
        <v>30960</v>
      </c>
      <c r="T762" s="2" t="s">
        <v>705</v>
      </c>
      <c r="U762" s="2" t="s">
        <v>705</v>
      </c>
      <c r="V762" s="2" t="s">
        <v>725</v>
      </c>
      <c r="W762" s="2" t="s">
        <v>725</v>
      </c>
      <c r="X762" s="2" t="s">
        <v>5347</v>
      </c>
      <c r="Y762" s="2" t="s">
        <v>5348</v>
      </c>
      <c r="AA762" s="2" t="s">
        <v>5349</v>
      </c>
      <c r="AB762" s="2" t="s">
        <v>654</v>
      </c>
      <c r="AC762" s="2" t="s">
        <v>632</v>
      </c>
      <c r="AE762" s="2">
        <v>88532837</v>
      </c>
      <c r="AJ762" s="2">
        <v>88532837</v>
      </c>
      <c r="AK762" s="2">
        <v>2</v>
      </c>
      <c r="AL762" s="2" t="s">
        <v>633</v>
      </c>
      <c r="AM762" s="2">
        <v>0</v>
      </c>
      <c r="AN762" s="2">
        <v>0</v>
      </c>
      <c r="AO762" s="2">
        <v>1</v>
      </c>
      <c r="AP762" s="2">
        <v>0</v>
      </c>
      <c r="AQ762" s="2">
        <v>0</v>
      </c>
      <c r="AR762" s="2">
        <v>0</v>
      </c>
      <c r="AS762" s="2">
        <v>0</v>
      </c>
      <c r="AT762" s="2">
        <v>0</v>
      </c>
      <c r="BB762" s="2" t="str">
        <f>+PROPER(BD[[#This Row],[PRIMER_APELLIDO]])</f>
        <v>Lanuza</v>
      </c>
    </row>
    <row r="763" spans="1:54" x14ac:dyDescent="0.25">
      <c r="A763" s="2">
        <v>762</v>
      </c>
      <c r="B763" s="2">
        <v>35567</v>
      </c>
      <c r="C763" s="2" t="s">
        <v>619</v>
      </c>
      <c r="D763" s="2" t="s">
        <v>620</v>
      </c>
      <c r="E763" s="2" t="s">
        <v>5350</v>
      </c>
      <c r="F763" s="2">
        <v>22389136</v>
      </c>
      <c r="G763" s="3">
        <v>37.912328767123284</v>
      </c>
      <c r="H763" s="2" t="s">
        <v>622</v>
      </c>
      <c r="I763" s="2" t="s">
        <v>5351</v>
      </c>
      <c r="J763" s="2" t="str">
        <f>+IF(BD[[#This Row],[DEPARTAMENTO_INSS]]="MANAGUA","_01_","_02_")</f>
        <v>_02_</v>
      </c>
      <c r="K763" s="2" t="str">
        <f>+CONCATENATE(BD[[#This Row],[Columna3]],BD[[#This Row],[Columna4]],BD[[#This Row],[NOMBRE COMPLETO]])</f>
        <v>E003_02_HAARON HERMOGENES ANDRADES LOPEZ</v>
      </c>
      <c r="L763" s="2" t="s">
        <v>5352</v>
      </c>
      <c r="M763" s="2" t="s">
        <v>5353</v>
      </c>
      <c r="N763" s="2" t="s">
        <v>358</v>
      </c>
      <c r="O763" s="2" t="s">
        <v>15</v>
      </c>
      <c r="P763" s="2" t="s">
        <v>649</v>
      </c>
      <c r="Q763" s="2" t="s">
        <v>351</v>
      </c>
      <c r="R763" s="2">
        <v>30958</v>
      </c>
      <c r="S763" s="2">
        <v>30958</v>
      </c>
      <c r="T763" s="2" t="s">
        <v>705</v>
      </c>
      <c r="U763" s="2" t="s">
        <v>705</v>
      </c>
      <c r="V763" s="2" t="s">
        <v>4722</v>
      </c>
      <c r="W763" s="2" t="s">
        <v>4722</v>
      </c>
      <c r="X763" s="2" t="s">
        <v>5354</v>
      </c>
      <c r="Y763" s="2" t="s">
        <v>5355</v>
      </c>
      <c r="Z763" s="2">
        <v>86195266</v>
      </c>
      <c r="AA763" s="2" t="s">
        <v>5356</v>
      </c>
      <c r="AB763" s="2" t="s">
        <v>654</v>
      </c>
      <c r="AC763" s="2" t="s">
        <v>632</v>
      </c>
      <c r="AD763" s="2">
        <v>86195266</v>
      </c>
      <c r="AJ763" s="2">
        <v>86195266</v>
      </c>
      <c r="AK763" s="2">
        <v>3</v>
      </c>
      <c r="AL763" s="2" t="s">
        <v>633</v>
      </c>
      <c r="AM763" s="2">
        <v>0</v>
      </c>
      <c r="AN763" s="2">
        <v>0</v>
      </c>
      <c r="AO763" s="2">
        <v>1</v>
      </c>
      <c r="AP763" s="2">
        <v>0</v>
      </c>
      <c r="AQ763" s="2">
        <v>0</v>
      </c>
      <c r="AR763" s="2">
        <v>0</v>
      </c>
      <c r="AS763" s="2">
        <v>0</v>
      </c>
      <c r="AT763" s="2">
        <v>0</v>
      </c>
      <c r="BB763" s="2" t="str">
        <f>+PROPER(BD[[#This Row],[PRIMER_APELLIDO]])</f>
        <v>Andrades</v>
      </c>
    </row>
    <row r="764" spans="1:54" x14ac:dyDescent="0.25">
      <c r="A764" s="2">
        <v>763</v>
      </c>
      <c r="B764" s="2">
        <v>38870</v>
      </c>
      <c r="C764" s="2" t="s">
        <v>619</v>
      </c>
      <c r="D764" s="2" t="s">
        <v>620</v>
      </c>
      <c r="E764" s="2" t="s">
        <v>5357</v>
      </c>
      <c r="F764" s="2">
        <v>22920818</v>
      </c>
      <c r="G764" s="3">
        <v>37.920547945205477</v>
      </c>
      <c r="H764" s="2" t="s">
        <v>622</v>
      </c>
      <c r="I764" s="2" t="s">
        <v>5358</v>
      </c>
      <c r="J764" s="2" t="str">
        <f>+IF(BD[[#This Row],[DEPARTAMENTO_INSS]]="MANAGUA","_01_","_02_")</f>
        <v>_02_</v>
      </c>
      <c r="K764" s="2" t="str">
        <f>+CONCATENATE(BD[[#This Row],[Columna3]],BD[[#This Row],[Columna4]],BD[[#This Row],[NOMBRE COMPLETO]])</f>
        <v>E003_02_MIGUEL JERONIMO BELLANGER MIRANDA</v>
      </c>
      <c r="L764" s="2" t="s">
        <v>2016</v>
      </c>
      <c r="M764" s="2" t="s">
        <v>5359</v>
      </c>
      <c r="N764" s="2" t="s">
        <v>134</v>
      </c>
      <c r="O764" s="2" t="s">
        <v>56</v>
      </c>
      <c r="P764" s="2" t="s">
        <v>649</v>
      </c>
      <c r="Q764" s="2" t="s">
        <v>351</v>
      </c>
      <c r="R764" s="2">
        <v>30955</v>
      </c>
      <c r="S764" s="2">
        <v>30955</v>
      </c>
      <c r="T764" s="2" t="s">
        <v>929</v>
      </c>
      <c r="U764" s="2" t="s">
        <v>929</v>
      </c>
      <c r="V764" s="2" t="s">
        <v>1653</v>
      </c>
      <c r="W764" s="2" t="s">
        <v>1653</v>
      </c>
      <c r="X764" s="2" t="s">
        <v>5360</v>
      </c>
      <c r="Y764" s="2" t="s">
        <v>5361</v>
      </c>
      <c r="AA764" s="2">
        <v>25124060</v>
      </c>
      <c r="AB764" s="2" t="s">
        <v>798</v>
      </c>
      <c r="AC764" s="2" t="s">
        <v>632</v>
      </c>
      <c r="AK764" s="2">
        <v>1</v>
      </c>
      <c r="AL764" s="2" t="s">
        <v>633</v>
      </c>
      <c r="AM764" s="2">
        <v>0</v>
      </c>
      <c r="AN764" s="2">
        <v>0</v>
      </c>
      <c r="AO764" s="2">
        <v>1</v>
      </c>
      <c r="AP764" s="2">
        <v>0</v>
      </c>
      <c r="AQ764" s="2">
        <v>0</v>
      </c>
      <c r="AR764" s="2">
        <v>0</v>
      </c>
      <c r="AS764" s="2">
        <v>0</v>
      </c>
      <c r="AT764" s="2">
        <v>0</v>
      </c>
      <c r="BB764" s="2" t="str">
        <f>+PROPER(BD[[#This Row],[PRIMER_APELLIDO]])</f>
        <v>Bellanger</v>
      </c>
    </row>
    <row r="765" spans="1:54" x14ac:dyDescent="0.25">
      <c r="A765" s="2">
        <v>764</v>
      </c>
      <c r="B765" s="2">
        <v>33242</v>
      </c>
      <c r="C765" s="2" t="s">
        <v>619</v>
      </c>
      <c r="D765" s="2" t="s">
        <v>620</v>
      </c>
      <c r="E765" s="2" t="s">
        <v>5362</v>
      </c>
      <c r="F765" s="2">
        <v>22189824</v>
      </c>
      <c r="G765" s="3">
        <v>37.923287671232877</v>
      </c>
      <c r="H765" s="2" t="s">
        <v>622</v>
      </c>
      <c r="I765" s="2" t="s">
        <v>5363</v>
      </c>
      <c r="J765" s="2" t="str">
        <f>+IF(BD[[#This Row],[DEPARTAMENTO_INSS]]="MANAGUA","_01_","_02_")</f>
        <v>_02_</v>
      </c>
      <c r="K765" s="2" t="str">
        <f>+CONCATENATE(BD[[#This Row],[Columna3]],BD[[#This Row],[Columna4]],BD[[#This Row],[NOMBRE COMPLETO]])</f>
        <v>E003_02_CLYDE MIGUEL SEVILLA BAEZ</v>
      </c>
      <c r="L765" s="2" t="s">
        <v>5364</v>
      </c>
      <c r="M765" s="2" t="s">
        <v>2016</v>
      </c>
      <c r="N765" s="2" t="s">
        <v>280</v>
      </c>
      <c r="O765" s="2" t="s">
        <v>418</v>
      </c>
      <c r="P765" s="2" t="s">
        <v>649</v>
      </c>
      <c r="Q765" s="2" t="s">
        <v>351</v>
      </c>
      <c r="R765" s="2">
        <v>30954</v>
      </c>
      <c r="S765" s="2">
        <v>30954</v>
      </c>
      <c r="T765" s="2" t="s">
        <v>627</v>
      </c>
      <c r="U765" s="2" t="s">
        <v>1104</v>
      </c>
      <c r="V765" s="2" t="s">
        <v>627</v>
      </c>
      <c r="W765" s="2" t="s">
        <v>1104</v>
      </c>
      <c r="X765" s="2" t="s">
        <v>5365</v>
      </c>
      <c r="Y765" s="2" t="s">
        <v>5366</v>
      </c>
      <c r="AA765" s="2">
        <v>88217951</v>
      </c>
      <c r="AB765" s="2" t="s">
        <v>654</v>
      </c>
      <c r="AC765" s="2" t="s">
        <v>632</v>
      </c>
      <c r="AD765" s="2">
        <v>88217951</v>
      </c>
      <c r="AJ765" s="2">
        <v>88217951</v>
      </c>
      <c r="AK765" s="2">
        <v>1</v>
      </c>
      <c r="AL765" s="2" t="s">
        <v>633</v>
      </c>
      <c r="AM765" s="2">
        <v>0</v>
      </c>
      <c r="AN765" s="2">
        <v>0</v>
      </c>
      <c r="AO765" s="2">
        <v>1</v>
      </c>
      <c r="AP765" s="2">
        <v>0</v>
      </c>
      <c r="AQ765" s="2">
        <v>0</v>
      </c>
      <c r="AR765" s="2">
        <v>0</v>
      </c>
      <c r="AS765" s="2">
        <v>0</v>
      </c>
      <c r="AT765" s="2">
        <v>0</v>
      </c>
      <c r="BB765" s="2" t="str">
        <f>+PROPER(BD[[#This Row],[PRIMER_APELLIDO]])</f>
        <v>Sevilla</v>
      </c>
    </row>
    <row r="766" spans="1:54" x14ac:dyDescent="0.25">
      <c r="A766" s="2">
        <v>765</v>
      </c>
      <c r="B766" s="2">
        <v>30889</v>
      </c>
      <c r="C766" s="2" t="s">
        <v>619</v>
      </c>
      <c r="D766" s="2" t="s">
        <v>620</v>
      </c>
      <c r="E766" s="2" t="s">
        <v>5367</v>
      </c>
      <c r="F766" s="2">
        <v>21717954</v>
      </c>
      <c r="G766" s="3">
        <v>37.926027397260277</v>
      </c>
      <c r="H766" s="2" t="s">
        <v>622</v>
      </c>
      <c r="I766" s="2" t="s">
        <v>5368</v>
      </c>
      <c r="J766" s="2" t="str">
        <f>+IF(BD[[#This Row],[DEPARTAMENTO_INSS]]="MANAGUA","_01_","_02_")</f>
        <v>_02_</v>
      </c>
      <c r="K766" s="2" t="str">
        <f>+CONCATENATE(BD[[#This Row],[Columna3]],BD[[#This Row],[Columna4]],BD[[#This Row],[NOMBRE COMPLETO]])</f>
        <v>E003_02_LIGIA MARIA DARCE ALTAMIRANO</v>
      </c>
      <c r="L766" s="2" t="s">
        <v>3559</v>
      </c>
      <c r="M766" s="2" t="s">
        <v>724</v>
      </c>
      <c r="N766" s="2" t="s">
        <v>106</v>
      </c>
      <c r="O766" s="2" t="s">
        <v>73</v>
      </c>
      <c r="P766" s="2" t="s">
        <v>626</v>
      </c>
      <c r="Q766" s="2" t="s">
        <v>351</v>
      </c>
      <c r="R766" s="2">
        <v>30953</v>
      </c>
      <c r="S766" s="2">
        <v>30953</v>
      </c>
      <c r="T766" s="2" t="s">
        <v>176</v>
      </c>
      <c r="U766" s="2" t="s">
        <v>176</v>
      </c>
      <c r="V766" s="2" t="s">
        <v>650</v>
      </c>
      <c r="W766" s="2" t="s">
        <v>176</v>
      </c>
      <c r="X766" s="2" t="s">
        <v>5369</v>
      </c>
      <c r="Y766" s="2" t="s">
        <v>5370</v>
      </c>
      <c r="AA766" s="2" t="s">
        <v>5371</v>
      </c>
      <c r="AB766" s="2" t="s">
        <v>654</v>
      </c>
      <c r="AC766" s="2" t="s">
        <v>632</v>
      </c>
      <c r="AE766" s="2">
        <v>55038539</v>
      </c>
      <c r="AJ766" s="2">
        <v>55038539</v>
      </c>
      <c r="AK766" s="2">
        <v>2</v>
      </c>
      <c r="AL766" s="2" t="s">
        <v>633</v>
      </c>
      <c r="AM766" s="2">
        <v>0</v>
      </c>
      <c r="AN766" s="2">
        <v>0</v>
      </c>
      <c r="AO766" s="2">
        <v>1</v>
      </c>
      <c r="AP766" s="2">
        <v>0</v>
      </c>
      <c r="AQ766" s="2">
        <v>0</v>
      </c>
      <c r="AR766" s="2">
        <v>0</v>
      </c>
      <c r="AS766" s="2">
        <v>0</v>
      </c>
      <c r="AT766" s="2">
        <v>0</v>
      </c>
      <c r="BB766" s="2" t="str">
        <f>+PROPER(BD[[#This Row],[PRIMER_APELLIDO]])</f>
        <v>Darce</v>
      </c>
    </row>
    <row r="767" spans="1:54" x14ac:dyDescent="0.25">
      <c r="A767" s="2">
        <v>766</v>
      </c>
      <c r="B767" s="2">
        <v>48428</v>
      </c>
      <c r="C767" s="2" t="s">
        <v>619</v>
      </c>
      <c r="D767" s="2" t="s">
        <v>620</v>
      </c>
      <c r="E767" s="2" t="s">
        <v>5372</v>
      </c>
      <c r="F767" s="2">
        <v>25021408</v>
      </c>
      <c r="G767" s="3">
        <v>37.92876712328767</v>
      </c>
      <c r="H767" s="2" t="s">
        <v>622</v>
      </c>
      <c r="I767" s="2" t="s">
        <v>5373</v>
      </c>
      <c r="J767" s="2" t="str">
        <f>+IF(BD[[#This Row],[DEPARTAMENTO_INSS]]="MANAGUA","_01_","_02_")</f>
        <v>_01_</v>
      </c>
      <c r="K767" s="2" t="str">
        <f>+CONCATENATE(BD[[#This Row],[Columna3]],BD[[#This Row],[Columna4]],BD[[#This Row],[NOMBRE COMPLETO]])</f>
        <v>E003_01_KAREN MASIELL VARGAS SANCHEZ</v>
      </c>
      <c r="L767" s="2" t="s">
        <v>1162</v>
      </c>
      <c r="M767" s="2" t="s">
        <v>5374</v>
      </c>
      <c r="N767" s="2" t="s">
        <v>34</v>
      </c>
      <c r="O767" s="2" t="s">
        <v>90</v>
      </c>
      <c r="P767" s="2" t="s">
        <v>626</v>
      </c>
      <c r="Q767" s="2" t="s">
        <v>351</v>
      </c>
      <c r="R767" s="2">
        <v>30952</v>
      </c>
      <c r="S767" s="2">
        <v>30952</v>
      </c>
      <c r="T767" s="2" t="s">
        <v>627</v>
      </c>
      <c r="U767" s="2" t="s">
        <v>627</v>
      </c>
      <c r="V767" s="2" t="s">
        <v>2915</v>
      </c>
      <c r="W767" s="2" t="s">
        <v>2915</v>
      </c>
      <c r="X767" s="2" t="s">
        <v>5375</v>
      </c>
      <c r="Y767" s="2" t="s">
        <v>5376</v>
      </c>
      <c r="Z767" s="2">
        <v>88289534</v>
      </c>
      <c r="AB767" s="2" t="s">
        <v>631</v>
      </c>
      <c r="AC767" s="2" t="s">
        <v>632</v>
      </c>
      <c r="AD767" s="2">
        <v>88289534</v>
      </c>
      <c r="AJ767" s="2">
        <v>88289534</v>
      </c>
      <c r="AK767" s="2">
        <v>1</v>
      </c>
      <c r="AL767" s="2" t="s">
        <v>633</v>
      </c>
      <c r="AM767" s="2">
        <v>0</v>
      </c>
      <c r="AN767" s="2">
        <v>0</v>
      </c>
      <c r="AO767" s="2">
        <v>1</v>
      </c>
      <c r="AP767" s="2">
        <v>0</v>
      </c>
      <c r="AQ767" s="2">
        <v>0</v>
      </c>
      <c r="AR767" s="2">
        <v>0</v>
      </c>
      <c r="AS767" s="2">
        <v>0</v>
      </c>
      <c r="AT767" s="2">
        <v>0</v>
      </c>
      <c r="AZ767" s="2" t="s">
        <v>5377</v>
      </c>
      <c r="BB767" s="2" t="str">
        <f>+PROPER(BD[[#This Row],[PRIMER_APELLIDO]])</f>
        <v>Vargas</v>
      </c>
    </row>
    <row r="768" spans="1:54" x14ac:dyDescent="0.25">
      <c r="A768" s="2">
        <v>767</v>
      </c>
      <c r="B768" s="2">
        <v>47079</v>
      </c>
      <c r="C768" s="2" t="s">
        <v>619</v>
      </c>
      <c r="D768" s="2" t="s">
        <v>620</v>
      </c>
      <c r="E768" s="2" t="s">
        <v>5378</v>
      </c>
      <c r="F768" s="2">
        <v>25021484</v>
      </c>
      <c r="G768" s="3">
        <v>37.93150684931507</v>
      </c>
      <c r="H768" s="2" t="s">
        <v>622</v>
      </c>
      <c r="I768" s="2" t="s">
        <v>5379</v>
      </c>
      <c r="J768" s="2" t="str">
        <f>+IF(BD[[#This Row],[DEPARTAMENTO_INSS]]="MANAGUA","_01_","_02_")</f>
        <v>_01_</v>
      </c>
      <c r="K768" s="2" t="str">
        <f>+CONCATENATE(BD[[#This Row],[Columna3]],BD[[#This Row],[Columna4]],BD[[#This Row],[NOMBRE COMPLETO]])</f>
        <v>E003_01_MARIA BELZABETH CENTENO MENA</v>
      </c>
      <c r="L768" s="2" t="s">
        <v>724</v>
      </c>
      <c r="M768" s="2" t="s">
        <v>5380</v>
      </c>
      <c r="N768" s="2" t="s">
        <v>116</v>
      </c>
      <c r="O768" s="2" t="s">
        <v>319</v>
      </c>
      <c r="P768" s="2" t="s">
        <v>626</v>
      </c>
      <c r="Q768" s="2" t="s">
        <v>351</v>
      </c>
      <c r="R768" s="2">
        <v>30951</v>
      </c>
      <c r="S768" s="2">
        <v>30951</v>
      </c>
      <c r="T768" s="2" t="s">
        <v>627</v>
      </c>
      <c r="U768" s="2" t="s">
        <v>627</v>
      </c>
      <c r="V768" s="2" t="s">
        <v>627</v>
      </c>
      <c r="W768" s="2" t="s">
        <v>627</v>
      </c>
      <c r="X768" s="2" t="s">
        <v>5381</v>
      </c>
      <c r="Y768" s="2" t="s">
        <v>5382</v>
      </c>
      <c r="Z768" s="2">
        <v>87909900</v>
      </c>
      <c r="AA768" s="2" t="s">
        <v>5383</v>
      </c>
      <c r="AB768" s="2" t="s">
        <v>631</v>
      </c>
      <c r="AC768" s="2" t="s">
        <v>632</v>
      </c>
      <c r="AD768" s="2">
        <v>87909900</v>
      </c>
      <c r="AE768" s="2">
        <v>84956583</v>
      </c>
      <c r="AF768" s="2">
        <v>89003959</v>
      </c>
      <c r="AJ768" s="2">
        <v>87909900</v>
      </c>
      <c r="AK768" s="2">
        <v>3</v>
      </c>
      <c r="AL768" s="2" t="s">
        <v>633</v>
      </c>
      <c r="AM768" s="2">
        <v>0</v>
      </c>
      <c r="AN768" s="2">
        <v>0</v>
      </c>
      <c r="AO768" s="2">
        <v>1</v>
      </c>
      <c r="AP768" s="2">
        <v>0</v>
      </c>
      <c r="AQ768" s="2">
        <v>0</v>
      </c>
      <c r="AR768" s="2">
        <v>0</v>
      </c>
      <c r="AS768" s="2">
        <v>0</v>
      </c>
      <c r="AT768" s="2">
        <v>0</v>
      </c>
      <c r="AZ768" s="2" t="s">
        <v>5384</v>
      </c>
      <c r="BB768" s="2" t="str">
        <f>+PROPER(BD[[#This Row],[PRIMER_APELLIDO]])</f>
        <v>Centeno</v>
      </c>
    </row>
    <row r="769" spans="1:54" x14ac:dyDescent="0.25">
      <c r="A769" s="2">
        <v>768</v>
      </c>
      <c r="B769" s="2">
        <v>79988</v>
      </c>
      <c r="C769" s="2" t="s">
        <v>619</v>
      </c>
      <c r="D769" s="2" t="s">
        <v>620</v>
      </c>
      <c r="E769" s="2" t="s">
        <v>5385</v>
      </c>
      <c r="G769" s="3">
        <v>37.93150684931507</v>
      </c>
      <c r="H769" s="2" t="s">
        <v>622</v>
      </c>
      <c r="I769" s="2" t="s">
        <v>5386</v>
      </c>
      <c r="J769" s="2" t="str">
        <f>+IF(BD[[#This Row],[DEPARTAMENTO_INSS]]="MANAGUA","_01_","_02_")</f>
        <v>_02_</v>
      </c>
      <c r="K769" s="2" t="str">
        <f>+CONCATENATE(BD[[#This Row],[Columna3]],BD[[#This Row],[Columna4]],BD[[#This Row],[NOMBRE COMPLETO]])</f>
        <v>E003_02_ISAAC OCAMPO OJEDA</v>
      </c>
      <c r="L769" s="2" t="s">
        <v>4183</v>
      </c>
      <c r="N769" s="2" t="s">
        <v>286</v>
      </c>
      <c r="O769" s="2" t="s">
        <v>5387</v>
      </c>
      <c r="P769" s="2" t="s">
        <v>649</v>
      </c>
      <c r="Q769" s="2" t="s">
        <v>351</v>
      </c>
      <c r="R769" s="2">
        <v>30951</v>
      </c>
      <c r="S769" s="2">
        <v>30951</v>
      </c>
      <c r="T769" s="2" t="s">
        <v>1005</v>
      </c>
      <c r="U769" s="2" t="s">
        <v>1005</v>
      </c>
      <c r="V769" s="2" t="s">
        <v>1006</v>
      </c>
      <c r="W769" s="2" t="s">
        <v>1006</v>
      </c>
      <c r="X769" s="2" t="s">
        <v>5388</v>
      </c>
      <c r="Y769" s="2" t="s">
        <v>5389</v>
      </c>
      <c r="Z769" s="2" t="s">
        <v>5390</v>
      </c>
      <c r="AA769" s="2">
        <v>84131812</v>
      </c>
      <c r="AB769" s="2" t="s">
        <v>654</v>
      </c>
      <c r="AC769" s="2" t="s">
        <v>632</v>
      </c>
      <c r="AD769" s="2">
        <v>84131812</v>
      </c>
      <c r="AE769" s="2">
        <v>86656841</v>
      </c>
      <c r="AJ769" s="2">
        <v>84131812</v>
      </c>
      <c r="AK769" s="2">
        <v>3</v>
      </c>
      <c r="AL769" s="2" t="s">
        <v>633</v>
      </c>
      <c r="AM769" s="2">
        <v>0</v>
      </c>
      <c r="AN769" s="2">
        <v>0</v>
      </c>
      <c r="AO769" s="2">
        <v>1</v>
      </c>
      <c r="AP769" s="2">
        <v>0</v>
      </c>
      <c r="AQ769" s="2">
        <v>0</v>
      </c>
      <c r="AR769" s="2">
        <v>0</v>
      </c>
      <c r="AS769" s="2">
        <v>0</v>
      </c>
      <c r="AT769" s="2">
        <v>0</v>
      </c>
      <c r="AZ769" s="2" t="s">
        <v>5391</v>
      </c>
      <c r="BA769" s="2" t="s">
        <v>5392</v>
      </c>
      <c r="BB769" s="2" t="str">
        <f>+PROPER(BD[[#This Row],[PRIMER_APELLIDO]])</f>
        <v>Ocampo</v>
      </c>
    </row>
    <row r="770" spans="1:54" x14ac:dyDescent="0.25">
      <c r="A770" s="2">
        <v>769</v>
      </c>
      <c r="B770" s="2">
        <v>31922</v>
      </c>
      <c r="C770" s="2" t="s">
        <v>619</v>
      </c>
      <c r="D770" s="2" t="s">
        <v>620</v>
      </c>
      <c r="E770" s="2" t="s">
        <v>5393</v>
      </c>
      <c r="F770" s="2">
        <v>22174064</v>
      </c>
      <c r="G770" s="3">
        <v>37.936986301369863</v>
      </c>
      <c r="H770" s="2" t="s">
        <v>622</v>
      </c>
      <c r="I770" s="2" t="s">
        <v>5394</v>
      </c>
      <c r="J770" s="2" t="str">
        <f>+IF(BD[[#This Row],[DEPARTAMENTO_INSS]]="MANAGUA","_01_","_02_")</f>
        <v>_02_</v>
      </c>
      <c r="K770" s="2" t="str">
        <f>+CONCATENATE(BD[[#This Row],[Columna3]],BD[[#This Row],[Columna4]],BD[[#This Row],[NOMBRE COMPLETO]])</f>
        <v>E003_02_KENIA MERCEDES GALÁN HERNÁNDEZ</v>
      </c>
      <c r="L770" s="2" t="s">
        <v>802</v>
      </c>
      <c r="M770" s="2" t="s">
        <v>769</v>
      </c>
      <c r="N770" s="2" t="s">
        <v>97</v>
      </c>
      <c r="O770" s="2" t="s">
        <v>5395</v>
      </c>
      <c r="P770" s="2" t="s">
        <v>626</v>
      </c>
      <c r="Q770" s="2" t="s">
        <v>351</v>
      </c>
      <c r="R770" s="2">
        <v>30949</v>
      </c>
      <c r="S770" s="2">
        <v>30949</v>
      </c>
      <c r="T770" s="2" t="s">
        <v>176</v>
      </c>
      <c r="U770" s="2" t="s">
        <v>1104</v>
      </c>
      <c r="V770" s="2" t="s">
        <v>650</v>
      </c>
      <c r="W770" s="2" t="s">
        <v>2840</v>
      </c>
      <c r="X770" s="2" t="s">
        <v>5396</v>
      </c>
      <c r="Y770" s="2" t="s">
        <v>5397</v>
      </c>
      <c r="Z770" s="2" t="s">
        <v>5398</v>
      </c>
      <c r="AA770" s="2" t="s">
        <v>5399</v>
      </c>
      <c r="AB770" s="2" t="s">
        <v>642</v>
      </c>
      <c r="AC770" s="2" t="s">
        <v>632</v>
      </c>
      <c r="AD770" s="2">
        <v>88331133</v>
      </c>
      <c r="AE770" s="2">
        <v>77344113</v>
      </c>
      <c r="AF770" s="2">
        <v>88563672</v>
      </c>
      <c r="AJ770" s="2">
        <v>88331133</v>
      </c>
      <c r="AK770" s="2">
        <v>4</v>
      </c>
      <c r="AL770" s="2" t="s">
        <v>633</v>
      </c>
      <c r="AM770" s="2">
        <v>0</v>
      </c>
      <c r="AN770" s="2">
        <v>0</v>
      </c>
      <c r="AO770" s="2">
        <v>1</v>
      </c>
      <c r="AP770" s="2">
        <v>0</v>
      </c>
      <c r="AQ770" s="2">
        <v>0</v>
      </c>
      <c r="AR770" s="2">
        <v>0</v>
      </c>
      <c r="AS770" s="2">
        <v>0</v>
      </c>
      <c r="AT770" s="2">
        <v>0</v>
      </c>
      <c r="AZ770" s="2" t="s">
        <v>5400</v>
      </c>
      <c r="BB770" s="2" t="str">
        <f>+PROPER(BD[[#This Row],[PRIMER_APELLIDO]])</f>
        <v>Galán</v>
      </c>
    </row>
    <row r="771" spans="1:54" x14ac:dyDescent="0.25">
      <c r="A771" s="2">
        <v>770</v>
      </c>
      <c r="B771" s="2">
        <v>36243</v>
      </c>
      <c r="C771" s="2" t="s">
        <v>619</v>
      </c>
      <c r="D771" s="2" t="s">
        <v>620</v>
      </c>
      <c r="E771" s="2" t="s">
        <v>5401</v>
      </c>
      <c r="F771" s="2">
        <v>21750441</v>
      </c>
      <c r="G771" s="3">
        <v>37.936986301369863</v>
      </c>
      <c r="H771" s="2" t="s">
        <v>622</v>
      </c>
      <c r="I771" s="2" t="s">
        <v>5402</v>
      </c>
      <c r="J771" s="2" t="str">
        <f>+IF(BD[[#This Row],[DEPARTAMENTO_INSS]]="MANAGUA","_01_","_02_")</f>
        <v>_02_</v>
      </c>
      <c r="K771" s="2" t="str">
        <f>+CONCATENATE(BD[[#This Row],[Columna3]],BD[[#This Row],[Columna4]],BD[[#This Row],[NOMBRE COMPLETO]])</f>
        <v>E003_02_DOUGLAS MERCEDES MOYA LEYVA</v>
      </c>
      <c r="L771" s="2" t="s">
        <v>1603</v>
      </c>
      <c r="M771" s="2" t="s">
        <v>769</v>
      </c>
      <c r="N771" s="2" t="s">
        <v>193</v>
      </c>
      <c r="O771" s="2" t="s">
        <v>5403</v>
      </c>
      <c r="P771" s="2" t="s">
        <v>649</v>
      </c>
      <c r="Q771" s="2" t="s">
        <v>351</v>
      </c>
      <c r="R771" s="2">
        <v>30949</v>
      </c>
      <c r="S771" s="2">
        <v>30949</v>
      </c>
      <c r="T771" s="2" t="s">
        <v>176</v>
      </c>
      <c r="U771" s="2" t="s">
        <v>1104</v>
      </c>
      <c r="V771" s="2" t="s">
        <v>2967</v>
      </c>
      <c r="W771" s="2" t="s">
        <v>1104</v>
      </c>
      <c r="Y771" s="2" t="s">
        <v>5404</v>
      </c>
      <c r="AA771" s="2">
        <v>85348978</v>
      </c>
      <c r="AB771" s="2" t="s">
        <v>654</v>
      </c>
      <c r="AC771" s="2" t="s">
        <v>632</v>
      </c>
      <c r="AD771" s="2">
        <v>85348978</v>
      </c>
      <c r="AJ771" s="2">
        <v>85348978</v>
      </c>
      <c r="AK771" s="2">
        <v>1</v>
      </c>
      <c r="AL771" s="2" t="s">
        <v>633</v>
      </c>
      <c r="AM771" s="2">
        <v>0</v>
      </c>
      <c r="AN771" s="2">
        <v>0</v>
      </c>
      <c r="AO771" s="2">
        <v>1</v>
      </c>
      <c r="AP771" s="2">
        <v>0</v>
      </c>
      <c r="AQ771" s="2">
        <v>0</v>
      </c>
      <c r="AR771" s="2">
        <v>0</v>
      </c>
      <c r="AS771" s="2">
        <v>0</v>
      </c>
      <c r="AT771" s="2">
        <v>0</v>
      </c>
      <c r="BB771" s="2" t="str">
        <f>+PROPER(BD[[#This Row],[PRIMER_APELLIDO]])</f>
        <v>Moya</v>
      </c>
    </row>
    <row r="772" spans="1:54" x14ac:dyDescent="0.25">
      <c r="A772" s="2">
        <v>771</v>
      </c>
      <c r="B772" s="2">
        <v>77011</v>
      </c>
      <c r="C772" s="2" t="s">
        <v>619</v>
      </c>
      <c r="D772" s="2" t="s">
        <v>620</v>
      </c>
      <c r="E772" s="2" t="s">
        <v>5405</v>
      </c>
      <c r="G772" s="3">
        <v>37.936986301369863</v>
      </c>
      <c r="H772" s="2" t="s">
        <v>622</v>
      </c>
      <c r="I772" s="2" t="s">
        <v>5406</v>
      </c>
      <c r="J772" s="2" t="str">
        <f>+IF(BD[[#This Row],[DEPARTAMENTO_INSS]]="MANAGUA","_01_","_02_")</f>
        <v>_02_</v>
      </c>
      <c r="K772" s="2" t="str">
        <f>+CONCATENATE(BD[[#This Row],[Columna3]],BD[[#This Row],[Columna4]],BD[[#This Row],[NOMBRE COMPLETO]])</f>
        <v>E003_02_AXCEL DANIEL CHOW BARRERA</v>
      </c>
      <c r="L772" s="2" t="s">
        <v>5407</v>
      </c>
      <c r="M772" s="2" t="s">
        <v>2175</v>
      </c>
      <c r="N772" s="2" t="s">
        <v>324</v>
      </c>
      <c r="O772" s="2" t="s">
        <v>5408</v>
      </c>
      <c r="P772" s="2" t="s">
        <v>649</v>
      </c>
      <c r="Q772" s="2" t="s">
        <v>351</v>
      </c>
      <c r="R772" s="2">
        <v>30949</v>
      </c>
      <c r="S772" s="2">
        <v>30949</v>
      </c>
      <c r="T772" s="2" t="s">
        <v>627</v>
      </c>
      <c r="U772" s="2" t="s">
        <v>1005</v>
      </c>
      <c r="V772" s="2" t="s">
        <v>692</v>
      </c>
      <c r="W772" s="2" t="s">
        <v>1006</v>
      </c>
      <c r="X772" s="2" t="s">
        <v>5409</v>
      </c>
      <c r="Y772" s="2" t="s">
        <v>5410</v>
      </c>
      <c r="Z772" s="2">
        <v>85042879</v>
      </c>
      <c r="AB772" s="2" t="s">
        <v>654</v>
      </c>
      <c r="AC772" s="2" t="s">
        <v>632</v>
      </c>
      <c r="AD772" s="2">
        <v>85042879</v>
      </c>
      <c r="AJ772" s="2">
        <v>85042879</v>
      </c>
      <c r="AK772" s="2">
        <v>1</v>
      </c>
      <c r="AL772" s="2" t="s">
        <v>633</v>
      </c>
      <c r="AM772" s="2">
        <v>0</v>
      </c>
      <c r="AN772" s="2">
        <v>0</v>
      </c>
      <c r="AO772" s="2">
        <v>1</v>
      </c>
      <c r="AP772" s="2">
        <v>0</v>
      </c>
      <c r="AQ772" s="2">
        <v>0</v>
      </c>
      <c r="AR772" s="2">
        <v>0</v>
      </c>
      <c r="AS772" s="2">
        <v>0</v>
      </c>
      <c r="AT772" s="2">
        <v>0</v>
      </c>
      <c r="AZ772" s="2" t="s">
        <v>5411</v>
      </c>
      <c r="BB772" s="2" t="str">
        <f>+PROPER(BD[[#This Row],[PRIMER_APELLIDO]])</f>
        <v>Chow</v>
      </c>
    </row>
    <row r="773" spans="1:54" x14ac:dyDescent="0.25">
      <c r="A773" s="2">
        <v>772</v>
      </c>
      <c r="B773" s="2">
        <v>35512</v>
      </c>
      <c r="C773" s="2" t="s">
        <v>619</v>
      </c>
      <c r="D773" s="2" t="s">
        <v>620</v>
      </c>
      <c r="E773" s="2" t="s">
        <v>5412</v>
      </c>
      <c r="F773" s="2">
        <v>22158871</v>
      </c>
      <c r="G773" s="3">
        <v>37.939726027397263</v>
      </c>
      <c r="H773" s="2" t="s">
        <v>622</v>
      </c>
      <c r="I773" s="2" t="s">
        <v>5413</v>
      </c>
      <c r="J773" s="2" t="str">
        <f>+IF(BD[[#This Row],[DEPARTAMENTO_INSS]]="MANAGUA","_01_","_02_")</f>
        <v>_02_</v>
      </c>
      <c r="K773" s="2" t="str">
        <f>+CONCATENATE(BD[[#This Row],[Columna3]],BD[[#This Row],[Columna4]],BD[[#This Row],[NOMBRE COMPLETO]])</f>
        <v>E003_02_RODRIGO ANTONIO CANALES ESPINOZA</v>
      </c>
      <c r="L773" s="2" t="s">
        <v>5414</v>
      </c>
      <c r="M773" s="2" t="s">
        <v>904</v>
      </c>
      <c r="N773" s="2" t="s">
        <v>77</v>
      </c>
      <c r="O773" s="2" t="s">
        <v>235</v>
      </c>
      <c r="P773" s="2" t="s">
        <v>649</v>
      </c>
      <c r="Q773" s="2" t="s">
        <v>351</v>
      </c>
      <c r="R773" s="2">
        <v>30948</v>
      </c>
      <c r="S773" s="2">
        <v>30948</v>
      </c>
      <c r="T773" s="2" t="s">
        <v>176</v>
      </c>
      <c r="U773" s="2" t="s">
        <v>176</v>
      </c>
      <c r="V773" s="2" t="s">
        <v>650</v>
      </c>
      <c r="W773" s="2" t="s">
        <v>176</v>
      </c>
      <c r="X773" s="2" t="s">
        <v>5415</v>
      </c>
      <c r="Y773" s="2" t="s">
        <v>5416</v>
      </c>
      <c r="Z773" s="2">
        <v>87045807</v>
      </c>
      <c r="AA773" s="2" t="s">
        <v>5417</v>
      </c>
      <c r="AB773" s="2" t="s">
        <v>654</v>
      </c>
      <c r="AC773" s="2" t="s">
        <v>632</v>
      </c>
      <c r="AD773" s="2">
        <v>87045807</v>
      </c>
      <c r="AE773" s="2">
        <v>89104104</v>
      </c>
      <c r="AJ773" s="2">
        <v>87045807</v>
      </c>
      <c r="AK773" s="2">
        <v>3</v>
      </c>
      <c r="AL773" s="2" t="s">
        <v>633</v>
      </c>
      <c r="AM773" s="2">
        <v>0</v>
      </c>
      <c r="AN773" s="2">
        <v>0</v>
      </c>
      <c r="AO773" s="2">
        <v>1</v>
      </c>
      <c r="AP773" s="2">
        <v>0</v>
      </c>
      <c r="AQ773" s="2">
        <v>0</v>
      </c>
      <c r="AR773" s="2">
        <v>0</v>
      </c>
      <c r="AS773" s="2">
        <v>0</v>
      </c>
      <c r="AT773" s="2">
        <v>0</v>
      </c>
      <c r="AZ773" s="2" t="s">
        <v>5418</v>
      </c>
      <c r="BB773" s="2" t="str">
        <f>+PROPER(BD[[#This Row],[PRIMER_APELLIDO]])</f>
        <v>Canales</v>
      </c>
    </row>
    <row r="774" spans="1:54" x14ac:dyDescent="0.25">
      <c r="A774" s="2">
        <v>773</v>
      </c>
      <c r="B774" s="2">
        <v>33240</v>
      </c>
      <c r="C774" s="2" t="s">
        <v>619</v>
      </c>
      <c r="D774" s="2" t="s">
        <v>620</v>
      </c>
      <c r="E774" s="2" t="s">
        <v>5419</v>
      </c>
      <c r="G774" s="3">
        <v>37.956164383561642</v>
      </c>
      <c r="H774" s="2" t="s">
        <v>622</v>
      </c>
      <c r="I774" s="2" t="s">
        <v>5420</v>
      </c>
      <c r="J774" s="2" t="str">
        <f>+IF(BD[[#This Row],[DEPARTAMENTO_INSS]]="MANAGUA","_01_","_02_")</f>
        <v>_02_</v>
      </c>
      <c r="K774" s="2" t="str">
        <f>+CONCATENATE(BD[[#This Row],[Columna3]],BD[[#This Row],[Columna4]],BD[[#This Row],[NOMBRE COMPLETO]])</f>
        <v>E003_02_MARLYN ELIETTE ROCHA RAMIREZ</v>
      </c>
      <c r="L774" s="2" t="s">
        <v>5421</v>
      </c>
      <c r="M774" s="2" t="s">
        <v>5422</v>
      </c>
      <c r="N774" s="2" t="s">
        <v>49</v>
      </c>
      <c r="O774" s="2" t="s">
        <v>38</v>
      </c>
      <c r="P774" s="2" t="s">
        <v>626</v>
      </c>
      <c r="Q774" s="2" t="s">
        <v>351</v>
      </c>
      <c r="R774" s="2">
        <v>30942</v>
      </c>
      <c r="S774" s="2">
        <v>30942</v>
      </c>
      <c r="T774" s="2" t="s">
        <v>176</v>
      </c>
      <c r="U774" s="2" t="s">
        <v>176</v>
      </c>
      <c r="V774" s="2" t="s">
        <v>650</v>
      </c>
      <c r="W774" s="2" t="s">
        <v>176</v>
      </c>
      <c r="X774" s="2" t="s">
        <v>5423</v>
      </c>
      <c r="Y774" s="2" t="s">
        <v>5424</v>
      </c>
      <c r="Z774" s="2">
        <v>88812890</v>
      </c>
      <c r="AA774" s="2" t="s">
        <v>5425</v>
      </c>
      <c r="AB774" s="2" t="s">
        <v>654</v>
      </c>
      <c r="AC774" s="2" t="s">
        <v>632</v>
      </c>
      <c r="AD774" s="2">
        <v>88812890</v>
      </c>
      <c r="AJ774" s="2">
        <v>88812890</v>
      </c>
      <c r="AK774" s="2">
        <v>3</v>
      </c>
      <c r="AL774" s="2" t="s">
        <v>633</v>
      </c>
      <c r="AM774" s="2">
        <v>0</v>
      </c>
      <c r="AN774" s="2">
        <v>0</v>
      </c>
      <c r="AO774" s="2">
        <v>1</v>
      </c>
      <c r="AP774" s="2">
        <v>0</v>
      </c>
      <c r="AQ774" s="2">
        <v>0</v>
      </c>
      <c r="AR774" s="2">
        <v>0</v>
      </c>
      <c r="AS774" s="2">
        <v>0</v>
      </c>
      <c r="AT774" s="2">
        <v>0</v>
      </c>
      <c r="AZ774" s="2" t="s">
        <v>5426</v>
      </c>
      <c r="BB774" s="2" t="str">
        <f>+PROPER(BD[[#This Row],[PRIMER_APELLIDO]])</f>
        <v>Rocha</v>
      </c>
    </row>
    <row r="775" spans="1:54" x14ac:dyDescent="0.25">
      <c r="A775" s="2">
        <v>774</v>
      </c>
      <c r="B775" s="2">
        <v>39226</v>
      </c>
      <c r="C775" s="2" t="s">
        <v>619</v>
      </c>
      <c r="D775" s="2" t="s">
        <v>620</v>
      </c>
      <c r="E775" s="2" t="s">
        <v>5427</v>
      </c>
      <c r="F775" s="2">
        <v>23113280</v>
      </c>
      <c r="G775" s="3">
        <v>37.956164383561642</v>
      </c>
      <c r="H775" s="2" t="s">
        <v>622</v>
      </c>
      <c r="I775" s="2" t="s">
        <v>5428</v>
      </c>
      <c r="J775" s="2" t="str">
        <f>+IF(BD[[#This Row],[DEPARTAMENTO_INSS]]="MANAGUA","_01_","_02_")</f>
        <v>_02_</v>
      </c>
      <c r="K775" s="2" t="str">
        <f>+CONCATENATE(BD[[#This Row],[Columna3]],BD[[#This Row],[Columna4]],BD[[#This Row],[NOMBRE COMPLETO]])</f>
        <v>E003_02_MIGUEL ANGEL RODRIGUEZ MENDOZA</v>
      </c>
      <c r="L775" s="2" t="s">
        <v>2016</v>
      </c>
      <c r="M775" s="2" t="s">
        <v>3464</v>
      </c>
      <c r="N775" s="2" t="s">
        <v>185</v>
      </c>
      <c r="O775" s="2" t="s">
        <v>9</v>
      </c>
      <c r="P775" s="2" t="s">
        <v>649</v>
      </c>
      <c r="Q775" s="2" t="s">
        <v>351</v>
      </c>
      <c r="R775" s="2">
        <v>30942</v>
      </c>
      <c r="S775" s="2">
        <v>30942</v>
      </c>
      <c r="T775" s="2" t="s">
        <v>929</v>
      </c>
      <c r="U775" s="2" t="s">
        <v>1191</v>
      </c>
      <c r="V775" s="2" t="s">
        <v>1882</v>
      </c>
      <c r="W775" s="2" t="s">
        <v>1300</v>
      </c>
      <c r="X775" s="2" t="s">
        <v>5429</v>
      </c>
      <c r="Y775" s="2" t="s">
        <v>5430</v>
      </c>
      <c r="AA775" s="2">
        <v>86952439</v>
      </c>
      <c r="AB775" s="2" t="s">
        <v>654</v>
      </c>
      <c r="AC775" s="2" t="s">
        <v>632</v>
      </c>
      <c r="AD775" s="2">
        <v>86952439</v>
      </c>
      <c r="AJ775" s="2">
        <v>86952439</v>
      </c>
      <c r="AK775" s="2">
        <v>1</v>
      </c>
      <c r="AL775" s="2" t="s">
        <v>633</v>
      </c>
      <c r="AM775" s="2">
        <v>0</v>
      </c>
      <c r="AN775" s="2">
        <v>0</v>
      </c>
      <c r="AO775" s="2">
        <v>1</v>
      </c>
      <c r="AP775" s="2">
        <v>0</v>
      </c>
      <c r="AQ775" s="2">
        <v>0</v>
      </c>
      <c r="AR775" s="2">
        <v>0</v>
      </c>
      <c r="AS775" s="2">
        <v>0</v>
      </c>
      <c r="AT775" s="2">
        <v>0</v>
      </c>
      <c r="BB775" s="2" t="str">
        <f>+PROPER(BD[[#This Row],[PRIMER_APELLIDO]])</f>
        <v>Rodriguez</v>
      </c>
    </row>
    <row r="776" spans="1:54" x14ac:dyDescent="0.25">
      <c r="A776" s="2">
        <v>775</v>
      </c>
      <c r="B776" s="2">
        <v>39338</v>
      </c>
      <c r="C776" s="2" t="s">
        <v>619</v>
      </c>
      <c r="D776" s="2" t="s">
        <v>620</v>
      </c>
      <c r="E776" s="2" t="s">
        <v>5431</v>
      </c>
      <c r="F776" s="2">
        <v>23112214</v>
      </c>
      <c r="G776" s="3">
        <v>37.956164383561642</v>
      </c>
      <c r="H776" s="2" t="s">
        <v>622</v>
      </c>
      <c r="I776" s="2" t="s">
        <v>5432</v>
      </c>
      <c r="J776" s="2" t="str">
        <f>+IF(BD[[#This Row],[DEPARTAMENTO_INSS]]="MANAGUA","_01_","_02_")</f>
        <v>_01_</v>
      </c>
      <c r="K776" s="2" t="str">
        <f>+CONCATENATE(BD[[#This Row],[Columna3]],BD[[#This Row],[Columna4]],BD[[#This Row],[NOMBRE COMPLETO]])</f>
        <v>E003_01_MARBELLY DE LOS ANGELES GUEVARA CALERO</v>
      </c>
      <c r="L776" s="2" t="s">
        <v>2563</v>
      </c>
      <c r="M776" s="2" t="s">
        <v>683</v>
      </c>
      <c r="N776" s="2" t="s">
        <v>51</v>
      </c>
      <c r="O776" s="2" t="s">
        <v>80</v>
      </c>
      <c r="P776" s="2" t="s">
        <v>626</v>
      </c>
      <c r="Q776" s="2" t="s">
        <v>351</v>
      </c>
      <c r="R776" s="2">
        <v>30942</v>
      </c>
      <c r="S776" s="2">
        <v>30942</v>
      </c>
      <c r="T776" s="2" t="s">
        <v>627</v>
      </c>
      <c r="U776" s="2" t="s">
        <v>627</v>
      </c>
      <c r="V776" s="2" t="s">
        <v>627</v>
      </c>
      <c r="W776" s="2" t="s">
        <v>1498</v>
      </c>
      <c r="X776" s="2" t="s">
        <v>5433</v>
      </c>
      <c r="Y776" s="2" t="s">
        <v>5434</v>
      </c>
      <c r="AA776" s="2" t="s">
        <v>5435</v>
      </c>
      <c r="AB776" s="2" t="s">
        <v>642</v>
      </c>
      <c r="AC776" s="2" t="s">
        <v>632</v>
      </c>
      <c r="AE776" s="2">
        <v>83803960</v>
      </c>
      <c r="AJ776" s="2">
        <v>83803960</v>
      </c>
      <c r="AK776" s="2">
        <v>2</v>
      </c>
      <c r="AL776" s="2" t="s">
        <v>633</v>
      </c>
      <c r="AM776" s="2">
        <v>0</v>
      </c>
      <c r="AN776" s="2">
        <v>0</v>
      </c>
      <c r="AO776" s="2">
        <v>1</v>
      </c>
      <c r="AP776" s="2">
        <v>0</v>
      </c>
      <c r="AQ776" s="2">
        <v>0</v>
      </c>
      <c r="AR776" s="2">
        <v>0</v>
      </c>
      <c r="AS776" s="2">
        <v>0</v>
      </c>
      <c r="AT776" s="2">
        <v>0</v>
      </c>
      <c r="BB776" s="2" t="str">
        <f>+PROPER(BD[[#This Row],[PRIMER_APELLIDO]])</f>
        <v>Guevara</v>
      </c>
    </row>
    <row r="777" spans="1:54" x14ac:dyDescent="0.25">
      <c r="A777" s="2">
        <v>776</v>
      </c>
      <c r="B777" s="2">
        <v>72741</v>
      </c>
      <c r="C777" s="2" t="s">
        <v>619</v>
      </c>
      <c r="D777" s="2" t="s">
        <v>620</v>
      </c>
      <c r="E777" s="2" t="s">
        <v>5436</v>
      </c>
      <c r="G777" s="3">
        <v>37.958904109589042</v>
      </c>
      <c r="H777" s="2" t="s">
        <v>622</v>
      </c>
      <c r="I777" s="2" t="s">
        <v>5437</v>
      </c>
      <c r="J777" s="2" t="str">
        <f>+IF(BD[[#This Row],[DEPARTAMENTO_INSS]]="MANAGUA","_01_","_02_")</f>
        <v>_02_</v>
      </c>
      <c r="K777" s="2" t="str">
        <f>+CONCATENATE(BD[[#This Row],[Columna3]],BD[[#This Row],[Columna4]],BD[[#This Row],[NOMBRE COMPLETO]])</f>
        <v>E003_02_JAIRO JOSE BENITEZ GREY</v>
      </c>
      <c r="L777" s="2" t="s">
        <v>1803</v>
      </c>
      <c r="M777" s="2" t="s">
        <v>243</v>
      </c>
      <c r="N777" s="2" t="s">
        <v>178</v>
      </c>
      <c r="O777" s="2" t="s">
        <v>5438</v>
      </c>
      <c r="P777" s="2" t="s">
        <v>649</v>
      </c>
      <c r="Q777" s="2" t="s">
        <v>351</v>
      </c>
      <c r="R777" s="2">
        <v>30941</v>
      </c>
      <c r="S777" s="2">
        <v>30941</v>
      </c>
      <c r="T777" s="2" t="s">
        <v>1005</v>
      </c>
      <c r="U777" s="2" t="s">
        <v>1005</v>
      </c>
      <c r="V777" s="2" t="s">
        <v>1988</v>
      </c>
      <c r="W777" s="2" t="s">
        <v>1988</v>
      </c>
      <c r="X777" s="2" t="s">
        <v>5439</v>
      </c>
      <c r="Y777" s="2" t="s">
        <v>5440</v>
      </c>
      <c r="Z777" s="2">
        <v>57587080</v>
      </c>
      <c r="AB777" s="2" t="s">
        <v>654</v>
      </c>
      <c r="AC777" s="2" t="s">
        <v>632</v>
      </c>
      <c r="AD777" s="2">
        <v>57587080</v>
      </c>
      <c r="AJ777" s="2">
        <v>57587080</v>
      </c>
      <c r="AK777" s="2">
        <v>1</v>
      </c>
      <c r="AL777" s="2" t="s">
        <v>633</v>
      </c>
      <c r="AM777" s="2">
        <v>0</v>
      </c>
      <c r="AN777" s="2">
        <v>0</v>
      </c>
      <c r="AO777" s="2">
        <v>1</v>
      </c>
      <c r="AP777" s="2">
        <v>0</v>
      </c>
      <c r="AQ777" s="2">
        <v>0</v>
      </c>
      <c r="AR777" s="2">
        <v>0</v>
      </c>
      <c r="AS777" s="2">
        <v>0</v>
      </c>
      <c r="AT777" s="2">
        <v>0</v>
      </c>
      <c r="AZ777" s="2" t="s">
        <v>5441</v>
      </c>
      <c r="BB777" s="2" t="str">
        <f>+PROPER(BD[[#This Row],[PRIMER_APELLIDO]])</f>
        <v>Benitez</v>
      </c>
    </row>
    <row r="778" spans="1:54" x14ac:dyDescent="0.25">
      <c r="A778" s="2">
        <v>777</v>
      </c>
      <c r="B778" s="2">
        <v>72964</v>
      </c>
      <c r="C778" s="2" t="s">
        <v>619</v>
      </c>
      <c r="D778" s="2" t="s">
        <v>620</v>
      </c>
      <c r="E778" s="2" t="s">
        <v>5442</v>
      </c>
      <c r="G778" s="3">
        <v>37.958904109589042</v>
      </c>
      <c r="H778" s="2" t="s">
        <v>622</v>
      </c>
      <c r="I778" s="2" t="s">
        <v>5443</v>
      </c>
      <c r="J778" s="2" t="str">
        <f>+IF(BD[[#This Row],[DEPARTAMENTO_INSS]]="MANAGUA","_01_","_02_")</f>
        <v>_02_</v>
      </c>
      <c r="K778" s="2" t="str">
        <f>+CONCATENATE(BD[[#This Row],[Columna3]],BD[[#This Row],[Columna4]],BD[[#This Row],[NOMBRE COMPLETO]])</f>
        <v>E003_02_SUSANA AGUIRRE MARTINEZ</v>
      </c>
      <c r="L778" s="2" t="s">
        <v>3654</v>
      </c>
      <c r="N778" s="2" t="s">
        <v>255</v>
      </c>
      <c r="O778" s="2" t="s">
        <v>44</v>
      </c>
      <c r="P778" s="2" t="s">
        <v>626</v>
      </c>
      <c r="Q778" s="2" t="s">
        <v>351</v>
      </c>
      <c r="R778" s="2">
        <v>30941</v>
      </c>
      <c r="S778" s="2">
        <v>30941</v>
      </c>
      <c r="T778" s="2" t="s">
        <v>1191</v>
      </c>
      <c r="U778" s="2" t="s">
        <v>1191</v>
      </c>
      <c r="V778" s="2" t="s">
        <v>1300</v>
      </c>
      <c r="W778" s="2" t="s">
        <v>1300</v>
      </c>
      <c r="X778" s="2" t="s">
        <v>5444</v>
      </c>
      <c r="Y778" s="2" t="s">
        <v>5445</v>
      </c>
      <c r="Z778" s="2">
        <v>82369085</v>
      </c>
      <c r="AB778" s="2" t="s">
        <v>642</v>
      </c>
      <c r="AC778" s="2" t="s">
        <v>632</v>
      </c>
      <c r="AD778" s="2">
        <v>82369085</v>
      </c>
      <c r="AJ778" s="2">
        <v>82369085</v>
      </c>
      <c r="AK778" s="2">
        <v>1</v>
      </c>
      <c r="AL778" s="2" t="s">
        <v>633</v>
      </c>
      <c r="AM778" s="2">
        <v>0</v>
      </c>
      <c r="AN778" s="2">
        <v>0</v>
      </c>
      <c r="AO778" s="2">
        <v>1</v>
      </c>
      <c r="AP778" s="2">
        <v>0</v>
      </c>
      <c r="AQ778" s="2">
        <v>0</v>
      </c>
      <c r="AR778" s="2">
        <v>0</v>
      </c>
      <c r="AS778" s="2">
        <v>0</v>
      </c>
      <c r="AT778" s="2">
        <v>0</v>
      </c>
      <c r="AZ778" s="2" t="s">
        <v>5446</v>
      </c>
      <c r="BB778" s="2" t="str">
        <f>+PROPER(BD[[#This Row],[PRIMER_APELLIDO]])</f>
        <v>Aguirre</v>
      </c>
    </row>
    <row r="779" spans="1:54" x14ac:dyDescent="0.25">
      <c r="A779" s="2">
        <v>778</v>
      </c>
      <c r="B779" s="2">
        <v>46481</v>
      </c>
      <c r="C779" s="2" t="s">
        <v>619</v>
      </c>
      <c r="D779" s="2" t="s">
        <v>620</v>
      </c>
      <c r="E779" s="2" t="s">
        <v>5447</v>
      </c>
      <c r="F779" s="2">
        <v>25022353</v>
      </c>
      <c r="G779" s="3">
        <v>37.964383561643835</v>
      </c>
      <c r="H779" s="2" t="s">
        <v>622</v>
      </c>
      <c r="I779" s="2" t="s">
        <v>5448</v>
      </c>
      <c r="J779" s="2" t="str">
        <f>+IF(BD[[#This Row],[DEPARTAMENTO_INSS]]="MANAGUA","_01_","_02_")</f>
        <v>_01_</v>
      </c>
      <c r="K779" s="2" t="str">
        <f>+CONCATENATE(BD[[#This Row],[Columna3]],BD[[#This Row],[Columna4]],BD[[#This Row],[NOMBRE COMPLETO]])</f>
        <v>E003_01_LESTHER ALFREDO PEREZ LOPEZ</v>
      </c>
      <c r="L779" s="2" t="s">
        <v>5449</v>
      </c>
      <c r="M779" s="2" t="s">
        <v>3224</v>
      </c>
      <c r="N779" s="2" t="s">
        <v>24</v>
      </c>
      <c r="O779" s="2" t="s">
        <v>15</v>
      </c>
      <c r="P779" s="2" t="s">
        <v>649</v>
      </c>
      <c r="Q779" s="2" t="s">
        <v>351</v>
      </c>
      <c r="R779" s="2">
        <v>30939</v>
      </c>
      <c r="S779" s="2">
        <v>30939</v>
      </c>
      <c r="T779" s="2" t="s">
        <v>627</v>
      </c>
      <c r="U779" s="2" t="s">
        <v>627</v>
      </c>
      <c r="V779" s="2" t="s">
        <v>627</v>
      </c>
      <c r="W779" s="2" t="s">
        <v>627</v>
      </c>
      <c r="X779" s="2" t="s">
        <v>5450</v>
      </c>
      <c r="Y779" s="2" t="s">
        <v>5451</v>
      </c>
      <c r="Z779" s="2">
        <v>85045582</v>
      </c>
      <c r="AA779" s="2">
        <v>85045582</v>
      </c>
      <c r="AB779" s="2" t="s">
        <v>798</v>
      </c>
      <c r="AC779" s="2" t="s">
        <v>632</v>
      </c>
      <c r="AD779" s="2">
        <v>85045582</v>
      </c>
      <c r="AJ779" s="2">
        <v>85045582</v>
      </c>
      <c r="AK779" s="2">
        <v>2</v>
      </c>
      <c r="AL779" s="2" t="s">
        <v>633</v>
      </c>
      <c r="AM779" s="2">
        <v>0</v>
      </c>
      <c r="AN779" s="2">
        <v>0</v>
      </c>
      <c r="AO779" s="2">
        <v>1</v>
      </c>
      <c r="AP779" s="2">
        <v>0</v>
      </c>
      <c r="AQ779" s="2">
        <v>0</v>
      </c>
      <c r="AR779" s="2">
        <v>0</v>
      </c>
      <c r="AS779" s="2">
        <v>0</v>
      </c>
      <c r="AT779" s="2">
        <v>0</v>
      </c>
      <c r="AZ779" s="2" t="s">
        <v>5452</v>
      </c>
      <c r="BB779" s="2" t="str">
        <f>+PROPER(BD[[#This Row],[PRIMER_APELLIDO]])</f>
        <v>Perez</v>
      </c>
    </row>
    <row r="780" spans="1:54" x14ac:dyDescent="0.25">
      <c r="A780" s="2">
        <v>779</v>
      </c>
      <c r="B780" s="2">
        <v>35633</v>
      </c>
      <c r="C780" s="2" t="s">
        <v>619</v>
      </c>
      <c r="D780" s="2" t="s">
        <v>620</v>
      </c>
      <c r="E780" s="2" t="s">
        <v>5453</v>
      </c>
      <c r="F780" s="2">
        <v>22087560</v>
      </c>
      <c r="G780" s="3">
        <v>37.975342465753428</v>
      </c>
      <c r="H780" s="2" t="s">
        <v>622</v>
      </c>
      <c r="I780" s="2" t="s">
        <v>5454</v>
      </c>
      <c r="J780" s="2" t="str">
        <f>+IF(BD[[#This Row],[DEPARTAMENTO_INSS]]="MANAGUA","_01_","_02_")</f>
        <v>_02_</v>
      </c>
      <c r="K780" s="2" t="str">
        <f>+CONCATENATE(BD[[#This Row],[Columna3]],BD[[#This Row],[Columna4]],BD[[#This Row],[NOMBRE COMPLETO]])</f>
        <v>E003_02_JOHANNA MERCEDES PEREIRA ALVAREZ</v>
      </c>
      <c r="L780" s="2" t="s">
        <v>5455</v>
      </c>
      <c r="M780" s="2" t="s">
        <v>769</v>
      </c>
      <c r="N780" s="2" t="s">
        <v>447</v>
      </c>
      <c r="O780" s="2" t="s">
        <v>456</v>
      </c>
      <c r="P780" s="2" t="s">
        <v>626</v>
      </c>
      <c r="Q780" s="2" t="s">
        <v>351</v>
      </c>
      <c r="R780" s="2">
        <v>30935</v>
      </c>
      <c r="S780" s="2">
        <v>30935</v>
      </c>
      <c r="T780" s="2" t="s">
        <v>705</v>
      </c>
      <c r="U780" s="2" t="s">
        <v>705</v>
      </c>
      <c r="V780" s="2" t="s">
        <v>705</v>
      </c>
      <c r="W780" s="2" t="s">
        <v>705</v>
      </c>
      <c r="X780" s="2" t="s">
        <v>5456</v>
      </c>
      <c r="Y780" s="2" t="s">
        <v>5457</v>
      </c>
      <c r="Z780" s="2">
        <v>89714187</v>
      </c>
      <c r="AA780" s="2">
        <v>89714187</v>
      </c>
      <c r="AB780" s="2" t="s">
        <v>642</v>
      </c>
      <c r="AC780" s="2" t="s">
        <v>632</v>
      </c>
      <c r="AD780" s="2">
        <v>89714187</v>
      </c>
      <c r="AJ780" s="2">
        <v>89714187</v>
      </c>
      <c r="AK780" s="2">
        <v>2</v>
      </c>
      <c r="AL780" s="2" t="s">
        <v>633</v>
      </c>
      <c r="AM780" s="2">
        <v>0</v>
      </c>
      <c r="AN780" s="2">
        <v>0</v>
      </c>
      <c r="AO780" s="2">
        <v>1</v>
      </c>
      <c r="AP780" s="2">
        <v>0</v>
      </c>
      <c r="AQ780" s="2">
        <v>0</v>
      </c>
      <c r="AR780" s="2">
        <v>0</v>
      </c>
      <c r="AS780" s="2">
        <v>0</v>
      </c>
      <c r="AT780" s="2">
        <v>0</v>
      </c>
      <c r="AZ780" s="2" t="s">
        <v>5458</v>
      </c>
      <c r="BB780" s="2" t="str">
        <f>+PROPER(BD[[#This Row],[PRIMER_APELLIDO]])</f>
        <v>Pereira</v>
      </c>
    </row>
    <row r="781" spans="1:54" x14ac:dyDescent="0.25">
      <c r="A781" s="2">
        <v>780</v>
      </c>
      <c r="B781" s="2">
        <v>29983</v>
      </c>
      <c r="C781" s="2" t="s">
        <v>619</v>
      </c>
      <c r="D781" s="2" t="s">
        <v>620</v>
      </c>
      <c r="E781" s="2" t="s">
        <v>5459</v>
      </c>
      <c r="F781" s="2">
        <v>23322765</v>
      </c>
      <c r="G781" s="3">
        <v>37.978082191780821</v>
      </c>
      <c r="H781" s="2" t="s">
        <v>622</v>
      </c>
      <c r="I781" s="2" t="s">
        <v>5460</v>
      </c>
      <c r="J781" s="2" t="str">
        <f>+IF(BD[[#This Row],[DEPARTAMENTO_INSS]]="MANAGUA","_01_","_02_")</f>
        <v>_02_</v>
      </c>
      <c r="K781" s="2" t="str">
        <f>+CONCATENATE(BD[[#This Row],[Columna3]],BD[[#This Row],[Columna4]],BD[[#This Row],[NOMBRE COMPLETO]])</f>
        <v>E003_02_JAVIER ANTONIO FLORES GARCIA</v>
      </c>
      <c r="L781" s="2" t="s">
        <v>975</v>
      </c>
      <c r="M781" s="2" t="s">
        <v>904</v>
      </c>
      <c r="N781" s="2" t="s">
        <v>58</v>
      </c>
      <c r="O781" s="2" t="s">
        <v>10</v>
      </c>
      <c r="P781" s="2" t="s">
        <v>649</v>
      </c>
      <c r="Q781" s="2" t="s">
        <v>351</v>
      </c>
      <c r="R781" s="2">
        <v>30934</v>
      </c>
      <c r="S781" s="2">
        <v>30934</v>
      </c>
      <c r="T781" s="2" t="s">
        <v>740</v>
      </c>
      <c r="U781" s="2" t="s">
        <v>740</v>
      </c>
      <c r="V781" s="2" t="s">
        <v>740</v>
      </c>
      <c r="W781" s="2" t="s">
        <v>740</v>
      </c>
      <c r="X781" s="2" t="s">
        <v>5461</v>
      </c>
      <c r="Y781" s="2" t="s">
        <v>5462</v>
      </c>
      <c r="Z781" s="2">
        <v>87882424</v>
      </c>
      <c r="AB781" s="2" t="s">
        <v>654</v>
      </c>
      <c r="AC781" s="2" t="s">
        <v>632</v>
      </c>
      <c r="AD781" s="2">
        <v>87882424</v>
      </c>
      <c r="AJ781" s="2">
        <v>87882424</v>
      </c>
      <c r="AK781" s="2">
        <v>1</v>
      </c>
      <c r="AL781" s="2" t="s">
        <v>633</v>
      </c>
      <c r="AM781" s="2">
        <v>0</v>
      </c>
      <c r="AN781" s="2">
        <v>0</v>
      </c>
      <c r="AO781" s="2">
        <v>1</v>
      </c>
      <c r="AP781" s="2">
        <v>0</v>
      </c>
      <c r="AQ781" s="2">
        <v>0</v>
      </c>
      <c r="AR781" s="2">
        <v>0</v>
      </c>
      <c r="AS781" s="2">
        <v>0</v>
      </c>
      <c r="AT781" s="2">
        <v>0</v>
      </c>
      <c r="AZ781" s="2" t="s">
        <v>5463</v>
      </c>
      <c r="BB781" s="2" t="str">
        <f>+PROPER(BD[[#This Row],[PRIMER_APELLIDO]])</f>
        <v>Flores</v>
      </c>
    </row>
    <row r="782" spans="1:54" x14ac:dyDescent="0.25">
      <c r="A782" s="2">
        <v>781</v>
      </c>
      <c r="B782" s="2">
        <v>76871</v>
      </c>
      <c r="C782" s="2" t="s">
        <v>619</v>
      </c>
      <c r="D782" s="2" t="s">
        <v>620</v>
      </c>
      <c r="E782" s="2" t="s">
        <v>5464</v>
      </c>
      <c r="G782" s="3">
        <v>37.989041095890414</v>
      </c>
      <c r="H782" s="2" t="s">
        <v>622</v>
      </c>
      <c r="I782" s="2" t="s">
        <v>5465</v>
      </c>
      <c r="J782" s="2" t="str">
        <f>+IF(BD[[#This Row],[DEPARTAMENTO_INSS]]="MANAGUA","_01_","_02_")</f>
        <v>_01_</v>
      </c>
      <c r="K782" s="2" t="str">
        <f>+CONCATENATE(BD[[#This Row],[Columna3]],BD[[#This Row],[Columna4]],BD[[#This Row],[NOMBRE COMPLETO]])</f>
        <v>E003_01_WILLIAM PAUL VARGAS SAAVEDRA</v>
      </c>
      <c r="L782" s="2" t="s">
        <v>3641</v>
      </c>
      <c r="M782" s="2" t="s">
        <v>3941</v>
      </c>
      <c r="N782" s="2" t="s">
        <v>34</v>
      </c>
      <c r="O782" s="2" t="s">
        <v>4957</v>
      </c>
      <c r="P782" s="2" t="s">
        <v>649</v>
      </c>
      <c r="Q782" s="2" t="s">
        <v>351</v>
      </c>
      <c r="R782" s="2">
        <v>30930</v>
      </c>
      <c r="S782" s="2">
        <v>30930</v>
      </c>
      <c r="T782" s="2" t="s">
        <v>627</v>
      </c>
      <c r="U782" s="2" t="s">
        <v>627</v>
      </c>
      <c r="V782" s="2" t="s">
        <v>627</v>
      </c>
      <c r="W782" s="2" t="s">
        <v>627</v>
      </c>
      <c r="X782" s="2" t="s">
        <v>5466</v>
      </c>
      <c r="Y782" s="2" t="s">
        <v>5467</v>
      </c>
      <c r="Z782" s="2">
        <v>78098973</v>
      </c>
      <c r="AA782" s="2">
        <v>83289339</v>
      </c>
      <c r="AB782" s="2" t="s">
        <v>654</v>
      </c>
      <c r="AC782" s="2" t="s">
        <v>632</v>
      </c>
      <c r="AD782" s="2">
        <v>78098973</v>
      </c>
      <c r="AF782" s="2">
        <v>83289339</v>
      </c>
      <c r="AJ782" s="2">
        <v>78098973</v>
      </c>
      <c r="AK782" s="2">
        <v>2</v>
      </c>
      <c r="AL782" s="2" t="s">
        <v>633</v>
      </c>
      <c r="AM782" s="2">
        <v>0</v>
      </c>
      <c r="AN782" s="2">
        <v>0</v>
      </c>
      <c r="AO782" s="2">
        <v>1</v>
      </c>
      <c r="AP782" s="2">
        <v>0</v>
      </c>
      <c r="AQ782" s="2">
        <v>0</v>
      </c>
      <c r="AR782" s="2">
        <v>0</v>
      </c>
      <c r="AS782" s="2">
        <v>0</v>
      </c>
      <c r="AT782" s="2">
        <v>0</v>
      </c>
      <c r="AZ782" s="2" t="s">
        <v>5468</v>
      </c>
      <c r="BB782" s="2" t="str">
        <f>+PROPER(BD[[#This Row],[PRIMER_APELLIDO]])</f>
        <v>Vargas</v>
      </c>
    </row>
    <row r="783" spans="1:54" x14ac:dyDescent="0.25">
      <c r="A783" s="2">
        <v>782</v>
      </c>
      <c r="B783" s="2">
        <v>44365</v>
      </c>
      <c r="C783" s="2" t="s">
        <v>619</v>
      </c>
      <c r="D783" s="2" t="s">
        <v>620</v>
      </c>
      <c r="E783" s="2" t="s">
        <v>5469</v>
      </c>
      <c r="F783" s="2">
        <v>24804352</v>
      </c>
      <c r="G783" s="3">
        <v>37.994520547945207</v>
      </c>
      <c r="H783" s="2" t="s">
        <v>622</v>
      </c>
      <c r="I783" s="2" t="s">
        <v>5470</v>
      </c>
      <c r="J783" s="2" t="str">
        <f>+IF(BD[[#This Row],[DEPARTAMENTO_INSS]]="MANAGUA","_01_","_02_")</f>
        <v>_01_</v>
      </c>
      <c r="K783" s="2" t="str">
        <f>+CONCATENATE(BD[[#This Row],[Columna3]],BD[[#This Row],[Columna4]],BD[[#This Row],[NOMBRE COMPLETO]])</f>
        <v>E003_01_ELIDA MERCEDES BALTODANO CASTILLO</v>
      </c>
      <c r="L783" s="2" t="s">
        <v>4770</v>
      </c>
      <c r="M783" s="2" t="s">
        <v>769</v>
      </c>
      <c r="N783" s="2" t="s">
        <v>112</v>
      </c>
      <c r="O783" s="2" t="s">
        <v>100</v>
      </c>
      <c r="P783" s="2" t="s">
        <v>626</v>
      </c>
      <c r="Q783" s="2" t="s">
        <v>351</v>
      </c>
      <c r="R783" s="2">
        <v>30928</v>
      </c>
      <c r="S783" s="2">
        <v>30928</v>
      </c>
      <c r="T783" s="2" t="s">
        <v>627</v>
      </c>
      <c r="U783" s="2" t="s">
        <v>627</v>
      </c>
      <c r="V783" s="2" t="s">
        <v>1251</v>
      </c>
      <c r="W783" s="2" t="s">
        <v>1252</v>
      </c>
      <c r="X783" s="2" t="s">
        <v>5471</v>
      </c>
      <c r="Y783" s="2" t="s">
        <v>5472</v>
      </c>
      <c r="AA783" s="2" t="s">
        <v>5473</v>
      </c>
      <c r="AB783" s="2" t="s">
        <v>642</v>
      </c>
      <c r="AC783" s="2" t="s">
        <v>632</v>
      </c>
      <c r="AD783" s="2">
        <v>89420913</v>
      </c>
      <c r="AE783" s="2">
        <v>83390379</v>
      </c>
      <c r="AJ783" s="2">
        <v>89420913</v>
      </c>
      <c r="AK783" s="2">
        <v>2</v>
      </c>
      <c r="AL783" s="2" t="s">
        <v>633</v>
      </c>
      <c r="AM783" s="2">
        <v>0</v>
      </c>
      <c r="AN783" s="2">
        <v>0</v>
      </c>
      <c r="AO783" s="2">
        <v>1</v>
      </c>
      <c r="AP783" s="2">
        <v>0</v>
      </c>
      <c r="AQ783" s="2">
        <v>0</v>
      </c>
      <c r="AR783" s="2">
        <v>0</v>
      </c>
      <c r="AS783" s="2">
        <v>0</v>
      </c>
      <c r="AT783" s="2">
        <v>0</v>
      </c>
      <c r="BB783" s="2" t="str">
        <f>+PROPER(BD[[#This Row],[PRIMER_APELLIDO]])</f>
        <v>Baltodano</v>
      </c>
    </row>
    <row r="784" spans="1:54" x14ac:dyDescent="0.25">
      <c r="A784" s="2">
        <v>783</v>
      </c>
      <c r="B784" s="2">
        <v>35339</v>
      </c>
      <c r="C784" s="2" t="s">
        <v>619</v>
      </c>
      <c r="D784" s="2" t="s">
        <v>620</v>
      </c>
      <c r="E784" s="2" t="s">
        <v>5474</v>
      </c>
      <c r="F784" s="2">
        <v>23090219</v>
      </c>
      <c r="G784" s="3">
        <v>37.9972602739726</v>
      </c>
      <c r="H784" s="2" t="s">
        <v>622</v>
      </c>
      <c r="I784" s="2" t="s">
        <v>5475</v>
      </c>
      <c r="J784" s="2" t="str">
        <f>+IF(BD[[#This Row],[DEPARTAMENTO_INSS]]="MANAGUA","_01_","_02_")</f>
        <v>_02_</v>
      </c>
      <c r="K784" s="2" t="str">
        <f>+CONCATENATE(BD[[#This Row],[Columna3]],BD[[#This Row],[Columna4]],BD[[#This Row],[NOMBRE COMPLETO]])</f>
        <v>E003_02_YANITCIA MARGARITA BLANDON TORREZ</v>
      </c>
      <c r="L784" s="2" t="s">
        <v>5476</v>
      </c>
      <c r="M784" s="2" t="s">
        <v>937</v>
      </c>
      <c r="N784" s="2" t="s">
        <v>159</v>
      </c>
      <c r="O784" s="2" t="s">
        <v>158</v>
      </c>
      <c r="P784" s="2" t="s">
        <v>626</v>
      </c>
      <c r="Q784" s="2" t="s">
        <v>351</v>
      </c>
      <c r="R784" s="2">
        <v>30927</v>
      </c>
      <c r="S784" s="2">
        <v>30927</v>
      </c>
      <c r="T784" s="2" t="s">
        <v>176</v>
      </c>
      <c r="U784" s="2" t="s">
        <v>176</v>
      </c>
      <c r="V784" s="2" t="s">
        <v>1796</v>
      </c>
      <c r="W784" s="2" t="s">
        <v>1796</v>
      </c>
      <c r="X784" s="2" t="s">
        <v>5477</v>
      </c>
      <c r="Y784" s="2" t="s">
        <v>5478</v>
      </c>
      <c r="Z784" s="2">
        <v>86036829</v>
      </c>
      <c r="AA784" s="2">
        <v>89873904</v>
      </c>
      <c r="AB784" s="2" t="s">
        <v>642</v>
      </c>
      <c r="AC784" s="2" t="s">
        <v>632</v>
      </c>
      <c r="AD784" s="2">
        <v>86036829</v>
      </c>
      <c r="AF784" s="2">
        <v>89873904</v>
      </c>
      <c r="AJ784" s="2">
        <v>86036829</v>
      </c>
      <c r="AK784" s="2">
        <v>2</v>
      </c>
      <c r="AL784" s="2" t="s">
        <v>633</v>
      </c>
      <c r="AM784" s="2">
        <v>0</v>
      </c>
      <c r="AN784" s="2">
        <v>0</v>
      </c>
      <c r="AO784" s="2">
        <v>1</v>
      </c>
      <c r="AP784" s="2">
        <v>0</v>
      </c>
      <c r="AQ784" s="2">
        <v>0</v>
      </c>
      <c r="AR784" s="2">
        <v>0</v>
      </c>
      <c r="AS784" s="2">
        <v>0</v>
      </c>
      <c r="AT784" s="2">
        <v>0</v>
      </c>
      <c r="BB784" s="2" t="str">
        <f>+PROPER(BD[[#This Row],[PRIMER_APELLIDO]])</f>
        <v>Blandon</v>
      </c>
    </row>
    <row r="785" spans="1:54" x14ac:dyDescent="0.25">
      <c r="A785" s="2">
        <v>784</v>
      </c>
      <c r="B785" s="2">
        <v>73856</v>
      </c>
      <c r="C785" s="2" t="s">
        <v>619</v>
      </c>
      <c r="D785" s="2" t="s">
        <v>620</v>
      </c>
      <c r="E785" s="2" t="s">
        <v>5479</v>
      </c>
      <c r="G785" s="3">
        <v>38</v>
      </c>
      <c r="H785" s="2" t="s">
        <v>622</v>
      </c>
      <c r="I785" s="2" t="s">
        <v>5480</v>
      </c>
      <c r="J785" s="2" t="str">
        <f>+IF(BD[[#This Row],[DEPARTAMENTO_INSS]]="MANAGUA","_01_","_02_")</f>
        <v>_02_</v>
      </c>
      <c r="K785" s="2" t="str">
        <f>+CONCATENATE(BD[[#This Row],[Columna3]],BD[[#This Row],[Columna4]],BD[[#This Row],[NOMBRE COMPLETO]])</f>
        <v>E003_02_RUTH INDIANA REYES ESCORCIA</v>
      </c>
      <c r="L785" s="2" t="s">
        <v>2825</v>
      </c>
      <c r="M785" s="2" t="s">
        <v>5481</v>
      </c>
      <c r="N785" s="2" t="s">
        <v>74</v>
      </c>
      <c r="O785" s="2" t="s">
        <v>445</v>
      </c>
      <c r="P785" s="2" t="s">
        <v>626</v>
      </c>
      <c r="Q785" s="2" t="s">
        <v>351</v>
      </c>
      <c r="R785" s="2">
        <v>30926</v>
      </c>
      <c r="S785" s="2">
        <v>30926</v>
      </c>
      <c r="T785" s="2" t="s">
        <v>1044</v>
      </c>
      <c r="U785" s="2" t="s">
        <v>1044</v>
      </c>
      <c r="V785" s="2" t="s">
        <v>1838</v>
      </c>
      <c r="W785" s="2" t="s">
        <v>1838</v>
      </c>
      <c r="X785" s="2" t="s">
        <v>5482</v>
      </c>
      <c r="Y785" s="2" t="s">
        <v>5483</v>
      </c>
      <c r="Z785" s="2">
        <v>57545759</v>
      </c>
      <c r="AA785" s="2">
        <v>57545759</v>
      </c>
      <c r="AB785" s="2" t="s">
        <v>654</v>
      </c>
      <c r="AC785" s="2" t="s">
        <v>632</v>
      </c>
      <c r="AD785" s="2">
        <v>57545759</v>
      </c>
      <c r="AJ785" s="2">
        <v>57545759</v>
      </c>
      <c r="AK785" s="2">
        <v>2</v>
      </c>
      <c r="AL785" s="2" t="s">
        <v>633</v>
      </c>
      <c r="AM785" s="2">
        <v>0</v>
      </c>
      <c r="AN785" s="2">
        <v>0</v>
      </c>
      <c r="AO785" s="2">
        <v>1</v>
      </c>
      <c r="AP785" s="2">
        <v>0</v>
      </c>
      <c r="AQ785" s="2">
        <v>0</v>
      </c>
      <c r="AR785" s="2">
        <v>0</v>
      </c>
      <c r="AS785" s="2">
        <v>0</v>
      </c>
      <c r="AT785" s="2">
        <v>0</v>
      </c>
      <c r="AZ785" s="2" t="s">
        <v>5484</v>
      </c>
      <c r="BB785" s="2" t="str">
        <f>+PROPER(BD[[#This Row],[PRIMER_APELLIDO]])</f>
        <v>Reyes</v>
      </c>
    </row>
    <row r="786" spans="1:54" x14ac:dyDescent="0.25">
      <c r="A786" s="2">
        <v>785</v>
      </c>
      <c r="B786" s="2">
        <v>32624</v>
      </c>
      <c r="C786" s="2" t="s">
        <v>619</v>
      </c>
      <c r="D786" s="2" t="s">
        <v>620</v>
      </c>
      <c r="E786" s="2" t="s">
        <v>5485</v>
      </c>
      <c r="F786" s="2">
        <v>21734317</v>
      </c>
      <c r="G786" s="3">
        <v>38.010958904109586</v>
      </c>
      <c r="H786" s="2" t="s">
        <v>622</v>
      </c>
      <c r="I786" s="2" t="s">
        <v>5486</v>
      </c>
      <c r="J786" s="2" t="str">
        <f>+IF(BD[[#This Row],[DEPARTAMENTO_INSS]]="MANAGUA","_01_","_02_")</f>
        <v>_01_</v>
      </c>
      <c r="K786" s="2" t="str">
        <f>+CONCATENATE(BD[[#This Row],[Columna3]],BD[[#This Row],[Columna4]],BD[[#This Row],[NOMBRE COMPLETO]])</f>
        <v>E003_01_BELKIN DE LOS ANGELES CANALES SEQUEIRA</v>
      </c>
      <c r="L786" s="2" t="s">
        <v>5487</v>
      </c>
      <c r="M786" s="2" t="s">
        <v>683</v>
      </c>
      <c r="N786" s="2" t="s">
        <v>77</v>
      </c>
      <c r="O786" s="2" t="s">
        <v>348</v>
      </c>
      <c r="P786" s="2" t="s">
        <v>626</v>
      </c>
      <c r="Q786" s="2" t="s">
        <v>351</v>
      </c>
      <c r="R786" s="2">
        <v>30922</v>
      </c>
      <c r="S786" s="2">
        <v>30922</v>
      </c>
      <c r="U786" s="2" t="s">
        <v>627</v>
      </c>
      <c r="W786" s="2" t="s">
        <v>627</v>
      </c>
      <c r="X786" s="2" t="s">
        <v>5488</v>
      </c>
      <c r="Y786" s="2" t="s">
        <v>5489</v>
      </c>
      <c r="AA786" s="2">
        <v>22707642</v>
      </c>
      <c r="AB786" s="2" t="s">
        <v>5490</v>
      </c>
      <c r="AC786" s="2" t="s">
        <v>632</v>
      </c>
      <c r="AK786" s="2">
        <v>1</v>
      </c>
      <c r="AL786" s="2" t="s">
        <v>633</v>
      </c>
      <c r="AM786" s="2">
        <v>0</v>
      </c>
      <c r="AN786" s="2">
        <v>0</v>
      </c>
      <c r="AO786" s="2">
        <v>1</v>
      </c>
      <c r="AP786" s="2">
        <v>0</v>
      </c>
      <c r="AQ786" s="2">
        <v>0</v>
      </c>
      <c r="AR786" s="2">
        <v>0</v>
      </c>
      <c r="AS786" s="2">
        <v>0</v>
      </c>
      <c r="AT786" s="2">
        <v>0</v>
      </c>
      <c r="BB786" s="2" t="str">
        <f>+PROPER(BD[[#This Row],[PRIMER_APELLIDO]])</f>
        <v>Canales</v>
      </c>
    </row>
    <row r="787" spans="1:54" x14ac:dyDescent="0.25">
      <c r="A787" s="2">
        <v>786</v>
      </c>
      <c r="B787" s="2">
        <v>31596</v>
      </c>
      <c r="C787" s="2" t="s">
        <v>619</v>
      </c>
      <c r="D787" s="2" t="s">
        <v>620</v>
      </c>
      <c r="E787" s="2" t="s">
        <v>5491</v>
      </c>
      <c r="F787" s="2">
        <v>21677544</v>
      </c>
      <c r="G787" s="3">
        <v>38.013698630136986</v>
      </c>
      <c r="H787" s="2" t="s">
        <v>622</v>
      </c>
      <c r="I787" s="2" t="s">
        <v>5492</v>
      </c>
      <c r="J787" s="2" t="str">
        <f>+IF(BD[[#This Row],[DEPARTAMENTO_INSS]]="MANAGUA","_01_","_02_")</f>
        <v>_01_</v>
      </c>
      <c r="K787" s="2" t="str">
        <f>+CONCATENATE(BD[[#This Row],[Columna3]],BD[[#This Row],[Columna4]],BD[[#This Row],[NOMBRE COMPLETO]])</f>
        <v>E003_01_OLIVIA DE LA ASUNCION URIARTE HERNANDEZ</v>
      </c>
      <c r="L787" s="2" t="s">
        <v>2125</v>
      </c>
      <c r="M787" s="2" t="s">
        <v>5493</v>
      </c>
      <c r="N787" s="2" t="s">
        <v>81</v>
      </c>
      <c r="O787" s="2" t="s">
        <v>11</v>
      </c>
      <c r="P787" s="2" t="s">
        <v>626</v>
      </c>
      <c r="Q787" s="2" t="s">
        <v>351</v>
      </c>
      <c r="R787" s="2">
        <v>30921</v>
      </c>
      <c r="S787" s="2">
        <v>30921</v>
      </c>
      <c r="T787" s="2" t="s">
        <v>627</v>
      </c>
      <c r="U787" s="2" t="s">
        <v>627</v>
      </c>
      <c r="V787" s="2" t="s">
        <v>627</v>
      </c>
      <c r="W787" s="2" t="s">
        <v>627</v>
      </c>
      <c r="X787" s="2" t="s">
        <v>5494</v>
      </c>
      <c r="Y787" s="2" t="s">
        <v>5495</v>
      </c>
      <c r="AA787" s="2" t="s">
        <v>5496</v>
      </c>
      <c r="AB787" s="2" t="s">
        <v>642</v>
      </c>
      <c r="AC787" s="2" t="s">
        <v>632</v>
      </c>
      <c r="AE787" s="2">
        <v>76327852</v>
      </c>
      <c r="AJ787" s="2">
        <v>76327852</v>
      </c>
      <c r="AK787" s="2">
        <v>2</v>
      </c>
      <c r="AL787" s="2" t="s">
        <v>633</v>
      </c>
      <c r="AM787" s="2">
        <v>0</v>
      </c>
      <c r="AN787" s="2">
        <v>0</v>
      </c>
      <c r="AO787" s="2">
        <v>1</v>
      </c>
      <c r="AP787" s="2">
        <v>0</v>
      </c>
      <c r="AQ787" s="2">
        <v>0</v>
      </c>
      <c r="AR787" s="2">
        <v>0</v>
      </c>
      <c r="AS787" s="2">
        <v>0</v>
      </c>
      <c r="AT787" s="2">
        <v>0</v>
      </c>
      <c r="BB787" s="2" t="str">
        <f>+PROPER(BD[[#This Row],[PRIMER_APELLIDO]])</f>
        <v>Uriarte</v>
      </c>
    </row>
    <row r="788" spans="1:54" x14ac:dyDescent="0.25">
      <c r="A788" s="2">
        <v>787</v>
      </c>
      <c r="B788" s="2">
        <v>34290</v>
      </c>
      <c r="C788" s="2" t="s">
        <v>619</v>
      </c>
      <c r="D788" s="2" t="s">
        <v>620</v>
      </c>
      <c r="E788" s="2" t="s">
        <v>5497</v>
      </c>
      <c r="F788" s="2">
        <v>21669790</v>
      </c>
      <c r="G788" s="3">
        <v>38.016438356164386</v>
      </c>
      <c r="H788" s="2" t="s">
        <v>622</v>
      </c>
      <c r="I788" s="2" t="s">
        <v>5498</v>
      </c>
      <c r="J788" s="2" t="str">
        <f>+IF(BD[[#This Row],[DEPARTAMENTO_INSS]]="MANAGUA","_01_","_02_")</f>
        <v>_02_</v>
      </c>
      <c r="K788" s="2" t="str">
        <f>+CONCATENATE(BD[[#This Row],[Columna3]],BD[[#This Row],[Columna4]],BD[[#This Row],[NOMBRE COMPLETO]])</f>
        <v>E003_02_ROXANA DE LOS ANGELES CUADRA RODRIGUEZ</v>
      </c>
      <c r="L788" s="2" t="s">
        <v>4484</v>
      </c>
      <c r="M788" s="2" t="s">
        <v>683</v>
      </c>
      <c r="N788" s="2" t="s">
        <v>206</v>
      </c>
      <c r="O788" s="2" t="s">
        <v>185</v>
      </c>
      <c r="P788" s="2" t="s">
        <v>626</v>
      </c>
      <c r="Q788" s="2" t="s">
        <v>351</v>
      </c>
      <c r="R788" s="2">
        <v>30920</v>
      </c>
      <c r="S788" s="2">
        <v>30920</v>
      </c>
      <c r="T788" s="2" t="s">
        <v>176</v>
      </c>
      <c r="U788" s="2" t="s">
        <v>176</v>
      </c>
      <c r="V788" s="2" t="s">
        <v>650</v>
      </c>
      <c r="W788" s="2" t="s">
        <v>176</v>
      </c>
      <c r="X788" s="2" t="s">
        <v>5499</v>
      </c>
      <c r="Y788" s="2" t="s">
        <v>5500</v>
      </c>
      <c r="Z788" s="2">
        <v>75168961</v>
      </c>
      <c r="AA788" s="2" t="s">
        <v>5501</v>
      </c>
      <c r="AB788" s="2" t="s">
        <v>654</v>
      </c>
      <c r="AC788" s="2" t="s">
        <v>632</v>
      </c>
      <c r="AD788" s="2">
        <v>75168961</v>
      </c>
      <c r="AE788" s="2">
        <v>75168961</v>
      </c>
      <c r="AJ788" s="2">
        <v>75168961</v>
      </c>
      <c r="AK788" s="2">
        <v>3</v>
      </c>
      <c r="AL788" s="2" t="s">
        <v>633</v>
      </c>
      <c r="AM788" s="2">
        <v>0</v>
      </c>
      <c r="AN788" s="2">
        <v>0</v>
      </c>
      <c r="AO788" s="2">
        <v>1</v>
      </c>
      <c r="AP788" s="2">
        <v>0</v>
      </c>
      <c r="AQ788" s="2">
        <v>0</v>
      </c>
      <c r="AR788" s="2">
        <v>0</v>
      </c>
      <c r="AS788" s="2">
        <v>0</v>
      </c>
      <c r="AT788" s="2">
        <v>0</v>
      </c>
      <c r="AZ788" s="2" t="s">
        <v>5502</v>
      </c>
      <c r="BB788" s="2" t="str">
        <f>+PROPER(BD[[#This Row],[PRIMER_APELLIDO]])</f>
        <v>Cuadra</v>
      </c>
    </row>
    <row r="789" spans="1:54" x14ac:dyDescent="0.25">
      <c r="A789" s="2">
        <v>788</v>
      </c>
      <c r="B789" s="2">
        <v>35306</v>
      </c>
      <c r="C789" s="2" t="s">
        <v>619</v>
      </c>
      <c r="D789" s="2" t="s">
        <v>620</v>
      </c>
      <c r="E789" s="2" t="s">
        <v>5503</v>
      </c>
      <c r="F789" s="2">
        <v>21669842</v>
      </c>
      <c r="G789" s="3">
        <v>38.021917808219179</v>
      </c>
      <c r="H789" s="2" t="s">
        <v>622</v>
      </c>
      <c r="I789" s="2" t="s">
        <v>5504</v>
      </c>
      <c r="J789" s="2" t="str">
        <f>+IF(BD[[#This Row],[DEPARTAMENTO_INSS]]="MANAGUA","_01_","_02_")</f>
        <v>_02_</v>
      </c>
      <c r="K789" s="2" t="str">
        <f>+CONCATENATE(BD[[#This Row],[Columna3]],BD[[#This Row],[Columna4]],BD[[#This Row],[NOMBRE COMPLETO]])</f>
        <v>E003_02_LUIS ENRIQUE SOZA LOPEZ</v>
      </c>
      <c r="L789" s="2" t="s">
        <v>738</v>
      </c>
      <c r="M789" s="2" t="s">
        <v>1480</v>
      </c>
      <c r="N789" s="2" t="s">
        <v>211</v>
      </c>
      <c r="O789" s="2" t="s">
        <v>15</v>
      </c>
      <c r="P789" s="2" t="s">
        <v>649</v>
      </c>
      <c r="Q789" s="2" t="s">
        <v>351</v>
      </c>
      <c r="R789" s="2">
        <v>30918</v>
      </c>
      <c r="S789" s="2">
        <v>30918</v>
      </c>
      <c r="T789" s="2" t="s">
        <v>705</v>
      </c>
      <c r="U789" s="2" t="s">
        <v>705</v>
      </c>
      <c r="V789" s="2" t="s">
        <v>705</v>
      </c>
      <c r="W789" s="2" t="s">
        <v>705</v>
      </c>
      <c r="X789" s="2" t="s">
        <v>5505</v>
      </c>
      <c r="Y789" s="2" t="s">
        <v>5506</v>
      </c>
      <c r="Z789" s="2">
        <v>77416062</v>
      </c>
      <c r="AA789" s="2" t="s">
        <v>5507</v>
      </c>
      <c r="AB789" s="2" t="s">
        <v>654</v>
      </c>
      <c r="AC789" s="2" t="s">
        <v>632</v>
      </c>
      <c r="AD789" s="2">
        <v>77416062</v>
      </c>
      <c r="AJ789" s="2">
        <v>77416062</v>
      </c>
      <c r="AK789" s="2">
        <v>3</v>
      </c>
      <c r="AL789" s="2" t="s">
        <v>633</v>
      </c>
      <c r="AM789" s="2">
        <v>0</v>
      </c>
      <c r="AN789" s="2">
        <v>0</v>
      </c>
      <c r="AO789" s="2">
        <v>1</v>
      </c>
      <c r="AP789" s="2">
        <v>0</v>
      </c>
      <c r="AQ789" s="2">
        <v>0</v>
      </c>
      <c r="AR789" s="2">
        <v>0</v>
      </c>
      <c r="AS789" s="2">
        <v>0</v>
      </c>
      <c r="AT789" s="2">
        <v>0</v>
      </c>
      <c r="AZ789" s="2" t="s">
        <v>5508</v>
      </c>
      <c r="BB789" s="2" t="str">
        <f>+PROPER(BD[[#This Row],[PRIMER_APELLIDO]])</f>
        <v>Soza</v>
      </c>
    </row>
    <row r="790" spans="1:54" x14ac:dyDescent="0.25">
      <c r="A790" s="2">
        <v>789</v>
      </c>
      <c r="B790" s="2">
        <v>38409</v>
      </c>
      <c r="C790" s="2" t="s">
        <v>619</v>
      </c>
      <c r="D790" s="2" t="s">
        <v>620</v>
      </c>
      <c r="E790" s="2" t="s">
        <v>5509</v>
      </c>
      <c r="F790" s="2">
        <v>17476991</v>
      </c>
      <c r="G790" s="3">
        <v>38.032876712328765</v>
      </c>
      <c r="H790" s="2" t="s">
        <v>622</v>
      </c>
      <c r="I790" s="2" t="s">
        <v>5510</v>
      </c>
      <c r="J790" s="2" t="str">
        <f>+IF(BD[[#This Row],[DEPARTAMENTO_INSS]]="MANAGUA","_01_","_02_")</f>
        <v>_02_</v>
      </c>
      <c r="K790" s="2" t="str">
        <f>+CONCATENATE(BD[[#This Row],[Columna3]],BD[[#This Row],[Columna4]],BD[[#This Row],[NOMBRE COMPLETO]])</f>
        <v>E003_02_FLOR DE MARÍA ARTOLA BARRERA</v>
      </c>
      <c r="L790" s="2" t="s">
        <v>1517</v>
      </c>
      <c r="M790" s="2" t="s">
        <v>5511</v>
      </c>
      <c r="N790" s="2" t="s">
        <v>298</v>
      </c>
      <c r="O790" s="2" t="s">
        <v>5408</v>
      </c>
      <c r="P790" s="2" t="s">
        <v>626</v>
      </c>
      <c r="Q790" s="2" t="s">
        <v>351</v>
      </c>
      <c r="R790" s="2">
        <v>30914</v>
      </c>
      <c r="S790" s="2">
        <v>30914</v>
      </c>
      <c r="T790" s="2" t="s">
        <v>1191</v>
      </c>
      <c r="U790" s="2" t="s">
        <v>1191</v>
      </c>
      <c r="V790" s="2" t="s">
        <v>1300</v>
      </c>
      <c r="W790" s="2" t="s">
        <v>1300</v>
      </c>
      <c r="X790" s="2" t="s">
        <v>5512</v>
      </c>
      <c r="Y790" s="2" t="s">
        <v>5513</v>
      </c>
      <c r="Z790" s="2">
        <v>86647766</v>
      </c>
      <c r="AA790" s="2">
        <v>88234999</v>
      </c>
      <c r="AB790" s="2" t="s">
        <v>642</v>
      </c>
      <c r="AC790" s="2" t="s">
        <v>632</v>
      </c>
      <c r="AD790" s="2">
        <v>86647766</v>
      </c>
      <c r="AF790" s="2">
        <v>88234999</v>
      </c>
      <c r="AJ790" s="2">
        <v>86647766</v>
      </c>
      <c r="AK790" s="2">
        <v>2</v>
      </c>
      <c r="AL790" s="2" t="s">
        <v>633</v>
      </c>
      <c r="AM790" s="2">
        <v>0</v>
      </c>
      <c r="AN790" s="2">
        <v>0</v>
      </c>
      <c r="AO790" s="2">
        <v>1</v>
      </c>
      <c r="AP790" s="2">
        <v>0</v>
      </c>
      <c r="AQ790" s="2">
        <v>0</v>
      </c>
      <c r="AR790" s="2">
        <v>0</v>
      </c>
      <c r="AS790" s="2">
        <v>0</v>
      </c>
      <c r="AT790" s="2">
        <v>0</v>
      </c>
      <c r="AZ790" s="2" t="s">
        <v>5514</v>
      </c>
      <c r="BB790" s="2" t="str">
        <f>+PROPER(BD[[#This Row],[PRIMER_APELLIDO]])</f>
        <v>Artola</v>
      </c>
    </row>
    <row r="791" spans="1:54" x14ac:dyDescent="0.25">
      <c r="A791" s="2">
        <v>790</v>
      </c>
      <c r="B791" s="2">
        <v>53253</v>
      </c>
      <c r="C791" s="2" t="s">
        <v>619</v>
      </c>
      <c r="D791" s="2" t="s">
        <v>620</v>
      </c>
      <c r="E791" s="2" t="s">
        <v>5515</v>
      </c>
      <c r="G791" s="3">
        <v>38.035616438356165</v>
      </c>
      <c r="H791" s="2" t="s">
        <v>622</v>
      </c>
      <c r="I791" s="2" t="s">
        <v>5516</v>
      </c>
      <c r="J791" s="2" t="str">
        <f>+IF(BD[[#This Row],[DEPARTAMENTO_INSS]]="MANAGUA","_01_","_02_")</f>
        <v>_02_</v>
      </c>
      <c r="K791" s="2" t="str">
        <f>+CONCATENATE(BD[[#This Row],[Columna3]],BD[[#This Row],[Columna4]],BD[[#This Row],[NOMBRE COMPLETO]])</f>
        <v>E003_02_OMAR ALEJANDRO PALACIOS BALLADARES</v>
      </c>
      <c r="L791" s="2" t="s">
        <v>2996</v>
      </c>
      <c r="M791" s="2" t="s">
        <v>1554</v>
      </c>
      <c r="N791" s="2" t="s">
        <v>201</v>
      </c>
      <c r="O791" s="2" t="s">
        <v>328</v>
      </c>
      <c r="P791" s="2" t="s">
        <v>649</v>
      </c>
      <c r="Q791" s="2" t="s">
        <v>351</v>
      </c>
      <c r="R791" s="2">
        <v>30913</v>
      </c>
      <c r="S791" s="2">
        <v>30913</v>
      </c>
      <c r="T791" s="2" t="s">
        <v>691</v>
      </c>
      <c r="U791" s="2" t="s">
        <v>691</v>
      </c>
      <c r="V791" s="2" t="s">
        <v>716</v>
      </c>
      <c r="W791" s="2" t="s">
        <v>691</v>
      </c>
      <c r="X791" s="2" t="s">
        <v>5517</v>
      </c>
      <c r="Y791" s="2" t="s">
        <v>5518</v>
      </c>
      <c r="Z791" s="2">
        <v>88432295</v>
      </c>
      <c r="AA791" s="2">
        <v>88432295</v>
      </c>
      <c r="AB791" s="2" t="s">
        <v>654</v>
      </c>
      <c r="AC791" s="2" t="s">
        <v>632</v>
      </c>
      <c r="AD791" s="2">
        <v>88432295</v>
      </c>
      <c r="AJ791" s="2">
        <v>88432295</v>
      </c>
      <c r="AK791" s="2">
        <v>2</v>
      </c>
      <c r="AL791" s="2" t="s">
        <v>633</v>
      </c>
      <c r="AM791" s="2">
        <v>0</v>
      </c>
      <c r="AN791" s="2">
        <v>0</v>
      </c>
      <c r="AO791" s="2">
        <v>1</v>
      </c>
      <c r="AP791" s="2">
        <v>0</v>
      </c>
      <c r="AQ791" s="2">
        <v>0</v>
      </c>
      <c r="AR791" s="2">
        <v>0</v>
      </c>
      <c r="AS791" s="2">
        <v>0</v>
      </c>
      <c r="AT791" s="2">
        <v>0</v>
      </c>
      <c r="AZ791" s="2" t="s">
        <v>5519</v>
      </c>
      <c r="BB791" s="2" t="str">
        <f>+PROPER(BD[[#This Row],[PRIMER_APELLIDO]])</f>
        <v>Palacios</v>
      </c>
    </row>
    <row r="792" spans="1:54" x14ac:dyDescent="0.25">
      <c r="A792" s="2">
        <v>791</v>
      </c>
      <c r="B792" s="2">
        <v>32951</v>
      </c>
      <c r="C792" s="2" t="s">
        <v>619</v>
      </c>
      <c r="D792" s="2" t="s">
        <v>620</v>
      </c>
      <c r="E792" s="2" t="s">
        <v>5520</v>
      </c>
      <c r="F792" s="2">
        <v>22370015</v>
      </c>
      <c r="G792" s="3">
        <v>38.052054794520551</v>
      </c>
      <c r="H792" s="2" t="s">
        <v>622</v>
      </c>
      <c r="I792" s="2" t="s">
        <v>5521</v>
      </c>
      <c r="J792" s="2" t="str">
        <f>+IF(BD[[#This Row],[DEPARTAMENTO_INSS]]="MANAGUA","_01_","_02_")</f>
        <v>_01_</v>
      </c>
      <c r="K792" s="2" t="str">
        <f>+CONCATENATE(BD[[#This Row],[Columna3]],BD[[#This Row],[Columna4]],BD[[#This Row],[NOMBRE COMPLETO]])</f>
        <v>E003_01_JOSE TOMAS LUNA DIAZ</v>
      </c>
      <c r="L792" s="2" t="s">
        <v>243</v>
      </c>
      <c r="M792" s="2" t="s">
        <v>5522</v>
      </c>
      <c r="N792" s="2" t="s">
        <v>329</v>
      </c>
      <c r="O792" s="2" t="s">
        <v>91</v>
      </c>
      <c r="P792" s="2" t="s">
        <v>649</v>
      </c>
      <c r="Q792" s="2" t="s">
        <v>351</v>
      </c>
      <c r="R792" s="2">
        <v>30907</v>
      </c>
      <c r="S792" s="2">
        <v>30907</v>
      </c>
      <c r="U792" s="2" t="s">
        <v>627</v>
      </c>
      <c r="W792" s="2" t="s">
        <v>1252</v>
      </c>
      <c r="X792" s="2" t="s">
        <v>5523</v>
      </c>
      <c r="Y792" s="2" t="s">
        <v>5524</v>
      </c>
      <c r="AA792" s="2">
        <v>87078740</v>
      </c>
      <c r="AB792" s="2" t="s">
        <v>654</v>
      </c>
      <c r="AC792" s="2" t="s">
        <v>632</v>
      </c>
      <c r="AD792" s="2">
        <v>87078740</v>
      </c>
      <c r="AJ792" s="2">
        <v>87078740</v>
      </c>
      <c r="AK792" s="2">
        <v>1</v>
      </c>
      <c r="AL792" s="2" t="s">
        <v>633</v>
      </c>
      <c r="AM792" s="2">
        <v>0</v>
      </c>
      <c r="AN792" s="2">
        <v>0</v>
      </c>
      <c r="AO792" s="2">
        <v>1</v>
      </c>
      <c r="AP792" s="2">
        <v>0</v>
      </c>
      <c r="AQ792" s="2">
        <v>0</v>
      </c>
      <c r="AR792" s="2">
        <v>0</v>
      </c>
      <c r="AS792" s="2">
        <v>0</v>
      </c>
      <c r="AT792" s="2">
        <v>0</v>
      </c>
      <c r="BB792" s="2" t="str">
        <f>+PROPER(BD[[#This Row],[PRIMER_APELLIDO]])</f>
        <v>Luna</v>
      </c>
    </row>
    <row r="793" spans="1:54" x14ac:dyDescent="0.25">
      <c r="A793" s="2">
        <v>792</v>
      </c>
      <c r="B793" s="2">
        <v>42851</v>
      </c>
      <c r="C793" s="2" t="s">
        <v>619</v>
      </c>
      <c r="D793" s="2" t="s">
        <v>620</v>
      </c>
      <c r="E793" s="2" t="s">
        <v>5525</v>
      </c>
      <c r="F793" s="2">
        <v>21666052</v>
      </c>
      <c r="G793" s="3">
        <v>38.060273972602737</v>
      </c>
      <c r="H793" s="2" t="s">
        <v>622</v>
      </c>
      <c r="I793" s="2" t="s">
        <v>5526</v>
      </c>
      <c r="J793" s="2" t="str">
        <f>+IF(BD[[#This Row],[DEPARTAMENTO_INSS]]="MANAGUA","_01_","_02_")</f>
        <v>_02_</v>
      </c>
      <c r="K793" s="2" t="str">
        <f>+CONCATENATE(BD[[#This Row],[Columna3]],BD[[#This Row],[Columna4]],BD[[#This Row],[NOMBRE COMPLETO]])</f>
        <v>E003_02_XOCHILTH NADIEZDA SUAREZ SOLIS</v>
      </c>
      <c r="L793" s="2" t="s">
        <v>682</v>
      </c>
      <c r="M793" s="2" t="s">
        <v>5527</v>
      </c>
      <c r="N793" s="2" t="s">
        <v>55</v>
      </c>
      <c r="O793" s="2" t="s">
        <v>111</v>
      </c>
      <c r="P793" s="2" t="s">
        <v>626</v>
      </c>
      <c r="Q793" s="2" t="s">
        <v>351</v>
      </c>
      <c r="R793" s="2">
        <v>30904</v>
      </c>
      <c r="S793" s="2">
        <v>30904</v>
      </c>
      <c r="T793" s="2" t="s">
        <v>929</v>
      </c>
      <c r="U793" s="2" t="s">
        <v>929</v>
      </c>
      <c r="V793" s="2" t="s">
        <v>1653</v>
      </c>
      <c r="W793" s="2" t="s">
        <v>1653</v>
      </c>
      <c r="X793" s="2" t="s">
        <v>5528</v>
      </c>
      <c r="Y793" s="2" t="s">
        <v>5529</v>
      </c>
      <c r="Z793" s="2">
        <v>87363078</v>
      </c>
      <c r="AA793" s="2">
        <v>87363078</v>
      </c>
      <c r="AB793" s="2" t="s">
        <v>773</v>
      </c>
      <c r="AC793" s="2" t="s">
        <v>632</v>
      </c>
      <c r="AD793" s="2">
        <v>87363078</v>
      </c>
      <c r="AJ793" s="2">
        <v>87363078</v>
      </c>
      <c r="AK793" s="2">
        <v>2</v>
      </c>
      <c r="AL793" s="2" t="s">
        <v>633</v>
      </c>
      <c r="AM793" s="2">
        <v>0</v>
      </c>
      <c r="AN793" s="2">
        <v>0</v>
      </c>
      <c r="AO793" s="2">
        <v>1</v>
      </c>
      <c r="AP793" s="2">
        <v>0</v>
      </c>
      <c r="AQ793" s="2">
        <v>0</v>
      </c>
      <c r="AR793" s="2">
        <v>0</v>
      </c>
      <c r="AS793" s="2">
        <v>0</v>
      </c>
      <c r="AT793" s="2">
        <v>0</v>
      </c>
      <c r="AZ793" s="2" t="s">
        <v>5530</v>
      </c>
      <c r="BB793" s="2" t="str">
        <f>+PROPER(BD[[#This Row],[PRIMER_APELLIDO]])</f>
        <v>Suarez</v>
      </c>
    </row>
    <row r="794" spans="1:54" x14ac:dyDescent="0.25">
      <c r="A794" s="2">
        <v>793</v>
      </c>
      <c r="B794" s="2">
        <v>50453</v>
      </c>
      <c r="C794" s="2" t="s">
        <v>619</v>
      </c>
      <c r="D794" s="2" t="s">
        <v>620</v>
      </c>
      <c r="E794" s="2" t="s">
        <v>5531</v>
      </c>
      <c r="F794" s="2">
        <v>26963299</v>
      </c>
      <c r="G794" s="3">
        <v>38.060273972602737</v>
      </c>
      <c r="H794" s="2" t="s">
        <v>622</v>
      </c>
      <c r="I794" s="2" t="s">
        <v>5532</v>
      </c>
      <c r="J794" s="2" t="str">
        <f>+IF(BD[[#This Row],[DEPARTAMENTO_INSS]]="MANAGUA","_01_","_02_")</f>
        <v>_02_</v>
      </c>
      <c r="K794" s="2" t="str">
        <f>+CONCATENATE(BD[[#This Row],[Columna3]],BD[[#This Row],[Columna4]],BD[[#This Row],[NOMBRE COMPLETO]])</f>
        <v>E003_02_ERICK NOEL GALLO GRIJALVA</v>
      </c>
      <c r="L794" s="2" t="s">
        <v>1391</v>
      </c>
      <c r="M794" s="2" t="s">
        <v>1718</v>
      </c>
      <c r="N794" s="2" t="s">
        <v>278</v>
      </c>
      <c r="O794" s="2" t="s">
        <v>346</v>
      </c>
      <c r="P794" s="2" t="s">
        <v>649</v>
      </c>
      <c r="Q794" s="2" t="s">
        <v>351</v>
      </c>
      <c r="R794" s="2">
        <v>30904</v>
      </c>
      <c r="S794" s="2">
        <v>30904</v>
      </c>
      <c r="T794" s="2" t="s">
        <v>186</v>
      </c>
      <c r="U794" s="2" t="s">
        <v>186</v>
      </c>
      <c r="V794" s="2" t="s">
        <v>1634</v>
      </c>
      <c r="W794" s="2" t="s">
        <v>1634</v>
      </c>
      <c r="X794" s="2" t="s">
        <v>5533</v>
      </c>
      <c r="Y794" s="2" t="s">
        <v>5534</v>
      </c>
      <c r="Z794" s="2">
        <v>83797265</v>
      </c>
      <c r="AA794" s="2">
        <v>25633295</v>
      </c>
      <c r="AB794" s="2" t="s">
        <v>798</v>
      </c>
      <c r="AC794" s="2" t="s">
        <v>632</v>
      </c>
      <c r="AD794" s="2">
        <v>83797265</v>
      </c>
      <c r="AJ794" s="2">
        <v>83797265</v>
      </c>
      <c r="AK794" s="2">
        <v>2</v>
      </c>
      <c r="AL794" s="2" t="s">
        <v>633</v>
      </c>
      <c r="AM794" s="2">
        <v>0</v>
      </c>
      <c r="AN794" s="2">
        <v>0</v>
      </c>
      <c r="AO794" s="2">
        <v>1</v>
      </c>
      <c r="AP794" s="2">
        <v>0</v>
      </c>
      <c r="AQ794" s="2">
        <v>0</v>
      </c>
      <c r="AR794" s="2">
        <v>0</v>
      </c>
      <c r="AS794" s="2">
        <v>0</v>
      </c>
      <c r="AT794" s="2">
        <v>0</v>
      </c>
      <c r="AZ794" s="2" t="s">
        <v>5535</v>
      </c>
      <c r="BB794" s="2" t="str">
        <f>+PROPER(BD[[#This Row],[PRIMER_APELLIDO]])</f>
        <v>Gallo</v>
      </c>
    </row>
    <row r="795" spans="1:54" x14ac:dyDescent="0.25">
      <c r="A795" s="2">
        <v>794</v>
      </c>
      <c r="B795" s="2">
        <v>26360</v>
      </c>
      <c r="C795" s="2" t="s">
        <v>619</v>
      </c>
      <c r="D795" s="2" t="s">
        <v>620</v>
      </c>
      <c r="E795" s="2" t="s">
        <v>5536</v>
      </c>
      <c r="F795" s="2">
        <v>29192724</v>
      </c>
      <c r="G795" s="3">
        <v>38.065753424657537</v>
      </c>
      <c r="H795" s="2" t="s">
        <v>622</v>
      </c>
      <c r="I795" s="2" t="s">
        <v>5537</v>
      </c>
      <c r="J795" s="2" t="str">
        <f>+IF(BD[[#This Row],[DEPARTAMENTO_INSS]]="MANAGUA","_01_","_02_")</f>
        <v>_02_</v>
      </c>
      <c r="K795" s="2" t="str">
        <f>+CONCATENATE(BD[[#This Row],[Columna3]],BD[[#This Row],[Columna4]],BD[[#This Row],[NOMBRE COMPLETO]])</f>
        <v>E003_02_SERGIO FERMIN BAEZ AMADOR</v>
      </c>
      <c r="L795" s="2" t="s">
        <v>2071</v>
      </c>
      <c r="M795" s="2" t="s">
        <v>5538</v>
      </c>
      <c r="N795" s="2" t="s">
        <v>418</v>
      </c>
      <c r="O795" s="2" t="s">
        <v>281</v>
      </c>
      <c r="P795" s="2" t="s">
        <v>649</v>
      </c>
      <c r="Q795" s="2" t="s">
        <v>351</v>
      </c>
      <c r="R795" s="2">
        <v>30902</v>
      </c>
      <c r="S795" s="2">
        <v>30902</v>
      </c>
      <c r="T795" s="2" t="s">
        <v>929</v>
      </c>
      <c r="U795" s="2" t="s">
        <v>929</v>
      </c>
      <c r="V795" s="2" t="s">
        <v>1653</v>
      </c>
      <c r="W795" s="2" t="s">
        <v>1653</v>
      </c>
      <c r="X795" s="2" t="s">
        <v>5539</v>
      </c>
      <c r="Y795" s="2" t="s">
        <v>5540</v>
      </c>
      <c r="AA795" s="2">
        <v>88576612</v>
      </c>
      <c r="AB795" s="2" t="s">
        <v>654</v>
      </c>
      <c r="AC795" s="2" t="s">
        <v>632</v>
      </c>
      <c r="AD795" s="2">
        <v>88576612</v>
      </c>
      <c r="AJ795" s="2">
        <v>88576612</v>
      </c>
      <c r="AK795" s="2">
        <v>1</v>
      </c>
      <c r="AL795" s="2" t="s">
        <v>633</v>
      </c>
      <c r="AM795" s="2">
        <v>0</v>
      </c>
      <c r="AN795" s="2">
        <v>0</v>
      </c>
      <c r="AO795" s="2">
        <v>1</v>
      </c>
      <c r="AP795" s="2">
        <v>0</v>
      </c>
      <c r="AQ795" s="2">
        <v>0</v>
      </c>
      <c r="AR795" s="2">
        <v>0</v>
      </c>
      <c r="AS795" s="2">
        <v>0</v>
      </c>
      <c r="AT795" s="2">
        <v>0</v>
      </c>
      <c r="BB795" s="2" t="str">
        <f>+PROPER(BD[[#This Row],[PRIMER_APELLIDO]])</f>
        <v>Baez</v>
      </c>
    </row>
    <row r="796" spans="1:54" x14ac:dyDescent="0.25">
      <c r="A796" s="2">
        <v>795</v>
      </c>
      <c r="B796" s="2">
        <v>52326</v>
      </c>
      <c r="C796" s="2" t="s">
        <v>619</v>
      </c>
      <c r="D796" s="2" t="s">
        <v>620</v>
      </c>
      <c r="E796" s="2" t="s">
        <v>5541</v>
      </c>
      <c r="F796" s="2">
        <v>26574091</v>
      </c>
      <c r="G796" s="3">
        <v>38.07123287671233</v>
      </c>
      <c r="H796" s="2" t="s">
        <v>622</v>
      </c>
      <c r="I796" s="2" t="s">
        <v>5542</v>
      </c>
      <c r="J796" s="2" t="str">
        <f>+IF(BD[[#This Row],[DEPARTAMENTO_INSS]]="MANAGUA","_01_","_02_")</f>
        <v>_02_</v>
      </c>
      <c r="K796" s="2" t="str">
        <f>+CONCATENATE(BD[[#This Row],[Columna3]],BD[[#This Row],[Columna4]],BD[[#This Row],[NOMBRE COMPLETO]])</f>
        <v>E003_02_TANIA SUHEY SERRANO CALERO</v>
      </c>
      <c r="L796" s="2" t="s">
        <v>2305</v>
      </c>
      <c r="M796" s="2" t="s">
        <v>5543</v>
      </c>
      <c r="N796" s="2" t="s">
        <v>221</v>
      </c>
      <c r="O796" s="2" t="s">
        <v>80</v>
      </c>
      <c r="P796" s="2" t="s">
        <v>626</v>
      </c>
      <c r="Q796" s="2" t="s">
        <v>351</v>
      </c>
      <c r="R796" s="2">
        <v>30900</v>
      </c>
      <c r="S796" s="2">
        <v>30900</v>
      </c>
      <c r="T796" s="2" t="s">
        <v>732</v>
      </c>
      <c r="U796" s="2" t="s">
        <v>732</v>
      </c>
      <c r="V796" s="2" t="s">
        <v>732</v>
      </c>
      <c r="W796" s="2" t="s">
        <v>732</v>
      </c>
      <c r="X796" s="2" t="s">
        <v>5544</v>
      </c>
      <c r="Y796" s="2" t="s">
        <v>5545</v>
      </c>
      <c r="AA796" s="2">
        <v>77117659</v>
      </c>
      <c r="AB796" s="2" t="s">
        <v>631</v>
      </c>
      <c r="AC796" s="2" t="s">
        <v>632</v>
      </c>
      <c r="AD796" s="2">
        <v>77117659</v>
      </c>
      <c r="AJ796" s="2">
        <v>77117659</v>
      </c>
      <c r="AK796" s="2">
        <v>1</v>
      </c>
      <c r="AL796" s="2" t="s">
        <v>633</v>
      </c>
      <c r="AM796" s="2">
        <v>0</v>
      </c>
      <c r="AN796" s="2">
        <v>0</v>
      </c>
      <c r="AO796" s="2">
        <v>1</v>
      </c>
      <c r="AP796" s="2">
        <v>0</v>
      </c>
      <c r="AQ796" s="2">
        <v>0</v>
      </c>
      <c r="AR796" s="2">
        <v>0</v>
      </c>
      <c r="AS796" s="2">
        <v>0</v>
      </c>
      <c r="AT796" s="2">
        <v>0</v>
      </c>
      <c r="BB796" s="2" t="str">
        <f>+PROPER(BD[[#This Row],[PRIMER_APELLIDO]])</f>
        <v>Serrano</v>
      </c>
    </row>
    <row r="797" spans="1:54" x14ac:dyDescent="0.25">
      <c r="A797" s="2">
        <v>796</v>
      </c>
      <c r="B797" s="2">
        <v>36675</v>
      </c>
      <c r="C797" s="2" t="s">
        <v>619</v>
      </c>
      <c r="D797" s="2" t="s">
        <v>620</v>
      </c>
      <c r="E797" s="2" t="s">
        <v>5546</v>
      </c>
      <c r="F797" s="2">
        <v>22155818</v>
      </c>
      <c r="G797" s="3">
        <v>38.093150684931508</v>
      </c>
      <c r="H797" s="2" t="s">
        <v>622</v>
      </c>
      <c r="I797" s="2" t="s">
        <v>5547</v>
      </c>
      <c r="J797" s="2" t="str">
        <f>+IF(BD[[#This Row],[DEPARTAMENTO_INSS]]="MANAGUA","_01_","_02_")</f>
        <v>_02_</v>
      </c>
      <c r="K797" s="2" t="str">
        <f>+CONCATENATE(BD[[#This Row],[Columna3]],BD[[#This Row],[Columna4]],BD[[#This Row],[NOMBRE COMPLETO]])</f>
        <v>E003_02_ALVARO JOSE ROJAS ESQUIVEL</v>
      </c>
      <c r="L797" s="2" t="s">
        <v>1156</v>
      </c>
      <c r="M797" s="2" t="s">
        <v>243</v>
      </c>
      <c r="N797" s="2" t="s">
        <v>105</v>
      </c>
      <c r="O797" s="2" t="s">
        <v>233</v>
      </c>
      <c r="P797" s="2" t="s">
        <v>649</v>
      </c>
      <c r="Q797" s="2" t="s">
        <v>351</v>
      </c>
      <c r="R797" s="2">
        <v>30892</v>
      </c>
      <c r="S797" s="2">
        <v>30892</v>
      </c>
      <c r="T797" s="2" t="s">
        <v>176</v>
      </c>
      <c r="U797" s="2" t="s">
        <v>176</v>
      </c>
      <c r="V797" s="2" t="s">
        <v>650</v>
      </c>
      <c r="W797" s="2" t="s">
        <v>176</v>
      </c>
      <c r="X797" s="2" t="s">
        <v>5548</v>
      </c>
      <c r="Y797" s="2" t="s">
        <v>5549</v>
      </c>
      <c r="AA797" s="2">
        <v>23115460</v>
      </c>
      <c r="AB797" s="2" t="s">
        <v>654</v>
      </c>
      <c r="AC797" s="2" t="s">
        <v>632</v>
      </c>
      <c r="AK797" s="2">
        <v>1</v>
      </c>
      <c r="AL797" s="2" t="s">
        <v>633</v>
      </c>
      <c r="AM797" s="2">
        <v>0</v>
      </c>
      <c r="AN797" s="2">
        <v>0</v>
      </c>
      <c r="AO797" s="2">
        <v>1</v>
      </c>
      <c r="AP797" s="2">
        <v>0</v>
      </c>
      <c r="AQ797" s="2">
        <v>0</v>
      </c>
      <c r="AR797" s="2">
        <v>0</v>
      </c>
      <c r="AS797" s="2">
        <v>0</v>
      </c>
      <c r="AT797" s="2">
        <v>0</v>
      </c>
      <c r="BB797" s="2" t="str">
        <f>+PROPER(BD[[#This Row],[PRIMER_APELLIDO]])</f>
        <v>Rojas</v>
      </c>
    </row>
    <row r="798" spans="1:54" x14ac:dyDescent="0.25">
      <c r="A798" s="2">
        <v>797</v>
      </c>
      <c r="B798" s="2">
        <v>74172</v>
      </c>
      <c r="C798" s="2" t="s">
        <v>619</v>
      </c>
      <c r="D798" s="2" t="s">
        <v>620</v>
      </c>
      <c r="E798" s="2" t="s">
        <v>5550</v>
      </c>
      <c r="G798" s="3">
        <v>38.093150684931508</v>
      </c>
      <c r="H798" s="2" t="s">
        <v>622</v>
      </c>
      <c r="I798" s="2" t="s">
        <v>5551</v>
      </c>
      <c r="J798" s="2" t="str">
        <f>+IF(BD[[#This Row],[DEPARTAMENTO_INSS]]="MANAGUA","_01_","_02_")</f>
        <v>_02_</v>
      </c>
      <c r="K798" s="2" t="str">
        <f>+CONCATENATE(BD[[#This Row],[Columna3]],BD[[#This Row],[Columna4]],BD[[#This Row],[NOMBRE COMPLETO]])</f>
        <v>E003_02_OSCAR RICARDO TORREZ MARTINEZ</v>
      </c>
      <c r="L798" s="2" t="s">
        <v>2539</v>
      </c>
      <c r="M798" s="2" t="s">
        <v>4501</v>
      </c>
      <c r="N798" s="2" t="s">
        <v>158</v>
      </c>
      <c r="O798" s="2" t="s">
        <v>44</v>
      </c>
      <c r="P798" s="2" t="s">
        <v>649</v>
      </c>
      <c r="Q798" s="2" t="s">
        <v>351</v>
      </c>
      <c r="R798" s="2">
        <v>30892</v>
      </c>
      <c r="T798" s="2" t="s">
        <v>732</v>
      </c>
      <c r="V798" s="2" t="s">
        <v>732</v>
      </c>
      <c r="X798" s="2" t="s">
        <v>5552</v>
      </c>
      <c r="Z798" s="2">
        <v>83358393</v>
      </c>
      <c r="AB798" s="2" t="s">
        <v>798</v>
      </c>
      <c r="AC798" s="2" t="s">
        <v>632</v>
      </c>
      <c r="AD798" s="2">
        <v>83358393</v>
      </c>
      <c r="AJ798" s="2">
        <v>83358393</v>
      </c>
      <c r="AK798" s="2">
        <v>1</v>
      </c>
      <c r="AL798" s="2" t="s">
        <v>633</v>
      </c>
      <c r="AM798" s="2">
        <v>0</v>
      </c>
      <c r="AN798" s="2">
        <v>0</v>
      </c>
      <c r="AO798" s="2">
        <v>1</v>
      </c>
      <c r="AP798" s="2">
        <v>0</v>
      </c>
      <c r="AQ798" s="2">
        <v>0</v>
      </c>
      <c r="AR798" s="2">
        <v>0</v>
      </c>
      <c r="AS798" s="2">
        <v>0</v>
      </c>
      <c r="AT798" s="2">
        <v>0</v>
      </c>
      <c r="AZ798" s="2" t="s">
        <v>5553</v>
      </c>
      <c r="BB798" s="2" t="str">
        <f>+PROPER(BD[[#This Row],[PRIMER_APELLIDO]])</f>
        <v>Torrez</v>
      </c>
    </row>
    <row r="799" spans="1:54" x14ac:dyDescent="0.25">
      <c r="A799" s="2">
        <v>798</v>
      </c>
      <c r="B799" s="2">
        <v>39075</v>
      </c>
      <c r="C799" s="2" t="s">
        <v>619</v>
      </c>
      <c r="D799" s="2" t="s">
        <v>620</v>
      </c>
      <c r="E799" s="2" t="s">
        <v>5554</v>
      </c>
      <c r="F799" s="2">
        <v>23105197</v>
      </c>
      <c r="G799" s="3">
        <v>38.095890410958901</v>
      </c>
      <c r="H799" s="2" t="s">
        <v>622</v>
      </c>
      <c r="I799" s="2" t="s">
        <v>5555</v>
      </c>
      <c r="J799" s="2" t="str">
        <f>+IF(BD[[#This Row],[DEPARTAMENTO_INSS]]="MANAGUA","_01_","_02_")</f>
        <v>_01_</v>
      </c>
      <c r="K799" s="2" t="str">
        <f>+CONCATENATE(BD[[#This Row],[Columna3]],BD[[#This Row],[Columna4]],BD[[#This Row],[NOMBRE COMPLETO]])</f>
        <v>E003_01_GERALDINE DE LOS ANGELES MIRANDA LOPEZ</v>
      </c>
      <c r="L799" s="2" t="s">
        <v>5556</v>
      </c>
      <c r="M799" s="2" t="s">
        <v>683</v>
      </c>
      <c r="N799" s="2" t="s">
        <v>56</v>
      </c>
      <c r="O799" s="2" t="s">
        <v>15</v>
      </c>
      <c r="P799" s="2" t="s">
        <v>626</v>
      </c>
      <c r="Q799" s="2" t="s">
        <v>351</v>
      </c>
      <c r="R799" s="2">
        <v>30891</v>
      </c>
      <c r="S799" s="2">
        <v>30891</v>
      </c>
      <c r="T799" s="2" t="s">
        <v>627</v>
      </c>
      <c r="U799" s="2" t="s">
        <v>627</v>
      </c>
      <c r="V799" s="2" t="s">
        <v>627</v>
      </c>
      <c r="W799" s="2" t="s">
        <v>627</v>
      </c>
      <c r="X799" s="2" t="s">
        <v>5557</v>
      </c>
      <c r="Y799" s="2" t="s">
        <v>5558</v>
      </c>
      <c r="Z799" s="2" t="s">
        <v>5559</v>
      </c>
      <c r="AA799" s="2">
        <v>25422450</v>
      </c>
      <c r="AB799" s="2" t="s">
        <v>642</v>
      </c>
      <c r="AC799" s="2" t="s">
        <v>632</v>
      </c>
      <c r="AD799" s="2">
        <v>57902160</v>
      </c>
      <c r="AE799" s="2">
        <v>89447727</v>
      </c>
      <c r="AJ799" s="2">
        <v>57902160</v>
      </c>
      <c r="AK799" s="2">
        <v>3</v>
      </c>
      <c r="AL799" s="2" t="s">
        <v>633</v>
      </c>
      <c r="AM799" s="2">
        <v>0</v>
      </c>
      <c r="AN799" s="2">
        <v>0</v>
      </c>
      <c r="AO799" s="2">
        <v>1</v>
      </c>
      <c r="AP799" s="2">
        <v>0</v>
      </c>
      <c r="AQ799" s="2">
        <v>0</v>
      </c>
      <c r="AR799" s="2">
        <v>0</v>
      </c>
      <c r="AS799" s="2">
        <v>0</v>
      </c>
      <c r="AT799" s="2">
        <v>0</v>
      </c>
      <c r="AZ799" s="2" t="s">
        <v>5560</v>
      </c>
      <c r="BB799" s="2" t="str">
        <f>+PROPER(BD[[#This Row],[PRIMER_APELLIDO]])</f>
        <v>Miranda</v>
      </c>
    </row>
    <row r="800" spans="1:54" x14ac:dyDescent="0.25">
      <c r="A800" s="2">
        <v>799</v>
      </c>
      <c r="B800" s="2">
        <v>39015</v>
      </c>
      <c r="C800" s="2" t="s">
        <v>619</v>
      </c>
      <c r="D800" s="2" t="s">
        <v>620</v>
      </c>
      <c r="E800" s="2" t="s">
        <v>5561</v>
      </c>
      <c r="F800" s="2">
        <v>23142682</v>
      </c>
      <c r="G800" s="3">
        <v>38.101369863013701</v>
      </c>
      <c r="H800" s="2" t="s">
        <v>622</v>
      </c>
      <c r="I800" s="2" t="s">
        <v>5562</v>
      </c>
      <c r="J800" s="2" t="str">
        <f>+IF(BD[[#This Row],[DEPARTAMENTO_INSS]]="MANAGUA","_01_","_02_")</f>
        <v>_02_</v>
      </c>
      <c r="K800" s="2" t="str">
        <f>+CONCATENATE(BD[[#This Row],[Columna3]],BD[[#This Row],[Columna4]],BD[[#This Row],[NOMBRE COMPLETO]])</f>
        <v>E003_02_TAYRON JIMMY PEREZ BLANDINO</v>
      </c>
      <c r="L800" s="2" t="s">
        <v>5563</v>
      </c>
      <c r="M800" s="2" t="s">
        <v>5564</v>
      </c>
      <c r="N800" s="2" t="s">
        <v>24</v>
      </c>
      <c r="O800" s="2" t="s">
        <v>5565</v>
      </c>
      <c r="P800" s="2" t="s">
        <v>649</v>
      </c>
      <c r="Q800" s="2" t="s">
        <v>351</v>
      </c>
      <c r="R800" s="2">
        <v>30889</v>
      </c>
      <c r="S800" s="2">
        <v>30889</v>
      </c>
      <c r="T800" s="2" t="s">
        <v>740</v>
      </c>
      <c r="U800" s="2" t="s">
        <v>740</v>
      </c>
      <c r="V800" s="2" t="s">
        <v>740</v>
      </c>
      <c r="W800" s="2" t="s">
        <v>740</v>
      </c>
      <c r="X800" s="2" t="s">
        <v>5566</v>
      </c>
      <c r="Y800" s="2" t="s">
        <v>5567</v>
      </c>
      <c r="AA800" s="2">
        <v>25524007</v>
      </c>
      <c r="AB800" s="2" t="s">
        <v>654</v>
      </c>
      <c r="AC800" s="2" t="s">
        <v>632</v>
      </c>
      <c r="AK800" s="2">
        <v>1</v>
      </c>
      <c r="AL800" s="2" t="s">
        <v>633</v>
      </c>
      <c r="AM800" s="2">
        <v>0</v>
      </c>
      <c r="AN800" s="2">
        <v>0</v>
      </c>
      <c r="AO800" s="2">
        <v>1</v>
      </c>
      <c r="AP800" s="2">
        <v>0</v>
      </c>
      <c r="AQ800" s="2">
        <v>0</v>
      </c>
      <c r="AR800" s="2">
        <v>0</v>
      </c>
      <c r="AS800" s="2">
        <v>0</v>
      </c>
      <c r="AT800" s="2">
        <v>0</v>
      </c>
      <c r="BB800" s="2" t="str">
        <f>+PROPER(BD[[#This Row],[PRIMER_APELLIDO]])</f>
        <v>Perez</v>
      </c>
    </row>
    <row r="801" spans="1:54" x14ac:dyDescent="0.25">
      <c r="A801" s="2">
        <v>800</v>
      </c>
      <c r="B801" s="2">
        <v>54975</v>
      </c>
      <c r="C801" s="2" t="s">
        <v>619</v>
      </c>
      <c r="D801" s="2" t="s">
        <v>620</v>
      </c>
      <c r="E801" s="2" t="s">
        <v>5568</v>
      </c>
      <c r="G801" s="3">
        <v>38.101369863013701</v>
      </c>
      <c r="H801" s="2" t="s">
        <v>622</v>
      </c>
      <c r="I801" s="2" t="s">
        <v>5569</v>
      </c>
      <c r="J801" s="2" t="str">
        <f>+IF(BD[[#This Row],[DEPARTAMENTO_INSS]]="MANAGUA","_01_","_02_")</f>
        <v>_02_</v>
      </c>
      <c r="K801" s="2" t="str">
        <f>+CONCATENATE(BD[[#This Row],[Columna3]],BD[[#This Row],[Columna4]],BD[[#This Row],[NOMBRE COMPLETO]])</f>
        <v>E003_02_KETTY YESELA MERCADO BORGZINNER</v>
      </c>
      <c r="L801" s="2" t="s">
        <v>5570</v>
      </c>
      <c r="M801" s="2" t="s">
        <v>5571</v>
      </c>
      <c r="N801" s="2" t="s">
        <v>250</v>
      </c>
      <c r="O801" s="2" t="s">
        <v>5572</v>
      </c>
      <c r="P801" s="2" t="s">
        <v>626</v>
      </c>
      <c r="Q801" s="2" t="s">
        <v>351</v>
      </c>
      <c r="R801" s="2">
        <v>30889</v>
      </c>
      <c r="S801" s="2">
        <v>30889</v>
      </c>
      <c r="T801" s="2" t="s">
        <v>1005</v>
      </c>
      <c r="U801" s="2" t="s">
        <v>1005</v>
      </c>
      <c r="V801" s="2" t="s">
        <v>1006</v>
      </c>
      <c r="W801" s="2" t="s">
        <v>1006</v>
      </c>
      <c r="X801" s="2" t="s">
        <v>5573</v>
      </c>
      <c r="Y801" s="2" t="s">
        <v>5574</v>
      </c>
      <c r="Z801" s="2">
        <v>85110922</v>
      </c>
      <c r="AA801" s="2" t="s">
        <v>5575</v>
      </c>
      <c r="AB801" s="2" t="s">
        <v>631</v>
      </c>
      <c r="AC801" s="2" t="s">
        <v>632</v>
      </c>
      <c r="AD801" s="2">
        <v>85110922</v>
      </c>
      <c r="AE801" s="2">
        <v>82335014</v>
      </c>
      <c r="AJ801" s="2">
        <v>85110922</v>
      </c>
      <c r="AK801" s="2">
        <v>3</v>
      </c>
      <c r="AL801" s="2" t="s">
        <v>633</v>
      </c>
      <c r="AM801" s="2">
        <v>0</v>
      </c>
      <c r="AN801" s="2">
        <v>0</v>
      </c>
      <c r="AO801" s="2">
        <v>1</v>
      </c>
      <c r="AP801" s="2">
        <v>0</v>
      </c>
      <c r="AQ801" s="2">
        <v>0</v>
      </c>
      <c r="AR801" s="2">
        <v>0</v>
      </c>
      <c r="AS801" s="2">
        <v>0</v>
      </c>
      <c r="AT801" s="2">
        <v>0</v>
      </c>
      <c r="AZ801" s="2" t="s">
        <v>5576</v>
      </c>
      <c r="BB801" s="2" t="str">
        <f>+PROPER(BD[[#This Row],[PRIMER_APELLIDO]])</f>
        <v>Mercado</v>
      </c>
    </row>
    <row r="802" spans="1:54" x14ac:dyDescent="0.25">
      <c r="A802" s="2">
        <v>801</v>
      </c>
      <c r="B802" s="2">
        <v>39538</v>
      </c>
      <c r="C802" s="2" t="s">
        <v>619</v>
      </c>
      <c r="D802" s="2" t="s">
        <v>620</v>
      </c>
      <c r="E802" s="2" t="s">
        <v>5577</v>
      </c>
      <c r="F802" s="2">
        <v>23141069</v>
      </c>
      <c r="G802" s="3">
        <v>38.104109589041094</v>
      </c>
      <c r="H802" s="2" t="s">
        <v>622</v>
      </c>
      <c r="I802" s="2" t="s">
        <v>5578</v>
      </c>
      <c r="J802" s="2" t="str">
        <f>+IF(BD[[#This Row],[DEPARTAMENTO_INSS]]="MANAGUA","_01_","_02_")</f>
        <v>_02_</v>
      </c>
      <c r="K802" s="2" t="str">
        <f>+CONCATENATE(BD[[#This Row],[Columna3]],BD[[#This Row],[Columna4]],BD[[#This Row],[NOMBRE COMPLETO]])</f>
        <v>E003_02_KARLA VANESSA TORUÑO ARAGON</v>
      </c>
      <c r="L802" s="2" t="s">
        <v>746</v>
      </c>
      <c r="M802" s="2" t="s">
        <v>1163</v>
      </c>
      <c r="N802" s="2" t="s">
        <v>392</v>
      </c>
      <c r="O802" s="2" t="s">
        <v>180</v>
      </c>
      <c r="P802" s="2" t="s">
        <v>626</v>
      </c>
      <c r="Q802" s="2" t="s">
        <v>351</v>
      </c>
      <c r="R802" s="2">
        <v>30888</v>
      </c>
      <c r="S802" s="2">
        <v>30888</v>
      </c>
      <c r="T802" s="2" t="s">
        <v>176</v>
      </c>
      <c r="U802" s="2" t="s">
        <v>176</v>
      </c>
      <c r="V802" s="2" t="s">
        <v>650</v>
      </c>
      <c r="W802" s="2" t="s">
        <v>176</v>
      </c>
      <c r="X802" s="2" t="s">
        <v>5579</v>
      </c>
      <c r="Y802" s="2" t="s">
        <v>5580</v>
      </c>
      <c r="AA802" s="2">
        <v>88303712</v>
      </c>
      <c r="AB802" s="2" t="s">
        <v>642</v>
      </c>
      <c r="AC802" s="2" t="s">
        <v>632</v>
      </c>
      <c r="AD802" s="2">
        <v>88303712</v>
      </c>
      <c r="AJ802" s="2">
        <v>88303712</v>
      </c>
      <c r="AK802" s="2">
        <v>1</v>
      </c>
      <c r="AL802" s="2" t="s">
        <v>633</v>
      </c>
      <c r="AM802" s="2">
        <v>0</v>
      </c>
      <c r="AN802" s="2">
        <v>0</v>
      </c>
      <c r="AO802" s="2">
        <v>1</v>
      </c>
      <c r="AP802" s="2">
        <v>0</v>
      </c>
      <c r="AQ802" s="2">
        <v>0</v>
      </c>
      <c r="AR802" s="2">
        <v>0</v>
      </c>
      <c r="AS802" s="2">
        <v>0</v>
      </c>
      <c r="AT802" s="2">
        <v>0</v>
      </c>
      <c r="BB802" s="2" t="str">
        <f>+PROPER(BD[[#This Row],[PRIMER_APELLIDO]])</f>
        <v>Toruño</v>
      </c>
    </row>
    <row r="803" spans="1:54" x14ac:dyDescent="0.25">
      <c r="A803" s="2">
        <v>802</v>
      </c>
      <c r="B803" s="2">
        <v>42081</v>
      </c>
      <c r="C803" s="2" t="s">
        <v>619</v>
      </c>
      <c r="D803" s="2" t="s">
        <v>620</v>
      </c>
      <c r="E803" s="2" t="s">
        <v>5581</v>
      </c>
      <c r="F803" s="2">
        <v>29170283</v>
      </c>
      <c r="G803" s="3">
        <v>38.109589041095887</v>
      </c>
      <c r="H803" s="2" t="s">
        <v>622</v>
      </c>
      <c r="I803" s="2" t="s">
        <v>5582</v>
      </c>
      <c r="J803" s="2" t="str">
        <f>+IF(BD[[#This Row],[DEPARTAMENTO_INSS]]="MANAGUA","_01_","_02_")</f>
        <v>_02_</v>
      </c>
      <c r="K803" s="2" t="str">
        <f>+CONCATENATE(BD[[#This Row],[Columna3]],BD[[#This Row],[Columna4]],BD[[#This Row],[NOMBRE COMPLETO]])</f>
        <v>E003_02_ISDANIA SARAI HERNANDEZ LEIVA</v>
      </c>
      <c r="L803" s="2" t="s">
        <v>5583</v>
      </c>
      <c r="M803" s="2" t="s">
        <v>5584</v>
      </c>
      <c r="N803" s="2" t="s">
        <v>11</v>
      </c>
      <c r="O803" s="2" t="s">
        <v>177</v>
      </c>
      <c r="P803" s="2" t="s">
        <v>626</v>
      </c>
      <c r="Q803" s="2" t="s">
        <v>351</v>
      </c>
      <c r="R803" s="2">
        <v>30886</v>
      </c>
      <c r="S803" s="2">
        <v>30886</v>
      </c>
      <c r="T803" s="2" t="s">
        <v>929</v>
      </c>
      <c r="U803" s="2" t="s">
        <v>929</v>
      </c>
      <c r="V803" s="2" t="s">
        <v>1653</v>
      </c>
      <c r="W803" s="2" t="s">
        <v>1653</v>
      </c>
      <c r="X803" s="2" t="s">
        <v>5585</v>
      </c>
      <c r="Y803" s="2" t="s">
        <v>5586</v>
      </c>
      <c r="Z803" s="2">
        <v>86522770</v>
      </c>
      <c r="AA803" s="2">
        <v>86522770</v>
      </c>
      <c r="AB803" s="2" t="s">
        <v>642</v>
      </c>
      <c r="AC803" s="2" t="s">
        <v>632</v>
      </c>
      <c r="AD803" s="2">
        <v>86522770</v>
      </c>
      <c r="AJ803" s="2">
        <v>86522770</v>
      </c>
      <c r="AK803" s="2">
        <v>2</v>
      </c>
      <c r="AL803" s="2" t="s">
        <v>633</v>
      </c>
      <c r="AM803" s="2">
        <v>0</v>
      </c>
      <c r="AN803" s="2">
        <v>0</v>
      </c>
      <c r="AO803" s="2">
        <v>1</v>
      </c>
      <c r="AP803" s="2">
        <v>0</v>
      </c>
      <c r="AQ803" s="2">
        <v>0</v>
      </c>
      <c r="AR803" s="2">
        <v>0</v>
      </c>
      <c r="AS803" s="2">
        <v>0</v>
      </c>
      <c r="AT803" s="2">
        <v>0</v>
      </c>
      <c r="AZ803" s="2" t="s">
        <v>5587</v>
      </c>
      <c r="BB803" s="2" t="str">
        <f>+PROPER(BD[[#This Row],[PRIMER_APELLIDO]])</f>
        <v>Hernandez</v>
      </c>
    </row>
    <row r="804" spans="1:54" x14ac:dyDescent="0.25">
      <c r="A804" s="2">
        <v>803</v>
      </c>
      <c r="B804" s="2">
        <v>44205</v>
      </c>
      <c r="C804" s="2" t="s">
        <v>619</v>
      </c>
      <c r="D804" s="2" t="s">
        <v>620</v>
      </c>
      <c r="E804" s="2" t="s">
        <v>5588</v>
      </c>
      <c r="G804" s="3">
        <v>38.109589041095887</v>
      </c>
      <c r="H804" s="2" t="s">
        <v>622</v>
      </c>
      <c r="I804" s="2" t="s">
        <v>5589</v>
      </c>
      <c r="J804" s="2" t="str">
        <f>+IF(BD[[#This Row],[DEPARTAMENTO_INSS]]="MANAGUA","_01_","_02_")</f>
        <v>_02_</v>
      </c>
      <c r="K804" s="2" t="str">
        <f>+CONCATENATE(BD[[#This Row],[Columna3]],BD[[#This Row],[Columna4]],BD[[#This Row],[NOMBRE COMPLETO]])</f>
        <v>E003_02_TONY ALEXANDER CHAVARRIA MONTES</v>
      </c>
      <c r="L804" s="2" t="s">
        <v>5590</v>
      </c>
      <c r="M804" s="2" t="s">
        <v>2176</v>
      </c>
      <c r="N804" s="2" t="s">
        <v>98</v>
      </c>
      <c r="O804" s="2" t="s">
        <v>385</v>
      </c>
      <c r="P804" s="2" t="s">
        <v>649</v>
      </c>
      <c r="Q804" s="2" t="s">
        <v>351</v>
      </c>
      <c r="R804" s="2">
        <v>30886</v>
      </c>
      <c r="S804" s="2">
        <v>30886</v>
      </c>
      <c r="T804" s="2" t="s">
        <v>669</v>
      </c>
      <c r="U804" s="2" t="s">
        <v>929</v>
      </c>
      <c r="V804" s="2" t="s">
        <v>669</v>
      </c>
      <c r="W804" s="2" t="s">
        <v>930</v>
      </c>
      <c r="X804" s="2" t="s">
        <v>5591</v>
      </c>
      <c r="Y804" s="2" t="s">
        <v>5592</v>
      </c>
      <c r="Z804" s="2" t="s">
        <v>5593</v>
      </c>
      <c r="AA804" s="2">
        <v>84149303</v>
      </c>
      <c r="AB804" s="2" t="s">
        <v>798</v>
      </c>
      <c r="AC804" s="2" t="s">
        <v>632</v>
      </c>
      <c r="AD804" s="2">
        <v>57235639</v>
      </c>
      <c r="AE804" s="2">
        <v>77948581</v>
      </c>
      <c r="AF804" s="2">
        <v>84149303</v>
      </c>
      <c r="AJ804" s="2">
        <v>57235639</v>
      </c>
      <c r="AK804" s="2">
        <v>3</v>
      </c>
      <c r="AL804" s="2" t="s">
        <v>633</v>
      </c>
      <c r="AM804" s="2">
        <v>0</v>
      </c>
      <c r="AN804" s="2">
        <v>0</v>
      </c>
      <c r="AO804" s="2">
        <v>1</v>
      </c>
      <c r="AP804" s="2">
        <v>0</v>
      </c>
      <c r="AQ804" s="2">
        <v>0</v>
      </c>
      <c r="AR804" s="2">
        <v>0</v>
      </c>
      <c r="AS804" s="2">
        <v>0</v>
      </c>
      <c r="AT804" s="2">
        <v>0</v>
      </c>
      <c r="AZ804" s="2" t="s">
        <v>5594</v>
      </c>
      <c r="BB804" s="2" t="str">
        <f>+PROPER(BD[[#This Row],[PRIMER_APELLIDO]])</f>
        <v>Chavarria</v>
      </c>
    </row>
    <row r="805" spans="1:54" x14ac:dyDescent="0.25">
      <c r="A805" s="2">
        <v>804</v>
      </c>
      <c r="B805" s="2">
        <v>31304</v>
      </c>
      <c r="C805" s="2" t="s">
        <v>619</v>
      </c>
      <c r="D805" s="2" t="s">
        <v>620</v>
      </c>
      <c r="E805" s="2" t="s">
        <v>5595</v>
      </c>
      <c r="F805" s="2">
        <v>21707175</v>
      </c>
      <c r="G805" s="3">
        <v>38.112328767123287</v>
      </c>
      <c r="H805" s="2" t="s">
        <v>622</v>
      </c>
      <c r="I805" s="2" t="s">
        <v>5596</v>
      </c>
      <c r="J805" s="2" t="str">
        <f>+IF(BD[[#This Row],[DEPARTAMENTO_INSS]]="MANAGUA","_01_","_02_")</f>
        <v>_02_</v>
      </c>
      <c r="K805" s="2" t="str">
        <f>+CONCATENATE(BD[[#This Row],[Columna3]],BD[[#This Row],[Columna4]],BD[[#This Row],[NOMBRE COMPLETO]])</f>
        <v>E003_02_INGRID MARIEL GRANERA CASCO</v>
      </c>
      <c r="L805" s="2" t="s">
        <v>2029</v>
      </c>
      <c r="M805" s="2" t="s">
        <v>5597</v>
      </c>
      <c r="N805" s="2" t="s">
        <v>306</v>
      </c>
      <c r="O805" s="2" t="s">
        <v>360</v>
      </c>
      <c r="P805" s="2" t="s">
        <v>626</v>
      </c>
      <c r="Q805" s="2" t="s">
        <v>351</v>
      </c>
      <c r="R805" s="2">
        <v>30885</v>
      </c>
      <c r="S805" s="2">
        <v>30885</v>
      </c>
      <c r="T805" s="2" t="s">
        <v>133</v>
      </c>
      <c r="U805" s="2" t="s">
        <v>133</v>
      </c>
      <c r="V805" s="2" t="s">
        <v>869</v>
      </c>
      <c r="W805" s="2" t="s">
        <v>869</v>
      </c>
      <c r="X805" s="2" t="s">
        <v>5598</v>
      </c>
      <c r="Y805" s="2" t="s">
        <v>5599</v>
      </c>
      <c r="Z805" s="2">
        <v>84434573</v>
      </c>
      <c r="AA805" s="2">
        <v>84434573</v>
      </c>
      <c r="AB805" s="2" t="s">
        <v>642</v>
      </c>
      <c r="AC805" s="2" t="s">
        <v>632</v>
      </c>
      <c r="AD805" s="2">
        <v>84434573</v>
      </c>
      <c r="AJ805" s="2">
        <v>84434573</v>
      </c>
      <c r="AK805" s="2">
        <v>2</v>
      </c>
      <c r="AL805" s="2" t="s">
        <v>633</v>
      </c>
      <c r="AM805" s="2">
        <v>0</v>
      </c>
      <c r="AN805" s="2">
        <v>0</v>
      </c>
      <c r="AO805" s="2">
        <v>1</v>
      </c>
      <c r="AP805" s="2">
        <v>0</v>
      </c>
      <c r="AQ805" s="2">
        <v>0</v>
      </c>
      <c r="AR805" s="2">
        <v>0</v>
      </c>
      <c r="AS805" s="2">
        <v>0</v>
      </c>
      <c r="AT805" s="2">
        <v>0</v>
      </c>
      <c r="AZ805" s="2" t="s">
        <v>5600</v>
      </c>
      <c r="BB805" s="2" t="str">
        <f>+PROPER(BD[[#This Row],[PRIMER_APELLIDO]])</f>
        <v>Granera</v>
      </c>
    </row>
    <row r="806" spans="1:54" x14ac:dyDescent="0.25">
      <c r="A806" s="2">
        <v>805</v>
      </c>
      <c r="B806" s="2">
        <v>49160</v>
      </c>
      <c r="C806" s="2" t="s">
        <v>619</v>
      </c>
      <c r="D806" s="2" t="s">
        <v>620</v>
      </c>
      <c r="E806" s="2" t="s">
        <v>5601</v>
      </c>
      <c r="F806" s="2">
        <v>25027372</v>
      </c>
      <c r="G806" s="3">
        <v>38.128767123287673</v>
      </c>
      <c r="H806" s="2" t="s">
        <v>622</v>
      </c>
      <c r="I806" s="2" t="s">
        <v>5602</v>
      </c>
      <c r="J806" s="2" t="str">
        <f>+IF(BD[[#This Row],[DEPARTAMENTO_INSS]]="MANAGUA","_01_","_02_")</f>
        <v>_02_</v>
      </c>
      <c r="K806" s="2" t="str">
        <f>+CONCATENATE(BD[[#This Row],[Columna3]],BD[[#This Row],[Columna4]],BD[[#This Row],[NOMBRE COMPLETO]])</f>
        <v>E003_02_DINA RAFAELA LEYMAN JONATHAN</v>
      </c>
      <c r="L806" s="2" t="s">
        <v>703</v>
      </c>
      <c r="M806" s="2" t="s">
        <v>1645</v>
      </c>
      <c r="N806" s="2" t="s">
        <v>249</v>
      </c>
      <c r="O806" s="2" t="s">
        <v>981</v>
      </c>
      <c r="P806" s="2" t="s">
        <v>626</v>
      </c>
      <c r="Q806" s="2" t="s">
        <v>351</v>
      </c>
      <c r="R806" s="2">
        <v>30879</v>
      </c>
      <c r="S806" s="2">
        <v>30879</v>
      </c>
      <c r="T806" s="2" t="s">
        <v>780</v>
      </c>
      <c r="U806" s="2" t="s">
        <v>780</v>
      </c>
      <c r="V806" s="2" t="s">
        <v>2868</v>
      </c>
      <c r="W806" s="2" t="s">
        <v>781</v>
      </c>
      <c r="X806" s="2" t="s">
        <v>5603</v>
      </c>
      <c r="Y806" s="2" t="s">
        <v>5604</v>
      </c>
      <c r="AA806" s="2">
        <v>82173348</v>
      </c>
      <c r="AB806" s="2" t="s">
        <v>631</v>
      </c>
      <c r="AC806" s="2" t="s">
        <v>632</v>
      </c>
      <c r="AD806" s="2">
        <v>82173348</v>
      </c>
      <c r="AJ806" s="2">
        <v>82173348</v>
      </c>
      <c r="AK806" s="2">
        <v>1</v>
      </c>
      <c r="AL806" s="2" t="s">
        <v>633</v>
      </c>
      <c r="AM806" s="2">
        <v>0</v>
      </c>
      <c r="AN806" s="2">
        <v>0</v>
      </c>
      <c r="AO806" s="2">
        <v>1</v>
      </c>
      <c r="AP806" s="2">
        <v>0</v>
      </c>
      <c r="AQ806" s="2">
        <v>0</v>
      </c>
      <c r="AR806" s="2">
        <v>0</v>
      </c>
      <c r="AS806" s="2">
        <v>0</v>
      </c>
      <c r="AT806" s="2">
        <v>0</v>
      </c>
      <c r="BB806" s="2" t="str">
        <f>+PROPER(BD[[#This Row],[PRIMER_APELLIDO]])</f>
        <v>Leyman</v>
      </c>
    </row>
    <row r="807" spans="1:54" x14ac:dyDescent="0.25">
      <c r="A807" s="2">
        <v>806</v>
      </c>
      <c r="B807" s="2">
        <v>24915</v>
      </c>
      <c r="C807" s="2" t="s">
        <v>619</v>
      </c>
      <c r="D807" s="2" t="s">
        <v>620</v>
      </c>
      <c r="E807" s="2" t="s">
        <v>5605</v>
      </c>
      <c r="F807" s="2">
        <v>21204508</v>
      </c>
      <c r="G807" s="3">
        <v>38.131506849315066</v>
      </c>
      <c r="H807" s="2" t="s">
        <v>622</v>
      </c>
      <c r="I807" s="2" t="s">
        <v>5606</v>
      </c>
      <c r="J807" s="2" t="str">
        <f>+IF(BD[[#This Row],[DEPARTAMENTO_INSS]]="MANAGUA","_01_","_02_")</f>
        <v>_01_</v>
      </c>
      <c r="K807" s="2" t="str">
        <f>+CONCATENATE(BD[[#This Row],[Columna3]],BD[[#This Row],[Columna4]],BD[[#This Row],[NOMBRE COMPLETO]])</f>
        <v>E003_01_BAYARDO ANTONIO BRAVO SAUNING</v>
      </c>
      <c r="L807" s="2" t="s">
        <v>3255</v>
      </c>
      <c r="M807" s="2" t="s">
        <v>904</v>
      </c>
      <c r="N807" s="2" t="s">
        <v>287</v>
      </c>
      <c r="O807" s="2" t="s">
        <v>5607</v>
      </c>
      <c r="P807" s="2" t="s">
        <v>649</v>
      </c>
      <c r="Q807" s="2" t="s">
        <v>351</v>
      </c>
      <c r="R807" s="2">
        <v>30878</v>
      </c>
      <c r="S807" s="2">
        <v>30878</v>
      </c>
      <c r="T807" s="2" t="s">
        <v>659</v>
      </c>
      <c r="U807" s="2" t="s">
        <v>627</v>
      </c>
      <c r="V807" s="2" t="s">
        <v>659</v>
      </c>
      <c r="W807" s="2" t="s">
        <v>627</v>
      </c>
      <c r="X807" s="2" t="s">
        <v>5608</v>
      </c>
      <c r="Y807" s="2" t="s">
        <v>5609</v>
      </c>
      <c r="AA807" s="2">
        <v>88367165</v>
      </c>
      <c r="AB807" s="2" t="s">
        <v>654</v>
      </c>
      <c r="AC807" s="2" t="s">
        <v>632</v>
      </c>
      <c r="AD807" s="2">
        <v>88367165</v>
      </c>
      <c r="AJ807" s="2">
        <v>88367165</v>
      </c>
      <c r="AK807" s="2">
        <v>1</v>
      </c>
      <c r="AL807" s="2" t="s">
        <v>633</v>
      </c>
      <c r="AM807" s="2">
        <v>0</v>
      </c>
      <c r="AN807" s="2">
        <v>0</v>
      </c>
      <c r="AO807" s="2">
        <v>1</v>
      </c>
      <c r="AP807" s="2">
        <v>0</v>
      </c>
      <c r="AQ807" s="2">
        <v>0</v>
      </c>
      <c r="AR807" s="2">
        <v>0</v>
      </c>
      <c r="AS807" s="2">
        <v>0</v>
      </c>
      <c r="AT807" s="2">
        <v>0</v>
      </c>
      <c r="BA807" s="2" t="s">
        <v>5610</v>
      </c>
      <c r="BB807" s="2" t="str">
        <f>+PROPER(BD[[#This Row],[PRIMER_APELLIDO]])</f>
        <v>Bravo</v>
      </c>
    </row>
    <row r="808" spans="1:54" x14ac:dyDescent="0.25">
      <c r="A808" s="2">
        <v>807</v>
      </c>
      <c r="B808" s="2">
        <v>43414</v>
      </c>
      <c r="C808" s="2" t="s">
        <v>619</v>
      </c>
      <c r="D808" s="2" t="s">
        <v>620</v>
      </c>
      <c r="E808" s="2" t="s">
        <v>5611</v>
      </c>
      <c r="F808" s="2">
        <v>24236203</v>
      </c>
      <c r="G808" s="3">
        <v>38.131506849315066</v>
      </c>
      <c r="H808" s="2" t="s">
        <v>622</v>
      </c>
      <c r="I808" s="2" t="s">
        <v>5612</v>
      </c>
      <c r="J808" s="2" t="str">
        <f>+IF(BD[[#This Row],[DEPARTAMENTO_INSS]]="MANAGUA","_01_","_02_")</f>
        <v>_02_</v>
      </c>
      <c r="K808" s="2" t="str">
        <f>+CONCATENATE(BD[[#This Row],[Columna3]],BD[[#This Row],[Columna4]],BD[[#This Row],[NOMBRE COMPLETO]])</f>
        <v>E003_02_ARELY DEL SOCORRO CASTRO GONZALEZ</v>
      </c>
      <c r="L808" s="2" t="s">
        <v>5613</v>
      </c>
      <c r="M808" s="2" t="s">
        <v>787</v>
      </c>
      <c r="N808" s="2" t="s">
        <v>163</v>
      </c>
      <c r="O808" s="2" t="s">
        <v>14</v>
      </c>
      <c r="P808" s="2" t="s">
        <v>626</v>
      </c>
      <c r="Q808" s="2" t="s">
        <v>351</v>
      </c>
      <c r="R808" s="2">
        <v>30878</v>
      </c>
      <c r="S808" s="2">
        <v>30878</v>
      </c>
      <c r="T808" s="2" t="s">
        <v>669</v>
      </c>
      <c r="U808" s="2" t="s">
        <v>669</v>
      </c>
      <c r="V808" s="2" t="s">
        <v>670</v>
      </c>
      <c r="W808" s="2" t="s">
        <v>670</v>
      </c>
      <c r="X808" s="2" t="s">
        <v>5614</v>
      </c>
      <c r="Y808" s="2" t="s">
        <v>5615</v>
      </c>
      <c r="Z808" s="2">
        <v>88510389</v>
      </c>
      <c r="AA808" s="2">
        <v>88510389</v>
      </c>
      <c r="AB808" s="2" t="s">
        <v>642</v>
      </c>
      <c r="AC808" s="2" t="s">
        <v>632</v>
      </c>
      <c r="AD808" s="2">
        <v>88510389</v>
      </c>
      <c r="AJ808" s="2">
        <v>88510389</v>
      </c>
      <c r="AK808" s="2">
        <v>2</v>
      </c>
      <c r="AL808" s="2" t="s">
        <v>633</v>
      </c>
      <c r="AM808" s="2">
        <v>0</v>
      </c>
      <c r="AN808" s="2">
        <v>0</v>
      </c>
      <c r="AO808" s="2">
        <v>1</v>
      </c>
      <c r="AP808" s="2">
        <v>0</v>
      </c>
      <c r="AQ808" s="2">
        <v>0</v>
      </c>
      <c r="AR808" s="2">
        <v>0</v>
      </c>
      <c r="AS808" s="2">
        <v>0</v>
      </c>
      <c r="AT808" s="2">
        <v>0</v>
      </c>
      <c r="AZ808" s="2" t="s">
        <v>5616</v>
      </c>
      <c r="BB808" s="2" t="str">
        <f>+PROPER(BD[[#This Row],[PRIMER_APELLIDO]])</f>
        <v>Castro</v>
      </c>
    </row>
    <row r="809" spans="1:54" x14ac:dyDescent="0.25">
      <c r="A809" s="2">
        <v>808</v>
      </c>
      <c r="B809" s="2">
        <v>60616</v>
      </c>
      <c r="C809" s="2" t="s">
        <v>619</v>
      </c>
      <c r="D809" s="2" t="s">
        <v>620</v>
      </c>
      <c r="E809" s="2" t="s">
        <v>5617</v>
      </c>
      <c r="G809" s="3">
        <v>38.139726027397259</v>
      </c>
      <c r="H809" s="2" t="s">
        <v>622</v>
      </c>
      <c r="I809" s="2" t="s">
        <v>5618</v>
      </c>
      <c r="J809" s="2" t="str">
        <f>+IF(BD[[#This Row],[DEPARTAMENTO_INSS]]="MANAGUA","_01_","_02_")</f>
        <v>_02_</v>
      </c>
      <c r="K809" s="2" t="str">
        <f>+CONCATENATE(BD[[#This Row],[Columna3]],BD[[#This Row],[Columna4]],BD[[#This Row],[NOMBRE COMPLETO]])</f>
        <v>E003_02_JORGE ISAAC RIVAS QUIÑONEZ</v>
      </c>
      <c r="L809" s="2" t="s">
        <v>1076</v>
      </c>
      <c r="M809" s="2" t="s">
        <v>4183</v>
      </c>
      <c r="N809" s="2" t="s">
        <v>186</v>
      </c>
      <c r="O809" s="2" t="s">
        <v>2940</v>
      </c>
      <c r="P809" s="2" t="s">
        <v>649</v>
      </c>
      <c r="Q809" s="2" t="s">
        <v>351</v>
      </c>
      <c r="R809" s="2">
        <v>30875</v>
      </c>
      <c r="S809" s="2">
        <v>30875</v>
      </c>
      <c r="T809" s="2" t="s">
        <v>176</v>
      </c>
      <c r="U809" s="2" t="s">
        <v>176</v>
      </c>
      <c r="V809" s="2" t="s">
        <v>897</v>
      </c>
      <c r="W809" s="2" t="s">
        <v>176</v>
      </c>
      <c r="X809" s="2" t="s">
        <v>5619</v>
      </c>
      <c r="Y809" s="2" t="s">
        <v>5620</v>
      </c>
      <c r="AA809" s="2">
        <v>87806534</v>
      </c>
      <c r="AB809" s="2" t="s">
        <v>4209</v>
      </c>
      <c r="AC809" s="2" t="s">
        <v>632</v>
      </c>
      <c r="AD809" s="2">
        <v>87806534</v>
      </c>
      <c r="AJ809" s="2">
        <v>87806534</v>
      </c>
      <c r="AK809" s="2">
        <v>1</v>
      </c>
      <c r="AL809" s="2" t="s">
        <v>633</v>
      </c>
      <c r="AM809" s="2">
        <v>0</v>
      </c>
      <c r="AN809" s="2">
        <v>0</v>
      </c>
      <c r="AO809" s="2">
        <v>1</v>
      </c>
      <c r="AP809" s="2">
        <v>0</v>
      </c>
      <c r="AQ809" s="2">
        <v>0</v>
      </c>
      <c r="AR809" s="2">
        <v>0</v>
      </c>
      <c r="AS809" s="2">
        <v>0</v>
      </c>
      <c r="AT809" s="2">
        <v>0</v>
      </c>
      <c r="BB809" s="2" t="str">
        <f>+PROPER(BD[[#This Row],[PRIMER_APELLIDO]])</f>
        <v>Rivas</v>
      </c>
    </row>
    <row r="810" spans="1:54" x14ac:dyDescent="0.25">
      <c r="A810" s="2">
        <v>809</v>
      </c>
      <c r="B810" s="2">
        <v>33988</v>
      </c>
      <c r="C810" s="2" t="s">
        <v>619</v>
      </c>
      <c r="D810" s="2" t="s">
        <v>620</v>
      </c>
      <c r="E810" s="2" t="s">
        <v>5621</v>
      </c>
      <c r="F810" s="2">
        <v>21672930</v>
      </c>
      <c r="G810" s="3">
        <v>38.147945205479452</v>
      </c>
      <c r="H810" s="2" t="s">
        <v>622</v>
      </c>
      <c r="I810" s="2" t="s">
        <v>5622</v>
      </c>
      <c r="J810" s="2" t="str">
        <f>+IF(BD[[#This Row],[DEPARTAMENTO_INSS]]="MANAGUA","_01_","_02_")</f>
        <v>_02_</v>
      </c>
      <c r="K810" s="2" t="str">
        <f>+CONCATENATE(BD[[#This Row],[Columna3]],BD[[#This Row],[Columna4]],BD[[#This Row],[NOMBRE COMPLETO]])</f>
        <v>E003_02_JENNIFER DAYANA MORALES PAVON</v>
      </c>
      <c r="L810" s="2" t="s">
        <v>2961</v>
      </c>
      <c r="M810" s="2" t="s">
        <v>5623</v>
      </c>
      <c r="N810" s="2" t="s">
        <v>82</v>
      </c>
      <c r="O810" s="2" t="s">
        <v>345</v>
      </c>
      <c r="P810" s="2" t="s">
        <v>626</v>
      </c>
      <c r="Q810" s="2" t="s">
        <v>351</v>
      </c>
      <c r="R810" s="2">
        <v>30872</v>
      </c>
      <c r="S810" s="2">
        <v>30872</v>
      </c>
      <c r="T810" s="2" t="s">
        <v>732</v>
      </c>
      <c r="U810" s="2" t="s">
        <v>732</v>
      </c>
      <c r="V810" s="2" t="s">
        <v>732</v>
      </c>
      <c r="W810" s="2" t="s">
        <v>732</v>
      </c>
      <c r="X810" s="2" t="s">
        <v>5624</v>
      </c>
      <c r="Y810" s="2" t="s">
        <v>5625</v>
      </c>
      <c r="AA810" s="2">
        <v>89524604</v>
      </c>
      <c r="AB810" s="2" t="s">
        <v>642</v>
      </c>
      <c r="AC810" s="2" t="s">
        <v>632</v>
      </c>
      <c r="AD810" s="2">
        <v>89524604</v>
      </c>
      <c r="AJ810" s="2">
        <v>89524604</v>
      </c>
      <c r="AK810" s="2">
        <v>1</v>
      </c>
      <c r="AL810" s="2" t="s">
        <v>633</v>
      </c>
      <c r="AM810" s="2">
        <v>0</v>
      </c>
      <c r="AN810" s="2">
        <v>0</v>
      </c>
      <c r="AO810" s="2">
        <v>1</v>
      </c>
      <c r="AP810" s="2">
        <v>0</v>
      </c>
      <c r="AQ810" s="2">
        <v>0</v>
      </c>
      <c r="AR810" s="2">
        <v>0</v>
      </c>
      <c r="AS810" s="2">
        <v>0</v>
      </c>
      <c r="AT810" s="2">
        <v>0</v>
      </c>
      <c r="BB810" s="2" t="str">
        <f>+PROPER(BD[[#This Row],[PRIMER_APELLIDO]])</f>
        <v>Morales</v>
      </c>
    </row>
    <row r="811" spans="1:54" x14ac:dyDescent="0.25">
      <c r="A811" s="2">
        <v>810</v>
      </c>
      <c r="B811" s="2">
        <v>26291</v>
      </c>
      <c r="C811" s="2" t="s">
        <v>619</v>
      </c>
      <c r="D811" s="2" t="s">
        <v>620</v>
      </c>
      <c r="E811" s="2" t="s">
        <v>5626</v>
      </c>
      <c r="F811" s="2">
        <v>21354621</v>
      </c>
      <c r="G811" s="3">
        <v>38.153424657534245</v>
      </c>
      <c r="H811" s="2" t="s">
        <v>622</v>
      </c>
      <c r="I811" s="2" t="s">
        <v>5627</v>
      </c>
      <c r="J811" s="2" t="str">
        <f>+IF(BD[[#This Row],[DEPARTAMENTO_INSS]]="MANAGUA","_01_","_02_")</f>
        <v>_02_</v>
      </c>
      <c r="K811" s="2" t="str">
        <f>+CONCATENATE(BD[[#This Row],[Columna3]],BD[[#This Row],[Columna4]],BD[[#This Row],[NOMBRE COMPLETO]])</f>
        <v>E003_02_CAMILO JOSE GUTIERREZ MACIAS</v>
      </c>
      <c r="L811" s="2" t="s">
        <v>5628</v>
      </c>
      <c r="M811" s="2" t="s">
        <v>243</v>
      </c>
      <c r="N811" s="2" t="s">
        <v>171</v>
      </c>
      <c r="O811" s="2" t="s">
        <v>5629</v>
      </c>
      <c r="P811" s="2" t="s">
        <v>649</v>
      </c>
      <c r="Q811" s="2" t="s">
        <v>351</v>
      </c>
      <c r="R811" s="2">
        <v>30870</v>
      </c>
      <c r="S811" s="2">
        <v>30870</v>
      </c>
      <c r="T811" s="2" t="s">
        <v>732</v>
      </c>
      <c r="U811" s="2" t="s">
        <v>133</v>
      </c>
      <c r="V811" s="2" t="s">
        <v>4341</v>
      </c>
      <c r="W811" s="2" t="s">
        <v>869</v>
      </c>
      <c r="X811" s="2" t="s">
        <v>5630</v>
      </c>
      <c r="Y811" s="2" t="s">
        <v>5631</v>
      </c>
      <c r="Z811" s="2">
        <v>83393406</v>
      </c>
      <c r="AA811" s="2">
        <v>25232282</v>
      </c>
      <c r="AB811" s="2" t="s">
        <v>654</v>
      </c>
      <c r="AC811" s="2" t="s">
        <v>632</v>
      </c>
      <c r="AD811" s="2">
        <v>83393406</v>
      </c>
      <c r="AJ811" s="2">
        <v>83393406</v>
      </c>
      <c r="AK811" s="2">
        <v>2</v>
      </c>
      <c r="AL811" s="2" t="s">
        <v>633</v>
      </c>
      <c r="AM811" s="2">
        <v>0</v>
      </c>
      <c r="AN811" s="2">
        <v>0</v>
      </c>
      <c r="AO811" s="2">
        <v>1</v>
      </c>
      <c r="AP811" s="2">
        <v>0</v>
      </c>
      <c r="AQ811" s="2">
        <v>0</v>
      </c>
      <c r="AR811" s="2">
        <v>0</v>
      </c>
      <c r="AS811" s="2">
        <v>0</v>
      </c>
      <c r="AT811" s="2">
        <v>0</v>
      </c>
      <c r="AZ811" s="2" t="s">
        <v>5632</v>
      </c>
      <c r="BB811" s="2" t="str">
        <f>+PROPER(BD[[#This Row],[PRIMER_APELLIDO]])</f>
        <v>Gutierrez</v>
      </c>
    </row>
    <row r="812" spans="1:54" x14ac:dyDescent="0.25">
      <c r="A812" s="2">
        <v>811</v>
      </c>
      <c r="B812" s="2">
        <v>51460</v>
      </c>
      <c r="C812" s="2" t="s">
        <v>619</v>
      </c>
      <c r="D812" s="2" t="s">
        <v>620</v>
      </c>
      <c r="E812" s="2" t="s">
        <v>5633</v>
      </c>
      <c r="F812" s="2">
        <v>28163273</v>
      </c>
      <c r="G812" s="3">
        <v>38.169863013698631</v>
      </c>
      <c r="H812" s="2" t="s">
        <v>622</v>
      </c>
      <c r="I812" s="2" t="s">
        <v>5634</v>
      </c>
      <c r="J812" s="2" t="str">
        <f>+IF(BD[[#This Row],[DEPARTAMENTO_INSS]]="MANAGUA","_01_","_02_")</f>
        <v>_02_</v>
      </c>
      <c r="K812" s="2" t="str">
        <f>+CONCATENATE(BD[[#This Row],[Columna3]],BD[[#This Row],[Columna4]],BD[[#This Row],[NOMBRE COMPLETO]])</f>
        <v>E003_02_YAHOSKA GABRIELA TREJOS CASTILLO</v>
      </c>
      <c r="L812" s="2" t="s">
        <v>2379</v>
      </c>
      <c r="M812" s="2" t="s">
        <v>1211</v>
      </c>
      <c r="N812" s="2" t="s">
        <v>136</v>
      </c>
      <c r="O812" s="2" t="s">
        <v>100</v>
      </c>
      <c r="P812" s="2" t="s">
        <v>626</v>
      </c>
      <c r="Q812" s="2" t="s">
        <v>351</v>
      </c>
      <c r="R812" s="2">
        <v>30864</v>
      </c>
      <c r="S812" s="2">
        <v>30864</v>
      </c>
      <c r="T812" s="2" t="s">
        <v>740</v>
      </c>
      <c r="U812" s="2" t="s">
        <v>740</v>
      </c>
      <c r="V812" s="2" t="s">
        <v>740</v>
      </c>
      <c r="W812" s="2" t="s">
        <v>740</v>
      </c>
      <c r="X812" s="2" t="s">
        <v>5635</v>
      </c>
      <c r="Y812" s="2" t="s">
        <v>5636</v>
      </c>
      <c r="Z812" s="2">
        <v>89387496</v>
      </c>
      <c r="AA812" s="2" t="s">
        <v>5637</v>
      </c>
      <c r="AB812" s="2" t="s">
        <v>631</v>
      </c>
      <c r="AC812" s="2" t="s">
        <v>632</v>
      </c>
      <c r="AD812" s="2">
        <v>89387496</v>
      </c>
      <c r="AJ812" s="2">
        <v>89387496</v>
      </c>
      <c r="AK812" s="2">
        <v>3</v>
      </c>
      <c r="AL812" s="2" t="s">
        <v>633</v>
      </c>
      <c r="AM812" s="2">
        <v>0</v>
      </c>
      <c r="AN812" s="2">
        <v>0</v>
      </c>
      <c r="AO812" s="2">
        <v>1</v>
      </c>
      <c r="AP812" s="2">
        <v>0</v>
      </c>
      <c r="AQ812" s="2">
        <v>0</v>
      </c>
      <c r="AR812" s="2">
        <v>0</v>
      </c>
      <c r="AS812" s="2">
        <v>0</v>
      </c>
      <c r="AT812" s="2">
        <v>0</v>
      </c>
      <c r="AZ812" s="2" t="s">
        <v>5638</v>
      </c>
      <c r="BB812" s="2" t="str">
        <f>+PROPER(BD[[#This Row],[PRIMER_APELLIDO]])</f>
        <v>Trejos</v>
      </c>
    </row>
    <row r="813" spans="1:54" x14ac:dyDescent="0.25">
      <c r="A813" s="2">
        <v>812</v>
      </c>
      <c r="B813" s="2">
        <v>49263</v>
      </c>
      <c r="C813" s="2" t="s">
        <v>619</v>
      </c>
      <c r="D813" s="2" t="s">
        <v>620</v>
      </c>
      <c r="E813" s="2" t="s">
        <v>5639</v>
      </c>
      <c r="F813" s="2">
        <v>14057452</v>
      </c>
      <c r="G813" s="3">
        <v>38.175342465753424</v>
      </c>
      <c r="H813" s="2" t="s">
        <v>622</v>
      </c>
      <c r="I813" s="2" t="s">
        <v>5640</v>
      </c>
      <c r="J813" s="2" t="str">
        <f>+IF(BD[[#This Row],[DEPARTAMENTO_INSS]]="MANAGUA","_01_","_02_")</f>
        <v>_02_</v>
      </c>
      <c r="K813" s="2" t="str">
        <f>+CONCATENATE(BD[[#This Row],[Columna3]],BD[[#This Row],[Columna4]],BD[[#This Row],[NOMBRE COMPLETO]])</f>
        <v>E003_02_NERY JOSE RODRIGUEZ</v>
      </c>
      <c r="L813" s="2" t="s">
        <v>5641</v>
      </c>
      <c r="M813" s="2" t="s">
        <v>243</v>
      </c>
      <c r="N813" s="2" t="s">
        <v>185</v>
      </c>
      <c r="P813" s="2" t="s">
        <v>649</v>
      </c>
      <c r="Q813" s="2" t="s">
        <v>351</v>
      </c>
      <c r="R813" s="2">
        <v>30862</v>
      </c>
      <c r="S813" s="2">
        <v>30862</v>
      </c>
      <c r="T813" s="2" t="s">
        <v>659</v>
      </c>
      <c r="U813" s="2" t="s">
        <v>659</v>
      </c>
      <c r="V813" s="2" t="s">
        <v>659</v>
      </c>
      <c r="W813" s="2" t="s">
        <v>5168</v>
      </c>
      <c r="X813" s="2" t="s">
        <v>5642</v>
      </c>
      <c r="Y813" s="2" t="s">
        <v>5643</v>
      </c>
      <c r="Z813" s="2">
        <v>87415037</v>
      </c>
      <c r="AB813" s="2" t="s">
        <v>798</v>
      </c>
      <c r="AC813" s="2" t="s">
        <v>632</v>
      </c>
      <c r="AD813" s="2">
        <v>87415037</v>
      </c>
      <c r="AJ813" s="2">
        <v>87415037</v>
      </c>
      <c r="AK813" s="2">
        <v>1</v>
      </c>
      <c r="AL813" s="2" t="s">
        <v>633</v>
      </c>
      <c r="AM813" s="2">
        <v>0</v>
      </c>
      <c r="AN813" s="2">
        <v>0</v>
      </c>
      <c r="AO813" s="2">
        <v>1</v>
      </c>
      <c r="AP813" s="2">
        <v>0</v>
      </c>
      <c r="AQ813" s="2">
        <v>0</v>
      </c>
      <c r="AR813" s="2">
        <v>0</v>
      </c>
      <c r="AS813" s="2">
        <v>0</v>
      </c>
      <c r="AT813" s="2">
        <v>0</v>
      </c>
      <c r="BB813" s="2" t="str">
        <f>+PROPER(BD[[#This Row],[PRIMER_APELLIDO]])</f>
        <v>Rodriguez</v>
      </c>
    </row>
    <row r="814" spans="1:54" x14ac:dyDescent="0.25">
      <c r="A814" s="2">
        <v>813</v>
      </c>
      <c r="B814" s="2">
        <v>35374</v>
      </c>
      <c r="C814" s="2" t="s">
        <v>619</v>
      </c>
      <c r="D814" s="2" t="s">
        <v>620</v>
      </c>
      <c r="E814" s="2" t="s">
        <v>5644</v>
      </c>
      <c r="F814" s="2">
        <v>22126177</v>
      </c>
      <c r="G814" s="3">
        <v>38.208219178082189</v>
      </c>
      <c r="H814" s="2" t="s">
        <v>622</v>
      </c>
      <c r="I814" s="2" t="s">
        <v>5645</v>
      </c>
      <c r="J814" s="2" t="str">
        <f>+IF(BD[[#This Row],[DEPARTAMENTO_INSS]]="MANAGUA","_01_","_02_")</f>
        <v>_01_</v>
      </c>
      <c r="K814" s="2" t="str">
        <f>+CONCATENATE(BD[[#This Row],[Columna3]],BD[[#This Row],[Columna4]],BD[[#This Row],[NOMBRE COMPLETO]])</f>
        <v>E003_01_MARIA TRINIDAD DELGADO GAITAN</v>
      </c>
      <c r="L814" s="2" t="s">
        <v>724</v>
      </c>
      <c r="M814" s="2" t="s">
        <v>5646</v>
      </c>
      <c r="N814" s="2" t="s">
        <v>363</v>
      </c>
      <c r="O814" s="2" t="s">
        <v>54</v>
      </c>
      <c r="P814" s="2" t="s">
        <v>626</v>
      </c>
      <c r="Q814" s="2" t="s">
        <v>351</v>
      </c>
      <c r="R814" s="2">
        <v>30850</v>
      </c>
      <c r="S814" s="2">
        <v>30850</v>
      </c>
      <c r="T814" s="2" t="s">
        <v>627</v>
      </c>
      <c r="U814" s="2" t="s">
        <v>627</v>
      </c>
      <c r="V814" s="2" t="s">
        <v>627</v>
      </c>
      <c r="W814" s="2" t="s">
        <v>627</v>
      </c>
      <c r="X814" s="2" t="s">
        <v>5647</v>
      </c>
      <c r="Y814" s="2" t="s">
        <v>5648</v>
      </c>
      <c r="AA814" s="2">
        <v>88456015</v>
      </c>
      <c r="AB814" s="2" t="s">
        <v>642</v>
      </c>
      <c r="AC814" s="2" t="s">
        <v>632</v>
      </c>
      <c r="AD814" s="2">
        <v>88456015</v>
      </c>
      <c r="AJ814" s="2">
        <v>88456015</v>
      </c>
      <c r="AK814" s="2">
        <v>1</v>
      </c>
      <c r="AL814" s="2" t="s">
        <v>633</v>
      </c>
      <c r="AM814" s="2">
        <v>0</v>
      </c>
      <c r="AN814" s="2">
        <v>0</v>
      </c>
      <c r="AO814" s="2">
        <v>1</v>
      </c>
      <c r="AP814" s="2">
        <v>0</v>
      </c>
      <c r="AQ814" s="2">
        <v>0</v>
      </c>
      <c r="AR814" s="2">
        <v>0</v>
      </c>
      <c r="AS814" s="2">
        <v>0</v>
      </c>
      <c r="AT814" s="2">
        <v>0</v>
      </c>
      <c r="BB814" s="2" t="str">
        <f>+PROPER(BD[[#This Row],[PRIMER_APELLIDO]])</f>
        <v>Delgado</v>
      </c>
    </row>
    <row r="815" spans="1:54" x14ac:dyDescent="0.25">
      <c r="A815" s="2">
        <v>814</v>
      </c>
      <c r="B815" s="2">
        <v>47104</v>
      </c>
      <c r="C815" s="2" t="s">
        <v>619</v>
      </c>
      <c r="D815" s="2" t="s">
        <v>620</v>
      </c>
      <c r="E815" s="2" t="s">
        <v>5649</v>
      </c>
      <c r="F815" s="2">
        <v>25022287</v>
      </c>
      <c r="G815" s="3">
        <v>38.208219178082189</v>
      </c>
      <c r="H815" s="2" t="s">
        <v>622</v>
      </c>
      <c r="I815" s="2" t="s">
        <v>5650</v>
      </c>
      <c r="J815" s="2" t="str">
        <f>+IF(BD[[#This Row],[DEPARTAMENTO_INSS]]="MANAGUA","_01_","_02_")</f>
        <v>_02_</v>
      </c>
      <c r="K815" s="2" t="str">
        <f>+CONCATENATE(BD[[#This Row],[Columna3]],BD[[#This Row],[Columna4]],BD[[#This Row],[NOMBRE COMPLETO]])</f>
        <v>E003_02_JOVANNY VLADIMIR CASTELLON ESPINOZA</v>
      </c>
      <c r="L815" s="2" t="s">
        <v>5651</v>
      </c>
      <c r="M815" s="2" t="s">
        <v>1450</v>
      </c>
      <c r="N815" s="2" t="s">
        <v>22</v>
      </c>
      <c r="O815" s="2" t="s">
        <v>235</v>
      </c>
      <c r="P815" s="2" t="s">
        <v>649</v>
      </c>
      <c r="Q815" s="2" t="s">
        <v>351</v>
      </c>
      <c r="R815" s="2">
        <v>30850</v>
      </c>
      <c r="S815" s="2">
        <v>30850</v>
      </c>
      <c r="T815" s="2" t="s">
        <v>705</v>
      </c>
      <c r="U815" s="2" t="s">
        <v>705</v>
      </c>
      <c r="V815" s="2" t="s">
        <v>705</v>
      </c>
      <c r="W815" s="2" t="s">
        <v>705</v>
      </c>
      <c r="X815" s="2" t="s">
        <v>5652</v>
      </c>
      <c r="Y815" s="2" t="s">
        <v>5653</v>
      </c>
      <c r="Z815" s="2">
        <v>87843723</v>
      </c>
      <c r="AA815" s="2">
        <v>87843723</v>
      </c>
      <c r="AB815" s="2" t="s">
        <v>798</v>
      </c>
      <c r="AC815" s="2" t="s">
        <v>632</v>
      </c>
      <c r="AD815" s="2">
        <v>87843723</v>
      </c>
      <c r="AJ815" s="2">
        <v>87843723</v>
      </c>
      <c r="AK815" s="2">
        <v>2</v>
      </c>
      <c r="AL815" s="2" t="s">
        <v>633</v>
      </c>
      <c r="AM815" s="2">
        <v>0</v>
      </c>
      <c r="AN815" s="2">
        <v>0</v>
      </c>
      <c r="AO815" s="2">
        <v>1</v>
      </c>
      <c r="AP815" s="2">
        <v>0</v>
      </c>
      <c r="AQ815" s="2">
        <v>0</v>
      </c>
      <c r="AR815" s="2">
        <v>0</v>
      </c>
      <c r="AS815" s="2">
        <v>0</v>
      </c>
      <c r="AT815" s="2">
        <v>0</v>
      </c>
      <c r="AZ815" s="2" t="s">
        <v>5654</v>
      </c>
      <c r="BB815" s="2" t="str">
        <f>+PROPER(BD[[#This Row],[PRIMER_APELLIDO]])</f>
        <v>Castellon</v>
      </c>
    </row>
    <row r="816" spans="1:54" x14ac:dyDescent="0.25">
      <c r="A816" s="2">
        <v>815</v>
      </c>
      <c r="B816" s="2">
        <v>47397</v>
      </c>
      <c r="C816" s="2" t="s">
        <v>619</v>
      </c>
      <c r="D816" s="2" t="s">
        <v>620</v>
      </c>
      <c r="E816" s="2" t="s">
        <v>5655</v>
      </c>
      <c r="F816" s="2">
        <v>25624283</v>
      </c>
      <c r="G816" s="3">
        <v>38.213698630136989</v>
      </c>
      <c r="H816" s="2" t="s">
        <v>622</v>
      </c>
      <c r="I816" s="2" t="s">
        <v>5656</v>
      </c>
      <c r="J816" s="2" t="str">
        <f>+IF(BD[[#This Row],[DEPARTAMENTO_INSS]]="MANAGUA","_01_","_02_")</f>
        <v>_02_</v>
      </c>
      <c r="K816" s="2" t="str">
        <f>+CONCATENATE(BD[[#This Row],[Columna3]],BD[[#This Row],[Columna4]],BD[[#This Row],[NOMBRE COMPLETO]])</f>
        <v>E003_02_MARLON JOSE CARCAMO MIRANDA</v>
      </c>
      <c r="L816" s="2" t="s">
        <v>793</v>
      </c>
      <c r="M816" s="2" t="s">
        <v>243</v>
      </c>
      <c r="N816" s="2" t="s">
        <v>401</v>
      </c>
      <c r="O816" s="2" t="s">
        <v>56</v>
      </c>
      <c r="P816" s="2" t="s">
        <v>649</v>
      </c>
      <c r="Q816" s="2" t="s">
        <v>351</v>
      </c>
      <c r="R816" s="2">
        <v>30848</v>
      </c>
      <c r="S816" s="2">
        <v>30848</v>
      </c>
      <c r="T816" s="2" t="s">
        <v>176</v>
      </c>
      <c r="U816" s="2" t="s">
        <v>176</v>
      </c>
      <c r="V816" s="2" t="s">
        <v>1796</v>
      </c>
      <c r="W816" s="2" t="s">
        <v>1796</v>
      </c>
      <c r="X816" s="2" t="s">
        <v>5657</v>
      </c>
      <c r="Y816" s="2" t="s">
        <v>5658</v>
      </c>
      <c r="Z816" s="2">
        <v>88118724</v>
      </c>
      <c r="AB816" s="2" t="s">
        <v>654</v>
      </c>
      <c r="AC816" s="2" t="s">
        <v>632</v>
      </c>
      <c r="AD816" s="2">
        <v>88118724</v>
      </c>
      <c r="AJ816" s="2">
        <v>88118724</v>
      </c>
      <c r="AK816" s="2">
        <v>1</v>
      </c>
      <c r="AL816" s="2" t="s">
        <v>633</v>
      </c>
      <c r="AM816" s="2">
        <v>0</v>
      </c>
      <c r="AN816" s="2">
        <v>0</v>
      </c>
      <c r="AO816" s="2">
        <v>1</v>
      </c>
      <c r="AP816" s="2">
        <v>0</v>
      </c>
      <c r="AQ816" s="2">
        <v>0</v>
      </c>
      <c r="AR816" s="2">
        <v>0</v>
      </c>
      <c r="AS816" s="2">
        <v>0</v>
      </c>
      <c r="AT816" s="2">
        <v>0</v>
      </c>
      <c r="BB816" s="2" t="str">
        <f>+PROPER(BD[[#This Row],[PRIMER_APELLIDO]])</f>
        <v>Carcamo</v>
      </c>
    </row>
    <row r="817" spans="1:54" x14ac:dyDescent="0.25">
      <c r="A817" s="2">
        <v>816</v>
      </c>
      <c r="B817" s="2">
        <v>46170</v>
      </c>
      <c r="C817" s="2" t="s">
        <v>619</v>
      </c>
      <c r="D817" s="2" t="s">
        <v>620</v>
      </c>
      <c r="E817" s="2" t="s">
        <v>5659</v>
      </c>
      <c r="F817" s="2">
        <v>24234119</v>
      </c>
      <c r="G817" s="3">
        <v>38.221917808219175</v>
      </c>
      <c r="H817" s="2" t="s">
        <v>622</v>
      </c>
      <c r="I817" s="2" t="s">
        <v>5660</v>
      </c>
      <c r="J817" s="2" t="str">
        <f>+IF(BD[[#This Row],[DEPARTAMENTO_INSS]]="MANAGUA","_01_","_02_")</f>
        <v>_02_</v>
      </c>
      <c r="K817" s="2" t="str">
        <f>+CONCATENATE(BD[[#This Row],[Columna3]],BD[[#This Row],[Columna4]],BD[[#This Row],[NOMBRE COMPLETO]])</f>
        <v>E003_02_JUANA MERCEDES SANCHEZ URIARTE</v>
      </c>
      <c r="L817" s="2" t="s">
        <v>1485</v>
      </c>
      <c r="M817" s="2" t="s">
        <v>769</v>
      </c>
      <c r="N817" s="2" t="s">
        <v>90</v>
      </c>
      <c r="O817" s="2" t="s">
        <v>81</v>
      </c>
      <c r="P817" s="2" t="s">
        <v>626</v>
      </c>
      <c r="Q817" s="2" t="s">
        <v>351</v>
      </c>
      <c r="R817" s="2">
        <v>30845</v>
      </c>
      <c r="S817" s="2">
        <v>30845</v>
      </c>
      <c r="T817" s="2" t="s">
        <v>1044</v>
      </c>
      <c r="U817" s="2" t="s">
        <v>1044</v>
      </c>
      <c r="V817" s="2" t="s">
        <v>5661</v>
      </c>
      <c r="W817" s="2" t="s">
        <v>5662</v>
      </c>
      <c r="X817" s="2" t="s">
        <v>5663</v>
      </c>
      <c r="Y817" s="2" t="s">
        <v>5664</v>
      </c>
      <c r="Z817" s="2">
        <v>84228197</v>
      </c>
      <c r="AA817" s="2">
        <v>84228197</v>
      </c>
      <c r="AB817" s="2" t="s">
        <v>642</v>
      </c>
      <c r="AC817" s="2" t="s">
        <v>632</v>
      </c>
      <c r="AD817" s="2">
        <v>84228197</v>
      </c>
      <c r="AJ817" s="2">
        <v>84228197</v>
      </c>
      <c r="AK817" s="2">
        <v>2</v>
      </c>
      <c r="AL817" s="2" t="s">
        <v>633</v>
      </c>
      <c r="AM817" s="2">
        <v>0</v>
      </c>
      <c r="AN817" s="2">
        <v>0</v>
      </c>
      <c r="AO817" s="2">
        <v>1</v>
      </c>
      <c r="AP817" s="2">
        <v>0</v>
      </c>
      <c r="AQ817" s="2">
        <v>0</v>
      </c>
      <c r="AR817" s="2">
        <v>0</v>
      </c>
      <c r="AS817" s="2">
        <v>0</v>
      </c>
      <c r="AT817" s="2">
        <v>0</v>
      </c>
      <c r="AZ817" s="2" t="s">
        <v>5665</v>
      </c>
      <c r="BB817" s="2" t="str">
        <f>+PROPER(BD[[#This Row],[PRIMER_APELLIDO]])</f>
        <v>Sanchez</v>
      </c>
    </row>
    <row r="818" spans="1:54" x14ac:dyDescent="0.25">
      <c r="A818" s="2">
        <v>817</v>
      </c>
      <c r="B818" s="2">
        <v>29729</v>
      </c>
      <c r="C818" s="2" t="s">
        <v>619</v>
      </c>
      <c r="D818" s="2" t="s">
        <v>620</v>
      </c>
      <c r="E818" s="2" t="s">
        <v>5666</v>
      </c>
      <c r="F818" s="2">
        <v>21727418</v>
      </c>
      <c r="G818" s="3">
        <v>38.232876712328768</v>
      </c>
      <c r="H818" s="2" t="s">
        <v>622</v>
      </c>
      <c r="I818" s="2" t="s">
        <v>5667</v>
      </c>
      <c r="J818" s="2" t="str">
        <f>+IF(BD[[#This Row],[DEPARTAMENTO_INSS]]="MANAGUA","_01_","_02_")</f>
        <v>_02_</v>
      </c>
      <c r="K818" s="2" t="str">
        <f>+CONCATENATE(BD[[#This Row],[Columna3]],BD[[#This Row],[Columna4]],BD[[#This Row],[NOMBRE COMPLETO]])</f>
        <v>E003_02_NINOSKA AMALIA MENDIETA GONZALEZ</v>
      </c>
      <c r="L818" s="2" t="s">
        <v>1097</v>
      </c>
      <c r="M818" s="2" t="s">
        <v>1753</v>
      </c>
      <c r="N818" s="2" t="s">
        <v>60</v>
      </c>
      <c r="O818" s="2" t="s">
        <v>14</v>
      </c>
      <c r="P818" s="2" t="s">
        <v>626</v>
      </c>
      <c r="Q818" s="2" t="s">
        <v>351</v>
      </c>
      <c r="R818" s="2">
        <v>30841</v>
      </c>
      <c r="S818" s="2">
        <v>30841</v>
      </c>
      <c r="T818" s="2" t="s">
        <v>1104</v>
      </c>
      <c r="U818" s="2" t="s">
        <v>1104</v>
      </c>
      <c r="V818" s="2" t="s">
        <v>1104</v>
      </c>
      <c r="W818" s="2" t="s">
        <v>1104</v>
      </c>
      <c r="X818" s="2" t="s">
        <v>5668</v>
      </c>
      <c r="Y818" s="2" t="s">
        <v>5669</v>
      </c>
      <c r="AA818" s="2" t="s">
        <v>5670</v>
      </c>
      <c r="AB818" s="2" t="s">
        <v>654</v>
      </c>
      <c r="AC818" s="2" t="s">
        <v>632</v>
      </c>
      <c r="AE818" s="2">
        <v>84822148</v>
      </c>
      <c r="AJ818" s="2">
        <v>84822148</v>
      </c>
      <c r="AK818" s="2">
        <v>2</v>
      </c>
      <c r="AL818" s="2" t="s">
        <v>633</v>
      </c>
      <c r="AM818" s="2">
        <v>0</v>
      </c>
      <c r="AN818" s="2">
        <v>0</v>
      </c>
      <c r="AO818" s="2">
        <v>1</v>
      </c>
      <c r="AP818" s="2">
        <v>0</v>
      </c>
      <c r="AQ818" s="2">
        <v>0</v>
      </c>
      <c r="AR818" s="2">
        <v>0</v>
      </c>
      <c r="AS818" s="2">
        <v>0</v>
      </c>
      <c r="AT818" s="2">
        <v>0</v>
      </c>
      <c r="BB818" s="2" t="str">
        <f>+PROPER(BD[[#This Row],[PRIMER_APELLIDO]])</f>
        <v>Mendieta</v>
      </c>
    </row>
    <row r="819" spans="1:54" x14ac:dyDescent="0.25">
      <c r="A819" s="2">
        <v>818</v>
      </c>
      <c r="B819" s="2">
        <v>35448</v>
      </c>
      <c r="C819" s="2" t="s">
        <v>619</v>
      </c>
      <c r="D819" s="2" t="s">
        <v>620</v>
      </c>
      <c r="E819" s="2" t="s">
        <v>5671</v>
      </c>
      <c r="F819" s="2">
        <v>22121947</v>
      </c>
      <c r="G819" s="3">
        <v>38.232876712328768</v>
      </c>
      <c r="H819" s="2" t="s">
        <v>622</v>
      </c>
      <c r="I819" s="2" t="s">
        <v>5672</v>
      </c>
      <c r="J819" s="2" t="str">
        <f>+IF(BD[[#This Row],[DEPARTAMENTO_INSS]]="MANAGUA","_01_","_02_")</f>
        <v>_01_</v>
      </c>
      <c r="K819" s="2" t="str">
        <f>+CONCATENATE(BD[[#This Row],[Columna3]],BD[[#This Row],[Columna4]],BD[[#This Row],[NOMBRE COMPLETO]])</f>
        <v>E003_01_TATIANA CISNEROS HERNANDEZ</v>
      </c>
      <c r="L819" s="2" t="s">
        <v>3023</v>
      </c>
      <c r="N819" s="2" t="s">
        <v>413</v>
      </c>
      <c r="O819" s="2" t="s">
        <v>11</v>
      </c>
      <c r="P819" s="2" t="s">
        <v>626</v>
      </c>
      <c r="Q819" s="2" t="s">
        <v>351</v>
      </c>
      <c r="R819" s="2">
        <v>30841</v>
      </c>
      <c r="S819" s="2">
        <v>30841</v>
      </c>
      <c r="T819" s="2" t="s">
        <v>627</v>
      </c>
      <c r="U819" s="2" t="s">
        <v>627</v>
      </c>
      <c r="V819" s="2" t="s">
        <v>627</v>
      </c>
      <c r="W819" s="2" t="s">
        <v>627</v>
      </c>
      <c r="X819" s="2" t="s">
        <v>5673</v>
      </c>
      <c r="Y819" s="2" t="s">
        <v>5674</v>
      </c>
      <c r="Z819" s="2">
        <v>88517570</v>
      </c>
      <c r="AA819" s="2" t="s">
        <v>5675</v>
      </c>
      <c r="AB819" s="2" t="s">
        <v>642</v>
      </c>
      <c r="AC819" s="2" t="s">
        <v>632</v>
      </c>
      <c r="AD819" s="2">
        <v>88517570</v>
      </c>
      <c r="AJ819" s="2">
        <v>88517570</v>
      </c>
      <c r="AK819" s="2">
        <v>3</v>
      </c>
      <c r="AL819" s="2" t="s">
        <v>633</v>
      </c>
      <c r="AM819" s="2">
        <v>0</v>
      </c>
      <c r="AN819" s="2">
        <v>0</v>
      </c>
      <c r="AO819" s="2">
        <v>1</v>
      </c>
      <c r="AP819" s="2">
        <v>0</v>
      </c>
      <c r="AQ819" s="2">
        <v>0</v>
      </c>
      <c r="AR819" s="2">
        <v>0</v>
      </c>
      <c r="AS819" s="2">
        <v>0</v>
      </c>
      <c r="AT819" s="2">
        <v>0</v>
      </c>
      <c r="AZ819" s="2" t="s">
        <v>5676</v>
      </c>
      <c r="BB819" s="2" t="str">
        <f>+PROPER(BD[[#This Row],[PRIMER_APELLIDO]])</f>
        <v>Cisneros</v>
      </c>
    </row>
    <row r="820" spans="1:54" x14ac:dyDescent="0.25">
      <c r="A820" s="2">
        <v>819</v>
      </c>
      <c r="B820" s="2">
        <v>35445</v>
      </c>
      <c r="C820" s="2" t="s">
        <v>619</v>
      </c>
      <c r="D820" s="2" t="s">
        <v>620</v>
      </c>
      <c r="E820" s="2" t="s">
        <v>5677</v>
      </c>
      <c r="F820" s="2">
        <v>21668599</v>
      </c>
      <c r="G820" s="3">
        <v>38.238356164383561</v>
      </c>
      <c r="H820" s="2" t="s">
        <v>622</v>
      </c>
      <c r="I820" s="2" t="s">
        <v>5678</v>
      </c>
      <c r="J820" s="2" t="str">
        <f>+IF(BD[[#This Row],[DEPARTAMENTO_INSS]]="MANAGUA","_01_","_02_")</f>
        <v>_02_</v>
      </c>
      <c r="K820" s="2" t="str">
        <f>+CONCATENATE(BD[[#This Row],[Columna3]],BD[[#This Row],[Columna4]],BD[[#This Row],[NOMBRE COMPLETO]])</f>
        <v>E003_02_KAREN LISBETH DUARTE TORREZ</v>
      </c>
      <c r="L820" s="2" t="s">
        <v>1162</v>
      </c>
      <c r="M820" s="2" t="s">
        <v>1359</v>
      </c>
      <c r="N820" s="2" t="s">
        <v>117</v>
      </c>
      <c r="O820" s="2" t="s">
        <v>158</v>
      </c>
      <c r="P820" s="2" t="s">
        <v>626</v>
      </c>
      <c r="Q820" s="2" t="s">
        <v>351</v>
      </c>
      <c r="R820" s="2">
        <v>30839</v>
      </c>
      <c r="S820" s="2">
        <v>30839</v>
      </c>
      <c r="T820" s="2" t="s">
        <v>176</v>
      </c>
      <c r="U820" s="2" t="s">
        <v>176</v>
      </c>
      <c r="V820" s="2" t="s">
        <v>650</v>
      </c>
      <c r="W820" s="2" t="s">
        <v>176</v>
      </c>
      <c r="X820" s="2" t="s">
        <v>5679</v>
      </c>
      <c r="Y820" s="2" t="s">
        <v>5680</v>
      </c>
      <c r="AA820" s="2" t="s">
        <v>5681</v>
      </c>
      <c r="AB820" s="2" t="s">
        <v>654</v>
      </c>
      <c r="AC820" s="2" t="s">
        <v>632</v>
      </c>
      <c r="AE820" s="2">
        <v>86583065</v>
      </c>
      <c r="AJ820" s="2">
        <v>86583065</v>
      </c>
      <c r="AK820" s="2">
        <v>2</v>
      </c>
      <c r="AL820" s="2" t="s">
        <v>633</v>
      </c>
      <c r="AM820" s="2">
        <v>0</v>
      </c>
      <c r="AN820" s="2">
        <v>0</v>
      </c>
      <c r="AO820" s="2">
        <v>1</v>
      </c>
      <c r="AP820" s="2">
        <v>0</v>
      </c>
      <c r="AQ820" s="2">
        <v>0</v>
      </c>
      <c r="AR820" s="2">
        <v>0</v>
      </c>
      <c r="AS820" s="2">
        <v>0</v>
      </c>
      <c r="AT820" s="2">
        <v>0</v>
      </c>
      <c r="BB820" s="2" t="str">
        <f>+PROPER(BD[[#This Row],[PRIMER_APELLIDO]])</f>
        <v>Duarte</v>
      </c>
    </row>
    <row r="821" spans="1:54" x14ac:dyDescent="0.25">
      <c r="A821" s="2">
        <v>820</v>
      </c>
      <c r="B821" s="2">
        <v>49161</v>
      </c>
      <c r="C821" s="2" t="s">
        <v>619</v>
      </c>
      <c r="D821" s="2" t="s">
        <v>620</v>
      </c>
      <c r="E821" s="2" t="s">
        <v>5682</v>
      </c>
      <c r="F821" s="2">
        <v>16289251</v>
      </c>
      <c r="G821" s="3">
        <v>38.238356164383561</v>
      </c>
      <c r="H821" s="2" t="s">
        <v>622</v>
      </c>
      <c r="I821" s="2" t="s">
        <v>5683</v>
      </c>
      <c r="J821" s="2" t="str">
        <f>+IF(BD[[#This Row],[DEPARTAMENTO_INSS]]="MANAGUA","_01_","_02_")</f>
        <v>_02_</v>
      </c>
      <c r="K821" s="2" t="str">
        <f>+CONCATENATE(BD[[#This Row],[Columna3]],BD[[#This Row],[Columna4]],BD[[#This Row],[NOMBRE COMPLETO]])</f>
        <v>E003_02_JENNIFER YAHOSKA RUIZ CISNADO</v>
      </c>
      <c r="L821" s="2" t="s">
        <v>2961</v>
      </c>
      <c r="M821" s="2" t="s">
        <v>2379</v>
      </c>
      <c r="N821" s="2" t="s">
        <v>84</v>
      </c>
      <c r="O821" s="2" t="s">
        <v>5684</v>
      </c>
      <c r="P821" s="2" t="s">
        <v>626</v>
      </c>
      <c r="Q821" s="2" t="s">
        <v>351</v>
      </c>
      <c r="R821" s="2">
        <v>30839</v>
      </c>
      <c r="S821" s="2">
        <v>30839</v>
      </c>
      <c r="T821" s="2" t="s">
        <v>732</v>
      </c>
      <c r="U821" s="2" t="s">
        <v>732</v>
      </c>
      <c r="V821" s="2" t="s">
        <v>962</v>
      </c>
      <c r="W821" s="2" t="s">
        <v>848</v>
      </c>
      <c r="X821" s="2" t="s">
        <v>5685</v>
      </c>
      <c r="Y821" s="2" t="s">
        <v>5686</v>
      </c>
      <c r="AA821" s="2">
        <v>89582002</v>
      </c>
      <c r="AB821" s="2" t="s">
        <v>642</v>
      </c>
      <c r="AC821" s="2" t="s">
        <v>632</v>
      </c>
      <c r="AD821" s="2">
        <v>89582002</v>
      </c>
      <c r="AJ821" s="2">
        <v>89582002</v>
      </c>
      <c r="AK821" s="2">
        <v>1</v>
      </c>
      <c r="AL821" s="2" t="s">
        <v>633</v>
      </c>
      <c r="AM821" s="2">
        <v>0</v>
      </c>
      <c r="AN821" s="2">
        <v>0</v>
      </c>
      <c r="AO821" s="2">
        <v>1</v>
      </c>
      <c r="AP821" s="2">
        <v>0</v>
      </c>
      <c r="AQ821" s="2">
        <v>0</v>
      </c>
      <c r="AR821" s="2">
        <v>0</v>
      </c>
      <c r="AS821" s="2">
        <v>0</v>
      </c>
      <c r="AT821" s="2">
        <v>0</v>
      </c>
      <c r="BB821" s="2" t="str">
        <f>+PROPER(BD[[#This Row],[PRIMER_APELLIDO]])</f>
        <v>Ruiz</v>
      </c>
    </row>
    <row r="822" spans="1:54" x14ac:dyDescent="0.25">
      <c r="A822" s="2">
        <v>821</v>
      </c>
      <c r="B822" s="2">
        <v>36737</v>
      </c>
      <c r="C822" s="2" t="s">
        <v>619</v>
      </c>
      <c r="D822" s="2" t="s">
        <v>620</v>
      </c>
      <c r="E822" s="2" t="s">
        <v>5687</v>
      </c>
      <c r="F822" s="2">
        <v>22087629</v>
      </c>
      <c r="G822" s="3">
        <v>38.241095890410961</v>
      </c>
      <c r="H822" s="2" t="s">
        <v>622</v>
      </c>
      <c r="I822" s="2" t="s">
        <v>5688</v>
      </c>
      <c r="J822" s="2" t="str">
        <f>+IF(BD[[#This Row],[DEPARTAMENTO_INSS]]="MANAGUA","_01_","_02_")</f>
        <v>_02_</v>
      </c>
      <c r="K822" s="2" t="str">
        <f>+CONCATENATE(BD[[#This Row],[Columna3]],BD[[#This Row],[Columna4]],BD[[#This Row],[NOMBRE COMPLETO]])</f>
        <v>E003_02_JESSICA RAQUEL MOLINA PEÑA</v>
      </c>
      <c r="L822" s="2" t="s">
        <v>1490</v>
      </c>
      <c r="M822" s="2" t="s">
        <v>2545</v>
      </c>
      <c r="N822" s="2" t="s">
        <v>63</v>
      </c>
      <c r="O822" s="2" t="s">
        <v>534</v>
      </c>
      <c r="P822" s="2" t="s">
        <v>626</v>
      </c>
      <c r="Q822" s="2" t="s">
        <v>351</v>
      </c>
      <c r="R822" s="2">
        <v>30838</v>
      </c>
      <c r="S822" s="2">
        <v>30838</v>
      </c>
      <c r="T822" s="2" t="s">
        <v>705</v>
      </c>
      <c r="U822" s="2" t="s">
        <v>705</v>
      </c>
      <c r="V822" s="2" t="s">
        <v>1014</v>
      </c>
      <c r="W822" s="2" t="s">
        <v>1014</v>
      </c>
      <c r="X822" s="2" t="s">
        <v>5689</v>
      </c>
      <c r="Y822" s="2" t="s">
        <v>5690</v>
      </c>
      <c r="AA822" s="2" t="s">
        <v>5691</v>
      </c>
      <c r="AB822" s="2" t="s">
        <v>654</v>
      </c>
      <c r="AC822" s="2" t="s">
        <v>632</v>
      </c>
      <c r="AD822" s="2">
        <v>88151799</v>
      </c>
      <c r="AE822" s="2">
        <v>89460905</v>
      </c>
      <c r="AJ822" s="2">
        <v>88151799</v>
      </c>
      <c r="AK822" s="2">
        <v>2</v>
      </c>
      <c r="AL822" s="2" t="s">
        <v>633</v>
      </c>
      <c r="AM822" s="2">
        <v>0</v>
      </c>
      <c r="AN822" s="2">
        <v>0</v>
      </c>
      <c r="AO822" s="2">
        <v>1</v>
      </c>
      <c r="AP822" s="2">
        <v>0</v>
      </c>
      <c r="AQ822" s="2">
        <v>0</v>
      </c>
      <c r="AR822" s="2">
        <v>0</v>
      </c>
      <c r="AS822" s="2">
        <v>0</v>
      </c>
      <c r="AT822" s="2">
        <v>0</v>
      </c>
      <c r="BB822" s="2" t="str">
        <f>+PROPER(BD[[#This Row],[PRIMER_APELLIDO]])</f>
        <v>Molina</v>
      </c>
    </row>
    <row r="823" spans="1:54" x14ac:dyDescent="0.25">
      <c r="A823" s="2">
        <v>822</v>
      </c>
      <c r="B823" s="2">
        <v>40193</v>
      </c>
      <c r="C823" s="2" t="s">
        <v>619</v>
      </c>
      <c r="D823" s="2" t="s">
        <v>2293</v>
      </c>
      <c r="E823" s="2">
        <v>220220130032</v>
      </c>
      <c r="G823" s="3">
        <v>38.241095890410961</v>
      </c>
      <c r="H823" s="2" t="s">
        <v>622</v>
      </c>
      <c r="I823" s="2" t="s">
        <v>5692</v>
      </c>
      <c r="J823" s="2" t="str">
        <f>+IF(BD[[#This Row],[DEPARTAMENTO_INSS]]="MANAGUA","_01_","_02_")</f>
        <v>_02_</v>
      </c>
      <c r="K823" s="2" t="str">
        <f>+CONCATENATE(BD[[#This Row],[Columna3]],BD[[#This Row],[Columna4]],BD[[#This Row],[NOMBRE COMPLETO]])</f>
        <v>E003_02_TRANSITO ESMERALDA RIVERA ALVARENGA</v>
      </c>
      <c r="L823" s="2" t="s">
        <v>5693</v>
      </c>
      <c r="M823" s="2" t="s">
        <v>1177</v>
      </c>
      <c r="N823" s="2" t="s">
        <v>198</v>
      </c>
      <c r="O823" s="2" t="s">
        <v>5694</v>
      </c>
      <c r="P823" s="2" t="s">
        <v>626</v>
      </c>
      <c r="Q823" s="2" t="s">
        <v>5695</v>
      </c>
      <c r="R823" s="2">
        <v>30838</v>
      </c>
      <c r="T823" s="2" t="s">
        <v>732</v>
      </c>
      <c r="V823" s="2" t="s">
        <v>732</v>
      </c>
      <c r="X823" s="2" t="s">
        <v>5696</v>
      </c>
      <c r="Z823" s="2">
        <v>85494815</v>
      </c>
      <c r="AB823" s="2" t="s">
        <v>631</v>
      </c>
      <c r="AC823" s="2" t="s">
        <v>632</v>
      </c>
      <c r="AD823" s="2">
        <v>85494815</v>
      </c>
      <c r="AJ823" s="2">
        <v>85494815</v>
      </c>
      <c r="AK823" s="2">
        <v>1</v>
      </c>
      <c r="AL823" s="2" t="s">
        <v>633</v>
      </c>
      <c r="AM823" s="2">
        <v>0</v>
      </c>
      <c r="AN823" s="2">
        <v>0</v>
      </c>
      <c r="AO823" s="2">
        <v>1</v>
      </c>
      <c r="AP823" s="2">
        <v>0</v>
      </c>
      <c r="AQ823" s="2">
        <v>0</v>
      </c>
      <c r="AR823" s="2">
        <v>0</v>
      </c>
      <c r="AS823" s="2">
        <v>0</v>
      </c>
      <c r="AT823" s="2">
        <v>0</v>
      </c>
      <c r="BB823" s="2" t="str">
        <f>+PROPER(BD[[#This Row],[PRIMER_APELLIDO]])</f>
        <v>Rivera</v>
      </c>
    </row>
    <row r="824" spans="1:54" x14ac:dyDescent="0.25">
      <c r="A824" s="2">
        <v>823</v>
      </c>
      <c r="B824" s="2">
        <v>73021</v>
      </c>
      <c r="C824" s="2" t="s">
        <v>619</v>
      </c>
      <c r="D824" s="2" t="s">
        <v>620</v>
      </c>
      <c r="E824" s="2" t="s">
        <v>5697</v>
      </c>
      <c r="G824" s="3">
        <v>38.246575342465754</v>
      </c>
      <c r="H824" s="2" t="s">
        <v>622</v>
      </c>
      <c r="I824" s="2" t="s">
        <v>5698</v>
      </c>
      <c r="J824" s="2" t="str">
        <f>+IF(BD[[#This Row],[DEPARTAMENTO_INSS]]="MANAGUA","_01_","_02_")</f>
        <v>_02_</v>
      </c>
      <c r="K824" s="2" t="str">
        <f>+CONCATENATE(BD[[#This Row],[Columna3]],BD[[#This Row],[Columna4]],BD[[#This Row],[NOMBRE COMPLETO]])</f>
        <v>E003_02_YASSER ANTONIO MIRANDA</v>
      </c>
      <c r="L824" s="2" t="s">
        <v>3610</v>
      </c>
      <c r="M824" s="2" t="s">
        <v>904</v>
      </c>
      <c r="N824" s="2" t="s">
        <v>56</v>
      </c>
      <c r="P824" s="2" t="s">
        <v>649</v>
      </c>
      <c r="Q824" s="2" t="s">
        <v>351</v>
      </c>
      <c r="R824" s="2">
        <v>30836</v>
      </c>
      <c r="S824" s="2">
        <v>30836</v>
      </c>
      <c r="T824" s="2" t="s">
        <v>929</v>
      </c>
      <c r="U824" s="2" t="s">
        <v>929</v>
      </c>
      <c r="V824" s="2" t="s">
        <v>1653</v>
      </c>
      <c r="W824" s="2" t="s">
        <v>1653</v>
      </c>
      <c r="X824" s="2" t="s">
        <v>5699</v>
      </c>
      <c r="Y824" s="2" t="s">
        <v>5700</v>
      </c>
      <c r="Z824" s="2">
        <v>76008600</v>
      </c>
      <c r="AA824" s="2" t="s">
        <v>5701</v>
      </c>
      <c r="AB824" s="2" t="s">
        <v>654</v>
      </c>
      <c r="AC824" s="2" t="s">
        <v>632</v>
      </c>
      <c r="AD824" s="2">
        <v>76008600</v>
      </c>
      <c r="AE824" s="2">
        <v>88298738</v>
      </c>
      <c r="AJ824" s="2">
        <v>76008600</v>
      </c>
      <c r="AK824" s="2">
        <v>3</v>
      </c>
      <c r="AL824" s="2" t="s">
        <v>633</v>
      </c>
      <c r="AM824" s="2">
        <v>0</v>
      </c>
      <c r="AN824" s="2">
        <v>0</v>
      </c>
      <c r="AO824" s="2">
        <v>1</v>
      </c>
      <c r="AP824" s="2">
        <v>0</v>
      </c>
      <c r="AQ824" s="2">
        <v>0</v>
      </c>
      <c r="AR824" s="2">
        <v>0</v>
      </c>
      <c r="AS824" s="2">
        <v>0</v>
      </c>
      <c r="AT824" s="2">
        <v>0</v>
      </c>
      <c r="AZ824" s="2" t="s">
        <v>5702</v>
      </c>
      <c r="BB824" s="2" t="str">
        <f>+PROPER(BD[[#This Row],[PRIMER_APELLIDO]])</f>
        <v>Miranda</v>
      </c>
    </row>
    <row r="825" spans="1:54" x14ac:dyDescent="0.25">
      <c r="A825" s="2">
        <v>824</v>
      </c>
      <c r="B825" s="2">
        <v>39582</v>
      </c>
      <c r="C825" s="2" t="s">
        <v>619</v>
      </c>
      <c r="D825" s="2" t="s">
        <v>620</v>
      </c>
      <c r="E825" s="2" t="s">
        <v>5703</v>
      </c>
      <c r="F825" s="2">
        <v>24568908</v>
      </c>
      <c r="G825" s="3">
        <v>38.249315068493154</v>
      </c>
      <c r="H825" s="2" t="s">
        <v>622</v>
      </c>
      <c r="I825" s="2" t="s">
        <v>5704</v>
      </c>
      <c r="J825" s="2" t="str">
        <f>+IF(BD[[#This Row],[DEPARTAMENTO_INSS]]="MANAGUA","_01_","_02_")</f>
        <v>_02_</v>
      </c>
      <c r="K825" s="2" t="str">
        <f>+CONCATENATE(BD[[#This Row],[Columna3]],BD[[#This Row],[Columna4]],BD[[#This Row],[NOMBRE COMPLETO]])</f>
        <v>E003_02_FLOR DE MARIA RAMOS MANZANARES</v>
      </c>
      <c r="L825" s="2" t="s">
        <v>1517</v>
      </c>
      <c r="M825" s="2" t="s">
        <v>1518</v>
      </c>
      <c r="N825" s="2" t="s">
        <v>247</v>
      </c>
      <c r="O825" s="2" t="s">
        <v>5705</v>
      </c>
      <c r="P825" s="2" t="s">
        <v>626</v>
      </c>
      <c r="Q825" s="2" t="s">
        <v>351</v>
      </c>
      <c r="R825" s="2">
        <v>30835</v>
      </c>
      <c r="S825" s="2">
        <v>30835</v>
      </c>
      <c r="T825" s="2" t="s">
        <v>176</v>
      </c>
      <c r="U825" s="2" t="s">
        <v>176</v>
      </c>
      <c r="V825" s="2" t="s">
        <v>650</v>
      </c>
      <c r="W825" s="2" t="s">
        <v>176</v>
      </c>
      <c r="X825" s="2" t="s">
        <v>5706</v>
      </c>
      <c r="Y825" s="2" t="s">
        <v>5707</v>
      </c>
      <c r="Z825" s="2">
        <v>89406968</v>
      </c>
      <c r="AB825" s="2" t="s">
        <v>654</v>
      </c>
      <c r="AC825" s="2" t="s">
        <v>632</v>
      </c>
      <c r="AD825" s="2">
        <v>89406968</v>
      </c>
      <c r="AJ825" s="2">
        <v>89406968</v>
      </c>
      <c r="AK825" s="2">
        <v>1</v>
      </c>
      <c r="AL825" s="2" t="s">
        <v>633</v>
      </c>
      <c r="AM825" s="2">
        <v>0</v>
      </c>
      <c r="AN825" s="2">
        <v>0</v>
      </c>
      <c r="AO825" s="2">
        <v>1</v>
      </c>
      <c r="AP825" s="2">
        <v>0</v>
      </c>
      <c r="AQ825" s="2">
        <v>0</v>
      </c>
      <c r="AR825" s="2">
        <v>0</v>
      </c>
      <c r="AS825" s="2">
        <v>0</v>
      </c>
      <c r="AT825" s="2">
        <v>0</v>
      </c>
      <c r="AZ825" s="2" t="s">
        <v>5708</v>
      </c>
      <c r="BB825" s="2" t="str">
        <f>+PROPER(BD[[#This Row],[PRIMER_APELLIDO]])</f>
        <v>Ramos</v>
      </c>
    </row>
    <row r="826" spans="1:54" x14ac:dyDescent="0.25">
      <c r="A826" s="2">
        <v>825</v>
      </c>
      <c r="B826" s="2">
        <v>20347</v>
      </c>
      <c r="C826" s="2" t="s">
        <v>619</v>
      </c>
      <c r="D826" s="2" t="s">
        <v>5709</v>
      </c>
      <c r="E826" s="2">
        <v>20347</v>
      </c>
      <c r="G826" s="3">
        <v>38.257534246575339</v>
      </c>
      <c r="H826" s="2" t="s">
        <v>622</v>
      </c>
      <c r="I826" s="2" t="s">
        <v>5710</v>
      </c>
      <c r="J826" s="2" t="str">
        <f>+IF(BD[[#This Row],[DEPARTAMENTO_INSS]]="MANAGUA","_01_","_02_")</f>
        <v>_02_</v>
      </c>
      <c r="K826" s="2" t="str">
        <f>+CONCATENATE(BD[[#This Row],[Columna3]],BD[[#This Row],[Columna4]],BD[[#This Row],[NOMBRE COMPLETO]])</f>
        <v>E003_02_LEVYS YANIL ESPINOZA GUTIERREZ</v>
      </c>
      <c r="L826" s="2" t="s">
        <v>5711</v>
      </c>
      <c r="M826" s="2" t="s">
        <v>5712</v>
      </c>
      <c r="N826" s="2" t="s">
        <v>235</v>
      </c>
      <c r="O826" s="2" t="s">
        <v>171</v>
      </c>
      <c r="P826" s="2" t="s">
        <v>649</v>
      </c>
      <c r="Q826" s="2" t="s">
        <v>351</v>
      </c>
      <c r="R826" s="2">
        <v>30832</v>
      </c>
      <c r="T826" s="2" t="s">
        <v>627</v>
      </c>
      <c r="V826" s="2" t="s">
        <v>627</v>
      </c>
      <c r="X826" s="2" t="s">
        <v>5713</v>
      </c>
      <c r="Z826" s="2">
        <v>81004316</v>
      </c>
      <c r="AB826" s="2" t="s">
        <v>654</v>
      </c>
      <c r="AC826" s="2" t="s">
        <v>632</v>
      </c>
      <c r="AD826" s="2">
        <v>81004316</v>
      </c>
      <c r="AJ826" s="2">
        <v>81004316</v>
      </c>
      <c r="AK826" s="2">
        <v>1</v>
      </c>
      <c r="AL826" s="2" t="s">
        <v>633</v>
      </c>
      <c r="AM826" s="2">
        <v>0</v>
      </c>
      <c r="AN826" s="2">
        <v>0</v>
      </c>
      <c r="AO826" s="2">
        <v>1</v>
      </c>
      <c r="AP826" s="2">
        <v>0</v>
      </c>
      <c r="AQ826" s="2">
        <v>0</v>
      </c>
      <c r="AR826" s="2">
        <v>0</v>
      </c>
      <c r="AS826" s="2">
        <v>0</v>
      </c>
      <c r="AT826" s="2">
        <v>0</v>
      </c>
      <c r="BB826" s="2" t="str">
        <f>+PROPER(BD[[#This Row],[PRIMER_APELLIDO]])</f>
        <v>Espinoza</v>
      </c>
    </row>
    <row r="827" spans="1:54" x14ac:dyDescent="0.25">
      <c r="A827" s="2">
        <v>826</v>
      </c>
      <c r="B827" s="2">
        <v>43253</v>
      </c>
      <c r="C827" s="2" t="s">
        <v>619</v>
      </c>
      <c r="D827" s="2" t="s">
        <v>620</v>
      </c>
      <c r="E827" s="2" t="s">
        <v>5714</v>
      </c>
      <c r="F827" s="2">
        <v>19664659</v>
      </c>
      <c r="G827" s="3">
        <v>38.260273972602739</v>
      </c>
      <c r="H827" s="2" t="s">
        <v>622</v>
      </c>
      <c r="I827" s="2" t="s">
        <v>5715</v>
      </c>
      <c r="J827" s="2" t="str">
        <f>+IF(BD[[#This Row],[DEPARTAMENTO_INSS]]="MANAGUA","_01_","_02_")</f>
        <v>_02_</v>
      </c>
      <c r="K827" s="2" t="str">
        <f>+CONCATENATE(BD[[#This Row],[Columna3]],BD[[#This Row],[Columna4]],BD[[#This Row],[NOMBRE COMPLETO]])</f>
        <v>E003_02_JOSE ANTONIO DIAZ OJEDA</v>
      </c>
      <c r="L827" s="2" t="s">
        <v>243</v>
      </c>
      <c r="M827" s="2" t="s">
        <v>904</v>
      </c>
      <c r="N827" s="2" t="s">
        <v>91</v>
      </c>
      <c r="O827" s="2" t="s">
        <v>5387</v>
      </c>
      <c r="P827" s="2" t="s">
        <v>649</v>
      </c>
      <c r="Q827" s="2" t="s">
        <v>351</v>
      </c>
      <c r="R827" s="2">
        <v>30831</v>
      </c>
      <c r="S827" s="2">
        <v>30831</v>
      </c>
      <c r="T827" s="2" t="s">
        <v>669</v>
      </c>
      <c r="U827" s="2" t="s">
        <v>669</v>
      </c>
      <c r="V827" s="2" t="s">
        <v>670</v>
      </c>
      <c r="W827" s="2" t="s">
        <v>670</v>
      </c>
      <c r="X827" s="2" t="s">
        <v>5716</v>
      </c>
      <c r="Y827" s="2" t="s">
        <v>5717</v>
      </c>
      <c r="Z827" s="2">
        <v>58035756</v>
      </c>
      <c r="AA827" s="2">
        <v>86778969</v>
      </c>
      <c r="AB827" s="2" t="s">
        <v>654</v>
      </c>
      <c r="AC827" s="2" t="s">
        <v>632</v>
      </c>
      <c r="AD827" s="2">
        <v>58035756</v>
      </c>
      <c r="AE827" s="2">
        <v>86778969</v>
      </c>
      <c r="AJ827" s="2">
        <v>58035756</v>
      </c>
      <c r="AK827" s="2">
        <v>2</v>
      </c>
      <c r="AL827" s="2" t="s">
        <v>633</v>
      </c>
      <c r="AM827" s="2">
        <v>0</v>
      </c>
      <c r="AN827" s="2">
        <v>0</v>
      </c>
      <c r="AO827" s="2">
        <v>1</v>
      </c>
      <c r="AP827" s="2">
        <v>0</v>
      </c>
      <c r="AQ827" s="2">
        <v>0</v>
      </c>
      <c r="AR827" s="2">
        <v>0</v>
      </c>
      <c r="AS827" s="2">
        <v>0</v>
      </c>
      <c r="AT827" s="2">
        <v>0</v>
      </c>
      <c r="AZ827" s="2" t="s">
        <v>5718</v>
      </c>
      <c r="BB827" s="2" t="str">
        <f>+PROPER(BD[[#This Row],[PRIMER_APELLIDO]])</f>
        <v>Diaz</v>
      </c>
    </row>
    <row r="828" spans="1:54" x14ac:dyDescent="0.25">
      <c r="A828" s="2">
        <v>827</v>
      </c>
      <c r="B828" s="2">
        <v>41854</v>
      </c>
      <c r="C828" s="2" t="s">
        <v>619</v>
      </c>
      <c r="D828" s="2" t="s">
        <v>620</v>
      </c>
      <c r="E828" s="2" t="s">
        <v>5719</v>
      </c>
      <c r="F828" s="2">
        <v>16978180</v>
      </c>
      <c r="G828" s="3">
        <v>38.265753424657532</v>
      </c>
      <c r="H828" s="2" t="s">
        <v>622</v>
      </c>
      <c r="I828" s="2" t="s">
        <v>5720</v>
      </c>
      <c r="J828" s="2" t="str">
        <f>+IF(BD[[#This Row],[DEPARTAMENTO_INSS]]="MANAGUA","_01_","_02_")</f>
        <v>_02_</v>
      </c>
      <c r="K828" s="2" t="str">
        <f>+CONCATENATE(BD[[#This Row],[Columna3]],BD[[#This Row],[Columna4]],BD[[#This Row],[NOMBRE COMPLETO]])</f>
        <v>E003_02_JAIME DANIEL OLLA OSEJO</v>
      </c>
      <c r="L828" s="2" t="s">
        <v>242</v>
      </c>
      <c r="M828" s="2" t="s">
        <v>2175</v>
      </c>
      <c r="N828" s="2" t="s">
        <v>208</v>
      </c>
      <c r="O828" s="2" t="s">
        <v>5721</v>
      </c>
      <c r="P828" s="2" t="s">
        <v>649</v>
      </c>
      <c r="Q828" s="2" t="s">
        <v>351</v>
      </c>
      <c r="R828" s="2">
        <v>30829</v>
      </c>
      <c r="S828" s="2">
        <v>30829</v>
      </c>
      <c r="T828" s="2" t="s">
        <v>1104</v>
      </c>
      <c r="U828" s="2" t="s">
        <v>1104</v>
      </c>
      <c r="V828" s="2" t="s">
        <v>1738</v>
      </c>
      <c r="W828" s="2" t="s">
        <v>1739</v>
      </c>
      <c r="X828" s="2" t="s">
        <v>5722</v>
      </c>
      <c r="Y828" s="2" t="s">
        <v>5723</v>
      </c>
      <c r="Z828" s="2" t="s">
        <v>5724</v>
      </c>
      <c r="AA828" s="2">
        <v>27754879</v>
      </c>
      <c r="AB828" s="2" t="s">
        <v>5725</v>
      </c>
      <c r="AC828" s="2" t="s">
        <v>632</v>
      </c>
      <c r="AD828" s="2">
        <v>75273422</v>
      </c>
      <c r="AE828" s="2">
        <v>82576555</v>
      </c>
      <c r="AJ828" s="2">
        <v>75273422</v>
      </c>
      <c r="AK828" s="2">
        <v>3</v>
      </c>
      <c r="AL828" s="2" t="s">
        <v>633</v>
      </c>
      <c r="AM828" s="2">
        <v>0</v>
      </c>
      <c r="AN828" s="2">
        <v>0</v>
      </c>
      <c r="AO828" s="2">
        <v>1</v>
      </c>
      <c r="AP828" s="2">
        <v>0</v>
      </c>
      <c r="AQ828" s="2">
        <v>0</v>
      </c>
      <c r="AR828" s="2">
        <v>0</v>
      </c>
      <c r="AS828" s="2">
        <v>0</v>
      </c>
      <c r="AT828" s="2">
        <v>0</v>
      </c>
      <c r="AZ828" s="2" t="s">
        <v>5726</v>
      </c>
      <c r="BB828" s="2" t="str">
        <f>+PROPER(BD[[#This Row],[PRIMER_APELLIDO]])</f>
        <v>Olla</v>
      </c>
    </row>
    <row r="829" spans="1:54" x14ac:dyDescent="0.25">
      <c r="A829" s="2">
        <v>828</v>
      </c>
      <c r="B829" s="2">
        <v>36169</v>
      </c>
      <c r="C829" s="2" t="s">
        <v>619</v>
      </c>
      <c r="D829" s="2" t="s">
        <v>620</v>
      </c>
      <c r="E829" s="2" t="s">
        <v>5727</v>
      </c>
      <c r="F829" s="2">
        <v>22155780</v>
      </c>
      <c r="G829" s="3">
        <v>38.265753424657532</v>
      </c>
      <c r="H829" s="2" t="s">
        <v>622</v>
      </c>
      <c r="I829" s="2" t="s">
        <v>5728</v>
      </c>
      <c r="J829" s="2" t="str">
        <f>+IF(BD[[#This Row],[DEPARTAMENTO_INSS]]="MANAGUA","_01_","_02_")</f>
        <v>_02_</v>
      </c>
      <c r="K829" s="2" t="str">
        <f>+CONCATENATE(BD[[#This Row],[Columna3]],BD[[#This Row],[Columna4]],BD[[#This Row],[NOMBRE COMPLETO]])</f>
        <v>E003_02_YESENIA DEL CARMEN RUIZ BALMACEDA</v>
      </c>
      <c r="L829" s="2" t="s">
        <v>4975</v>
      </c>
      <c r="M829" s="2" t="s">
        <v>961</v>
      </c>
      <c r="N829" s="2" t="s">
        <v>84</v>
      </c>
      <c r="O829" s="2" t="s">
        <v>234</v>
      </c>
      <c r="P829" s="2" t="s">
        <v>626</v>
      </c>
      <c r="Q829" s="2" t="s">
        <v>351</v>
      </c>
      <c r="R829" s="2">
        <v>30829</v>
      </c>
      <c r="S829" s="2">
        <v>30829</v>
      </c>
      <c r="T829" s="2" t="s">
        <v>176</v>
      </c>
      <c r="U829" s="2" t="s">
        <v>176</v>
      </c>
      <c r="V829" s="2" t="s">
        <v>650</v>
      </c>
      <c r="W829" s="2" t="s">
        <v>176</v>
      </c>
      <c r="X829" s="2" t="s">
        <v>5729</v>
      </c>
      <c r="Y829" s="2" t="s">
        <v>5730</v>
      </c>
      <c r="AA829" s="2">
        <v>89104104</v>
      </c>
      <c r="AB829" s="2" t="s">
        <v>654</v>
      </c>
      <c r="AC829" s="2" t="s">
        <v>632</v>
      </c>
      <c r="AD829" s="2">
        <v>89104104</v>
      </c>
      <c r="AJ829" s="2">
        <v>89104104</v>
      </c>
      <c r="AK829" s="2">
        <v>1</v>
      </c>
      <c r="AL829" s="2" t="s">
        <v>633</v>
      </c>
      <c r="AM829" s="2">
        <v>0</v>
      </c>
      <c r="AN829" s="2">
        <v>0</v>
      </c>
      <c r="AO829" s="2">
        <v>1</v>
      </c>
      <c r="AP829" s="2">
        <v>0</v>
      </c>
      <c r="AQ829" s="2">
        <v>0</v>
      </c>
      <c r="AR829" s="2">
        <v>0</v>
      </c>
      <c r="AS829" s="2">
        <v>0</v>
      </c>
      <c r="AT829" s="2">
        <v>0</v>
      </c>
      <c r="BB829" s="2" t="str">
        <f>+PROPER(BD[[#This Row],[PRIMER_APELLIDO]])</f>
        <v>Ruiz</v>
      </c>
    </row>
    <row r="830" spans="1:54" x14ac:dyDescent="0.25">
      <c r="A830" s="2">
        <v>829</v>
      </c>
      <c r="B830" s="2">
        <v>66537</v>
      </c>
      <c r="C830" s="2" t="s">
        <v>619</v>
      </c>
      <c r="D830" s="2" t="s">
        <v>620</v>
      </c>
      <c r="E830" s="2" t="s">
        <v>5731</v>
      </c>
      <c r="G830" s="3">
        <v>38.265753424657532</v>
      </c>
      <c r="H830" s="2" t="s">
        <v>622</v>
      </c>
      <c r="I830" s="2" t="s">
        <v>5732</v>
      </c>
      <c r="J830" s="2" t="str">
        <f>+IF(BD[[#This Row],[DEPARTAMENTO_INSS]]="MANAGUA","_01_","_02_")</f>
        <v>_02_</v>
      </c>
      <c r="K830" s="2" t="str">
        <f>+CONCATENATE(BD[[#This Row],[Columna3]],BD[[#This Row],[Columna4]],BD[[#This Row],[NOMBRE COMPLETO]])</f>
        <v>E003_02_JAVIER SANCHEZ</v>
      </c>
      <c r="L830" s="2" t="s">
        <v>975</v>
      </c>
      <c r="N830" s="2" t="s">
        <v>90</v>
      </c>
      <c r="P830" s="2" t="s">
        <v>649</v>
      </c>
      <c r="Q830" s="2" t="s">
        <v>351</v>
      </c>
      <c r="R830" s="2">
        <v>30829</v>
      </c>
      <c r="S830" s="2">
        <v>30829</v>
      </c>
      <c r="T830" s="2" t="s">
        <v>1104</v>
      </c>
      <c r="U830" s="2" t="s">
        <v>1104</v>
      </c>
      <c r="V830" s="2" t="s">
        <v>1104</v>
      </c>
      <c r="W830" s="2" t="s">
        <v>1104</v>
      </c>
      <c r="X830" s="2" t="s">
        <v>5733</v>
      </c>
      <c r="Y830" s="2" t="s">
        <v>5734</v>
      </c>
      <c r="Z830" s="2">
        <v>82734821</v>
      </c>
      <c r="AA830" s="2">
        <v>82734821</v>
      </c>
      <c r="AB830" s="2" t="s">
        <v>798</v>
      </c>
      <c r="AC830" s="2" t="s">
        <v>632</v>
      </c>
      <c r="AD830" s="2">
        <v>82734821</v>
      </c>
      <c r="AJ830" s="2">
        <v>82734821</v>
      </c>
      <c r="AK830" s="2">
        <v>2</v>
      </c>
      <c r="AL830" s="2" t="s">
        <v>633</v>
      </c>
      <c r="AM830" s="2">
        <v>0</v>
      </c>
      <c r="AN830" s="2">
        <v>0</v>
      </c>
      <c r="AO830" s="2">
        <v>1</v>
      </c>
      <c r="AP830" s="2">
        <v>0</v>
      </c>
      <c r="AQ830" s="2">
        <v>0</v>
      </c>
      <c r="AR830" s="2">
        <v>0</v>
      </c>
      <c r="AS830" s="2">
        <v>0</v>
      </c>
      <c r="AT830" s="2">
        <v>0</v>
      </c>
      <c r="AZ830" s="2" t="s">
        <v>5735</v>
      </c>
      <c r="BB830" s="2" t="str">
        <f>+PROPER(BD[[#This Row],[PRIMER_APELLIDO]])</f>
        <v>Sanchez</v>
      </c>
    </row>
    <row r="831" spans="1:54" x14ac:dyDescent="0.25">
      <c r="A831" s="2">
        <v>830</v>
      </c>
      <c r="B831" s="2">
        <v>47152</v>
      </c>
      <c r="C831" s="2" t="s">
        <v>619</v>
      </c>
      <c r="D831" s="2" t="s">
        <v>620</v>
      </c>
      <c r="E831" s="2" t="s">
        <v>5736</v>
      </c>
      <c r="F831" s="2">
        <v>17242673</v>
      </c>
      <c r="G831" s="3">
        <v>38.271232876712325</v>
      </c>
      <c r="H831" s="2" t="s">
        <v>622</v>
      </c>
      <c r="I831" s="2" t="s">
        <v>5737</v>
      </c>
      <c r="J831" s="2" t="str">
        <f>+IF(BD[[#This Row],[DEPARTAMENTO_INSS]]="MANAGUA","_01_","_02_")</f>
        <v>_02_</v>
      </c>
      <c r="K831" s="2" t="str">
        <f>+CONCATENATE(BD[[#This Row],[Columna3]],BD[[#This Row],[Columna4]],BD[[#This Row],[NOMBRE COMPLETO]])</f>
        <v>E003_02_ADALYS BERTILDA ROCHA RIVAS</v>
      </c>
      <c r="L831" s="2" t="s">
        <v>5738</v>
      </c>
      <c r="M831" s="2" t="s">
        <v>5739</v>
      </c>
      <c r="N831" s="2" t="s">
        <v>49</v>
      </c>
      <c r="O831" s="2" t="s">
        <v>186</v>
      </c>
      <c r="P831" s="2" t="s">
        <v>626</v>
      </c>
      <c r="Q831" s="2" t="s">
        <v>351</v>
      </c>
      <c r="R831" s="2">
        <v>30827</v>
      </c>
      <c r="S831" s="2">
        <v>30827</v>
      </c>
      <c r="T831" s="2" t="s">
        <v>780</v>
      </c>
      <c r="U831" s="2" t="s">
        <v>780</v>
      </c>
      <c r="V831" s="2" t="s">
        <v>1143</v>
      </c>
      <c r="W831" s="2" t="s">
        <v>1143</v>
      </c>
      <c r="X831" s="2" t="s">
        <v>5740</v>
      </c>
      <c r="Y831" s="2" t="s">
        <v>5741</v>
      </c>
      <c r="Z831" s="2">
        <v>89492045</v>
      </c>
      <c r="AA831" s="2">
        <v>89492045</v>
      </c>
      <c r="AB831" s="2" t="s">
        <v>631</v>
      </c>
      <c r="AC831" s="2" t="s">
        <v>632</v>
      </c>
      <c r="AD831" s="2">
        <v>89492045</v>
      </c>
      <c r="AJ831" s="2">
        <v>89492045</v>
      </c>
      <c r="AK831" s="2">
        <v>2</v>
      </c>
      <c r="AL831" s="2" t="s">
        <v>633</v>
      </c>
      <c r="AM831" s="2">
        <v>0</v>
      </c>
      <c r="AN831" s="2">
        <v>0</v>
      </c>
      <c r="AO831" s="2">
        <v>1</v>
      </c>
      <c r="AP831" s="2">
        <v>0</v>
      </c>
      <c r="AQ831" s="2">
        <v>0</v>
      </c>
      <c r="AR831" s="2">
        <v>0</v>
      </c>
      <c r="AS831" s="2">
        <v>0</v>
      </c>
      <c r="AT831" s="2">
        <v>0</v>
      </c>
      <c r="AZ831" s="2" t="s">
        <v>5742</v>
      </c>
      <c r="BB831" s="2" t="str">
        <f>+PROPER(BD[[#This Row],[PRIMER_APELLIDO]])</f>
        <v>Rocha</v>
      </c>
    </row>
    <row r="832" spans="1:54" x14ac:dyDescent="0.25">
      <c r="A832" s="2">
        <v>831</v>
      </c>
      <c r="B832" s="2">
        <v>30522</v>
      </c>
      <c r="C832" s="2" t="s">
        <v>619</v>
      </c>
      <c r="D832" s="2" t="s">
        <v>620</v>
      </c>
      <c r="E832" s="2" t="s">
        <v>5743</v>
      </c>
      <c r="F832" s="2">
        <v>21676239</v>
      </c>
      <c r="G832" s="3">
        <v>38.284931506849318</v>
      </c>
      <c r="H832" s="2" t="s">
        <v>622</v>
      </c>
      <c r="I832" s="2" t="s">
        <v>5744</v>
      </c>
      <c r="J832" s="2" t="str">
        <f>+IF(BD[[#This Row],[DEPARTAMENTO_INSS]]="MANAGUA","_01_","_02_")</f>
        <v>_01_</v>
      </c>
      <c r="K832" s="2" t="str">
        <f>+CONCATENATE(BD[[#This Row],[Columna3]],BD[[#This Row],[Columna4]],BD[[#This Row],[NOMBRE COMPLETO]])</f>
        <v>E003_01_ROBERTO RENAN CUAREZMA CORTEZ</v>
      </c>
      <c r="L832" s="2" t="s">
        <v>1057</v>
      </c>
      <c r="M832" s="2" t="s">
        <v>5745</v>
      </c>
      <c r="N832" s="2" t="s">
        <v>408</v>
      </c>
      <c r="O832" s="2" t="s">
        <v>1443</v>
      </c>
      <c r="P832" s="2" t="s">
        <v>649</v>
      </c>
      <c r="Q832" s="2" t="s">
        <v>351</v>
      </c>
      <c r="R832" s="2">
        <v>30822</v>
      </c>
      <c r="S832" s="2">
        <v>30822</v>
      </c>
      <c r="T832" s="2" t="s">
        <v>627</v>
      </c>
      <c r="U832" s="2" t="s">
        <v>627</v>
      </c>
      <c r="V832" s="2" t="s">
        <v>627</v>
      </c>
      <c r="W832" s="2" t="s">
        <v>627</v>
      </c>
      <c r="X832" s="2" t="s">
        <v>5746</v>
      </c>
      <c r="Y832" s="2" t="s">
        <v>5747</v>
      </c>
      <c r="AA832" s="2">
        <v>88394123</v>
      </c>
      <c r="AB832" s="2" t="s">
        <v>654</v>
      </c>
      <c r="AC832" s="2" t="s">
        <v>632</v>
      </c>
      <c r="AD832" s="2">
        <v>88394123</v>
      </c>
      <c r="AJ832" s="2">
        <v>88394123</v>
      </c>
      <c r="AK832" s="2">
        <v>1</v>
      </c>
      <c r="AL832" s="2" t="s">
        <v>633</v>
      </c>
      <c r="AM832" s="2">
        <v>0</v>
      </c>
      <c r="AN832" s="2">
        <v>0</v>
      </c>
      <c r="AO832" s="2">
        <v>1</v>
      </c>
      <c r="AP832" s="2">
        <v>0</v>
      </c>
      <c r="AQ832" s="2">
        <v>0</v>
      </c>
      <c r="AR832" s="2">
        <v>0</v>
      </c>
      <c r="AS832" s="2">
        <v>0</v>
      </c>
      <c r="AT832" s="2">
        <v>0</v>
      </c>
      <c r="BB832" s="2" t="str">
        <f>+PROPER(BD[[#This Row],[PRIMER_APELLIDO]])</f>
        <v>Cuarezma</v>
      </c>
    </row>
    <row r="833" spans="1:54" x14ac:dyDescent="0.25">
      <c r="A833" s="2">
        <v>832</v>
      </c>
      <c r="B833" s="2">
        <v>38908</v>
      </c>
      <c r="C833" s="2" t="s">
        <v>619</v>
      </c>
      <c r="D833" s="2" t="s">
        <v>620</v>
      </c>
      <c r="E833" s="2" t="s">
        <v>5748</v>
      </c>
      <c r="F833" s="2">
        <v>13575799</v>
      </c>
      <c r="G833" s="3">
        <v>38.287671232876711</v>
      </c>
      <c r="H833" s="2" t="s">
        <v>622</v>
      </c>
      <c r="I833" s="2" t="s">
        <v>5749</v>
      </c>
      <c r="J833" s="2" t="str">
        <f>+IF(BD[[#This Row],[DEPARTAMENTO_INSS]]="MANAGUA","_01_","_02_")</f>
        <v>_02_</v>
      </c>
      <c r="K833" s="2" t="str">
        <f>+CONCATENATE(BD[[#This Row],[Columna3]],BD[[#This Row],[Columna4]],BD[[#This Row],[NOMBRE COMPLETO]])</f>
        <v>E003_02_FLORYSELVA YAHOSCA CAJINA MARTINEZ</v>
      </c>
      <c r="L833" s="2" t="s">
        <v>5750</v>
      </c>
      <c r="M833" s="2" t="s">
        <v>4999</v>
      </c>
      <c r="N833" s="2" t="s">
        <v>26</v>
      </c>
      <c r="O833" s="2" t="s">
        <v>44</v>
      </c>
      <c r="P833" s="2" t="s">
        <v>626</v>
      </c>
      <c r="Q833" s="2" t="s">
        <v>351</v>
      </c>
      <c r="R833" s="2">
        <v>30821</v>
      </c>
      <c r="S833" s="2">
        <v>30821</v>
      </c>
      <c r="T833" s="2" t="s">
        <v>669</v>
      </c>
      <c r="U833" s="2" t="s">
        <v>669</v>
      </c>
      <c r="V833" s="2" t="s">
        <v>670</v>
      </c>
      <c r="W833" s="2" t="s">
        <v>670</v>
      </c>
      <c r="X833" s="2" t="s">
        <v>5751</v>
      </c>
      <c r="Y833" s="2" t="s">
        <v>5752</v>
      </c>
      <c r="AA833" s="2">
        <v>87432044</v>
      </c>
      <c r="AB833" s="2" t="s">
        <v>642</v>
      </c>
      <c r="AC833" s="2" t="s">
        <v>632</v>
      </c>
      <c r="AD833" s="2">
        <v>87432044</v>
      </c>
      <c r="AJ833" s="2">
        <v>87432044</v>
      </c>
      <c r="AK833" s="2">
        <v>1</v>
      </c>
      <c r="AL833" s="2" t="s">
        <v>633</v>
      </c>
      <c r="AM833" s="2">
        <v>0</v>
      </c>
      <c r="AN833" s="2">
        <v>0</v>
      </c>
      <c r="AO833" s="2">
        <v>1</v>
      </c>
      <c r="AP833" s="2">
        <v>0</v>
      </c>
      <c r="AQ833" s="2">
        <v>0</v>
      </c>
      <c r="AR833" s="2">
        <v>0</v>
      </c>
      <c r="AS833" s="2">
        <v>0</v>
      </c>
      <c r="AT833" s="2">
        <v>0</v>
      </c>
      <c r="BB833" s="2" t="str">
        <f>+PROPER(BD[[#This Row],[PRIMER_APELLIDO]])</f>
        <v>Cajina</v>
      </c>
    </row>
    <row r="834" spans="1:54" x14ac:dyDescent="0.25">
      <c r="A834" s="2">
        <v>833</v>
      </c>
      <c r="B834" s="2">
        <v>29739</v>
      </c>
      <c r="C834" s="2" t="s">
        <v>619</v>
      </c>
      <c r="D834" s="2" t="s">
        <v>620</v>
      </c>
      <c r="E834" s="2" t="s">
        <v>5753</v>
      </c>
      <c r="F834" s="2">
        <v>21675526</v>
      </c>
      <c r="G834" s="3">
        <v>38.290410958904111</v>
      </c>
      <c r="H834" s="2" t="s">
        <v>622</v>
      </c>
      <c r="I834" s="2" t="s">
        <v>5754</v>
      </c>
      <c r="J834" s="2" t="str">
        <f>+IF(BD[[#This Row],[DEPARTAMENTO_INSS]]="MANAGUA","_01_","_02_")</f>
        <v>_02_</v>
      </c>
      <c r="K834" s="2" t="str">
        <f>+CONCATENATE(BD[[#This Row],[Columna3]],BD[[#This Row],[Columna4]],BD[[#This Row],[NOMBRE COMPLETO]])</f>
        <v>E003_02_CLAUDIA ELENA RIOS ACUÑA</v>
      </c>
      <c r="L834" s="2" t="s">
        <v>1850</v>
      </c>
      <c r="M834" s="2" t="s">
        <v>1626</v>
      </c>
      <c r="N834" s="2" t="s">
        <v>164</v>
      </c>
      <c r="O834" s="2" t="s">
        <v>4084</v>
      </c>
      <c r="P834" s="2" t="s">
        <v>626</v>
      </c>
      <c r="Q834" s="2" t="s">
        <v>351</v>
      </c>
      <c r="R834" s="2">
        <v>30820</v>
      </c>
      <c r="S834" s="2">
        <v>30820</v>
      </c>
      <c r="T834" s="2" t="s">
        <v>444</v>
      </c>
      <c r="U834" s="2" t="s">
        <v>444</v>
      </c>
      <c r="V834" s="2" t="s">
        <v>947</v>
      </c>
      <c r="W834" s="2" t="s">
        <v>1845</v>
      </c>
      <c r="X834" s="2" t="s">
        <v>5755</v>
      </c>
      <c r="Y834" s="2" t="s">
        <v>5756</v>
      </c>
      <c r="AA834" s="2" t="s">
        <v>5757</v>
      </c>
      <c r="AB834" s="2" t="s">
        <v>654</v>
      </c>
      <c r="AC834" s="2" t="s">
        <v>632</v>
      </c>
      <c r="AD834" s="2">
        <v>84358037</v>
      </c>
      <c r="AE834" s="2">
        <v>84242929</v>
      </c>
      <c r="AJ834" s="2">
        <v>84358037</v>
      </c>
      <c r="AK834" s="2">
        <v>2</v>
      </c>
      <c r="AL834" s="2" t="s">
        <v>633</v>
      </c>
      <c r="AM834" s="2">
        <v>0</v>
      </c>
      <c r="AN834" s="2">
        <v>0</v>
      </c>
      <c r="AO834" s="2">
        <v>1</v>
      </c>
      <c r="AP834" s="2">
        <v>0</v>
      </c>
      <c r="AQ834" s="2">
        <v>0</v>
      </c>
      <c r="AR834" s="2">
        <v>0</v>
      </c>
      <c r="AS834" s="2">
        <v>0</v>
      </c>
      <c r="AT834" s="2">
        <v>0</v>
      </c>
      <c r="BB834" s="2" t="str">
        <f>+PROPER(BD[[#This Row],[PRIMER_APELLIDO]])</f>
        <v>Rios</v>
      </c>
    </row>
    <row r="835" spans="1:54" x14ac:dyDescent="0.25">
      <c r="A835" s="2">
        <v>834</v>
      </c>
      <c r="B835" s="2">
        <v>30125</v>
      </c>
      <c r="C835" s="2" t="s">
        <v>619</v>
      </c>
      <c r="D835" s="2" t="s">
        <v>620</v>
      </c>
      <c r="E835" s="2" t="s">
        <v>5758</v>
      </c>
      <c r="F835" s="2">
        <v>21707300</v>
      </c>
      <c r="G835" s="3">
        <v>38.293150684931504</v>
      </c>
      <c r="H835" s="2" t="s">
        <v>622</v>
      </c>
      <c r="I835" s="2" t="s">
        <v>5759</v>
      </c>
      <c r="J835" s="2" t="str">
        <f>+IF(BD[[#This Row],[DEPARTAMENTO_INSS]]="MANAGUA","_01_","_02_")</f>
        <v>_02_</v>
      </c>
      <c r="K835" s="2" t="str">
        <f>+CONCATENATE(BD[[#This Row],[Columna3]],BD[[#This Row],[Columna4]],BD[[#This Row],[NOMBRE COMPLETO]])</f>
        <v>E003_02_DANNY ALBERTO CENTENO TREMINIO</v>
      </c>
      <c r="L835" s="2" t="s">
        <v>4465</v>
      </c>
      <c r="M835" s="2" t="s">
        <v>1699</v>
      </c>
      <c r="N835" s="2" t="s">
        <v>116</v>
      </c>
      <c r="O835" s="2" t="s">
        <v>5760</v>
      </c>
      <c r="P835" s="2" t="s">
        <v>649</v>
      </c>
      <c r="Q835" s="2" t="s">
        <v>351</v>
      </c>
      <c r="R835" s="2">
        <v>30819</v>
      </c>
      <c r="S835" s="2">
        <v>30819</v>
      </c>
      <c r="T835" s="2" t="s">
        <v>176</v>
      </c>
      <c r="U835" s="2" t="s">
        <v>176</v>
      </c>
      <c r="V835" s="2" t="s">
        <v>650</v>
      </c>
      <c r="W835" s="2" t="s">
        <v>176</v>
      </c>
      <c r="X835" s="2" t="s">
        <v>5761</v>
      </c>
      <c r="Y835" s="2" t="s">
        <v>5762</v>
      </c>
      <c r="AA835" s="2" t="s">
        <v>5763</v>
      </c>
      <c r="AB835" s="2" t="s">
        <v>654</v>
      </c>
      <c r="AC835" s="2" t="s">
        <v>632</v>
      </c>
      <c r="AE835" s="2">
        <v>85122154</v>
      </c>
      <c r="AJ835" s="2">
        <v>85122154</v>
      </c>
      <c r="AK835" s="2">
        <v>2</v>
      </c>
      <c r="AL835" s="2" t="s">
        <v>633</v>
      </c>
      <c r="AM835" s="2">
        <v>0</v>
      </c>
      <c r="AN835" s="2">
        <v>0</v>
      </c>
      <c r="AO835" s="2">
        <v>1</v>
      </c>
      <c r="AP835" s="2">
        <v>0</v>
      </c>
      <c r="AQ835" s="2">
        <v>0</v>
      </c>
      <c r="AR835" s="2">
        <v>0</v>
      </c>
      <c r="AS835" s="2">
        <v>0</v>
      </c>
      <c r="AT835" s="2">
        <v>0</v>
      </c>
      <c r="BB835" s="2" t="str">
        <f>+PROPER(BD[[#This Row],[PRIMER_APELLIDO]])</f>
        <v>Centeno</v>
      </c>
    </row>
    <row r="836" spans="1:54" x14ac:dyDescent="0.25">
      <c r="A836" s="2">
        <v>835</v>
      </c>
      <c r="B836" s="2">
        <v>32522</v>
      </c>
      <c r="C836" s="2" t="s">
        <v>619</v>
      </c>
      <c r="D836" s="2" t="s">
        <v>620</v>
      </c>
      <c r="E836" s="2" t="s">
        <v>5764</v>
      </c>
      <c r="G836" s="3">
        <v>38.295890410958904</v>
      </c>
      <c r="H836" s="2" t="s">
        <v>622</v>
      </c>
      <c r="I836" s="2" t="s">
        <v>5765</v>
      </c>
      <c r="J836" s="2" t="str">
        <f>+IF(BD[[#This Row],[DEPARTAMENTO_INSS]]="MANAGUA","_01_","_02_")</f>
        <v>_02_</v>
      </c>
      <c r="K836" s="2" t="str">
        <f>+CONCATENATE(BD[[#This Row],[Columna3]],BD[[#This Row],[Columna4]],BD[[#This Row],[NOMBRE COMPLETO]])</f>
        <v>E003_02_FELIPE ANTONIO ZARATE MUNGUIA</v>
      </c>
      <c r="L836" s="2" t="s">
        <v>5766</v>
      </c>
      <c r="M836" s="2" t="s">
        <v>904</v>
      </c>
      <c r="N836" s="2" t="s">
        <v>19</v>
      </c>
      <c r="O836" s="2" t="s">
        <v>197</v>
      </c>
      <c r="P836" s="2" t="s">
        <v>649</v>
      </c>
      <c r="Q836" s="2" t="s">
        <v>351</v>
      </c>
      <c r="R836" s="2">
        <v>30818</v>
      </c>
      <c r="S836" s="2">
        <v>30818</v>
      </c>
      <c r="T836" s="2" t="s">
        <v>176</v>
      </c>
      <c r="U836" s="2" t="s">
        <v>659</v>
      </c>
      <c r="V836" s="2" t="s">
        <v>650</v>
      </c>
      <c r="W836" s="2" t="s">
        <v>659</v>
      </c>
      <c r="X836" s="2" t="s">
        <v>5767</v>
      </c>
      <c r="Y836" s="2" t="s">
        <v>5768</v>
      </c>
      <c r="Z836" s="2">
        <v>86260546</v>
      </c>
      <c r="AA836" s="2" t="s">
        <v>5769</v>
      </c>
      <c r="AB836" s="2" t="s">
        <v>654</v>
      </c>
      <c r="AC836" s="2" t="s">
        <v>632</v>
      </c>
      <c r="AD836" s="2">
        <v>86260546</v>
      </c>
      <c r="AH836" s="2">
        <v>84224625</v>
      </c>
      <c r="AJ836" s="2">
        <v>86260546</v>
      </c>
      <c r="AK836" s="2">
        <v>4</v>
      </c>
      <c r="AL836" s="2" t="s">
        <v>633</v>
      </c>
      <c r="AM836" s="2">
        <v>0</v>
      </c>
      <c r="AN836" s="2">
        <v>0</v>
      </c>
      <c r="AO836" s="2">
        <v>1</v>
      </c>
      <c r="AP836" s="2">
        <v>0</v>
      </c>
      <c r="AQ836" s="2">
        <v>0</v>
      </c>
      <c r="AR836" s="2">
        <v>0</v>
      </c>
      <c r="AS836" s="2">
        <v>0</v>
      </c>
      <c r="AT836" s="2">
        <v>0</v>
      </c>
      <c r="AZ836" s="2" t="s">
        <v>5770</v>
      </c>
      <c r="BB836" s="2" t="str">
        <f>+PROPER(BD[[#This Row],[PRIMER_APELLIDO]])</f>
        <v>Zarate</v>
      </c>
    </row>
    <row r="837" spans="1:54" x14ac:dyDescent="0.25">
      <c r="A837" s="2">
        <v>836</v>
      </c>
      <c r="B837" s="2">
        <v>31843</v>
      </c>
      <c r="C837" s="2" t="s">
        <v>619</v>
      </c>
      <c r="D837" s="2" t="s">
        <v>620</v>
      </c>
      <c r="E837" s="2" t="s">
        <v>5771</v>
      </c>
      <c r="F837" s="2">
        <v>21734414</v>
      </c>
      <c r="G837" s="3">
        <v>38.298630136986304</v>
      </c>
      <c r="H837" s="2" t="s">
        <v>622</v>
      </c>
      <c r="I837" s="2" t="s">
        <v>5772</v>
      </c>
      <c r="J837" s="2" t="str">
        <f>+IF(BD[[#This Row],[DEPARTAMENTO_INSS]]="MANAGUA","_01_","_02_")</f>
        <v>_01_</v>
      </c>
      <c r="K837" s="2" t="str">
        <f>+CONCATENATE(BD[[#This Row],[Columna3]],BD[[#This Row],[Columna4]],BD[[#This Row],[NOMBRE COMPLETO]])</f>
        <v>E003_01_YIDAH EUNICE MENDOZA ARAGON</v>
      </c>
      <c r="L837" s="2" t="s">
        <v>5773</v>
      </c>
      <c r="M837" s="2" t="s">
        <v>4040</v>
      </c>
      <c r="N837" s="2" t="s">
        <v>9</v>
      </c>
      <c r="O837" s="2" t="s">
        <v>180</v>
      </c>
      <c r="P837" s="2" t="s">
        <v>626</v>
      </c>
      <c r="Q837" s="2" t="s">
        <v>351</v>
      </c>
      <c r="R837" s="2">
        <v>30817</v>
      </c>
      <c r="S837" s="2">
        <v>30817</v>
      </c>
      <c r="T837" s="2" t="s">
        <v>627</v>
      </c>
      <c r="U837" s="2" t="s">
        <v>627</v>
      </c>
      <c r="V837" s="2" t="s">
        <v>627</v>
      </c>
      <c r="W837" s="2" t="s">
        <v>627</v>
      </c>
      <c r="X837" s="2" t="s">
        <v>5774</v>
      </c>
      <c r="Y837" s="2" t="s">
        <v>5775</v>
      </c>
      <c r="Z837" s="2">
        <v>88600665</v>
      </c>
      <c r="AA837" s="2" t="s">
        <v>5776</v>
      </c>
      <c r="AB837" s="2" t="s">
        <v>642</v>
      </c>
      <c r="AC837" s="2" t="s">
        <v>632</v>
      </c>
      <c r="AD837" s="2">
        <v>88600665</v>
      </c>
      <c r="AH837" s="2">
        <v>22540115</v>
      </c>
      <c r="AI837" s="2">
        <v>88278017</v>
      </c>
      <c r="AJ837" s="2">
        <v>88600665</v>
      </c>
      <c r="AK837" s="2">
        <v>5</v>
      </c>
      <c r="AL837" s="2" t="s">
        <v>633</v>
      </c>
      <c r="AM837" s="2">
        <v>0</v>
      </c>
      <c r="AN837" s="2">
        <v>0</v>
      </c>
      <c r="AO837" s="2">
        <v>1</v>
      </c>
      <c r="AP837" s="2">
        <v>0</v>
      </c>
      <c r="AQ837" s="2">
        <v>0</v>
      </c>
      <c r="AR837" s="2">
        <v>0</v>
      </c>
      <c r="AS837" s="2">
        <v>0</v>
      </c>
      <c r="AT837" s="2">
        <v>0</v>
      </c>
      <c r="AZ837" s="2" t="s">
        <v>5777</v>
      </c>
      <c r="BB837" s="2" t="str">
        <f>+PROPER(BD[[#This Row],[PRIMER_APELLIDO]])</f>
        <v>Mendoza</v>
      </c>
    </row>
    <row r="838" spans="1:54" x14ac:dyDescent="0.25">
      <c r="A838" s="2">
        <v>837</v>
      </c>
      <c r="B838" s="2">
        <v>35370</v>
      </c>
      <c r="C838" s="2" t="s">
        <v>619</v>
      </c>
      <c r="D838" s="2" t="s">
        <v>620</v>
      </c>
      <c r="E838" s="2" t="s">
        <v>5778</v>
      </c>
      <c r="F838" s="2">
        <v>22189097</v>
      </c>
      <c r="G838" s="3">
        <v>38.31232876712329</v>
      </c>
      <c r="H838" s="2" t="s">
        <v>622</v>
      </c>
      <c r="I838" s="2" t="s">
        <v>5779</v>
      </c>
      <c r="J838" s="2" t="str">
        <f>+IF(BD[[#This Row],[DEPARTAMENTO_INSS]]="MANAGUA","_01_","_02_")</f>
        <v>_01_</v>
      </c>
      <c r="K838" s="2" t="str">
        <f>+CONCATENATE(BD[[#This Row],[Columna3]],BD[[#This Row],[Columna4]],BD[[#This Row],[NOMBRE COMPLETO]])</f>
        <v>E003_01_SANDRA VANESA MOLINA REYES</v>
      </c>
      <c r="L838" s="2" t="s">
        <v>1843</v>
      </c>
      <c r="M838" s="2" t="s">
        <v>5780</v>
      </c>
      <c r="N838" s="2" t="s">
        <v>63</v>
      </c>
      <c r="O838" s="2" t="s">
        <v>74</v>
      </c>
      <c r="P838" s="2" t="s">
        <v>626</v>
      </c>
      <c r="Q838" s="2" t="s">
        <v>351</v>
      </c>
      <c r="R838" s="2">
        <v>30812</v>
      </c>
      <c r="S838" s="2">
        <v>30812</v>
      </c>
      <c r="T838" s="2" t="s">
        <v>732</v>
      </c>
      <c r="U838" s="2" t="s">
        <v>627</v>
      </c>
      <c r="V838" s="2" t="s">
        <v>962</v>
      </c>
      <c r="W838" s="2" t="s">
        <v>627</v>
      </c>
      <c r="X838" s="2" t="s">
        <v>5781</v>
      </c>
      <c r="Y838" s="2" t="s">
        <v>5782</v>
      </c>
      <c r="AA838" s="2">
        <v>22552456</v>
      </c>
      <c r="AB838" s="2" t="s">
        <v>642</v>
      </c>
      <c r="AC838" s="2" t="s">
        <v>632</v>
      </c>
      <c r="AK838" s="2">
        <v>1</v>
      </c>
      <c r="AL838" s="2" t="s">
        <v>633</v>
      </c>
      <c r="AM838" s="2">
        <v>0</v>
      </c>
      <c r="AN838" s="2">
        <v>0</v>
      </c>
      <c r="AO838" s="2">
        <v>1</v>
      </c>
      <c r="AP838" s="2">
        <v>0</v>
      </c>
      <c r="AQ838" s="2">
        <v>0</v>
      </c>
      <c r="AR838" s="2">
        <v>0</v>
      </c>
      <c r="AS838" s="2">
        <v>0</v>
      </c>
      <c r="AT838" s="2">
        <v>0</v>
      </c>
      <c r="BB838" s="2" t="str">
        <f>+PROPER(BD[[#This Row],[PRIMER_APELLIDO]])</f>
        <v>Molina</v>
      </c>
    </row>
    <row r="839" spans="1:54" x14ac:dyDescent="0.25">
      <c r="A839" s="2">
        <v>838</v>
      </c>
      <c r="B839" s="2">
        <v>31003</v>
      </c>
      <c r="C839" s="2" t="s">
        <v>619</v>
      </c>
      <c r="D839" s="2" t="s">
        <v>620</v>
      </c>
      <c r="E839" s="2" t="s">
        <v>5783</v>
      </c>
      <c r="F839" s="2">
        <v>21676187</v>
      </c>
      <c r="G839" s="3">
        <v>38.323287671232876</v>
      </c>
      <c r="H839" s="2" t="s">
        <v>622</v>
      </c>
      <c r="I839" s="2" t="s">
        <v>5784</v>
      </c>
      <c r="J839" s="2" t="str">
        <f>+IF(BD[[#This Row],[DEPARTAMENTO_INSS]]="MANAGUA","_01_","_02_")</f>
        <v>_02_</v>
      </c>
      <c r="K839" s="2" t="str">
        <f>+CONCATENATE(BD[[#This Row],[Columna3]],BD[[#This Row],[Columna4]],BD[[#This Row],[NOMBRE COMPLETO]])</f>
        <v>E003_02_JANETH DEL CARMEN CASCO HERRERA</v>
      </c>
      <c r="L839" s="2" t="s">
        <v>5785</v>
      </c>
      <c r="M839" s="2" t="s">
        <v>961</v>
      </c>
      <c r="N839" s="2" t="s">
        <v>360</v>
      </c>
      <c r="O839" s="2" t="s">
        <v>179</v>
      </c>
      <c r="P839" s="2" t="s">
        <v>626</v>
      </c>
      <c r="Q839" s="2" t="s">
        <v>351</v>
      </c>
      <c r="R839" s="2">
        <v>30808</v>
      </c>
      <c r="S839" s="2">
        <v>30808</v>
      </c>
      <c r="T839" s="2" t="s">
        <v>691</v>
      </c>
      <c r="U839" s="2" t="s">
        <v>691</v>
      </c>
      <c r="V839" s="2" t="s">
        <v>716</v>
      </c>
      <c r="W839" s="2" t="s">
        <v>691</v>
      </c>
      <c r="X839" s="2" t="s">
        <v>5786</v>
      </c>
      <c r="Y839" s="2" t="s">
        <v>5787</v>
      </c>
      <c r="Z839" s="2">
        <v>86245644</v>
      </c>
      <c r="AA839" s="2">
        <v>86245644</v>
      </c>
      <c r="AB839" s="2" t="s">
        <v>642</v>
      </c>
      <c r="AC839" s="2" t="s">
        <v>632</v>
      </c>
      <c r="AD839" s="2">
        <v>86245644</v>
      </c>
      <c r="AJ839" s="2">
        <v>86245644</v>
      </c>
      <c r="AK839" s="2">
        <v>2</v>
      </c>
      <c r="AL839" s="2" t="s">
        <v>633</v>
      </c>
      <c r="AM839" s="2">
        <v>0</v>
      </c>
      <c r="AN839" s="2">
        <v>0</v>
      </c>
      <c r="AO839" s="2">
        <v>1</v>
      </c>
      <c r="AP839" s="2">
        <v>0</v>
      </c>
      <c r="AQ839" s="2">
        <v>0</v>
      </c>
      <c r="AR839" s="2">
        <v>0</v>
      </c>
      <c r="AS839" s="2">
        <v>0</v>
      </c>
      <c r="AT839" s="2">
        <v>0</v>
      </c>
      <c r="AZ839" s="2" t="s">
        <v>5788</v>
      </c>
      <c r="BB839" s="2" t="str">
        <f>+PROPER(BD[[#This Row],[PRIMER_APELLIDO]])</f>
        <v>Casco</v>
      </c>
    </row>
    <row r="840" spans="1:54" x14ac:dyDescent="0.25">
      <c r="A840" s="2">
        <v>839</v>
      </c>
      <c r="B840" s="2">
        <v>35731</v>
      </c>
      <c r="C840" s="2" t="s">
        <v>619</v>
      </c>
      <c r="D840" s="2" t="s">
        <v>620</v>
      </c>
      <c r="E840" s="2" t="s">
        <v>5789</v>
      </c>
      <c r="F840" s="2">
        <v>19763642</v>
      </c>
      <c r="G840" s="3">
        <v>38.326027397260276</v>
      </c>
      <c r="H840" s="2" t="s">
        <v>622</v>
      </c>
      <c r="I840" s="2" t="s">
        <v>5790</v>
      </c>
      <c r="J840" s="2" t="str">
        <f>+IF(BD[[#This Row],[DEPARTAMENTO_INSS]]="MANAGUA","_01_","_02_")</f>
        <v>_01_</v>
      </c>
      <c r="K840" s="2" t="str">
        <f>+CONCATENATE(BD[[#This Row],[Columna3]],BD[[#This Row],[Columna4]],BD[[#This Row],[NOMBRE COMPLETO]])</f>
        <v>E003_01_CYNTHIA PAOLA HERNANDEZ TORREZ</v>
      </c>
      <c r="L840" s="2" t="s">
        <v>5791</v>
      </c>
      <c r="M840" s="2" t="s">
        <v>1823</v>
      </c>
      <c r="N840" s="2" t="s">
        <v>11</v>
      </c>
      <c r="O840" s="2" t="s">
        <v>158</v>
      </c>
      <c r="P840" s="2" t="s">
        <v>626</v>
      </c>
      <c r="Q840" s="2" t="s">
        <v>351</v>
      </c>
      <c r="R840" s="2">
        <v>30807</v>
      </c>
      <c r="S840" s="2">
        <v>30807</v>
      </c>
      <c r="T840" s="2" t="s">
        <v>627</v>
      </c>
      <c r="U840" s="2" t="s">
        <v>627</v>
      </c>
      <c r="V840" s="2" t="s">
        <v>1026</v>
      </c>
      <c r="W840" s="2" t="s">
        <v>1026</v>
      </c>
      <c r="X840" s="2" t="s">
        <v>5792</v>
      </c>
      <c r="Y840" s="2" t="s">
        <v>5793</v>
      </c>
      <c r="Z840" s="2">
        <v>88215656</v>
      </c>
      <c r="AA840" s="2">
        <v>22798611</v>
      </c>
      <c r="AB840" s="2" t="s">
        <v>642</v>
      </c>
      <c r="AC840" s="2" t="s">
        <v>632</v>
      </c>
      <c r="AD840" s="2">
        <v>88215656</v>
      </c>
      <c r="AJ840" s="2">
        <v>88215656</v>
      </c>
      <c r="AK840" s="2">
        <v>2</v>
      </c>
      <c r="AL840" s="2" t="s">
        <v>633</v>
      </c>
      <c r="AM840" s="2">
        <v>0</v>
      </c>
      <c r="AN840" s="2">
        <v>0</v>
      </c>
      <c r="AO840" s="2">
        <v>1</v>
      </c>
      <c r="AP840" s="2">
        <v>0</v>
      </c>
      <c r="AQ840" s="2">
        <v>0</v>
      </c>
      <c r="AR840" s="2">
        <v>0</v>
      </c>
      <c r="AS840" s="2">
        <v>0</v>
      </c>
      <c r="AT840" s="2">
        <v>0</v>
      </c>
      <c r="AZ840" s="2" t="s">
        <v>5794</v>
      </c>
      <c r="BB840" s="2" t="str">
        <f>+PROPER(BD[[#This Row],[PRIMER_APELLIDO]])</f>
        <v>Hernandez</v>
      </c>
    </row>
    <row r="841" spans="1:54" x14ac:dyDescent="0.25">
      <c r="A841" s="2">
        <v>840</v>
      </c>
      <c r="B841" s="2">
        <v>49272</v>
      </c>
      <c r="C841" s="2" t="s">
        <v>619</v>
      </c>
      <c r="D841" s="2" t="s">
        <v>620</v>
      </c>
      <c r="E841" s="2" t="s">
        <v>5795</v>
      </c>
      <c r="F841" s="2">
        <v>25691942</v>
      </c>
      <c r="G841" s="3">
        <v>38.328767123287669</v>
      </c>
      <c r="H841" s="2" t="s">
        <v>622</v>
      </c>
      <c r="I841" s="2" t="s">
        <v>5796</v>
      </c>
      <c r="J841" s="2" t="str">
        <f>+IF(BD[[#This Row],[DEPARTAMENTO_INSS]]="MANAGUA","_01_","_02_")</f>
        <v>_01_</v>
      </c>
      <c r="K841" s="2" t="str">
        <f>+CONCATENATE(BD[[#This Row],[Columna3]],BD[[#This Row],[Columna4]],BD[[#This Row],[NOMBRE COMPLETO]])</f>
        <v>E003_01_LUIS ALBERTO PEREZ GUTIERREZ</v>
      </c>
      <c r="L841" s="2" t="s">
        <v>738</v>
      </c>
      <c r="M841" s="2" t="s">
        <v>1699</v>
      </c>
      <c r="N841" s="2" t="s">
        <v>24</v>
      </c>
      <c r="O841" s="2" t="s">
        <v>171</v>
      </c>
      <c r="P841" s="2" t="s">
        <v>649</v>
      </c>
      <c r="Q841" s="2" t="s">
        <v>351</v>
      </c>
      <c r="R841" s="2">
        <v>30806</v>
      </c>
      <c r="S841" s="2">
        <v>30806</v>
      </c>
      <c r="U841" s="2" t="s">
        <v>627</v>
      </c>
      <c r="W841" s="2" t="s">
        <v>627</v>
      </c>
      <c r="X841" s="2" t="s">
        <v>5797</v>
      </c>
      <c r="Y841" s="2" t="s">
        <v>5798</v>
      </c>
      <c r="AA841" s="2">
        <v>87735415</v>
      </c>
      <c r="AB841" s="2" t="s">
        <v>654</v>
      </c>
      <c r="AC841" s="2" t="s">
        <v>632</v>
      </c>
      <c r="AD841" s="2">
        <v>87735415</v>
      </c>
      <c r="AJ841" s="2">
        <v>87735415</v>
      </c>
      <c r="AK841" s="2">
        <v>1</v>
      </c>
      <c r="AL841" s="2" t="s">
        <v>633</v>
      </c>
      <c r="AM841" s="2">
        <v>0</v>
      </c>
      <c r="AN841" s="2">
        <v>0</v>
      </c>
      <c r="AO841" s="2">
        <v>1</v>
      </c>
      <c r="AP841" s="2">
        <v>0</v>
      </c>
      <c r="AQ841" s="2">
        <v>0</v>
      </c>
      <c r="AR841" s="2">
        <v>0</v>
      </c>
      <c r="AS841" s="2">
        <v>0</v>
      </c>
      <c r="AT841" s="2">
        <v>0</v>
      </c>
      <c r="BA841" s="2" t="s">
        <v>5799</v>
      </c>
      <c r="BB841" s="2" t="str">
        <f>+PROPER(BD[[#This Row],[PRIMER_APELLIDO]])</f>
        <v>Perez</v>
      </c>
    </row>
    <row r="842" spans="1:54" x14ac:dyDescent="0.25">
      <c r="A842" s="2">
        <v>841</v>
      </c>
      <c r="B842" s="2">
        <v>48268</v>
      </c>
      <c r="C842" s="2" t="s">
        <v>619</v>
      </c>
      <c r="D842" s="2" t="s">
        <v>620</v>
      </c>
      <c r="E842" s="2" t="s">
        <v>5800</v>
      </c>
      <c r="F842" s="2">
        <v>26965532</v>
      </c>
      <c r="G842" s="3">
        <v>38.334246575342469</v>
      </c>
      <c r="H842" s="2" t="s">
        <v>622</v>
      </c>
      <c r="I842" s="2" t="s">
        <v>5801</v>
      </c>
      <c r="J842" s="2" t="str">
        <f>+IF(BD[[#This Row],[DEPARTAMENTO_INSS]]="MANAGUA","_01_","_02_")</f>
        <v>_02_</v>
      </c>
      <c r="K842" s="2" t="str">
        <f>+CONCATENATE(BD[[#This Row],[Columna3]],BD[[#This Row],[Columna4]],BD[[#This Row],[NOMBRE COMPLETO]])</f>
        <v>E003_02_MARICELA LISSETH MORALES SANDOVAL</v>
      </c>
      <c r="L842" s="2" t="s">
        <v>5802</v>
      </c>
      <c r="M842" s="2" t="s">
        <v>2080</v>
      </c>
      <c r="N842" s="2" t="s">
        <v>82</v>
      </c>
      <c r="O842" s="2" t="s">
        <v>64</v>
      </c>
      <c r="P842" s="2" t="s">
        <v>626</v>
      </c>
      <c r="Q842" s="2" t="s">
        <v>351</v>
      </c>
      <c r="R842" s="2">
        <v>30804</v>
      </c>
      <c r="S842" s="2">
        <v>30804</v>
      </c>
      <c r="T842" s="2" t="s">
        <v>176</v>
      </c>
      <c r="U842" s="2" t="s">
        <v>1005</v>
      </c>
      <c r="V842" s="2" t="s">
        <v>1796</v>
      </c>
      <c r="W842" s="2" t="s">
        <v>1006</v>
      </c>
      <c r="X842" s="2" t="s">
        <v>5803</v>
      </c>
      <c r="Y842" s="2" t="s">
        <v>5804</v>
      </c>
      <c r="Z842" s="2">
        <v>58070998</v>
      </c>
      <c r="AA842" s="2" t="s">
        <v>5805</v>
      </c>
      <c r="AB842" s="2" t="s">
        <v>631</v>
      </c>
      <c r="AC842" s="2" t="s">
        <v>632</v>
      </c>
      <c r="AD842" s="2">
        <v>58070998</v>
      </c>
      <c r="AE842" s="2">
        <v>58725416</v>
      </c>
      <c r="AF842" s="2">
        <v>58800065</v>
      </c>
      <c r="AJ842" s="2">
        <v>58070998</v>
      </c>
      <c r="AK842" s="2">
        <v>4</v>
      </c>
      <c r="AL842" s="2" t="s">
        <v>633</v>
      </c>
      <c r="AM842" s="2">
        <v>0</v>
      </c>
      <c r="AN842" s="2">
        <v>0</v>
      </c>
      <c r="AO842" s="2">
        <v>1</v>
      </c>
      <c r="AP842" s="2">
        <v>0</v>
      </c>
      <c r="AQ842" s="2">
        <v>0</v>
      </c>
      <c r="AR842" s="2">
        <v>0</v>
      </c>
      <c r="AS842" s="2">
        <v>0</v>
      </c>
      <c r="AT842" s="2">
        <v>0</v>
      </c>
      <c r="BB842" s="2" t="str">
        <f>+PROPER(BD[[#This Row],[PRIMER_APELLIDO]])</f>
        <v>Morales</v>
      </c>
    </row>
    <row r="843" spans="1:54" x14ac:dyDescent="0.25">
      <c r="A843" s="2">
        <v>842</v>
      </c>
      <c r="B843" s="2">
        <v>33014</v>
      </c>
      <c r="C843" s="2" t="s">
        <v>619</v>
      </c>
      <c r="D843" s="2" t="s">
        <v>620</v>
      </c>
      <c r="E843" s="2" t="s">
        <v>5806</v>
      </c>
      <c r="G843" s="3">
        <v>38.336986301369862</v>
      </c>
      <c r="H843" s="2" t="s">
        <v>622</v>
      </c>
      <c r="I843" s="2" t="s">
        <v>5807</v>
      </c>
      <c r="J843" s="2" t="str">
        <f>+IF(BD[[#This Row],[DEPARTAMENTO_INSS]]="MANAGUA","_01_","_02_")</f>
        <v>_02_</v>
      </c>
      <c r="K843" s="2" t="str">
        <f>+CONCATENATE(BD[[#This Row],[Columna3]],BD[[#This Row],[Columna4]],BD[[#This Row],[NOMBRE COMPLETO]])</f>
        <v>E003_02_JESSICA DEL CARMEN BERMUDEZ CARMONA</v>
      </c>
      <c r="L843" s="2" t="s">
        <v>1490</v>
      </c>
      <c r="M843" s="2" t="s">
        <v>961</v>
      </c>
      <c r="N843" s="2" t="s">
        <v>315</v>
      </c>
      <c r="O843" s="2" t="s">
        <v>1059</v>
      </c>
      <c r="P843" s="2" t="s">
        <v>626</v>
      </c>
      <c r="Q843" s="2" t="s">
        <v>351</v>
      </c>
      <c r="R843" s="2">
        <v>30803</v>
      </c>
      <c r="S843" s="2">
        <v>30803</v>
      </c>
      <c r="T843" s="2" t="s">
        <v>929</v>
      </c>
      <c r="U843" s="2" t="s">
        <v>929</v>
      </c>
      <c r="V843" s="2" t="s">
        <v>1882</v>
      </c>
      <c r="W843" s="2" t="s">
        <v>1882</v>
      </c>
      <c r="X843" s="2" t="s">
        <v>5808</v>
      </c>
      <c r="Y843" s="2" t="s">
        <v>5809</v>
      </c>
      <c r="Z843" s="2">
        <v>88455211</v>
      </c>
      <c r="AA843" s="2" t="s">
        <v>5810</v>
      </c>
      <c r="AB843" s="2" t="s">
        <v>642</v>
      </c>
      <c r="AC843" s="2" t="s">
        <v>632</v>
      </c>
      <c r="AD843" s="2">
        <v>88455211</v>
      </c>
      <c r="AJ843" s="2">
        <v>88455211</v>
      </c>
      <c r="AK843" s="2">
        <v>3</v>
      </c>
      <c r="AL843" s="2" t="s">
        <v>633</v>
      </c>
      <c r="AM843" s="2">
        <v>0</v>
      </c>
      <c r="AN843" s="2">
        <v>0</v>
      </c>
      <c r="AO843" s="2">
        <v>1</v>
      </c>
      <c r="AP843" s="2">
        <v>0</v>
      </c>
      <c r="AQ843" s="2">
        <v>0</v>
      </c>
      <c r="AR843" s="2">
        <v>0</v>
      </c>
      <c r="AS843" s="2">
        <v>0</v>
      </c>
      <c r="AT843" s="2">
        <v>0</v>
      </c>
      <c r="AZ843" s="2" t="s">
        <v>5811</v>
      </c>
      <c r="BB843" s="2" t="str">
        <f>+PROPER(BD[[#This Row],[PRIMER_APELLIDO]])</f>
        <v>Bermudez</v>
      </c>
    </row>
    <row r="844" spans="1:54" x14ac:dyDescent="0.25">
      <c r="A844" s="2">
        <v>843</v>
      </c>
      <c r="B844" s="2">
        <v>59387</v>
      </c>
      <c r="C844" s="2" t="s">
        <v>619</v>
      </c>
      <c r="D844" s="2" t="s">
        <v>620</v>
      </c>
      <c r="E844" s="2" t="s">
        <v>5812</v>
      </c>
      <c r="G844" s="3">
        <v>38.336986301369862</v>
      </c>
      <c r="H844" s="2" t="s">
        <v>622</v>
      </c>
      <c r="I844" s="2" t="s">
        <v>5813</v>
      </c>
      <c r="J844" s="2" t="str">
        <f>+IF(BD[[#This Row],[DEPARTAMENTO_INSS]]="MANAGUA","_01_","_02_")</f>
        <v>_02_</v>
      </c>
      <c r="K844" s="2" t="str">
        <f>+CONCATENATE(BD[[#This Row],[Columna3]],BD[[#This Row],[Columna4]],BD[[#This Row],[NOMBRE COMPLETO]])</f>
        <v>E003_02_ARACELY DEL SOCORRO ABURTO MEDINA</v>
      </c>
      <c r="L844" s="2" t="s">
        <v>1258</v>
      </c>
      <c r="M844" s="2" t="s">
        <v>787</v>
      </c>
      <c r="N844" s="2" t="s">
        <v>35</v>
      </c>
      <c r="O844" s="2" t="s">
        <v>104</v>
      </c>
      <c r="P844" s="2" t="s">
        <v>626</v>
      </c>
      <c r="Q844" s="2" t="s">
        <v>351</v>
      </c>
      <c r="R844" s="2">
        <v>30803</v>
      </c>
      <c r="S844" s="2">
        <v>30803</v>
      </c>
      <c r="T844" s="2" t="s">
        <v>133</v>
      </c>
      <c r="U844" s="2" t="s">
        <v>929</v>
      </c>
      <c r="V844" s="2" t="s">
        <v>869</v>
      </c>
      <c r="W844" s="2" t="s">
        <v>1653</v>
      </c>
      <c r="X844" s="2" t="s">
        <v>5814</v>
      </c>
      <c r="Y844" s="2" t="s">
        <v>2291</v>
      </c>
      <c r="AA844" s="2">
        <v>82246921</v>
      </c>
      <c r="AB844" s="2" t="s">
        <v>631</v>
      </c>
      <c r="AC844" s="2" t="s">
        <v>632</v>
      </c>
      <c r="AD844" s="2">
        <v>82246921</v>
      </c>
      <c r="AJ844" s="2">
        <v>82246921</v>
      </c>
      <c r="AK844" s="2">
        <v>1</v>
      </c>
      <c r="AL844" s="2" t="s">
        <v>633</v>
      </c>
      <c r="AM844" s="2">
        <v>0</v>
      </c>
      <c r="AN844" s="2">
        <v>0</v>
      </c>
      <c r="AO844" s="2">
        <v>1</v>
      </c>
      <c r="AP844" s="2">
        <v>0</v>
      </c>
      <c r="AQ844" s="2">
        <v>0</v>
      </c>
      <c r="AR844" s="2">
        <v>0</v>
      </c>
      <c r="AS844" s="2">
        <v>0</v>
      </c>
      <c r="AT844" s="2">
        <v>0</v>
      </c>
      <c r="BB844" s="2" t="str">
        <f>+PROPER(BD[[#This Row],[PRIMER_APELLIDO]])</f>
        <v>Aburto</v>
      </c>
    </row>
    <row r="845" spans="1:54" x14ac:dyDescent="0.25">
      <c r="A845" s="2">
        <v>844</v>
      </c>
      <c r="B845" s="2">
        <v>35102</v>
      </c>
      <c r="C845" s="2" t="s">
        <v>619</v>
      </c>
      <c r="D845" s="2" t="s">
        <v>620</v>
      </c>
      <c r="E845" s="2" t="s">
        <v>5815</v>
      </c>
      <c r="F845" s="2">
        <v>22121840</v>
      </c>
      <c r="G845" s="3">
        <v>38.347945205479455</v>
      </c>
      <c r="H845" s="2" t="s">
        <v>622</v>
      </c>
      <c r="I845" s="2" t="s">
        <v>5816</v>
      </c>
      <c r="J845" s="2" t="str">
        <f>+IF(BD[[#This Row],[DEPARTAMENTO_INSS]]="MANAGUA","_01_","_02_")</f>
        <v>_01_</v>
      </c>
      <c r="K845" s="2" t="str">
        <f>+CONCATENATE(BD[[#This Row],[Columna3]],BD[[#This Row],[Columna4]],BD[[#This Row],[NOMBRE COMPLETO]])</f>
        <v>E003_01_GABRIELA VALERIA FLORES ESTRADA</v>
      </c>
      <c r="L845" s="2" t="s">
        <v>1211</v>
      </c>
      <c r="M845" s="2" t="s">
        <v>2142</v>
      </c>
      <c r="N845" s="2" t="s">
        <v>58</v>
      </c>
      <c r="O845" s="2" t="s">
        <v>225</v>
      </c>
      <c r="P845" s="2" t="s">
        <v>626</v>
      </c>
      <c r="Q845" s="2" t="s">
        <v>351</v>
      </c>
      <c r="R845" s="2">
        <v>30799</v>
      </c>
      <c r="S845" s="2">
        <v>30799</v>
      </c>
      <c r="T845" s="2" t="s">
        <v>627</v>
      </c>
      <c r="U845" s="2" t="s">
        <v>627</v>
      </c>
      <c r="V845" s="2" t="s">
        <v>627</v>
      </c>
      <c r="W845" s="2" t="s">
        <v>627</v>
      </c>
      <c r="X845" s="2" t="s">
        <v>5817</v>
      </c>
      <c r="Y845" s="2" t="s">
        <v>5818</v>
      </c>
      <c r="Z845" s="2">
        <v>85602215</v>
      </c>
      <c r="AA845" s="2">
        <v>85602215</v>
      </c>
      <c r="AB845" s="2" t="s">
        <v>642</v>
      </c>
      <c r="AC845" s="2" t="s">
        <v>632</v>
      </c>
      <c r="AD845" s="2">
        <v>85602215</v>
      </c>
      <c r="AJ845" s="2">
        <v>85602215</v>
      </c>
      <c r="AK845" s="2">
        <v>2</v>
      </c>
      <c r="AL845" s="2" t="s">
        <v>633</v>
      </c>
      <c r="AM845" s="2">
        <v>0</v>
      </c>
      <c r="AN845" s="2">
        <v>0</v>
      </c>
      <c r="AO845" s="2">
        <v>1</v>
      </c>
      <c r="AP845" s="2">
        <v>0</v>
      </c>
      <c r="AQ845" s="2">
        <v>0</v>
      </c>
      <c r="AR845" s="2">
        <v>0</v>
      </c>
      <c r="AS845" s="2">
        <v>0</v>
      </c>
      <c r="AT845" s="2">
        <v>0</v>
      </c>
      <c r="AZ845" s="2" t="s">
        <v>5819</v>
      </c>
      <c r="BB845" s="2" t="str">
        <f>+PROPER(BD[[#This Row],[PRIMER_APELLIDO]])</f>
        <v>Flores</v>
      </c>
    </row>
    <row r="846" spans="1:54" x14ac:dyDescent="0.25">
      <c r="A846" s="2">
        <v>845</v>
      </c>
      <c r="B846" s="2">
        <v>34982</v>
      </c>
      <c r="C846" s="2" t="s">
        <v>619</v>
      </c>
      <c r="D846" s="2" t="s">
        <v>620</v>
      </c>
      <c r="E846" s="2" t="s">
        <v>5820</v>
      </c>
      <c r="F846" s="2">
        <v>21713295</v>
      </c>
      <c r="G846" s="3">
        <v>38.369863013698627</v>
      </c>
      <c r="H846" s="2" t="s">
        <v>622</v>
      </c>
      <c r="I846" s="2" t="s">
        <v>5821</v>
      </c>
      <c r="J846" s="2" t="str">
        <f>+IF(BD[[#This Row],[DEPARTAMENTO_INSS]]="MANAGUA","_01_","_02_")</f>
        <v>_02_</v>
      </c>
      <c r="K846" s="2" t="str">
        <f>+CONCATENATE(BD[[#This Row],[Columna3]],BD[[#This Row],[Columna4]],BD[[#This Row],[NOMBRE COMPLETO]])</f>
        <v>E003_02_ALANA MARGOT NEVARES BERRIOS</v>
      </c>
      <c r="L846" s="2" t="s">
        <v>5822</v>
      </c>
      <c r="M846" s="2" t="s">
        <v>5823</v>
      </c>
      <c r="N846" s="2" t="s">
        <v>103</v>
      </c>
      <c r="O846" s="2" t="s">
        <v>108</v>
      </c>
      <c r="P846" s="2" t="s">
        <v>626</v>
      </c>
      <c r="Q846" s="2" t="s">
        <v>3322</v>
      </c>
      <c r="R846" s="2">
        <v>30791</v>
      </c>
      <c r="S846" s="2">
        <v>30791</v>
      </c>
      <c r="T846" s="2" t="s">
        <v>176</v>
      </c>
      <c r="U846" s="2" t="s">
        <v>176</v>
      </c>
      <c r="V846" s="2" t="s">
        <v>650</v>
      </c>
      <c r="W846" s="2" t="s">
        <v>176</v>
      </c>
      <c r="X846" s="2" t="s">
        <v>5824</v>
      </c>
      <c r="Y846" s="2" t="s">
        <v>5825</v>
      </c>
      <c r="AA846" s="2">
        <v>23115350</v>
      </c>
      <c r="AB846" s="2" t="s">
        <v>654</v>
      </c>
      <c r="AC846" s="2" t="s">
        <v>632</v>
      </c>
      <c r="AK846" s="2">
        <v>1</v>
      </c>
      <c r="AL846" s="2" t="s">
        <v>633</v>
      </c>
      <c r="AM846" s="2">
        <v>0</v>
      </c>
      <c r="AN846" s="2">
        <v>0</v>
      </c>
      <c r="AO846" s="2">
        <v>1</v>
      </c>
      <c r="AP846" s="2">
        <v>0</v>
      </c>
      <c r="AQ846" s="2">
        <v>0</v>
      </c>
      <c r="AR846" s="2">
        <v>0</v>
      </c>
      <c r="AS846" s="2">
        <v>0</v>
      </c>
      <c r="AT846" s="2">
        <v>0</v>
      </c>
      <c r="BB846" s="2" t="str">
        <f>+PROPER(BD[[#This Row],[PRIMER_APELLIDO]])</f>
        <v>Nevares</v>
      </c>
    </row>
    <row r="847" spans="1:54" x14ac:dyDescent="0.25">
      <c r="A847" s="2">
        <v>846</v>
      </c>
      <c r="B847" s="2">
        <v>29847</v>
      </c>
      <c r="C847" s="2" t="s">
        <v>619</v>
      </c>
      <c r="D847" s="2" t="s">
        <v>620</v>
      </c>
      <c r="E847" s="2" t="s">
        <v>5826</v>
      </c>
      <c r="F847" s="2">
        <v>21543517</v>
      </c>
      <c r="G847" s="3">
        <v>38.37808219178082</v>
      </c>
      <c r="H847" s="2" t="s">
        <v>622</v>
      </c>
      <c r="I847" s="2" t="s">
        <v>5827</v>
      </c>
      <c r="J847" s="2" t="str">
        <f>+IF(BD[[#This Row],[DEPARTAMENTO_INSS]]="MANAGUA","_01_","_02_")</f>
        <v>_02_</v>
      </c>
      <c r="K847" s="2" t="str">
        <f>+CONCATENATE(BD[[#This Row],[Columna3]],BD[[#This Row],[Columna4]],BD[[#This Row],[NOMBRE COMPLETO]])</f>
        <v>E003_02_KEYLIN MILAGRO MENDOZA GUEVARA</v>
      </c>
      <c r="L847" s="2" t="s">
        <v>3913</v>
      </c>
      <c r="M847" s="2" t="s">
        <v>5828</v>
      </c>
      <c r="N847" s="2" t="s">
        <v>9</v>
      </c>
      <c r="O847" s="2" t="s">
        <v>51</v>
      </c>
      <c r="P847" s="2" t="s">
        <v>626</v>
      </c>
      <c r="Q847" s="2" t="s">
        <v>351</v>
      </c>
      <c r="R847" s="2">
        <v>30788</v>
      </c>
      <c r="S847" s="2">
        <v>30788</v>
      </c>
      <c r="T847" s="2" t="s">
        <v>176</v>
      </c>
      <c r="U847" s="2" t="s">
        <v>176</v>
      </c>
      <c r="V847" s="2" t="s">
        <v>650</v>
      </c>
      <c r="W847" s="2" t="s">
        <v>176</v>
      </c>
      <c r="X847" s="2" t="s">
        <v>5829</v>
      </c>
      <c r="Y847" s="2" t="s">
        <v>5830</v>
      </c>
      <c r="AA847" s="2" t="s">
        <v>5831</v>
      </c>
      <c r="AB847" s="2" t="s">
        <v>654</v>
      </c>
      <c r="AC847" s="2" t="s">
        <v>632</v>
      </c>
      <c r="AE847" s="2">
        <v>82861207</v>
      </c>
      <c r="AJ847" s="2">
        <v>82861207</v>
      </c>
      <c r="AK847" s="2">
        <v>2</v>
      </c>
      <c r="AL847" s="2" t="s">
        <v>633</v>
      </c>
      <c r="AM847" s="2">
        <v>0</v>
      </c>
      <c r="AN847" s="2">
        <v>0</v>
      </c>
      <c r="AO847" s="2">
        <v>1</v>
      </c>
      <c r="AP847" s="2">
        <v>0</v>
      </c>
      <c r="AQ847" s="2">
        <v>0</v>
      </c>
      <c r="AR847" s="2">
        <v>0</v>
      </c>
      <c r="AS847" s="2">
        <v>0</v>
      </c>
      <c r="AT847" s="2">
        <v>0</v>
      </c>
      <c r="BB847" s="2" t="str">
        <f>+PROPER(BD[[#This Row],[PRIMER_APELLIDO]])</f>
        <v>Mendoza</v>
      </c>
    </row>
    <row r="848" spans="1:54" x14ac:dyDescent="0.25">
      <c r="A848" s="2">
        <v>847</v>
      </c>
      <c r="B848" s="2">
        <v>35523</v>
      </c>
      <c r="C848" s="2" t="s">
        <v>619</v>
      </c>
      <c r="D848" s="2" t="s">
        <v>620</v>
      </c>
      <c r="E848" s="2" t="s">
        <v>5832</v>
      </c>
      <c r="F848" s="2">
        <v>22389053</v>
      </c>
      <c r="G848" s="3">
        <v>38.37808219178082</v>
      </c>
      <c r="H848" s="2" t="s">
        <v>622</v>
      </c>
      <c r="I848" s="2" t="s">
        <v>5833</v>
      </c>
      <c r="J848" s="2" t="str">
        <f>+IF(BD[[#This Row],[DEPARTAMENTO_INSS]]="MANAGUA","_01_","_02_")</f>
        <v>_02_</v>
      </c>
      <c r="K848" s="2" t="str">
        <f>+CONCATENATE(BD[[#This Row],[Columna3]],BD[[#This Row],[Columna4]],BD[[#This Row],[NOMBRE COMPLETO]])</f>
        <v>E003_02_ROBERTO JOSE BACA CANO</v>
      </c>
      <c r="L848" s="2" t="s">
        <v>1057</v>
      </c>
      <c r="M848" s="2" t="s">
        <v>243</v>
      </c>
      <c r="N848" s="2" t="s">
        <v>123</v>
      </c>
      <c r="O848" s="2" t="s">
        <v>340</v>
      </c>
      <c r="P848" s="2" t="s">
        <v>649</v>
      </c>
      <c r="Q848" s="2" t="s">
        <v>351</v>
      </c>
      <c r="R848" s="2">
        <v>30788</v>
      </c>
      <c r="S848" s="2">
        <v>30788</v>
      </c>
      <c r="T848" s="2" t="s">
        <v>705</v>
      </c>
      <c r="U848" s="2" t="s">
        <v>705</v>
      </c>
      <c r="V848" s="2" t="s">
        <v>705</v>
      </c>
      <c r="W848" s="2" t="s">
        <v>705</v>
      </c>
      <c r="X848" s="2" t="s">
        <v>5834</v>
      </c>
      <c r="Y848" s="2" t="s">
        <v>5835</v>
      </c>
      <c r="AA848" s="2">
        <v>23413294</v>
      </c>
      <c r="AB848" s="2" t="s">
        <v>654</v>
      </c>
      <c r="AC848" s="2" t="s">
        <v>632</v>
      </c>
      <c r="AK848" s="2">
        <v>1</v>
      </c>
      <c r="AL848" s="2" t="s">
        <v>633</v>
      </c>
      <c r="AM848" s="2">
        <v>0</v>
      </c>
      <c r="AN848" s="2">
        <v>0</v>
      </c>
      <c r="AO848" s="2">
        <v>1</v>
      </c>
      <c r="AP848" s="2">
        <v>0</v>
      </c>
      <c r="AQ848" s="2">
        <v>0</v>
      </c>
      <c r="AR848" s="2">
        <v>0</v>
      </c>
      <c r="AS848" s="2">
        <v>0</v>
      </c>
      <c r="AT848" s="2">
        <v>0</v>
      </c>
      <c r="BA848" s="2" t="s">
        <v>5836</v>
      </c>
      <c r="BB848" s="2" t="str">
        <f>+PROPER(BD[[#This Row],[PRIMER_APELLIDO]])</f>
        <v>Baca</v>
      </c>
    </row>
    <row r="849" spans="1:54" x14ac:dyDescent="0.25">
      <c r="A849" s="2">
        <v>848</v>
      </c>
      <c r="B849" s="2">
        <v>36945</v>
      </c>
      <c r="C849" s="2" t="s">
        <v>619</v>
      </c>
      <c r="D849" s="2" t="s">
        <v>620</v>
      </c>
      <c r="E849" s="2" t="s">
        <v>5837</v>
      </c>
      <c r="F849" s="2">
        <v>22389437</v>
      </c>
      <c r="G849" s="3">
        <v>38.38356164383562</v>
      </c>
      <c r="H849" s="2" t="s">
        <v>622</v>
      </c>
      <c r="I849" s="2" t="s">
        <v>5838</v>
      </c>
      <c r="J849" s="2" t="str">
        <f>+IF(BD[[#This Row],[DEPARTAMENTO_INSS]]="MANAGUA","_01_","_02_")</f>
        <v>_02_</v>
      </c>
      <c r="K849" s="2" t="str">
        <f>+CONCATENATE(BD[[#This Row],[Columna3]],BD[[#This Row],[Columna4]],BD[[#This Row],[NOMBRE COMPLETO]])</f>
        <v>E003_02_ARLEN MARGARITA NARVAEZ VILLANUEVA</v>
      </c>
      <c r="L849" s="2" t="s">
        <v>624</v>
      </c>
      <c r="M849" s="2" t="s">
        <v>937</v>
      </c>
      <c r="N849" s="2" t="s">
        <v>121</v>
      </c>
      <c r="O849" s="2" t="s">
        <v>1308</v>
      </c>
      <c r="P849" s="2" t="s">
        <v>626</v>
      </c>
      <c r="Q849" s="2" t="s">
        <v>351</v>
      </c>
      <c r="R849" s="2">
        <v>30786</v>
      </c>
      <c r="S849" s="2">
        <v>30786</v>
      </c>
      <c r="T849" s="2" t="s">
        <v>705</v>
      </c>
      <c r="U849" s="2" t="s">
        <v>705</v>
      </c>
      <c r="V849" s="2" t="s">
        <v>705</v>
      </c>
      <c r="W849" s="2" t="s">
        <v>705</v>
      </c>
      <c r="X849" s="2" t="s">
        <v>5839</v>
      </c>
      <c r="Y849" s="2" t="s">
        <v>5840</v>
      </c>
      <c r="AA849" s="2" t="s">
        <v>5841</v>
      </c>
      <c r="AB849" s="2" t="s">
        <v>654</v>
      </c>
      <c r="AC849" s="2" t="s">
        <v>632</v>
      </c>
      <c r="AE849" s="2">
        <v>88961425</v>
      </c>
      <c r="AJ849" s="2">
        <v>88961425</v>
      </c>
      <c r="AK849" s="2">
        <v>2</v>
      </c>
      <c r="AL849" s="2" t="s">
        <v>633</v>
      </c>
      <c r="AM849" s="2">
        <v>0</v>
      </c>
      <c r="AN849" s="2">
        <v>0</v>
      </c>
      <c r="AO849" s="2">
        <v>1</v>
      </c>
      <c r="AP849" s="2">
        <v>0</v>
      </c>
      <c r="AQ849" s="2">
        <v>0</v>
      </c>
      <c r="AR849" s="2">
        <v>0</v>
      </c>
      <c r="AS849" s="2">
        <v>0</v>
      </c>
      <c r="AT849" s="2">
        <v>0</v>
      </c>
      <c r="BA849" s="2" t="s">
        <v>5842</v>
      </c>
      <c r="BB849" s="2" t="str">
        <f>+PROPER(BD[[#This Row],[PRIMER_APELLIDO]])</f>
        <v>Narvaez</v>
      </c>
    </row>
    <row r="850" spans="1:54" x14ac:dyDescent="0.25">
      <c r="A850" s="2">
        <v>849</v>
      </c>
      <c r="B850" s="2">
        <v>38586</v>
      </c>
      <c r="C850" s="2" t="s">
        <v>619</v>
      </c>
      <c r="D850" s="2" t="s">
        <v>620</v>
      </c>
      <c r="E850" s="2" t="s">
        <v>5843</v>
      </c>
      <c r="F850" s="2">
        <v>27840180</v>
      </c>
      <c r="G850" s="3">
        <v>38.389041095890413</v>
      </c>
      <c r="H850" s="2" t="s">
        <v>622</v>
      </c>
      <c r="I850" s="2" t="s">
        <v>5844</v>
      </c>
      <c r="J850" s="2" t="str">
        <f>+IF(BD[[#This Row],[DEPARTAMENTO_INSS]]="MANAGUA","_01_","_02_")</f>
        <v>_02_</v>
      </c>
      <c r="K850" s="2" t="str">
        <f>+CONCATENATE(BD[[#This Row],[Columna3]],BD[[#This Row],[Columna4]],BD[[#This Row],[NOMBRE COMPLETO]])</f>
        <v>E003_02_JOSE ISMAEL MIRANDA VINDELL</v>
      </c>
      <c r="L850" s="2" t="s">
        <v>243</v>
      </c>
      <c r="M850" s="2" t="s">
        <v>1770</v>
      </c>
      <c r="N850" s="2" t="s">
        <v>56</v>
      </c>
      <c r="O850" s="2" t="s">
        <v>5845</v>
      </c>
      <c r="P850" s="2" t="s">
        <v>649</v>
      </c>
      <c r="Q850" s="2" t="s">
        <v>351</v>
      </c>
      <c r="R850" s="2">
        <v>30784</v>
      </c>
      <c r="S850" s="2">
        <v>30784</v>
      </c>
      <c r="T850" s="2" t="s">
        <v>691</v>
      </c>
      <c r="U850" s="2" t="s">
        <v>176</v>
      </c>
      <c r="V850" s="2" t="s">
        <v>1399</v>
      </c>
      <c r="W850" s="2" t="s">
        <v>176</v>
      </c>
      <c r="X850" s="2" t="s">
        <v>5846</v>
      </c>
      <c r="Y850" s="2" t="s">
        <v>5847</v>
      </c>
      <c r="AA850" s="2">
        <v>84335977</v>
      </c>
      <c r="AB850" s="2" t="s">
        <v>5848</v>
      </c>
      <c r="AC850" s="2" t="s">
        <v>632</v>
      </c>
      <c r="AD850" s="2">
        <v>84335977</v>
      </c>
      <c r="AJ850" s="2">
        <v>84335977</v>
      </c>
      <c r="AK850" s="2">
        <v>1</v>
      </c>
      <c r="AL850" s="2" t="s">
        <v>633</v>
      </c>
      <c r="AM850" s="2">
        <v>0</v>
      </c>
      <c r="AN850" s="2">
        <v>0</v>
      </c>
      <c r="AO850" s="2">
        <v>1</v>
      </c>
      <c r="AP850" s="2">
        <v>0</v>
      </c>
      <c r="AQ850" s="2">
        <v>0</v>
      </c>
      <c r="AR850" s="2">
        <v>0</v>
      </c>
      <c r="AS850" s="2">
        <v>0</v>
      </c>
      <c r="AT850" s="2">
        <v>0</v>
      </c>
      <c r="BB850" s="2" t="str">
        <f>+PROPER(BD[[#This Row],[PRIMER_APELLIDO]])</f>
        <v>Miranda</v>
      </c>
    </row>
    <row r="851" spans="1:54" x14ac:dyDescent="0.25">
      <c r="A851" s="2">
        <v>850</v>
      </c>
      <c r="B851" s="2">
        <v>30823</v>
      </c>
      <c r="C851" s="2" t="s">
        <v>619</v>
      </c>
      <c r="D851" s="2" t="s">
        <v>620</v>
      </c>
      <c r="E851" s="2" t="s">
        <v>5849</v>
      </c>
      <c r="G851" s="3">
        <v>38.408219178082192</v>
      </c>
      <c r="H851" s="2" t="s">
        <v>622</v>
      </c>
      <c r="I851" s="2" t="s">
        <v>5850</v>
      </c>
      <c r="J851" s="2" t="str">
        <f>+IF(BD[[#This Row],[DEPARTAMENTO_INSS]]="MANAGUA","_01_","_02_")</f>
        <v>_02_</v>
      </c>
      <c r="K851" s="2" t="str">
        <f>+CONCATENATE(BD[[#This Row],[Columna3]],BD[[#This Row],[Columna4]],BD[[#This Row],[NOMBRE COMPLETO]])</f>
        <v>E003_02_OSCAR REYNERIO ACEVEDO PICHARDO</v>
      </c>
      <c r="L851" s="2" t="s">
        <v>2539</v>
      </c>
      <c r="M851" s="2" t="s">
        <v>5851</v>
      </c>
      <c r="N851" s="2" t="s">
        <v>261</v>
      </c>
      <c r="O851" s="2" t="s">
        <v>471</v>
      </c>
      <c r="P851" s="2" t="s">
        <v>649</v>
      </c>
      <c r="Q851" s="2" t="s">
        <v>351</v>
      </c>
      <c r="R851" s="2">
        <v>30777</v>
      </c>
      <c r="S851" s="2">
        <v>30777</v>
      </c>
      <c r="T851" s="2" t="s">
        <v>133</v>
      </c>
      <c r="U851" s="2" t="s">
        <v>133</v>
      </c>
      <c r="V851" s="2" t="s">
        <v>869</v>
      </c>
      <c r="W851" s="2" t="s">
        <v>869</v>
      </c>
      <c r="X851" s="2" t="s">
        <v>5852</v>
      </c>
      <c r="Y851" s="2" t="s">
        <v>5853</v>
      </c>
      <c r="Z851" s="2">
        <v>82729859</v>
      </c>
      <c r="AA851" s="2">
        <v>83965481</v>
      </c>
      <c r="AB851" s="2" t="s">
        <v>654</v>
      </c>
      <c r="AC851" s="2" t="s">
        <v>632</v>
      </c>
      <c r="AD851" s="2">
        <v>82729859</v>
      </c>
      <c r="AF851" s="2">
        <v>83965481</v>
      </c>
      <c r="AJ851" s="2">
        <v>82729859</v>
      </c>
      <c r="AK851" s="2">
        <v>2</v>
      </c>
      <c r="AL851" s="2" t="s">
        <v>633</v>
      </c>
      <c r="AM851" s="2">
        <v>0</v>
      </c>
      <c r="AN851" s="2">
        <v>0</v>
      </c>
      <c r="AO851" s="2">
        <v>1</v>
      </c>
      <c r="AP851" s="2">
        <v>0</v>
      </c>
      <c r="AQ851" s="2">
        <v>0</v>
      </c>
      <c r="AR851" s="2">
        <v>0</v>
      </c>
      <c r="AS851" s="2">
        <v>0</v>
      </c>
      <c r="AT851" s="2">
        <v>0</v>
      </c>
      <c r="AZ851" s="2" t="s">
        <v>5854</v>
      </c>
      <c r="BB851" s="2" t="str">
        <f>+PROPER(BD[[#This Row],[PRIMER_APELLIDO]])</f>
        <v>Acevedo</v>
      </c>
    </row>
    <row r="852" spans="1:54" x14ac:dyDescent="0.25">
      <c r="A852" s="2">
        <v>851</v>
      </c>
      <c r="B852" s="2">
        <v>29897</v>
      </c>
      <c r="C852" s="2" t="s">
        <v>619</v>
      </c>
      <c r="D852" s="2" t="s">
        <v>620</v>
      </c>
      <c r="E852" s="2" t="s">
        <v>5855</v>
      </c>
      <c r="F852" s="2">
        <v>21669631</v>
      </c>
      <c r="G852" s="3">
        <v>38.413698630136984</v>
      </c>
      <c r="H852" s="2" t="s">
        <v>622</v>
      </c>
      <c r="I852" s="2" t="s">
        <v>5856</v>
      </c>
      <c r="J852" s="2" t="str">
        <f>+IF(BD[[#This Row],[DEPARTAMENTO_INSS]]="MANAGUA","_01_","_02_")</f>
        <v>_02_</v>
      </c>
      <c r="K852" s="2" t="str">
        <f>+CONCATENATE(BD[[#This Row],[Columna3]],BD[[#This Row],[Columna4]],BD[[#This Row],[NOMBRE COMPLETO]])</f>
        <v>E003_02_LYLLIAM MARIA ROMERO SOZA</v>
      </c>
      <c r="L852" s="2" t="s">
        <v>5857</v>
      </c>
      <c r="M852" s="2" t="s">
        <v>724</v>
      </c>
      <c r="N852" s="2" t="s">
        <v>41</v>
      </c>
      <c r="O852" s="2" t="s">
        <v>211</v>
      </c>
      <c r="P852" s="2" t="s">
        <v>626</v>
      </c>
      <c r="Q852" s="2" t="s">
        <v>351</v>
      </c>
      <c r="R852" s="2">
        <v>30775</v>
      </c>
      <c r="S852" s="2">
        <v>30775</v>
      </c>
      <c r="T852" s="2" t="s">
        <v>705</v>
      </c>
      <c r="U852" s="2" t="s">
        <v>705</v>
      </c>
      <c r="V852" s="2" t="s">
        <v>705</v>
      </c>
      <c r="W852" s="2" t="s">
        <v>705</v>
      </c>
      <c r="X852" s="2" t="s">
        <v>5858</v>
      </c>
      <c r="Y852" s="2" t="s">
        <v>5859</v>
      </c>
      <c r="Z852" s="2">
        <v>84777088</v>
      </c>
      <c r="AA852" s="2">
        <v>84777088</v>
      </c>
      <c r="AB852" s="2" t="s">
        <v>642</v>
      </c>
      <c r="AC852" s="2" t="s">
        <v>632</v>
      </c>
      <c r="AD852" s="2">
        <v>84777088</v>
      </c>
      <c r="AJ852" s="2">
        <v>84777088</v>
      </c>
      <c r="AK852" s="2">
        <v>2</v>
      </c>
      <c r="AL852" s="2" t="s">
        <v>633</v>
      </c>
      <c r="AM852" s="2">
        <v>0</v>
      </c>
      <c r="AN852" s="2">
        <v>0</v>
      </c>
      <c r="AO852" s="2">
        <v>1</v>
      </c>
      <c r="AP852" s="2">
        <v>0</v>
      </c>
      <c r="AQ852" s="2">
        <v>0</v>
      </c>
      <c r="AR852" s="2">
        <v>0</v>
      </c>
      <c r="AS852" s="2">
        <v>0</v>
      </c>
      <c r="AT852" s="2">
        <v>0</v>
      </c>
      <c r="BB852" s="2" t="str">
        <f>+PROPER(BD[[#This Row],[PRIMER_APELLIDO]])</f>
        <v>Romero</v>
      </c>
    </row>
    <row r="853" spans="1:54" x14ac:dyDescent="0.25">
      <c r="A853" s="2">
        <v>852</v>
      </c>
      <c r="B853" s="2">
        <v>35450</v>
      </c>
      <c r="C853" s="2" t="s">
        <v>619</v>
      </c>
      <c r="D853" s="2" t="s">
        <v>620</v>
      </c>
      <c r="E853" s="2" t="s">
        <v>5860</v>
      </c>
      <c r="F853" s="2">
        <v>22118330</v>
      </c>
      <c r="G853" s="3">
        <v>38.416438356164385</v>
      </c>
      <c r="H853" s="2" t="s">
        <v>622</v>
      </c>
      <c r="I853" s="2" t="s">
        <v>5861</v>
      </c>
      <c r="J853" s="2" t="str">
        <f>+IF(BD[[#This Row],[DEPARTAMENTO_INSS]]="MANAGUA","_01_","_02_")</f>
        <v>_02_</v>
      </c>
      <c r="K853" s="2" t="str">
        <f>+CONCATENATE(BD[[#This Row],[Columna3]],BD[[#This Row],[Columna4]],BD[[#This Row],[NOMBRE COMPLETO]])</f>
        <v>E003_02_CAROLINA DE LOS ANGELES CANO AGUIRRE</v>
      </c>
      <c r="L853" s="2" t="s">
        <v>714</v>
      </c>
      <c r="M853" s="2" t="s">
        <v>683</v>
      </c>
      <c r="N853" s="2" t="s">
        <v>340</v>
      </c>
      <c r="O853" s="2" t="s">
        <v>255</v>
      </c>
      <c r="P853" s="2" t="s">
        <v>626</v>
      </c>
      <c r="Q853" s="2" t="s">
        <v>351</v>
      </c>
      <c r="R853" s="2">
        <v>30774</v>
      </c>
      <c r="S853" s="2">
        <v>30774</v>
      </c>
      <c r="T853" s="2" t="s">
        <v>732</v>
      </c>
      <c r="U853" s="2" t="s">
        <v>732</v>
      </c>
      <c r="V853" s="2" t="s">
        <v>732</v>
      </c>
      <c r="W853" s="2" t="s">
        <v>732</v>
      </c>
      <c r="X853" s="2" t="s">
        <v>5862</v>
      </c>
      <c r="Y853" s="2" t="s">
        <v>5863</v>
      </c>
      <c r="Z853" s="2">
        <v>85653607</v>
      </c>
      <c r="AA853" s="2">
        <v>25226247</v>
      </c>
      <c r="AB853" s="2" t="s">
        <v>642</v>
      </c>
      <c r="AC853" s="2" t="s">
        <v>632</v>
      </c>
      <c r="AD853" s="2">
        <v>85653607</v>
      </c>
      <c r="AJ853" s="2">
        <v>85653607</v>
      </c>
      <c r="AK853" s="2">
        <v>2</v>
      </c>
      <c r="AL853" s="2" t="s">
        <v>633</v>
      </c>
      <c r="AM853" s="2">
        <v>0</v>
      </c>
      <c r="AN853" s="2">
        <v>0</v>
      </c>
      <c r="AO853" s="2">
        <v>1</v>
      </c>
      <c r="AP853" s="2">
        <v>0</v>
      </c>
      <c r="AQ853" s="2">
        <v>0</v>
      </c>
      <c r="AR853" s="2">
        <v>0</v>
      </c>
      <c r="AS853" s="2">
        <v>0</v>
      </c>
      <c r="AT853" s="2">
        <v>0</v>
      </c>
      <c r="AZ853" s="2" t="s">
        <v>5864</v>
      </c>
      <c r="BB853" s="2" t="str">
        <f>+PROPER(BD[[#This Row],[PRIMER_APELLIDO]])</f>
        <v>Cano</v>
      </c>
    </row>
    <row r="854" spans="1:54" x14ac:dyDescent="0.25">
      <c r="A854" s="2">
        <v>853</v>
      </c>
      <c r="B854" s="2">
        <v>33130</v>
      </c>
      <c r="C854" s="2" t="s">
        <v>619</v>
      </c>
      <c r="D854" s="2" t="s">
        <v>620</v>
      </c>
      <c r="E854" s="2" t="s">
        <v>5865</v>
      </c>
      <c r="F854" s="2">
        <v>21743843</v>
      </c>
      <c r="G854" s="3">
        <v>38.419178082191777</v>
      </c>
      <c r="H854" s="2" t="s">
        <v>622</v>
      </c>
      <c r="I854" s="2" t="s">
        <v>5866</v>
      </c>
      <c r="J854" s="2" t="str">
        <f>+IF(BD[[#This Row],[DEPARTAMENTO_INSS]]="MANAGUA","_01_","_02_")</f>
        <v>_02_</v>
      </c>
      <c r="K854" s="2" t="str">
        <f>+CONCATENATE(BD[[#This Row],[Columna3]],BD[[#This Row],[Columna4]],BD[[#This Row],[NOMBRE COMPLETO]])</f>
        <v>E003_02_ARLEN CAROLINA ULLOA FLORES</v>
      </c>
      <c r="L854" s="2" t="s">
        <v>624</v>
      </c>
      <c r="M854" s="2" t="s">
        <v>714</v>
      </c>
      <c r="N854" s="2" t="s">
        <v>25</v>
      </c>
      <c r="O854" s="2" t="s">
        <v>58</v>
      </c>
      <c r="P854" s="2" t="s">
        <v>626</v>
      </c>
      <c r="Q854" s="2" t="s">
        <v>351</v>
      </c>
      <c r="R854" s="2">
        <v>30773</v>
      </c>
      <c r="S854" s="2">
        <v>30773</v>
      </c>
      <c r="T854" s="2" t="s">
        <v>176</v>
      </c>
      <c r="U854" s="2" t="s">
        <v>176</v>
      </c>
      <c r="V854" s="2" t="s">
        <v>650</v>
      </c>
      <c r="W854" s="2" t="s">
        <v>176</v>
      </c>
      <c r="X854" s="2" t="s">
        <v>5867</v>
      </c>
      <c r="Y854" s="2" t="s">
        <v>5868</v>
      </c>
      <c r="Z854" s="2">
        <v>85188451</v>
      </c>
      <c r="AA854" s="2" t="s">
        <v>5869</v>
      </c>
      <c r="AB854" s="2" t="s">
        <v>654</v>
      </c>
      <c r="AC854" s="2" t="s">
        <v>632</v>
      </c>
      <c r="AD854" s="2">
        <v>85188451</v>
      </c>
      <c r="AH854" s="2">
        <v>84902390</v>
      </c>
      <c r="AJ854" s="2">
        <v>85188451</v>
      </c>
      <c r="AK854" s="2">
        <v>4</v>
      </c>
      <c r="AL854" s="2" t="s">
        <v>633</v>
      </c>
      <c r="AM854" s="2">
        <v>0</v>
      </c>
      <c r="AN854" s="2">
        <v>0</v>
      </c>
      <c r="AO854" s="2">
        <v>1</v>
      </c>
      <c r="AP854" s="2">
        <v>0</v>
      </c>
      <c r="AQ854" s="2">
        <v>0</v>
      </c>
      <c r="AR854" s="2">
        <v>0</v>
      </c>
      <c r="AS854" s="2">
        <v>0</v>
      </c>
      <c r="AT854" s="2">
        <v>0</v>
      </c>
      <c r="AZ854" s="2" t="s">
        <v>5870</v>
      </c>
      <c r="BB854" s="2" t="str">
        <f>+PROPER(BD[[#This Row],[PRIMER_APELLIDO]])</f>
        <v>Ulloa</v>
      </c>
    </row>
    <row r="855" spans="1:54" x14ac:dyDescent="0.25">
      <c r="A855" s="2">
        <v>854</v>
      </c>
      <c r="B855" s="2">
        <v>40834</v>
      </c>
      <c r="C855" s="2" t="s">
        <v>619</v>
      </c>
      <c r="D855" s="2" t="s">
        <v>620</v>
      </c>
      <c r="E855" s="2" t="s">
        <v>5871</v>
      </c>
      <c r="F855" s="2">
        <v>23142644</v>
      </c>
      <c r="G855" s="3">
        <v>38.424657534246577</v>
      </c>
      <c r="H855" s="2" t="s">
        <v>622</v>
      </c>
      <c r="I855" s="2" t="s">
        <v>5872</v>
      </c>
      <c r="J855" s="2" t="str">
        <f>+IF(BD[[#This Row],[DEPARTAMENTO_INSS]]="MANAGUA","_01_","_02_")</f>
        <v>_02_</v>
      </c>
      <c r="K855" s="2" t="str">
        <f>+CONCATENATE(BD[[#This Row],[Columna3]],BD[[#This Row],[Columna4]],BD[[#This Row],[NOMBRE COMPLETO]])</f>
        <v>E003_02_TATIANA DENISE GARCIA ACEVEDO</v>
      </c>
      <c r="L855" s="2" t="s">
        <v>3023</v>
      </c>
      <c r="M855" s="2" t="s">
        <v>5873</v>
      </c>
      <c r="N855" s="2" t="s">
        <v>10</v>
      </c>
      <c r="O855" s="2" t="s">
        <v>261</v>
      </c>
      <c r="P855" s="2" t="s">
        <v>626</v>
      </c>
      <c r="Q855" s="2" t="s">
        <v>351</v>
      </c>
      <c r="R855" s="2">
        <v>30771</v>
      </c>
      <c r="S855" s="2">
        <v>30771</v>
      </c>
      <c r="T855" s="2" t="s">
        <v>740</v>
      </c>
      <c r="U855" s="2" t="s">
        <v>740</v>
      </c>
      <c r="V855" s="2" t="s">
        <v>740</v>
      </c>
      <c r="W855" s="2" t="s">
        <v>740</v>
      </c>
      <c r="X855" s="2" t="s">
        <v>5874</v>
      </c>
      <c r="Y855" s="2" t="s">
        <v>5875</v>
      </c>
      <c r="Z855" s="2">
        <v>83798801</v>
      </c>
      <c r="AB855" s="2" t="s">
        <v>642</v>
      </c>
      <c r="AC855" s="2" t="s">
        <v>632</v>
      </c>
      <c r="AD855" s="2">
        <v>83798801</v>
      </c>
      <c r="AJ855" s="2">
        <v>83798801</v>
      </c>
      <c r="AK855" s="2">
        <v>1</v>
      </c>
      <c r="AL855" s="2" t="s">
        <v>633</v>
      </c>
      <c r="AM855" s="2">
        <v>0</v>
      </c>
      <c r="AN855" s="2">
        <v>0</v>
      </c>
      <c r="AO855" s="2">
        <v>1</v>
      </c>
      <c r="AP855" s="2">
        <v>0</v>
      </c>
      <c r="AQ855" s="2">
        <v>0</v>
      </c>
      <c r="AR855" s="2">
        <v>0</v>
      </c>
      <c r="AS855" s="2">
        <v>0</v>
      </c>
      <c r="AT855" s="2">
        <v>0</v>
      </c>
      <c r="AZ855" s="2" t="s">
        <v>5876</v>
      </c>
      <c r="BB855" s="2" t="str">
        <f>+PROPER(BD[[#This Row],[PRIMER_APELLIDO]])</f>
        <v>Garcia</v>
      </c>
    </row>
    <row r="856" spans="1:54" x14ac:dyDescent="0.25">
      <c r="A856" s="2">
        <v>855</v>
      </c>
      <c r="B856" s="2">
        <v>29948</v>
      </c>
      <c r="C856" s="2" t="s">
        <v>619</v>
      </c>
      <c r="D856" s="2" t="s">
        <v>620</v>
      </c>
      <c r="E856" s="2" t="s">
        <v>5877</v>
      </c>
      <c r="F856" s="2">
        <v>21726729</v>
      </c>
      <c r="G856" s="3">
        <v>38.43287671232877</v>
      </c>
      <c r="H856" s="2" t="s">
        <v>622</v>
      </c>
      <c r="I856" s="2" t="s">
        <v>5878</v>
      </c>
      <c r="J856" s="2" t="str">
        <f>+IF(BD[[#This Row],[DEPARTAMENTO_INSS]]="MANAGUA","_01_","_02_")</f>
        <v>_02_</v>
      </c>
      <c r="K856" s="2" t="str">
        <f>+CONCATENATE(BD[[#This Row],[Columna3]],BD[[#This Row],[Columna4]],BD[[#This Row],[NOMBRE COMPLETO]])</f>
        <v>E003_02_SAYDA PATRICIA BURGOS FLORES</v>
      </c>
      <c r="L856" s="2" t="s">
        <v>5879</v>
      </c>
      <c r="M856" s="2" t="s">
        <v>747</v>
      </c>
      <c r="N856" s="2" t="s">
        <v>157</v>
      </c>
      <c r="O856" s="2" t="s">
        <v>58</v>
      </c>
      <c r="P856" s="2" t="s">
        <v>626</v>
      </c>
      <c r="Q856" s="2" t="s">
        <v>351</v>
      </c>
      <c r="R856" s="2">
        <v>30768</v>
      </c>
      <c r="S856" s="2">
        <v>30768</v>
      </c>
      <c r="T856" s="2" t="s">
        <v>1104</v>
      </c>
      <c r="U856" s="2" t="s">
        <v>1104</v>
      </c>
      <c r="V856" s="2" t="s">
        <v>1812</v>
      </c>
      <c r="W856" s="2" t="s">
        <v>1813</v>
      </c>
      <c r="X856" s="2" t="s">
        <v>5880</v>
      </c>
      <c r="Y856" s="2" t="s">
        <v>5881</v>
      </c>
      <c r="AA856" s="2">
        <v>27764139</v>
      </c>
      <c r="AB856" s="2" t="s">
        <v>654</v>
      </c>
      <c r="AC856" s="2" t="s">
        <v>632</v>
      </c>
      <c r="AK856" s="2">
        <v>1</v>
      </c>
      <c r="AL856" s="2" t="s">
        <v>633</v>
      </c>
      <c r="AM856" s="2">
        <v>0</v>
      </c>
      <c r="AN856" s="2">
        <v>0</v>
      </c>
      <c r="AO856" s="2">
        <v>1</v>
      </c>
      <c r="AP856" s="2">
        <v>0</v>
      </c>
      <c r="AQ856" s="2">
        <v>0</v>
      </c>
      <c r="AR856" s="2">
        <v>0</v>
      </c>
      <c r="AS856" s="2">
        <v>0</v>
      </c>
      <c r="AT856" s="2">
        <v>0</v>
      </c>
      <c r="BB856" s="2" t="str">
        <f>+PROPER(BD[[#This Row],[PRIMER_APELLIDO]])</f>
        <v>Burgos</v>
      </c>
    </row>
    <row r="857" spans="1:54" x14ac:dyDescent="0.25">
      <c r="A857" s="2">
        <v>856</v>
      </c>
      <c r="B857" s="2">
        <v>47276</v>
      </c>
      <c r="C857" s="2" t="s">
        <v>619</v>
      </c>
      <c r="D857" s="2" t="s">
        <v>620</v>
      </c>
      <c r="E857" s="2" t="s">
        <v>5882</v>
      </c>
      <c r="F857" s="2">
        <v>25023831</v>
      </c>
      <c r="G857" s="3">
        <v>38.43287671232877</v>
      </c>
      <c r="H857" s="2" t="s">
        <v>622</v>
      </c>
      <c r="I857" s="2" t="s">
        <v>5883</v>
      </c>
      <c r="J857" s="2" t="str">
        <f>+IF(BD[[#This Row],[DEPARTAMENTO_INSS]]="MANAGUA","_01_","_02_")</f>
        <v>_02_</v>
      </c>
      <c r="K857" s="2" t="str">
        <f>+CONCATENATE(BD[[#This Row],[Columna3]],BD[[#This Row],[Columna4]],BD[[#This Row],[NOMBRE COMPLETO]])</f>
        <v>E003_02_NORLAN AQUILES BRAVO ORTIZ</v>
      </c>
      <c r="L857" s="2" t="s">
        <v>5884</v>
      </c>
      <c r="M857" s="2" t="s">
        <v>5885</v>
      </c>
      <c r="N857" s="2" t="s">
        <v>287</v>
      </c>
      <c r="O857" s="2" t="s">
        <v>109</v>
      </c>
      <c r="P857" s="2" t="s">
        <v>649</v>
      </c>
      <c r="Q857" s="2" t="s">
        <v>351</v>
      </c>
      <c r="R857" s="2">
        <v>30768</v>
      </c>
      <c r="S857" s="2">
        <v>30768</v>
      </c>
      <c r="T857" s="2" t="s">
        <v>732</v>
      </c>
      <c r="U857" s="2" t="s">
        <v>732</v>
      </c>
      <c r="V857" s="2" t="s">
        <v>732</v>
      </c>
      <c r="W857" s="2" t="s">
        <v>732</v>
      </c>
      <c r="X857" s="2" t="s">
        <v>5886</v>
      </c>
      <c r="Y857" s="2" t="s">
        <v>5887</v>
      </c>
      <c r="Z857" s="2">
        <v>86019419</v>
      </c>
      <c r="AA857" s="2" t="s">
        <v>5888</v>
      </c>
      <c r="AB857" s="2" t="s">
        <v>798</v>
      </c>
      <c r="AC857" s="2" t="s">
        <v>632</v>
      </c>
      <c r="AD857" s="2">
        <v>86019419</v>
      </c>
      <c r="AE857" s="2">
        <v>87894894</v>
      </c>
      <c r="AJ857" s="2">
        <v>86019419</v>
      </c>
      <c r="AK857" s="2">
        <v>3</v>
      </c>
      <c r="AL857" s="2" t="s">
        <v>633</v>
      </c>
      <c r="AM857" s="2">
        <v>0</v>
      </c>
      <c r="AN857" s="2">
        <v>0</v>
      </c>
      <c r="AO857" s="2">
        <v>1</v>
      </c>
      <c r="AP857" s="2">
        <v>0</v>
      </c>
      <c r="AQ857" s="2">
        <v>0</v>
      </c>
      <c r="AR857" s="2">
        <v>0</v>
      </c>
      <c r="AS857" s="2">
        <v>0</v>
      </c>
      <c r="AT857" s="2">
        <v>0</v>
      </c>
      <c r="AZ857" s="2" t="s">
        <v>5889</v>
      </c>
      <c r="BB857" s="2" t="str">
        <f>+PROPER(BD[[#This Row],[PRIMER_APELLIDO]])</f>
        <v>Bravo</v>
      </c>
    </row>
    <row r="858" spans="1:54" x14ac:dyDescent="0.25">
      <c r="A858" s="2">
        <v>857</v>
      </c>
      <c r="B858" s="2">
        <v>72537</v>
      </c>
      <c r="C858" s="2" t="s">
        <v>619</v>
      </c>
      <c r="D858" s="2" t="s">
        <v>620</v>
      </c>
      <c r="E858" s="2" t="s">
        <v>5890</v>
      </c>
      <c r="G858" s="3">
        <v>38.465753424657535</v>
      </c>
      <c r="H858" s="2" t="s">
        <v>622</v>
      </c>
      <c r="I858" s="2" t="s">
        <v>5891</v>
      </c>
      <c r="J858" s="2" t="str">
        <f>+IF(BD[[#This Row],[DEPARTAMENTO_INSS]]="MANAGUA","_01_","_02_")</f>
        <v>_02_</v>
      </c>
      <c r="K858" s="2" t="str">
        <f>+CONCATENATE(BD[[#This Row],[Columna3]],BD[[#This Row],[Columna4]],BD[[#This Row],[NOMBRE COMPLETO]])</f>
        <v>E003_02_EVANGELINA DEL CARMEN PICADO ARGUELLO</v>
      </c>
      <c r="L858" s="2" t="s">
        <v>5892</v>
      </c>
      <c r="M858" s="2" t="s">
        <v>961</v>
      </c>
      <c r="N858" s="2" t="s">
        <v>129</v>
      </c>
      <c r="O858" s="2" t="s">
        <v>271</v>
      </c>
      <c r="P858" s="2" t="s">
        <v>626</v>
      </c>
      <c r="Q858" s="2" t="s">
        <v>351</v>
      </c>
      <c r="R858" s="2">
        <v>30756</v>
      </c>
      <c r="S858" s="2">
        <v>30756</v>
      </c>
      <c r="T858" s="2" t="s">
        <v>705</v>
      </c>
      <c r="U858" s="2" t="s">
        <v>705</v>
      </c>
      <c r="V858" s="2" t="s">
        <v>725</v>
      </c>
      <c r="W858" s="2" t="s">
        <v>725</v>
      </c>
      <c r="X858" s="2" t="s">
        <v>5893</v>
      </c>
      <c r="Y858" s="2" t="s">
        <v>5894</v>
      </c>
      <c r="Z858" s="2">
        <v>82788839</v>
      </c>
      <c r="AA858" s="2" t="s">
        <v>5895</v>
      </c>
      <c r="AB858" s="2" t="s">
        <v>642</v>
      </c>
      <c r="AC858" s="2" t="s">
        <v>632</v>
      </c>
      <c r="AD858" s="2">
        <v>82788839</v>
      </c>
      <c r="AE858" s="2">
        <v>89867209</v>
      </c>
      <c r="AJ858" s="2">
        <v>82788839</v>
      </c>
      <c r="AK858" s="2">
        <v>3</v>
      </c>
      <c r="AL858" s="2" t="s">
        <v>633</v>
      </c>
      <c r="AM858" s="2">
        <v>0</v>
      </c>
      <c r="AN858" s="2">
        <v>0</v>
      </c>
      <c r="AO858" s="2">
        <v>1</v>
      </c>
      <c r="AP858" s="2">
        <v>0</v>
      </c>
      <c r="AQ858" s="2">
        <v>0</v>
      </c>
      <c r="AR858" s="2">
        <v>0</v>
      </c>
      <c r="AS858" s="2">
        <v>0</v>
      </c>
      <c r="AT858" s="2">
        <v>0</v>
      </c>
      <c r="AZ858" s="2" t="s">
        <v>5896</v>
      </c>
      <c r="BB858" s="2" t="str">
        <f>+PROPER(BD[[#This Row],[PRIMER_APELLIDO]])</f>
        <v>Picado</v>
      </c>
    </row>
    <row r="859" spans="1:54" x14ac:dyDescent="0.25">
      <c r="A859" s="2">
        <v>858</v>
      </c>
      <c r="B859" s="2">
        <v>47017</v>
      </c>
      <c r="C859" s="2" t="s">
        <v>619</v>
      </c>
      <c r="D859" s="2" t="s">
        <v>620</v>
      </c>
      <c r="E859" s="2" t="s">
        <v>5897</v>
      </c>
      <c r="F859" s="2">
        <v>25106136</v>
      </c>
      <c r="G859" s="3">
        <v>38.473972602739728</v>
      </c>
      <c r="H859" s="2" t="s">
        <v>622</v>
      </c>
      <c r="I859" s="2" t="s">
        <v>5898</v>
      </c>
      <c r="J859" s="2" t="str">
        <f>+IF(BD[[#This Row],[DEPARTAMENTO_INSS]]="MANAGUA","_01_","_02_")</f>
        <v>_02_</v>
      </c>
      <c r="K859" s="2" t="str">
        <f>+CONCATENATE(BD[[#This Row],[Columna3]],BD[[#This Row],[Columna4]],BD[[#This Row],[NOMBRE COMPLETO]])</f>
        <v>E003_02_JIMY ERNESTO KAUFFMAN LAZO</v>
      </c>
      <c r="L859" s="2" t="s">
        <v>5899</v>
      </c>
      <c r="M859" s="2" t="s">
        <v>4779</v>
      </c>
      <c r="N859" s="2" t="s">
        <v>237</v>
      </c>
      <c r="O859" s="2" t="s">
        <v>268</v>
      </c>
      <c r="P859" s="2" t="s">
        <v>649</v>
      </c>
      <c r="Q859" s="2" t="s">
        <v>351</v>
      </c>
      <c r="R859" s="2">
        <v>30753</v>
      </c>
      <c r="S859" s="2">
        <v>30753</v>
      </c>
      <c r="T859" s="2" t="s">
        <v>780</v>
      </c>
      <c r="U859" s="2" t="s">
        <v>780</v>
      </c>
      <c r="V859" s="2" t="s">
        <v>1143</v>
      </c>
      <c r="W859" s="2" t="s">
        <v>1143</v>
      </c>
      <c r="X859" s="2" t="s">
        <v>5900</v>
      </c>
      <c r="Y859" s="2" t="s">
        <v>1774</v>
      </c>
      <c r="Z859" s="2" t="s">
        <v>5901</v>
      </c>
      <c r="AA859" s="2">
        <v>86910777</v>
      </c>
      <c r="AB859" s="2" t="s">
        <v>798</v>
      </c>
      <c r="AC859" s="2" t="s">
        <v>632</v>
      </c>
      <c r="AD859" s="2">
        <v>81357348</v>
      </c>
      <c r="AE859" s="2">
        <v>86910777</v>
      </c>
      <c r="AJ859" s="2">
        <v>81357348</v>
      </c>
      <c r="AK859" s="2">
        <v>3</v>
      </c>
      <c r="AL859" s="2" t="s">
        <v>633</v>
      </c>
      <c r="AM859" s="2">
        <v>0</v>
      </c>
      <c r="AN859" s="2">
        <v>0</v>
      </c>
      <c r="AO859" s="2">
        <v>1</v>
      </c>
      <c r="AP859" s="2">
        <v>0</v>
      </c>
      <c r="AQ859" s="2">
        <v>0</v>
      </c>
      <c r="AR859" s="2">
        <v>0</v>
      </c>
      <c r="AS859" s="2">
        <v>0</v>
      </c>
      <c r="AT859" s="2">
        <v>0</v>
      </c>
      <c r="AZ859" s="2" t="s">
        <v>5902</v>
      </c>
      <c r="BB859" s="2" t="str">
        <f>+PROPER(BD[[#This Row],[PRIMER_APELLIDO]])</f>
        <v>Kauffman</v>
      </c>
    </row>
    <row r="860" spans="1:54" x14ac:dyDescent="0.25">
      <c r="A860" s="2">
        <v>859</v>
      </c>
      <c r="B860" s="2">
        <v>29712</v>
      </c>
      <c r="C860" s="2" t="s">
        <v>619</v>
      </c>
      <c r="D860" s="2" t="s">
        <v>620</v>
      </c>
      <c r="E860" s="2" t="s">
        <v>5903</v>
      </c>
      <c r="G860" s="3">
        <v>38.487671232876714</v>
      </c>
      <c r="H860" s="2" t="s">
        <v>622</v>
      </c>
      <c r="I860" s="2" t="s">
        <v>5904</v>
      </c>
      <c r="J860" s="2" t="str">
        <f>+IF(BD[[#This Row],[DEPARTAMENTO_INSS]]="MANAGUA","_01_","_02_")</f>
        <v>_02_</v>
      </c>
      <c r="K860" s="2" t="str">
        <f>+CONCATENATE(BD[[#This Row],[Columna3]],BD[[#This Row],[Columna4]],BD[[#This Row],[NOMBRE COMPLETO]])</f>
        <v>E003_02_HELLEN XIOMARA MUNGUIA REYES</v>
      </c>
      <c r="L860" s="2" t="s">
        <v>5905</v>
      </c>
      <c r="M860" s="2" t="s">
        <v>5906</v>
      </c>
      <c r="N860" s="2" t="s">
        <v>197</v>
      </c>
      <c r="O860" s="2" t="s">
        <v>74</v>
      </c>
      <c r="P860" s="2" t="s">
        <v>626</v>
      </c>
      <c r="Q860" s="2" t="s">
        <v>351</v>
      </c>
      <c r="R860" s="2">
        <v>30748</v>
      </c>
      <c r="S860" s="2">
        <v>30748</v>
      </c>
      <c r="T860" s="2" t="s">
        <v>176</v>
      </c>
      <c r="U860" s="2" t="s">
        <v>176</v>
      </c>
      <c r="V860" s="2" t="s">
        <v>650</v>
      </c>
      <c r="W860" s="2" t="s">
        <v>748</v>
      </c>
      <c r="X860" s="2" t="s">
        <v>5907</v>
      </c>
      <c r="Y860" s="2" t="s">
        <v>5908</v>
      </c>
      <c r="Z860" s="2">
        <v>58528229</v>
      </c>
      <c r="AA860" s="2">
        <v>58528229</v>
      </c>
      <c r="AB860" s="2" t="s">
        <v>642</v>
      </c>
      <c r="AC860" s="2" t="s">
        <v>632</v>
      </c>
      <c r="AD860" s="2">
        <v>58528229</v>
      </c>
      <c r="AJ860" s="2">
        <v>58528229</v>
      </c>
      <c r="AK860" s="2">
        <v>2</v>
      </c>
      <c r="AL860" s="2" t="s">
        <v>633</v>
      </c>
      <c r="AM860" s="2">
        <v>0</v>
      </c>
      <c r="AN860" s="2">
        <v>0</v>
      </c>
      <c r="AO860" s="2">
        <v>1</v>
      </c>
      <c r="AP860" s="2">
        <v>0</v>
      </c>
      <c r="AQ860" s="2">
        <v>0</v>
      </c>
      <c r="AR860" s="2">
        <v>0</v>
      </c>
      <c r="AS860" s="2">
        <v>0</v>
      </c>
      <c r="AT860" s="2">
        <v>0</v>
      </c>
      <c r="BB860" s="2" t="str">
        <f>+PROPER(BD[[#This Row],[PRIMER_APELLIDO]])</f>
        <v>Munguia</v>
      </c>
    </row>
    <row r="861" spans="1:54" x14ac:dyDescent="0.25">
      <c r="A861" s="2">
        <v>860</v>
      </c>
      <c r="B861" s="2">
        <v>49810</v>
      </c>
      <c r="C861" s="2" t="s">
        <v>619</v>
      </c>
      <c r="D861" s="2" t="s">
        <v>620</v>
      </c>
      <c r="E861" s="2" t="s">
        <v>5909</v>
      </c>
      <c r="F861" s="2">
        <v>25689536</v>
      </c>
      <c r="G861" s="3">
        <v>38.493150684931507</v>
      </c>
      <c r="H861" s="2" t="s">
        <v>622</v>
      </c>
      <c r="I861" s="2" t="s">
        <v>5910</v>
      </c>
      <c r="J861" s="2" t="str">
        <f>+IF(BD[[#This Row],[DEPARTAMENTO_INSS]]="MANAGUA","_01_","_02_")</f>
        <v>_01_</v>
      </c>
      <c r="K861" s="2" t="str">
        <f>+CONCATENATE(BD[[#This Row],[Columna3]],BD[[#This Row],[Columna4]],BD[[#This Row],[NOMBRE COMPLETO]])</f>
        <v>E003_01_MICHAEL JOSUE MEDRANO CASTELLON</v>
      </c>
      <c r="L861" s="2" t="s">
        <v>2568</v>
      </c>
      <c r="M861" s="2" t="s">
        <v>1058</v>
      </c>
      <c r="N861" s="2" t="s">
        <v>45</v>
      </c>
      <c r="O861" s="2" t="s">
        <v>22</v>
      </c>
      <c r="P861" s="2" t="s">
        <v>649</v>
      </c>
      <c r="Q861" s="2" t="s">
        <v>351</v>
      </c>
      <c r="R861" s="2">
        <v>30746</v>
      </c>
      <c r="S861" s="2">
        <v>30746</v>
      </c>
      <c r="T861" s="2" t="s">
        <v>627</v>
      </c>
      <c r="U861" s="2" t="s">
        <v>627</v>
      </c>
      <c r="V861" s="2" t="s">
        <v>627</v>
      </c>
      <c r="W861" s="2" t="s">
        <v>627</v>
      </c>
      <c r="X861" s="2" t="s">
        <v>5911</v>
      </c>
      <c r="Y861" s="2" t="s">
        <v>5912</v>
      </c>
      <c r="AA861" s="2">
        <v>86995473</v>
      </c>
      <c r="AB861" s="2" t="s">
        <v>654</v>
      </c>
      <c r="AC861" s="2" t="s">
        <v>632</v>
      </c>
      <c r="AD861" s="2">
        <v>86995473</v>
      </c>
      <c r="AJ861" s="2">
        <v>86995473</v>
      </c>
      <c r="AK861" s="2">
        <v>1</v>
      </c>
      <c r="AL861" s="2" t="s">
        <v>633</v>
      </c>
      <c r="AM861" s="2">
        <v>0</v>
      </c>
      <c r="AN861" s="2">
        <v>0</v>
      </c>
      <c r="AO861" s="2">
        <v>1</v>
      </c>
      <c r="AP861" s="2">
        <v>0</v>
      </c>
      <c r="AQ861" s="2">
        <v>0</v>
      </c>
      <c r="AR861" s="2">
        <v>0</v>
      </c>
      <c r="AS861" s="2">
        <v>0</v>
      </c>
      <c r="AT861" s="2">
        <v>0</v>
      </c>
      <c r="BB861" s="2" t="str">
        <f>+PROPER(BD[[#This Row],[PRIMER_APELLIDO]])</f>
        <v>Medrano</v>
      </c>
    </row>
    <row r="862" spans="1:54" x14ac:dyDescent="0.25">
      <c r="A862" s="2">
        <v>861</v>
      </c>
      <c r="B862" s="2">
        <v>57491</v>
      </c>
      <c r="C862" s="2" t="s">
        <v>619</v>
      </c>
      <c r="D862" s="2" t="s">
        <v>620</v>
      </c>
      <c r="E862" s="2" t="s">
        <v>5913</v>
      </c>
      <c r="G862" s="3">
        <v>38.495890410958907</v>
      </c>
      <c r="H862" s="2" t="s">
        <v>622</v>
      </c>
      <c r="I862" s="2" t="s">
        <v>5914</v>
      </c>
      <c r="J862" s="2" t="str">
        <f>+IF(BD[[#This Row],[DEPARTAMENTO_INSS]]="MANAGUA","_01_","_02_")</f>
        <v>_02_</v>
      </c>
      <c r="K862" s="2" t="str">
        <f>+CONCATENATE(BD[[#This Row],[Columna3]],BD[[#This Row],[Columna4]],BD[[#This Row],[NOMBRE COMPLETO]])</f>
        <v>E003_02_GABRIEL ANTONIO ACOSTA GONZALEZ</v>
      </c>
      <c r="L862" s="2" t="s">
        <v>1646</v>
      </c>
      <c r="M862" s="2" t="s">
        <v>904</v>
      </c>
      <c r="N862" s="2" t="s">
        <v>42</v>
      </c>
      <c r="O862" s="2" t="s">
        <v>14</v>
      </c>
      <c r="P862" s="2" t="s">
        <v>649</v>
      </c>
      <c r="Q862" s="2" t="s">
        <v>351</v>
      </c>
      <c r="R862" s="2">
        <v>30745</v>
      </c>
      <c r="S862" s="2">
        <v>30745</v>
      </c>
      <c r="T862" s="2" t="s">
        <v>133</v>
      </c>
      <c r="U862" s="2" t="s">
        <v>1191</v>
      </c>
      <c r="V862" s="2" t="s">
        <v>5915</v>
      </c>
      <c r="W862" s="2" t="s">
        <v>3060</v>
      </c>
      <c r="X862" s="2" t="s">
        <v>5916</v>
      </c>
      <c r="Y862" s="2" t="s">
        <v>5917</v>
      </c>
      <c r="Z862" s="2" t="s">
        <v>5918</v>
      </c>
      <c r="AA862" s="2">
        <v>82210896</v>
      </c>
      <c r="AB862" s="2" t="s">
        <v>798</v>
      </c>
      <c r="AC862" s="2" t="s">
        <v>632</v>
      </c>
      <c r="AD862" s="2">
        <v>82210896</v>
      </c>
      <c r="AE862" s="2">
        <v>88673512</v>
      </c>
      <c r="AJ862" s="2">
        <v>82210896</v>
      </c>
      <c r="AK862" s="2">
        <v>3</v>
      </c>
      <c r="AL862" s="2" t="s">
        <v>633</v>
      </c>
      <c r="AM862" s="2">
        <v>0</v>
      </c>
      <c r="AN862" s="2">
        <v>0</v>
      </c>
      <c r="AO862" s="2">
        <v>1</v>
      </c>
      <c r="AP862" s="2">
        <v>0</v>
      </c>
      <c r="AQ862" s="2">
        <v>0</v>
      </c>
      <c r="AR862" s="2">
        <v>0</v>
      </c>
      <c r="AS862" s="2">
        <v>0</v>
      </c>
      <c r="AT862" s="2">
        <v>0</v>
      </c>
      <c r="AZ862" s="2" t="s">
        <v>5919</v>
      </c>
      <c r="BB862" s="2" t="str">
        <f>+PROPER(BD[[#This Row],[PRIMER_APELLIDO]])</f>
        <v>Acosta</v>
      </c>
    </row>
    <row r="863" spans="1:54" x14ac:dyDescent="0.25">
      <c r="A863" s="2">
        <v>862</v>
      </c>
      <c r="B863" s="2">
        <v>33077</v>
      </c>
      <c r="C863" s="2" t="s">
        <v>619</v>
      </c>
      <c r="D863" s="2" t="s">
        <v>620</v>
      </c>
      <c r="E863" s="2" t="s">
        <v>5920</v>
      </c>
      <c r="F863" s="2">
        <v>24911874</v>
      </c>
      <c r="G863" s="3">
        <v>38.4986301369863</v>
      </c>
      <c r="H863" s="2" t="s">
        <v>622</v>
      </c>
      <c r="I863" s="2" t="s">
        <v>5921</v>
      </c>
      <c r="J863" s="2" t="str">
        <f>+IF(BD[[#This Row],[DEPARTAMENTO_INSS]]="MANAGUA","_01_","_02_")</f>
        <v>_01_</v>
      </c>
      <c r="K863" s="2" t="str">
        <f>+CONCATENATE(BD[[#This Row],[Columna3]],BD[[#This Row],[Columna4]],BD[[#This Row],[NOMBRE COMPLETO]])</f>
        <v>E003_01_AIDA LETICIA TALAVERA ARAUZ</v>
      </c>
      <c r="L863" s="2" t="s">
        <v>5922</v>
      </c>
      <c r="M863" s="2" t="s">
        <v>5923</v>
      </c>
      <c r="N863" s="2" t="s">
        <v>31</v>
      </c>
      <c r="O863" s="2" t="s">
        <v>174</v>
      </c>
      <c r="P863" s="2" t="s">
        <v>626</v>
      </c>
      <c r="Q863" s="2" t="s">
        <v>351</v>
      </c>
      <c r="R863" s="2">
        <v>30744</v>
      </c>
      <c r="S863" s="2">
        <v>30744</v>
      </c>
      <c r="T863" s="2" t="s">
        <v>1104</v>
      </c>
      <c r="U863" s="2" t="s">
        <v>627</v>
      </c>
      <c r="V863" s="2" t="s">
        <v>1104</v>
      </c>
      <c r="W863" s="2" t="s">
        <v>627</v>
      </c>
      <c r="X863" s="2" t="s">
        <v>5924</v>
      </c>
      <c r="Y863" s="2" t="s">
        <v>5925</v>
      </c>
      <c r="AA863" s="2" t="s">
        <v>5926</v>
      </c>
      <c r="AB863" s="2" t="s">
        <v>642</v>
      </c>
      <c r="AC863" s="2" t="s">
        <v>632</v>
      </c>
      <c r="AH863" s="2">
        <v>88554655</v>
      </c>
      <c r="AI863" s="2">
        <v>88528225</v>
      </c>
      <c r="AK863" s="2">
        <v>4</v>
      </c>
      <c r="AL863" s="2" t="s">
        <v>633</v>
      </c>
      <c r="AM863" s="2">
        <v>0</v>
      </c>
      <c r="AN863" s="2">
        <v>0</v>
      </c>
      <c r="AO863" s="2">
        <v>1</v>
      </c>
      <c r="AP863" s="2">
        <v>0</v>
      </c>
      <c r="AQ863" s="2">
        <v>0</v>
      </c>
      <c r="AR863" s="2">
        <v>0</v>
      </c>
      <c r="AS863" s="2">
        <v>0</v>
      </c>
      <c r="AT863" s="2">
        <v>0</v>
      </c>
      <c r="BB863" s="2" t="str">
        <f>+PROPER(BD[[#This Row],[PRIMER_APELLIDO]])</f>
        <v>Talavera</v>
      </c>
    </row>
    <row r="864" spans="1:54" x14ac:dyDescent="0.25">
      <c r="A864" s="2">
        <v>863</v>
      </c>
      <c r="B864" s="2">
        <v>42075</v>
      </c>
      <c r="C864" s="2" t="s">
        <v>619</v>
      </c>
      <c r="D864" s="2" t="s">
        <v>620</v>
      </c>
      <c r="E864" s="2" t="s">
        <v>5927</v>
      </c>
      <c r="F864" s="2">
        <v>21719512</v>
      </c>
      <c r="G864" s="3">
        <v>38.504109589041093</v>
      </c>
      <c r="H864" s="2" t="s">
        <v>622</v>
      </c>
      <c r="I864" s="2" t="s">
        <v>5928</v>
      </c>
      <c r="J864" s="2" t="str">
        <f>+IF(BD[[#This Row],[DEPARTAMENTO_INSS]]="MANAGUA","_01_","_02_")</f>
        <v>_02_</v>
      </c>
      <c r="K864" s="2" t="str">
        <f>+CONCATENATE(BD[[#This Row],[Columna3]],BD[[#This Row],[Columna4]],BD[[#This Row],[NOMBRE COMPLETO]])</f>
        <v>E003_02_LILIETH DE LOS ANGELES ORTIZ CARCAMO</v>
      </c>
      <c r="L864" s="2" t="s">
        <v>5929</v>
      </c>
      <c r="M864" s="2" t="s">
        <v>683</v>
      </c>
      <c r="N864" s="2" t="s">
        <v>109</v>
      </c>
      <c r="O864" s="2" t="s">
        <v>401</v>
      </c>
      <c r="P864" s="2" t="s">
        <v>626</v>
      </c>
      <c r="Q864" s="2" t="s">
        <v>351</v>
      </c>
      <c r="R864" s="2">
        <v>30742</v>
      </c>
      <c r="S864" s="2">
        <v>30742</v>
      </c>
      <c r="T864" s="2" t="s">
        <v>176</v>
      </c>
      <c r="U864" s="2" t="s">
        <v>176</v>
      </c>
      <c r="V864" s="2" t="s">
        <v>650</v>
      </c>
      <c r="W864" s="2" t="s">
        <v>176</v>
      </c>
      <c r="X864" s="2" t="s">
        <v>5930</v>
      </c>
      <c r="Y864" s="2" t="s">
        <v>5931</v>
      </c>
      <c r="AA864" s="2" t="s">
        <v>5932</v>
      </c>
      <c r="AB864" s="2" t="s">
        <v>654</v>
      </c>
      <c r="AC864" s="2" t="s">
        <v>632</v>
      </c>
      <c r="AE864" s="2">
        <v>84291600</v>
      </c>
      <c r="AJ864" s="2">
        <v>84291600</v>
      </c>
      <c r="AK864" s="2">
        <v>2</v>
      </c>
      <c r="AL864" s="2" t="s">
        <v>633</v>
      </c>
      <c r="AM864" s="2">
        <v>0</v>
      </c>
      <c r="AN864" s="2">
        <v>0</v>
      </c>
      <c r="AO864" s="2">
        <v>1</v>
      </c>
      <c r="AP864" s="2">
        <v>0</v>
      </c>
      <c r="AQ864" s="2">
        <v>0</v>
      </c>
      <c r="AR864" s="2">
        <v>0</v>
      </c>
      <c r="AS864" s="2">
        <v>0</v>
      </c>
      <c r="AT864" s="2">
        <v>0</v>
      </c>
      <c r="BA864" s="2" t="s">
        <v>5933</v>
      </c>
      <c r="BB864" s="2" t="str">
        <f>+PROPER(BD[[#This Row],[PRIMER_APELLIDO]])</f>
        <v>Ortiz</v>
      </c>
    </row>
    <row r="865" spans="1:54" x14ac:dyDescent="0.25">
      <c r="A865" s="2">
        <v>864</v>
      </c>
      <c r="B865" s="2">
        <v>31927</v>
      </c>
      <c r="C865" s="2" t="s">
        <v>619</v>
      </c>
      <c r="D865" s="2" t="s">
        <v>620</v>
      </c>
      <c r="E865" s="2" t="s">
        <v>5934</v>
      </c>
      <c r="F865" s="2">
        <v>21675979</v>
      </c>
      <c r="G865" s="3">
        <v>38.509589041095893</v>
      </c>
      <c r="H865" s="2" t="s">
        <v>622</v>
      </c>
      <c r="I865" s="2" t="s">
        <v>5935</v>
      </c>
      <c r="J865" s="2" t="str">
        <f>+IF(BD[[#This Row],[DEPARTAMENTO_INSS]]="MANAGUA","_01_","_02_")</f>
        <v>_01_</v>
      </c>
      <c r="K865" s="2" t="str">
        <f>+CONCATENATE(BD[[#This Row],[Columna3]],BD[[#This Row],[Columna4]],BD[[#This Row],[NOMBRE COMPLETO]])</f>
        <v>E003_01_GLORIA GABRIELA LARGAESPADA CANALES</v>
      </c>
      <c r="L865" s="2" t="s">
        <v>2131</v>
      </c>
      <c r="M865" s="2" t="s">
        <v>1211</v>
      </c>
      <c r="N865" s="2" t="s">
        <v>23</v>
      </c>
      <c r="O865" s="2" t="s">
        <v>77</v>
      </c>
      <c r="P865" s="2" t="s">
        <v>626</v>
      </c>
      <c r="Q865" s="2" t="s">
        <v>351</v>
      </c>
      <c r="R865" s="2">
        <v>30740</v>
      </c>
      <c r="S865" s="2">
        <v>30740</v>
      </c>
      <c r="T865" s="2" t="s">
        <v>627</v>
      </c>
      <c r="U865" s="2" t="s">
        <v>627</v>
      </c>
      <c r="V865" s="2" t="s">
        <v>627</v>
      </c>
      <c r="W865" s="2" t="s">
        <v>627</v>
      </c>
      <c r="Y865" s="2" t="s">
        <v>5936</v>
      </c>
      <c r="AA865" s="2" t="s">
        <v>5937</v>
      </c>
      <c r="AB865" s="2" t="s">
        <v>642</v>
      </c>
      <c r="AC865" s="2" t="s">
        <v>632</v>
      </c>
      <c r="AE865" s="2">
        <v>88950088</v>
      </c>
      <c r="AH865" s="2">
        <v>84381337</v>
      </c>
      <c r="AJ865" s="2">
        <v>88950088</v>
      </c>
      <c r="AK865" s="2">
        <v>3</v>
      </c>
      <c r="AL865" s="2" t="s">
        <v>633</v>
      </c>
      <c r="AM865" s="2">
        <v>0</v>
      </c>
      <c r="AN865" s="2">
        <v>0</v>
      </c>
      <c r="AO865" s="2">
        <v>1</v>
      </c>
      <c r="AP865" s="2">
        <v>0</v>
      </c>
      <c r="AQ865" s="2">
        <v>0</v>
      </c>
      <c r="AR865" s="2">
        <v>0</v>
      </c>
      <c r="AS865" s="2">
        <v>0</v>
      </c>
      <c r="AT865" s="2">
        <v>0</v>
      </c>
      <c r="BA865" s="2" t="s">
        <v>5938</v>
      </c>
      <c r="BB865" s="2" t="str">
        <f>+PROPER(BD[[#This Row],[PRIMER_APELLIDO]])</f>
        <v>Largaespada</v>
      </c>
    </row>
    <row r="866" spans="1:54" x14ac:dyDescent="0.25">
      <c r="A866" s="2">
        <v>865</v>
      </c>
      <c r="B866" s="2">
        <v>52607</v>
      </c>
      <c r="C866" s="2" t="s">
        <v>619</v>
      </c>
      <c r="D866" s="2" t="s">
        <v>620</v>
      </c>
      <c r="E866" s="2" t="s">
        <v>5939</v>
      </c>
      <c r="F866" s="2">
        <v>16574845</v>
      </c>
      <c r="G866" s="3">
        <v>38.517808219178079</v>
      </c>
      <c r="H866" s="2" t="s">
        <v>622</v>
      </c>
      <c r="I866" s="2" t="s">
        <v>5940</v>
      </c>
      <c r="J866" s="2" t="str">
        <f>+IF(BD[[#This Row],[DEPARTAMENTO_INSS]]="MANAGUA","_01_","_02_")</f>
        <v>_02_</v>
      </c>
      <c r="K866" s="2" t="str">
        <f>+CONCATENATE(BD[[#This Row],[Columna3]],BD[[#This Row],[Columna4]],BD[[#This Row],[NOMBRE COMPLETO]])</f>
        <v>E003_02_ALEXANDER ANTONIO BOJORGE MADRIZ</v>
      </c>
      <c r="L866" s="2" t="s">
        <v>2176</v>
      </c>
      <c r="M866" s="2" t="s">
        <v>904</v>
      </c>
      <c r="N866" s="2" t="s">
        <v>216</v>
      </c>
      <c r="O866" s="2" t="s">
        <v>444</v>
      </c>
      <c r="P866" s="2" t="s">
        <v>649</v>
      </c>
      <c r="Q866" s="2" t="s">
        <v>351</v>
      </c>
      <c r="R866" s="2">
        <v>30737</v>
      </c>
      <c r="S866" s="2">
        <v>30737</v>
      </c>
      <c r="T866" s="2" t="s">
        <v>780</v>
      </c>
      <c r="U866" s="2" t="s">
        <v>780</v>
      </c>
      <c r="V866" s="2" t="s">
        <v>781</v>
      </c>
      <c r="W866" s="2" t="s">
        <v>781</v>
      </c>
      <c r="X866" s="2" t="s">
        <v>5941</v>
      </c>
      <c r="Y866" s="2" t="s">
        <v>5942</v>
      </c>
      <c r="Z866" s="2">
        <v>76454914</v>
      </c>
      <c r="AA866" s="2">
        <v>89287267</v>
      </c>
      <c r="AB866" s="2" t="s">
        <v>798</v>
      </c>
      <c r="AC866" s="2" t="s">
        <v>632</v>
      </c>
      <c r="AD866" s="2">
        <v>76454914</v>
      </c>
      <c r="AF866" s="2">
        <v>89287267</v>
      </c>
      <c r="AJ866" s="2">
        <v>76454914</v>
      </c>
      <c r="AK866" s="2">
        <v>2</v>
      </c>
      <c r="AL866" s="2" t="s">
        <v>633</v>
      </c>
      <c r="AM866" s="2">
        <v>0</v>
      </c>
      <c r="AN866" s="2">
        <v>0</v>
      </c>
      <c r="AO866" s="2">
        <v>1</v>
      </c>
      <c r="AP866" s="2">
        <v>0</v>
      </c>
      <c r="AQ866" s="2">
        <v>0</v>
      </c>
      <c r="AR866" s="2">
        <v>0</v>
      </c>
      <c r="AS866" s="2">
        <v>0</v>
      </c>
      <c r="AT866" s="2">
        <v>0</v>
      </c>
      <c r="BB866" s="2" t="str">
        <f>+PROPER(BD[[#This Row],[PRIMER_APELLIDO]])</f>
        <v>Bojorge</v>
      </c>
    </row>
    <row r="867" spans="1:54" x14ac:dyDescent="0.25">
      <c r="A867" s="2">
        <v>866</v>
      </c>
      <c r="B867" s="2">
        <v>76761</v>
      </c>
      <c r="C867" s="2" t="s">
        <v>619</v>
      </c>
      <c r="D867" s="2" t="s">
        <v>620</v>
      </c>
      <c r="E867" s="2" t="s">
        <v>5943</v>
      </c>
      <c r="G867" s="3">
        <v>38.517808219178079</v>
      </c>
      <c r="H867" s="2" t="s">
        <v>622</v>
      </c>
      <c r="I867" s="2" t="s">
        <v>5944</v>
      </c>
      <c r="J867" s="2" t="str">
        <f>+IF(BD[[#This Row],[DEPARTAMENTO_INSS]]="MANAGUA","_01_","_02_")</f>
        <v>_01_</v>
      </c>
      <c r="K867" s="2" t="str">
        <f>+CONCATENATE(BD[[#This Row],[Columna3]],BD[[#This Row],[Columna4]],BD[[#This Row],[NOMBRE COMPLETO]])</f>
        <v>E003_01_GASALY NOELI RAMOS RUGAMA</v>
      </c>
      <c r="L867" s="2" t="s">
        <v>5945</v>
      </c>
      <c r="M867" s="2" t="s">
        <v>5946</v>
      </c>
      <c r="N867" s="2" t="s">
        <v>247</v>
      </c>
      <c r="O867" s="2" t="s">
        <v>182</v>
      </c>
      <c r="P867" s="2" t="s">
        <v>626</v>
      </c>
      <c r="Q867" s="2" t="s">
        <v>351</v>
      </c>
      <c r="R867" s="2">
        <v>30737</v>
      </c>
      <c r="S867" s="2">
        <v>30737</v>
      </c>
      <c r="T867" s="2" t="s">
        <v>627</v>
      </c>
      <c r="U867" s="2" t="s">
        <v>627</v>
      </c>
      <c r="V867" s="2" t="s">
        <v>627</v>
      </c>
      <c r="W867" s="2" t="s">
        <v>627</v>
      </c>
      <c r="X867" s="2" t="s">
        <v>5947</v>
      </c>
      <c r="Y867" s="2" t="s">
        <v>5948</v>
      </c>
      <c r="Z867" s="2">
        <v>85503520</v>
      </c>
      <c r="AA867" s="2">
        <v>85503520</v>
      </c>
      <c r="AB867" s="2" t="s">
        <v>642</v>
      </c>
      <c r="AC867" s="2" t="s">
        <v>632</v>
      </c>
      <c r="AD867" s="2">
        <v>85503520</v>
      </c>
      <c r="AJ867" s="2">
        <v>85503520</v>
      </c>
      <c r="AK867" s="2">
        <v>2</v>
      </c>
      <c r="AL867" s="2" t="s">
        <v>633</v>
      </c>
      <c r="AM867" s="2">
        <v>0</v>
      </c>
      <c r="AN867" s="2">
        <v>0</v>
      </c>
      <c r="AO867" s="2">
        <v>1</v>
      </c>
      <c r="AP867" s="2">
        <v>0</v>
      </c>
      <c r="AQ867" s="2">
        <v>0</v>
      </c>
      <c r="AR867" s="2">
        <v>0</v>
      </c>
      <c r="AS867" s="2">
        <v>0</v>
      </c>
      <c r="AT867" s="2">
        <v>0</v>
      </c>
      <c r="AZ867" s="2" t="s">
        <v>5949</v>
      </c>
      <c r="BB867" s="2" t="str">
        <f>+PROPER(BD[[#This Row],[PRIMER_APELLIDO]])</f>
        <v>Ramos</v>
      </c>
    </row>
    <row r="868" spans="1:54" x14ac:dyDescent="0.25">
      <c r="A868" s="2">
        <v>867</v>
      </c>
      <c r="B868" s="2">
        <v>35841</v>
      </c>
      <c r="C868" s="2" t="s">
        <v>619</v>
      </c>
      <c r="D868" s="2" t="s">
        <v>620</v>
      </c>
      <c r="E868" s="2" t="s">
        <v>5950</v>
      </c>
      <c r="F868" s="2">
        <v>21669420</v>
      </c>
      <c r="G868" s="3">
        <v>38.528767123287672</v>
      </c>
      <c r="H868" s="2" t="s">
        <v>622</v>
      </c>
      <c r="I868" s="2" t="s">
        <v>5951</v>
      </c>
      <c r="J868" s="2" t="str">
        <f>+IF(BD[[#This Row],[DEPARTAMENTO_INSS]]="MANAGUA","_01_","_02_")</f>
        <v>_01_</v>
      </c>
      <c r="K868" s="2" t="str">
        <f>+CONCATENATE(BD[[#This Row],[Columna3]],BD[[#This Row],[Columna4]],BD[[#This Row],[NOMBRE COMPLETO]])</f>
        <v>E003_01_GLADYS VIRGINIA LAINEZ CORRALES</v>
      </c>
      <c r="L868" s="2" t="s">
        <v>1198</v>
      </c>
      <c r="M868" s="2" t="s">
        <v>2269</v>
      </c>
      <c r="N868" s="2" t="s">
        <v>277</v>
      </c>
      <c r="O868" s="2" t="s">
        <v>461</v>
      </c>
      <c r="P868" s="2" t="s">
        <v>626</v>
      </c>
      <c r="Q868" s="2" t="s">
        <v>351</v>
      </c>
      <c r="R868" s="2">
        <v>30733</v>
      </c>
      <c r="S868" s="2">
        <v>30733</v>
      </c>
      <c r="T868" s="2" t="s">
        <v>176</v>
      </c>
      <c r="U868" s="2" t="s">
        <v>627</v>
      </c>
      <c r="V868" s="2" t="s">
        <v>650</v>
      </c>
      <c r="W868" s="2" t="s">
        <v>627</v>
      </c>
      <c r="X868" s="2" t="s">
        <v>5952</v>
      </c>
      <c r="Y868" s="2" t="s">
        <v>5953</v>
      </c>
      <c r="AA868" s="2">
        <v>83778618</v>
      </c>
      <c r="AB868" s="2" t="s">
        <v>654</v>
      </c>
      <c r="AC868" s="2" t="s">
        <v>632</v>
      </c>
      <c r="AD868" s="2">
        <v>83778618</v>
      </c>
      <c r="AJ868" s="2">
        <v>83778618</v>
      </c>
      <c r="AK868" s="2">
        <v>1</v>
      </c>
      <c r="AL868" s="2" t="s">
        <v>633</v>
      </c>
      <c r="AM868" s="2">
        <v>0</v>
      </c>
      <c r="AN868" s="2">
        <v>0</v>
      </c>
      <c r="AO868" s="2">
        <v>1</v>
      </c>
      <c r="AP868" s="2">
        <v>0</v>
      </c>
      <c r="AQ868" s="2">
        <v>0</v>
      </c>
      <c r="AR868" s="2">
        <v>0</v>
      </c>
      <c r="AS868" s="2">
        <v>0</v>
      </c>
      <c r="AT868" s="2">
        <v>0</v>
      </c>
      <c r="BA868" s="2" t="s">
        <v>5954</v>
      </c>
      <c r="BB868" s="2" t="str">
        <f>+PROPER(BD[[#This Row],[PRIMER_APELLIDO]])</f>
        <v>Lainez</v>
      </c>
    </row>
    <row r="869" spans="1:54" x14ac:dyDescent="0.25">
      <c r="A869" s="2">
        <v>868</v>
      </c>
      <c r="B869" s="2">
        <v>36493</v>
      </c>
      <c r="C869" s="2" t="s">
        <v>619</v>
      </c>
      <c r="D869" s="2" t="s">
        <v>620</v>
      </c>
      <c r="E869" s="2" t="s">
        <v>5955</v>
      </c>
      <c r="F869" s="2">
        <v>22790387</v>
      </c>
      <c r="G869" s="3">
        <v>38.531506849315072</v>
      </c>
      <c r="H869" s="2" t="s">
        <v>622</v>
      </c>
      <c r="I869" s="2" t="s">
        <v>5956</v>
      </c>
      <c r="J869" s="2" t="str">
        <f>+IF(BD[[#This Row],[DEPARTAMENTO_INSS]]="MANAGUA","_01_","_02_")</f>
        <v>_02_</v>
      </c>
      <c r="K869" s="2" t="str">
        <f>+CONCATENATE(BD[[#This Row],[Columna3]],BD[[#This Row],[Columna4]],BD[[#This Row],[NOMBRE COMPLETO]])</f>
        <v>E003_02_FRANCIS YAOSKA SANCHEZ URBINA</v>
      </c>
      <c r="L869" s="2" t="s">
        <v>362</v>
      </c>
      <c r="M869" s="2" t="s">
        <v>1373</v>
      </c>
      <c r="N869" s="2" t="s">
        <v>90</v>
      </c>
      <c r="O869" s="2" t="s">
        <v>86</v>
      </c>
      <c r="P869" s="2" t="s">
        <v>626</v>
      </c>
      <c r="Q869" s="2" t="s">
        <v>351</v>
      </c>
      <c r="R869" s="2">
        <v>30732</v>
      </c>
      <c r="S869" s="2">
        <v>30732</v>
      </c>
      <c r="T869" s="2" t="s">
        <v>669</v>
      </c>
      <c r="U869" s="2" t="s">
        <v>669</v>
      </c>
      <c r="V869" s="2" t="s">
        <v>669</v>
      </c>
      <c r="W869" s="2" t="s">
        <v>669</v>
      </c>
      <c r="X869" s="2" t="s">
        <v>5957</v>
      </c>
      <c r="Y869" s="2" t="s">
        <v>5958</v>
      </c>
      <c r="Z869" s="2">
        <v>86974541</v>
      </c>
      <c r="AA869" s="2">
        <v>83671236</v>
      </c>
      <c r="AB869" s="2" t="s">
        <v>631</v>
      </c>
      <c r="AC869" s="2" t="s">
        <v>632</v>
      </c>
      <c r="AD869" s="2">
        <v>86974541</v>
      </c>
      <c r="AF869" s="2">
        <v>83671236</v>
      </c>
      <c r="AJ869" s="2">
        <v>86974541</v>
      </c>
      <c r="AK869" s="2">
        <v>2</v>
      </c>
      <c r="AL869" s="2" t="s">
        <v>633</v>
      </c>
      <c r="AM869" s="2">
        <v>0</v>
      </c>
      <c r="AN869" s="2">
        <v>0</v>
      </c>
      <c r="AO869" s="2">
        <v>1</v>
      </c>
      <c r="AP869" s="2">
        <v>0</v>
      </c>
      <c r="AQ869" s="2">
        <v>0</v>
      </c>
      <c r="AR869" s="2">
        <v>0</v>
      </c>
      <c r="AS869" s="2">
        <v>0</v>
      </c>
      <c r="AT869" s="2">
        <v>0</v>
      </c>
      <c r="AZ869" s="2" t="s">
        <v>5959</v>
      </c>
      <c r="BB869" s="2" t="str">
        <f>+PROPER(BD[[#This Row],[PRIMER_APELLIDO]])</f>
        <v>Sanchez</v>
      </c>
    </row>
    <row r="870" spans="1:54" x14ac:dyDescent="0.25">
      <c r="A870" s="2">
        <v>869</v>
      </c>
      <c r="B870" s="2">
        <v>48299</v>
      </c>
      <c r="C870" s="2" t="s">
        <v>619</v>
      </c>
      <c r="D870" s="2" t="s">
        <v>620</v>
      </c>
      <c r="E870" s="2" t="s">
        <v>5960</v>
      </c>
      <c r="F870" s="2">
        <v>31002981</v>
      </c>
      <c r="G870" s="3">
        <v>38.536986301369865</v>
      </c>
      <c r="H870" s="2" t="s">
        <v>622</v>
      </c>
      <c r="I870" s="2" t="s">
        <v>5961</v>
      </c>
      <c r="J870" s="2" t="str">
        <f>+IF(BD[[#This Row],[DEPARTAMENTO_INSS]]="MANAGUA","_01_","_02_")</f>
        <v>_02_</v>
      </c>
      <c r="K870" s="2" t="str">
        <f>+CONCATENATE(BD[[#This Row],[Columna3]],BD[[#This Row],[Columna4]],BD[[#This Row],[NOMBRE COMPLETO]])</f>
        <v>E003_02_JEITYN JOSUE GARCIA RUIZ</v>
      </c>
      <c r="L870" s="2" t="s">
        <v>5962</v>
      </c>
      <c r="M870" s="2" t="s">
        <v>1058</v>
      </c>
      <c r="N870" s="2" t="s">
        <v>10</v>
      </c>
      <c r="O870" s="2" t="s">
        <v>84</v>
      </c>
      <c r="P870" s="2" t="s">
        <v>649</v>
      </c>
      <c r="Q870" s="2" t="s">
        <v>351</v>
      </c>
      <c r="R870" s="2">
        <v>30730</v>
      </c>
      <c r="S870" s="2">
        <v>30730</v>
      </c>
      <c r="T870" s="2" t="s">
        <v>691</v>
      </c>
      <c r="U870" s="2" t="s">
        <v>691</v>
      </c>
      <c r="V870" s="2" t="s">
        <v>716</v>
      </c>
      <c r="W870" s="2" t="s">
        <v>691</v>
      </c>
      <c r="X870" s="2" t="s">
        <v>5963</v>
      </c>
      <c r="Y870" s="2" t="s">
        <v>5964</v>
      </c>
      <c r="Z870" s="2">
        <v>57473174</v>
      </c>
      <c r="AB870" s="2" t="s">
        <v>654</v>
      </c>
      <c r="AC870" s="2" t="s">
        <v>632</v>
      </c>
      <c r="AD870" s="2">
        <v>57473174</v>
      </c>
      <c r="AJ870" s="2">
        <v>57473174</v>
      </c>
      <c r="AK870" s="2">
        <v>1</v>
      </c>
      <c r="AL870" s="2" t="s">
        <v>633</v>
      </c>
      <c r="AM870" s="2">
        <v>0</v>
      </c>
      <c r="AN870" s="2">
        <v>0</v>
      </c>
      <c r="AO870" s="2">
        <v>1</v>
      </c>
      <c r="AP870" s="2">
        <v>0</v>
      </c>
      <c r="AQ870" s="2">
        <v>0</v>
      </c>
      <c r="AR870" s="2">
        <v>0</v>
      </c>
      <c r="AS870" s="2">
        <v>0</v>
      </c>
      <c r="AT870" s="2">
        <v>0</v>
      </c>
      <c r="AZ870" s="2" t="s">
        <v>5965</v>
      </c>
      <c r="BB870" s="2" t="str">
        <f>+PROPER(BD[[#This Row],[PRIMER_APELLIDO]])</f>
        <v>Garcia</v>
      </c>
    </row>
    <row r="871" spans="1:54" x14ac:dyDescent="0.25">
      <c r="A871" s="2">
        <v>870</v>
      </c>
      <c r="B871" s="2">
        <v>39024</v>
      </c>
      <c r="C871" s="2" t="s">
        <v>619</v>
      </c>
      <c r="D871" s="2" t="s">
        <v>620</v>
      </c>
      <c r="E871" s="2" t="s">
        <v>5966</v>
      </c>
      <c r="F871" s="2">
        <v>23113989</v>
      </c>
      <c r="G871" s="3">
        <v>38.545205479452058</v>
      </c>
      <c r="H871" s="2" t="s">
        <v>622</v>
      </c>
      <c r="I871" s="2" t="s">
        <v>5967</v>
      </c>
      <c r="J871" s="2" t="str">
        <f>+IF(BD[[#This Row],[DEPARTAMENTO_INSS]]="MANAGUA","_01_","_02_")</f>
        <v>_02_</v>
      </c>
      <c r="K871" s="2" t="str">
        <f>+CONCATENATE(BD[[#This Row],[Columna3]],BD[[#This Row],[Columna4]],BD[[#This Row],[NOMBRE COMPLETO]])</f>
        <v>E003_02_MARIO GERCEN LAZO GUERRERO</v>
      </c>
      <c r="L871" s="2" t="s">
        <v>1640</v>
      </c>
      <c r="M871" s="2" t="s">
        <v>5968</v>
      </c>
      <c r="N871" s="2" t="s">
        <v>268</v>
      </c>
      <c r="O871" s="2" t="s">
        <v>275</v>
      </c>
      <c r="P871" s="2" t="s">
        <v>649</v>
      </c>
      <c r="Q871" s="2" t="s">
        <v>351</v>
      </c>
      <c r="R871" s="2">
        <v>30727</v>
      </c>
      <c r="S871" s="2">
        <v>30727</v>
      </c>
      <c r="T871" s="2" t="s">
        <v>929</v>
      </c>
      <c r="U871" s="2" t="s">
        <v>691</v>
      </c>
      <c r="V871" s="2" t="s">
        <v>1653</v>
      </c>
      <c r="W871" s="2" t="s">
        <v>691</v>
      </c>
      <c r="X871" s="2" t="s">
        <v>5969</v>
      </c>
      <c r="Y871" s="2" t="s">
        <v>5970</v>
      </c>
      <c r="AA871" s="2">
        <v>83350286</v>
      </c>
      <c r="AB871" s="2" t="s">
        <v>654</v>
      </c>
      <c r="AC871" s="2" t="s">
        <v>632</v>
      </c>
      <c r="AD871" s="2">
        <v>83350286</v>
      </c>
      <c r="AJ871" s="2">
        <v>83350286</v>
      </c>
      <c r="AK871" s="2">
        <v>1</v>
      </c>
      <c r="AL871" s="2" t="s">
        <v>633</v>
      </c>
      <c r="AM871" s="2">
        <v>0</v>
      </c>
      <c r="AN871" s="2">
        <v>0</v>
      </c>
      <c r="AO871" s="2">
        <v>1</v>
      </c>
      <c r="AP871" s="2">
        <v>0</v>
      </c>
      <c r="AQ871" s="2">
        <v>0</v>
      </c>
      <c r="AR871" s="2">
        <v>0</v>
      </c>
      <c r="AS871" s="2">
        <v>0</v>
      </c>
      <c r="AT871" s="2">
        <v>0</v>
      </c>
      <c r="BB871" s="2" t="str">
        <f>+PROPER(BD[[#This Row],[PRIMER_APELLIDO]])</f>
        <v>Lazo</v>
      </c>
    </row>
    <row r="872" spans="1:54" x14ac:dyDescent="0.25">
      <c r="A872" s="2">
        <v>871</v>
      </c>
      <c r="B872" s="2">
        <v>47604</v>
      </c>
      <c r="C872" s="2" t="s">
        <v>619</v>
      </c>
      <c r="D872" s="2" t="s">
        <v>620</v>
      </c>
      <c r="E872" s="2" t="s">
        <v>5971</v>
      </c>
      <c r="F872" s="2">
        <v>25026704</v>
      </c>
      <c r="G872" s="3">
        <v>38.553424657534244</v>
      </c>
      <c r="H872" s="2" t="s">
        <v>622</v>
      </c>
      <c r="I872" s="2" t="s">
        <v>5972</v>
      </c>
      <c r="J872" s="2" t="str">
        <f>+IF(BD[[#This Row],[DEPARTAMENTO_INSS]]="MANAGUA","_01_","_02_")</f>
        <v>_01_</v>
      </c>
      <c r="K872" s="2" t="str">
        <f>+CONCATENATE(BD[[#This Row],[Columna3]],BD[[#This Row],[Columna4]],BD[[#This Row],[NOMBRE COMPLETO]])</f>
        <v>E003_01_DEYANIRA DEL CARMEN MUNGUIA ESTRADA</v>
      </c>
      <c r="L872" s="2" t="s">
        <v>5236</v>
      </c>
      <c r="M872" s="2" t="s">
        <v>961</v>
      </c>
      <c r="N872" s="2" t="s">
        <v>197</v>
      </c>
      <c r="O872" s="2" t="s">
        <v>225</v>
      </c>
      <c r="P872" s="2" t="s">
        <v>626</v>
      </c>
      <c r="Q872" s="2" t="s">
        <v>351</v>
      </c>
      <c r="R872" s="2">
        <v>30724</v>
      </c>
      <c r="S872" s="2">
        <v>30724</v>
      </c>
      <c r="T872" s="2" t="s">
        <v>627</v>
      </c>
      <c r="U872" s="2" t="s">
        <v>627</v>
      </c>
      <c r="V872" s="2" t="s">
        <v>692</v>
      </c>
      <c r="W872" s="2" t="s">
        <v>692</v>
      </c>
      <c r="X872" s="2" t="s">
        <v>5973</v>
      </c>
      <c r="Y872" s="2" t="s">
        <v>5974</v>
      </c>
      <c r="Z872" s="2">
        <v>87777846</v>
      </c>
      <c r="AA872" s="2">
        <v>87777846</v>
      </c>
      <c r="AB872" s="2" t="s">
        <v>631</v>
      </c>
      <c r="AC872" s="2" t="s">
        <v>632</v>
      </c>
      <c r="AD872" s="2">
        <v>87777846</v>
      </c>
      <c r="AJ872" s="2">
        <v>87777846</v>
      </c>
      <c r="AK872" s="2">
        <v>2</v>
      </c>
      <c r="AL872" s="2" t="s">
        <v>633</v>
      </c>
      <c r="AM872" s="2">
        <v>0</v>
      </c>
      <c r="AN872" s="2">
        <v>0</v>
      </c>
      <c r="AO872" s="2">
        <v>1</v>
      </c>
      <c r="AP872" s="2">
        <v>0</v>
      </c>
      <c r="AQ872" s="2">
        <v>0</v>
      </c>
      <c r="AR872" s="2">
        <v>0</v>
      </c>
      <c r="AS872" s="2">
        <v>0</v>
      </c>
      <c r="AT872" s="2">
        <v>0</v>
      </c>
      <c r="AZ872" s="2" t="s">
        <v>5975</v>
      </c>
      <c r="BB872" s="2" t="str">
        <f>+PROPER(BD[[#This Row],[PRIMER_APELLIDO]])</f>
        <v>Munguia</v>
      </c>
    </row>
    <row r="873" spans="1:54" x14ac:dyDescent="0.25">
      <c r="A873" s="2">
        <v>872</v>
      </c>
      <c r="B873" s="2">
        <v>29438</v>
      </c>
      <c r="C873" s="2" t="s">
        <v>619</v>
      </c>
      <c r="D873" s="2" t="s">
        <v>620</v>
      </c>
      <c r="E873" s="2" t="s">
        <v>5976</v>
      </c>
      <c r="F873" s="2">
        <v>18965667</v>
      </c>
      <c r="G873" s="3">
        <v>38.561643835616437</v>
      </c>
      <c r="H873" s="2" t="s">
        <v>622</v>
      </c>
      <c r="I873" s="2" t="s">
        <v>5977</v>
      </c>
      <c r="J873" s="2" t="str">
        <f>+IF(BD[[#This Row],[DEPARTAMENTO_INSS]]="MANAGUA","_01_","_02_")</f>
        <v>_02_</v>
      </c>
      <c r="K873" s="2" t="str">
        <f>+CONCATENATE(BD[[#This Row],[Columna3]],BD[[#This Row],[Columna4]],BD[[#This Row],[NOMBRE COMPLETO]])</f>
        <v>E003_02_LESLY NOHELIA ALTAMIRANO CANALES</v>
      </c>
      <c r="L873" s="2" t="s">
        <v>5978</v>
      </c>
      <c r="M873" s="2" t="s">
        <v>5979</v>
      </c>
      <c r="N873" s="2" t="s">
        <v>73</v>
      </c>
      <c r="O873" s="2" t="s">
        <v>77</v>
      </c>
      <c r="P873" s="2" t="s">
        <v>626</v>
      </c>
      <c r="Q873" s="2" t="s">
        <v>351</v>
      </c>
      <c r="R873" s="2">
        <v>30721</v>
      </c>
      <c r="S873" s="2">
        <v>30721</v>
      </c>
      <c r="T873" s="2" t="s">
        <v>691</v>
      </c>
      <c r="U873" s="2" t="s">
        <v>691</v>
      </c>
      <c r="V873" s="2" t="s">
        <v>716</v>
      </c>
      <c r="W873" s="2" t="s">
        <v>691</v>
      </c>
      <c r="X873" s="2" t="s">
        <v>5980</v>
      </c>
      <c r="Y873" s="2" t="s">
        <v>5981</v>
      </c>
      <c r="Z873" s="2">
        <v>83625281</v>
      </c>
      <c r="AA873" s="2">
        <v>27140558</v>
      </c>
      <c r="AB873" s="2" t="s">
        <v>642</v>
      </c>
      <c r="AC873" s="2" t="s">
        <v>632</v>
      </c>
      <c r="AD873" s="2">
        <v>83625281</v>
      </c>
      <c r="AJ873" s="2">
        <v>83625281</v>
      </c>
      <c r="AK873" s="2">
        <v>2</v>
      </c>
      <c r="AL873" s="2" t="s">
        <v>633</v>
      </c>
      <c r="AM873" s="2">
        <v>0</v>
      </c>
      <c r="AN873" s="2">
        <v>0</v>
      </c>
      <c r="AO873" s="2">
        <v>1</v>
      </c>
      <c r="AP873" s="2">
        <v>0</v>
      </c>
      <c r="AQ873" s="2">
        <v>0</v>
      </c>
      <c r="AR873" s="2">
        <v>0</v>
      </c>
      <c r="AS873" s="2">
        <v>0</v>
      </c>
      <c r="AT873" s="2">
        <v>0</v>
      </c>
      <c r="AZ873" s="2" t="s">
        <v>5982</v>
      </c>
      <c r="BB873" s="2" t="str">
        <f>+PROPER(BD[[#This Row],[PRIMER_APELLIDO]])</f>
        <v>Altamirano</v>
      </c>
    </row>
    <row r="874" spans="1:54" x14ac:dyDescent="0.25">
      <c r="A874" s="2">
        <v>873</v>
      </c>
      <c r="B874" s="2">
        <v>39438</v>
      </c>
      <c r="C874" s="2" t="s">
        <v>619</v>
      </c>
      <c r="D874" s="2" t="s">
        <v>620</v>
      </c>
      <c r="E874" s="2" t="s">
        <v>5983</v>
      </c>
      <c r="G874" s="3">
        <v>38.56712328767123</v>
      </c>
      <c r="H874" s="2" t="s">
        <v>622</v>
      </c>
      <c r="I874" s="2" t="s">
        <v>5984</v>
      </c>
      <c r="J874" s="2" t="str">
        <f>+IF(BD[[#This Row],[DEPARTAMENTO_INSS]]="MANAGUA","_01_","_02_")</f>
        <v>_02_</v>
      </c>
      <c r="K874" s="2" t="str">
        <f>+CONCATENATE(BD[[#This Row],[Columna3]],BD[[#This Row],[Columna4]],BD[[#This Row],[NOMBRE COMPLETO]])</f>
        <v>E003_02_BERNABE EDGARDO ACOSTA SILVA</v>
      </c>
      <c r="L874" s="2" t="s">
        <v>5985</v>
      </c>
      <c r="M874" s="2" t="s">
        <v>5986</v>
      </c>
      <c r="N874" s="2" t="s">
        <v>42</v>
      </c>
      <c r="O874" s="2" t="s">
        <v>113</v>
      </c>
      <c r="P874" s="2" t="s">
        <v>649</v>
      </c>
      <c r="Q874" s="2" t="s">
        <v>351</v>
      </c>
      <c r="R874" s="2">
        <v>30719</v>
      </c>
      <c r="S874" s="2">
        <v>30719</v>
      </c>
      <c r="T874" s="2" t="s">
        <v>176</v>
      </c>
      <c r="U874" s="2" t="s">
        <v>176</v>
      </c>
      <c r="V874" s="2" t="s">
        <v>1796</v>
      </c>
      <c r="W874" s="2" t="s">
        <v>1796</v>
      </c>
      <c r="X874" s="2" t="s">
        <v>5987</v>
      </c>
      <c r="Y874" s="2" t="s">
        <v>5988</v>
      </c>
      <c r="Z874" s="2">
        <v>82011015</v>
      </c>
      <c r="AB874" s="2" t="s">
        <v>654</v>
      </c>
      <c r="AC874" s="2" t="s">
        <v>632</v>
      </c>
      <c r="AD874" s="2">
        <v>82011015</v>
      </c>
      <c r="AJ874" s="2">
        <v>82011015</v>
      </c>
      <c r="AK874" s="2">
        <v>1</v>
      </c>
      <c r="AL874" s="2" t="s">
        <v>633</v>
      </c>
      <c r="AM874" s="2">
        <v>0</v>
      </c>
      <c r="AN874" s="2">
        <v>0</v>
      </c>
      <c r="AO874" s="2">
        <v>1</v>
      </c>
      <c r="AP874" s="2">
        <v>0</v>
      </c>
      <c r="AQ874" s="2">
        <v>0</v>
      </c>
      <c r="AR874" s="2">
        <v>0</v>
      </c>
      <c r="AS874" s="2">
        <v>0</v>
      </c>
      <c r="AT874" s="2">
        <v>0</v>
      </c>
      <c r="AZ874" s="2" t="s">
        <v>5989</v>
      </c>
      <c r="BB874" s="2" t="str">
        <f>+PROPER(BD[[#This Row],[PRIMER_APELLIDO]])</f>
        <v>Acosta</v>
      </c>
    </row>
    <row r="875" spans="1:54" x14ac:dyDescent="0.25">
      <c r="A875" s="2">
        <v>874</v>
      </c>
      <c r="B875" s="2">
        <v>34176</v>
      </c>
      <c r="C875" s="2" t="s">
        <v>619</v>
      </c>
      <c r="D875" s="2" t="s">
        <v>620</v>
      </c>
      <c r="E875" s="2" t="s">
        <v>5990</v>
      </c>
      <c r="F875" s="2">
        <v>21712700</v>
      </c>
      <c r="G875" s="3">
        <v>38.56986301369863</v>
      </c>
      <c r="H875" s="2" t="s">
        <v>622</v>
      </c>
      <c r="I875" s="2" t="s">
        <v>5991</v>
      </c>
      <c r="J875" s="2" t="str">
        <f>+IF(BD[[#This Row],[DEPARTAMENTO_INSS]]="MANAGUA","_01_","_02_")</f>
        <v>_02_</v>
      </c>
      <c r="K875" s="2" t="str">
        <f>+CONCATENATE(BD[[#This Row],[Columna3]],BD[[#This Row],[Columna4]],BD[[#This Row],[NOMBRE COMPLETO]])</f>
        <v>E003_02_JAVIER ISAAC ZAMORA CARRION</v>
      </c>
      <c r="L875" s="2" t="s">
        <v>975</v>
      </c>
      <c r="M875" s="2" t="s">
        <v>4183</v>
      </c>
      <c r="N875" s="2" t="s">
        <v>149</v>
      </c>
      <c r="O875" s="2" t="s">
        <v>173</v>
      </c>
      <c r="P875" s="2" t="s">
        <v>649</v>
      </c>
      <c r="Q875" s="2" t="s">
        <v>351</v>
      </c>
      <c r="R875" s="2">
        <v>30718</v>
      </c>
      <c r="S875" s="2">
        <v>30718</v>
      </c>
      <c r="T875" s="2" t="s">
        <v>176</v>
      </c>
      <c r="U875" s="2" t="s">
        <v>176</v>
      </c>
      <c r="V875" s="2" t="s">
        <v>650</v>
      </c>
      <c r="W875" s="2" t="s">
        <v>176</v>
      </c>
      <c r="X875" s="2" t="s">
        <v>5992</v>
      </c>
      <c r="Y875" s="2" t="s">
        <v>5993</v>
      </c>
      <c r="AA875" s="2">
        <v>76111476</v>
      </c>
      <c r="AB875" s="2" t="s">
        <v>654</v>
      </c>
      <c r="AC875" s="2" t="s">
        <v>632</v>
      </c>
      <c r="AD875" s="2">
        <v>76111476</v>
      </c>
      <c r="AJ875" s="2">
        <v>76111476</v>
      </c>
      <c r="AK875" s="2">
        <v>1</v>
      </c>
      <c r="AL875" s="2" t="s">
        <v>633</v>
      </c>
      <c r="AM875" s="2">
        <v>0</v>
      </c>
      <c r="AN875" s="2">
        <v>0</v>
      </c>
      <c r="AO875" s="2">
        <v>1</v>
      </c>
      <c r="AP875" s="2">
        <v>0</v>
      </c>
      <c r="AQ875" s="2">
        <v>0</v>
      </c>
      <c r="AR875" s="2">
        <v>0</v>
      </c>
      <c r="AS875" s="2">
        <v>0</v>
      </c>
      <c r="AT875" s="2">
        <v>0</v>
      </c>
      <c r="BB875" s="2" t="str">
        <f>+PROPER(BD[[#This Row],[PRIMER_APELLIDO]])</f>
        <v>Zamora</v>
      </c>
    </row>
    <row r="876" spans="1:54" x14ac:dyDescent="0.25">
      <c r="A876" s="2">
        <v>875</v>
      </c>
      <c r="B876" s="2">
        <v>48224</v>
      </c>
      <c r="C876" s="2" t="s">
        <v>619</v>
      </c>
      <c r="D876" s="2" t="s">
        <v>620</v>
      </c>
      <c r="E876" s="2" t="s">
        <v>5994</v>
      </c>
      <c r="F876" s="2">
        <v>25022526</v>
      </c>
      <c r="G876" s="3">
        <v>38.578082191780823</v>
      </c>
      <c r="H876" s="2" t="s">
        <v>622</v>
      </c>
      <c r="I876" s="2" t="s">
        <v>5995</v>
      </c>
      <c r="J876" s="2" t="str">
        <f>+IF(BD[[#This Row],[DEPARTAMENTO_INSS]]="MANAGUA","_01_","_02_")</f>
        <v>_02_</v>
      </c>
      <c r="K876" s="2" t="str">
        <f>+CONCATENATE(BD[[#This Row],[Columna3]],BD[[#This Row],[Columna4]],BD[[#This Row],[NOMBRE COMPLETO]])</f>
        <v>E003_02_LUIS ALFREDO IZAGUIRRE CRUZ</v>
      </c>
      <c r="L876" s="2" t="s">
        <v>738</v>
      </c>
      <c r="M876" s="2" t="s">
        <v>3224</v>
      </c>
      <c r="N876" s="2" t="s">
        <v>412</v>
      </c>
      <c r="O876" s="2" t="s">
        <v>32</v>
      </c>
      <c r="P876" s="2" t="s">
        <v>649</v>
      </c>
      <c r="Q876" s="2" t="s">
        <v>351</v>
      </c>
      <c r="R876" s="2">
        <v>30715</v>
      </c>
      <c r="S876" s="2">
        <v>30715</v>
      </c>
      <c r="T876" s="2" t="s">
        <v>444</v>
      </c>
      <c r="U876" s="2" t="s">
        <v>444</v>
      </c>
      <c r="V876" s="2" t="s">
        <v>1136</v>
      </c>
      <c r="W876" s="2" t="s">
        <v>1137</v>
      </c>
      <c r="X876" s="2" t="s">
        <v>5996</v>
      </c>
      <c r="Y876" s="2" t="s">
        <v>5997</v>
      </c>
      <c r="Z876" s="2">
        <v>89484436</v>
      </c>
      <c r="AA876" s="2">
        <v>87356840</v>
      </c>
      <c r="AB876" s="2" t="s">
        <v>798</v>
      </c>
      <c r="AC876" s="2" t="s">
        <v>632</v>
      </c>
      <c r="AD876" s="2">
        <v>89484436</v>
      </c>
      <c r="AF876" s="2">
        <v>87356840</v>
      </c>
      <c r="AJ876" s="2">
        <v>89484436</v>
      </c>
      <c r="AK876" s="2">
        <v>2</v>
      </c>
      <c r="AL876" s="2" t="s">
        <v>633</v>
      </c>
      <c r="AM876" s="2">
        <v>0</v>
      </c>
      <c r="AN876" s="2">
        <v>0</v>
      </c>
      <c r="AO876" s="2">
        <v>1</v>
      </c>
      <c r="AP876" s="2">
        <v>0</v>
      </c>
      <c r="AQ876" s="2">
        <v>0</v>
      </c>
      <c r="AR876" s="2">
        <v>0</v>
      </c>
      <c r="AS876" s="2">
        <v>0</v>
      </c>
      <c r="AT876" s="2">
        <v>0</v>
      </c>
      <c r="AZ876" s="2" t="s">
        <v>5998</v>
      </c>
      <c r="BB876" s="2" t="str">
        <f>+PROPER(BD[[#This Row],[PRIMER_APELLIDO]])</f>
        <v>Izaguirre</v>
      </c>
    </row>
    <row r="877" spans="1:54" x14ac:dyDescent="0.25">
      <c r="A877" s="2">
        <v>876</v>
      </c>
      <c r="B877" s="2">
        <v>39068</v>
      </c>
      <c r="C877" s="2" t="s">
        <v>619</v>
      </c>
      <c r="D877" s="2" t="s">
        <v>620</v>
      </c>
      <c r="E877" s="2" t="s">
        <v>5999</v>
      </c>
      <c r="F877" s="2">
        <v>23110535</v>
      </c>
      <c r="G877" s="3">
        <v>38.580821917808223</v>
      </c>
      <c r="H877" s="2" t="s">
        <v>622</v>
      </c>
      <c r="I877" s="2" t="s">
        <v>6000</v>
      </c>
      <c r="J877" s="2" t="str">
        <f>+IF(BD[[#This Row],[DEPARTAMENTO_INSS]]="MANAGUA","_01_","_02_")</f>
        <v>_02_</v>
      </c>
      <c r="K877" s="2" t="str">
        <f>+CONCATENATE(BD[[#This Row],[Columna3]],BD[[#This Row],[Columna4]],BD[[#This Row],[NOMBRE COMPLETO]])</f>
        <v>E003_02_TANJA SAHRA KRAMER</v>
      </c>
      <c r="L877" s="2" t="s">
        <v>6001</v>
      </c>
      <c r="M877" s="2" t="s">
        <v>6002</v>
      </c>
      <c r="N877" s="2" t="s">
        <v>305</v>
      </c>
      <c r="P877" s="2" t="s">
        <v>626</v>
      </c>
      <c r="Q877" s="2" t="s">
        <v>351</v>
      </c>
      <c r="R877" s="2">
        <v>30714</v>
      </c>
      <c r="S877" s="2">
        <v>30714</v>
      </c>
      <c r="T877" s="2" t="s">
        <v>669</v>
      </c>
      <c r="U877" s="2" t="s">
        <v>669</v>
      </c>
      <c r="V877" s="2" t="s">
        <v>670</v>
      </c>
      <c r="W877" s="2" t="s">
        <v>670</v>
      </c>
      <c r="X877" s="2" t="s">
        <v>6003</v>
      </c>
      <c r="Y877" s="2" t="s">
        <v>6004</v>
      </c>
      <c r="Z877" s="2">
        <v>84432613</v>
      </c>
      <c r="AA877" s="2">
        <v>84432613</v>
      </c>
      <c r="AB877" s="2" t="s">
        <v>642</v>
      </c>
      <c r="AC877" s="2" t="s">
        <v>632</v>
      </c>
      <c r="AD877" s="2">
        <v>84432613</v>
      </c>
      <c r="AJ877" s="2">
        <v>84432613</v>
      </c>
      <c r="AK877" s="2">
        <v>2</v>
      </c>
      <c r="AL877" s="2" t="s">
        <v>633</v>
      </c>
      <c r="AM877" s="2">
        <v>0</v>
      </c>
      <c r="AN877" s="2">
        <v>0</v>
      </c>
      <c r="AO877" s="2">
        <v>1</v>
      </c>
      <c r="AP877" s="2">
        <v>0</v>
      </c>
      <c r="AQ877" s="2">
        <v>0</v>
      </c>
      <c r="AR877" s="2">
        <v>0</v>
      </c>
      <c r="AS877" s="2">
        <v>0</v>
      </c>
      <c r="AT877" s="2">
        <v>0</v>
      </c>
      <c r="AZ877" s="2" t="s">
        <v>6005</v>
      </c>
      <c r="BB877" s="2" t="str">
        <f>+PROPER(BD[[#This Row],[PRIMER_APELLIDO]])</f>
        <v>Kramer</v>
      </c>
    </row>
    <row r="878" spans="1:54" x14ac:dyDescent="0.25">
      <c r="A878" s="2">
        <v>877</v>
      </c>
      <c r="B878" s="2">
        <v>30109</v>
      </c>
      <c r="C878" s="2" t="s">
        <v>619</v>
      </c>
      <c r="D878" s="2" t="s">
        <v>620</v>
      </c>
      <c r="E878" s="2" t="s">
        <v>6006</v>
      </c>
      <c r="F878" s="2">
        <v>19491589</v>
      </c>
      <c r="G878" s="3">
        <v>38.583561643835615</v>
      </c>
      <c r="H878" s="2" t="s">
        <v>622</v>
      </c>
      <c r="I878" s="2" t="s">
        <v>6007</v>
      </c>
      <c r="J878" s="2" t="str">
        <f>+IF(BD[[#This Row],[DEPARTAMENTO_INSS]]="MANAGUA","_01_","_02_")</f>
        <v>_02_</v>
      </c>
      <c r="K878" s="2" t="str">
        <f>+CONCATENATE(BD[[#This Row],[Columna3]],BD[[#This Row],[Columna4]],BD[[#This Row],[NOMBRE COMPLETO]])</f>
        <v>E003_02_MAYLING AUXILIADORA CARBALLO BARQUERO</v>
      </c>
      <c r="L878" s="2" t="s">
        <v>6008</v>
      </c>
      <c r="M878" s="2" t="s">
        <v>970</v>
      </c>
      <c r="N878" s="2" t="s">
        <v>204</v>
      </c>
      <c r="O878" s="2" t="s">
        <v>6009</v>
      </c>
      <c r="P878" s="2" t="s">
        <v>626</v>
      </c>
      <c r="Q878" s="2" t="s">
        <v>351</v>
      </c>
      <c r="R878" s="2">
        <v>30713</v>
      </c>
      <c r="S878" s="2">
        <v>30713</v>
      </c>
      <c r="T878" s="2" t="s">
        <v>732</v>
      </c>
      <c r="U878" s="2" t="s">
        <v>732</v>
      </c>
      <c r="V878" s="2" t="s">
        <v>4341</v>
      </c>
      <c r="W878" s="2" t="s">
        <v>4341</v>
      </c>
      <c r="X878" s="2" t="s">
        <v>6010</v>
      </c>
      <c r="Y878" s="2" t="s">
        <v>6011</v>
      </c>
      <c r="Z878" s="2">
        <v>88487560</v>
      </c>
      <c r="AA878" s="2">
        <v>88487560</v>
      </c>
      <c r="AB878" s="2" t="s">
        <v>642</v>
      </c>
      <c r="AC878" s="2" t="s">
        <v>632</v>
      </c>
      <c r="AD878" s="2">
        <v>88487560</v>
      </c>
      <c r="AJ878" s="2">
        <v>88487560</v>
      </c>
      <c r="AK878" s="2">
        <v>2</v>
      </c>
      <c r="AL878" s="2" t="s">
        <v>633</v>
      </c>
      <c r="AM878" s="2">
        <v>0</v>
      </c>
      <c r="AN878" s="2">
        <v>0</v>
      </c>
      <c r="AO878" s="2">
        <v>1</v>
      </c>
      <c r="AP878" s="2">
        <v>0</v>
      </c>
      <c r="AQ878" s="2">
        <v>0</v>
      </c>
      <c r="AR878" s="2">
        <v>0</v>
      </c>
      <c r="AS878" s="2">
        <v>0</v>
      </c>
      <c r="AT878" s="2">
        <v>0</v>
      </c>
      <c r="AZ878" s="2" t="s">
        <v>6012</v>
      </c>
      <c r="BB878" s="2" t="str">
        <f>+PROPER(BD[[#This Row],[PRIMER_APELLIDO]])</f>
        <v>Carballo</v>
      </c>
    </row>
    <row r="879" spans="1:54" x14ac:dyDescent="0.25">
      <c r="A879" s="2">
        <v>878</v>
      </c>
      <c r="B879" s="2">
        <v>74198</v>
      </c>
      <c r="C879" s="2" t="s">
        <v>619</v>
      </c>
      <c r="D879" s="2" t="s">
        <v>620</v>
      </c>
      <c r="E879" s="2" t="s">
        <v>6013</v>
      </c>
      <c r="G879" s="3">
        <v>38.589041095890408</v>
      </c>
      <c r="H879" s="2" t="s">
        <v>622</v>
      </c>
      <c r="I879" s="2" t="s">
        <v>6014</v>
      </c>
      <c r="J879" s="2" t="str">
        <f>+IF(BD[[#This Row],[DEPARTAMENTO_INSS]]="MANAGUA","_01_","_02_")</f>
        <v>_02_</v>
      </c>
      <c r="K879" s="2" t="str">
        <f>+CONCATENATE(BD[[#This Row],[Columna3]],BD[[#This Row],[Columna4]],BD[[#This Row],[NOMBRE COMPLETO]])</f>
        <v>E003_02_KENIA MARIA MELENDEZ</v>
      </c>
      <c r="L879" s="2" t="s">
        <v>802</v>
      </c>
      <c r="M879" s="2" t="s">
        <v>724</v>
      </c>
      <c r="N879" s="2" t="s">
        <v>228</v>
      </c>
      <c r="P879" s="2" t="s">
        <v>626</v>
      </c>
      <c r="Q879" s="2" t="s">
        <v>351</v>
      </c>
      <c r="R879" s="2">
        <v>30711</v>
      </c>
      <c r="S879" s="2">
        <v>30711</v>
      </c>
      <c r="T879" s="2" t="s">
        <v>176</v>
      </c>
      <c r="U879" s="2" t="s">
        <v>176</v>
      </c>
      <c r="V879" s="2" t="s">
        <v>650</v>
      </c>
      <c r="W879" s="2" t="s">
        <v>176</v>
      </c>
      <c r="X879" s="2" t="s">
        <v>6015</v>
      </c>
      <c r="Y879" s="2" t="s">
        <v>6016</v>
      </c>
      <c r="Z879" s="2">
        <v>85376751</v>
      </c>
      <c r="AA879" s="2">
        <v>85376751</v>
      </c>
      <c r="AB879" s="2" t="s">
        <v>654</v>
      </c>
      <c r="AC879" s="2" t="s">
        <v>632</v>
      </c>
      <c r="AD879" s="2">
        <v>85376751</v>
      </c>
      <c r="AJ879" s="2">
        <v>85376751</v>
      </c>
      <c r="AK879" s="2">
        <v>2</v>
      </c>
      <c r="AL879" s="2" t="s">
        <v>633</v>
      </c>
      <c r="AM879" s="2">
        <v>0</v>
      </c>
      <c r="AN879" s="2">
        <v>0</v>
      </c>
      <c r="AO879" s="2">
        <v>1</v>
      </c>
      <c r="AP879" s="2">
        <v>0</v>
      </c>
      <c r="AQ879" s="2">
        <v>0</v>
      </c>
      <c r="AR879" s="2">
        <v>0</v>
      </c>
      <c r="AS879" s="2">
        <v>0</v>
      </c>
      <c r="AT879" s="2">
        <v>0</v>
      </c>
      <c r="AZ879" s="2" t="s">
        <v>6017</v>
      </c>
      <c r="BB879" s="2" t="str">
        <f>+PROPER(BD[[#This Row],[PRIMER_APELLIDO]])</f>
        <v>Melendez</v>
      </c>
    </row>
    <row r="880" spans="1:54" x14ac:dyDescent="0.25">
      <c r="A880" s="2">
        <v>879</v>
      </c>
      <c r="B880" s="2">
        <v>51842</v>
      </c>
      <c r="C880" s="2" t="s">
        <v>619</v>
      </c>
      <c r="D880" s="2" t="s">
        <v>620</v>
      </c>
      <c r="E880" s="2" t="s">
        <v>6018</v>
      </c>
      <c r="F880" s="2">
        <v>25028601</v>
      </c>
      <c r="G880" s="3">
        <v>38.597260273972601</v>
      </c>
      <c r="H880" s="2" t="s">
        <v>622</v>
      </c>
      <c r="I880" s="2" t="s">
        <v>6019</v>
      </c>
      <c r="J880" s="2" t="str">
        <f>+IF(BD[[#This Row],[DEPARTAMENTO_INSS]]="MANAGUA","_01_","_02_")</f>
        <v>_02_</v>
      </c>
      <c r="K880" s="2" t="str">
        <f>+CONCATENATE(BD[[#This Row],[Columna3]],BD[[#This Row],[Columna4]],BD[[#This Row],[NOMBRE COMPLETO]])</f>
        <v>E003_02_LETTY MELODEEN SINCLAIR DAVIS</v>
      </c>
      <c r="L880" s="2" t="s">
        <v>6020</v>
      </c>
      <c r="M880" s="2" t="s">
        <v>6021</v>
      </c>
      <c r="N880" s="2" t="s">
        <v>367</v>
      </c>
      <c r="O880" s="2" t="s">
        <v>6022</v>
      </c>
      <c r="P880" s="2" t="s">
        <v>626</v>
      </c>
      <c r="Q880" s="2" t="s">
        <v>351</v>
      </c>
      <c r="R880" s="2">
        <v>30708</v>
      </c>
      <c r="S880" s="2">
        <v>30708</v>
      </c>
      <c r="T880" s="2" t="s">
        <v>780</v>
      </c>
      <c r="U880" s="2" t="s">
        <v>780</v>
      </c>
      <c r="V880" s="2" t="s">
        <v>1772</v>
      </c>
      <c r="W880" s="2" t="s">
        <v>1772</v>
      </c>
      <c r="X880" s="2" t="s">
        <v>6023</v>
      </c>
      <c r="Y880" s="2" t="s">
        <v>6024</v>
      </c>
      <c r="Z880" s="2">
        <v>86506377</v>
      </c>
      <c r="AA880" s="2">
        <v>86506377</v>
      </c>
      <c r="AB880" s="2" t="s">
        <v>631</v>
      </c>
      <c r="AC880" s="2" t="s">
        <v>632</v>
      </c>
      <c r="AD880" s="2">
        <v>86506377</v>
      </c>
      <c r="AJ880" s="2">
        <v>86506377</v>
      </c>
      <c r="AK880" s="2">
        <v>2</v>
      </c>
      <c r="AL880" s="2" t="s">
        <v>633</v>
      </c>
      <c r="AM880" s="2">
        <v>0</v>
      </c>
      <c r="AN880" s="2">
        <v>0</v>
      </c>
      <c r="AO880" s="2">
        <v>1</v>
      </c>
      <c r="AP880" s="2">
        <v>0</v>
      </c>
      <c r="AQ880" s="2">
        <v>0</v>
      </c>
      <c r="AR880" s="2">
        <v>0</v>
      </c>
      <c r="AS880" s="2">
        <v>0</v>
      </c>
      <c r="AT880" s="2">
        <v>0</v>
      </c>
      <c r="AZ880" s="2" t="s">
        <v>6025</v>
      </c>
      <c r="BB880" s="2" t="str">
        <f>+PROPER(BD[[#This Row],[PRIMER_APELLIDO]])</f>
        <v>Sinclair</v>
      </c>
    </row>
    <row r="881" spans="1:54" x14ac:dyDescent="0.25">
      <c r="A881" s="2">
        <v>880</v>
      </c>
      <c r="B881" s="2">
        <v>35291</v>
      </c>
      <c r="C881" s="2" t="s">
        <v>619</v>
      </c>
      <c r="D881" s="2" t="s">
        <v>620</v>
      </c>
      <c r="E881" s="2" t="s">
        <v>6026</v>
      </c>
      <c r="F881" s="2">
        <v>21726404</v>
      </c>
      <c r="G881" s="3">
        <v>38.6</v>
      </c>
      <c r="H881" s="2" t="s">
        <v>622</v>
      </c>
      <c r="I881" s="2" t="s">
        <v>6027</v>
      </c>
      <c r="J881" s="2" t="str">
        <f>+IF(BD[[#This Row],[DEPARTAMENTO_INSS]]="MANAGUA","_01_","_02_")</f>
        <v>_01_</v>
      </c>
      <c r="K881" s="2" t="str">
        <f>+CONCATENATE(BD[[#This Row],[Columna3]],BD[[#This Row],[Columna4]],BD[[#This Row],[NOMBRE COMPLETO]])</f>
        <v>E003_01_GEMA ROBERTA FLORES ACEVEDO</v>
      </c>
      <c r="L881" s="2" t="s">
        <v>786</v>
      </c>
      <c r="M881" s="2" t="s">
        <v>6028</v>
      </c>
      <c r="N881" s="2" t="s">
        <v>58</v>
      </c>
      <c r="O881" s="2" t="s">
        <v>261</v>
      </c>
      <c r="P881" s="2" t="s">
        <v>626</v>
      </c>
      <c r="Q881" s="2" t="s">
        <v>351</v>
      </c>
      <c r="R881" s="2">
        <v>30707</v>
      </c>
      <c r="S881" s="2">
        <v>30707</v>
      </c>
      <c r="T881" s="2" t="s">
        <v>627</v>
      </c>
      <c r="U881" s="2" t="s">
        <v>627</v>
      </c>
      <c r="V881" s="2" t="s">
        <v>627</v>
      </c>
      <c r="W881" s="2" t="s">
        <v>627</v>
      </c>
      <c r="X881" s="2" t="s">
        <v>6029</v>
      </c>
      <c r="Y881" s="2" t="s">
        <v>6030</v>
      </c>
      <c r="AA881" s="2" t="s">
        <v>6031</v>
      </c>
      <c r="AB881" s="2" t="s">
        <v>642</v>
      </c>
      <c r="AC881" s="2" t="s">
        <v>632</v>
      </c>
      <c r="AE881" s="2">
        <v>88612817</v>
      </c>
      <c r="AJ881" s="2">
        <v>88612817</v>
      </c>
      <c r="AK881" s="2">
        <v>2</v>
      </c>
      <c r="AL881" s="2" t="s">
        <v>633</v>
      </c>
      <c r="AM881" s="2">
        <v>0</v>
      </c>
      <c r="AN881" s="2">
        <v>0</v>
      </c>
      <c r="AO881" s="2">
        <v>1</v>
      </c>
      <c r="AP881" s="2">
        <v>0</v>
      </c>
      <c r="AQ881" s="2">
        <v>0</v>
      </c>
      <c r="AR881" s="2">
        <v>0</v>
      </c>
      <c r="AS881" s="2">
        <v>0</v>
      </c>
      <c r="AT881" s="2">
        <v>0</v>
      </c>
      <c r="BA881" s="2" t="s">
        <v>6032</v>
      </c>
      <c r="BB881" s="2" t="str">
        <f>+PROPER(BD[[#This Row],[PRIMER_APELLIDO]])</f>
        <v>Flores</v>
      </c>
    </row>
    <row r="882" spans="1:54" x14ac:dyDescent="0.25">
      <c r="A882" s="2">
        <v>881</v>
      </c>
      <c r="B882" s="2">
        <v>32837</v>
      </c>
      <c r="C882" s="2" t="s">
        <v>619</v>
      </c>
      <c r="D882" s="2" t="s">
        <v>620</v>
      </c>
      <c r="E882" s="2" t="s">
        <v>6033</v>
      </c>
      <c r="F882" s="2">
        <v>21662258</v>
      </c>
      <c r="G882" s="3">
        <v>38.61643835616438</v>
      </c>
      <c r="H882" s="2" t="s">
        <v>622</v>
      </c>
      <c r="I882" s="2" t="s">
        <v>6034</v>
      </c>
      <c r="J882" s="2" t="str">
        <f>+IF(BD[[#This Row],[DEPARTAMENTO_INSS]]="MANAGUA","_01_","_02_")</f>
        <v>_01_</v>
      </c>
      <c r="K882" s="2" t="str">
        <f>+CONCATENATE(BD[[#This Row],[Columna3]],BD[[#This Row],[Columna4]],BD[[#This Row],[NOMBRE COMPLETO]])</f>
        <v>E003_01_GEISSEL NAYARET MIDENCE LOPEZ</v>
      </c>
      <c r="L882" s="2" t="s">
        <v>6035</v>
      </c>
      <c r="M882" s="2" t="s">
        <v>6036</v>
      </c>
      <c r="N882" s="2" t="s">
        <v>440</v>
      </c>
      <c r="O882" s="2" t="s">
        <v>15</v>
      </c>
      <c r="P882" s="2" t="s">
        <v>626</v>
      </c>
      <c r="Q882" s="2" t="s">
        <v>351</v>
      </c>
      <c r="R882" s="2">
        <v>30701</v>
      </c>
      <c r="S882" s="2">
        <v>30701</v>
      </c>
      <c r="T882" s="2" t="s">
        <v>627</v>
      </c>
      <c r="U882" s="2" t="s">
        <v>627</v>
      </c>
      <c r="V882" s="2" t="s">
        <v>627</v>
      </c>
      <c r="W882" s="2" t="s">
        <v>627</v>
      </c>
      <c r="X882" s="2" t="s">
        <v>6037</v>
      </c>
      <c r="Y882" s="2" t="s">
        <v>6038</v>
      </c>
      <c r="Z882" s="2">
        <v>89451284</v>
      </c>
      <c r="AB882" s="2" t="s">
        <v>642</v>
      </c>
      <c r="AC882" s="2" t="s">
        <v>632</v>
      </c>
      <c r="AD882" s="2">
        <v>89451284</v>
      </c>
      <c r="AJ882" s="2">
        <v>89451284</v>
      </c>
      <c r="AK882" s="2">
        <v>1</v>
      </c>
      <c r="AL882" s="2" t="s">
        <v>633</v>
      </c>
      <c r="AM882" s="2">
        <v>0</v>
      </c>
      <c r="AN882" s="2">
        <v>0</v>
      </c>
      <c r="AO882" s="2">
        <v>1</v>
      </c>
      <c r="AP882" s="2">
        <v>0</v>
      </c>
      <c r="AQ882" s="2">
        <v>0</v>
      </c>
      <c r="AR882" s="2">
        <v>0</v>
      </c>
      <c r="AS882" s="2">
        <v>0</v>
      </c>
      <c r="AT882" s="2">
        <v>0</v>
      </c>
      <c r="AZ882" s="2" t="s">
        <v>6039</v>
      </c>
      <c r="BB882" s="2" t="str">
        <f>+PROPER(BD[[#This Row],[PRIMER_APELLIDO]])</f>
        <v>Midence</v>
      </c>
    </row>
    <row r="883" spans="1:54" x14ac:dyDescent="0.25">
      <c r="A883" s="2">
        <v>882</v>
      </c>
      <c r="B883" s="2">
        <v>31996</v>
      </c>
      <c r="C883" s="2" t="s">
        <v>619</v>
      </c>
      <c r="D883" s="2" t="s">
        <v>620</v>
      </c>
      <c r="E883" s="2" t="s">
        <v>6040</v>
      </c>
      <c r="F883" s="2">
        <v>21734203</v>
      </c>
      <c r="G883" s="3">
        <v>38.624657534246573</v>
      </c>
      <c r="H883" s="2" t="s">
        <v>622</v>
      </c>
      <c r="I883" s="2" t="s">
        <v>6041</v>
      </c>
      <c r="J883" s="2" t="str">
        <f>+IF(BD[[#This Row],[DEPARTAMENTO_INSS]]="MANAGUA","_01_","_02_")</f>
        <v>_02_</v>
      </c>
      <c r="K883" s="2" t="str">
        <f>+CONCATENATE(BD[[#This Row],[Columna3]],BD[[#This Row],[Columna4]],BD[[#This Row],[NOMBRE COMPLETO]])</f>
        <v>E003_02_IDANIA GUADALUPE LOPEZ SALAZAR</v>
      </c>
      <c r="L883" s="2" t="s">
        <v>6042</v>
      </c>
      <c r="M883" s="2" t="s">
        <v>1176</v>
      </c>
      <c r="N883" s="2" t="s">
        <v>15</v>
      </c>
      <c r="O883" s="2" t="s">
        <v>165</v>
      </c>
      <c r="P883" s="2" t="s">
        <v>626</v>
      </c>
      <c r="Q883" s="2" t="s">
        <v>351</v>
      </c>
      <c r="R883" s="2">
        <v>30698</v>
      </c>
      <c r="S883" s="2">
        <v>30698</v>
      </c>
      <c r="T883" s="2" t="s">
        <v>176</v>
      </c>
      <c r="U883" s="2" t="s">
        <v>176</v>
      </c>
      <c r="V883" s="2" t="s">
        <v>997</v>
      </c>
      <c r="W883" s="2" t="s">
        <v>997</v>
      </c>
      <c r="X883" s="2" t="s">
        <v>6043</v>
      </c>
      <c r="Y883" s="2" t="s">
        <v>6044</v>
      </c>
      <c r="Z883" s="2">
        <v>89293749</v>
      </c>
      <c r="AA883" s="2" t="s">
        <v>6045</v>
      </c>
      <c r="AB883" s="2" t="s">
        <v>654</v>
      </c>
      <c r="AC883" s="2" t="s">
        <v>632</v>
      </c>
      <c r="AD883" s="2">
        <v>89293749</v>
      </c>
      <c r="AJ883" s="2">
        <v>89293749</v>
      </c>
      <c r="AK883" s="2">
        <v>3</v>
      </c>
      <c r="AL883" s="2" t="s">
        <v>633</v>
      </c>
      <c r="AM883" s="2">
        <v>0</v>
      </c>
      <c r="AN883" s="2">
        <v>0</v>
      </c>
      <c r="AO883" s="2">
        <v>1</v>
      </c>
      <c r="AP883" s="2">
        <v>0</v>
      </c>
      <c r="AQ883" s="2">
        <v>0</v>
      </c>
      <c r="AR883" s="2">
        <v>0</v>
      </c>
      <c r="AS883" s="2">
        <v>0</v>
      </c>
      <c r="AT883" s="2">
        <v>0</v>
      </c>
      <c r="AZ883" s="2" t="s">
        <v>6046</v>
      </c>
      <c r="BB883" s="2" t="str">
        <f>+PROPER(BD[[#This Row],[PRIMER_APELLIDO]])</f>
        <v>Lopez</v>
      </c>
    </row>
    <row r="884" spans="1:54" x14ac:dyDescent="0.25">
      <c r="A884" s="2">
        <v>883</v>
      </c>
      <c r="B884" s="2">
        <v>30375</v>
      </c>
      <c r="C884" s="2" t="s">
        <v>619</v>
      </c>
      <c r="D884" s="2" t="s">
        <v>620</v>
      </c>
      <c r="E884" s="2" t="s">
        <v>6047</v>
      </c>
      <c r="F884" s="2">
        <v>21669437</v>
      </c>
      <c r="G884" s="3">
        <v>38.649315068493152</v>
      </c>
      <c r="H884" s="2" t="s">
        <v>622</v>
      </c>
      <c r="I884" s="2" t="s">
        <v>6048</v>
      </c>
      <c r="J884" s="2" t="str">
        <f>+IF(BD[[#This Row],[DEPARTAMENTO_INSS]]="MANAGUA","_01_","_02_")</f>
        <v>_02_</v>
      </c>
      <c r="K884" s="2" t="str">
        <f>+CONCATENATE(BD[[#This Row],[Columna3]],BD[[#This Row],[Columna4]],BD[[#This Row],[NOMBRE COMPLETO]])</f>
        <v>E003_02_ARLEN BETHXAVEE MARTINEZ MARTINEZ</v>
      </c>
      <c r="L884" s="2" t="s">
        <v>624</v>
      </c>
      <c r="M884" s="2" t="s">
        <v>6049</v>
      </c>
      <c r="N884" s="2" t="s">
        <v>44</v>
      </c>
      <c r="O884" s="2" t="s">
        <v>44</v>
      </c>
      <c r="P884" s="2" t="s">
        <v>626</v>
      </c>
      <c r="Q884" s="2" t="s">
        <v>351</v>
      </c>
      <c r="R884" s="2">
        <v>30689</v>
      </c>
      <c r="S884" s="2">
        <v>30689</v>
      </c>
      <c r="T884" s="2" t="s">
        <v>705</v>
      </c>
      <c r="U884" s="2" t="s">
        <v>705</v>
      </c>
      <c r="V884" s="2" t="s">
        <v>705</v>
      </c>
      <c r="W884" s="2" t="s">
        <v>705</v>
      </c>
      <c r="X884" s="2" t="s">
        <v>6050</v>
      </c>
      <c r="Y884" s="2" t="s">
        <v>6051</v>
      </c>
      <c r="AA884" s="2">
        <v>83722735</v>
      </c>
      <c r="AB884" s="2" t="s">
        <v>654</v>
      </c>
      <c r="AC884" s="2" t="s">
        <v>632</v>
      </c>
      <c r="AD884" s="2">
        <v>83722735</v>
      </c>
      <c r="AJ884" s="2">
        <v>83722735</v>
      </c>
      <c r="AK884" s="2">
        <v>1</v>
      </c>
      <c r="AL884" s="2" t="s">
        <v>633</v>
      </c>
      <c r="AM884" s="2">
        <v>0</v>
      </c>
      <c r="AN884" s="2">
        <v>0</v>
      </c>
      <c r="AO884" s="2">
        <v>1</v>
      </c>
      <c r="AP884" s="2">
        <v>0</v>
      </c>
      <c r="AQ884" s="2">
        <v>0</v>
      </c>
      <c r="AR884" s="2">
        <v>0</v>
      </c>
      <c r="AS884" s="2">
        <v>0</v>
      </c>
      <c r="AT884" s="2">
        <v>0</v>
      </c>
      <c r="BB884" s="2" t="str">
        <f>+PROPER(BD[[#This Row],[PRIMER_APELLIDO]])</f>
        <v>Martinez</v>
      </c>
    </row>
    <row r="885" spans="1:54" x14ac:dyDescent="0.25">
      <c r="A885" s="2">
        <v>884</v>
      </c>
      <c r="B885" s="2">
        <v>48898</v>
      </c>
      <c r="C885" s="2" t="s">
        <v>619</v>
      </c>
      <c r="D885" s="2" t="s">
        <v>620</v>
      </c>
      <c r="E885" s="2" t="s">
        <v>6052</v>
      </c>
      <c r="F885" s="2">
        <v>25022692</v>
      </c>
      <c r="G885" s="3">
        <v>38.649315068493152</v>
      </c>
      <c r="H885" s="2" t="s">
        <v>622</v>
      </c>
      <c r="I885" s="2" t="s">
        <v>6053</v>
      </c>
      <c r="J885" s="2" t="str">
        <f>+IF(BD[[#This Row],[DEPARTAMENTO_INSS]]="MANAGUA","_01_","_02_")</f>
        <v>_02_</v>
      </c>
      <c r="K885" s="2" t="str">
        <f>+CONCATENATE(BD[[#This Row],[Columna3]],BD[[#This Row],[Columna4]],BD[[#This Row],[NOMBRE COMPLETO]])</f>
        <v>E003_02_SORO BOBEL GUERRERO LOPEZ</v>
      </c>
      <c r="L885" s="2" t="s">
        <v>6054</v>
      </c>
      <c r="M885" s="2" t="s">
        <v>6055</v>
      </c>
      <c r="N885" s="2" t="s">
        <v>275</v>
      </c>
      <c r="O885" s="2" t="s">
        <v>15</v>
      </c>
      <c r="P885" s="2" t="s">
        <v>649</v>
      </c>
      <c r="Q885" s="2" t="s">
        <v>351</v>
      </c>
      <c r="R885" s="2">
        <v>30689</v>
      </c>
      <c r="S885" s="2">
        <v>30689</v>
      </c>
      <c r="T885" s="2" t="s">
        <v>444</v>
      </c>
      <c r="U885" s="2" t="s">
        <v>444</v>
      </c>
      <c r="V885" s="2" t="s">
        <v>947</v>
      </c>
      <c r="W885" s="2" t="s">
        <v>764</v>
      </c>
      <c r="X885" s="2" t="s">
        <v>6056</v>
      </c>
      <c r="Y885" s="2" t="s">
        <v>6057</v>
      </c>
      <c r="Z885" s="2">
        <v>87175130</v>
      </c>
      <c r="AA885" s="2">
        <v>87175130</v>
      </c>
      <c r="AB885" s="2" t="s">
        <v>798</v>
      </c>
      <c r="AC885" s="2" t="s">
        <v>632</v>
      </c>
      <c r="AD885" s="2">
        <v>87175130</v>
      </c>
      <c r="AJ885" s="2">
        <v>87175130</v>
      </c>
      <c r="AK885" s="2">
        <v>2</v>
      </c>
      <c r="AL885" s="2" t="s">
        <v>633</v>
      </c>
      <c r="AM885" s="2">
        <v>0</v>
      </c>
      <c r="AN885" s="2">
        <v>0</v>
      </c>
      <c r="AO885" s="2">
        <v>1</v>
      </c>
      <c r="AP885" s="2">
        <v>0</v>
      </c>
      <c r="AQ885" s="2">
        <v>0</v>
      </c>
      <c r="AR885" s="2">
        <v>0</v>
      </c>
      <c r="AS885" s="2">
        <v>0</v>
      </c>
      <c r="AT885" s="2">
        <v>0</v>
      </c>
      <c r="AZ885" s="2" t="s">
        <v>6058</v>
      </c>
      <c r="BB885" s="2" t="str">
        <f>+PROPER(BD[[#This Row],[PRIMER_APELLIDO]])</f>
        <v>Guerrero</v>
      </c>
    </row>
    <row r="886" spans="1:54" x14ac:dyDescent="0.25">
      <c r="A886" s="2">
        <v>885</v>
      </c>
      <c r="B886" s="2">
        <v>61352</v>
      </c>
      <c r="C886" s="2" t="s">
        <v>619</v>
      </c>
      <c r="D886" s="2" t="s">
        <v>620</v>
      </c>
      <c r="E886" s="2" t="s">
        <v>6059</v>
      </c>
      <c r="G886" s="3">
        <v>38.649315068493152</v>
      </c>
      <c r="H886" s="2" t="s">
        <v>622</v>
      </c>
      <c r="I886" s="2" t="s">
        <v>6060</v>
      </c>
      <c r="J886" s="2" t="str">
        <f>+IF(BD[[#This Row],[DEPARTAMENTO_INSS]]="MANAGUA","_01_","_02_")</f>
        <v>_02_</v>
      </c>
      <c r="K886" s="2" t="str">
        <f>+CONCATENATE(BD[[#This Row],[Columna3]],BD[[#This Row],[Columna4]],BD[[#This Row],[NOMBRE COMPLETO]])</f>
        <v>E003_02_CESAR ADOLFO GONZALEZ LIRA</v>
      </c>
      <c r="L886" s="2" t="s">
        <v>1223</v>
      </c>
      <c r="M886" s="2" t="s">
        <v>2716</v>
      </c>
      <c r="N886" s="2" t="s">
        <v>14</v>
      </c>
      <c r="O886" s="2" t="s">
        <v>404</v>
      </c>
      <c r="P886" s="2" t="s">
        <v>649</v>
      </c>
      <c r="Q886" s="2" t="s">
        <v>351</v>
      </c>
      <c r="R886" s="2">
        <v>30689</v>
      </c>
      <c r="S886" s="2">
        <v>30689</v>
      </c>
      <c r="T886" s="2" t="s">
        <v>691</v>
      </c>
      <c r="U886" s="2" t="s">
        <v>691</v>
      </c>
      <c r="V886" s="2" t="s">
        <v>716</v>
      </c>
      <c r="W886" s="2" t="s">
        <v>691</v>
      </c>
      <c r="X886" s="2" t="s">
        <v>6061</v>
      </c>
      <c r="Y886" s="2" t="s">
        <v>6062</v>
      </c>
      <c r="Z886" s="2">
        <v>58628457</v>
      </c>
      <c r="AA886" s="2">
        <v>58628457</v>
      </c>
      <c r="AB886" s="2" t="s">
        <v>798</v>
      </c>
      <c r="AC886" s="2" t="s">
        <v>632</v>
      </c>
      <c r="AD886" s="2">
        <v>58628457</v>
      </c>
      <c r="AJ886" s="2">
        <v>58628457</v>
      </c>
      <c r="AK886" s="2">
        <v>2</v>
      </c>
      <c r="AL886" s="2" t="s">
        <v>633</v>
      </c>
      <c r="AM886" s="2">
        <v>0</v>
      </c>
      <c r="AN886" s="2">
        <v>0</v>
      </c>
      <c r="AO886" s="2">
        <v>1</v>
      </c>
      <c r="AP886" s="2">
        <v>0</v>
      </c>
      <c r="AQ886" s="2">
        <v>0</v>
      </c>
      <c r="AR886" s="2">
        <v>0</v>
      </c>
      <c r="AS886" s="2">
        <v>0</v>
      </c>
      <c r="AT886" s="2">
        <v>0</v>
      </c>
      <c r="AZ886" s="2" t="s">
        <v>6063</v>
      </c>
      <c r="BB886" s="2" t="str">
        <f>+PROPER(BD[[#This Row],[PRIMER_APELLIDO]])</f>
        <v>Gonzalez</v>
      </c>
    </row>
    <row r="887" spans="1:54" x14ac:dyDescent="0.25">
      <c r="A887" s="2">
        <v>886</v>
      </c>
      <c r="B887" s="2">
        <v>34323</v>
      </c>
      <c r="C887" s="2" t="s">
        <v>619</v>
      </c>
      <c r="D887" s="2" t="s">
        <v>620</v>
      </c>
      <c r="E887" s="2" t="s">
        <v>6064</v>
      </c>
      <c r="F887" s="2">
        <v>21706161</v>
      </c>
      <c r="G887" s="3">
        <v>38.654794520547945</v>
      </c>
      <c r="H887" s="2" t="s">
        <v>622</v>
      </c>
      <c r="I887" s="2" t="s">
        <v>6065</v>
      </c>
      <c r="J887" s="2" t="str">
        <f>+IF(BD[[#This Row],[DEPARTAMENTO_INSS]]="MANAGUA","_01_","_02_")</f>
        <v>_02_</v>
      </c>
      <c r="K887" s="2" t="str">
        <f>+CONCATENATE(BD[[#This Row],[Columna3]],BD[[#This Row],[Columna4]],BD[[#This Row],[NOMBRE COMPLETO]])</f>
        <v>E003_02_LILIA ELBA WILSON CHOW</v>
      </c>
      <c r="L887" s="2" t="s">
        <v>6066</v>
      </c>
      <c r="M887" s="2" t="s">
        <v>1019</v>
      </c>
      <c r="N887" s="2" t="s">
        <v>374</v>
      </c>
      <c r="O887" s="2" t="s">
        <v>324</v>
      </c>
      <c r="P887" s="2" t="s">
        <v>626</v>
      </c>
      <c r="Q887" s="2" t="s">
        <v>351</v>
      </c>
      <c r="R887" s="2">
        <v>30687</v>
      </c>
      <c r="S887" s="2">
        <v>30687</v>
      </c>
      <c r="T887" s="2" t="s">
        <v>780</v>
      </c>
      <c r="U887" s="2" t="s">
        <v>780</v>
      </c>
      <c r="V887" s="2" t="s">
        <v>781</v>
      </c>
      <c r="W887" s="2" t="s">
        <v>781</v>
      </c>
      <c r="X887" s="2" t="s">
        <v>6067</v>
      </c>
      <c r="Y887" s="2" t="s">
        <v>6068</v>
      </c>
      <c r="Z887" s="2">
        <v>86666200</v>
      </c>
      <c r="AA887" s="2">
        <v>25722974</v>
      </c>
      <c r="AB887" s="2" t="s">
        <v>654</v>
      </c>
      <c r="AC887" s="2" t="s">
        <v>632</v>
      </c>
      <c r="AD887" s="2">
        <v>86666200</v>
      </c>
      <c r="AJ887" s="2">
        <v>86666200</v>
      </c>
      <c r="AK887" s="2">
        <v>2</v>
      </c>
      <c r="AL887" s="2" t="s">
        <v>633</v>
      </c>
      <c r="AM887" s="2">
        <v>0</v>
      </c>
      <c r="AN887" s="2">
        <v>0</v>
      </c>
      <c r="AO887" s="2">
        <v>1</v>
      </c>
      <c r="AP887" s="2">
        <v>0</v>
      </c>
      <c r="AQ887" s="2">
        <v>0</v>
      </c>
      <c r="AR887" s="2">
        <v>0</v>
      </c>
      <c r="AS887" s="2">
        <v>0</v>
      </c>
      <c r="AT887" s="2">
        <v>0</v>
      </c>
      <c r="AZ887" s="2" t="s">
        <v>6069</v>
      </c>
      <c r="BB887" s="2" t="str">
        <f>+PROPER(BD[[#This Row],[PRIMER_APELLIDO]])</f>
        <v>Wilson</v>
      </c>
    </row>
    <row r="888" spans="1:54" x14ac:dyDescent="0.25">
      <c r="A888" s="2">
        <v>887</v>
      </c>
      <c r="B888" s="2">
        <v>39069</v>
      </c>
      <c r="C888" s="2" t="s">
        <v>619</v>
      </c>
      <c r="D888" s="2" t="s">
        <v>620</v>
      </c>
      <c r="E888" s="2" t="s">
        <v>6070</v>
      </c>
      <c r="F888" s="2">
        <v>22118901</v>
      </c>
      <c r="G888" s="3">
        <v>38.660273972602738</v>
      </c>
      <c r="H888" s="2" t="s">
        <v>622</v>
      </c>
      <c r="I888" s="2" t="s">
        <v>6071</v>
      </c>
      <c r="J888" s="2" t="str">
        <f>+IF(BD[[#This Row],[DEPARTAMENTO_INSS]]="MANAGUA","_01_","_02_")</f>
        <v>_01_</v>
      </c>
      <c r="K888" s="2" t="str">
        <f>+CONCATENATE(BD[[#This Row],[Columna3]],BD[[#This Row],[Columna4]],BD[[#This Row],[NOMBRE COMPLETO]])</f>
        <v>E003_01_DORIS YAHOSKA JARQUIN GAITAN</v>
      </c>
      <c r="L888" s="2" t="s">
        <v>6072</v>
      </c>
      <c r="M888" s="2" t="s">
        <v>2379</v>
      </c>
      <c r="N888" s="2" t="s">
        <v>85</v>
      </c>
      <c r="O888" s="2" t="s">
        <v>54</v>
      </c>
      <c r="P888" s="2" t="s">
        <v>626</v>
      </c>
      <c r="Q888" s="2" t="s">
        <v>351</v>
      </c>
      <c r="R888" s="2">
        <v>30685</v>
      </c>
      <c r="S888" s="2">
        <v>30685</v>
      </c>
      <c r="T888" s="2" t="s">
        <v>627</v>
      </c>
      <c r="U888" s="2" t="s">
        <v>627</v>
      </c>
      <c r="V888" s="2" t="s">
        <v>1026</v>
      </c>
      <c r="W888" s="2" t="s">
        <v>1026</v>
      </c>
      <c r="X888" s="2" t="s">
        <v>6073</v>
      </c>
      <c r="Y888" s="2" t="s">
        <v>6074</v>
      </c>
      <c r="AA888" s="2" t="s">
        <v>6075</v>
      </c>
      <c r="AB888" s="2" t="s">
        <v>654</v>
      </c>
      <c r="AC888" s="2" t="s">
        <v>632</v>
      </c>
      <c r="AE888" s="2">
        <v>84778873</v>
      </c>
      <c r="AJ888" s="2">
        <v>84778873</v>
      </c>
      <c r="AK888" s="2">
        <v>2</v>
      </c>
      <c r="AL888" s="2" t="s">
        <v>633</v>
      </c>
      <c r="AM888" s="2">
        <v>0</v>
      </c>
      <c r="AN888" s="2">
        <v>0</v>
      </c>
      <c r="AO888" s="2">
        <v>1</v>
      </c>
      <c r="AP888" s="2">
        <v>0</v>
      </c>
      <c r="AQ888" s="2">
        <v>0</v>
      </c>
      <c r="AR888" s="2">
        <v>0</v>
      </c>
      <c r="AS888" s="2">
        <v>0</v>
      </c>
      <c r="AT888" s="2">
        <v>0</v>
      </c>
      <c r="BB888" s="2" t="str">
        <f>+PROPER(BD[[#This Row],[PRIMER_APELLIDO]])</f>
        <v>Jarquin</v>
      </c>
    </row>
    <row r="889" spans="1:54" x14ac:dyDescent="0.25">
      <c r="A889" s="2">
        <v>888</v>
      </c>
      <c r="B889" s="2">
        <v>45544</v>
      </c>
      <c r="C889" s="2" t="s">
        <v>619</v>
      </c>
      <c r="D889" s="2" t="s">
        <v>620</v>
      </c>
      <c r="E889" s="2" t="s">
        <v>6076</v>
      </c>
      <c r="F889" s="2">
        <v>15135043</v>
      </c>
      <c r="G889" s="3">
        <v>38.673972602739724</v>
      </c>
      <c r="H889" s="2" t="s">
        <v>622</v>
      </c>
      <c r="I889" s="2" t="s">
        <v>6077</v>
      </c>
      <c r="J889" s="2" t="str">
        <f>+IF(BD[[#This Row],[DEPARTAMENTO_INSS]]="MANAGUA","_01_","_02_")</f>
        <v>_02_</v>
      </c>
      <c r="K889" s="2" t="str">
        <f>+CONCATENATE(BD[[#This Row],[Columna3]],BD[[#This Row],[Columna4]],BD[[#This Row],[NOMBRE COMPLETO]])</f>
        <v>E003_02_RAFAEL DE JESÚS CASTELLÓN SEQUEIRA</v>
      </c>
      <c r="L889" s="2" t="s">
        <v>1857</v>
      </c>
      <c r="M889" s="2" t="s">
        <v>1597</v>
      </c>
      <c r="N889" s="2" t="s">
        <v>450</v>
      </c>
      <c r="O889" s="2" t="s">
        <v>348</v>
      </c>
      <c r="P889" s="2" t="s">
        <v>649</v>
      </c>
      <c r="Q889" s="2" t="s">
        <v>351</v>
      </c>
      <c r="R889" s="2">
        <v>30680</v>
      </c>
      <c r="S889" s="2">
        <v>30680</v>
      </c>
      <c r="T889" s="2" t="s">
        <v>691</v>
      </c>
      <c r="U889" s="2" t="s">
        <v>691</v>
      </c>
      <c r="V889" s="2" t="s">
        <v>716</v>
      </c>
      <c r="W889" s="2" t="s">
        <v>691</v>
      </c>
      <c r="X889" s="2" t="s">
        <v>6078</v>
      </c>
      <c r="Y889" s="2" t="s">
        <v>6079</v>
      </c>
      <c r="Z889" s="2">
        <v>89948474</v>
      </c>
      <c r="AA889" s="2" t="s">
        <v>6080</v>
      </c>
      <c r="AB889" s="2" t="s">
        <v>654</v>
      </c>
      <c r="AC889" s="2" t="s">
        <v>632</v>
      </c>
      <c r="AD889" s="2">
        <v>89948474</v>
      </c>
      <c r="AE889" s="2">
        <v>89266630</v>
      </c>
      <c r="AJ889" s="2">
        <v>89948474</v>
      </c>
      <c r="AK889" s="2">
        <v>3</v>
      </c>
      <c r="AL889" s="2" t="s">
        <v>633</v>
      </c>
      <c r="AM889" s="2">
        <v>0</v>
      </c>
      <c r="AN889" s="2">
        <v>0</v>
      </c>
      <c r="AO889" s="2">
        <v>1</v>
      </c>
      <c r="AP889" s="2">
        <v>0</v>
      </c>
      <c r="AQ889" s="2">
        <v>0</v>
      </c>
      <c r="AR889" s="2">
        <v>0</v>
      </c>
      <c r="AS889" s="2">
        <v>0</v>
      </c>
      <c r="AT889" s="2">
        <v>0</v>
      </c>
      <c r="AZ889" s="2" t="s">
        <v>6081</v>
      </c>
      <c r="BB889" s="2" t="str">
        <f>+PROPER(BD[[#This Row],[PRIMER_APELLIDO]])</f>
        <v>Castellón</v>
      </c>
    </row>
    <row r="890" spans="1:54" x14ac:dyDescent="0.25">
      <c r="A890" s="2">
        <v>889</v>
      </c>
      <c r="B890" s="2">
        <v>29836</v>
      </c>
      <c r="C890" s="2" t="s">
        <v>619</v>
      </c>
      <c r="D890" s="2" t="s">
        <v>620</v>
      </c>
      <c r="E890" s="2" t="s">
        <v>6082</v>
      </c>
      <c r="F890" s="2">
        <v>21741517</v>
      </c>
      <c r="G890" s="3">
        <v>38.676712328767124</v>
      </c>
      <c r="H890" s="2" t="s">
        <v>622</v>
      </c>
      <c r="I890" s="2" t="s">
        <v>6083</v>
      </c>
      <c r="J890" s="2" t="str">
        <f>+IF(BD[[#This Row],[DEPARTAMENTO_INSS]]="MANAGUA","_01_","_02_")</f>
        <v>_02_</v>
      </c>
      <c r="K890" s="2" t="str">
        <f>+CONCATENATE(BD[[#This Row],[Columna3]],BD[[#This Row],[Columna4]],BD[[#This Row],[NOMBRE COMPLETO]])</f>
        <v>E003_02_EVELING DEL CARMEN BRICEÑO BRICEÑO</v>
      </c>
      <c r="L890" s="2" t="s">
        <v>1134</v>
      </c>
      <c r="M890" s="2" t="s">
        <v>961</v>
      </c>
      <c r="N890" s="2" t="s">
        <v>443</v>
      </c>
      <c r="O890" s="2" t="s">
        <v>443</v>
      </c>
      <c r="P890" s="2" t="s">
        <v>626</v>
      </c>
      <c r="Q890" s="2" t="s">
        <v>351</v>
      </c>
      <c r="R890" s="2">
        <v>30679</v>
      </c>
      <c r="S890" s="2">
        <v>30679</v>
      </c>
      <c r="T890" s="2" t="s">
        <v>740</v>
      </c>
      <c r="U890" s="2" t="s">
        <v>740</v>
      </c>
      <c r="V890" s="2" t="s">
        <v>5278</v>
      </c>
      <c r="W890" s="2" t="s">
        <v>5278</v>
      </c>
      <c r="X890" s="2" t="s">
        <v>6084</v>
      </c>
      <c r="Y890" s="2" t="s">
        <v>6085</v>
      </c>
      <c r="Z890" s="2">
        <v>89501301</v>
      </c>
      <c r="AA890" s="2">
        <v>89501303</v>
      </c>
      <c r="AB890" s="2" t="s">
        <v>642</v>
      </c>
      <c r="AC890" s="2" t="s">
        <v>632</v>
      </c>
      <c r="AD890" s="2">
        <v>89501301</v>
      </c>
      <c r="AF890" s="2">
        <v>89501303</v>
      </c>
      <c r="AJ890" s="2">
        <v>89501301</v>
      </c>
      <c r="AK890" s="2">
        <v>2</v>
      </c>
      <c r="AL890" s="2" t="s">
        <v>633</v>
      </c>
      <c r="AM890" s="2">
        <v>0</v>
      </c>
      <c r="AN890" s="2">
        <v>0</v>
      </c>
      <c r="AO890" s="2">
        <v>1</v>
      </c>
      <c r="AP890" s="2">
        <v>0</v>
      </c>
      <c r="AQ890" s="2">
        <v>0</v>
      </c>
      <c r="AR890" s="2">
        <v>0</v>
      </c>
      <c r="AS890" s="2">
        <v>0</v>
      </c>
      <c r="AT890" s="2">
        <v>0</v>
      </c>
      <c r="BB890" s="2" t="str">
        <f>+PROPER(BD[[#This Row],[PRIMER_APELLIDO]])</f>
        <v>Briceño</v>
      </c>
    </row>
    <row r="891" spans="1:54" x14ac:dyDescent="0.25">
      <c r="A891" s="2">
        <v>890</v>
      </c>
      <c r="B891" s="2">
        <v>22744</v>
      </c>
      <c r="C891" s="2" t="s">
        <v>619</v>
      </c>
      <c r="D891" s="2" t="s">
        <v>620</v>
      </c>
      <c r="E891" s="2" t="s">
        <v>6086</v>
      </c>
      <c r="G891" s="3">
        <v>38.684931506849317</v>
      </c>
      <c r="H891" s="2" t="s">
        <v>622</v>
      </c>
      <c r="I891" s="2" t="s">
        <v>6087</v>
      </c>
      <c r="J891" s="2" t="str">
        <f>+IF(BD[[#This Row],[DEPARTAMENTO_INSS]]="MANAGUA","_01_","_02_")</f>
        <v>_01_</v>
      </c>
      <c r="K891" s="2" t="str">
        <f>+CONCATENATE(BD[[#This Row],[Columna3]],BD[[#This Row],[Columna4]],BD[[#This Row],[NOMBRE COMPLETO]])</f>
        <v>E003_01_FRANCISCO JOSE MARTÍNEZ GUERRERO</v>
      </c>
      <c r="L891" s="2" t="s">
        <v>1692</v>
      </c>
      <c r="M891" s="2" t="s">
        <v>243</v>
      </c>
      <c r="N891" s="2" t="s">
        <v>436</v>
      </c>
      <c r="O891" s="2" t="s">
        <v>275</v>
      </c>
      <c r="P891" s="2" t="s">
        <v>649</v>
      </c>
      <c r="Q891" s="2" t="s">
        <v>351</v>
      </c>
      <c r="R891" s="2">
        <v>30676</v>
      </c>
      <c r="S891" s="2">
        <v>30676</v>
      </c>
      <c r="T891" s="2" t="s">
        <v>627</v>
      </c>
      <c r="U891" s="2" t="s">
        <v>627</v>
      </c>
      <c r="V891" s="2" t="s">
        <v>627</v>
      </c>
      <c r="W891" s="2" t="s">
        <v>627</v>
      </c>
      <c r="X891" s="2" t="s">
        <v>6088</v>
      </c>
      <c r="Y891" s="2" t="s">
        <v>6089</v>
      </c>
      <c r="Z891" s="2">
        <v>89394979</v>
      </c>
      <c r="AA891" s="2" t="s">
        <v>6090</v>
      </c>
      <c r="AB891" s="2" t="s">
        <v>3228</v>
      </c>
      <c r="AC891" s="2" t="s">
        <v>632</v>
      </c>
      <c r="AD891" s="2">
        <v>89394979</v>
      </c>
      <c r="AJ891" s="2">
        <v>89394979</v>
      </c>
      <c r="AK891" s="2">
        <v>3</v>
      </c>
      <c r="AL891" s="2" t="s">
        <v>633</v>
      </c>
      <c r="AM891" s="2">
        <v>0</v>
      </c>
      <c r="AN891" s="2">
        <v>0</v>
      </c>
      <c r="AO891" s="2">
        <v>1</v>
      </c>
      <c r="AP891" s="2">
        <v>0</v>
      </c>
      <c r="AQ891" s="2">
        <v>0</v>
      </c>
      <c r="AR891" s="2">
        <v>0</v>
      </c>
      <c r="AS891" s="2">
        <v>0</v>
      </c>
      <c r="AT891" s="2">
        <v>0</v>
      </c>
      <c r="AZ891" s="2" t="s">
        <v>6091</v>
      </c>
      <c r="BB891" s="2" t="str">
        <f>+PROPER(BD[[#This Row],[PRIMER_APELLIDO]])</f>
        <v>Martínez</v>
      </c>
    </row>
    <row r="892" spans="1:54" x14ac:dyDescent="0.25">
      <c r="A892" s="2">
        <v>891</v>
      </c>
      <c r="B892" s="2">
        <v>49287</v>
      </c>
      <c r="C892" s="2" t="s">
        <v>619</v>
      </c>
      <c r="D892" s="2" t="s">
        <v>620</v>
      </c>
      <c r="E892" s="2" t="s">
        <v>6092</v>
      </c>
      <c r="F892" s="2">
        <v>23144932</v>
      </c>
      <c r="G892" s="3">
        <v>38.69315068493151</v>
      </c>
      <c r="H892" s="2" t="s">
        <v>622</v>
      </c>
      <c r="I892" s="2" t="s">
        <v>6093</v>
      </c>
      <c r="J892" s="2" t="str">
        <f>+IF(BD[[#This Row],[DEPARTAMENTO_INSS]]="MANAGUA","_01_","_02_")</f>
        <v>_02_</v>
      </c>
      <c r="K892" s="2" t="str">
        <f>+CONCATENATE(BD[[#This Row],[Columna3]],BD[[#This Row],[Columna4]],BD[[#This Row],[NOMBRE COMPLETO]])</f>
        <v>E003_02_EMERSON RAFAEL RUIZ URCUYO</v>
      </c>
      <c r="L892" s="2" t="s">
        <v>4590</v>
      </c>
      <c r="M892" s="2" t="s">
        <v>1857</v>
      </c>
      <c r="N892" s="2" t="s">
        <v>84</v>
      </c>
      <c r="O892" s="2" t="s">
        <v>2734</v>
      </c>
      <c r="P892" s="2" t="s">
        <v>649</v>
      </c>
      <c r="Q892" s="2" t="s">
        <v>351</v>
      </c>
      <c r="R892" s="2">
        <v>30673</v>
      </c>
      <c r="S892" s="2">
        <v>30673</v>
      </c>
      <c r="T892" s="2" t="s">
        <v>1104</v>
      </c>
      <c r="U892" s="2" t="s">
        <v>1104</v>
      </c>
      <c r="V892" s="2" t="s">
        <v>3066</v>
      </c>
      <c r="W892" s="2" t="s">
        <v>2840</v>
      </c>
      <c r="X892" s="2" t="s">
        <v>6094</v>
      </c>
      <c r="Y892" s="2" t="s">
        <v>6095</v>
      </c>
      <c r="Z892" s="2">
        <v>89284890</v>
      </c>
      <c r="AA892" s="2" t="s">
        <v>6096</v>
      </c>
      <c r="AB892" s="2" t="s">
        <v>654</v>
      </c>
      <c r="AC892" s="2" t="s">
        <v>632</v>
      </c>
      <c r="AD892" s="2">
        <v>89284890</v>
      </c>
      <c r="AJ892" s="2">
        <v>89284890</v>
      </c>
      <c r="AK892" s="2">
        <v>3</v>
      </c>
      <c r="AL892" s="2" t="s">
        <v>633</v>
      </c>
      <c r="AM892" s="2">
        <v>0</v>
      </c>
      <c r="AN892" s="2">
        <v>0</v>
      </c>
      <c r="AO892" s="2">
        <v>1</v>
      </c>
      <c r="AP892" s="2">
        <v>0</v>
      </c>
      <c r="AQ892" s="2">
        <v>0</v>
      </c>
      <c r="AR892" s="2">
        <v>0</v>
      </c>
      <c r="AS892" s="2">
        <v>0</v>
      </c>
      <c r="AT892" s="2">
        <v>0</v>
      </c>
      <c r="AZ892" s="2" t="s">
        <v>6097</v>
      </c>
      <c r="BB892" s="2" t="str">
        <f>+PROPER(BD[[#This Row],[PRIMER_APELLIDO]])</f>
        <v>Ruiz</v>
      </c>
    </row>
    <row r="893" spans="1:54" x14ac:dyDescent="0.25">
      <c r="A893" s="2">
        <v>892</v>
      </c>
      <c r="B893" s="2">
        <v>43434</v>
      </c>
      <c r="C893" s="2" t="s">
        <v>619</v>
      </c>
      <c r="D893" s="2" t="s">
        <v>620</v>
      </c>
      <c r="E893" s="2" t="s">
        <v>6098</v>
      </c>
      <c r="F893" s="2">
        <v>24233316</v>
      </c>
      <c r="G893" s="3">
        <v>38.695890410958903</v>
      </c>
      <c r="H893" s="2" t="s">
        <v>622</v>
      </c>
      <c r="I893" s="2" t="s">
        <v>6099</v>
      </c>
      <c r="J893" s="2" t="str">
        <f>+IF(BD[[#This Row],[DEPARTAMENTO_INSS]]="MANAGUA","_01_","_02_")</f>
        <v>_01_</v>
      </c>
      <c r="K893" s="2" t="str">
        <f>+CONCATENATE(BD[[#This Row],[Columna3]],BD[[#This Row],[Columna4]],BD[[#This Row],[NOMBRE COMPLETO]])</f>
        <v>E003_01_MARBELI ALISSETH ALTAMIRANO GARCIA</v>
      </c>
      <c r="L893" s="2" t="s">
        <v>3187</v>
      </c>
      <c r="M893" s="2" t="s">
        <v>6100</v>
      </c>
      <c r="N893" s="2" t="s">
        <v>73</v>
      </c>
      <c r="O893" s="2" t="s">
        <v>10</v>
      </c>
      <c r="P893" s="2" t="s">
        <v>626</v>
      </c>
      <c r="Q893" s="2" t="s">
        <v>351</v>
      </c>
      <c r="R893" s="2">
        <v>30672</v>
      </c>
      <c r="S893" s="2">
        <v>30672</v>
      </c>
      <c r="T893" s="2" t="s">
        <v>627</v>
      </c>
      <c r="U893" s="2" t="s">
        <v>627</v>
      </c>
      <c r="V893" s="2" t="s">
        <v>627</v>
      </c>
      <c r="W893" s="2" t="s">
        <v>627</v>
      </c>
      <c r="X893" s="2" t="s">
        <v>6101</v>
      </c>
      <c r="Y893" s="2" t="s">
        <v>6102</v>
      </c>
      <c r="Z893" s="2">
        <v>58197013</v>
      </c>
      <c r="AA893" s="2" t="s">
        <v>6103</v>
      </c>
      <c r="AB893" s="2" t="s">
        <v>642</v>
      </c>
      <c r="AC893" s="2" t="s">
        <v>632</v>
      </c>
      <c r="AD893" s="2">
        <v>58197013</v>
      </c>
      <c r="AE893" s="2">
        <v>89469476</v>
      </c>
      <c r="AJ893" s="2">
        <v>58197013</v>
      </c>
      <c r="AK893" s="2">
        <v>3</v>
      </c>
      <c r="AL893" s="2" t="s">
        <v>633</v>
      </c>
      <c r="AM893" s="2">
        <v>0</v>
      </c>
      <c r="AN893" s="2">
        <v>0</v>
      </c>
      <c r="AO893" s="2">
        <v>1</v>
      </c>
      <c r="AP893" s="2">
        <v>0</v>
      </c>
      <c r="AQ893" s="2">
        <v>0</v>
      </c>
      <c r="AR893" s="2">
        <v>0</v>
      </c>
      <c r="AS893" s="2">
        <v>0</v>
      </c>
      <c r="AT893" s="2">
        <v>0</v>
      </c>
      <c r="AZ893" s="2" t="s">
        <v>6104</v>
      </c>
      <c r="BB893" s="2" t="str">
        <f>+PROPER(BD[[#This Row],[PRIMER_APELLIDO]])</f>
        <v>Altamirano</v>
      </c>
    </row>
    <row r="894" spans="1:54" x14ac:dyDescent="0.25">
      <c r="A894" s="2">
        <v>893</v>
      </c>
      <c r="B894" s="2">
        <v>47994</v>
      </c>
      <c r="C894" s="2" t="s">
        <v>619</v>
      </c>
      <c r="D894" s="2" t="s">
        <v>620</v>
      </c>
      <c r="E894" s="2" t="s">
        <v>6105</v>
      </c>
      <c r="F894" s="2">
        <v>25693247</v>
      </c>
      <c r="G894" s="3">
        <v>38.695890410958903</v>
      </c>
      <c r="H894" s="2" t="s">
        <v>622</v>
      </c>
      <c r="I894" s="2" t="s">
        <v>6106</v>
      </c>
      <c r="J894" s="2" t="str">
        <f>+IF(BD[[#This Row],[DEPARTAMENTO_INSS]]="MANAGUA","_01_","_02_")</f>
        <v>_01_</v>
      </c>
      <c r="K894" s="2" t="str">
        <f>+CONCATENATE(BD[[#This Row],[Columna3]],BD[[#This Row],[Columna4]],BD[[#This Row],[NOMBRE COMPLETO]])</f>
        <v>E003_01_JOSE NEPTALY MORALES AGUILAR</v>
      </c>
      <c r="L894" s="2" t="s">
        <v>243</v>
      </c>
      <c r="M894" s="2" t="s">
        <v>6107</v>
      </c>
      <c r="N894" s="2" t="s">
        <v>82</v>
      </c>
      <c r="O894" s="2" t="s">
        <v>141</v>
      </c>
      <c r="P894" s="2" t="s">
        <v>649</v>
      </c>
      <c r="Q894" s="2" t="s">
        <v>351</v>
      </c>
      <c r="R894" s="2">
        <v>30672</v>
      </c>
      <c r="S894" s="2">
        <v>30672</v>
      </c>
      <c r="T894" s="2" t="s">
        <v>627</v>
      </c>
      <c r="U894" s="2" t="s">
        <v>627</v>
      </c>
      <c r="V894" s="2" t="s">
        <v>627</v>
      </c>
      <c r="W894" s="2" t="s">
        <v>627</v>
      </c>
      <c r="X894" s="2" t="s">
        <v>6108</v>
      </c>
      <c r="Y894" s="2" t="s">
        <v>6109</v>
      </c>
      <c r="Z894" s="2">
        <v>22781361</v>
      </c>
      <c r="AA894" s="2">
        <v>82494451</v>
      </c>
      <c r="AB894" s="2" t="s">
        <v>654</v>
      </c>
      <c r="AC894" s="2" t="s">
        <v>632</v>
      </c>
      <c r="AF894" s="2">
        <v>82494451</v>
      </c>
      <c r="AJ894" s="2">
        <v>82494451</v>
      </c>
      <c r="AK894" s="2">
        <v>2</v>
      </c>
      <c r="AL894" s="2" t="s">
        <v>633</v>
      </c>
      <c r="AM894" s="2">
        <v>0</v>
      </c>
      <c r="AN894" s="2">
        <v>0</v>
      </c>
      <c r="AO894" s="2">
        <v>1</v>
      </c>
      <c r="AP894" s="2">
        <v>0</v>
      </c>
      <c r="AQ894" s="2">
        <v>0</v>
      </c>
      <c r="AR894" s="2">
        <v>0</v>
      </c>
      <c r="AS894" s="2">
        <v>0</v>
      </c>
      <c r="AT894" s="2">
        <v>0</v>
      </c>
      <c r="AZ894" s="2" t="s">
        <v>6110</v>
      </c>
      <c r="BB894" s="2" t="str">
        <f>+PROPER(BD[[#This Row],[PRIMER_APELLIDO]])</f>
        <v>Morales</v>
      </c>
    </row>
    <row r="895" spans="1:54" x14ac:dyDescent="0.25">
      <c r="A895" s="2">
        <v>894</v>
      </c>
      <c r="B895" s="2">
        <v>27114</v>
      </c>
      <c r="C895" s="2" t="s">
        <v>619</v>
      </c>
      <c r="D895" s="2" t="s">
        <v>620</v>
      </c>
      <c r="E895" s="2" t="s">
        <v>6111</v>
      </c>
      <c r="F895" s="2">
        <v>21159217</v>
      </c>
      <c r="G895" s="3">
        <v>38.704109589041096</v>
      </c>
      <c r="H895" s="2" t="s">
        <v>622</v>
      </c>
      <c r="I895" s="2" t="s">
        <v>6112</v>
      </c>
      <c r="J895" s="2" t="str">
        <f>+IF(BD[[#This Row],[DEPARTAMENTO_INSS]]="MANAGUA","_01_","_02_")</f>
        <v>_01_</v>
      </c>
      <c r="K895" s="2" t="str">
        <f>+CONCATENATE(BD[[#This Row],[Columna3]],BD[[#This Row],[Columna4]],BD[[#This Row],[NOMBRE COMPLETO]])</f>
        <v>E003_01_ORLANDO JOSE TORUÑO GOMEZ</v>
      </c>
      <c r="L895" s="2" t="s">
        <v>6113</v>
      </c>
      <c r="M895" s="2" t="s">
        <v>243</v>
      </c>
      <c r="N895" s="2" t="s">
        <v>392</v>
      </c>
      <c r="O895" s="2" t="s">
        <v>43</v>
      </c>
      <c r="P895" s="2" t="s">
        <v>649</v>
      </c>
      <c r="Q895" s="2" t="s">
        <v>351</v>
      </c>
      <c r="R895" s="2">
        <v>30669</v>
      </c>
      <c r="S895" s="2">
        <v>30669</v>
      </c>
      <c r="T895" s="2" t="s">
        <v>627</v>
      </c>
      <c r="U895" s="2" t="s">
        <v>627</v>
      </c>
      <c r="V895" s="2" t="s">
        <v>627</v>
      </c>
      <c r="W895" s="2" t="s">
        <v>627</v>
      </c>
      <c r="X895" s="2" t="s">
        <v>6114</v>
      </c>
      <c r="Y895" s="2" t="s">
        <v>6115</v>
      </c>
      <c r="Z895" s="2" t="s">
        <v>6116</v>
      </c>
      <c r="AA895" s="2">
        <v>88647097</v>
      </c>
      <c r="AB895" s="2" t="s">
        <v>654</v>
      </c>
      <c r="AC895" s="2" t="s">
        <v>632</v>
      </c>
      <c r="AD895" s="2">
        <v>87683338</v>
      </c>
      <c r="AE895" s="2">
        <v>88686986</v>
      </c>
      <c r="AF895" s="2">
        <v>88647097</v>
      </c>
      <c r="AJ895" s="2">
        <v>87683338</v>
      </c>
      <c r="AK895" s="2">
        <v>3</v>
      </c>
      <c r="AL895" s="2" t="s">
        <v>633</v>
      </c>
      <c r="AM895" s="2">
        <v>0</v>
      </c>
      <c r="AN895" s="2">
        <v>0</v>
      </c>
      <c r="AO895" s="2">
        <v>1</v>
      </c>
      <c r="AP895" s="2">
        <v>0</v>
      </c>
      <c r="AQ895" s="2">
        <v>0</v>
      </c>
      <c r="AR895" s="2">
        <v>0</v>
      </c>
      <c r="AS895" s="2">
        <v>0</v>
      </c>
      <c r="AT895" s="2">
        <v>0</v>
      </c>
      <c r="AZ895" s="2" t="s">
        <v>6117</v>
      </c>
      <c r="BB895" s="2" t="str">
        <f>+PROPER(BD[[#This Row],[PRIMER_APELLIDO]])</f>
        <v>Toruño</v>
      </c>
    </row>
    <row r="896" spans="1:54" x14ac:dyDescent="0.25">
      <c r="A896" s="2">
        <v>895</v>
      </c>
      <c r="B896" s="2">
        <v>29812</v>
      </c>
      <c r="C896" s="2" t="s">
        <v>619</v>
      </c>
      <c r="D896" s="2" t="s">
        <v>620</v>
      </c>
      <c r="E896" s="2" t="s">
        <v>6118</v>
      </c>
      <c r="F896" s="2">
        <v>21742808</v>
      </c>
      <c r="G896" s="3">
        <v>38.728767123287675</v>
      </c>
      <c r="H896" s="2" t="s">
        <v>622</v>
      </c>
      <c r="I896" s="2" t="s">
        <v>6119</v>
      </c>
      <c r="J896" s="2" t="str">
        <f>+IF(BD[[#This Row],[DEPARTAMENTO_INSS]]="MANAGUA","_01_","_02_")</f>
        <v>_02_</v>
      </c>
      <c r="K896" s="2" t="str">
        <f>+CONCATENATE(BD[[#This Row],[Columna3]],BD[[#This Row],[Columna4]],BD[[#This Row],[NOMBRE COMPLETO]])</f>
        <v>E003_02_ALBERTO JAVIER YURITZZA VIDAURRE</v>
      </c>
      <c r="L896" s="2" t="s">
        <v>1699</v>
      </c>
      <c r="M896" s="2" t="s">
        <v>975</v>
      </c>
      <c r="N896" s="2" t="s">
        <v>128</v>
      </c>
      <c r="O896" s="2" t="s">
        <v>6120</v>
      </c>
      <c r="P896" s="2" t="s">
        <v>649</v>
      </c>
      <c r="Q896" s="2" t="s">
        <v>351</v>
      </c>
      <c r="R896" s="2">
        <v>30660</v>
      </c>
      <c r="S896" s="2">
        <v>30660</v>
      </c>
      <c r="T896" s="2" t="s">
        <v>705</v>
      </c>
      <c r="U896" s="2" t="s">
        <v>705</v>
      </c>
      <c r="V896" s="2" t="s">
        <v>1014</v>
      </c>
      <c r="W896" s="2" t="s">
        <v>1014</v>
      </c>
      <c r="X896" s="2" t="s">
        <v>6121</v>
      </c>
      <c r="Y896" s="2" t="s">
        <v>6122</v>
      </c>
      <c r="AA896" s="2" t="s">
        <v>6123</v>
      </c>
      <c r="AB896" s="2" t="s">
        <v>654</v>
      </c>
      <c r="AC896" s="2" t="s">
        <v>632</v>
      </c>
      <c r="AE896" s="2">
        <v>85724690</v>
      </c>
      <c r="AJ896" s="2">
        <v>85724690</v>
      </c>
      <c r="AK896" s="2">
        <v>2</v>
      </c>
      <c r="AL896" s="2" t="s">
        <v>633</v>
      </c>
      <c r="AM896" s="2">
        <v>0</v>
      </c>
      <c r="AN896" s="2">
        <v>0</v>
      </c>
      <c r="AO896" s="2">
        <v>1</v>
      </c>
      <c r="AP896" s="2">
        <v>0</v>
      </c>
      <c r="AQ896" s="2">
        <v>0</v>
      </c>
      <c r="AR896" s="2">
        <v>0</v>
      </c>
      <c r="AS896" s="2">
        <v>0</v>
      </c>
      <c r="AT896" s="2">
        <v>0</v>
      </c>
      <c r="BB896" s="2" t="str">
        <f>+PROPER(BD[[#This Row],[PRIMER_APELLIDO]])</f>
        <v>Yuritzza</v>
      </c>
    </row>
    <row r="897" spans="1:54" x14ac:dyDescent="0.25">
      <c r="A897" s="2">
        <v>896</v>
      </c>
      <c r="B897" s="2">
        <v>36854</v>
      </c>
      <c r="C897" s="2" t="s">
        <v>619</v>
      </c>
      <c r="D897" s="2" t="s">
        <v>620</v>
      </c>
      <c r="E897" s="2" t="s">
        <v>6124</v>
      </c>
      <c r="F897" s="2">
        <v>23673827</v>
      </c>
      <c r="G897" s="3">
        <v>38.728767123287675</v>
      </c>
      <c r="H897" s="2" t="s">
        <v>622</v>
      </c>
      <c r="I897" s="2" t="s">
        <v>6125</v>
      </c>
      <c r="J897" s="2" t="str">
        <f>+IF(BD[[#This Row],[DEPARTAMENTO_INSS]]="MANAGUA","_01_","_02_")</f>
        <v>_01_</v>
      </c>
      <c r="K897" s="2" t="str">
        <f>+CONCATENATE(BD[[#This Row],[Columna3]],BD[[#This Row],[Columna4]],BD[[#This Row],[NOMBRE COMPLETO]])</f>
        <v>E003_01_JOSUE DAVID GONZALEZ PEREZ</v>
      </c>
      <c r="L897" s="2" t="s">
        <v>1058</v>
      </c>
      <c r="M897" s="2" t="s">
        <v>916</v>
      </c>
      <c r="N897" s="2" t="s">
        <v>14</v>
      </c>
      <c r="O897" s="2" t="s">
        <v>24</v>
      </c>
      <c r="P897" s="2" t="s">
        <v>649</v>
      </c>
      <c r="Q897" s="2" t="s">
        <v>351</v>
      </c>
      <c r="R897" s="2">
        <v>30660</v>
      </c>
      <c r="S897" s="2">
        <v>30660</v>
      </c>
      <c r="T897" s="2" t="s">
        <v>627</v>
      </c>
      <c r="U897" s="2" t="s">
        <v>627</v>
      </c>
      <c r="V897" s="2" t="s">
        <v>627</v>
      </c>
      <c r="W897" s="2" t="s">
        <v>627</v>
      </c>
      <c r="X897" s="2" t="s">
        <v>6126</v>
      </c>
      <c r="Y897" s="2" t="s">
        <v>6127</v>
      </c>
      <c r="AA897" s="2">
        <v>22894484</v>
      </c>
      <c r="AB897" s="2" t="s">
        <v>6128</v>
      </c>
      <c r="AC897" s="2" t="s">
        <v>632</v>
      </c>
      <c r="AK897" s="2">
        <v>1</v>
      </c>
      <c r="AL897" s="2" t="s">
        <v>633</v>
      </c>
      <c r="AM897" s="2">
        <v>0</v>
      </c>
      <c r="AN897" s="2">
        <v>0</v>
      </c>
      <c r="AO897" s="2">
        <v>1</v>
      </c>
      <c r="AP897" s="2">
        <v>0</v>
      </c>
      <c r="AQ897" s="2">
        <v>0</v>
      </c>
      <c r="AR897" s="2">
        <v>0</v>
      </c>
      <c r="AS897" s="2">
        <v>0</v>
      </c>
      <c r="AT897" s="2">
        <v>0</v>
      </c>
      <c r="BB897" s="2" t="str">
        <f>+PROPER(BD[[#This Row],[PRIMER_APELLIDO]])</f>
        <v>Gonzalez</v>
      </c>
    </row>
    <row r="898" spans="1:54" x14ac:dyDescent="0.25">
      <c r="A898" s="2">
        <v>897</v>
      </c>
      <c r="B898" s="2">
        <v>42281</v>
      </c>
      <c r="C898" s="2" t="s">
        <v>619</v>
      </c>
      <c r="D898" s="2" t="s">
        <v>620</v>
      </c>
      <c r="E898" s="2" t="s">
        <v>6129</v>
      </c>
      <c r="F898" s="2">
        <v>15459385</v>
      </c>
      <c r="G898" s="3">
        <v>38.728767123287675</v>
      </c>
      <c r="H898" s="2" t="s">
        <v>622</v>
      </c>
      <c r="I898" s="2" t="s">
        <v>6130</v>
      </c>
      <c r="J898" s="2" t="str">
        <f>+IF(BD[[#This Row],[DEPARTAMENTO_INSS]]="MANAGUA","_01_","_02_")</f>
        <v>_02_</v>
      </c>
      <c r="K898" s="2" t="str">
        <f>+CONCATENATE(BD[[#This Row],[Columna3]],BD[[#This Row],[Columna4]],BD[[#This Row],[NOMBRE COMPLETO]])</f>
        <v>E003_02_ERGIN PAUL RODRIGUEZ SILVA</v>
      </c>
      <c r="L898" s="2" t="s">
        <v>6131</v>
      </c>
      <c r="M898" s="2" t="s">
        <v>3941</v>
      </c>
      <c r="N898" s="2" t="s">
        <v>185</v>
      </c>
      <c r="O898" s="2" t="s">
        <v>113</v>
      </c>
      <c r="P898" s="2" t="s">
        <v>649</v>
      </c>
      <c r="Q898" s="2" t="s">
        <v>351</v>
      </c>
      <c r="R898" s="2">
        <v>30660</v>
      </c>
      <c r="S898" s="2">
        <v>30660</v>
      </c>
      <c r="T898" s="2" t="s">
        <v>176</v>
      </c>
      <c r="U898" s="2" t="s">
        <v>1104</v>
      </c>
      <c r="V898" s="2" t="s">
        <v>2967</v>
      </c>
      <c r="W898" s="2" t="s">
        <v>1739</v>
      </c>
      <c r="X898" s="2" t="s">
        <v>6132</v>
      </c>
      <c r="Y898" s="2" t="s">
        <v>6133</v>
      </c>
      <c r="Z898" s="2">
        <v>88210067</v>
      </c>
      <c r="AA898" s="2">
        <v>83378639</v>
      </c>
      <c r="AB898" s="2" t="s">
        <v>654</v>
      </c>
      <c r="AC898" s="2" t="s">
        <v>632</v>
      </c>
      <c r="AD898" s="2">
        <v>88210067</v>
      </c>
      <c r="AF898" s="2">
        <v>83378639</v>
      </c>
      <c r="AJ898" s="2">
        <v>88210067</v>
      </c>
      <c r="AK898" s="2">
        <v>2</v>
      </c>
      <c r="AL898" s="2" t="s">
        <v>633</v>
      </c>
      <c r="AM898" s="2">
        <v>0</v>
      </c>
      <c r="AN898" s="2">
        <v>0</v>
      </c>
      <c r="AO898" s="2">
        <v>1</v>
      </c>
      <c r="AP898" s="2">
        <v>0</v>
      </c>
      <c r="AQ898" s="2">
        <v>0</v>
      </c>
      <c r="AR898" s="2">
        <v>0</v>
      </c>
      <c r="AS898" s="2">
        <v>0</v>
      </c>
      <c r="AT898" s="2">
        <v>0</v>
      </c>
      <c r="AZ898" s="2" t="s">
        <v>6134</v>
      </c>
      <c r="BB898" s="2" t="str">
        <f>+PROPER(BD[[#This Row],[PRIMER_APELLIDO]])</f>
        <v>Rodriguez</v>
      </c>
    </row>
    <row r="899" spans="1:54" x14ac:dyDescent="0.25">
      <c r="A899" s="2">
        <v>898</v>
      </c>
      <c r="B899" s="2">
        <v>47416</v>
      </c>
      <c r="C899" s="2" t="s">
        <v>619</v>
      </c>
      <c r="D899" s="2" t="s">
        <v>620</v>
      </c>
      <c r="E899" s="2" t="s">
        <v>6135</v>
      </c>
      <c r="F899" s="2">
        <v>25693704</v>
      </c>
      <c r="G899" s="3">
        <v>38.731506849315068</v>
      </c>
      <c r="H899" s="2" t="s">
        <v>622</v>
      </c>
      <c r="I899" s="2" t="s">
        <v>6136</v>
      </c>
      <c r="J899" s="2" t="str">
        <f>+IF(BD[[#This Row],[DEPARTAMENTO_INSS]]="MANAGUA","_01_","_02_")</f>
        <v>_02_</v>
      </c>
      <c r="K899" s="2" t="str">
        <f>+CONCATENATE(BD[[#This Row],[Columna3]],BD[[#This Row],[Columna4]],BD[[#This Row],[NOMBRE COMPLETO]])</f>
        <v>E003_02_VANESSA DEL CARMEN CENTENO DELGADO</v>
      </c>
      <c r="L899" s="2" t="s">
        <v>1163</v>
      </c>
      <c r="M899" s="2" t="s">
        <v>961</v>
      </c>
      <c r="N899" s="2" t="s">
        <v>116</v>
      </c>
      <c r="O899" s="2" t="s">
        <v>363</v>
      </c>
      <c r="P899" s="2" t="s">
        <v>626</v>
      </c>
      <c r="Q899" s="2" t="s">
        <v>351</v>
      </c>
      <c r="R899" s="2">
        <v>30659</v>
      </c>
      <c r="S899" s="2">
        <v>30659</v>
      </c>
      <c r="T899" s="2" t="s">
        <v>732</v>
      </c>
      <c r="U899" s="2" t="s">
        <v>732</v>
      </c>
      <c r="V899" s="2" t="s">
        <v>732</v>
      </c>
      <c r="W899" s="2" t="s">
        <v>4341</v>
      </c>
      <c r="X899" s="2" t="s">
        <v>6137</v>
      </c>
      <c r="Y899" s="2" t="s">
        <v>6138</v>
      </c>
      <c r="AA899" s="2">
        <v>86745037</v>
      </c>
      <c r="AB899" s="2" t="s">
        <v>642</v>
      </c>
      <c r="AC899" s="2" t="s">
        <v>632</v>
      </c>
      <c r="AD899" s="2">
        <v>86745037</v>
      </c>
      <c r="AJ899" s="2">
        <v>86745037</v>
      </c>
      <c r="AK899" s="2">
        <v>1</v>
      </c>
      <c r="AL899" s="2" t="s">
        <v>633</v>
      </c>
      <c r="AM899" s="2">
        <v>0</v>
      </c>
      <c r="AN899" s="2">
        <v>0</v>
      </c>
      <c r="AO899" s="2">
        <v>1</v>
      </c>
      <c r="AP899" s="2">
        <v>0</v>
      </c>
      <c r="AQ899" s="2">
        <v>0</v>
      </c>
      <c r="AR899" s="2">
        <v>0</v>
      </c>
      <c r="AS899" s="2">
        <v>0</v>
      </c>
      <c r="AT899" s="2">
        <v>0</v>
      </c>
      <c r="BB899" s="2" t="str">
        <f>+PROPER(BD[[#This Row],[PRIMER_APELLIDO]])</f>
        <v>Centeno</v>
      </c>
    </row>
    <row r="900" spans="1:54" x14ac:dyDescent="0.25">
      <c r="A900" s="2">
        <v>899</v>
      </c>
      <c r="B900" s="2">
        <v>76517</v>
      </c>
      <c r="C900" s="2" t="s">
        <v>619</v>
      </c>
      <c r="D900" s="2" t="s">
        <v>620</v>
      </c>
      <c r="E900" s="2" t="s">
        <v>6139</v>
      </c>
      <c r="G900" s="3">
        <v>38.731506849315068</v>
      </c>
      <c r="H900" s="2" t="s">
        <v>622</v>
      </c>
      <c r="I900" s="2" t="s">
        <v>6140</v>
      </c>
      <c r="J900" s="2" t="str">
        <f>+IF(BD[[#This Row],[DEPARTAMENTO_INSS]]="MANAGUA","_01_","_02_")</f>
        <v>_02_</v>
      </c>
      <c r="K900" s="2" t="str">
        <f>+CONCATENATE(BD[[#This Row],[Columna3]],BD[[#This Row],[Columna4]],BD[[#This Row],[NOMBRE COMPLETO]])</f>
        <v>E003_02_JACKELINE DE LOS ANGELES LOPEZ GARCIA</v>
      </c>
      <c r="L900" s="2" t="s">
        <v>3150</v>
      </c>
      <c r="M900" s="2" t="s">
        <v>683</v>
      </c>
      <c r="N900" s="2" t="s">
        <v>15</v>
      </c>
      <c r="O900" s="2" t="s">
        <v>10</v>
      </c>
      <c r="P900" s="2" t="s">
        <v>626</v>
      </c>
      <c r="Q900" s="2" t="s">
        <v>351</v>
      </c>
      <c r="R900" s="2">
        <v>30659</v>
      </c>
      <c r="S900" s="2">
        <v>30659</v>
      </c>
      <c r="T900" s="2" t="s">
        <v>732</v>
      </c>
      <c r="U900" s="2" t="s">
        <v>732</v>
      </c>
      <c r="V900" s="2" t="s">
        <v>732</v>
      </c>
      <c r="W900" s="2" t="s">
        <v>732</v>
      </c>
      <c r="X900" s="2" t="s">
        <v>6141</v>
      </c>
      <c r="Y900" s="2" t="s">
        <v>6142</v>
      </c>
      <c r="Z900" s="2">
        <v>83210971</v>
      </c>
      <c r="AA900" s="2">
        <v>86277052</v>
      </c>
      <c r="AB900" s="2" t="s">
        <v>798</v>
      </c>
      <c r="AC900" s="2" t="s">
        <v>632</v>
      </c>
      <c r="AD900" s="2">
        <v>83210971</v>
      </c>
      <c r="AF900" s="2">
        <v>86277052</v>
      </c>
      <c r="AJ900" s="2">
        <v>83210971</v>
      </c>
      <c r="AK900" s="2">
        <v>2</v>
      </c>
      <c r="AL900" s="2" t="s">
        <v>633</v>
      </c>
      <c r="AM900" s="2">
        <v>0</v>
      </c>
      <c r="AN900" s="2">
        <v>0</v>
      </c>
      <c r="AO900" s="2">
        <v>1</v>
      </c>
      <c r="AP900" s="2">
        <v>0</v>
      </c>
      <c r="AQ900" s="2">
        <v>0</v>
      </c>
      <c r="AR900" s="2">
        <v>0</v>
      </c>
      <c r="AS900" s="2">
        <v>0</v>
      </c>
      <c r="AT900" s="2">
        <v>0</v>
      </c>
      <c r="AZ900" s="2" t="s">
        <v>6143</v>
      </c>
      <c r="BB900" s="2" t="str">
        <f>+PROPER(BD[[#This Row],[PRIMER_APELLIDO]])</f>
        <v>Lopez</v>
      </c>
    </row>
    <row r="901" spans="1:54" x14ac:dyDescent="0.25">
      <c r="A901" s="2">
        <v>900</v>
      </c>
      <c r="B901" s="2">
        <v>38230</v>
      </c>
      <c r="C901" s="2" t="s">
        <v>619</v>
      </c>
      <c r="D901" s="2" t="s">
        <v>620</v>
      </c>
      <c r="E901" s="2" t="s">
        <v>6144</v>
      </c>
      <c r="G901" s="3">
        <v>38.734246575342468</v>
      </c>
      <c r="H901" s="2" t="s">
        <v>622</v>
      </c>
      <c r="I901" s="2" t="s">
        <v>6145</v>
      </c>
      <c r="J901" s="2" t="str">
        <f>+IF(BD[[#This Row],[DEPARTAMENTO_INSS]]="MANAGUA","_01_","_02_")</f>
        <v>_02_</v>
      </c>
      <c r="K901" s="2" t="str">
        <f>+CONCATENATE(BD[[#This Row],[Columna3]],BD[[#This Row],[Columna4]],BD[[#This Row],[NOMBRE COMPLETO]])</f>
        <v>E003_02_MARVIN FERMIN SALGADO OVIEDO</v>
      </c>
      <c r="L901" s="2" t="s">
        <v>3217</v>
      </c>
      <c r="M901" s="2" t="s">
        <v>5538</v>
      </c>
      <c r="N901" s="2" t="s">
        <v>126</v>
      </c>
      <c r="O901" s="2" t="s">
        <v>464</v>
      </c>
      <c r="P901" s="2" t="s">
        <v>649</v>
      </c>
      <c r="Q901" s="2" t="s">
        <v>351</v>
      </c>
      <c r="R901" s="2">
        <v>30658</v>
      </c>
      <c r="S901" s="2">
        <v>30658</v>
      </c>
      <c r="T901" s="2" t="s">
        <v>705</v>
      </c>
      <c r="U901" s="2" t="s">
        <v>705</v>
      </c>
      <c r="V901" s="2" t="s">
        <v>4722</v>
      </c>
      <c r="W901" s="2" t="s">
        <v>4722</v>
      </c>
      <c r="X901" s="2" t="s">
        <v>6146</v>
      </c>
      <c r="Y901" s="2" t="s">
        <v>6147</v>
      </c>
      <c r="AA901" s="2" t="s">
        <v>6148</v>
      </c>
      <c r="AB901" s="2" t="s">
        <v>654</v>
      </c>
      <c r="AC901" s="2" t="s">
        <v>632</v>
      </c>
      <c r="AE901" s="2">
        <v>89320285</v>
      </c>
      <c r="AJ901" s="2">
        <v>89320285</v>
      </c>
      <c r="AK901" s="2">
        <v>2</v>
      </c>
      <c r="AL901" s="2" t="s">
        <v>633</v>
      </c>
      <c r="AM901" s="2">
        <v>0</v>
      </c>
      <c r="AN901" s="2">
        <v>0</v>
      </c>
      <c r="AO901" s="2">
        <v>1</v>
      </c>
      <c r="AP901" s="2">
        <v>0</v>
      </c>
      <c r="AQ901" s="2">
        <v>0</v>
      </c>
      <c r="AR901" s="2">
        <v>0</v>
      </c>
      <c r="AS901" s="2">
        <v>0</v>
      </c>
      <c r="AT901" s="2">
        <v>0</v>
      </c>
      <c r="BB901" s="2" t="str">
        <f>+PROPER(BD[[#This Row],[PRIMER_APELLIDO]])</f>
        <v>Salgado</v>
      </c>
    </row>
    <row r="902" spans="1:54" x14ac:dyDescent="0.25">
      <c r="A902" s="2">
        <v>901</v>
      </c>
      <c r="B902" s="2">
        <v>29394</v>
      </c>
      <c r="C902" s="2" t="s">
        <v>619</v>
      </c>
      <c r="D902" s="2" t="s">
        <v>620</v>
      </c>
      <c r="E902" s="2" t="s">
        <v>6149</v>
      </c>
      <c r="F902" s="2">
        <v>21726781</v>
      </c>
      <c r="G902" s="3">
        <v>38.745205479452054</v>
      </c>
      <c r="H902" s="2" t="s">
        <v>622</v>
      </c>
      <c r="I902" s="2" t="s">
        <v>6150</v>
      </c>
      <c r="J902" s="2" t="str">
        <f>+IF(BD[[#This Row],[DEPARTAMENTO_INSS]]="MANAGUA","_01_","_02_")</f>
        <v>_02_</v>
      </c>
      <c r="K902" s="2" t="str">
        <f>+CONCATENATE(BD[[#This Row],[Columna3]],BD[[#This Row],[Columna4]],BD[[#This Row],[NOMBRE COMPLETO]])</f>
        <v>E003_02_FRANCISCO JAVIER CASTRO ARTOLA</v>
      </c>
      <c r="L902" s="2" t="s">
        <v>1692</v>
      </c>
      <c r="M902" s="2" t="s">
        <v>975</v>
      </c>
      <c r="N902" s="2" t="s">
        <v>163</v>
      </c>
      <c r="O902" s="2" t="s">
        <v>298</v>
      </c>
      <c r="P902" s="2" t="s">
        <v>649</v>
      </c>
      <c r="Q902" s="2" t="s">
        <v>351</v>
      </c>
      <c r="R902" s="2">
        <v>30654</v>
      </c>
      <c r="S902" s="2">
        <v>30654</v>
      </c>
      <c r="T902" s="2" t="s">
        <v>444</v>
      </c>
      <c r="U902" s="2" t="s">
        <v>444</v>
      </c>
      <c r="V902" s="2" t="s">
        <v>764</v>
      </c>
      <c r="W902" s="2" t="s">
        <v>764</v>
      </c>
      <c r="X902" s="2" t="s">
        <v>6151</v>
      </c>
      <c r="Y902" s="2" t="s">
        <v>6152</v>
      </c>
      <c r="Z902" s="2">
        <v>85123265</v>
      </c>
      <c r="AA902" s="2">
        <v>57241204</v>
      </c>
      <c r="AB902" s="2" t="s">
        <v>654</v>
      </c>
      <c r="AC902" s="2" t="s">
        <v>632</v>
      </c>
      <c r="AD902" s="2">
        <v>85123265</v>
      </c>
      <c r="AF902" s="2">
        <v>57241204</v>
      </c>
      <c r="AJ902" s="2">
        <v>85123265</v>
      </c>
      <c r="AK902" s="2">
        <v>2</v>
      </c>
      <c r="AL902" s="2" t="s">
        <v>633</v>
      </c>
      <c r="AM902" s="2">
        <v>0</v>
      </c>
      <c r="AN902" s="2">
        <v>0</v>
      </c>
      <c r="AO902" s="2">
        <v>1</v>
      </c>
      <c r="AP902" s="2">
        <v>0</v>
      </c>
      <c r="AQ902" s="2">
        <v>0</v>
      </c>
      <c r="AR902" s="2">
        <v>0</v>
      </c>
      <c r="AS902" s="2">
        <v>0</v>
      </c>
      <c r="AT902" s="2">
        <v>0</v>
      </c>
      <c r="AZ902" s="2" t="s">
        <v>6153</v>
      </c>
      <c r="BB902" s="2" t="str">
        <f>+PROPER(BD[[#This Row],[PRIMER_APELLIDO]])</f>
        <v>Castro</v>
      </c>
    </row>
    <row r="903" spans="1:54" x14ac:dyDescent="0.25">
      <c r="A903" s="2">
        <v>902</v>
      </c>
      <c r="B903" s="2">
        <v>50681</v>
      </c>
      <c r="C903" s="2" t="s">
        <v>619</v>
      </c>
      <c r="D903" s="2" t="s">
        <v>620</v>
      </c>
      <c r="E903" s="2" t="s">
        <v>6154</v>
      </c>
      <c r="F903" s="2">
        <v>26916617</v>
      </c>
      <c r="G903" s="3">
        <v>38.761643835616439</v>
      </c>
      <c r="H903" s="2" t="s">
        <v>622</v>
      </c>
      <c r="I903" s="2" t="s">
        <v>6155</v>
      </c>
      <c r="J903" s="2" t="str">
        <f>+IF(BD[[#This Row],[DEPARTAMENTO_INSS]]="MANAGUA","_01_","_02_")</f>
        <v>_02_</v>
      </c>
      <c r="K903" s="2" t="str">
        <f>+CONCATENATE(BD[[#This Row],[Columna3]],BD[[#This Row],[Columna4]],BD[[#This Row],[NOMBRE COMPLETO]])</f>
        <v>E003_02_ANIELKA CELINA ALTAMIRANO ARAUZ</v>
      </c>
      <c r="L903" s="2" t="s">
        <v>723</v>
      </c>
      <c r="M903" s="2" t="s">
        <v>6156</v>
      </c>
      <c r="N903" s="2" t="s">
        <v>73</v>
      </c>
      <c r="O903" s="2" t="s">
        <v>174</v>
      </c>
      <c r="P903" s="2" t="s">
        <v>626</v>
      </c>
      <c r="Q903" s="2" t="s">
        <v>351</v>
      </c>
      <c r="R903" s="2">
        <v>30648</v>
      </c>
      <c r="S903" s="2">
        <v>30648</v>
      </c>
      <c r="T903" s="2" t="s">
        <v>627</v>
      </c>
      <c r="U903" s="2" t="s">
        <v>659</v>
      </c>
      <c r="V903" s="2" t="s">
        <v>627</v>
      </c>
      <c r="W903" s="2" t="s">
        <v>659</v>
      </c>
      <c r="X903" s="2" t="s">
        <v>6157</v>
      </c>
      <c r="Y903" s="2" t="s">
        <v>6158</v>
      </c>
      <c r="AA903" s="2">
        <v>58683243</v>
      </c>
      <c r="AB903" s="2" t="s">
        <v>654</v>
      </c>
      <c r="AC903" s="2" t="s">
        <v>632</v>
      </c>
      <c r="AD903" s="2">
        <v>58683243</v>
      </c>
      <c r="AJ903" s="2">
        <v>58683243</v>
      </c>
      <c r="AK903" s="2">
        <v>1</v>
      </c>
      <c r="AL903" s="2" t="s">
        <v>633</v>
      </c>
      <c r="AM903" s="2">
        <v>0</v>
      </c>
      <c r="AN903" s="2">
        <v>0</v>
      </c>
      <c r="AO903" s="2">
        <v>1</v>
      </c>
      <c r="AP903" s="2">
        <v>0</v>
      </c>
      <c r="AQ903" s="2">
        <v>0</v>
      </c>
      <c r="AR903" s="2">
        <v>0</v>
      </c>
      <c r="AS903" s="2">
        <v>0</v>
      </c>
      <c r="AT903" s="2">
        <v>0</v>
      </c>
      <c r="BB903" s="2" t="str">
        <f>+PROPER(BD[[#This Row],[PRIMER_APELLIDO]])</f>
        <v>Altamirano</v>
      </c>
    </row>
    <row r="904" spans="1:54" x14ac:dyDescent="0.25">
      <c r="A904" s="2">
        <v>903</v>
      </c>
      <c r="B904" s="2">
        <v>31072</v>
      </c>
      <c r="C904" s="2" t="s">
        <v>619</v>
      </c>
      <c r="D904" s="2" t="s">
        <v>620</v>
      </c>
      <c r="E904" s="2" t="s">
        <v>6159</v>
      </c>
      <c r="F904" s="2">
        <v>21739523</v>
      </c>
      <c r="G904" s="3">
        <v>38.764383561643832</v>
      </c>
      <c r="H904" s="2" t="s">
        <v>622</v>
      </c>
      <c r="I904" s="2" t="s">
        <v>6160</v>
      </c>
      <c r="J904" s="2" t="str">
        <f>+IF(BD[[#This Row],[DEPARTAMENTO_INSS]]="MANAGUA","_01_","_02_")</f>
        <v>_01_</v>
      </c>
      <c r="K904" s="2" t="str">
        <f>+CONCATENATE(BD[[#This Row],[Columna3]],BD[[#This Row],[Columna4]],BD[[#This Row],[NOMBRE COMPLETO]])</f>
        <v>E003_01_ENNER ALEJANDRO MEJIA URBINA</v>
      </c>
      <c r="L904" s="2" t="s">
        <v>6161</v>
      </c>
      <c r="M904" s="2" t="s">
        <v>1554</v>
      </c>
      <c r="N904" s="2" t="s">
        <v>130</v>
      </c>
      <c r="O904" s="2" t="s">
        <v>86</v>
      </c>
      <c r="P904" s="2" t="s">
        <v>649</v>
      </c>
      <c r="Q904" s="2" t="s">
        <v>351</v>
      </c>
      <c r="R904" s="2">
        <v>30647</v>
      </c>
      <c r="S904" s="2">
        <v>30647</v>
      </c>
      <c r="T904" s="2" t="s">
        <v>669</v>
      </c>
      <c r="U904" s="2" t="s">
        <v>627</v>
      </c>
      <c r="V904" s="2" t="s">
        <v>670</v>
      </c>
      <c r="W904" s="2" t="s">
        <v>627</v>
      </c>
      <c r="X904" s="2" t="s">
        <v>6162</v>
      </c>
      <c r="Y904" s="2" t="s">
        <v>6163</v>
      </c>
      <c r="AA904" s="2" t="s">
        <v>6164</v>
      </c>
      <c r="AB904" s="2" t="s">
        <v>654</v>
      </c>
      <c r="AC904" s="2" t="s">
        <v>632</v>
      </c>
      <c r="AD904" s="2">
        <v>86244617</v>
      </c>
      <c r="AE904" s="2">
        <v>62244617</v>
      </c>
      <c r="AJ904" s="2">
        <v>86244617</v>
      </c>
      <c r="AK904" s="2">
        <v>2</v>
      </c>
      <c r="AL904" s="2" t="s">
        <v>633</v>
      </c>
      <c r="AM904" s="2">
        <v>0</v>
      </c>
      <c r="AN904" s="2">
        <v>0</v>
      </c>
      <c r="AO904" s="2">
        <v>1</v>
      </c>
      <c r="AP904" s="2">
        <v>0</v>
      </c>
      <c r="AQ904" s="2">
        <v>0</v>
      </c>
      <c r="AR904" s="2">
        <v>0</v>
      </c>
      <c r="AS904" s="2">
        <v>0</v>
      </c>
      <c r="AT904" s="2">
        <v>0</v>
      </c>
      <c r="BB904" s="2" t="str">
        <f>+PROPER(BD[[#This Row],[PRIMER_APELLIDO]])</f>
        <v>Mejia</v>
      </c>
    </row>
    <row r="905" spans="1:54" x14ac:dyDescent="0.25">
      <c r="A905" s="2">
        <v>904</v>
      </c>
      <c r="B905" s="2">
        <v>32050</v>
      </c>
      <c r="C905" s="2" t="s">
        <v>619</v>
      </c>
      <c r="D905" s="2" t="s">
        <v>620</v>
      </c>
      <c r="E905" s="2" t="s">
        <v>6165</v>
      </c>
      <c r="F905" s="2">
        <v>21669745</v>
      </c>
      <c r="G905" s="3">
        <v>38.778082191780825</v>
      </c>
      <c r="H905" s="2" t="s">
        <v>622</v>
      </c>
      <c r="I905" s="2" t="s">
        <v>6166</v>
      </c>
      <c r="J905" s="2" t="str">
        <f>+IF(BD[[#This Row],[DEPARTAMENTO_INSS]]="MANAGUA","_01_","_02_")</f>
        <v>_02_</v>
      </c>
      <c r="K905" s="2" t="str">
        <f>+CONCATENATE(BD[[#This Row],[Columna3]],BD[[#This Row],[Columna4]],BD[[#This Row],[NOMBRE COMPLETO]])</f>
        <v>E003_02_GLORIA MARIA CACERES DIAZ</v>
      </c>
      <c r="L905" s="2" t="s">
        <v>2131</v>
      </c>
      <c r="M905" s="2" t="s">
        <v>724</v>
      </c>
      <c r="N905" s="2" t="s">
        <v>125</v>
      </c>
      <c r="O905" s="2" t="s">
        <v>91</v>
      </c>
      <c r="P905" s="2" t="s">
        <v>626</v>
      </c>
      <c r="Q905" s="2" t="s">
        <v>351</v>
      </c>
      <c r="R905" s="2">
        <v>30642</v>
      </c>
      <c r="S905" s="2">
        <v>30642</v>
      </c>
      <c r="T905" s="2" t="s">
        <v>705</v>
      </c>
      <c r="U905" s="2" t="s">
        <v>705</v>
      </c>
      <c r="V905" s="2" t="s">
        <v>705</v>
      </c>
      <c r="W905" s="2" t="s">
        <v>705</v>
      </c>
      <c r="X905" s="2" t="s">
        <v>6167</v>
      </c>
      <c r="Y905" s="2" t="s">
        <v>6168</v>
      </c>
      <c r="AA905" s="2" t="s">
        <v>6169</v>
      </c>
      <c r="AB905" s="2" t="s">
        <v>654</v>
      </c>
      <c r="AC905" s="2" t="s">
        <v>632</v>
      </c>
      <c r="AE905" s="2">
        <v>81935010</v>
      </c>
      <c r="AJ905" s="2">
        <v>81935010</v>
      </c>
      <c r="AK905" s="2">
        <v>2</v>
      </c>
      <c r="AL905" s="2" t="s">
        <v>633</v>
      </c>
      <c r="AM905" s="2">
        <v>0</v>
      </c>
      <c r="AN905" s="2">
        <v>0</v>
      </c>
      <c r="AO905" s="2">
        <v>1</v>
      </c>
      <c r="AP905" s="2">
        <v>0</v>
      </c>
      <c r="AQ905" s="2">
        <v>0</v>
      </c>
      <c r="AR905" s="2">
        <v>0</v>
      </c>
      <c r="AS905" s="2">
        <v>0</v>
      </c>
      <c r="AT905" s="2">
        <v>0</v>
      </c>
      <c r="BB905" s="2" t="str">
        <f>+PROPER(BD[[#This Row],[PRIMER_APELLIDO]])</f>
        <v>Caceres</v>
      </c>
    </row>
    <row r="906" spans="1:54" x14ac:dyDescent="0.25">
      <c r="A906" s="2">
        <v>905</v>
      </c>
      <c r="B906" s="2">
        <v>38159</v>
      </c>
      <c r="C906" s="2" t="s">
        <v>619</v>
      </c>
      <c r="D906" s="2" t="s">
        <v>620</v>
      </c>
      <c r="E906" s="2" t="s">
        <v>6170</v>
      </c>
      <c r="F906" s="2">
        <v>24822646</v>
      </c>
      <c r="G906" s="3">
        <v>38.783561643835618</v>
      </c>
      <c r="H906" s="2" t="s">
        <v>622</v>
      </c>
      <c r="I906" s="2" t="s">
        <v>6171</v>
      </c>
      <c r="J906" s="2" t="str">
        <f>+IF(BD[[#This Row],[DEPARTAMENTO_INSS]]="MANAGUA","_01_","_02_")</f>
        <v>_02_</v>
      </c>
      <c r="K906" s="2" t="str">
        <f>+CONCATENATE(BD[[#This Row],[Columna3]],BD[[#This Row],[Columna4]],BD[[#This Row],[NOMBRE COMPLETO]])</f>
        <v>E003_02_LIDIA VANESSA TALAVERA GUTIERREZ</v>
      </c>
      <c r="L906" s="2" t="s">
        <v>4432</v>
      </c>
      <c r="M906" s="2" t="s">
        <v>1163</v>
      </c>
      <c r="N906" s="2" t="s">
        <v>31</v>
      </c>
      <c r="O906" s="2" t="s">
        <v>171</v>
      </c>
      <c r="P906" s="2" t="s">
        <v>626</v>
      </c>
      <c r="Q906" s="2" t="s">
        <v>351</v>
      </c>
      <c r="R906" s="2">
        <v>30640</v>
      </c>
      <c r="S906" s="2">
        <v>30640</v>
      </c>
      <c r="T906" s="2" t="s">
        <v>444</v>
      </c>
      <c r="U906" s="2" t="s">
        <v>444</v>
      </c>
      <c r="V906" s="2" t="s">
        <v>764</v>
      </c>
      <c r="W906" s="2" t="s">
        <v>764</v>
      </c>
      <c r="X906" s="2" t="s">
        <v>6172</v>
      </c>
      <c r="Y906" s="2" t="s">
        <v>6173</v>
      </c>
      <c r="AA906" s="2">
        <v>84406950</v>
      </c>
      <c r="AB906" s="2" t="s">
        <v>894</v>
      </c>
      <c r="AC906" s="2" t="s">
        <v>632</v>
      </c>
      <c r="AD906" s="2">
        <v>84406950</v>
      </c>
      <c r="AJ906" s="2">
        <v>84406950</v>
      </c>
      <c r="AK906" s="2">
        <v>1</v>
      </c>
      <c r="AL906" s="2" t="s">
        <v>633</v>
      </c>
      <c r="AM906" s="2">
        <v>0</v>
      </c>
      <c r="AN906" s="2">
        <v>0</v>
      </c>
      <c r="AO906" s="2">
        <v>1</v>
      </c>
      <c r="AP906" s="2">
        <v>0</v>
      </c>
      <c r="AQ906" s="2">
        <v>0</v>
      </c>
      <c r="AR906" s="2">
        <v>0</v>
      </c>
      <c r="AS906" s="2">
        <v>0</v>
      </c>
      <c r="AT906" s="2">
        <v>0</v>
      </c>
      <c r="BA906" s="2" t="s">
        <v>6174</v>
      </c>
      <c r="BB906" s="2" t="str">
        <f>+PROPER(BD[[#This Row],[PRIMER_APELLIDO]])</f>
        <v>Talavera</v>
      </c>
    </row>
    <row r="907" spans="1:54" x14ac:dyDescent="0.25">
      <c r="A907" s="2">
        <v>906</v>
      </c>
      <c r="B907" s="2">
        <v>36323</v>
      </c>
      <c r="C907" s="2" t="s">
        <v>619</v>
      </c>
      <c r="D907" s="2" t="s">
        <v>620</v>
      </c>
      <c r="E907" s="2" t="s">
        <v>6175</v>
      </c>
      <c r="F907" s="2">
        <v>21727179</v>
      </c>
      <c r="G907" s="3">
        <v>38.786301369863011</v>
      </c>
      <c r="H907" s="2" t="s">
        <v>622</v>
      </c>
      <c r="I907" s="2" t="s">
        <v>6176</v>
      </c>
      <c r="J907" s="2" t="str">
        <f>+IF(BD[[#This Row],[DEPARTAMENTO_INSS]]="MANAGUA","_01_","_02_")</f>
        <v>_01_</v>
      </c>
      <c r="K907" s="2" t="str">
        <f>+CONCATENATE(BD[[#This Row],[Columna3]],BD[[#This Row],[Columna4]],BD[[#This Row],[NOMBRE COMPLETO]])</f>
        <v>E003_01_MARIA JOSE POVEDA MARTINEZ</v>
      </c>
      <c r="L907" s="2" t="s">
        <v>724</v>
      </c>
      <c r="M907" s="2" t="s">
        <v>243</v>
      </c>
      <c r="N907" s="2" t="s">
        <v>395</v>
      </c>
      <c r="O907" s="2" t="s">
        <v>44</v>
      </c>
      <c r="P907" s="2" t="s">
        <v>626</v>
      </c>
      <c r="Q907" s="2" t="s">
        <v>351</v>
      </c>
      <c r="R907" s="2">
        <v>30639</v>
      </c>
      <c r="S907" s="2">
        <v>30639</v>
      </c>
      <c r="T907" s="2" t="s">
        <v>176</v>
      </c>
      <c r="U907" s="2" t="s">
        <v>627</v>
      </c>
      <c r="V907" s="2" t="s">
        <v>650</v>
      </c>
      <c r="W907" s="2" t="s">
        <v>1498</v>
      </c>
      <c r="X907" s="2" t="s">
        <v>6177</v>
      </c>
      <c r="Y907" s="2" t="s">
        <v>6178</v>
      </c>
      <c r="Z907" s="2">
        <v>87746312</v>
      </c>
      <c r="AB907" s="2" t="s">
        <v>654</v>
      </c>
      <c r="AC907" s="2" t="s">
        <v>632</v>
      </c>
      <c r="AD907" s="2">
        <v>87746312</v>
      </c>
      <c r="AJ907" s="2">
        <v>87746312</v>
      </c>
      <c r="AK907" s="2">
        <v>1</v>
      </c>
      <c r="AL907" s="2" t="s">
        <v>633</v>
      </c>
      <c r="AM907" s="2">
        <v>0</v>
      </c>
      <c r="AN907" s="2">
        <v>0</v>
      </c>
      <c r="AO907" s="2">
        <v>1</v>
      </c>
      <c r="AP907" s="2">
        <v>0</v>
      </c>
      <c r="AQ907" s="2">
        <v>0</v>
      </c>
      <c r="AR907" s="2">
        <v>0</v>
      </c>
      <c r="AS907" s="2">
        <v>0</v>
      </c>
      <c r="AT907" s="2">
        <v>0</v>
      </c>
      <c r="BB907" s="2" t="str">
        <f>+PROPER(BD[[#This Row],[PRIMER_APELLIDO]])</f>
        <v>Poveda</v>
      </c>
    </row>
    <row r="908" spans="1:54" x14ac:dyDescent="0.25">
      <c r="A908" s="2">
        <v>907</v>
      </c>
      <c r="B908" s="2">
        <v>36748</v>
      </c>
      <c r="C908" s="2" t="s">
        <v>619</v>
      </c>
      <c r="D908" s="2" t="s">
        <v>620</v>
      </c>
      <c r="E908" s="2" t="s">
        <v>6179</v>
      </c>
      <c r="F908" s="2">
        <v>21669624</v>
      </c>
      <c r="G908" s="3">
        <v>38.786301369863011</v>
      </c>
      <c r="H908" s="2" t="s">
        <v>622</v>
      </c>
      <c r="I908" s="2" t="s">
        <v>6180</v>
      </c>
      <c r="J908" s="2" t="str">
        <f>+IF(BD[[#This Row],[DEPARTAMENTO_INSS]]="MANAGUA","_01_","_02_")</f>
        <v>_02_</v>
      </c>
      <c r="K908" s="2" t="str">
        <f>+CONCATENATE(BD[[#This Row],[Columna3]],BD[[#This Row],[Columna4]],BD[[#This Row],[NOMBRE COMPLETO]])</f>
        <v>E003_02_KAROL SUYEN PAGUAGA ESTRADA</v>
      </c>
      <c r="L908" s="2" t="s">
        <v>6181</v>
      </c>
      <c r="M908" s="2" t="s">
        <v>890</v>
      </c>
      <c r="N908" s="2" t="s">
        <v>127</v>
      </c>
      <c r="O908" s="2" t="s">
        <v>225</v>
      </c>
      <c r="P908" s="2" t="s">
        <v>626</v>
      </c>
      <c r="Q908" s="2" t="s">
        <v>351</v>
      </c>
      <c r="R908" s="2">
        <v>30639</v>
      </c>
      <c r="S908" s="2">
        <v>30639</v>
      </c>
      <c r="T908" s="2" t="s">
        <v>705</v>
      </c>
      <c r="U908" s="2" t="s">
        <v>705</v>
      </c>
      <c r="V908" s="2" t="s">
        <v>1014</v>
      </c>
      <c r="W908" s="2" t="s">
        <v>1014</v>
      </c>
      <c r="X908" s="2" t="s">
        <v>6182</v>
      </c>
      <c r="Y908" s="2" t="s">
        <v>6183</v>
      </c>
      <c r="AA908" s="2">
        <v>23432271</v>
      </c>
      <c r="AB908" s="2" t="s">
        <v>654</v>
      </c>
      <c r="AC908" s="2" t="s">
        <v>632</v>
      </c>
      <c r="AK908" s="2">
        <v>1</v>
      </c>
      <c r="AL908" s="2" t="s">
        <v>633</v>
      </c>
      <c r="AM908" s="2">
        <v>0</v>
      </c>
      <c r="AN908" s="2">
        <v>0</v>
      </c>
      <c r="AO908" s="2">
        <v>1</v>
      </c>
      <c r="AP908" s="2">
        <v>0</v>
      </c>
      <c r="AQ908" s="2">
        <v>0</v>
      </c>
      <c r="AR908" s="2">
        <v>0</v>
      </c>
      <c r="AS908" s="2">
        <v>0</v>
      </c>
      <c r="AT908" s="2">
        <v>0</v>
      </c>
      <c r="BB908" s="2" t="str">
        <f>+PROPER(BD[[#This Row],[PRIMER_APELLIDO]])</f>
        <v>Paguaga</v>
      </c>
    </row>
    <row r="909" spans="1:54" x14ac:dyDescent="0.25">
      <c r="A909" s="2">
        <v>908</v>
      </c>
      <c r="B909" s="2">
        <v>34104</v>
      </c>
      <c r="C909" s="2" t="s">
        <v>619</v>
      </c>
      <c r="D909" s="2" t="s">
        <v>620</v>
      </c>
      <c r="E909" s="2" t="s">
        <v>6184</v>
      </c>
      <c r="F909" s="2">
        <v>21797666</v>
      </c>
      <c r="G909" s="3">
        <v>38.791780821917811</v>
      </c>
      <c r="H909" s="2" t="s">
        <v>622</v>
      </c>
      <c r="I909" s="2" t="s">
        <v>6185</v>
      </c>
      <c r="J909" s="2" t="str">
        <f>+IF(BD[[#This Row],[DEPARTAMENTO_INSS]]="MANAGUA","_01_","_02_")</f>
        <v>_02_</v>
      </c>
      <c r="K909" s="2" t="str">
        <f>+CONCATENATE(BD[[#This Row],[Columna3]],BD[[#This Row],[Columna4]],BD[[#This Row],[NOMBRE COMPLETO]])</f>
        <v>E003_02_NORLAN OSMAN NICARAGUA REYES</v>
      </c>
      <c r="L909" s="2" t="s">
        <v>5884</v>
      </c>
      <c r="M909" s="2" t="s">
        <v>3007</v>
      </c>
      <c r="N909" s="2" t="s">
        <v>351</v>
      </c>
      <c r="O909" s="2" t="s">
        <v>74</v>
      </c>
      <c r="P909" s="2" t="s">
        <v>649</v>
      </c>
      <c r="Q909" s="2" t="s">
        <v>351</v>
      </c>
      <c r="R909" s="2">
        <v>30637</v>
      </c>
      <c r="S909" s="2">
        <v>30637</v>
      </c>
      <c r="T909" s="2" t="s">
        <v>705</v>
      </c>
      <c r="U909" s="2" t="s">
        <v>705</v>
      </c>
      <c r="V909" s="2" t="s">
        <v>1014</v>
      </c>
      <c r="W909" s="2" t="s">
        <v>1014</v>
      </c>
      <c r="X909" s="2" t="s">
        <v>6186</v>
      </c>
      <c r="Y909" s="2" t="s">
        <v>6187</v>
      </c>
      <c r="Z909" s="2">
        <v>86061668</v>
      </c>
      <c r="AA909" s="2" t="s">
        <v>6188</v>
      </c>
      <c r="AB909" s="2" t="s">
        <v>654</v>
      </c>
      <c r="AC909" s="2" t="s">
        <v>632</v>
      </c>
      <c r="AD909" s="2">
        <v>86061668</v>
      </c>
      <c r="AE909" s="2">
        <v>76303323</v>
      </c>
      <c r="AJ909" s="2">
        <v>86061668</v>
      </c>
      <c r="AK909" s="2">
        <v>3</v>
      </c>
      <c r="AL909" s="2" t="s">
        <v>633</v>
      </c>
      <c r="AM909" s="2">
        <v>0</v>
      </c>
      <c r="AN909" s="2">
        <v>0</v>
      </c>
      <c r="AO909" s="2">
        <v>1</v>
      </c>
      <c r="AP909" s="2">
        <v>0</v>
      </c>
      <c r="AQ909" s="2">
        <v>0</v>
      </c>
      <c r="AR909" s="2">
        <v>0</v>
      </c>
      <c r="AS909" s="2">
        <v>0</v>
      </c>
      <c r="AT909" s="2">
        <v>0</v>
      </c>
      <c r="AZ909" s="2" t="s">
        <v>6189</v>
      </c>
      <c r="BB909" s="2" t="str">
        <f>+PROPER(BD[[#This Row],[PRIMER_APELLIDO]])</f>
        <v>Nicaragua</v>
      </c>
    </row>
    <row r="910" spans="1:54" x14ac:dyDescent="0.25">
      <c r="A910" s="2">
        <v>909</v>
      </c>
      <c r="B910" s="2">
        <v>49676</v>
      </c>
      <c r="C910" s="2" t="s">
        <v>619</v>
      </c>
      <c r="D910" s="2" t="s">
        <v>620</v>
      </c>
      <c r="E910" s="2" t="s">
        <v>6190</v>
      </c>
      <c r="F910" s="2">
        <v>25107133</v>
      </c>
      <c r="G910" s="3">
        <v>38.797260273972604</v>
      </c>
      <c r="H910" s="2" t="s">
        <v>622</v>
      </c>
      <c r="I910" s="2" t="s">
        <v>6191</v>
      </c>
      <c r="J910" s="2" t="str">
        <f>+IF(BD[[#This Row],[DEPARTAMENTO_INSS]]="MANAGUA","_01_","_02_")</f>
        <v>_02_</v>
      </c>
      <c r="K910" s="2" t="str">
        <f>+CONCATENATE(BD[[#This Row],[Columna3]],BD[[#This Row],[Columna4]],BD[[#This Row],[NOMBRE COMPLETO]])</f>
        <v>E003_02_JARVIN URIEL TINOCO MORENO</v>
      </c>
      <c r="L910" s="2" t="s">
        <v>6192</v>
      </c>
      <c r="M910" s="2" t="s">
        <v>2486</v>
      </c>
      <c r="N910" s="2" t="s">
        <v>252</v>
      </c>
      <c r="O910" s="2" t="s">
        <v>430</v>
      </c>
      <c r="P910" s="2" t="s">
        <v>649</v>
      </c>
      <c r="Q910" s="2" t="s">
        <v>351</v>
      </c>
      <c r="R910" s="2">
        <v>30635</v>
      </c>
      <c r="S910" s="2">
        <v>30635</v>
      </c>
      <c r="T910" s="2" t="s">
        <v>1044</v>
      </c>
      <c r="U910" s="2" t="s">
        <v>444</v>
      </c>
      <c r="V910" s="2" t="s">
        <v>2708</v>
      </c>
      <c r="W910" s="2" t="s">
        <v>1137</v>
      </c>
      <c r="X910" s="2" t="s">
        <v>4670</v>
      </c>
      <c r="Y910" s="2" t="s">
        <v>6193</v>
      </c>
      <c r="Z910" s="2">
        <v>82219657</v>
      </c>
      <c r="AA910" s="2">
        <v>88386241</v>
      </c>
      <c r="AB910" s="2" t="s">
        <v>798</v>
      </c>
      <c r="AC910" s="2" t="s">
        <v>632</v>
      </c>
      <c r="AD910" s="2">
        <v>82219657</v>
      </c>
      <c r="AF910" s="2">
        <v>88386241</v>
      </c>
      <c r="AJ910" s="2">
        <v>82219657</v>
      </c>
      <c r="AK910" s="2">
        <v>2</v>
      </c>
      <c r="AL910" s="2" t="s">
        <v>633</v>
      </c>
      <c r="AM910" s="2">
        <v>0</v>
      </c>
      <c r="AN910" s="2">
        <v>0</v>
      </c>
      <c r="AO910" s="2">
        <v>1</v>
      </c>
      <c r="AP910" s="2">
        <v>0</v>
      </c>
      <c r="AQ910" s="2">
        <v>0</v>
      </c>
      <c r="AR910" s="2">
        <v>0</v>
      </c>
      <c r="AS910" s="2">
        <v>0</v>
      </c>
      <c r="AT910" s="2">
        <v>0</v>
      </c>
      <c r="BB910" s="2" t="str">
        <f>+PROPER(BD[[#This Row],[PRIMER_APELLIDO]])</f>
        <v>Tinoco</v>
      </c>
    </row>
    <row r="911" spans="1:54" x14ac:dyDescent="0.25">
      <c r="A911" s="2">
        <v>910</v>
      </c>
      <c r="B911" s="2">
        <v>53420</v>
      </c>
      <c r="C911" s="2" t="s">
        <v>619</v>
      </c>
      <c r="D911" s="2" t="s">
        <v>620</v>
      </c>
      <c r="E911" s="2" t="s">
        <v>6194</v>
      </c>
      <c r="G911" s="3">
        <v>38.80821917808219</v>
      </c>
      <c r="H911" s="2" t="s">
        <v>622</v>
      </c>
      <c r="I911" s="2" t="s">
        <v>6195</v>
      </c>
      <c r="J911" s="2" t="str">
        <f>+IF(BD[[#This Row],[DEPARTAMENTO_INSS]]="MANAGUA","_01_","_02_")</f>
        <v>_01_</v>
      </c>
      <c r="K911" s="2" t="str">
        <f>+CONCATENATE(BD[[#This Row],[Columna3]],BD[[#This Row],[Columna4]],BD[[#This Row],[NOMBRE COMPLETO]])</f>
        <v>E003_01_JENNIFER ZULEYKA SANTAMARIA URROZ</v>
      </c>
      <c r="L911" s="2" t="s">
        <v>2961</v>
      </c>
      <c r="M911" s="2" t="s">
        <v>6196</v>
      </c>
      <c r="N911" s="2" t="s">
        <v>311</v>
      </c>
      <c r="O911" s="2" t="s">
        <v>487</v>
      </c>
      <c r="P911" s="2" t="s">
        <v>626</v>
      </c>
      <c r="Q911" s="2" t="s">
        <v>351</v>
      </c>
      <c r="R911" s="2">
        <v>30631</v>
      </c>
      <c r="S911" s="2">
        <v>30631</v>
      </c>
      <c r="T911" s="2" t="s">
        <v>627</v>
      </c>
      <c r="U911" s="2" t="s">
        <v>627</v>
      </c>
      <c r="V911" s="2" t="s">
        <v>627</v>
      </c>
      <c r="W911" s="2" t="s">
        <v>627</v>
      </c>
      <c r="X911" s="2" t="s">
        <v>6197</v>
      </c>
      <c r="Y911" s="2" t="s">
        <v>6198</v>
      </c>
      <c r="Z911" s="2">
        <v>84507603</v>
      </c>
      <c r="AA911" s="2">
        <v>84507603</v>
      </c>
      <c r="AB911" s="2" t="s">
        <v>642</v>
      </c>
      <c r="AC911" s="2" t="s">
        <v>632</v>
      </c>
      <c r="AD911" s="2">
        <v>84507603</v>
      </c>
      <c r="AJ911" s="2">
        <v>84507603</v>
      </c>
      <c r="AK911" s="2">
        <v>2</v>
      </c>
      <c r="AL911" s="2" t="s">
        <v>633</v>
      </c>
      <c r="AM911" s="2">
        <v>0</v>
      </c>
      <c r="AN911" s="2">
        <v>0</v>
      </c>
      <c r="AO911" s="2">
        <v>1</v>
      </c>
      <c r="AP911" s="2">
        <v>0</v>
      </c>
      <c r="AQ911" s="2">
        <v>0</v>
      </c>
      <c r="AR911" s="2">
        <v>0</v>
      </c>
      <c r="AS911" s="2">
        <v>0</v>
      </c>
      <c r="AT911" s="2">
        <v>0</v>
      </c>
      <c r="BB911" s="2" t="str">
        <f>+PROPER(BD[[#This Row],[PRIMER_APELLIDO]])</f>
        <v>Santamaria</v>
      </c>
    </row>
    <row r="912" spans="1:54" x14ac:dyDescent="0.25">
      <c r="A912" s="2">
        <v>911</v>
      </c>
      <c r="B912" s="2">
        <v>82955</v>
      </c>
      <c r="C912" s="2" t="s">
        <v>619</v>
      </c>
      <c r="D912" s="2" t="s">
        <v>620</v>
      </c>
      <c r="E912" s="2" t="s">
        <v>6199</v>
      </c>
      <c r="G912" s="3">
        <v>38.813698630136983</v>
      </c>
      <c r="H912" s="2" t="s">
        <v>622</v>
      </c>
      <c r="I912" s="2" t="s">
        <v>6200</v>
      </c>
      <c r="J912" s="2" t="str">
        <f>+IF(BD[[#This Row],[DEPARTAMENTO_INSS]]="MANAGUA","_01_","_02_")</f>
        <v>_02_</v>
      </c>
      <c r="K912" s="2" t="str">
        <f>+CONCATENATE(BD[[#This Row],[Columna3]],BD[[#This Row],[Columna4]],BD[[#This Row],[NOMBRE COMPLETO]])</f>
        <v>E003_02_ZAIDA KARELIA JARQUIN MARTINEZ</v>
      </c>
      <c r="L912" s="2" t="s">
        <v>6201</v>
      </c>
      <c r="M912" s="2" t="s">
        <v>1942</v>
      </c>
      <c r="N912" s="2" t="s">
        <v>85</v>
      </c>
      <c r="O912" s="2" t="s">
        <v>44</v>
      </c>
      <c r="P912" s="2" t="s">
        <v>626</v>
      </c>
      <c r="Q912" s="2" t="s">
        <v>351</v>
      </c>
      <c r="R912" s="2">
        <v>30629</v>
      </c>
      <c r="S912" s="2">
        <v>30629</v>
      </c>
      <c r="T912" s="2" t="s">
        <v>691</v>
      </c>
      <c r="U912" s="2" t="s">
        <v>929</v>
      </c>
      <c r="V912" s="2" t="s">
        <v>716</v>
      </c>
      <c r="W912" s="2" t="s">
        <v>1882</v>
      </c>
      <c r="X912" s="2" t="s">
        <v>6202</v>
      </c>
      <c r="Y912" s="2" t="s">
        <v>6203</v>
      </c>
      <c r="Z912" s="2">
        <v>84116774</v>
      </c>
      <c r="AA912" s="2">
        <v>84116774</v>
      </c>
      <c r="AB912" s="2" t="s">
        <v>631</v>
      </c>
      <c r="AC912" s="2" t="s">
        <v>632</v>
      </c>
      <c r="AD912" s="2">
        <v>84116774</v>
      </c>
      <c r="AJ912" s="2">
        <v>84116774</v>
      </c>
      <c r="AK912" s="2">
        <v>2</v>
      </c>
      <c r="AL912" s="2" t="s">
        <v>633</v>
      </c>
      <c r="AM912" s="2">
        <v>0</v>
      </c>
      <c r="AN912" s="2">
        <v>0</v>
      </c>
      <c r="AO912" s="2">
        <v>1</v>
      </c>
      <c r="AP912" s="2">
        <v>0</v>
      </c>
      <c r="AQ912" s="2">
        <v>0</v>
      </c>
      <c r="AR912" s="2">
        <v>0</v>
      </c>
      <c r="AS912" s="2">
        <v>0</v>
      </c>
      <c r="AT912" s="2">
        <v>0</v>
      </c>
      <c r="AZ912" s="2" t="s">
        <v>6204</v>
      </c>
      <c r="BB912" s="2" t="str">
        <f>+PROPER(BD[[#This Row],[PRIMER_APELLIDO]])</f>
        <v>Jarquin</v>
      </c>
    </row>
    <row r="913" spans="1:54" x14ac:dyDescent="0.25">
      <c r="A913" s="2">
        <v>912</v>
      </c>
      <c r="B913" s="2">
        <v>22890</v>
      </c>
      <c r="C913" s="2" t="s">
        <v>619</v>
      </c>
      <c r="D913" s="2" t="s">
        <v>620</v>
      </c>
      <c r="E913" s="2" t="s">
        <v>6205</v>
      </c>
      <c r="F913" s="2">
        <v>15443933</v>
      </c>
      <c r="G913" s="3">
        <v>38.816438356164383</v>
      </c>
      <c r="H913" s="2" t="s">
        <v>622</v>
      </c>
      <c r="I913" s="2" t="s">
        <v>6206</v>
      </c>
      <c r="J913" s="2" t="str">
        <f>+IF(BD[[#This Row],[DEPARTAMENTO_INSS]]="MANAGUA","_01_","_02_")</f>
        <v>_01_</v>
      </c>
      <c r="K913" s="2" t="str">
        <f>+CONCATENATE(BD[[#This Row],[Columna3]],BD[[#This Row],[Columna4]],BD[[#This Row],[NOMBRE COMPLETO]])</f>
        <v>E003_01_DAMARIS CAROLINA VARGAS UGARTE</v>
      </c>
      <c r="L913" s="2" t="s">
        <v>3653</v>
      </c>
      <c r="M913" s="2" t="s">
        <v>714</v>
      </c>
      <c r="N913" s="2" t="s">
        <v>34</v>
      </c>
      <c r="O913" s="2" t="s">
        <v>3171</v>
      </c>
      <c r="P913" s="2" t="s">
        <v>626</v>
      </c>
      <c r="Q913" s="2" t="s">
        <v>351</v>
      </c>
      <c r="R913" s="2">
        <v>30628</v>
      </c>
      <c r="S913" s="2">
        <v>30628</v>
      </c>
      <c r="T913" s="2" t="s">
        <v>627</v>
      </c>
      <c r="U913" s="2" t="s">
        <v>627</v>
      </c>
      <c r="V913" s="2" t="s">
        <v>627</v>
      </c>
      <c r="W913" s="2" t="s">
        <v>627</v>
      </c>
      <c r="X913" s="2" t="s">
        <v>6207</v>
      </c>
      <c r="Y913" s="2" t="s">
        <v>6208</v>
      </c>
      <c r="AA913" s="2">
        <v>22535939</v>
      </c>
      <c r="AB913" s="2" t="s">
        <v>642</v>
      </c>
      <c r="AC913" s="2" t="s">
        <v>632</v>
      </c>
      <c r="AK913" s="2">
        <v>1</v>
      </c>
      <c r="AL913" s="2" t="s">
        <v>633</v>
      </c>
      <c r="AM913" s="2">
        <v>0</v>
      </c>
      <c r="AN913" s="2">
        <v>0</v>
      </c>
      <c r="AO913" s="2">
        <v>1</v>
      </c>
      <c r="AP913" s="2">
        <v>0</v>
      </c>
      <c r="AQ913" s="2">
        <v>0</v>
      </c>
      <c r="AR913" s="2">
        <v>0</v>
      </c>
      <c r="AS913" s="2">
        <v>0</v>
      </c>
      <c r="AT913" s="2">
        <v>0</v>
      </c>
      <c r="BA913" s="2" t="s">
        <v>6209</v>
      </c>
      <c r="BB913" s="2" t="str">
        <f>+PROPER(BD[[#This Row],[PRIMER_APELLIDO]])</f>
        <v>Vargas</v>
      </c>
    </row>
    <row r="914" spans="1:54" x14ac:dyDescent="0.25">
      <c r="A914" s="2">
        <v>913</v>
      </c>
      <c r="B914" s="2">
        <v>35187</v>
      </c>
      <c r="C914" s="2" t="s">
        <v>619</v>
      </c>
      <c r="D914" s="2" t="s">
        <v>620</v>
      </c>
      <c r="E914" s="2" t="s">
        <v>6210</v>
      </c>
      <c r="F914" s="2">
        <v>21734483</v>
      </c>
      <c r="G914" s="3">
        <v>38.819178082191783</v>
      </c>
      <c r="H914" s="2" t="s">
        <v>622</v>
      </c>
      <c r="I914" s="2" t="s">
        <v>6211</v>
      </c>
      <c r="J914" s="2" t="str">
        <f>+IF(BD[[#This Row],[DEPARTAMENTO_INSS]]="MANAGUA","_01_","_02_")</f>
        <v>_02_</v>
      </c>
      <c r="K914" s="2" t="str">
        <f>+CONCATENATE(BD[[#This Row],[Columna3]],BD[[#This Row],[Columna4]],BD[[#This Row],[NOMBRE COMPLETO]])</f>
        <v>E003_02_PATRICIA ISABEL ESPINOZA RODRIGUEZ</v>
      </c>
      <c r="L914" s="2" t="s">
        <v>747</v>
      </c>
      <c r="M914" s="2" t="s">
        <v>3736</v>
      </c>
      <c r="N914" s="2" t="s">
        <v>235</v>
      </c>
      <c r="O914" s="2" t="s">
        <v>185</v>
      </c>
      <c r="P914" s="2" t="s">
        <v>626</v>
      </c>
      <c r="Q914" s="2" t="s">
        <v>351</v>
      </c>
      <c r="R914" s="2">
        <v>30627</v>
      </c>
      <c r="S914" s="2">
        <v>30627</v>
      </c>
      <c r="T914" s="2" t="s">
        <v>176</v>
      </c>
      <c r="U914" s="2" t="s">
        <v>176</v>
      </c>
      <c r="V914" s="2" t="s">
        <v>997</v>
      </c>
      <c r="W914" s="2" t="s">
        <v>997</v>
      </c>
      <c r="X914" s="2" t="s">
        <v>6212</v>
      </c>
      <c r="Y914" s="2" t="s">
        <v>6213</v>
      </c>
      <c r="Z914" s="2">
        <v>89281133</v>
      </c>
      <c r="AA914" s="2" t="s">
        <v>6214</v>
      </c>
      <c r="AB914" s="2" t="s">
        <v>642</v>
      </c>
      <c r="AC914" s="2" t="s">
        <v>632</v>
      </c>
      <c r="AD914" s="2">
        <v>89281133</v>
      </c>
      <c r="AJ914" s="2">
        <v>89281133</v>
      </c>
      <c r="AK914" s="2">
        <v>3</v>
      </c>
      <c r="AL914" s="2" t="s">
        <v>633</v>
      </c>
      <c r="AM914" s="2">
        <v>0</v>
      </c>
      <c r="AN914" s="2">
        <v>0</v>
      </c>
      <c r="AO914" s="2">
        <v>1</v>
      </c>
      <c r="AP914" s="2">
        <v>0</v>
      </c>
      <c r="AQ914" s="2">
        <v>0</v>
      </c>
      <c r="AR914" s="2">
        <v>0</v>
      </c>
      <c r="AS914" s="2">
        <v>0</v>
      </c>
      <c r="AT914" s="2">
        <v>0</v>
      </c>
      <c r="BA914" s="2" t="s">
        <v>6215</v>
      </c>
      <c r="BB914" s="2" t="str">
        <f>+PROPER(BD[[#This Row],[PRIMER_APELLIDO]])</f>
        <v>Espinoza</v>
      </c>
    </row>
    <row r="915" spans="1:54" x14ac:dyDescent="0.25">
      <c r="A915" s="2">
        <v>914</v>
      </c>
      <c r="B915" s="2">
        <v>35891</v>
      </c>
      <c r="C915" s="2" t="s">
        <v>619</v>
      </c>
      <c r="D915" s="2" t="s">
        <v>620</v>
      </c>
      <c r="E915" s="2" t="s">
        <v>6216</v>
      </c>
      <c r="F915" s="2">
        <v>23235946</v>
      </c>
      <c r="G915" s="3">
        <v>38.824657534246576</v>
      </c>
      <c r="H915" s="2" t="s">
        <v>622</v>
      </c>
      <c r="I915" s="2" t="s">
        <v>6217</v>
      </c>
      <c r="J915" s="2" t="str">
        <f>+IF(BD[[#This Row],[DEPARTAMENTO_INSS]]="MANAGUA","_01_","_02_")</f>
        <v>_01_</v>
      </c>
      <c r="K915" s="2" t="str">
        <f>+CONCATENATE(BD[[#This Row],[Columna3]],BD[[#This Row],[Columna4]],BD[[#This Row],[NOMBRE COMPLETO]])</f>
        <v>E003_01_LEANA MARCELA TRAVERS GONZALEZ</v>
      </c>
      <c r="L915" s="2" t="s">
        <v>6218</v>
      </c>
      <c r="M915" s="2" t="s">
        <v>1962</v>
      </c>
      <c r="N915" s="2" t="s">
        <v>155</v>
      </c>
      <c r="O915" s="2" t="s">
        <v>14</v>
      </c>
      <c r="P915" s="2" t="s">
        <v>626</v>
      </c>
      <c r="Q915" s="2" t="s">
        <v>351</v>
      </c>
      <c r="R915" s="2">
        <v>30625</v>
      </c>
      <c r="S915" s="2">
        <v>30625</v>
      </c>
      <c r="T915" s="2" t="s">
        <v>1104</v>
      </c>
      <c r="U915" s="2" t="s">
        <v>627</v>
      </c>
      <c r="V915" s="2" t="s">
        <v>1104</v>
      </c>
      <c r="W915" s="2" t="s">
        <v>1498</v>
      </c>
      <c r="X915" s="2" t="s">
        <v>6219</v>
      </c>
      <c r="Y915" s="2" t="s">
        <v>6220</v>
      </c>
      <c r="AA915" s="2" t="s">
        <v>6221</v>
      </c>
      <c r="AB915" s="2" t="s">
        <v>654</v>
      </c>
      <c r="AC915" s="2" t="s">
        <v>632</v>
      </c>
      <c r="AE915" s="2">
        <v>88442139</v>
      </c>
      <c r="AJ915" s="2">
        <v>88442139</v>
      </c>
      <c r="AK915" s="2">
        <v>2</v>
      </c>
      <c r="AL915" s="2" t="s">
        <v>633</v>
      </c>
      <c r="AM915" s="2">
        <v>0</v>
      </c>
      <c r="AN915" s="2">
        <v>0</v>
      </c>
      <c r="AO915" s="2">
        <v>1</v>
      </c>
      <c r="AP915" s="2">
        <v>0</v>
      </c>
      <c r="AQ915" s="2">
        <v>0</v>
      </c>
      <c r="AR915" s="2">
        <v>0</v>
      </c>
      <c r="AS915" s="2">
        <v>0</v>
      </c>
      <c r="AT915" s="2">
        <v>0</v>
      </c>
      <c r="BB915" s="2" t="str">
        <f>+PROPER(BD[[#This Row],[PRIMER_APELLIDO]])</f>
        <v>Travers</v>
      </c>
    </row>
    <row r="916" spans="1:54" x14ac:dyDescent="0.25">
      <c r="A916" s="2">
        <v>915</v>
      </c>
      <c r="B916" s="2">
        <v>41379</v>
      </c>
      <c r="C916" s="2" t="s">
        <v>619</v>
      </c>
      <c r="D916" s="2" t="s">
        <v>620</v>
      </c>
      <c r="E916" s="2" t="s">
        <v>6222</v>
      </c>
      <c r="F916" s="2">
        <v>15357474</v>
      </c>
      <c r="G916" s="3">
        <v>38.827397260273976</v>
      </c>
      <c r="H916" s="2" t="s">
        <v>622</v>
      </c>
      <c r="I916" s="2" t="s">
        <v>6223</v>
      </c>
      <c r="J916" s="2" t="str">
        <f>+IF(BD[[#This Row],[DEPARTAMENTO_INSS]]="MANAGUA","_01_","_02_")</f>
        <v>_02_</v>
      </c>
      <c r="K916" s="2" t="str">
        <f>+CONCATENATE(BD[[#This Row],[Columna3]],BD[[#This Row],[Columna4]],BD[[#This Row],[NOMBRE COMPLETO]])</f>
        <v>E003_02_MIGUEL ANGEL CRUZ HUETE</v>
      </c>
      <c r="L916" s="2" t="s">
        <v>2016</v>
      </c>
      <c r="M916" s="2" t="s">
        <v>3464</v>
      </c>
      <c r="N916" s="2" t="s">
        <v>32</v>
      </c>
      <c r="O916" s="2" t="s">
        <v>219</v>
      </c>
      <c r="P916" s="2" t="s">
        <v>649</v>
      </c>
      <c r="Q916" s="2" t="s">
        <v>351</v>
      </c>
      <c r="R916" s="2">
        <v>30624</v>
      </c>
      <c r="S916" s="2">
        <v>30624</v>
      </c>
      <c r="T916" s="2" t="s">
        <v>1104</v>
      </c>
      <c r="U916" s="2" t="s">
        <v>1104</v>
      </c>
      <c r="V916" s="2" t="s">
        <v>2858</v>
      </c>
      <c r="W916" s="2" t="s">
        <v>2859</v>
      </c>
      <c r="X916" s="2" t="s">
        <v>6224</v>
      </c>
      <c r="Y916" s="2" t="s">
        <v>6225</v>
      </c>
      <c r="Z916" s="2">
        <v>75117930</v>
      </c>
      <c r="AA916" s="2">
        <v>75117930</v>
      </c>
      <c r="AB916" s="2" t="s">
        <v>798</v>
      </c>
      <c r="AC916" s="2" t="s">
        <v>632</v>
      </c>
      <c r="AD916" s="2">
        <v>75117930</v>
      </c>
      <c r="AJ916" s="2">
        <v>75117930</v>
      </c>
      <c r="AK916" s="2">
        <v>2</v>
      </c>
      <c r="AL916" s="2" t="s">
        <v>633</v>
      </c>
      <c r="AM916" s="2">
        <v>0</v>
      </c>
      <c r="AN916" s="2">
        <v>0</v>
      </c>
      <c r="AO916" s="2">
        <v>1</v>
      </c>
      <c r="AP916" s="2">
        <v>0</v>
      </c>
      <c r="AQ916" s="2">
        <v>0</v>
      </c>
      <c r="AR916" s="2">
        <v>0</v>
      </c>
      <c r="AS916" s="2">
        <v>0</v>
      </c>
      <c r="AT916" s="2">
        <v>0</v>
      </c>
      <c r="BB916" s="2" t="str">
        <f>+PROPER(BD[[#This Row],[PRIMER_APELLIDO]])</f>
        <v>Cruz</v>
      </c>
    </row>
    <row r="917" spans="1:54" x14ac:dyDescent="0.25">
      <c r="A917" s="2">
        <v>916</v>
      </c>
      <c r="B917" s="2">
        <v>33856</v>
      </c>
      <c r="C917" s="2" t="s">
        <v>619</v>
      </c>
      <c r="D917" s="2" t="s">
        <v>620</v>
      </c>
      <c r="E917" s="2" t="s">
        <v>6226</v>
      </c>
      <c r="F917" s="2">
        <v>21675744</v>
      </c>
      <c r="G917" s="3">
        <v>38.841095890410962</v>
      </c>
      <c r="H917" s="2" t="s">
        <v>622</v>
      </c>
      <c r="I917" s="2" t="s">
        <v>6227</v>
      </c>
      <c r="J917" s="2" t="str">
        <f>+IF(BD[[#This Row],[DEPARTAMENTO_INSS]]="MANAGUA","_01_","_02_")</f>
        <v>_02_</v>
      </c>
      <c r="K917" s="2" t="str">
        <f>+CONCATENATE(BD[[#This Row],[Columna3]],BD[[#This Row],[Columna4]],BD[[#This Row],[NOMBRE COMPLETO]])</f>
        <v>E003_02_GABRIEL AMARU ORTEGA LOPEZ</v>
      </c>
      <c r="L917" s="2" t="s">
        <v>1646</v>
      </c>
      <c r="M917" s="2" t="s">
        <v>6228</v>
      </c>
      <c r="N917" s="2" t="s">
        <v>29</v>
      </c>
      <c r="O917" s="2" t="s">
        <v>15</v>
      </c>
      <c r="P917" s="2" t="s">
        <v>649</v>
      </c>
      <c r="Q917" s="2" t="s">
        <v>351</v>
      </c>
      <c r="R917" s="2">
        <v>30619</v>
      </c>
      <c r="S917" s="2">
        <v>30619</v>
      </c>
      <c r="T917" s="2" t="s">
        <v>627</v>
      </c>
      <c r="U917" s="2" t="s">
        <v>740</v>
      </c>
      <c r="V917" s="2" t="s">
        <v>627</v>
      </c>
      <c r="W917" s="2" t="s">
        <v>1789</v>
      </c>
      <c r="X917" s="2" t="s">
        <v>6229</v>
      </c>
      <c r="Y917" s="2" t="s">
        <v>6230</v>
      </c>
      <c r="AA917" s="2" t="s">
        <v>6231</v>
      </c>
      <c r="AB917" s="2" t="s">
        <v>654</v>
      </c>
      <c r="AC917" s="2" t="s">
        <v>632</v>
      </c>
      <c r="AH917" s="2">
        <v>88511375</v>
      </c>
      <c r="AK917" s="2">
        <v>3</v>
      </c>
      <c r="AL917" s="2" t="s">
        <v>633</v>
      </c>
      <c r="AM917" s="2">
        <v>0</v>
      </c>
      <c r="AN917" s="2">
        <v>0</v>
      </c>
      <c r="AO917" s="2">
        <v>1</v>
      </c>
      <c r="AP917" s="2">
        <v>0</v>
      </c>
      <c r="AQ917" s="2">
        <v>0</v>
      </c>
      <c r="AR917" s="2">
        <v>0</v>
      </c>
      <c r="AS917" s="2">
        <v>0</v>
      </c>
      <c r="AT917" s="2">
        <v>0</v>
      </c>
      <c r="BB917" s="2" t="str">
        <f>+PROPER(BD[[#This Row],[PRIMER_APELLIDO]])</f>
        <v>Ortega</v>
      </c>
    </row>
    <row r="918" spans="1:54" x14ac:dyDescent="0.25">
      <c r="A918" s="2">
        <v>917</v>
      </c>
      <c r="B918" s="2">
        <v>23040</v>
      </c>
      <c r="C918" s="2" t="s">
        <v>619</v>
      </c>
      <c r="D918" s="2" t="s">
        <v>620</v>
      </c>
      <c r="E918" s="2" t="s">
        <v>6232</v>
      </c>
      <c r="F918" s="2">
        <v>19658605</v>
      </c>
      <c r="G918" s="3">
        <v>38.843835616438355</v>
      </c>
      <c r="H918" s="2" t="s">
        <v>622</v>
      </c>
      <c r="I918" s="2" t="s">
        <v>6233</v>
      </c>
      <c r="J918" s="2" t="str">
        <f>+IF(BD[[#This Row],[DEPARTAMENTO_INSS]]="MANAGUA","_01_","_02_")</f>
        <v>_02_</v>
      </c>
      <c r="K918" s="2" t="str">
        <f>+CONCATENATE(BD[[#This Row],[Columna3]],BD[[#This Row],[Columna4]],BD[[#This Row],[NOMBRE COMPLETO]])</f>
        <v>E003_02_ANA CECILIA JOSE PAVON</v>
      </c>
      <c r="L918" s="2" t="s">
        <v>860</v>
      </c>
      <c r="M918" s="2" t="s">
        <v>3360</v>
      </c>
      <c r="N918" s="2" t="s">
        <v>243</v>
      </c>
      <c r="O918" s="2" t="s">
        <v>345</v>
      </c>
      <c r="P918" s="2" t="s">
        <v>626</v>
      </c>
      <c r="Q918" s="2" t="s">
        <v>351</v>
      </c>
      <c r="R918" s="2">
        <v>30618</v>
      </c>
      <c r="S918" s="2">
        <v>30618</v>
      </c>
      <c r="T918" s="2" t="s">
        <v>732</v>
      </c>
      <c r="U918" s="2" t="s">
        <v>133</v>
      </c>
      <c r="V918" s="2" t="s">
        <v>732</v>
      </c>
      <c r="W918" s="2" t="s">
        <v>869</v>
      </c>
      <c r="X918" s="2" t="s">
        <v>6234</v>
      </c>
      <c r="Y918" s="2" t="s">
        <v>6235</v>
      </c>
      <c r="Z918" s="2">
        <v>87238524</v>
      </c>
      <c r="AA918" s="2" t="s">
        <v>6236</v>
      </c>
      <c r="AB918" s="2" t="s">
        <v>654</v>
      </c>
      <c r="AC918" s="2" t="s">
        <v>632</v>
      </c>
      <c r="AD918" s="2">
        <v>87238524</v>
      </c>
      <c r="AF918" s="2">
        <v>76790361</v>
      </c>
      <c r="AJ918" s="2">
        <v>87238524</v>
      </c>
      <c r="AK918" s="2">
        <v>3</v>
      </c>
      <c r="AL918" s="2" t="s">
        <v>633</v>
      </c>
      <c r="AM918" s="2">
        <v>0</v>
      </c>
      <c r="AN918" s="2">
        <v>0</v>
      </c>
      <c r="AO918" s="2">
        <v>1</v>
      </c>
      <c r="AP918" s="2">
        <v>0</v>
      </c>
      <c r="AQ918" s="2">
        <v>0</v>
      </c>
      <c r="AR918" s="2">
        <v>0</v>
      </c>
      <c r="AS918" s="2">
        <v>0</v>
      </c>
      <c r="AT918" s="2">
        <v>0</v>
      </c>
      <c r="AZ918" s="2" t="s">
        <v>6237</v>
      </c>
      <c r="BB918" s="2" t="str">
        <f>+PROPER(BD[[#This Row],[PRIMER_APELLIDO]])</f>
        <v>Jose</v>
      </c>
    </row>
    <row r="919" spans="1:54" x14ac:dyDescent="0.25">
      <c r="A919" s="2">
        <v>918</v>
      </c>
      <c r="B919" s="2">
        <v>58656</v>
      </c>
      <c r="C919" s="2" t="s">
        <v>619</v>
      </c>
      <c r="D919" s="2" t="s">
        <v>620</v>
      </c>
      <c r="E919" s="2" t="s">
        <v>6238</v>
      </c>
      <c r="G919" s="3">
        <v>38.849315068493148</v>
      </c>
      <c r="H919" s="2" t="s">
        <v>622</v>
      </c>
      <c r="I919" s="2" t="s">
        <v>6239</v>
      </c>
      <c r="J919" s="2" t="str">
        <f>+IF(BD[[#This Row],[DEPARTAMENTO_INSS]]="MANAGUA","_01_","_02_")</f>
        <v>_02_</v>
      </c>
      <c r="K919" s="2" t="str">
        <f>+CONCATENATE(BD[[#This Row],[Columna3]],BD[[#This Row],[Columna4]],BD[[#This Row],[NOMBRE COMPLETO]])</f>
        <v>E003_02_EVELYN MORALES VALDIVIA</v>
      </c>
      <c r="L919" s="2" t="s">
        <v>6240</v>
      </c>
      <c r="N919" s="2" t="s">
        <v>82</v>
      </c>
      <c r="O919" s="2" t="s">
        <v>93</v>
      </c>
      <c r="P919" s="2" t="s">
        <v>626</v>
      </c>
      <c r="Q919" s="2" t="s">
        <v>351</v>
      </c>
      <c r="R919" s="2">
        <v>30616</v>
      </c>
      <c r="S919" s="2">
        <v>30616</v>
      </c>
      <c r="T919" s="2" t="s">
        <v>691</v>
      </c>
      <c r="U919" s="2" t="s">
        <v>691</v>
      </c>
      <c r="V919" s="2" t="s">
        <v>716</v>
      </c>
      <c r="W919" s="2" t="s">
        <v>691</v>
      </c>
      <c r="X919" s="2" t="s">
        <v>6241</v>
      </c>
      <c r="Y919" s="2" t="s">
        <v>6242</v>
      </c>
      <c r="Z919" s="2">
        <v>27135345</v>
      </c>
      <c r="AB919" s="2" t="s">
        <v>984</v>
      </c>
      <c r="AC919" s="2" t="s">
        <v>632</v>
      </c>
      <c r="AK919" s="2">
        <v>1</v>
      </c>
      <c r="AL919" s="2" t="s">
        <v>633</v>
      </c>
      <c r="AM919" s="2">
        <v>0</v>
      </c>
      <c r="AN919" s="2">
        <v>0</v>
      </c>
      <c r="AO919" s="2">
        <v>1</v>
      </c>
      <c r="AP919" s="2">
        <v>0</v>
      </c>
      <c r="AQ919" s="2">
        <v>0</v>
      </c>
      <c r="AR919" s="2">
        <v>0</v>
      </c>
      <c r="AS919" s="2">
        <v>0</v>
      </c>
      <c r="AT919" s="2">
        <v>0</v>
      </c>
      <c r="AZ919" s="2" t="s">
        <v>6243</v>
      </c>
      <c r="BB919" s="2" t="str">
        <f>+PROPER(BD[[#This Row],[PRIMER_APELLIDO]])</f>
        <v>Morales</v>
      </c>
    </row>
    <row r="920" spans="1:54" x14ac:dyDescent="0.25">
      <c r="A920" s="2">
        <v>919</v>
      </c>
      <c r="B920" s="2">
        <v>43236</v>
      </c>
      <c r="C920" s="2" t="s">
        <v>619</v>
      </c>
      <c r="D920" s="2" t="s">
        <v>620</v>
      </c>
      <c r="E920" s="2" t="s">
        <v>6244</v>
      </c>
      <c r="F920" s="2">
        <v>24236919</v>
      </c>
      <c r="G920" s="3">
        <v>38.852054794520548</v>
      </c>
      <c r="H920" s="2" t="s">
        <v>622</v>
      </c>
      <c r="I920" s="2" t="s">
        <v>6245</v>
      </c>
      <c r="J920" s="2" t="str">
        <f>+IF(BD[[#This Row],[DEPARTAMENTO_INSS]]="MANAGUA","_01_","_02_")</f>
        <v>_01_</v>
      </c>
      <c r="K920" s="2" t="str">
        <f>+CONCATENATE(BD[[#This Row],[Columna3]],BD[[#This Row],[Columna4]],BD[[#This Row],[NOMBRE COMPLETO]])</f>
        <v>E003_01_DONALD ENOC GUEVARA CARRANZA</v>
      </c>
      <c r="L920" s="2" t="s">
        <v>3595</v>
      </c>
      <c r="M920" s="2" t="s">
        <v>6246</v>
      </c>
      <c r="N920" s="2" t="s">
        <v>51</v>
      </c>
      <c r="O920" s="2" t="s">
        <v>260</v>
      </c>
      <c r="P920" s="2" t="s">
        <v>649</v>
      </c>
      <c r="Q920" s="2" t="s">
        <v>351</v>
      </c>
      <c r="R920" s="2">
        <v>30615</v>
      </c>
      <c r="S920" s="2">
        <v>30615</v>
      </c>
      <c r="T920" s="2" t="s">
        <v>627</v>
      </c>
      <c r="U920" s="2" t="s">
        <v>627</v>
      </c>
      <c r="V920" s="2" t="s">
        <v>1498</v>
      </c>
      <c r="W920" s="2" t="s">
        <v>1498</v>
      </c>
      <c r="X920" s="2" t="s">
        <v>6247</v>
      </c>
      <c r="Y920" s="2" t="s">
        <v>6248</v>
      </c>
      <c r="Z920" s="2">
        <v>87758510</v>
      </c>
      <c r="AA920" s="2">
        <v>22202659</v>
      </c>
      <c r="AB920" s="2" t="s">
        <v>654</v>
      </c>
      <c r="AC920" s="2" t="s">
        <v>632</v>
      </c>
      <c r="AD920" s="2">
        <v>87758510</v>
      </c>
      <c r="AJ920" s="2">
        <v>87758510</v>
      </c>
      <c r="AK920" s="2">
        <v>2</v>
      </c>
      <c r="AL920" s="2" t="s">
        <v>633</v>
      </c>
      <c r="AM920" s="2">
        <v>0</v>
      </c>
      <c r="AN920" s="2">
        <v>0</v>
      </c>
      <c r="AO920" s="2">
        <v>1</v>
      </c>
      <c r="AP920" s="2">
        <v>0</v>
      </c>
      <c r="AQ920" s="2">
        <v>0</v>
      </c>
      <c r="AR920" s="2">
        <v>0</v>
      </c>
      <c r="AS920" s="2">
        <v>0</v>
      </c>
      <c r="AT920" s="2">
        <v>0</v>
      </c>
      <c r="AZ920" s="2" t="s">
        <v>6249</v>
      </c>
      <c r="BB920" s="2" t="str">
        <f>+PROPER(BD[[#This Row],[PRIMER_APELLIDO]])</f>
        <v>Guevara</v>
      </c>
    </row>
    <row r="921" spans="1:54" x14ac:dyDescent="0.25">
      <c r="A921" s="2">
        <v>920</v>
      </c>
      <c r="B921" s="2">
        <v>30303</v>
      </c>
      <c r="C921" s="2" t="s">
        <v>619</v>
      </c>
      <c r="D921" s="2" t="s">
        <v>620</v>
      </c>
      <c r="E921" s="2" t="s">
        <v>6250</v>
      </c>
      <c r="F921" s="2">
        <v>21717992</v>
      </c>
      <c r="G921" s="3">
        <v>38.863013698630134</v>
      </c>
      <c r="H921" s="2" t="s">
        <v>622</v>
      </c>
      <c r="I921" s="2" t="s">
        <v>6251</v>
      </c>
      <c r="J921" s="2" t="str">
        <f>+IF(BD[[#This Row],[DEPARTAMENTO_INSS]]="MANAGUA","_01_","_02_")</f>
        <v>_02_</v>
      </c>
      <c r="K921" s="2" t="str">
        <f>+CONCATENATE(BD[[#This Row],[Columna3]],BD[[#This Row],[Columna4]],BD[[#This Row],[NOMBRE COMPLETO]])</f>
        <v>E003_02_ERICKA YESENIA BACA VARGAS</v>
      </c>
      <c r="L921" s="2" t="s">
        <v>4496</v>
      </c>
      <c r="M921" s="2" t="s">
        <v>4975</v>
      </c>
      <c r="N921" s="2" t="s">
        <v>123</v>
      </c>
      <c r="O921" s="2" t="s">
        <v>34</v>
      </c>
      <c r="P921" s="2" t="s">
        <v>626</v>
      </c>
      <c r="Q921" s="2" t="s">
        <v>351</v>
      </c>
      <c r="R921" s="2">
        <v>30611</v>
      </c>
      <c r="S921" s="2">
        <v>30611</v>
      </c>
      <c r="T921" s="2" t="s">
        <v>176</v>
      </c>
      <c r="U921" s="2" t="s">
        <v>176</v>
      </c>
      <c r="V921" s="2" t="s">
        <v>650</v>
      </c>
      <c r="W921" s="2" t="s">
        <v>176</v>
      </c>
      <c r="X921" s="2" t="s">
        <v>6252</v>
      </c>
      <c r="Y921" s="2" t="s">
        <v>6253</v>
      </c>
      <c r="Z921" s="2">
        <v>86144331</v>
      </c>
      <c r="AA921" s="2">
        <v>88500289</v>
      </c>
      <c r="AB921" s="2" t="s">
        <v>642</v>
      </c>
      <c r="AC921" s="2" t="s">
        <v>632</v>
      </c>
      <c r="AD921" s="2">
        <v>86144331</v>
      </c>
      <c r="AF921" s="2">
        <v>88500289</v>
      </c>
      <c r="AJ921" s="2">
        <v>86144331</v>
      </c>
      <c r="AK921" s="2">
        <v>2</v>
      </c>
      <c r="AL921" s="2" t="s">
        <v>633</v>
      </c>
      <c r="AM921" s="2">
        <v>0</v>
      </c>
      <c r="AN921" s="2">
        <v>0</v>
      </c>
      <c r="AO921" s="2">
        <v>1</v>
      </c>
      <c r="AP921" s="2">
        <v>0</v>
      </c>
      <c r="AQ921" s="2">
        <v>0</v>
      </c>
      <c r="AR921" s="2">
        <v>0</v>
      </c>
      <c r="AS921" s="2">
        <v>0</v>
      </c>
      <c r="AT921" s="2">
        <v>0</v>
      </c>
      <c r="BB921" s="2" t="str">
        <f>+PROPER(BD[[#This Row],[PRIMER_APELLIDO]])</f>
        <v>Baca</v>
      </c>
    </row>
    <row r="922" spans="1:54" x14ac:dyDescent="0.25">
      <c r="A922" s="2">
        <v>921</v>
      </c>
      <c r="B922" s="2">
        <v>29589</v>
      </c>
      <c r="C922" s="2" t="s">
        <v>619</v>
      </c>
      <c r="D922" s="2" t="s">
        <v>620</v>
      </c>
      <c r="E922" s="2" t="s">
        <v>6254</v>
      </c>
      <c r="F922" s="2">
        <v>21676156</v>
      </c>
      <c r="G922" s="3">
        <v>38.865753424657534</v>
      </c>
      <c r="H922" s="2" t="s">
        <v>622</v>
      </c>
      <c r="I922" s="2" t="s">
        <v>6255</v>
      </c>
      <c r="J922" s="2" t="str">
        <f>+IF(BD[[#This Row],[DEPARTAMENTO_INSS]]="MANAGUA","_01_","_02_")</f>
        <v>_02_</v>
      </c>
      <c r="K922" s="2" t="str">
        <f>+CONCATENATE(BD[[#This Row],[Columna3]],BD[[#This Row],[Columna4]],BD[[#This Row],[NOMBRE COMPLETO]])</f>
        <v>E003_02_ELMA TATIANA SANDOVAL TALAVERA</v>
      </c>
      <c r="L922" s="2" t="s">
        <v>6256</v>
      </c>
      <c r="M922" s="2" t="s">
        <v>3023</v>
      </c>
      <c r="N922" s="2" t="s">
        <v>64</v>
      </c>
      <c r="O922" s="2" t="s">
        <v>31</v>
      </c>
      <c r="P922" s="2" t="s">
        <v>626</v>
      </c>
      <c r="Q922" s="2" t="s">
        <v>351</v>
      </c>
      <c r="R922" s="2">
        <v>30610</v>
      </c>
      <c r="S922" s="2">
        <v>30610</v>
      </c>
      <c r="U922" s="2" t="s">
        <v>691</v>
      </c>
      <c r="W922" s="2" t="s">
        <v>691</v>
      </c>
      <c r="X922" s="2" t="s">
        <v>6257</v>
      </c>
      <c r="Y922" s="2" t="s">
        <v>6258</v>
      </c>
      <c r="AA922" s="2">
        <v>27130542</v>
      </c>
      <c r="AB922" s="2" t="s">
        <v>654</v>
      </c>
      <c r="AC922" s="2" t="s">
        <v>632</v>
      </c>
      <c r="AK922" s="2">
        <v>1</v>
      </c>
      <c r="AL922" s="2" t="s">
        <v>633</v>
      </c>
      <c r="AM922" s="2">
        <v>0</v>
      </c>
      <c r="AN922" s="2">
        <v>0</v>
      </c>
      <c r="AO922" s="2">
        <v>1</v>
      </c>
      <c r="AP922" s="2">
        <v>0</v>
      </c>
      <c r="AQ922" s="2">
        <v>0</v>
      </c>
      <c r="AR922" s="2">
        <v>0</v>
      </c>
      <c r="AS922" s="2">
        <v>0</v>
      </c>
      <c r="AT922" s="2">
        <v>0</v>
      </c>
      <c r="BB922" s="2" t="str">
        <f>+PROPER(BD[[#This Row],[PRIMER_APELLIDO]])</f>
        <v>Sandoval</v>
      </c>
    </row>
    <row r="923" spans="1:54" x14ac:dyDescent="0.25">
      <c r="A923" s="2">
        <v>922</v>
      </c>
      <c r="B923" s="2">
        <v>77805</v>
      </c>
      <c r="C923" s="2" t="s">
        <v>619</v>
      </c>
      <c r="D923" s="2" t="s">
        <v>620</v>
      </c>
      <c r="E923" s="2" t="s">
        <v>6259</v>
      </c>
      <c r="G923" s="3">
        <v>38.868493150684934</v>
      </c>
      <c r="H923" s="2" t="s">
        <v>622</v>
      </c>
      <c r="I923" s="2" t="s">
        <v>6260</v>
      </c>
      <c r="J923" s="2" t="str">
        <f>+IF(BD[[#This Row],[DEPARTAMENTO_INSS]]="MANAGUA","_01_","_02_")</f>
        <v>_02_</v>
      </c>
      <c r="K923" s="2" t="str">
        <f>+CONCATENATE(BD[[#This Row],[Columna3]],BD[[#This Row],[Columna4]],BD[[#This Row],[NOMBRE COMPLETO]])</f>
        <v>E003_02_JESSENIA LILLY JARQUIN ROMERO</v>
      </c>
      <c r="L923" s="2" t="s">
        <v>1119</v>
      </c>
      <c r="M923" s="2" t="s">
        <v>6261</v>
      </c>
      <c r="N923" s="2" t="s">
        <v>85</v>
      </c>
      <c r="O923" s="2" t="s">
        <v>41</v>
      </c>
      <c r="P923" s="2" t="s">
        <v>626</v>
      </c>
      <c r="Q923" s="2" t="s">
        <v>351</v>
      </c>
      <c r="R923" s="2">
        <v>30609</v>
      </c>
      <c r="S923" s="2">
        <v>30609</v>
      </c>
      <c r="T923" s="2" t="s">
        <v>732</v>
      </c>
      <c r="U923" s="2" t="s">
        <v>732</v>
      </c>
      <c r="V923" s="2" t="s">
        <v>732</v>
      </c>
      <c r="W923" s="2" t="s">
        <v>732</v>
      </c>
      <c r="X923" s="2" t="s">
        <v>6262</v>
      </c>
      <c r="Y923" s="2" t="s">
        <v>6263</v>
      </c>
      <c r="Z923" s="2">
        <v>82330205</v>
      </c>
      <c r="AB923" s="2" t="s">
        <v>6264</v>
      </c>
      <c r="AC923" s="2" t="s">
        <v>632</v>
      </c>
      <c r="AD923" s="2">
        <v>82330205</v>
      </c>
      <c r="AJ923" s="2">
        <v>82330205</v>
      </c>
      <c r="AK923" s="2">
        <v>1</v>
      </c>
      <c r="AL923" s="2" t="s">
        <v>633</v>
      </c>
      <c r="AM923" s="2">
        <v>0</v>
      </c>
      <c r="AN923" s="2">
        <v>0</v>
      </c>
      <c r="AO923" s="2">
        <v>1</v>
      </c>
      <c r="AP923" s="2">
        <v>0</v>
      </c>
      <c r="AQ923" s="2">
        <v>0</v>
      </c>
      <c r="AR923" s="2">
        <v>0</v>
      </c>
      <c r="AS923" s="2">
        <v>0</v>
      </c>
      <c r="AT923" s="2">
        <v>0</v>
      </c>
      <c r="AZ923" s="2" t="s">
        <v>6265</v>
      </c>
      <c r="BB923" s="2" t="str">
        <f>+PROPER(BD[[#This Row],[PRIMER_APELLIDO]])</f>
        <v>Jarquin</v>
      </c>
    </row>
    <row r="924" spans="1:54" x14ac:dyDescent="0.25">
      <c r="A924" s="2">
        <v>923</v>
      </c>
      <c r="B924" s="2">
        <v>50516</v>
      </c>
      <c r="C924" s="2" t="s">
        <v>619</v>
      </c>
      <c r="D924" s="2" t="s">
        <v>620</v>
      </c>
      <c r="E924" s="2" t="s">
        <v>6266</v>
      </c>
      <c r="F924" s="2">
        <v>16515314</v>
      </c>
      <c r="G924" s="3">
        <v>38.871232876712327</v>
      </c>
      <c r="H924" s="2" t="s">
        <v>622</v>
      </c>
      <c r="I924" s="2" t="s">
        <v>6267</v>
      </c>
      <c r="J924" s="2" t="str">
        <f>+IF(BD[[#This Row],[DEPARTAMENTO_INSS]]="MANAGUA","_01_","_02_")</f>
        <v>_02_</v>
      </c>
      <c r="K924" s="2" t="str">
        <f>+CONCATENATE(BD[[#This Row],[Columna3]],BD[[#This Row],[Columna4]],BD[[#This Row],[NOMBRE COMPLETO]])</f>
        <v>E003_02_ISAAC ZELEDON TORREZ</v>
      </c>
      <c r="L924" s="2" t="s">
        <v>4183</v>
      </c>
      <c r="N924" s="2" t="s">
        <v>151</v>
      </c>
      <c r="O924" s="2" t="s">
        <v>158</v>
      </c>
      <c r="P924" s="2" t="s">
        <v>649</v>
      </c>
      <c r="Q924" s="2" t="s">
        <v>351</v>
      </c>
      <c r="R924" s="2">
        <v>30608</v>
      </c>
      <c r="S924" s="2">
        <v>30608</v>
      </c>
      <c r="T924" s="2" t="s">
        <v>1104</v>
      </c>
      <c r="U924" s="2" t="s">
        <v>1104</v>
      </c>
      <c r="V924" s="2" t="s">
        <v>1738</v>
      </c>
      <c r="W924" s="2" t="s">
        <v>6268</v>
      </c>
      <c r="X924" s="2" t="s">
        <v>6269</v>
      </c>
      <c r="Y924" s="2" t="s">
        <v>6270</v>
      </c>
      <c r="Z924" s="2">
        <v>57979633</v>
      </c>
      <c r="AA924" s="2">
        <v>57979633</v>
      </c>
      <c r="AB924" s="2" t="s">
        <v>798</v>
      </c>
      <c r="AC924" s="2" t="s">
        <v>632</v>
      </c>
      <c r="AD924" s="2">
        <v>57979633</v>
      </c>
      <c r="AJ924" s="2">
        <v>57979633</v>
      </c>
      <c r="AK924" s="2">
        <v>2</v>
      </c>
      <c r="AL924" s="2" t="s">
        <v>633</v>
      </c>
      <c r="AM924" s="2">
        <v>0</v>
      </c>
      <c r="AN924" s="2">
        <v>0</v>
      </c>
      <c r="AO924" s="2">
        <v>1</v>
      </c>
      <c r="AP924" s="2">
        <v>0</v>
      </c>
      <c r="AQ924" s="2">
        <v>0</v>
      </c>
      <c r="AR924" s="2">
        <v>0</v>
      </c>
      <c r="AS924" s="2">
        <v>0</v>
      </c>
      <c r="AT924" s="2">
        <v>0</v>
      </c>
      <c r="BB924" s="2" t="str">
        <f>+PROPER(BD[[#This Row],[PRIMER_APELLIDO]])</f>
        <v>Zeledon</v>
      </c>
    </row>
    <row r="925" spans="1:54" x14ac:dyDescent="0.25">
      <c r="A925" s="2">
        <v>924</v>
      </c>
      <c r="B925" s="2">
        <v>24810</v>
      </c>
      <c r="C925" s="2" t="s">
        <v>619</v>
      </c>
      <c r="D925" s="2" t="s">
        <v>620</v>
      </c>
      <c r="E925" s="2" t="s">
        <v>6271</v>
      </c>
      <c r="F925" s="2">
        <v>20698278</v>
      </c>
      <c r="G925" s="3">
        <v>38.890410958904113</v>
      </c>
      <c r="H925" s="2" t="s">
        <v>622</v>
      </c>
      <c r="I925" s="2" t="s">
        <v>6272</v>
      </c>
      <c r="J925" s="2" t="str">
        <f>+IF(BD[[#This Row],[DEPARTAMENTO_INSS]]="MANAGUA","_01_","_02_")</f>
        <v>_01_</v>
      </c>
      <c r="K925" s="2" t="str">
        <f>+CONCATENATE(BD[[#This Row],[Columna3]],BD[[#This Row],[Columna4]],BD[[#This Row],[NOMBRE COMPLETO]])</f>
        <v>E003_01_MARIA ADILIA RUIZ RODRIGUEZ</v>
      </c>
      <c r="L925" s="2" t="s">
        <v>724</v>
      </c>
      <c r="M925" s="2" t="s">
        <v>2164</v>
      </c>
      <c r="N925" s="2" t="s">
        <v>84</v>
      </c>
      <c r="O925" s="2" t="s">
        <v>185</v>
      </c>
      <c r="P925" s="2" t="s">
        <v>626</v>
      </c>
      <c r="Q925" s="2" t="s">
        <v>6273</v>
      </c>
      <c r="R925" s="2">
        <v>30601</v>
      </c>
      <c r="S925" s="2">
        <v>30601</v>
      </c>
      <c r="T925" s="2" t="s">
        <v>627</v>
      </c>
      <c r="U925" s="2" t="s">
        <v>627</v>
      </c>
      <c r="V925" s="2" t="s">
        <v>627</v>
      </c>
      <c r="W925" s="2" t="s">
        <v>627</v>
      </c>
      <c r="X925" s="2" t="s">
        <v>6274</v>
      </c>
      <c r="Y925" s="2" t="s">
        <v>6275</v>
      </c>
      <c r="AA925" s="2">
        <v>22789361</v>
      </c>
      <c r="AB925" s="2" t="s">
        <v>654</v>
      </c>
      <c r="AC925" s="2" t="s">
        <v>632</v>
      </c>
      <c r="AK925" s="2">
        <v>1</v>
      </c>
      <c r="AL925" s="2" t="s">
        <v>633</v>
      </c>
      <c r="AM925" s="2">
        <v>0</v>
      </c>
      <c r="AN925" s="2">
        <v>0</v>
      </c>
      <c r="AO925" s="2">
        <v>1</v>
      </c>
      <c r="AP925" s="2">
        <v>0</v>
      </c>
      <c r="AQ925" s="2">
        <v>0</v>
      </c>
      <c r="AR925" s="2">
        <v>0</v>
      </c>
      <c r="AS925" s="2">
        <v>0</v>
      </c>
      <c r="AT925" s="2">
        <v>0</v>
      </c>
      <c r="BB925" s="2" t="str">
        <f>+PROPER(BD[[#This Row],[PRIMER_APELLIDO]])</f>
        <v>Ruiz</v>
      </c>
    </row>
    <row r="926" spans="1:54" x14ac:dyDescent="0.25">
      <c r="A926" s="2">
        <v>925</v>
      </c>
      <c r="B926" s="2">
        <v>30193</v>
      </c>
      <c r="C926" s="2" t="s">
        <v>619</v>
      </c>
      <c r="D926" s="2" t="s">
        <v>620</v>
      </c>
      <c r="E926" s="2" t="s">
        <v>6276</v>
      </c>
      <c r="F926" s="2">
        <v>21680234</v>
      </c>
      <c r="G926" s="3">
        <v>38.893150684931506</v>
      </c>
      <c r="H926" s="2" t="s">
        <v>622</v>
      </c>
      <c r="I926" s="2" t="s">
        <v>6277</v>
      </c>
      <c r="J926" s="2" t="str">
        <f>+IF(BD[[#This Row],[DEPARTAMENTO_INSS]]="MANAGUA","_01_","_02_")</f>
        <v>_02_</v>
      </c>
      <c r="K926" s="2" t="str">
        <f>+CONCATENATE(BD[[#This Row],[Columna3]],BD[[#This Row],[Columna4]],BD[[#This Row],[NOMBRE COMPLETO]])</f>
        <v>E003_02_ROXANA MARCELA VEGAS SALAZAR</v>
      </c>
      <c r="L926" s="2" t="s">
        <v>4484</v>
      </c>
      <c r="M926" s="2" t="s">
        <v>1962</v>
      </c>
      <c r="N926" s="2" t="s">
        <v>224</v>
      </c>
      <c r="O926" s="2" t="s">
        <v>165</v>
      </c>
      <c r="P926" s="2" t="s">
        <v>626</v>
      </c>
      <c r="Q926" s="2" t="s">
        <v>351</v>
      </c>
      <c r="R926" s="2">
        <v>30600</v>
      </c>
      <c r="S926" s="2">
        <v>30600</v>
      </c>
      <c r="T926" s="2" t="s">
        <v>627</v>
      </c>
      <c r="U926" s="2" t="s">
        <v>176</v>
      </c>
      <c r="V926" s="2" t="s">
        <v>627</v>
      </c>
      <c r="W926" s="2" t="s">
        <v>176</v>
      </c>
      <c r="X926" s="2" t="s">
        <v>6278</v>
      </c>
      <c r="Y926" s="2" t="s">
        <v>6279</v>
      </c>
      <c r="Z926" s="2">
        <v>77311105</v>
      </c>
      <c r="AB926" s="2" t="s">
        <v>642</v>
      </c>
      <c r="AC926" s="2" t="s">
        <v>632</v>
      </c>
      <c r="AD926" s="2">
        <v>77311105</v>
      </c>
      <c r="AJ926" s="2">
        <v>77311105</v>
      </c>
      <c r="AK926" s="2">
        <v>1</v>
      </c>
      <c r="AL926" s="2" t="s">
        <v>633</v>
      </c>
      <c r="AM926" s="2">
        <v>0</v>
      </c>
      <c r="AN926" s="2">
        <v>0</v>
      </c>
      <c r="AO926" s="2">
        <v>1</v>
      </c>
      <c r="AP926" s="2">
        <v>0</v>
      </c>
      <c r="AQ926" s="2">
        <v>0</v>
      </c>
      <c r="AR926" s="2">
        <v>0</v>
      </c>
      <c r="AS926" s="2">
        <v>0</v>
      </c>
      <c r="AT926" s="2">
        <v>0</v>
      </c>
      <c r="AZ926" s="2" t="s">
        <v>6280</v>
      </c>
      <c r="BB926" s="2" t="str">
        <f>+PROPER(BD[[#This Row],[PRIMER_APELLIDO]])</f>
        <v>Vegas</v>
      </c>
    </row>
    <row r="927" spans="1:54" x14ac:dyDescent="0.25">
      <c r="A927" s="2">
        <v>926</v>
      </c>
      <c r="B927" s="2">
        <v>53781</v>
      </c>
      <c r="C927" s="2" t="s">
        <v>619</v>
      </c>
      <c r="D927" s="2" t="s">
        <v>620</v>
      </c>
      <c r="E927" s="2" t="s">
        <v>6281</v>
      </c>
      <c r="G927" s="3">
        <v>38.893150684931506</v>
      </c>
      <c r="H927" s="2" t="s">
        <v>622</v>
      </c>
      <c r="I927" s="2" t="s">
        <v>6282</v>
      </c>
      <c r="J927" s="2" t="str">
        <f>+IF(BD[[#This Row],[DEPARTAMENTO_INSS]]="MANAGUA","_01_","_02_")</f>
        <v>_02_</v>
      </c>
      <c r="K927" s="2" t="str">
        <f>+CONCATENATE(BD[[#This Row],[Columna3]],BD[[#This Row],[Columna4]],BD[[#This Row],[NOMBRE COMPLETO]])</f>
        <v>E003_02_JOSE SAMUEL ARAUJO GARACHE</v>
      </c>
      <c r="L927" s="2" t="s">
        <v>243</v>
      </c>
      <c r="M927" s="2" t="s">
        <v>6283</v>
      </c>
      <c r="N927" s="2" t="s">
        <v>393</v>
      </c>
      <c r="O927" s="2" t="s">
        <v>6284</v>
      </c>
      <c r="P927" s="2" t="s">
        <v>649</v>
      </c>
      <c r="Q927" s="2" t="s">
        <v>351</v>
      </c>
      <c r="R927" s="2">
        <v>30600</v>
      </c>
      <c r="S927" s="2">
        <v>30600</v>
      </c>
      <c r="T927" s="2" t="s">
        <v>705</v>
      </c>
      <c r="U927" s="2" t="s">
        <v>705</v>
      </c>
      <c r="V927" s="2" t="s">
        <v>705</v>
      </c>
      <c r="W927" s="2" t="s">
        <v>705</v>
      </c>
      <c r="X927" s="2" t="s">
        <v>6285</v>
      </c>
      <c r="Y927" s="2" t="s">
        <v>6286</v>
      </c>
      <c r="Z927" s="2">
        <v>87692780</v>
      </c>
      <c r="AA927" s="2">
        <v>87692780</v>
      </c>
      <c r="AB927" s="2" t="s">
        <v>798</v>
      </c>
      <c r="AC927" s="2" t="s">
        <v>632</v>
      </c>
      <c r="AD927" s="2">
        <v>87692780</v>
      </c>
      <c r="AJ927" s="2">
        <v>87692780</v>
      </c>
      <c r="AK927" s="2">
        <v>2</v>
      </c>
      <c r="AL927" s="2" t="s">
        <v>633</v>
      </c>
      <c r="AM927" s="2">
        <v>0</v>
      </c>
      <c r="AN927" s="2">
        <v>0</v>
      </c>
      <c r="AO927" s="2">
        <v>1</v>
      </c>
      <c r="AP927" s="2">
        <v>0</v>
      </c>
      <c r="AQ927" s="2">
        <v>0</v>
      </c>
      <c r="AR927" s="2">
        <v>0</v>
      </c>
      <c r="AS927" s="2">
        <v>0</v>
      </c>
      <c r="AT927" s="2">
        <v>0</v>
      </c>
      <c r="AZ927" s="2" t="s">
        <v>6287</v>
      </c>
      <c r="BB927" s="2" t="str">
        <f>+PROPER(BD[[#This Row],[PRIMER_APELLIDO]])</f>
        <v>Araujo</v>
      </c>
    </row>
    <row r="928" spans="1:54" x14ac:dyDescent="0.25">
      <c r="A928" s="2">
        <v>927</v>
      </c>
      <c r="B928" s="2">
        <v>25988</v>
      </c>
      <c r="C928" s="2" t="s">
        <v>619</v>
      </c>
      <c r="D928" s="2" t="s">
        <v>620</v>
      </c>
      <c r="E928" s="2" t="s">
        <v>6288</v>
      </c>
      <c r="F928" s="2">
        <v>22137410</v>
      </c>
      <c r="G928" s="3">
        <v>38.898630136986299</v>
      </c>
      <c r="H928" s="2" t="s">
        <v>622</v>
      </c>
      <c r="I928" s="2" t="s">
        <v>6289</v>
      </c>
      <c r="J928" s="2" t="str">
        <f>+IF(BD[[#This Row],[DEPARTAMENTO_INSS]]="MANAGUA","_01_","_02_")</f>
        <v>_01_</v>
      </c>
      <c r="K928" s="2" t="str">
        <f>+CONCATENATE(BD[[#This Row],[Columna3]],BD[[#This Row],[Columna4]],BD[[#This Row],[NOMBRE COMPLETO]])</f>
        <v>E003_01_JEZAREL OVIDIO MAYORGA GUTIERREZ</v>
      </c>
      <c r="L928" s="2" t="s">
        <v>6290</v>
      </c>
      <c r="M928" s="2" t="s">
        <v>6291</v>
      </c>
      <c r="N928" s="2" t="s">
        <v>53</v>
      </c>
      <c r="O928" s="2" t="s">
        <v>171</v>
      </c>
      <c r="P928" s="2" t="s">
        <v>649</v>
      </c>
      <c r="Q928" s="2" t="s">
        <v>351</v>
      </c>
      <c r="R928" s="2">
        <v>30598</v>
      </c>
      <c r="S928" s="2">
        <v>30598</v>
      </c>
      <c r="U928" s="2" t="s">
        <v>627</v>
      </c>
      <c r="W928" s="2" t="s">
        <v>627</v>
      </c>
      <c r="X928" s="2" t="s">
        <v>6292</v>
      </c>
      <c r="Y928" s="2" t="s">
        <v>6293</v>
      </c>
      <c r="AA928" s="2" t="s">
        <v>6294</v>
      </c>
      <c r="AB928" s="2" t="s">
        <v>654</v>
      </c>
      <c r="AC928" s="2" t="s">
        <v>632</v>
      </c>
      <c r="AE928" s="2">
        <v>86771158</v>
      </c>
      <c r="AJ928" s="2">
        <v>86771158</v>
      </c>
      <c r="AK928" s="2">
        <v>2</v>
      </c>
      <c r="AL928" s="2" t="s">
        <v>633</v>
      </c>
      <c r="AM928" s="2">
        <v>0</v>
      </c>
      <c r="AN928" s="2">
        <v>0</v>
      </c>
      <c r="AO928" s="2">
        <v>1</v>
      </c>
      <c r="AP928" s="2">
        <v>0</v>
      </c>
      <c r="AQ928" s="2">
        <v>0</v>
      </c>
      <c r="AR928" s="2">
        <v>0</v>
      </c>
      <c r="AS928" s="2">
        <v>0</v>
      </c>
      <c r="AT928" s="2">
        <v>0</v>
      </c>
      <c r="BB928" s="2" t="str">
        <f>+PROPER(BD[[#This Row],[PRIMER_APELLIDO]])</f>
        <v>Mayorga</v>
      </c>
    </row>
    <row r="929" spans="1:54" x14ac:dyDescent="0.25">
      <c r="A929" s="2">
        <v>928</v>
      </c>
      <c r="B929" s="2">
        <v>39186</v>
      </c>
      <c r="C929" s="2" t="s">
        <v>619</v>
      </c>
      <c r="D929" s="2" t="s">
        <v>620</v>
      </c>
      <c r="E929" s="2" t="s">
        <v>6295</v>
      </c>
      <c r="F929" s="2">
        <v>24709066</v>
      </c>
      <c r="G929" s="3">
        <v>38.901369863013699</v>
      </c>
      <c r="H929" s="2" t="s">
        <v>622</v>
      </c>
      <c r="I929" s="2" t="s">
        <v>6296</v>
      </c>
      <c r="J929" s="2" t="str">
        <f>+IF(BD[[#This Row],[DEPARTAMENTO_INSS]]="MANAGUA","_01_","_02_")</f>
        <v>_02_</v>
      </c>
      <c r="K929" s="2" t="str">
        <f>+CONCATENATE(BD[[#This Row],[Columna3]],BD[[#This Row],[Columna4]],BD[[#This Row],[NOMBRE COMPLETO]])</f>
        <v>E003_02_YAMILETH DEL SOCORRO GUTIERREZ MAIRENA</v>
      </c>
      <c r="L929" s="2" t="s">
        <v>1895</v>
      </c>
      <c r="M929" s="2" t="s">
        <v>787</v>
      </c>
      <c r="N929" s="2" t="s">
        <v>171</v>
      </c>
      <c r="O929" s="2" t="s">
        <v>427</v>
      </c>
      <c r="P929" s="2" t="s">
        <v>626</v>
      </c>
      <c r="Q929" s="2" t="s">
        <v>351</v>
      </c>
      <c r="R929" s="2">
        <v>30597</v>
      </c>
      <c r="S929" s="2">
        <v>30597</v>
      </c>
      <c r="T929" s="2" t="s">
        <v>176</v>
      </c>
      <c r="U929" s="2" t="s">
        <v>176</v>
      </c>
      <c r="V929" s="2" t="s">
        <v>897</v>
      </c>
      <c r="W929" s="2" t="s">
        <v>897</v>
      </c>
      <c r="X929" s="2" t="s">
        <v>6297</v>
      </c>
      <c r="Y929" s="2" t="s">
        <v>6298</v>
      </c>
      <c r="Z929" s="2">
        <v>86500639</v>
      </c>
      <c r="AA929" s="2">
        <v>23192489</v>
      </c>
      <c r="AB929" s="2" t="s">
        <v>642</v>
      </c>
      <c r="AC929" s="2" t="s">
        <v>632</v>
      </c>
      <c r="AD929" s="2">
        <v>86500639</v>
      </c>
      <c r="AJ929" s="2">
        <v>86500639</v>
      </c>
      <c r="AK929" s="2">
        <v>2</v>
      </c>
      <c r="AL929" s="2" t="s">
        <v>633</v>
      </c>
      <c r="AM929" s="2">
        <v>0</v>
      </c>
      <c r="AN929" s="2">
        <v>0</v>
      </c>
      <c r="AO929" s="2">
        <v>1</v>
      </c>
      <c r="AP929" s="2">
        <v>0</v>
      </c>
      <c r="AQ929" s="2">
        <v>0</v>
      </c>
      <c r="AR929" s="2">
        <v>0</v>
      </c>
      <c r="AS929" s="2">
        <v>0</v>
      </c>
      <c r="AT929" s="2">
        <v>0</v>
      </c>
      <c r="AZ929" s="2" t="s">
        <v>6299</v>
      </c>
      <c r="BB929" s="2" t="str">
        <f>+PROPER(BD[[#This Row],[PRIMER_APELLIDO]])</f>
        <v>Gutierrez</v>
      </c>
    </row>
    <row r="930" spans="1:54" x14ac:dyDescent="0.25">
      <c r="A930" s="2">
        <v>929</v>
      </c>
      <c r="B930" s="2">
        <v>51040</v>
      </c>
      <c r="C930" s="2" t="s">
        <v>619</v>
      </c>
      <c r="D930" s="2" t="s">
        <v>620</v>
      </c>
      <c r="E930" s="2" t="s">
        <v>6300</v>
      </c>
      <c r="F930" s="2">
        <v>15147819</v>
      </c>
      <c r="G930" s="3">
        <v>38.904109589041099</v>
      </c>
      <c r="H930" s="2" t="s">
        <v>622</v>
      </c>
      <c r="I930" s="2" t="s">
        <v>6301</v>
      </c>
      <c r="J930" s="2" t="str">
        <f>+IF(BD[[#This Row],[DEPARTAMENTO_INSS]]="MANAGUA","_01_","_02_")</f>
        <v>_01_</v>
      </c>
      <c r="K930" s="2" t="str">
        <f>+CONCATENATE(BD[[#This Row],[Columna3]],BD[[#This Row],[Columna4]],BD[[#This Row],[NOMBRE COMPLETO]])</f>
        <v>E003_01_GLADYS TAMARA VALLE CALERO</v>
      </c>
      <c r="L930" s="2" t="s">
        <v>1198</v>
      </c>
      <c r="M930" s="2" t="s">
        <v>1405</v>
      </c>
      <c r="N930" s="2" t="s">
        <v>99</v>
      </c>
      <c r="O930" s="2" t="s">
        <v>80</v>
      </c>
      <c r="P930" s="2" t="s">
        <v>626</v>
      </c>
      <c r="Q930" s="2" t="s">
        <v>351</v>
      </c>
      <c r="R930" s="2">
        <v>30596</v>
      </c>
      <c r="S930" s="2">
        <v>30596</v>
      </c>
      <c r="T930" s="2" t="s">
        <v>627</v>
      </c>
      <c r="U930" s="2" t="s">
        <v>627</v>
      </c>
      <c r="V930" s="2" t="s">
        <v>1498</v>
      </c>
      <c r="W930" s="2" t="s">
        <v>1498</v>
      </c>
      <c r="X930" s="2" t="s">
        <v>6302</v>
      </c>
      <c r="Y930" s="2" t="s">
        <v>6303</v>
      </c>
      <c r="Z930" s="2">
        <v>87276574</v>
      </c>
      <c r="AA930" s="2">
        <v>83399762</v>
      </c>
      <c r="AB930" s="2" t="s">
        <v>631</v>
      </c>
      <c r="AC930" s="2" t="s">
        <v>632</v>
      </c>
      <c r="AD930" s="2">
        <v>87276574</v>
      </c>
      <c r="AF930" s="2">
        <v>83399762</v>
      </c>
      <c r="AJ930" s="2">
        <v>87276574</v>
      </c>
      <c r="AK930" s="2">
        <v>2</v>
      </c>
      <c r="AL930" s="2" t="s">
        <v>633</v>
      </c>
      <c r="AM930" s="2">
        <v>0</v>
      </c>
      <c r="AN930" s="2">
        <v>0</v>
      </c>
      <c r="AO930" s="2">
        <v>1</v>
      </c>
      <c r="AP930" s="2">
        <v>0</v>
      </c>
      <c r="AQ930" s="2">
        <v>0</v>
      </c>
      <c r="AR930" s="2">
        <v>0</v>
      </c>
      <c r="AS930" s="2">
        <v>0</v>
      </c>
      <c r="AT930" s="2">
        <v>0</v>
      </c>
      <c r="BB930" s="2" t="str">
        <f>+PROPER(BD[[#This Row],[PRIMER_APELLIDO]])</f>
        <v>Valle</v>
      </c>
    </row>
    <row r="931" spans="1:54" x14ac:dyDescent="0.25">
      <c r="A931" s="2">
        <v>930</v>
      </c>
      <c r="B931" s="2">
        <v>33189</v>
      </c>
      <c r="C931" s="2" t="s">
        <v>619</v>
      </c>
      <c r="D931" s="2" t="s">
        <v>620</v>
      </c>
      <c r="E931" s="2" t="s">
        <v>6304</v>
      </c>
      <c r="F931" s="2">
        <v>21726954</v>
      </c>
      <c r="G931" s="3">
        <v>38.906849315068492</v>
      </c>
      <c r="H931" s="2" t="s">
        <v>622</v>
      </c>
      <c r="I931" s="2" t="s">
        <v>6305</v>
      </c>
      <c r="J931" s="2" t="str">
        <f>+IF(BD[[#This Row],[DEPARTAMENTO_INSS]]="MANAGUA","_01_","_02_")</f>
        <v>_02_</v>
      </c>
      <c r="K931" s="2" t="str">
        <f>+CONCATENATE(BD[[#This Row],[Columna3]],BD[[#This Row],[Columna4]],BD[[#This Row],[NOMBRE COMPLETO]])</f>
        <v>E003_02_ENGELS ELIZABETH LOPEZ HERNANDEZ</v>
      </c>
      <c r="L931" s="2" t="s">
        <v>6306</v>
      </c>
      <c r="M931" s="2" t="s">
        <v>1881</v>
      </c>
      <c r="N931" s="2" t="s">
        <v>15</v>
      </c>
      <c r="O931" s="2" t="s">
        <v>11</v>
      </c>
      <c r="P931" s="2" t="s">
        <v>626</v>
      </c>
      <c r="Q931" s="2" t="s">
        <v>351</v>
      </c>
      <c r="R931" s="2">
        <v>30595</v>
      </c>
      <c r="S931" s="2">
        <v>30595</v>
      </c>
      <c r="T931" s="2" t="s">
        <v>176</v>
      </c>
      <c r="U931" s="2" t="s">
        <v>659</v>
      </c>
      <c r="V931" s="2" t="s">
        <v>650</v>
      </c>
      <c r="W931" s="2" t="s">
        <v>4547</v>
      </c>
      <c r="X931" s="2" t="s">
        <v>6307</v>
      </c>
      <c r="Y931" s="2" t="s">
        <v>6308</v>
      </c>
      <c r="Z931" s="2">
        <v>82721408</v>
      </c>
      <c r="AA931" s="2" t="s">
        <v>6309</v>
      </c>
      <c r="AB931" s="2" t="s">
        <v>654</v>
      </c>
      <c r="AC931" s="2" t="s">
        <v>632</v>
      </c>
      <c r="AD931" s="2">
        <v>82721408</v>
      </c>
      <c r="AE931" s="2">
        <v>86084080</v>
      </c>
      <c r="AH931" s="2">
        <v>82721408</v>
      </c>
      <c r="AJ931" s="2">
        <v>82721408</v>
      </c>
      <c r="AK931" s="2">
        <v>4</v>
      </c>
      <c r="AL931" s="2" t="s">
        <v>633</v>
      </c>
      <c r="AM931" s="2">
        <v>0</v>
      </c>
      <c r="AN931" s="2">
        <v>0</v>
      </c>
      <c r="AO931" s="2">
        <v>1</v>
      </c>
      <c r="AP931" s="2">
        <v>0</v>
      </c>
      <c r="AQ931" s="2">
        <v>0</v>
      </c>
      <c r="AR931" s="2">
        <v>0</v>
      </c>
      <c r="AS931" s="2">
        <v>0</v>
      </c>
      <c r="AT931" s="2">
        <v>0</v>
      </c>
      <c r="AZ931" s="2" t="s">
        <v>6310</v>
      </c>
      <c r="BB931" s="2" t="str">
        <f>+PROPER(BD[[#This Row],[PRIMER_APELLIDO]])</f>
        <v>Lopez</v>
      </c>
    </row>
    <row r="932" spans="1:54" x14ac:dyDescent="0.25">
      <c r="A932" s="2">
        <v>931</v>
      </c>
      <c r="B932" s="2">
        <v>49677</v>
      </c>
      <c r="C932" s="2" t="s">
        <v>619</v>
      </c>
      <c r="D932" s="2" t="s">
        <v>620</v>
      </c>
      <c r="E932" s="2" t="s">
        <v>6311</v>
      </c>
      <c r="F932" s="2">
        <v>31625601</v>
      </c>
      <c r="G932" s="3">
        <v>38.906849315068492</v>
      </c>
      <c r="H932" s="2" t="s">
        <v>622</v>
      </c>
      <c r="I932" s="2" t="s">
        <v>6312</v>
      </c>
      <c r="J932" s="2" t="str">
        <f>+IF(BD[[#This Row],[DEPARTAMENTO_INSS]]="MANAGUA","_01_","_02_")</f>
        <v>_02_</v>
      </c>
      <c r="K932" s="2" t="str">
        <f>+CONCATENATE(BD[[#This Row],[Columna3]],BD[[#This Row],[Columna4]],BD[[#This Row],[NOMBRE COMPLETO]])</f>
        <v>E003_02_MARTIR ENRIQUE RAMIREZ MARTINEZ</v>
      </c>
      <c r="L932" s="2" t="s">
        <v>6313</v>
      </c>
      <c r="M932" s="2" t="s">
        <v>1480</v>
      </c>
      <c r="N932" s="2" t="s">
        <v>38</v>
      </c>
      <c r="O932" s="2" t="s">
        <v>44</v>
      </c>
      <c r="P932" s="2" t="s">
        <v>649</v>
      </c>
      <c r="Q932" s="2" t="s">
        <v>351</v>
      </c>
      <c r="R932" s="2">
        <v>30595</v>
      </c>
      <c r="S932" s="2">
        <v>30595</v>
      </c>
      <c r="T932" s="2" t="s">
        <v>929</v>
      </c>
      <c r="U932" s="2" t="s">
        <v>929</v>
      </c>
      <c r="V932" s="2" t="s">
        <v>1653</v>
      </c>
      <c r="W932" s="2" t="s">
        <v>1653</v>
      </c>
      <c r="X932" s="2" t="s">
        <v>6314</v>
      </c>
      <c r="Y932" s="2" t="s">
        <v>6315</v>
      </c>
      <c r="Z932" s="2">
        <v>87024690</v>
      </c>
      <c r="AA932" s="2">
        <v>85486377</v>
      </c>
      <c r="AB932" s="2" t="s">
        <v>654</v>
      </c>
      <c r="AC932" s="2" t="s">
        <v>632</v>
      </c>
      <c r="AD932" s="2">
        <v>87024690</v>
      </c>
      <c r="AF932" s="2">
        <v>85486377</v>
      </c>
      <c r="AJ932" s="2">
        <v>87024690</v>
      </c>
      <c r="AK932" s="2">
        <v>2</v>
      </c>
      <c r="AL932" s="2" t="s">
        <v>633</v>
      </c>
      <c r="AM932" s="2">
        <v>0</v>
      </c>
      <c r="AN932" s="2">
        <v>0</v>
      </c>
      <c r="AO932" s="2">
        <v>1</v>
      </c>
      <c r="AP932" s="2">
        <v>0</v>
      </c>
      <c r="AQ932" s="2">
        <v>0</v>
      </c>
      <c r="AR932" s="2">
        <v>0</v>
      </c>
      <c r="AS932" s="2">
        <v>0</v>
      </c>
      <c r="AT932" s="2">
        <v>0</v>
      </c>
      <c r="AZ932" s="2" t="s">
        <v>6316</v>
      </c>
      <c r="BA932" s="2" t="s">
        <v>6316</v>
      </c>
      <c r="BB932" s="2" t="str">
        <f>+PROPER(BD[[#This Row],[PRIMER_APELLIDO]])</f>
        <v>Ramirez</v>
      </c>
    </row>
    <row r="933" spans="1:54" x14ac:dyDescent="0.25">
      <c r="A933" s="2">
        <v>932</v>
      </c>
      <c r="B933" s="2">
        <v>39367</v>
      </c>
      <c r="C933" s="2" t="s">
        <v>619</v>
      </c>
      <c r="D933" s="2" t="s">
        <v>620</v>
      </c>
      <c r="E933" s="2" t="s">
        <v>6317</v>
      </c>
      <c r="F933" s="2">
        <v>12322837</v>
      </c>
      <c r="G933" s="3">
        <v>38.917808219178085</v>
      </c>
      <c r="H933" s="2" t="s">
        <v>622</v>
      </c>
      <c r="I933" s="2" t="s">
        <v>6318</v>
      </c>
      <c r="J933" s="2" t="str">
        <f>+IF(BD[[#This Row],[DEPARTAMENTO_INSS]]="MANAGUA","_01_","_02_")</f>
        <v>_02_</v>
      </c>
      <c r="K933" s="2" t="str">
        <f>+CONCATENATE(BD[[#This Row],[Columna3]],BD[[#This Row],[Columna4]],BD[[#This Row],[NOMBRE COMPLETO]])</f>
        <v>E003_02_ENGHELL OMAR MARTINEZ FLORES</v>
      </c>
      <c r="L933" s="2" t="s">
        <v>6319</v>
      </c>
      <c r="M933" s="2" t="s">
        <v>2996</v>
      </c>
      <c r="N933" s="2" t="s">
        <v>44</v>
      </c>
      <c r="O933" s="2" t="s">
        <v>58</v>
      </c>
      <c r="P933" s="2" t="s">
        <v>649</v>
      </c>
      <c r="Q933" s="2" t="s">
        <v>351</v>
      </c>
      <c r="R933" s="2">
        <v>30591</v>
      </c>
      <c r="S933" s="2">
        <v>30591</v>
      </c>
      <c r="T933" s="2" t="s">
        <v>1104</v>
      </c>
      <c r="U933" s="2" t="s">
        <v>1005</v>
      </c>
      <c r="V933" s="2" t="s">
        <v>1104</v>
      </c>
      <c r="W933" s="2" t="s">
        <v>6320</v>
      </c>
      <c r="X933" s="2" t="s">
        <v>6321</v>
      </c>
      <c r="Y933" s="2" t="s">
        <v>6322</v>
      </c>
      <c r="Z933" s="2">
        <v>58688675</v>
      </c>
      <c r="AA933" s="2">
        <v>58688675</v>
      </c>
      <c r="AB933" s="2" t="s">
        <v>798</v>
      </c>
      <c r="AC933" s="2" t="s">
        <v>632</v>
      </c>
      <c r="AD933" s="2">
        <v>58688675</v>
      </c>
      <c r="AJ933" s="2">
        <v>58688675</v>
      </c>
      <c r="AK933" s="2">
        <v>2</v>
      </c>
      <c r="AL933" s="2" t="s">
        <v>633</v>
      </c>
      <c r="AM933" s="2">
        <v>0</v>
      </c>
      <c r="AN933" s="2">
        <v>0</v>
      </c>
      <c r="AO933" s="2">
        <v>1</v>
      </c>
      <c r="AP933" s="2">
        <v>0</v>
      </c>
      <c r="AQ933" s="2">
        <v>0</v>
      </c>
      <c r="AR933" s="2">
        <v>0</v>
      </c>
      <c r="AS933" s="2">
        <v>0</v>
      </c>
      <c r="AT933" s="2">
        <v>0</v>
      </c>
      <c r="AZ933" s="2" t="s">
        <v>6323</v>
      </c>
      <c r="BB933" s="2" t="str">
        <f>+PROPER(BD[[#This Row],[PRIMER_APELLIDO]])</f>
        <v>Martinez</v>
      </c>
    </row>
    <row r="934" spans="1:54" x14ac:dyDescent="0.25">
      <c r="A934" s="2">
        <v>933</v>
      </c>
      <c r="B934" s="2">
        <v>35556</v>
      </c>
      <c r="C934" s="2" t="s">
        <v>619</v>
      </c>
      <c r="D934" s="2" t="s">
        <v>620</v>
      </c>
      <c r="E934" s="2" t="s">
        <v>6324</v>
      </c>
      <c r="F934" s="2">
        <v>22736211</v>
      </c>
      <c r="G934" s="3">
        <v>38.926027397260277</v>
      </c>
      <c r="H934" s="2" t="s">
        <v>622</v>
      </c>
      <c r="I934" s="2" t="s">
        <v>6325</v>
      </c>
      <c r="J934" s="2" t="str">
        <f>+IF(BD[[#This Row],[DEPARTAMENTO_INSS]]="MANAGUA","_01_","_02_")</f>
        <v>_02_</v>
      </c>
      <c r="K934" s="2" t="str">
        <f>+CONCATENATE(BD[[#This Row],[Columna3]],BD[[#This Row],[Columna4]],BD[[#This Row],[NOMBRE COMPLETO]])</f>
        <v>E003_02_CHARLES DARWIN LOPEZ COLEMAN</v>
      </c>
      <c r="L934" s="2" t="s">
        <v>6326</v>
      </c>
      <c r="M934" s="2" t="s">
        <v>754</v>
      </c>
      <c r="N934" s="2" t="s">
        <v>15</v>
      </c>
      <c r="O934" s="2" t="s">
        <v>3399</v>
      </c>
      <c r="P934" s="2" t="s">
        <v>649</v>
      </c>
      <c r="Q934" s="2" t="s">
        <v>351</v>
      </c>
      <c r="R934" s="2">
        <v>30588</v>
      </c>
      <c r="S934" s="2">
        <v>30588</v>
      </c>
      <c r="T934" s="2" t="s">
        <v>691</v>
      </c>
      <c r="U934" s="2" t="s">
        <v>691</v>
      </c>
      <c r="V934" s="2" t="s">
        <v>716</v>
      </c>
      <c r="W934" s="2" t="s">
        <v>691</v>
      </c>
      <c r="X934" s="2" t="s">
        <v>6327</v>
      </c>
      <c r="Y934" s="2" t="s">
        <v>6328</v>
      </c>
      <c r="Z934" s="2">
        <v>89043360</v>
      </c>
      <c r="AA934" s="2" t="s">
        <v>6329</v>
      </c>
      <c r="AB934" s="2" t="s">
        <v>798</v>
      </c>
      <c r="AC934" s="2" t="s">
        <v>632</v>
      </c>
      <c r="AD934" s="2">
        <v>89043360</v>
      </c>
      <c r="AJ934" s="2">
        <v>89043360</v>
      </c>
      <c r="AK934" s="2">
        <v>3</v>
      </c>
      <c r="AL934" s="2" t="s">
        <v>633</v>
      </c>
      <c r="AM934" s="2">
        <v>0</v>
      </c>
      <c r="AN934" s="2">
        <v>0</v>
      </c>
      <c r="AO934" s="2">
        <v>1</v>
      </c>
      <c r="AP934" s="2">
        <v>0</v>
      </c>
      <c r="AQ934" s="2">
        <v>0</v>
      </c>
      <c r="AR934" s="2">
        <v>0</v>
      </c>
      <c r="AS934" s="2">
        <v>0</v>
      </c>
      <c r="AT934" s="2">
        <v>0</v>
      </c>
      <c r="AZ934" s="2" t="s">
        <v>6330</v>
      </c>
      <c r="BB934" s="2" t="str">
        <f>+PROPER(BD[[#This Row],[PRIMER_APELLIDO]])</f>
        <v>Lopez</v>
      </c>
    </row>
    <row r="935" spans="1:54" x14ac:dyDescent="0.25">
      <c r="A935" s="2">
        <v>934</v>
      </c>
      <c r="B935" s="2">
        <v>24965</v>
      </c>
      <c r="C935" s="2" t="s">
        <v>619</v>
      </c>
      <c r="D935" s="2" t="s">
        <v>620</v>
      </c>
      <c r="E935" s="2" t="s">
        <v>6331</v>
      </c>
      <c r="F935" s="2">
        <v>20948461</v>
      </c>
      <c r="G935" s="3">
        <v>38.939726027397263</v>
      </c>
      <c r="H935" s="2" t="s">
        <v>622</v>
      </c>
      <c r="I935" s="2" t="s">
        <v>6332</v>
      </c>
      <c r="J935" s="2" t="str">
        <f>+IF(BD[[#This Row],[DEPARTAMENTO_INSS]]="MANAGUA","_01_","_02_")</f>
        <v>_02_</v>
      </c>
      <c r="K935" s="2" t="str">
        <f>+CONCATENATE(BD[[#This Row],[Columna3]],BD[[#This Row],[Columna4]],BD[[#This Row],[NOMBRE COMPLETO]])</f>
        <v>E003_02_ERNESTO FRANCISCO ULLOA MARADIAGA</v>
      </c>
      <c r="L935" s="2" t="s">
        <v>4779</v>
      </c>
      <c r="M935" s="2" t="s">
        <v>1692</v>
      </c>
      <c r="N935" s="2" t="s">
        <v>25</v>
      </c>
      <c r="O935" s="2" t="s">
        <v>482</v>
      </c>
      <c r="P935" s="2" t="s">
        <v>649</v>
      </c>
      <c r="Q935" s="2" t="s">
        <v>351</v>
      </c>
      <c r="R935" s="2">
        <v>30583</v>
      </c>
      <c r="S935" s="2">
        <v>30583</v>
      </c>
      <c r="T935" s="2" t="s">
        <v>780</v>
      </c>
      <c r="U935" s="2" t="s">
        <v>780</v>
      </c>
      <c r="V935" s="2" t="s">
        <v>781</v>
      </c>
      <c r="W935" s="2" t="s">
        <v>1143</v>
      </c>
      <c r="X935" s="2" t="s">
        <v>6333</v>
      </c>
      <c r="Y935" s="2" t="s">
        <v>6334</v>
      </c>
      <c r="Z935" s="2">
        <v>83388496</v>
      </c>
      <c r="AA935" s="2">
        <v>83388446</v>
      </c>
      <c r="AB935" s="2" t="s">
        <v>654</v>
      </c>
      <c r="AC935" s="2" t="s">
        <v>632</v>
      </c>
      <c r="AD935" s="2">
        <v>83388496</v>
      </c>
      <c r="AF935" s="2">
        <v>83388446</v>
      </c>
      <c r="AJ935" s="2">
        <v>83388496</v>
      </c>
      <c r="AK935" s="2">
        <v>2</v>
      </c>
      <c r="AL935" s="2" t="s">
        <v>633</v>
      </c>
      <c r="AM935" s="2">
        <v>0</v>
      </c>
      <c r="AN935" s="2">
        <v>0</v>
      </c>
      <c r="AO935" s="2">
        <v>1</v>
      </c>
      <c r="AP935" s="2">
        <v>0</v>
      </c>
      <c r="AQ935" s="2">
        <v>0</v>
      </c>
      <c r="AR935" s="2">
        <v>0</v>
      </c>
      <c r="AS935" s="2">
        <v>0</v>
      </c>
      <c r="AT935" s="2">
        <v>0</v>
      </c>
      <c r="AZ935" s="2" t="s">
        <v>6335</v>
      </c>
      <c r="BB935" s="2" t="str">
        <f>+PROPER(BD[[#This Row],[PRIMER_APELLIDO]])</f>
        <v>Ulloa</v>
      </c>
    </row>
    <row r="936" spans="1:54" x14ac:dyDescent="0.25">
      <c r="A936" s="2">
        <v>935</v>
      </c>
      <c r="B936" s="2">
        <v>52558</v>
      </c>
      <c r="C936" s="2" t="s">
        <v>619</v>
      </c>
      <c r="D936" s="2" t="s">
        <v>620</v>
      </c>
      <c r="E936" s="2" t="s">
        <v>6336</v>
      </c>
      <c r="F936" s="2">
        <v>26962489</v>
      </c>
      <c r="G936" s="3">
        <v>38.945205479452056</v>
      </c>
      <c r="H936" s="2" t="s">
        <v>622</v>
      </c>
      <c r="I936" s="2" t="s">
        <v>6337</v>
      </c>
      <c r="J936" s="2" t="str">
        <f>+IF(BD[[#This Row],[DEPARTAMENTO_INSS]]="MANAGUA","_01_","_02_")</f>
        <v>_02_</v>
      </c>
      <c r="K936" s="2" t="str">
        <f>+CONCATENATE(BD[[#This Row],[Columna3]],BD[[#This Row],[Columna4]],BD[[#This Row],[NOMBRE COMPLETO]])</f>
        <v>E003_02_MAYRO LEONEL CARBALLO NICARAGUA</v>
      </c>
      <c r="L936" s="2" t="s">
        <v>6338</v>
      </c>
      <c r="M936" s="2" t="s">
        <v>903</v>
      </c>
      <c r="N936" s="2" t="s">
        <v>204</v>
      </c>
      <c r="O936" s="2" t="s">
        <v>351</v>
      </c>
      <c r="P936" s="2" t="s">
        <v>649</v>
      </c>
      <c r="Q936" s="2" t="s">
        <v>351</v>
      </c>
      <c r="R936" s="2">
        <v>30581</v>
      </c>
      <c r="S936" s="2">
        <v>30581</v>
      </c>
      <c r="T936" s="2" t="s">
        <v>732</v>
      </c>
      <c r="U936" s="2" t="s">
        <v>732</v>
      </c>
      <c r="V936" s="2" t="s">
        <v>2793</v>
      </c>
      <c r="W936" s="2" t="s">
        <v>2793</v>
      </c>
      <c r="X936" s="2" t="s">
        <v>6339</v>
      </c>
      <c r="Y936" s="2" t="s">
        <v>6340</v>
      </c>
      <c r="Z936" s="2" t="s">
        <v>6341</v>
      </c>
      <c r="AA936" s="2" t="s">
        <v>6342</v>
      </c>
      <c r="AB936" s="2" t="s">
        <v>798</v>
      </c>
      <c r="AC936" s="2" t="s">
        <v>632</v>
      </c>
      <c r="AD936" s="2">
        <v>75059599</v>
      </c>
      <c r="AE936" s="2">
        <v>87080954</v>
      </c>
      <c r="AF936" s="2">
        <v>75441234</v>
      </c>
      <c r="AG936" s="2">
        <v>88238560</v>
      </c>
      <c r="AJ936" s="2">
        <v>75059599</v>
      </c>
      <c r="AK936" s="2">
        <v>4</v>
      </c>
      <c r="AL936" s="2" t="s">
        <v>633</v>
      </c>
      <c r="AM936" s="2">
        <v>0</v>
      </c>
      <c r="AN936" s="2">
        <v>0</v>
      </c>
      <c r="AO936" s="2">
        <v>1</v>
      </c>
      <c r="AP936" s="2">
        <v>0</v>
      </c>
      <c r="AQ936" s="2">
        <v>0</v>
      </c>
      <c r="AR936" s="2">
        <v>0</v>
      </c>
      <c r="AS936" s="2">
        <v>0</v>
      </c>
      <c r="AT936" s="2">
        <v>0</v>
      </c>
      <c r="AZ936" s="2" t="s">
        <v>6343</v>
      </c>
      <c r="BB936" s="2" t="str">
        <f>+PROPER(BD[[#This Row],[PRIMER_APELLIDO]])</f>
        <v>Carballo</v>
      </c>
    </row>
    <row r="937" spans="1:54" x14ac:dyDescent="0.25">
      <c r="A937" s="2">
        <v>936</v>
      </c>
      <c r="B937" s="2">
        <v>35225</v>
      </c>
      <c r="C937" s="2" t="s">
        <v>619</v>
      </c>
      <c r="D937" s="2" t="s">
        <v>620</v>
      </c>
      <c r="E937" s="2" t="s">
        <v>6344</v>
      </c>
      <c r="G937" s="3">
        <v>38.947945205479449</v>
      </c>
      <c r="H937" s="2" t="s">
        <v>622</v>
      </c>
      <c r="I937" s="2" t="s">
        <v>6345</v>
      </c>
      <c r="J937" s="2" t="str">
        <f>+IF(BD[[#This Row],[DEPARTAMENTO_INSS]]="MANAGUA","_01_","_02_")</f>
        <v>_01_</v>
      </c>
      <c r="K937" s="2" t="str">
        <f>+CONCATENATE(BD[[#This Row],[Columna3]],BD[[#This Row],[Columna4]],BD[[#This Row],[NOMBRE COMPLETO]])</f>
        <v>E003_01_DENISSE RAQUEL CRUZ GUIDO</v>
      </c>
      <c r="L937" s="2" t="s">
        <v>6346</v>
      </c>
      <c r="M937" s="2" t="s">
        <v>2545</v>
      </c>
      <c r="N937" s="2" t="s">
        <v>32</v>
      </c>
      <c r="O937" s="2" t="s">
        <v>460</v>
      </c>
      <c r="P937" s="2" t="s">
        <v>626</v>
      </c>
      <c r="Q937" s="2" t="s">
        <v>351</v>
      </c>
      <c r="R937" s="2">
        <v>30580</v>
      </c>
      <c r="S937" s="2">
        <v>30580</v>
      </c>
      <c r="T937" s="2" t="s">
        <v>627</v>
      </c>
      <c r="U937" s="2" t="s">
        <v>627</v>
      </c>
      <c r="V937" s="2" t="s">
        <v>627</v>
      </c>
      <c r="W937" s="2" t="s">
        <v>627</v>
      </c>
      <c r="X937" s="2" t="s">
        <v>6347</v>
      </c>
      <c r="Y937" s="2" t="s">
        <v>6348</v>
      </c>
      <c r="Z937" s="2">
        <v>88570971</v>
      </c>
      <c r="AA937" s="2" t="s">
        <v>6349</v>
      </c>
      <c r="AB937" s="2" t="s">
        <v>642</v>
      </c>
      <c r="AC937" s="2" t="s">
        <v>632</v>
      </c>
      <c r="AD937" s="2">
        <v>88570971</v>
      </c>
      <c r="AE937" s="2">
        <v>88570911</v>
      </c>
      <c r="AH937" s="2">
        <v>88570971</v>
      </c>
      <c r="AJ937" s="2">
        <v>88570971</v>
      </c>
      <c r="AK937" s="2">
        <v>4</v>
      </c>
      <c r="AL937" s="2" t="s">
        <v>633</v>
      </c>
      <c r="AM937" s="2">
        <v>0</v>
      </c>
      <c r="AN937" s="2">
        <v>0</v>
      </c>
      <c r="AO937" s="2">
        <v>1</v>
      </c>
      <c r="AP937" s="2">
        <v>0</v>
      </c>
      <c r="AQ937" s="2">
        <v>0</v>
      </c>
      <c r="AR937" s="2">
        <v>0</v>
      </c>
      <c r="AS937" s="2">
        <v>0</v>
      </c>
      <c r="AT937" s="2">
        <v>0</v>
      </c>
      <c r="AZ937" s="2" t="s">
        <v>6350</v>
      </c>
      <c r="BB937" s="2" t="str">
        <f>+PROPER(BD[[#This Row],[PRIMER_APELLIDO]])</f>
        <v>Cruz</v>
      </c>
    </row>
    <row r="938" spans="1:54" x14ac:dyDescent="0.25">
      <c r="A938" s="2">
        <v>937</v>
      </c>
      <c r="B938" s="2">
        <v>31873</v>
      </c>
      <c r="C938" s="2" t="s">
        <v>619</v>
      </c>
      <c r="D938" s="2" t="s">
        <v>620</v>
      </c>
      <c r="E938" s="2" t="s">
        <v>6351</v>
      </c>
      <c r="F938" s="2">
        <v>23794887</v>
      </c>
      <c r="G938" s="3">
        <v>38.961643835616435</v>
      </c>
      <c r="H938" s="2" t="s">
        <v>622</v>
      </c>
      <c r="I938" s="2" t="s">
        <v>6352</v>
      </c>
      <c r="J938" s="2" t="str">
        <f>+IF(BD[[#This Row],[DEPARTAMENTO_INSS]]="MANAGUA","_01_","_02_")</f>
        <v>_02_</v>
      </c>
      <c r="K938" s="2" t="str">
        <f>+CONCATENATE(BD[[#This Row],[Columna3]],BD[[#This Row],[Columna4]],BD[[#This Row],[NOMBRE COMPLETO]])</f>
        <v>E003_02_GISELLE DEL CARMEN CENTENO SOZA</v>
      </c>
      <c r="L938" s="2" t="s">
        <v>2030</v>
      </c>
      <c r="M938" s="2" t="s">
        <v>961</v>
      </c>
      <c r="N938" s="2" t="s">
        <v>116</v>
      </c>
      <c r="O938" s="2" t="s">
        <v>211</v>
      </c>
      <c r="P938" s="2" t="s">
        <v>626</v>
      </c>
      <c r="Q938" s="2" t="s">
        <v>351</v>
      </c>
      <c r="R938" s="2">
        <v>30575</v>
      </c>
      <c r="S938" s="2">
        <v>30575</v>
      </c>
      <c r="T938" s="2" t="s">
        <v>1104</v>
      </c>
      <c r="U938" s="2" t="s">
        <v>1104</v>
      </c>
      <c r="V938" s="2" t="s">
        <v>3066</v>
      </c>
      <c r="W938" s="2" t="s">
        <v>2840</v>
      </c>
      <c r="X938" s="2" t="s">
        <v>6353</v>
      </c>
      <c r="Y938" s="2" t="s">
        <v>6354</v>
      </c>
      <c r="Z938" s="2">
        <v>89318182</v>
      </c>
      <c r="AA938" s="2">
        <v>89318182</v>
      </c>
      <c r="AB938" s="2" t="s">
        <v>631</v>
      </c>
      <c r="AC938" s="2" t="s">
        <v>632</v>
      </c>
      <c r="AD938" s="2">
        <v>89318182</v>
      </c>
      <c r="AJ938" s="2">
        <v>89318182</v>
      </c>
      <c r="AK938" s="2">
        <v>2</v>
      </c>
      <c r="AL938" s="2" t="s">
        <v>633</v>
      </c>
      <c r="AM938" s="2">
        <v>0</v>
      </c>
      <c r="AN938" s="2">
        <v>0</v>
      </c>
      <c r="AO938" s="2">
        <v>1</v>
      </c>
      <c r="AP938" s="2">
        <v>0</v>
      </c>
      <c r="AQ938" s="2">
        <v>0</v>
      </c>
      <c r="AR938" s="2">
        <v>0</v>
      </c>
      <c r="AS938" s="2">
        <v>0</v>
      </c>
      <c r="AT938" s="2">
        <v>0</v>
      </c>
      <c r="AZ938" s="2" t="s">
        <v>6355</v>
      </c>
      <c r="BB938" s="2" t="str">
        <f>+PROPER(BD[[#This Row],[PRIMER_APELLIDO]])</f>
        <v>Centeno</v>
      </c>
    </row>
    <row r="939" spans="1:54" x14ac:dyDescent="0.25">
      <c r="A939" s="2">
        <v>938</v>
      </c>
      <c r="B939" s="2">
        <v>74132</v>
      </c>
      <c r="C939" s="2" t="s">
        <v>619</v>
      </c>
      <c r="D939" s="2" t="s">
        <v>620</v>
      </c>
      <c r="E939" s="2" t="s">
        <v>6356</v>
      </c>
      <c r="G939" s="3">
        <v>38.961643835616435</v>
      </c>
      <c r="H939" s="2" t="s">
        <v>622</v>
      </c>
      <c r="I939" s="2" t="s">
        <v>6357</v>
      </c>
      <c r="J939" s="2" t="str">
        <f>+IF(BD[[#This Row],[DEPARTAMENTO_INSS]]="MANAGUA","_01_","_02_")</f>
        <v>_01_</v>
      </c>
      <c r="K939" s="2" t="str">
        <f>+CONCATENATE(BD[[#This Row],[Columna3]],BD[[#This Row],[Columna4]],BD[[#This Row],[NOMBRE COMPLETO]])</f>
        <v>E003_01_MARITZA DEL SOCORRO BALDIZON GUADAMUZ</v>
      </c>
      <c r="L939" s="2" t="s">
        <v>4400</v>
      </c>
      <c r="M939" s="2" t="s">
        <v>787</v>
      </c>
      <c r="N939" s="2" t="s">
        <v>120</v>
      </c>
      <c r="O939" s="2" t="s">
        <v>285</v>
      </c>
      <c r="P939" s="2" t="s">
        <v>626</v>
      </c>
      <c r="Q939" s="2" t="s">
        <v>351</v>
      </c>
      <c r="R939" s="2">
        <v>30575</v>
      </c>
      <c r="S939" s="2">
        <v>30575</v>
      </c>
      <c r="T939" s="2" t="s">
        <v>627</v>
      </c>
      <c r="U939" s="2" t="s">
        <v>627</v>
      </c>
      <c r="V939" s="2" t="s">
        <v>627</v>
      </c>
      <c r="W939" s="2" t="s">
        <v>627</v>
      </c>
      <c r="X939" s="2" t="s">
        <v>6358</v>
      </c>
      <c r="Y939" s="2" t="s">
        <v>6359</v>
      </c>
      <c r="Z939" s="2">
        <v>58712749</v>
      </c>
      <c r="AA939" s="2" t="s">
        <v>6360</v>
      </c>
      <c r="AB939" s="2" t="s">
        <v>2629</v>
      </c>
      <c r="AC939" s="2" t="s">
        <v>632</v>
      </c>
      <c r="AD939" s="2">
        <v>58712749</v>
      </c>
      <c r="AJ939" s="2">
        <v>58712749</v>
      </c>
      <c r="AK939" s="2">
        <v>3</v>
      </c>
      <c r="AL939" s="2" t="s">
        <v>633</v>
      </c>
      <c r="AM939" s="2">
        <v>0</v>
      </c>
      <c r="AN939" s="2">
        <v>0</v>
      </c>
      <c r="AO939" s="2">
        <v>1</v>
      </c>
      <c r="AP939" s="2">
        <v>0</v>
      </c>
      <c r="AQ939" s="2">
        <v>0</v>
      </c>
      <c r="AR939" s="2">
        <v>0</v>
      </c>
      <c r="AS939" s="2">
        <v>0</v>
      </c>
      <c r="AT939" s="2">
        <v>0</v>
      </c>
      <c r="AZ939" s="2" t="s">
        <v>6361</v>
      </c>
      <c r="BB939" s="2" t="str">
        <f>+PROPER(BD[[#This Row],[PRIMER_APELLIDO]])</f>
        <v>Baldizon</v>
      </c>
    </row>
    <row r="940" spans="1:54" x14ac:dyDescent="0.25">
      <c r="A940" s="2">
        <v>939</v>
      </c>
      <c r="B940" s="2">
        <v>37103</v>
      </c>
      <c r="C940" s="2" t="s">
        <v>619</v>
      </c>
      <c r="D940" s="2" t="s">
        <v>620</v>
      </c>
      <c r="E940" s="2" t="s">
        <v>6362</v>
      </c>
      <c r="F940" s="2">
        <v>21671995</v>
      </c>
      <c r="G940" s="3">
        <v>38.964383561643835</v>
      </c>
      <c r="H940" s="2" t="s">
        <v>622</v>
      </c>
      <c r="I940" s="2" t="s">
        <v>6363</v>
      </c>
      <c r="J940" s="2" t="str">
        <f>+IF(BD[[#This Row],[DEPARTAMENTO_INSS]]="MANAGUA","_01_","_02_")</f>
        <v>_02_</v>
      </c>
      <c r="K940" s="2" t="str">
        <f>+CONCATENATE(BD[[#This Row],[Columna3]],BD[[#This Row],[Columna4]],BD[[#This Row],[NOMBRE COMPLETO]])</f>
        <v>E003_02_ROLANDO JOSE SEVILLA ORTIZ</v>
      </c>
      <c r="L940" s="2" t="s">
        <v>2357</v>
      </c>
      <c r="M940" s="2" t="s">
        <v>243</v>
      </c>
      <c r="N940" s="2" t="s">
        <v>280</v>
      </c>
      <c r="O940" s="2" t="s">
        <v>109</v>
      </c>
      <c r="P940" s="2" t="s">
        <v>649</v>
      </c>
      <c r="Q940" s="2" t="s">
        <v>351</v>
      </c>
      <c r="R940" s="2">
        <v>30574</v>
      </c>
      <c r="S940" s="2">
        <v>30574</v>
      </c>
      <c r="T940" s="2" t="s">
        <v>732</v>
      </c>
      <c r="U940" s="2" t="s">
        <v>1005</v>
      </c>
      <c r="V940" s="2" t="s">
        <v>732</v>
      </c>
      <c r="W940" s="2" t="s">
        <v>1006</v>
      </c>
      <c r="X940" s="2" t="s">
        <v>6364</v>
      </c>
      <c r="Y940" s="2" t="s">
        <v>6365</v>
      </c>
      <c r="Z940" s="2">
        <v>87471667</v>
      </c>
      <c r="AA940" s="2">
        <v>87471667</v>
      </c>
      <c r="AB940" s="2" t="s">
        <v>654</v>
      </c>
      <c r="AC940" s="2" t="s">
        <v>632</v>
      </c>
      <c r="AD940" s="2">
        <v>87471667</v>
      </c>
      <c r="AJ940" s="2">
        <v>87471667</v>
      </c>
      <c r="AK940" s="2">
        <v>2</v>
      </c>
      <c r="AL940" s="2" t="s">
        <v>633</v>
      </c>
      <c r="AM940" s="2">
        <v>0</v>
      </c>
      <c r="AN940" s="2">
        <v>0</v>
      </c>
      <c r="AO940" s="2">
        <v>1</v>
      </c>
      <c r="AP940" s="2">
        <v>0</v>
      </c>
      <c r="AQ940" s="2">
        <v>0</v>
      </c>
      <c r="AR940" s="2">
        <v>0</v>
      </c>
      <c r="AS940" s="2">
        <v>0</v>
      </c>
      <c r="AT940" s="2">
        <v>0</v>
      </c>
      <c r="AZ940" s="2" t="s">
        <v>6366</v>
      </c>
      <c r="BA940" s="2" t="s">
        <v>6367</v>
      </c>
      <c r="BB940" s="2" t="str">
        <f>+PROPER(BD[[#This Row],[PRIMER_APELLIDO]])</f>
        <v>Sevilla</v>
      </c>
    </row>
    <row r="941" spans="1:54" x14ac:dyDescent="0.25">
      <c r="A941" s="2">
        <v>940</v>
      </c>
      <c r="B941" s="2">
        <v>32561</v>
      </c>
      <c r="C941" s="2" t="s">
        <v>619</v>
      </c>
      <c r="D941" s="2" t="s">
        <v>620</v>
      </c>
      <c r="E941" s="2" t="s">
        <v>6368</v>
      </c>
      <c r="F941" s="2">
        <v>23160495</v>
      </c>
      <c r="G941" s="3">
        <v>38.969863013698628</v>
      </c>
      <c r="H941" s="2" t="s">
        <v>622</v>
      </c>
      <c r="I941" s="2" t="s">
        <v>6369</v>
      </c>
      <c r="J941" s="2" t="str">
        <f>+IF(BD[[#This Row],[DEPARTAMENTO_INSS]]="MANAGUA","_01_","_02_")</f>
        <v>_02_</v>
      </c>
      <c r="K941" s="2" t="str">
        <f>+CONCATENATE(BD[[#This Row],[Columna3]],BD[[#This Row],[Columna4]],BD[[#This Row],[NOMBRE COMPLETO]])</f>
        <v>E003_02_MAYRA CECILIA RUPILIUS KRAUTWIG</v>
      </c>
      <c r="L941" s="2" t="s">
        <v>6370</v>
      </c>
      <c r="M941" s="2" t="s">
        <v>3360</v>
      </c>
      <c r="N941" s="2" t="s">
        <v>161</v>
      </c>
      <c r="O941" s="2" t="s">
        <v>6371</v>
      </c>
      <c r="P941" s="2" t="s">
        <v>626</v>
      </c>
      <c r="Q941" s="2" t="s">
        <v>351</v>
      </c>
      <c r="R941" s="2">
        <v>30572</v>
      </c>
      <c r="S941" s="2">
        <v>30572</v>
      </c>
      <c r="T941" s="2" t="s">
        <v>627</v>
      </c>
      <c r="U941" s="2" t="s">
        <v>1005</v>
      </c>
      <c r="V941" s="2" t="s">
        <v>627</v>
      </c>
      <c r="W941" s="2" t="s">
        <v>1006</v>
      </c>
      <c r="X941" s="2" t="s">
        <v>6372</v>
      </c>
      <c r="Y941" s="2" t="s">
        <v>6373</v>
      </c>
      <c r="AA941" s="2">
        <v>27922279</v>
      </c>
      <c r="AB941" s="2" t="s">
        <v>642</v>
      </c>
      <c r="AC941" s="2" t="s">
        <v>632</v>
      </c>
      <c r="AK941" s="2">
        <v>1</v>
      </c>
      <c r="AL941" s="2" t="s">
        <v>633</v>
      </c>
      <c r="AM941" s="2">
        <v>0</v>
      </c>
      <c r="AN941" s="2">
        <v>0</v>
      </c>
      <c r="AO941" s="2">
        <v>1</v>
      </c>
      <c r="AP941" s="2">
        <v>0</v>
      </c>
      <c r="AQ941" s="2">
        <v>0</v>
      </c>
      <c r="AR941" s="2">
        <v>0</v>
      </c>
      <c r="AS941" s="2">
        <v>0</v>
      </c>
      <c r="AT941" s="2">
        <v>0</v>
      </c>
      <c r="BB941" s="2" t="str">
        <f>+PROPER(BD[[#This Row],[PRIMER_APELLIDO]])</f>
        <v>Rupilius</v>
      </c>
    </row>
    <row r="942" spans="1:54" x14ac:dyDescent="0.25">
      <c r="A942" s="2">
        <v>941</v>
      </c>
      <c r="B942" s="2">
        <v>50289</v>
      </c>
      <c r="C942" s="2" t="s">
        <v>619</v>
      </c>
      <c r="D942" s="2" t="s">
        <v>620</v>
      </c>
      <c r="E942" s="2" t="s">
        <v>6374</v>
      </c>
      <c r="F942" s="2">
        <v>25023464</v>
      </c>
      <c r="G942" s="3">
        <v>38.972602739726028</v>
      </c>
      <c r="H942" s="2" t="s">
        <v>622</v>
      </c>
      <c r="I942" s="2" t="s">
        <v>6375</v>
      </c>
      <c r="J942" s="2" t="str">
        <f>+IF(BD[[#This Row],[DEPARTAMENTO_INSS]]="MANAGUA","_01_","_02_")</f>
        <v>_02_</v>
      </c>
      <c r="K942" s="2" t="str">
        <f>+CONCATENATE(BD[[#This Row],[Columna3]],BD[[#This Row],[Columna4]],BD[[#This Row],[NOMBRE COMPLETO]])</f>
        <v>E003_02_LAURA SALLYMAR MEMBREÑO RUGAMA</v>
      </c>
      <c r="L942" s="2" t="s">
        <v>6376</v>
      </c>
      <c r="M942" s="2" t="s">
        <v>6377</v>
      </c>
      <c r="N942" s="2" t="s">
        <v>326</v>
      </c>
      <c r="O942" s="2" t="s">
        <v>182</v>
      </c>
      <c r="P942" s="2" t="s">
        <v>626</v>
      </c>
      <c r="Q942" s="2" t="s">
        <v>351</v>
      </c>
      <c r="R942" s="2">
        <v>30571</v>
      </c>
      <c r="S942" s="2">
        <v>30571</v>
      </c>
      <c r="T942" s="2" t="s">
        <v>659</v>
      </c>
      <c r="U942" s="2" t="s">
        <v>659</v>
      </c>
      <c r="V942" s="2" t="s">
        <v>660</v>
      </c>
      <c r="W942" s="2" t="s">
        <v>659</v>
      </c>
      <c r="X942" s="2" t="s">
        <v>6378</v>
      </c>
      <c r="Y942" s="2" t="s">
        <v>6379</v>
      </c>
      <c r="Z942" s="2" t="s">
        <v>6380</v>
      </c>
      <c r="AA942" s="2">
        <v>85094743</v>
      </c>
      <c r="AB942" s="2" t="s">
        <v>631</v>
      </c>
      <c r="AC942" s="2" t="s">
        <v>632</v>
      </c>
      <c r="AD942" s="2">
        <v>85094743</v>
      </c>
      <c r="AE942" s="2">
        <v>88689553</v>
      </c>
      <c r="AJ942" s="2">
        <v>85094743</v>
      </c>
      <c r="AK942" s="2">
        <v>3</v>
      </c>
      <c r="AL942" s="2" t="s">
        <v>633</v>
      </c>
      <c r="AM942" s="2">
        <v>0</v>
      </c>
      <c r="AN942" s="2">
        <v>0</v>
      </c>
      <c r="AO942" s="2">
        <v>1</v>
      </c>
      <c r="AP942" s="2">
        <v>0</v>
      </c>
      <c r="AQ942" s="2">
        <v>0</v>
      </c>
      <c r="AR942" s="2">
        <v>0</v>
      </c>
      <c r="AS942" s="2">
        <v>0</v>
      </c>
      <c r="AT942" s="2">
        <v>0</v>
      </c>
      <c r="AZ942" s="2" t="s">
        <v>6381</v>
      </c>
      <c r="BB942" s="2" t="str">
        <f>+PROPER(BD[[#This Row],[PRIMER_APELLIDO]])</f>
        <v>Membreño</v>
      </c>
    </row>
    <row r="943" spans="1:54" x14ac:dyDescent="0.25">
      <c r="A943" s="2">
        <v>942</v>
      </c>
      <c r="B943" s="2">
        <v>29778</v>
      </c>
      <c r="C943" s="2" t="s">
        <v>619</v>
      </c>
      <c r="D943" s="2" t="s">
        <v>620</v>
      </c>
      <c r="E943" s="2" t="s">
        <v>6382</v>
      </c>
      <c r="F943" s="2">
        <v>23243949</v>
      </c>
      <c r="G943" s="3">
        <v>38.975342465753428</v>
      </c>
      <c r="H943" s="2" t="s">
        <v>622</v>
      </c>
      <c r="I943" s="2" t="s">
        <v>6383</v>
      </c>
      <c r="J943" s="2" t="str">
        <f>+IF(BD[[#This Row],[DEPARTAMENTO_INSS]]="MANAGUA","_01_","_02_")</f>
        <v>_02_</v>
      </c>
      <c r="K943" s="2" t="str">
        <f>+CONCATENATE(BD[[#This Row],[Columna3]],BD[[#This Row],[Columna4]],BD[[#This Row],[NOMBRE COMPLETO]])</f>
        <v>E003_02_WALTER ALEXANDER GOMEZ AREAS</v>
      </c>
      <c r="L943" s="2" t="s">
        <v>2772</v>
      </c>
      <c r="M943" s="2" t="s">
        <v>2176</v>
      </c>
      <c r="N943" s="2" t="s">
        <v>43</v>
      </c>
      <c r="O943" s="2" t="s">
        <v>6384</v>
      </c>
      <c r="P943" s="2" t="s">
        <v>649</v>
      </c>
      <c r="Q943" s="2" t="s">
        <v>351</v>
      </c>
      <c r="R943" s="2">
        <v>30570</v>
      </c>
      <c r="S943" s="2">
        <v>30570</v>
      </c>
      <c r="T943" s="2" t="s">
        <v>176</v>
      </c>
      <c r="U943" s="2" t="s">
        <v>659</v>
      </c>
      <c r="V943" s="2" t="s">
        <v>748</v>
      </c>
      <c r="W943" s="2" t="s">
        <v>659</v>
      </c>
      <c r="X943" s="2" t="s">
        <v>6385</v>
      </c>
      <c r="Y943" s="2" t="s">
        <v>6386</v>
      </c>
      <c r="Z943" s="2">
        <v>89385256</v>
      </c>
      <c r="AA943" s="2" t="s">
        <v>6387</v>
      </c>
      <c r="AB943" s="2" t="s">
        <v>654</v>
      </c>
      <c r="AC943" s="2" t="s">
        <v>632</v>
      </c>
      <c r="AD943" s="2">
        <v>89385256</v>
      </c>
      <c r="AF943" s="2">
        <v>84340565</v>
      </c>
      <c r="AJ943" s="2">
        <v>89385256</v>
      </c>
      <c r="AK943" s="2">
        <v>3</v>
      </c>
      <c r="AL943" s="2" t="s">
        <v>633</v>
      </c>
      <c r="AM943" s="2">
        <v>0</v>
      </c>
      <c r="AN943" s="2">
        <v>0</v>
      </c>
      <c r="AO943" s="2">
        <v>1</v>
      </c>
      <c r="AP943" s="2">
        <v>0</v>
      </c>
      <c r="AQ943" s="2">
        <v>0</v>
      </c>
      <c r="AR943" s="2">
        <v>0</v>
      </c>
      <c r="AS943" s="2">
        <v>0</v>
      </c>
      <c r="AT943" s="2">
        <v>0</v>
      </c>
      <c r="AZ943" s="2" t="s">
        <v>6388</v>
      </c>
      <c r="BB943" s="2" t="str">
        <f>+PROPER(BD[[#This Row],[PRIMER_APELLIDO]])</f>
        <v>Gomez</v>
      </c>
    </row>
    <row r="944" spans="1:54" x14ac:dyDescent="0.25">
      <c r="A944" s="2">
        <v>943</v>
      </c>
      <c r="B944" s="2">
        <v>46248</v>
      </c>
      <c r="C944" s="2" t="s">
        <v>619</v>
      </c>
      <c r="D944" s="2" t="s">
        <v>620</v>
      </c>
      <c r="E944" s="2" t="s">
        <v>6389</v>
      </c>
      <c r="F944" s="2">
        <v>32493076</v>
      </c>
      <c r="G944" s="3">
        <v>38.980821917808221</v>
      </c>
      <c r="H944" s="2" t="s">
        <v>622</v>
      </c>
      <c r="I944" s="2" t="s">
        <v>6390</v>
      </c>
      <c r="J944" s="2" t="str">
        <f>+IF(BD[[#This Row],[DEPARTAMENTO_INSS]]="MANAGUA","_01_","_02_")</f>
        <v>_02_</v>
      </c>
      <c r="K944" s="2" t="str">
        <f>+CONCATENATE(BD[[#This Row],[Columna3]],BD[[#This Row],[Columna4]],BD[[#This Row],[NOMBRE COMPLETO]])</f>
        <v>E003_02_JACKQUELINE DE LOS ANGELES RODRIGUEZ GONZALEZ</v>
      </c>
      <c r="L944" s="2" t="s">
        <v>6391</v>
      </c>
      <c r="M944" s="2" t="s">
        <v>683</v>
      </c>
      <c r="N944" s="2" t="s">
        <v>185</v>
      </c>
      <c r="O944" s="2" t="s">
        <v>14</v>
      </c>
      <c r="P944" s="2" t="s">
        <v>626</v>
      </c>
      <c r="Q944" s="2" t="s">
        <v>351</v>
      </c>
      <c r="R944" s="2">
        <v>30568</v>
      </c>
      <c r="S944" s="2">
        <v>30568</v>
      </c>
      <c r="T944" s="2" t="s">
        <v>732</v>
      </c>
      <c r="U944" s="2" t="s">
        <v>732</v>
      </c>
      <c r="V944" s="2" t="s">
        <v>732</v>
      </c>
      <c r="W944" s="2" t="s">
        <v>732</v>
      </c>
      <c r="X944" s="2" t="s">
        <v>6392</v>
      </c>
      <c r="Y944" s="2" t="s">
        <v>6393</v>
      </c>
      <c r="Z944" s="2">
        <v>83724954</v>
      </c>
      <c r="AA944" s="2">
        <v>83724954</v>
      </c>
      <c r="AB944" s="2" t="s">
        <v>654</v>
      </c>
      <c r="AC944" s="2" t="s">
        <v>632</v>
      </c>
      <c r="AD944" s="2">
        <v>83724954</v>
      </c>
      <c r="AJ944" s="2">
        <v>83724954</v>
      </c>
      <c r="AK944" s="2">
        <v>2</v>
      </c>
      <c r="AL944" s="2" t="s">
        <v>633</v>
      </c>
      <c r="AM944" s="2">
        <v>0</v>
      </c>
      <c r="AN944" s="2">
        <v>0</v>
      </c>
      <c r="AO944" s="2">
        <v>1</v>
      </c>
      <c r="AP944" s="2">
        <v>0</v>
      </c>
      <c r="AQ944" s="2">
        <v>0</v>
      </c>
      <c r="AR944" s="2">
        <v>0</v>
      </c>
      <c r="AS944" s="2">
        <v>0</v>
      </c>
      <c r="AT944" s="2">
        <v>0</v>
      </c>
      <c r="AZ944" s="2" t="s">
        <v>6394</v>
      </c>
      <c r="BB944" s="2" t="str">
        <f>+PROPER(BD[[#This Row],[PRIMER_APELLIDO]])</f>
        <v>Rodriguez</v>
      </c>
    </row>
    <row r="945" spans="1:54" x14ac:dyDescent="0.25">
      <c r="A945" s="2">
        <v>944</v>
      </c>
      <c r="B945" s="2">
        <v>48710</v>
      </c>
      <c r="C945" s="2" t="s">
        <v>619</v>
      </c>
      <c r="D945" s="2" t="s">
        <v>620</v>
      </c>
      <c r="E945" s="2" t="s">
        <v>6395</v>
      </c>
      <c r="F945" s="2">
        <v>25022571</v>
      </c>
      <c r="G945" s="3">
        <v>38.983561643835614</v>
      </c>
      <c r="H945" s="2" t="s">
        <v>622</v>
      </c>
      <c r="I945" s="2" t="s">
        <v>6396</v>
      </c>
      <c r="J945" s="2" t="str">
        <f>+IF(BD[[#This Row],[DEPARTAMENTO_INSS]]="MANAGUA","_01_","_02_")</f>
        <v>_02_</v>
      </c>
      <c r="K945" s="2" t="str">
        <f>+CONCATENATE(BD[[#This Row],[Columna3]],BD[[#This Row],[Columna4]],BD[[#This Row],[NOMBRE COMPLETO]])</f>
        <v>E003_02_VICTORIA MERCEDES RUIZ NICARAGUA</v>
      </c>
      <c r="L945" s="2" t="s">
        <v>6397</v>
      </c>
      <c r="M945" s="2" t="s">
        <v>769</v>
      </c>
      <c r="N945" s="2" t="s">
        <v>84</v>
      </c>
      <c r="O945" s="2" t="s">
        <v>351</v>
      </c>
      <c r="P945" s="2" t="s">
        <v>626</v>
      </c>
      <c r="Q945" s="2" t="s">
        <v>351</v>
      </c>
      <c r="R945" s="2">
        <v>30567</v>
      </c>
      <c r="S945" s="2">
        <v>30567</v>
      </c>
      <c r="T945" s="2" t="s">
        <v>732</v>
      </c>
      <c r="U945" s="2" t="s">
        <v>1104</v>
      </c>
      <c r="V945" s="2" t="s">
        <v>2793</v>
      </c>
      <c r="W945" s="2" t="s">
        <v>1813</v>
      </c>
      <c r="X945" s="2" t="s">
        <v>6398</v>
      </c>
      <c r="Y945" s="2" t="s">
        <v>6399</v>
      </c>
      <c r="Z945" s="2">
        <v>86961936</v>
      </c>
      <c r="AA945" s="2">
        <v>86961936</v>
      </c>
      <c r="AB945" s="2" t="s">
        <v>631</v>
      </c>
      <c r="AC945" s="2" t="s">
        <v>632</v>
      </c>
      <c r="AD945" s="2">
        <v>86961936</v>
      </c>
      <c r="AJ945" s="2">
        <v>86961936</v>
      </c>
      <c r="AK945" s="2">
        <v>2</v>
      </c>
      <c r="AL945" s="2" t="s">
        <v>633</v>
      </c>
      <c r="AM945" s="2">
        <v>0</v>
      </c>
      <c r="AN945" s="2">
        <v>0</v>
      </c>
      <c r="AO945" s="2">
        <v>1</v>
      </c>
      <c r="AP945" s="2">
        <v>0</v>
      </c>
      <c r="AQ945" s="2">
        <v>0</v>
      </c>
      <c r="AR945" s="2">
        <v>0</v>
      </c>
      <c r="AS945" s="2">
        <v>0</v>
      </c>
      <c r="AT945" s="2">
        <v>0</v>
      </c>
      <c r="AZ945" s="2" t="s">
        <v>6400</v>
      </c>
      <c r="BB945" s="2" t="str">
        <f>+PROPER(BD[[#This Row],[PRIMER_APELLIDO]])</f>
        <v>Ruiz</v>
      </c>
    </row>
    <row r="946" spans="1:54" x14ac:dyDescent="0.25">
      <c r="A946" s="2">
        <v>945</v>
      </c>
      <c r="B946" s="2">
        <v>57295</v>
      </c>
      <c r="C946" s="2" t="s">
        <v>619</v>
      </c>
      <c r="D946" s="2" t="s">
        <v>620</v>
      </c>
      <c r="E946" s="2" t="s">
        <v>6401</v>
      </c>
      <c r="G946" s="3">
        <v>38.986301369863014</v>
      </c>
      <c r="H946" s="2" t="s">
        <v>622</v>
      </c>
      <c r="I946" s="2" t="s">
        <v>6402</v>
      </c>
      <c r="J946" s="2" t="str">
        <f>+IF(BD[[#This Row],[DEPARTAMENTO_INSS]]="MANAGUA","_01_","_02_")</f>
        <v>_02_</v>
      </c>
      <c r="K946" s="2" t="str">
        <f>+CONCATENATE(BD[[#This Row],[Columna3]],BD[[#This Row],[Columna4]],BD[[#This Row],[NOMBRE COMPLETO]])</f>
        <v>E003_02_NADEZHDA YARAVI AGUIRRE VILLALOBOS</v>
      </c>
      <c r="L946" s="2" t="s">
        <v>6403</v>
      </c>
      <c r="M946" s="2" t="s">
        <v>6404</v>
      </c>
      <c r="N946" s="2" t="s">
        <v>255</v>
      </c>
      <c r="O946" s="2" t="s">
        <v>6405</v>
      </c>
      <c r="P946" s="2" t="s">
        <v>626</v>
      </c>
      <c r="Q946" s="2" t="s">
        <v>351</v>
      </c>
      <c r="R946" s="2">
        <v>30566</v>
      </c>
      <c r="S946" s="2">
        <v>30566</v>
      </c>
      <c r="T946" s="2" t="s">
        <v>1191</v>
      </c>
      <c r="U946" s="2" t="s">
        <v>1191</v>
      </c>
      <c r="V946" s="2" t="s">
        <v>6406</v>
      </c>
      <c r="W946" s="2" t="s">
        <v>1300</v>
      </c>
      <c r="X946" s="2" t="s">
        <v>6407</v>
      </c>
      <c r="Y946" s="2" t="s">
        <v>6408</v>
      </c>
      <c r="Z946" s="2">
        <v>86108657</v>
      </c>
      <c r="AA946" s="2">
        <v>86108657</v>
      </c>
      <c r="AB946" s="2" t="s">
        <v>631</v>
      </c>
      <c r="AC946" s="2" t="s">
        <v>632</v>
      </c>
      <c r="AD946" s="2">
        <v>86108657</v>
      </c>
      <c r="AJ946" s="2">
        <v>86108657</v>
      </c>
      <c r="AK946" s="2">
        <v>2</v>
      </c>
      <c r="AL946" s="2" t="s">
        <v>633</v>
      </c>
      <c r="AM946" s="2">
        <v>0</v>
      </c>
      <c r="AN946" s="2">
        <v>0</v>
      </c>
      <c r="AO946" s="2">
        <v>1</v>
      </c>
      <c r="AP946" s="2">
        <v>0</v>
      </c>
      <c r="AQ946" s="2">
        <v>0</v>
      </c>
      <c r="AR946" s="2">
        <v>0</v>
      </c>
      <c r="AS946" s="2">
        <v>0</v>
      </c>
      <c r="AT946" s="2">
        <v>0</v>
      </c>
      <c r="AZ946" s="2" t="s">
        <v>6409</v>
      </c>
      <c r="BB946" s="2" t="str">
        <f>+PROPER(BD[[#This Row],[PRIMER_APELLIDO]])</f>
        <v>Aguirre</v>
      </c>
    </row>
    <row r="947" spans="1:54" x14ac:dyDescent="0.25">
      <c r="A947" s="2">
        <v>946</v>
      </c>
      <c r="B947" s="2">
        <v>79677</v>
      </c>
      <c r="C947" s="2" t="s">
        <v>619</v>
      </c>
      <c r="D947" s="2" t="s">
        <v>620</v>
      </c>
      <c r="E947" s="2" t="s">
        <v>6410</v>
      </c>
      <c r="G947" s="3">
        <v>38.986301369863014</v>
      </c>
      <c r="H947" s="2" t="s">
        <v>622</v>
      </c>
      <c r="I947" s="2" t="s">
        <v>6411</v>
      </c>
      <c r="J947" s="2" t="str">
        <f>+IF(BD[[#This Row],[DEPARTAMENTO_INSS]]="MANAGUA","_01_","_02_")</f>
        <v>_02_</v>
      </c>
      <c r="K947" s="2" t="str">
        <f>+CONCATENATE(BD[[#This Row],[Columna3]],BD[[#This Row],[Columna4]],BD[[#This Row],[NOMBRE COMPLETO]])</f>
        <v>E003_02_RAMON PAVEL ARGEÑAL QUINTERO</v>
      </c>
      <c r="L947" s="2" t="s">
        <v>3218</v>
      </c>
      <c r="M947" s="2" t="s">
        <v>6412</v>
      </c>
      <c r="N947" s="2" t="s">
        <v>213</v>
      </c>
      <c r="O947" s="2" t="s">
        <v>188</v>
      </c>
      <c r="P947" s="2" t="s">
        <v>649</v>
      </c>
      <c r="Q947" s="2" t="s">
        <v>351</v>
      </c>
      <c r="R947" s="2">
        <v>30566</v>
      </c>
      <c r="S947" s="2">
        <v>30566</v>
      </c>
      <c r="T947" s="2" t="s">
        <v>627</v>
      </c>
      <c r="U947" s="2" t="s">
        <v>705</v>
      </c>
      <c r="V947" s="2" t="s">
        <v>627</v>
      </c>
      <c r="W947" s="2" t="s">
        <v>705</v>
      </c>
      <c r="X947" s="2" t="s">
        <v>6413</v>
      </c>
      <c r="Y947" s="2" t="s">
        <v>6414</v>
      </c>
      <c r="Z947" s="2" t="s">
        <v>6415</v>
      </c>
      <c r="AA947" s="2" t="s">
        <v>6416</v>
      </c>
      <c r="AB947" s="2" t="s">
        <v>798</v>
      </c>
      <c r="AC947" s="2" t="s">
        <v>632</v>
      </c>
      <c r="AD947" s="2">
        <v>76191111</v>
      </c>
      <c r="AE947" s="2">
        <v>88560274</v>
      </c>
      <c r="AG947" s="2">
        <v>86528403</v>
      </c>
      <c r="AJ947" s="2">
        <v>76191111</v>
      </c>
      <c r="AK947" s="2">
        <v>4</v>
      </c>
      <c r="AL947" s="2" t="s">
        <v>633</v>
      </c>
      <c r="AM947" s="2">
        <v>0</v>
      </c>
      <c r="AN947" s="2">
        <v>0</v>
      </c>
      <c r="AO947" s="2">
        <v>1</v>
      </c>
      <c r="AP947" s="2">
        <v>0</v>
      </c>
      <c r="AQ947" s="2">
        <v>0</v>
      </c>
      <c r="AR947" s="2">
        <v>0</v>
      </c>
      <c r="AS947" s="2">
        <v>0</v>
      </c>
      <c r="AT947" s="2">
        <v>0</v>
      </c>
      <c r="AZ947" s="2" t="s">
        <v>6417</v>
      </c>
      <c r="BB947" s="2" t="str">
        <f>+PROPER(BD[[#This Row],[PRIMER_APELLIDO]])</f>
        <v>Argeñal</v>
      </c>
    </row>
    <row r="948" spans="1:54" x14ac:dyDescent="0.25">
      <c r="A948" s="2">
        <v>947</v>
      </c>
      <c r="B948" s="2">
        <v>32020</v>
      </c>
      <c r="C948" s="2" t="s">
        <v>619</v>
      </c>
      <c r="D948" s="2" t="s">
        <v>620</v>
      </c>
      <c r="E948" s="2" t="s">
        <v>6418</v>
      </c>
      <c r="F948" s="2">
        <v>21672345</v>
      </c>
      <c r="G948" s="3">
        <v>38.989041095890414</v>
      </c>
      <c r="H948" s="2" t="s">
        <v>622</v>
      </c>
      <c r="I948" s="2" t="s">
        <v>6419</v>
      </c>
      <c r="J948" s="2" t="str">
        <f>+IF(BD[[#This Row],[DEPARTAMENTO_INSS]]="MANAGUA","_01_","_02_")</f>
        <v>_02_</v>
      </c>
      <c r="K948" s="2" t="str">
        <f>+CONCATENATE(BD[[#This Row],[Columna3]],BD[[#This Row],[Columna4]],BD[[#This Row],[NOMBRE COMPLETO]])</f>
        <v>E003_02_MIGUEL ANGEL ESCOBAR BETANCO</v>
      </c>
      <c r="L948" s="2" t="s">
        <v>2016</v>
      </c>
      <c r="M948" s="2" t="s">
        <v>3464</v>
      </c>
      <c r="N948" s="2" t="s">
        <v>122</v>
      </c>
      <c r="O948" s="2" t="s">
        <v>253</v>
      </c>
      <c r="P948" s="2" t="s">
        <v>649</v>
      </c>
      <c r="Q948" s="2" t="s">
        <v>351</v>
      </c>
      <c r="R948" s="2">
        <v>30565</v>
      </c>
      <c r="S948" s="2">
        <v>30565</v>
      </c>
      <c r="T948" s="2" t="s">
        <v>705</v>
      </c>
      <c r="U948" s="2" t="s">
        <v>705</v>
      </c>
      <c r="V948" s="2" t="s">
        <v>705</v>
      </c>
      <c r="W948" s="2" t="s">
        <v>705</v>
      </c>
      <c r="X948" s="2" t="s">
        <v>6420</v>
      </c>
      <c r="Y948" s="2" t="s">
        <v>6421</v>
      </c>
      <c r="Z948" s="2" t="s">
        <v>6422</v>
      </c>
      <c r="AA948" s="2" t="s">
        <v>6423</v>
      </c>
      <c r="AB948" s="2" t="s">
        <v>798</v>
      </c>
      <c r="AC948" s="2" t="s">
        <v>632</v>
      </c>
      <c r="AE948" s="2">
        <v>81954644</v>
      </c>
      <c r="AJ948" s="2">
        <v>81954644</v>
      </c>
      <c r="AK948" s="2">
        <v>4</v>
      </c>
      <c r="AL948" s="2" t="s">
        <v>633</v>
      </c>
      <c r="AM948" s="2">
        <v>0</v>
      </c>
      <c r="AN948" s="2">
        <v>0</v>
      </c>
      <c r="AO948" s="2">
        <v>1</v>
      </c>
      <c r="AP948" s="2">
        <v>0</v>
      </c>
      <c r="AQ948" s="2">
        <v>0</v>
      </c>
      <c r="AR948" s="2">
        <v>0</v>
      </c>
      <c r="AS948" s="2">
        <v>0</v>
      </c>
      <c r="AT948" s="2">
        <v>0</v>
      </c>
      <c r="AZ948" s="2" t="s">
        <v>6424</v>
      </c>
      <c r="BB948" s="2" t="str">
        <f>+PROPER(BD[[#This Row],[PRIMER_APELLIDO]])</f>
        <v>Escobar</v>
      </c>
    </row>
    <row r="949" spans="1:54" x14ac:dyDescent="0.25">
      <c r="A949" s="2">
        <v>948</v>
      </c>
      <c r="B949" s="2">
        <v>33071</v>
      </c>
      <c r="C949" s="2" t="s">
        <v>619</v>
      </c>
      <c r="D949" s="2" t="s">
        <v>620</v>
      </c>
      <c r="E949" s="2" t="s">
        <v>6425</v>
      </c>
      <c r="F949" s="2">
        <v>21669859</v>
      </c>
      <c r="G949" s="3">
        <v>38.991780821917807</v>
      </c>
      <c r="H949" s="2" t="s">
        <v>622</v>
      </c>
      <c r="I949" s="2" t="s">
        <v>6426</v>
      </c>
      <c r="J949" s="2" t="str">
        <f>+IF(BD[[#This Row],[DEPARTAMENTO_INSS]]="MANAGUA","_01_","_02_")</f>
        <v>_02_</v>
      </c>
      <c r="K949" s="2" t="str">
        <f>+CONCATENATE(BD[[#This Row],[Columna3]],BD[[#This Row],[Columna4]],BD[[#This Row],[NOMBRE COMPLETO]])</f>
        <v>E003_02_LORNA JUSTINA FUENTES FLORES</v>
      </c>
      <c r="L949" s="2" t="s">
        <v>6427</v>
      </c>
      <c r="M949" s="2" t="s">
        <v>6428</v>
      </c>
      <c r="N949" s="2" t="s">
        <v>379</v>
      </c>
      <c r="O949" s="2" t="s">
        <v>58</v>
      </c>
      <c r="P949" s="2" t="s">
        <v>626</v>
      </c>
      <c r="Q949" s="2" t="s">
        <v>351</v>
      </c>
      <c r="R949" s="2">
        <v>30564</v>
      </c>
      <c r="S949" s="2">
        <v>30564</v>
      </c>
      <c r="T949" s="2" t="s">
        <v>705</v>
      </c>
      <c r="U949" s="2" t="s">
        <v>705</v>
      </c>
      <c r="V949" s="2" t="s">
        <v>705</v>
      </c>
      <c r="W949" s="2" t="s">
        <v>705</v>
      </c>
      <c r="X949" s="2" t="s">
        <v>6429</v>
      </c>
      <c r="Y949" s="2" t="s">
        <v>6430</v>
      </c>
      <c r="AA949" s="2" t="s">
        <v>6431</v>
      </c>
      <c r="AB949" s="2" t="s">
        <v>642</v>
      </c>
      <c r="AC949" s="2" t="s">
        <v>632</v>
      </c>
      <c r="AD949" s="2">
        <v>86980605</v>
      </c>
      <c r="AE949" s="2">
        <v>87761995</v>
      </c>
      <c r="AJ949" s="2">
        <v>86980605</v>
      </c>
      <c r="AK949" s="2">
        <v>2</v>
      </c>
      <c r="AL949" s="2" t="s">
        <v>633</v>
      </c>
      <c r="AM949" s="2">
        <v>0</v>
      </c>
      <c r="AN949" s="2">
        <v>0</v>
      </c>
      <c r="AO949" s="2">
        <v>1</v>
      </c>
      <c r="AP949" s="2">
        <v>0</v>
      </c>
      <c r="AQ949" s="2">
        <v>0</v>
      </c>
      <c r="AR949" s="2">
        <v>0</v>
      </c>
      <c r="AS949" s="2">
        <v>0</v>
      </c>
      <c r="AT949" s="2">
        <v>0</v>
      </c>
      <c r="BB949" s="2" t="str">
        <f>+PROPER(BD[[#This Row],[PRIMER_APELLIDO]])</f>
        <v>Fuentes</v>
      </c>
    </row>
    <row r="950" spans="1:54" x14ac:dyDescent="0.25">
      <c r="A950" s="2">
        <v>949</v>
      </c>
      <c r="B950" s="2">
        <v>46385</v>
      </c>
      <c r="C950" s="2" t="s">
        <v>619</v>
      </c>
      <c r="D950" s="2" t="s">
        <v>620</v>
      </c>
      <c r="E950" s="2" t="s">
        <v>6432</v>
      </c>
      <c r="F950" s="2">
        <v>25025541</v>
      </c>
      <c r="G950" s="3">
        <v>38.991780821917807</v>
      </c>
      <c r="H950" s="2" t="s">
        <v>622</v>
      </c>
      <c r="I950" s="2" t="s">
        <v>6433</v>
      </c>
      <c r="J950" s="2" t="str">
        <f>+IF(BD[[#This Row],[DEPARTAMENTO_INSS]]="MANAGUA","_01_","_02_")</f>
        <v>_02_</v>
      </c>
      <c r="K950" s="2" t="str">
        <f>+CONCATENATE(BD[[#This Row],[Columna3]],BD[[#This Row],[Columna4]],BD[[#This Row],[NOMBRE COMPLETO]])</f>
        <v>E003_02_JAZER ILICH MARTINEZ DIAZ</v>
      </c>
      <c r="L950" s="2" t="s">
        <v>6434</v>
      </c>
      <c r="M950" s="2" t="s">
        <v>3570</v>
      </c>
      <c r="N950" s="2" t="s">
        <v>44</v>
      </c>
      <c r="O950" s="2" t="s">
        <v>91</v>
      </c>
      <c r="P950" s="2" t="s">
        <v>649</v>
      </c>
      <c r="Q950" s="2" t="s">
        <v>351</v>
      </c>
      <c r="R950" s="2">
        <v>30564</v>
      </c>
      <c r="S950" s="2">
        <v>30564</v>
      </c>
      <c r="T950" s="2" t="s">
        <v>669</v>
      </c>
      <c r="U950" s="2" t="s">
        <v>669</v>
      </c>
      <c r="V950" s="2" t="s">
        <v>669</v>
      </c>
      <c r="W950" s="2" t="s">
        <v>669</v>
      </c>
      <c r="X950" s="2" t="s">
        <v>6435</v>
      </c>
      <c r="Y950" s="2" t="s">
        <v>6436</v>
      </c>
      <c r="AA950" s="2" t="s">
        <v>6437</v>
      </c>
      <c r="AB950" s="2" t="s">
        <v>798</v>
      </c>
      <c r="AC950" s="2" t="s">
        <v>632</v>
      </c>
      <c r="AE950" s="2">
        <v>83896502</v>
      </c>
      <c r="AJ950" s="2">
        <v>83896502</v>
      </c>
      <c r="AK950" s="2">
        <v>2</v>
      </c>
      <c r="AL950" s="2" t="s">
        <v>633</v>
      </c>
      <c r="AM950" s="2">
        <v>0</v>
      </c>
      <c r="AN950" s="2">
        <v>0</v>
      </c>
      <c r="AO950" s="2">
        <v>1</v>
      </c>
      <c r="AP950" s="2">
        <v>0</v>
      </c>
      <c r="AQ950" s="2">
        <v>0</v>
      </c>
      <c r="AR950" s="2">
        <v>0</v>
      </c>
      <c r="AS950" s="2">
        <v>0</v>
      </c>
      <c r="AT950" s="2">
        <v>0</v>
      </c>
      <c r="BB950" s="2" t="str">
        <f>+PROPER(BD[[#This Row],[PRIMER_APELLIDO]])</f>
        <v>Martinez</v>
      </c>
    </row>
    <row r="951" spans="1:54" x14ac:dyDescent="0.25">
      <c r="A951" s="2">
        <v>950</v>
      </c>
      <c r="B951" s="2">
        <v>38218</v>
      </c>
      <c r="C951" s="2" t="s">
        <v>619</v>
      </c>
      <c r="D951" s="2" t="s">
        <v>620</v>
      </c>
      <c r="E951" s="2" t="s">
        <v>6438</v>
      </c>
      <c r="F951" s="2">
        <v>23417421</v>
      </c>
      <c r="G951" s="3">
        <v>38.9972602739726</v>
      </c>
      <c r="H951" s="2" t="s">
        <v>622</v>
      </c>
      <c r="I951" s="2" t="s">
        <v>6439</v>
      </c>
      <c r="J951" s="2" t="str">
        <f>+IF(BD[[#This Row],[DEPARTAMENTO_INSS]]="MANAGUA","_01_","_02_")</f>
        <v>_02_</v>
      </c>
      <c r="K951" s="2" t="str">
        <f>+CONCATENATE(BD[[#This Row],[Columna3]],BD[[#This Row],[Columna4]],BD[[#This Row],[NOMBRE COMPLETO]])</f>
        <v>E003_02_ARACELY DEL ROSARIO ICABELCETA RAUDEZ</v>
      </c>
      <c r="L951" s="2" t="s">
        <v>1258</v>
      </c>
      <c r="M951" s="2" t="s">
        <v>1070</v>
      </c>
      <c r="N951" s="2" t="s">
        <v>406</v>
      </c>
      <c r="O951" s="2" t="s">
        <v>6440</v>
      </c>
      <c r="P951" s="2" t="s">
        <v>626</v>
      </c>
      <c r="Q951" s="2" t="s">
        <v>351</v>
      </c>
      <c r="R951" s="2">
        <v>30562</v>
      </c>
      <c r="S951" s="2">
        <v>30562</v>
      </c>
      <c r="T951" s="2" t="s">
        <v>669</v>
      </c>
      <c r="U951" s="2" t="s">
        <v>929</v>
      </c>
      <c r="V951" s="2" t="s">
        <v>1561</v>
      </c>
      <c r="W951" s="2" t="s">
        <v>1653</v>
      </c>
      <c r="X951" s="2" t="s">
        <v>6441</v>
      </c>
      <c r="Y951" s="2" t="s">
        <v>6442</v>
      </c>
      <c r="Z951" s="2">
        <v>88367447</v>
      </c>
      <c r="AA951" s="2">
        <v>88367447</v>
      </c>
      <c r="AB951" s="2" t="s">
        <v>642</v>
      </c>
      <c r="AC951" s="2" t="s">
        <v>632</v>
      </c>
      <c r="AD951" s="2">
        <v>88367447</v>
      </c>
      <c r="AJ951" s="2">
        <v>88367447</v>
      </c>
      <c r="AK951" s="2">
        <v>2</v>
      </c>
      <c r="AL951" s="2" t="s">
        <v>633</v>
      </c>
      <c r="AM951" s="2">
        <v>0</v>
      </c>
      <c r="AN951" s="2">
        <v>0</v>
      </c>
      <c r="AO951" s="2">
        <v>1</v>
      </c>
      <c r="AP951" s="2">
        <v>0</v>
      </c>
      <c r="AQ951" s="2">
        <v>0</v>
      </c>
      <c r="AR951" s="2">
        <v>0</v>
      </c>
      <c r="AS951" s="2">
        <v>0</v>
      </c>
      <c r="AT951" s="2">
        <v>0</v>
      </c>
      <c r="AZ951" s="2" t="s">
        <v>6443</v>
      </c>
      <c r="BB951" s="2" t="str">
        <f>+PROPER(BD[[#This Row],[PRIMER_APELLIDO]])</f>
        <v>Icabelceta</v>
      </c>
    </row>
    <row r="952" spans="1:54" x14ac:dyDescent="0.25">
      <c r="A952" s="2">
        <v>951</v>
      </c>
      <c r="B952" s="2">
        <v>31950</v>
      </c>
      <c r="C952" s="2" t="s">
        <v>619</v>
      </c>
      <c r="D952" s="2" t="s">
        <v>620</v>
      </c>
      <c r="E952" s="2" t="s">
        <v>6444</v>
      </c>
      <c r="F952" s="2">
        <v>16244649</v>
      </c>
      <c r="G952" s="3">
        <v>39</v>
      </c>
      <c r="H952" s="2" t="s">
        <v>622</v>
      </c>
      <c r="I952" s="2" t="s">
        <v>6445</v>
      </c>
      <c r="J952" s="2" t="str">
        <f>+IF(BD[[#This Row],[DEPARTAMENTO_INSS]]="MANAGUA","_01_","_02_")</f>
        <v>_01_</v>
      </c>
      <c r="K952" s="2" t="str">
        <f>+CONCATENATE(BD[[#This Row],[Columna3]],BD[[#This Row],[Columna4]],BD[[#This Row],[NOMBRE COMPLETO]])</f>
        <v>E003_01_ARIANA DEL CARMEN URBINA GUERRERO</v>
      </c>
      <c r="L952" s="2" t="s">
        <v>1913</v>
      </c>
      <c r="M952" s="2" t="s">
        <v>961</v>
      </c>
      <c r="N952" s="2" t="s">
        <v>86</v>
      </c>
      <c r="O952" s="2" t="s">
        <v>275</v>
      </c>
      <c r="P952" s="2" t="s">
        <v>626</v>
      </c>
      <c r="Q952" s="2" t="s">
        <v>351</v>
      </c>
      <c r="R952" s="2">
        <v>30561</v>
      </c>
      <c r="S952" s="2">
        <v>30561</v>
      </c>
      <c r="T952" s="2" t="s">
        <v>627</v>
      </c>
      <c r="U952" s="2" t="s">
        <v>627</v>
      </c>
      <c r="V952" s="2" t="s">
        <v>627</v>
      </c>
      <c r="W952" s="2" t="s">
        <v>627</v>
      </c>
      <c r="X952" s="2" t="s">
        <v>6446</v>
      </c>
      <c r="Y952" s="2" t="s">
        <v>6447</v>
      </c>
      <c r="AA952" s="2">
        <v>22798890</v>
      </c>
      <c r="AB952" s="2" t="s">
        <v>654</v>
      </c>
      <c r="AC952" s="2" t="s">
        <v>632</v>
      </c>
      <c r="AK952" s="2">
        <v>1</v>
      </c>
      <c r="AL952" s="2" t="s">
        <v>633</v>
      </c>
      <c r="AM952" s="2">
        <v>0</v>
      </c>
      <c r="AN952" s="2">
        <v>0</v>
      </c>
      <c r="AO952" s="2">
        <v>1</v>
      </c>
      <c r="AP952" s="2">
        <v>0</v>
      </c>
      <c r="AQ952" s="2">
        <v>0</v>
      </c>
      <c r="AR952" s="2">
        <v>0</v>
      </c>
      <c r="AS952" s="2">
        <v>0</v>
      </c>
      <c r="AT952" s="2">
        <v>0</v>
      </c>
      <c r="BB952" s="2" t="str">
        <f>+PROPER(BD[[#This Row],[PRIMER_APELLIDO]])</f>
        <v>Urbina</v>
      </c>
    </row>
    <row r="953" spans="1:54" x14ac:dyDescent="0.25">
      <c r="A953" s="2">
        <v>952</v>
      </c>
      <c r="B953" s="2">
        <v>48156</v>
      </c>
      <c r="C953" s="2" t="s">
        <v>619</v>
      </c>
      <c r="D953" s="2" t="s">
        <v>620</v>
      </c>
      <c r="E953" s="2" t="s">
        <v>6448</v>
      </c>
      <c r="F953" s="2">
        <v>25024551</v>
      </c>
      <c r="G953" s="3">
        <v>39</v>
      </c>
      <c r="H953" s="2" t="s">
        <v>622</v>
      </c>
      <c r="I953" s="2" t="s">
        <v>6449</v>
      </c>
      <c r="J953" s="2" t="str">
        <f>+IF(BD[[#This Row],[DEPARTAMENTO_INSS]]="MANAGUA","_01_","_02_")</f>
        <v>_02_</v>
      </c>
      <c r="K953" s="2" t="str">
        <f>+CONCATENATE(BD[[#This Row],[Columna3]],BD[[#This Row],[Columna4]],BD[[#This Row],[NOMBRE COMPLETO]])</f>
        <v>E003_02_PAOLA JUANITA LARGAESPADA DIXON</v>
      </c>
      <c r="L953" s="2" t="s">
        <v>1823</v>
      </c>
      <c r="M953" s="2" t="s">
        <v>6450</v>
      </c>
      <c r="N953" s="2" t="s">
        <v>23</v>
      </c>
      <c r="O953" s="2" t="s">
        <v>4591</v>
      </c>
      <c r="P953" s="2" t="s">
        <v>626</v>
      </c>
      <c r="Q953" s="2" t="s">
        <v>351</v>
      </c>
      <c r="R953" s="2">
        <v>30561</v>
      </c>
      <c r="S953" s="2">
        <v>30561</v>
      </c>
      <c r="T953" s="2" t="s">
        <v>133</v>
      </c>
      <c r="U953" s="2" t="s">
        <v>133</v>
      </c>
      <c r="V953" s="2" t="s">
        <v>869</v>
      </c>
      <c r="W953" s="2" t="s">
        <v>869</v>
      </c>
      <c r="X953" s="2" t="s">
        <v>6451</v>
      </c>
      <c r="Y953" s="2" t="s">
        <v>6452</v>
      </c>
      <c r="Z953" s="2">
        <v>87251586</v>
      </c>
      <c r="AA953" s="2">
        <v>87251586</v>
      </c>
      <c r="AB953" s="2" t="s">
        <v>631</v>
      </c>
      <c r="AC953" s="2" t="s">
        <v>632</v>
      </c>
      <c r="AD953" s="2">
        <v>87251586</v>
      </c>
      <c r="AJ953" s="2">
        <v>87251586</v>
      </c>
      <c r="AK953" s="2">
        <v>2</v>
      </c>
      <c r="AL953" s="2" t="s">
        <v>633</v>
      </c>
      <c r="AM953" s="2">
        <v>0</v>
      </c>
      <c r="AN953" s="2">
        <v>0</v>
      </c>
      <c r="AO953" s="2">
        <v>1</v>
      </c>
      <c r="AP953" s="2">
        <v>0</v>
      </c>
      <c r="AQ953" s="2">
        <v>0</v>
      </c>
      <c r="AR953" s="2">
        <v>0</v>
      </c>
      <c r="AS953" s="2">
        <v>0</v>
      </c>
      <c r="AT953" s="2">
        <v>0</v>
      </c>
      <c r="AZ953" s="2" t="s">
        <v>6453</v>
      </c>
      <c r="BB953" s="2" t="str">
        <f>+PROPER(BD[[#This Row],[PRIMER_APELLIDO]])</f>
        <v>Largaespada</v>
      </c>
    </row>
    <row r="954" spans="1:54" x14ac:dyDescent="0.25">
      <c r="A954" s="2">
        <v>953</v>
      </c>
      <c r="B954" s="2">
        <v>46911</v>
      </c>
      <c r="C954" s="2" t="s">
        <v>619</v>
      </c>
      <c r="D954" s="2" t="s">
        <v>620</v>
      </c>
      <c r="E954" s="2" t="s">
        <v>6454</v>
      </c>
      <c r="F954" s="2">
        <v>25022917</v>
      </c>
      <c r="G954" s="3">
        <v>39.0027397260274</v>
      </c>
      <c r="H954" s="2" t="s">
        <v>622</v>
      </c>
      <c r="I954" s="2" t="s">
        <v>6455</v>
      </c>
      <c r="J954" s="2" t="str">
        <f>+IF(BD[[#This Row],[DEPARTAMENTO_INSS]]="MANAGUA","_01_","_02_")</f>
        <v>_01_</v>
      </c>
      <c r="K954" s="2" t="str">
        <f>+CONCATENATE(BD[[#This Row],[Columna3]],BD[[#This Row],[Columna4]],BD[[#This Row],[NOMBRE COMPLETO]])</f>
        <v>E003_01_DAVID ALBERTO GARCIA ANDRADE</v>
      </c>
      <c r="L954" s="2" t="s">
        <v>916</v>
      </c>
      <c r="M954" s="2" t="s">
        <v>1699</v>
      </c>
      <c r="N954" s="2" t="s">
        <v>10</v>
      </c>
      <c r="O954" s="2" t="s">
        <v>514</v>
      </c>
      <c r="P954" s="2" t="s">
        <v>649</v>
      </c>
      <c r="Q954" s="2" t="s">
        <v>351</v>
      </c>
      <c r="R954" s="2">
        <v>30560</v>
      </c>
      <c r="S954" s="2">
        <v>30560</v>
      </c>
      <c r="T954" s="2" t="s">
        <v>627</v>
      </c>
      <c r="U954" s="2" t="s">
        <v>627</v>
      </c>
      <c r="V954" s="2" t="s">
        <v>627</v>
      </c>
      <c r="W954" s="2" t="s">
        <v>627</v>
      </c>
      <c r="X954" s="2" t="s">
        <v>6456</v>
      </c>
      <c r="Y954" s="2" t="s">
        <v>6457</v>
      </c>
      <c r="Z954" s="2">
        <v>85416615</v>
      </c>
      <c r="AA954" s="2" t="s">
        <v>6458</v>
      </c>
      <c r="AB954" s="2" t="s">
        <v>798</v>
      </c>
      <c r="AC954" s="2" t="s">
        <v>632</v>
      </c>
      <c r="AD954" s="2">
        <v>85416615</v>
      </c>
      <c r="AJ954" s="2">
        <v>85416615</v>
      </c>
      <c r="AK954" s="2">
        <v>3</v>
      </c>
      <c r="AL954" s="2" t="s">
        <v>633</v>
      </c>
      <c r="AM954" s="2">
        <v>0</v>
      </c>
      <c r="AN954" s="2">
        <v>0</v>
      </c>
      <c r="AO954" s="2">
        <v>1</v>
      </c>
      <c r="AP954" s="2">
        <v>0</v>
      </c>
      <c r="AQ954" s="2">
        <v>0</v>
      </c>
      <c r="AR954" s="2">
        <v>0</v>
      </c>
      <c r="AS954" s="2">
        <v>0</v>
      </c>
      <c r="AT954" s="2">
        <v>0</v>
      </c>
      <c r="AZ954" s="2" t="s">
        <v>6459</v>
      </c>
      <c r="BB954" s="2" t="str">
        <f>+PROPER(BD[[#This Row],[PRIMER_APELLIDO]])</f>
        <v>Garcia</v>
      </c>
    </row>
    <row r="955" spans="1:54" x14ac:dyDescent="0.25">
      <c r="A955" s="2">
        <v>954</v>
      </c>
      <c r="B955" s="2">
        <v>32576</v>
      </c>
      <c r="C955" s="2" t="s">
        <v>619</v>
      </c>
      <c r="D955" s="2" t="s">
        <v>620</v>
      </c>
      <c r="E955" s="2" t="s">
        <v>6460</v>
      </c>
      <c r="F955" s="2">
        <v>21715372</v>
      </c>
      <c r="G955" s="3">
        <v>39.019178082191779</v>
      </c>
      <c r="H955" s="2" t="s">
        <v>622</v>
      </c>
      <c r="I955" s="2" t="s">
        <v>6461</v>
      </c>
      <c r="J955" s="2" t="str">
        <f>+IF(BD[[#This Row],[DEPARTAMENTO_INSS]]="MANAGUA","_01_","_02_")</f>
        <v>_01_</v>
      </c>
      <c r="K955" s="2" t="str">
        <f>+CONCATENATE(BD[[#This Row],[Columna3]],BD[[#This Row],[Columna4]],BD[[#This Row],[NOMBRE COMPLETO]])</f>
        <v>E003_01_EDGARD OMAR BERRIOS MUÑIZ</v>
      </c>
      <c r="L955" s="2" t="s">
        <v>1479</v>
      </c>
      <c r="M955" s="2" t="s">
        <v>2996</v>
      </c>
      <c r="N955" s="2" t="s">
        <v>108</v>
      </c>
      <c r="O955" s="2" t="s">
        <v>6462</v>
      </c>
      <c r="P955" s="2" t="s">
        <v>649</v>
      </c>
      <c r="Q955" s="2" t="s">
        <v>351</v>
      </c>
      <c r="R955" s="2">
        <v>30554</v>
      </c>
      <c r="S955" s="2">
        <v>30554</v>
      </c>
      <c r="T955" s="2" t="s">
        <v>176</v>
      </c>
      <c r="U955" s="2" t="s">
        <v>627</v>
      </c>
      <c r="V955" s="2" t="s">
        <v>650</v>
      </c>
      <c r="W955" s="2" t="s">
        <v>627</v>
      </c>
      <c r="X955" s="2" t="s">
        <v>6463</v>
      </c>
      <c r="Y955" s="2" t="s">
        <v>6464</v>
      </c>
      <c r="Z955" s="2" t="s">
        <v>6465</v>
      </c>
      <c r="AA955" s="2" t="s">
        <v>6466</v>
      </c>
      <c r="AB955" s="2" t="s">
        <v>654</v>
      </c>
      <c r="AC955" s="2" t="s">
        <v>632</v>
      </c>
      <c r="AD955" s="2">
        <v>85117896</v>
      </c>
      <c r="AE955" s="2">
        <v>86551061</v>
      </c>
      <c r="AG955" s="2">
        <v>86551061</v>
      </c>
      <c r="AJ955" s="2">
        <v>85117896</v>
      </c>
      <c r="AK955" s="2">
        <v>4</v>
      </c>
      <c r="AL955" s="2" t="s">
        <v>633</v>
      </c>
      <c r="AM955" s="2">
        <v>0</v>
      </c>
      <c r="AN955" s="2">
        <v>0</v>
      </c>
      <c r="AO955" s="2">
        <v>1</v>
      </c>
      <c r="AP955" s="2">
        <v>0</v>
      </c>
      <c r="AQ955" s="2">
        <v>0</v>
      </c>
      <c r="AR955" s="2">
        <v>0</v>
      </c>
      <c r="AS955" s="2">
        <v>0</v>
      </c>
      <c r="AT955" s="2">
        <v>0</v>
      </c>
      <c r="AZ955" s="2" t="s">
        <v>6467</v>
      </c>
      <c r="BB955" s="2" t="str">
        <f>+PROPER(BD[[#This Row],[PRIMER_APELLIDO]])</f>
        <v>Berrios</v>
      </c>
    </row>
    <row r="956" spans="1:54" x14ac:dyDescent="0.25">
      <c r="A956" s="2">
        <v>955</v>
      </c>
      <c r="B956" s="2">
        <v>35153</v>
      </c>
      <c r="C956" s="2" t="s">
        <v>619</v>
      </c>
      <c r="D956" s="2" t="s">
        <v>620</v>
      </c>
      <c r="E956" s="2" t="s">
        <v>6468</v>
      </c>
      <c r="F956" s="2">
        <v>22138794</v>
      </c>
      <c r="G956" s="3">
        <v>39.024657534246572</v>
      </c>
      <c r="H956" s="2" t="s">
        <v>622</v>
      </c>
      <c r="I956" s="2" t="s">
        <v>6469</v>
      </c>
      <c r="J956" s="2" t="str">
        <f>+IF(BD[[#This Row],[DEPARTAMENTO_INSS]]="MANAGUA","_01_","_02_")</f>
        <v>_01_</v>
      </c>
      <c r="K956" s="2" t="str">
        <f>+CONCATENATE(BD[[#This Row],[Columna3]],BD[[#This Row],[Columna4]],BD[[#This Row],[NOMBRE COMPLETO]])</f>
        <v>E003_01_ANA LISSETH SAENZ LARIOS</v>
      </c>
      <c r="L956" s="2" t="s">
        <v>860</v>
      </c>
      <c r="M956" s="2" t="s">
        <v>2080</v>
      </c>
      <c r="N956" s="2" t="s">
        <v>317</v>
      </c>
      <c r="O956" s="2" t="s">
        <v>512</v>
      </c>
      <c r="P956" s="2" t="s">
        <v>626</v>
      </c>
      <c r="Q956" s="2" t="s">
        <v>351</v>
      </c>
      <c r="R956" s="2">
        <v>30552</v>
      </c>
      <c r="S956" s="2">
        <v>30552</v>
      </c>
      <c r="T956" s="2" t="s">
        <v>627</v>
      </c>
      <c r="U956" s="2" t="s">
        <v>627</v>
      </c>
      <c r="V956" s="2" t="s">
        <v>627</v>
      </c>
      <c r="W956" s="2" t="s">
        <v>627</v>
      </c>
      <c r="X956" s="2" t="s">
        <v>6470</v>
      </c>
      <c r="Y956" s="2" t="s">
        <v>6471</v>
      </c>
      <c r="Z956" s="2">
        <v>89149200</v>
      </c>
      <c r="AA956" s="2" t="s">
        <v>6472</v>
      </c>
      <c r="AB956" s="2" t="s">
        <v>654</v>
      </c>
      <c r="AC956" s="2" t="s">
        <v>632</v>
      </c>
      <c r="AD956" s="2">
        <v>89149200</v>
      </c>
      <c r="AE956" s="2">
        <v>57185329</v>
      </c>
      <c r="AJ956" s="2">
        <v>89149200</v>
      </c>
      <c r="AK956" s="2">
        <v>3</v>
      </c>
      <c r="AL956" s="2" t="s">
        <v>633</v>
      </c>
      <c r="AM956" s="2">
        <v>0</v>
      </c>
      <c r="AN956" s="2">
        <v>0</v>
      </c>
      <c r="AO956" s="2">
        <v>1</v>
      </c>
      <c r="AP956" s="2">
        <v>0</v>
      </c>
      <c r="AQ956" s="2">
        <v>0</v>
      </c>
      <c r="AR956" s="2">
        <v>0</v>
      </c>
      <c r="AS956" s="2">
        <v>0</v>
      </c>
      <c r="AT956" s="2">
        <v>0</v>
      </c>
      <c r="AZ956" s="2" t="s">
        <v>6473</v>
      </c>
      <c r="BB956" s="2" t="str">
        <f>+PROPER(BD[[#This Row],[PRIMER_APELLIDO]])</f>
        <v>Saenz</v>
      </c>
    </row>
    <row r="957" spans="1:54" x14ac:dyDescent="0.25">
      <c r="A957" s="2">
        <v>956</v>
      </c>
      <c r="B957" s="2">
        <v>25850</v>
      </c>
      <c r="C957" s="2" t="s">
        <v>619</v>
      </c>
      <c r="D957" s="2" t="s">
        <v>620</v>
      </c>
      <c r="E957" s="2" t="s">
        <v>6474</v>
      </c>
      <c r="F957" s="2">
        <v>21589953</v>
      </c>
      <c r="G957" s="3">
        <v>39.027397260273972</v>
      </c>
      <c r="H957" s="2" t="s">
        <v>622</v>
      </c>
      <c r="I957" s="2" t="s">
        <v>6475</v>
      </c>
      <c r="J957" s="2" t="str">
        <f>+IF(BD[[#This Row],[DEPARTAMENTO_INSS]]="MANAGUA","_01_","_02_")</f>
        <v>_02_</v>
      </c>
      <c r="K957" s="2" t="str">
        <f>+CONCATENATE(BD[[#This Row],[Columna3]],BD[[#This Row],[Columna4]],BD[[#This Row],[NOMBRE COMPLETO]])</f>
        <v>E003_02_WLADIMIR RAFAEL NARVAEZ ROJAS</v>
      </c>
      <c r="L957" s="2" t="s">
        <v>6476</v>
      </c>
      <c r="M957" s="2" t="s">
        <v>1857</v>
      </c>
      <c r="N957" s="2" t="s">
        <v>121</v>
      </c>
      <c r="O957" s="2" t="s">
        <v>105</v>
      </c>
      <c r="P957" s="2" t="s">
        <v>649</v>
      </c>
      <c r="Q957" s="2" t="s">
        <v>351</v>
      </c>
      <c r="R957" s="2">
        <v>30551</v>
      </c>
      <c r="S957" s="2">
        <v>30551</v>
      </c>
      <c r="T957" s="2" t="s">
        <v>627</v>
      </c>
      <c r="U957" s="2" t="s">
        <v>176</v>
      </c>
      <c r="V957" s="2" t="s">
        <v>627</v>
      </c>
      <c r="W957" s="2" t="s">
        <v>176</v>
      </c>
      <c r="X957" s="2" t="s">
        <v>6477</v>
      </c>
      <c r="Y957" s="2" t="s">
        <v>6478</v>
      </c>
      <c r="Z957" s="2">
        <v>88442021</v>
      </c>
      <c r="AA957" s="2">
        <v>88442021</v>
      </c>
      <c r="AB957" s="2" t="s">
        <v>654</v>
      </c>
      <c r="AC957" s="2" t="s">
        <v>632</v>
      </c>
      <c r="AD957" s="2">
        <v>88442021</v>
      </c>
      <c r="AJ957" s="2">
        <v>88442021</v>
      </c>
      <c r="AK957" s="2">
        <v>2</v>
      </c>
      <c r="AL957" s="2" t="s">
        <v>633</v>
      </c>
      <c r="AM957" s="2">
        <v>0</v>
      </c>
      <c r="AN957" s="2">
        <v>0</v>
      </c>
      <c r="AO957" s="2">
        <v>1</v>
      </c>
      <c r="AP957" s="2">
        <v>0</v>
      </c>
      <c r="AQ957" s="2">
        <v>0</v>
      </c>
      <c r="AR957" s="2">
        <v>0</v>
      </c>
      <c r="AS957" s="2">
        <v>0</v>
      </c>
      <c r="AT957" s="2">
        <v>0</v>
      </c>
      <c r="AZ957" s="2" t="s">
        <v>6479</v>
      </c>
      <c r="BB957" s="2" t="str">
        <f>+PROPER(BD[[#This Row],[PRIMER_APELLIDO]])</f>
        <v>Narvaez</v>
      </c>
    </row>
    <row r="958" spans="1:54" x14ac:dyDescent="0.25">
      <c r="A958" s="2">
        <v>957</v>
      </c>
      <c r="B958" s="2">
        <v>45792</v>
      </c>
      <c r="C958" s="2" t="s">
        <v>619</v>
      </c>
      <c r="D958" s="2" t="s">
        <v>620</v>
      </c>
      <c r="E958" s="2" t="s">
        <v>6480</v>
      </c>
      <c r="G958" s="3">
        <v>39.027397260273972</v>
      </c>
      <c r="H958" s="2" t="s">
        <v>622</v>
      </c>
      <c r="I958" s="2" t="s">
        <v>6481</v>
      </c>
      <c r="J958" s="2" t="str">
        <f>+IF(BD[[#This Row],[DEPARTAMENTO_INSS]]="MANAGUA","_01_","_02_")</f>
        <v>_02_</v>
      </c>
      <c r="K958" s="2" t="str">
        <f>+CONCATENATE(BD[[#This Row],[Columna3]],BD[[#This Row],[Columna4]],BD[[#This Row],[NOMBRE COMPLETO]])</f>
        <v>E003_02_XOCHILTH LUCIA HERNANDEZ LINARTE</v>
      </c>
      <c r="L958" s="2" t="s">
        <v>682</v>
      </c>
      <c r="M958" s="2" t="s">
        <v>676</v>
      </c>
      <c r="N958" s="2" t="s">
        <v>11</v>
      </c>
      <c r="O958" s="2" t="s">
        <v>214</v>
      </c>
      <c r="P958" s="2" t="s">
        <v>626</v>
      </c>
      <c r="Q958" s="2" t="s">
        <v>351</v>
      </c>
      <c r="R958" s="2">
        <v>30551</v>
      </c>
      <c r="S958" s="2">
        <v>31647</v>
      </c>
      <c r="T958" s="2" t="s">
        <v>176</v>
      </c>
      <c r="U958" s="2" t="s">
        <v>176</v>
      </c>
      <c r="V958" s="2" t="s">
        <v>3701</v>
      </c>
      <c r="W958" s="2" t="s">
        <v>3701</v>
      </c>
      <c r="X958" s="2" t="s">
        <v>6482</v>
      </c>
      <c r="Y958" s="2" t="s">
        <v>6483</v>
      </c>
      <c r="Z958" s="2">
        <v>23141076</v>
      </c>
      <c r="AA958" s="2" t="s">
        <v>6484</v>
      </c>
      <c r="AB958" s="2" t="s">
        <v>654</v>
      </c>
      <c r="AC958" s="2" t="s">
        <v>632</v>
      </c>
      <c r="AE958" s="2">
        <v>88428118</v>
      </c>
      <c r="AJ958" s="2">
        <v>88428118</v>
      </c>
      <c r="AK958" s="2">
        <v>3</v>
      </c>
      <c r="AL958" s="2" t="s">
        <v>633</v>
      </c>
      <c r="AM958" s="2">
        <v>0</v>
      </c>
      <c r="AN958" s="2">
        <v>0</v>
      </c>
      <c r="AO958" s="2">
        <v>1</v>
      </c>
      <c r="AP958" s="2">
        <v>0</v>
      </c>
      <c r="AQ958" s="2">
        <v>0</v>
      </c>
      <c r="AR958" s="2">
        <v>0</v>
      </c>
      <c r="AS958" s="2">
        <v>0</v>
      </c>
      <c r="AT958" s="2">
        <v>0</v>
      </c>
      <c r="AZ958" s="2" t="s">
        <v>6485</v>
      </c>
      <c r="BB958" s="2" t="str">
        <f>+PROPER(BD[[#This Row],[PRIMER_APELLIDO]])</f>
        <v>Hernandez</v>
      </c>
    </row>
    <row r="959" spans="1:54" x14ac:dyDescent="0.25">
      <c r="A959" s="2">
        <v>958</v>
      </c>
      <c r="B959" s="2">
        <v>25319</v>
      </c>
      <c r="C959" s="2" t="s">
        <v>619</v>
      </c>
      <c r="D959" s="2" t="s">
        <v>620</v>
      </c>
      <c r="E959" s="2" t="s">
        <v>6486</v>
      </c>
      <c r="F959" s="2">
        <v>21518694</v>
      </c>
      <c r="G959" s="3">
        <v>39.032876712328765</v>
      </c>
      <c r="H959" s="2" t="s">
        <v>622</v>
      </c>
      <c r="I959" s="2" t="s">
        <v>6487</v>
      </c>
      <c r="J959" s="2" t="str">
        <f>+IF(BD[[#This Row],[DEPARTAMENTO_INSS]]="MANAGUA","_01_","_02_")</f>
        <v>_01_</v>
      </c>
      <c r="K959" s="2" t="str">
        <f>+CONCATENATE(BD[[#This Row],[Columna3]],BD[[#This Row],[Columna4]],BD[[#This Row],[NOMBRE COMPLETO]])</f>
        <v>E003_01_MARIA DEL CARMEN ALTAMIRANO MIRANDA</v>
      </c>
      <c r="L959" s="2" t="s">
        <v>724</v>
      </c>
      <c r="M959" s="2" t="s">
        <v>961</v>
      </c>
      <c r="N959" s="2" t="s">
        <v>73</v>
      </c>
      <c r="O959" s="2" t="s">
        <v>56</v>
      </c>
      <c r="P959" s="2" t="s">
        <v>626</v>
      </c>
      <c r="Q959" s="2" t="s">
        <v>351</v>
      </c>
      <c r="R959" s="2">
        <v>30549</v>
      </c>
      <c r="S959" s="2">
        <v>30549</v>
      </c>
      <c r="T959" s="2" t="s">
        <v>627</v>
      </c>
      <c r="U959" s="2" t="s">
        <v>627</v>
      </c>
      <c r="V959" s="2" t="s">
        <v>627</v>
      </c>
      <c r="W959" s="2" t="s">
        <v>627</v>
      </c>
      <c r="X959" s="2" t="s">
        <v>6488</v>
      </c>
      <c r="Y959" s="2" t="s">
        <v>6489</v>
      </c>
      <c r="AA959" s="2" t="s">
        <v>6490</v>
      </c>
      <c r="AB959" s="2" t="s">
        <v>642</v>
      </c>
      <c r="AC959" s="2" t="s">
        <v>632</v>
      </c>
      <c r="AD959" s="2">
        <v>88250273</v>
      </c>
      <c r="AJ959" s="2">
        <v>88250273</v>
      </c>
      <c r="AK959" s="2">
        <v>4</v>
      </c>
      <c r="AL959" s="2" t="s">
        <v>633</v>
      </c>
      <c r="AM959" s="2">
        <v>0</v>
      </c>
      <c r="AN959" s="2">
        <v>0</v>
      </c>
      <c r="AO959" s="2">
        <v>1</v>
      </c>
      <c r="AP959" s="2">
        <v>0</v>
      </c>
      <c r="AQ959" s="2">
        <v>0</v>
      </c>
      <c r="AR959" s="2">
        <v>0</v>
      </c>
      <c r="AS959" s="2">
        <v>0</v>
      </c>
      <c r="AT959" s="2">
        <v>0</v>
      </c>
      <c r="BB959" s="2" t="str">
        <f>+PROPER(BD[[#This Row],[PRIMER_APELLIDO]])</f>
        <v>Altamirano</v>
      </c>
    </row>
    <row r="960" spans="1:54" x14ac:dyDescent="0.25">
      <c r="A960" s="2">
        <v>959</v>
      </c>
      <c r="B960" s="2">
        <v>34075</v>
      </c>
      <c r="C960" s="2" t="s">
        <v>619</v>
      </c>
      <c r="D960" s="2" t="s">
        <v>620</v>
      </c>
      <c r="E960" s="2" t="s">
        <v>6491</v>
      </c>
      <c r="F960" s="2">
        <v>22388942</v>
      </c>
      <c r="G960" s="3">
        <v>39.035616438356165</v>
      </c>
      <c r="H960" s="2" t="s">
        <v>622</v>
      </c>
      <c r="I960" s="2" t="s">
        <v>6492</v>
      </c>
      <c r="J960" s="2" t="str">
        <f>+IF(BD[[#This Row],[DEPARTAMENTO_INSS]]="MANAGUA","_01_","_02_")</f>
        <v>_02_</v>
      </c>
      <c r="K960" s="2" t="str">
        <f>+CONCATENATE(BD[[#This Row],[Columna3]],BD[[#This Row],[Columna4]],BD[[#This Row],[NOMBRE COMPLETO]])</f>
        <v>E003_02_KENHYA JHAEL VIDEA ESTRADA</v>
      </c>
      <c r="L960" s="2" t="s">
        <v>6493</v>
      </c>
      <c r="M960" s="2" t="s">
        <v>6494</v>
      </c>
      <c r="N960" s="2" t="s">
        <v>195</v>
      </c>
      <c r="O960" s="2" t="s">
        <v>225</v>
      </c>
      <c r="P960" s="2" t="s">
        <v>626</v>
      </c>
      <c r="Q960" s="2" t="s">
        <v>351</v>
      </c>
      <c r="R960" s="2">
        <v>30548</v>
      </c>
      <c r="S960" s="2">
        <v>30548</v>
      </c>
      <c r="T960" s="2" t="s">
        <v>176</v>
      </c>
      <c r="U960" s="2" t="s">
        <v>691</v>
      </c>
      <c r="V960" s="2" t="s">
        <v>650</v>
      </c>
      <c r="W960" s="2" t="s">
        <v>691</v>
      </c>
      <c r="X960" s="2" t="s">
        <v>6495</v>
      </c>
      <c r="Y960" s="2" t="s">
        <v>6496</v>
      </c>
      <c r="Z960" s="2">
        <v>58440252</v>
      </c>
      <c r="AA960" s="2">
        <v>23112888</v>
      </c>
      <c r="AB960" s="2" t="s">
        <v>642</v>
      </c>
      <c r="AC960" s="2" t="s">
        <v>632</v>
      </c>
      <c r="AD960" s="2">
        <v>58440252</v>
      </c>
      <c r="AJ960" s="2">
        <v>58440252</v>
      </c>
      <c r="AK960" s="2">
        <v>2</v>
      </c>
      <c r="AL960" s="2" t="s">
        <v>633</v>
      </c>
      <c r="AM960" s="2">
        <v>0</v>
      </c>
      <c r="AN960" s="2">
        <v>0</v>
      </c>
      <c r="AO960" s="2">
        <v>1</v>
      </c>
      <c r="AP960" s="2">
        <v>0</v>
      </c>
      <c r="AQ960" s="2">
        <v>0</v>
      </c>
      <c r="AR960" s="2">
        <v>0</v>
      </c>
      <c r="AS960" s="2">
        <v>0</v>
      </c>
      <c r="AT960" s="2">
        <v>0</v>
      </c>
      <c r="AZ960" s="2" t="s">
        <v>6497</v>
      </c>
      <c r="BB960" s="2" t="str">
        <f>+PROPER(BD[[#This Row],[PRIMER_APELLIDO]])</f>
        <v>Videa</v>
      </c>
    </row>
    <row r="961" spans="1:54" x14ac:dyDescent="0.25">
      <c r="A961" s="2">
        <v>960</v>
      </c>
      <c r="B961" s="2">
        <v>34407</v>
      </c>
      <c r="C961" s="2" t="s">
        <v>619</v>
      </c>
      <c r="D961" s="2" t="s">
        <v>620</v>
      </c>
      <c r="E961" s="2" t="s">
        <v>6498</v>
      </c>
      <c r="F961" s="2">
        <v>21719394</v>
      </c>
      <c r="G961" s="3">
        <v>39.035616438356165</v>
      </c>
      <c r="H961" s="2" t="s">
        <v>622</v>
      </c>
      <c r="I961" s="2" t="s">
        <v>6499</v>
      </c>
      <c r="J961" s="2" t="str">
        <f>+IF(BD[[#This Row],[DEPARTAMENTO_INSS]]="MANAGUA","_01_","_02_")</f>
        <v>_02_</v>
      </c>
      <c r="K961" s="2" t="str">
        <f>+CONCATENATE(BD[[#This Row],[Columna3]],BD[[#This Row],[Columna4]],BD[[#This Row],[NOMBRE COMPLETO]])</f>
        <v>E003_02_SARA LISBETH CARDENAS RAMIREZ</v>
      </c>
      <c r="L961" s="2" t="s">
        <v>2137</v>
      </c>
      <c r="M961" s="2" t="s">
        <v>1359</v>
      </c>
      <c r="N961" s="2" t="s">
        <v>6500</v>
      </c>
      <c r="O961" s="2" t="s">
        <v>38</v>
      </c>
      <c r="P961" s="2" t="s">
        <v>626</v>
      </c>
      <c r="Q961" s="2" t="s">
        <v>351</v>
      </c>
      <c r="R961" s="2">
        <v>30548</v>
      </c>
      <c r="S961" s="2">
        <v>30548</v>
      </c>
      <c r="T961" s="2" t="s">
        <v>176</v>
      </c>
      <c r="U961" s="2" t="s">
        <v>176</v>
      </c>
      <c r="V961" s="2" t="s">
        <v>1796</v>
      </c>
      <c r="W961" s="2" t="s">
        <v>1796</v>
      </c>
      <c r="X961" s="2" t="s">
        <v>6501</v>
      </c>
      <c r="Y961" s="2" t="s">
        <v>6502</v>
      </c>
      <c r="AA961" s="2">
        <v>23161000</v>
      </c>
      <c r="AB961" s="2" t="s">
        <v>654</v>
      </c>
      <c r="AC961" s="2" t="s">
        <v>632</v>
      </c>
      <c r="AK961" s="2">
        <v>1</v>
      </c>
      <c r="AL961" s="2" t="s">
        <v>633</v>
      </c>
      <c r="AM961" s="2">
        <v>0</v>
      </c>
      <c r="AN961" s="2">
        <v>0</v>
      </c>
      <c r="AO961" s="2">
        <v>1</v>
      </c>
      <c r="AP961" s="2">
        <v>0</v>
      </c>
      <c r="AQ961" s="2">
        <v>0</v>
      </c>
      <c r="AR961" s="2">
        <v>0</v>
      </c>
      <c r="AS961" s="2">
        <v>0</v>
      </c>
      <c r="AT961" s="2">
        <v>0</v>
      </c>
      <c r="BB961" s="2" t="str">
        <f>+PROPER(BD[[#This Row],[PRIMER_APELLIDO]])</f>
        <v>Cardenas</v>
      </c>
    </row>
    <row r="962" spans="1:54" x14ac:dyDescent="0.25">
      <c r="A962" s="2">
        <v>961</v>
      </c>
      <c r="B962" s="2">
        <v>35401</v>
      </c>
      <c r="C962" s="2" t="s">
        <v>619</v>
      </c>
      <c r="D962" s="2" t="s">
        <v>620</v>
      </c>
      <c r="E962" s="2" t="s">
        <v>6503</v>
      </c>
      <c r="F962" s="2">
        <v>22126298</v>
      </c>
      <c r="G962" s="3">
        <v>39.038356164383565</v>
      </c>
      <c r="H962" s="2" t="s">
        <v>622</v>
      </c>
      <c r="I962" s="2" t="s">
        <v>6504</v>
      </c>
      <c r="J962" s="2" t="str">
        <f>+IF(BD[[#This Row],[DEPARTAMENTO_INSS]]="MANAGUA","_01_","_02_")</f>
        <v>_01_</v>
      </c>
      <c r="K962" s="2" t="str">
        <f>+CONCATENATE(BD[[#This Row],[Columna3]],BD[[#This Row],[Columna4]],BD[[#This Row],[NOMBRE COMPLETO]])</f>
        <v>E003_01_LISSETH DE LOS ANGELES DIAZ OCAMPO</v>
      </c>
      <c r="L962" s="2" t="s">
        <v>2080</v>
      </c>
      <c r="M962" s="2" t="s">
        <v>683</v>
      </c>
      <c r="N962" s="2" t="s">
        <v>91</v>
      </c>
      <c r="O962" s="2" t="s">
        <v>286</v>
      </c>
      <c r="P962" s="2" t="s">
        <v>626</v>
      </c>
      <c r="Q962" s="2" t="s">
        <v>351</v>
      </c>
      <c r="R962" s="2">
        <v>30547</v>
      </c>
      <c r="S962" s="2">
        <v>30547</v>
      </c>
      <c r="T962" s="2" t="s">
        <v>627</v>
      </c>
      <c r="U962" s="2" t="s">
        <v>627</v>
      </c>
      <c r="V962" s="2" t="s">
        <v>627</v>
      </c>
      <c r="W962" s="2" t="s">
        <v>627</v>
      </c>
      <c r="X962" s="2" t="s">
        <v>6505</v>
      </c>
      <c r="Y962" s="2" t="s">
        <v>6506</v>
      </c>
      <c r="AA962" s="2">
        <v>22894899</v>
      </c>
      <c r="AB962" s="2" t="s">
        <v>642</v>
      </c>
      <c r="AC962" s="2" t="s">
        <v>632</v>
      </c>
      <c r="AK962" s="2">
        <v>1</v>
      </c>
      <c r="AL962" s="2" t="s">
        <v>633</v>
      </c>
      <c r="AM962" s="2">
        <v>0</v>
      </c>
      <c r="AN962" s="2">
        <v>0</v>
      </c>
      <c r="AO962" s="2">
        <v>1</v>
      </c>
      <c r="AP962" s="2">
        <v>0</v>
      </c>
      <c r="AQ962" s="2">
        <v>0</v>
      </c>
      <c r="AR962" s="2">
        <v>0</v>
      </c>
      <c r="AS962" s="2">
        <v>0</v>
      </c>
      <c r="AT962" s="2">
        <v>0</v>
      </c>
      <c r="BB962" s="2" t="str">
        <f>+PROPER(BD[[#This Row],[PRIMER_APELLIDO]])</f>
        <v>Diaz</v>
      </c>
    </row>
    <row r="963" spans="1:54" x14ac:dyDescent="0.25">
      <c r="A963" s="2">
        <v>962</v>
      </c>
      <c r="B963" s="2">
        <v>29754</v>
      </c>
      <c r="C963" s="2" t="s">
        <v>619</v>
      </c>
      <c r="D963" s="2" t="s">
        <v>620</v>
      </c>
      <c r="E963" s="2" t="s">
        <v>6507</v>
      </c>
      <c r="F963" s="2">
        <v>21788905</v>
      </c>
      <c r="G963" s="3">
        <v>39.052054794520551</v>
      </c>
      <c r="H963" s="2" t="s">
        <v>622</v>
      </c>
      <c r="I963" s="2" t="s">
        <v>6508</v>
      </c>
      <c r="J963" s="2" t="str">
        <f>+IF(BD[[#This Row],[DEPARTAMENTO_INSS]]="MANAGUA","_01_","_02_")</f>
        <v>_02_</v>
      </c>
      <c r="K963" s="2" t="str">
        <f>+CONCATENATE(BD[[#This Row],[Columna3]],BD[[#This Row],[Columna4]],BD[[#This Row],[NOMBRE COMPLETO]])</f>
        <v>E003_02_MIRNA ISABEL OROZCO AGUILAR</v>
      </c>
      <c r="L963" s="2" t="s">
        <v>6509</v>
      </c>
      <c r="M963" s="2" t="s">
        <v>3736</v>
      </c>
      <c r="N963" s="2" t="s">
        <v>254</v>
      </c>
      <c r="O963" s="2" t="s">
        <v>141</v>
      </c>
      <c r="P963" s="2" t="s">
        <v>626</v>
      </c>
      <c r="Q963" s="2" t="s">
        <v>351</v>
      </c>
      <c r="R963" s="2">
        <v>30542</v>
      </c>
      <c r="S963" s="2">
        <v>30542</v>
      </c>
      <c r="T963" s="2" t="s">
        <v>1191</v>
      </c>
      <c r="U963" s="2" t="s">
        <v>1191</v>
      </c>
      <c r="V963" s="2" t="s">
        <v>3060</v>
      </c>
      <c r="W963" s="2" t="s">
        <v>3060</v>
      </c>
      <c r="X963" s="2" t="s">
        <v>6510</v>
      </c>
      <c r="Y963" s="2" t="s">
        <v>6511</v>
      </c>
      <c r="AA963" s="2">
        <v>89797405</v>
      </c>
      <c r="AB963" s="2" t="s">
        <v>654</v>
      </c>
      <c r="AC963" s="2" t="s">
        <v>632</v>
      </c>
      <c r="AD963" s="2">
        <v>89797405</v>
      </c>
      <c r="AJ963" s="2">
        <v>89797405</v>
      </c>
      <c r="AK963" s="2">
        <v>1</v>
      </c>
      <c r="AL963" s="2" t="s">
        <v>633</v>
      </c>
      <c r="AM963" s="2">
        <v>0</v>
      </c>
      <c r="AN963" s="2">
        <v>0</v>
      </c>
      <c r="AO963" s="2">
        <v>1</v>
      </c>
      <c r="AP963" s="2">
        <v>0</v>
      </c>
      <c r="AQ963" s="2">
        <v>0</v>
      </c>
      <c r="AR963" s="2">
        <v>0</v>
      </c>
      <c r="AS963" s="2">
        <v>0</v>
      </c>
      <c r="AT963" s="2">
        <v>0</v>
      </c>
      <c r="BB963" s="2" t="str">
        <f>+PROPER(BD[[#This Row],[PRIMER_APELLIDO]])</f>
        <v>Orozco</v>
      </c>
    </row>
    <row r="964" spans="1:54" x14ac:dyDescent="0.25">
      <c r="A964" s="2">
        <v>963</v>
      </c>
      <c r="B964" s="2">
        <v>29283</v>
      </c>
      <c r="C964" s="2" t="s">
        <v>619</v>
      </c>
      <c r="D964" s="2" t="s">
        <v>620</v>
      </c>
      <c r="E964" s="2" t="s">
        <v>6512</v>
      </c>
      <c r="F964" s="2">
        <v>17891019</v>
      </c>
      <c r="G964" s="3">
        <v>39.054794520547944</v>
      </c>
      <c r="H964" s="2" t="s">
        <v>622</v>
      </c>
      <c r="I964" s="2" t="s">
        <v>6513</v>
      </c>
      <c r="J964" s="2" t="str">
        <f>+IF(BD[[#This Row],[DEPARTAMENTO_INSS]]="MANAGUA","_01_","_02_")</f>
        <v>_01_</v>
      </c>
      <c r="K964" s="2" t="str">
        <f>+CONCATENATE(BD[[#This Row],[Columna3]],BD[[#This Row],[Columna4]],BD[[#This Row],[NOMBRE COMPLETO]])</f>
        <v>E003_01_JAQUELINE AUXILIADORA LEIVA GARCÍA</v>
      </c>
      <c r="L964" s="2" t="s">
        <v>3048</v>
      </c>
      <c r="M964" s="2" t="s">
        <v>970</v>
      </c>
      <c r="N964" s="2" t="s">
        <v>177</v>
      </c>
      <c r="O964" s="2" t="s">
        <v>342</v>
      </c>
      <c r="P964" s="2" t="s">
        <v>626</v>
      </c>
      <c r="Q964" s="2" t="s">
        <v>351</v>
      </c>
      <c r="R964" s="2">
        <v>30541</v>
      </c>
      <c r="S964" s="2">
        <v>30541</v>
      </c>
      <c r="T964" s="2" t="s">
        <v>627</v>
      </c>
      <c r="U964" s="2" t="s">
        <v>627</v>
      </c>
      <c r="V964" s="2" t="s">
        <v>627</v>
      </c>
      <c r="W964" s="2" t="s">
        <v>627</v>
      </c>
      <c r="X964" s="2" t="s">
        <v>6514</v>
      </c>
      <c r="Y964" s="2" t="s">
        <v>6515</v>
      </c>
      <c r="Z964" s="2">
        <v>57554213</v>
      </c>
      <c r="AA964" s="2">
        <v>57554213</v>
      </c>
      <c r="AB964" s="2" t="s">
        <v>6516</v>
      </c>
      <c r="AC964" s="2" t="s">
        <v>632</v>
      </c>
      <c r="AD964" s="2">
        <v>57554213</v>
      </c>
      <c r="AJ964" s="2">
        <v>57554213</v>
      </c>
      <c r="AK964" s="2">
        <v>2</v>
      </c>
      <c r="AL964" s="2" t="s">
        <v>633</v>
      </c>
      <c r="AM964" s="2">
        <v>0</v>
      </c>
      <c r="AN964" s="2">
        <v>0</v>
      </c>
      <c r="AO964" s="2">
        <v>1</v>
      </c>
      <c r="AP964" s="2">
        <v>0</v>
      </c>
      <c r="AQ964" s="2">
        <v>0</v>
      </c>
      <c r="AR964" s="2">
        <v>0</v>
      </c>
      <c r="AS964" s="2">
        <v>0</v>
      </c>
      <c r="AT964" s="2">
        <v>0</v>
      </c>
      <c r="AZ964" s="2" t="s">
        <v>6517</v>
      </c>
      <c r="BB964" s="2" t="str">
        <f>+PROPER(BD[[#This Row],[PRIMER_APELLIDO]])</f>
        <v>Leiva</v>
      </c>
    </row>
    <row r="965" spans="1:54" x14ac:dyDescent="0.25">
      <c r="A965" s="2">
        <v>964</v>
      </c>
      <c r="B965" s="2">
        <v>27733</v>
      </c>
      <c r="C965" s="2" t="s">
        <v>619</v>
      </c>
      <c r="D965" s="2" t="s">
        <v>620</v>
      </c>
      <c r="E965" s="2" t="s">
        <v>6518</v>
      </c>
      <c r="F965" s="2">
        <v>21629086</v>
      </c>
      <c r="G965" s="3">
        <v>39.060273972602737</v>
      </c>
      <c r="H965" s="2" t="s">
        <v>622</v>
      </c>
      <c r="I965" s="2" t="s">
        <v>6519</v>
      </c>
      <c r="J965" s="2" t="str">
        <f>+IF(BD[[#This Row],[DEPARTAMENTO_INSS]]="MANAGUA","_01_","_02_")</f>
        <v>_02_</v>
      </c>
      <c r="K965" s="2" t="str">
        <f>+CONCATENATE(BD[[#This Row],[Columna3]],BD[[#This Row],[Columna4]],BD[[#This Row],[NOMBRE COMPLETO]])</f>
        <v>E003_02_RUTH NOEMI VEGA GUTIERREZ</v>
      </c>
      <c r="L965" s="2" t="s">
        <v>2825</v>
      </c>
      <c r="M965" s="2" t="s">
        <v>6520</v>
      </c>
      <c r="N965" s="2" t="s">
        <v>140</v>
      </c>
      <c r="O965" s="2" t="s">
        <v>171</v>
      </c>
      <c r="P965" s="2" t="s">
        <v>626</v>
      </c>
      <c r="Q965" s="2" t="s">
        <v>351</v>
      </c>
      <c r="R965" s="2">
        <v>30539</v>
      </c>
      <c r="S965" s="2">
        <v>30539</v>
      </c>
      <c r="T965" s="2" t="s">
        <v>133</v>
      </c>
      <c r="U965" s="2" t="s">
        <v>133</v>
      </c>
      <c r="V965" s="2" t="s">
        <v>939</v>
      </c>
      <c r="W965" s="2" t="s">
        <v>939</v>
      </c>
      <c r="X965" s="2" t="s">
        <v>6521</v>
      </c>
      <c r="Y965" s="2" t="s">
        <v>6522</v>
      </c>
      <c r="Z965" s="2">
        <v>84201779</v>
      </c>
      <c r="AA965" s="2">
        <v>89678860</v>
      </c>
      <c r="AB965" s="2" t="s">
        <v>642</v>
      </c>
      <c r="AC965" s="2" t="s">
        <v>632</v>
      </c>
      <c r="AD965" s="2">
        <v>84201779</v>
      </c>
      <c r="AF965" s="2">
        <v>89678860</v>
      </c>
      <c r="AJ965" s="2">
        <v>84201779</v>
      </c>
      <c r="AK965" s="2">
        <v>2</v>
      </c>
      <c r="AL965" s="2" t="s">
        <v>633</v>
      </c>
      <c r="AM965" s="2">
        <v>0</v>
      </c>
      <c r="AN965" s="2">
        <v>0</v>
      </c>
      <c r="AO965" s="2">
        <v>1</v>
      </c>
      <c r="AP965" s="2">
        <v>0</v>
      </c>
      <c r="AQ965" s="2">
        <v>0</v>
      </c>
      <c r="AR965" s="2">
        <v>0</v>
      </c>
      <c r="AS965" s="2">
        <v>0</v>
      </c>
      <c r="AT965" s="2">
        <v>0</v>
      </c>
      <c r="AZ965" s="2" t="s">
        <v>6523</v>
      </c>
      <c r="BB965" s="2" t="str">
        <f>+PROPER(BD[[#This Row],[PRIMER_APELLIDO]])</f>
        <v>Vega</v>
      </c>
    </row>
    <row r="966" spans="1:54" x14ac:dyDescent="0.25">
      <c r="A966" s="2">
        <v>965</v>
      </c>
      <c r="B966" s="2">
        <v>31648</v>
      </c>
      <c r="C966" s="2" t="s">
        <v>619</v>
      </c>
      <c r="D966" s="2" t="s">
        <v>620</v>
      </c>
      <c r="E966" s="2" t="s">
        <v>6524</v>
      </c>
      <c r="F966" s="2">
        <v>21678240</v>
      </c>
      <c r="G966" s="3">
        <v>39.065753424657537</v>
      </c>
      <c r="H966" s="2" t="s">
        <v>622</v>
      </c>
      <c r="I966" s="2" t="s">
        <v>6525</v>
      </c>
      <c r="J966" s="2" t="str">
        <f>+IF(BD[[#This Row],[DEPARTAMENTO_INSS]]="MANAGUA","_01_","_02_")</f>
        <v>_02_</v>
      </c>
      <c r="K966" s="2" t="str">
        <f>+CONCATENATE(BD[[#This Row],[Columna3]],BD[[#This Row],[Columna4]],BD[[#This Row],[NOMBRE COMPLETO]])</f>
        <v>E003_02_GABRIELA YUDITH GOMEZ MEDINA</v>
      </c>
      <c r="L966" s="2" t="s">
        <v>1211</v>
      </c>
      <c r="M966" s="2" t="s">
        <v>6526</v>
      </c>
      <c r="N966" s="2" t="s">
        <v>43</v>
      </c>
      <c r="O966" s="2" t="s">
        <v>104</v>
      </c>
      <c r="P966" s="2" t="s">
        <v>626</v>
      </c>
      <c r="Q966" s="2" t="s">
        <v>351</v>
      </c>
      <c r="R966" s="2">
        <v>30537</v>
      </c>
      <c r="S966" s="2">
        <v>30537</v>
      </c>
      <c r="T966" s="2" t="s">
        <v>176</v>
      </c>
      <c r="U966" s="2" t="s">
        <v>176</v>
      </c>
      <c r="V966" s="2" t="s">
        <v>650</v>
      </c>
      <c r="W966" s="2" t="s">
        <v>176</v>
      </c>
      <c r="X966" s="2" t="s">
        <v>6527</v>
      </c>
      <c r="Y966" s="2" t="s">
        <v>6528</v>
      </c>
      <c r="Z966" s="2">
        <v>89249489</v>
      </c>
      <c r="AA966" s="2" t="s">
        <v>6529</v>
      </c>
      <c r="AB966" s="2" t="s">
        <v>642</v>
      </c>
      <c r="AC966" s="2" t="s">
        <v>632</v>
      </c>
      <c r="AD966" s="2">
        <v>89249489</v>
      </c>
      <c r="AJ966" s="2">
        <v>89249489</v>
      </c>
      <c r="AK966" s="2">
        <v>3</v>
      </c>
      <c r="AL966" s="2" t="s">
        <v>633</v>
      </c>
      <c r="AM966" s="2">
        <v>0</v>
      </c>
      <c r="AN966" s="2">
        <v>0</v>
      </c>
      <c r="AO966" s="2">
        <v>1</v>
      </c>
      <c r="AP966" s="2">
        <v>0</v>
      </c>
      <c r="AQ966" s="2">
        <v>0</v>
      </c>
      <c r="AR966" s="2">
        <v>0</v>
      </c>
      <c r="AS966" s="2">
        <v>0</v>
      </c>
      <c r="AT966" s="2">
        <v>0</v>
      </c>
      <c r="AZ966" s="2" t="s">
        <v>6530</v>
      </c>
      <c r="BB966" s="2" t="str">
        <f>+PROPER(BD[[#This Row],[PRIMER_APELLIDO]])</f>
        <v>Gomez</v>
      </c>
    </row>
    <row r="967" spans="1:54" x14ac:dyDescent="0.25">
      <c r="A967" s="2">
        <v>966</v>
      </c>
      <c r="B967" s="2">
        <v>78014</v>
      </c>
      <c r="C967" s="2" t="s">
        <v>619</v>
      </c>
      <c r="D967" s="2" t="s">
        <v>620</v>
      </c>
      <c r="E967" s="2" t="s">
        <v>6531</v>
      </c>
      <c r="G967" s="3">
        <v>39.065753424657537</v>
      </c>
      <c r="H967" s="2" t="s">
        <v>622</v>
      </c>
      <c r="I967" s="2" t="s">
        <v>6532</v>
      </c>
      <c r="J967" s="2" t="str">
        <f>+IF(BD[[#This Row],[DEPARTAMENTO_INSS]]="MANAGUA","_01_","_02_")</f>
        <v>_01_</v>
      </c>
      <c r="K967" s="2" t="str">
        <f>+CONCATENATE(BD[[#This Row],[Columna3]],BD[[#This Row],[Columna4]],BD[[#This Row],[NOMBRE COMPLETO]])</f>
        <v>E003_01_HARVY HORACIO SOZA ZAMORA</v>
      </c>
      <c r="L967" s="2" t="s">
        <v>6533</v>
      </c>
      <c r="M967" s="2" t="s">
        <v>6534</v>
      </c>
      <c r="N967" s="2" t="s">
        <v>211</v>
      </c>
      <c r="O967" s="2" t="s">
        <v>149</v>
      </c>
      <c r="P967" s="2" t="s">
        <v>649</v>
      </c>
      <c r="Q967" s="2" t="s">
        <v>351</v>
      </c>
      <c r="R967" s="2">
        <v>30537</v>
      </c>
      <c r="S967" s="2">
        <v>30537</v>
      </c>
      <c r="T967" s="2" t="s">
        <v>627</v>
      </c>
      <c r="U967" s="2" t="s">
        <v>627</v>
      </c>
      <c r="V967" s="2" t="s">
        <v>627</v>
      </c>
      <c r="W967" s="2" t="s">
        <v>627</v>
      </c>
      <c r="X967" s="2" t="s">
        <v>6535</v>
      </c>
      <c r="Y967" s="2" t="s">
        <v>6536</v>
      </c>
      <c r="Z967" s="2">
        <v>77327685</v>
      </c>
      <c r="AB967" s="2" t="s">
        <v>654</v>
      </c>
      <c r="AC967" s="2" t="s">
        <v>632</v>
      </c>
      <c r="AD967" s="2">
        <v>77327685</v>
      </c>
      <c r="AJ967" s="2">
        <v>77327685</v>
      </c>
      <c r="AK967" s="2">
        <v>1</v>
      </c>
      <c r="AL967" s="2" t="s">
        <v>633</v>
      </c>
      <c r="AM967" s="2">
        <v>0</v>
      </c>
      <c r="AN967" s="2">
        <v>0</v>
      </c>
      <c r="AO967" s="2">
        <v>1</v>
      </c>
      <c r="AP967" s="2">
        <v>0</v>
      </c>
      <c r="AQ967" s="2">
        <v>0</v>
      </c>
      <c r="AR967" s="2">
        <v>0</v>
      </c>
      <c r="AS967" s="2">
        <v>0</v>
      </c>
      <c r="AT967" s="2">
        <v>0</v>
      </c>
      <c r="AZ967" s="2" t="s">
        <v>6537</v>
      </c>
      <c r="BB967" s="2" t="str">
        <f>+PROPER(BD[[#This Row],[PRIMER_APELLIDO]])</f>
        <v>Soza</v>
      </c>
    </row>
    <row r="968" spans="1:54" x14ac:dyDescent="0.25">
      <c r="A968" s="2">
        <v>967</v>
      </c>
      <c r="B968" s="2">
        <v>50203</v>
      </c>
      <c r="C968" s="2" t="s">
        <v>619</v>
      </c>
      <c r="D968" s="2" t="s">
        <v>620</v>
      </c>
      <c r="E968" s="2" t="s">
        <v>6538</v>
      </c>
      <c r="F968" s="2">
        <v>25623750</v>
      </c>
      <c r="G968" s="3">
        <v>39.06849315068493</v>
      </c>
      <c r="H968" s="2" t="s">
        <v>622</v>
      </c>
      <c r="I968" s="2" t="s">
        <v>6539</v>
      </c>
      <c r="J968" s="2" t="str">
        <f>+IF(BD[[#This Row],[DEPARTAMENTO_INSS]]="MANAGUA","_01_","_02_")</f>
        <v>_02_</v>
      </c>
      <c r="K968" s="2" t="str">
        <f>+CONCATENATE(BD[[#This Row],[Columna3]],BD[[#This Row],[Columna4]],BD[[#This Row],[NOMBRE COMPLETO]])</f>
        <v>E003_02_JOSE ALBERTO BERMUDEZ MONTIEL</v>
      </c>
      <c r="L968" s="2" t="s">
        <v>243</v>
      </c>
      <c r="M968" s="2" t="s">
        <v>1699</v>
      </c>
      <c r="N968" s="2" t="s">
        <v>315</v>
      </c>
      <c r="O968" s="2" t="s">
        <v>37</v>
      </c>
      <c r="P968" s="2" t="s">
        <v>649</v>
      </c>
      <c r="Q968" s="2" t="s">
        <v>351</v>
      </c>
      <c r="R968" s="2">
        <v>30536</v>
      </c>
      <c r="S968" s="2">
        <v>30536</v>
      </c>
      <c r="T968" s="2" t="s">
        <v>740</v>
      </c>
      <c r="U968" s="2" t="s">
        <v>740</v>
      </c>
      <c r="V968" s="2" t="s">
        <v>740</v>
      </c>
      <c r="W968" s="2" t="s">
        <v>740</v>
      </c>
      <c r="X968" s="2" t="s">
        <v>6540</v>
      </c>
      <c r="Y968" s="2" t="s">
        <v>6541</v>
      </c>
      <c r="AA968" s="2">
        <v>89573952</v>
      </c>
      <c r="AB968" s="2" t="s">
        <v>654</v>
      </c>
      <c r="AC968" s="2" t="s">
        <v>632</v>
      </c>
      <c r="AD968" s="2">
        <v>89573952</v>
      </c>
      <c r="AJ968" s="2">
        <v>89573952</v>
      </c>
      <c r="AK968" s="2">
        <v>1</v>
      </c>
      <c r="AL968" s="2" t="s">
        <v>633</v>
      </c>
      <c r="AM968" s="2">
        <v>0</v>
      </c>
      <c r="AN968" s="2">
        <v>0</v>
      </c>
      <c r="AO968" s="2">
        <v>1</v>
      </c>
      <c r="AP968" s="2">
        <v>0</v>
      </c>
      <c r="AQ968" s="2">
        <v>0</v>
      </c>
      <c r="AR968" s="2">
        <v>0</v>
      </c>
      <c r="AS968" s="2">
        <v>0</v>
      </c>
      <c r="AT968" s="2">
        <v>0</v>
      </c>
      <c r="BB968" s="2" t="str">
        <f>+PROPER(BD[[#This Row],[PRIMER_APELLIDO]])</f>
        <v>Bermudez</v>
      </c>
    </row>
    <row r="969" spans="1:54" x14ac:dyDescent="0.25">
      <c r="A969" s="2">
        <v>968</v>
      </c>
      <c r="B969" s="2">
        <v>52633</v>
      </c>
      <c r="C969" s="2" t="s">
        <v>619</v>
      </c>
      <c r="D969" s="2" t="s">
        <v>620</v>
      </c>
      <c r="E969" s="2" t="s">
        <v>6542</v>
      </c>
      <c r="F969" s="2">
        <v>27187524</v>
      </c>
      <c r="G969" s="3">
        <v>39.073972602739723</v>
      </c>
      <c r="H969" s="2" t="s">
        <v>622</v>
      </c>
      <c r="I969" s="2" t="s">
        <v>6543</v>
      </c>
      <c r="J969" s="2" t="str">
        <f>+IF(BD[[#This Row],[DEPARTAMENTO_INSS]]="MANAGUA","_01_","_02_")</f>
        <v>_02_</v>
      </c>
      <c r="K969" s="2" t="str">
        <f>+CONCATENATE(BD[[#This Row],[Columna3]],BD[[#This Row],[Columna4]],BD[[#This Row],[NOMBRE COMPLETO]])</f>
        <v>E003_02_FREDYS JAMIL ESPINOZA CONDEGA</v>
      </c>
      <c r="L969" s="2" t="s">
        <v>6544</v>
      </c>
      <c r="M969" s="2" t="s">
        <v>6545</v>
      </c>
      <c r="N969" s="2" t="s">
        <v>235</v>
      </c>
      <c r="O969" s="2" t="s">
        <v>2467</v>
      </c>
      <c r="P969" s="2" t="s">
        <v>649</v>
      </c>
      <c r="Q969" s="2" t="s">
        <v>351</v>
      </c>
      <c r="R969" s="2">
        <v>30534</v>
      </c>
      <c r="S969" s="2">
        <v>30534</v>
      </c>
      <c r="T969" s="2" t="s">
        <v>186</v>
      </c>
      <c r="U969" s="2" t="s">
        <v>186</v>
      </c>
      <c r="V969" s="2" t="s">
        <v>1150</v>
      </c>
      <c r="W969" s="2" t="s">
        <v>1150</v>
      </c>
      <c r="X969" s="2" t="s">
        <v>6546</v>
      </c>
      <c r="Y969" s="2" t="s">
        <v>6547</v>
      </c>
      <c r="AA969" s="2">
        <v>82206618</v>
      </c>
      <c r="AB969" s="2" t="s">
        <v>654</v>
      </c>
      <c r="AC969" s="2" t="s">
        <v>632</v>
      </c>
      <c r="AD969" s="2">
        <v>82206618</v>
      </c>
      <c r="AJ969" s="2">
        <v>82206618</v>
      </c>
      <c r="AK969" s="2">
        <v>1</v>
      </c>
      <c r="AL969" s="2" t="s">
        <v>633</v>
      </c>
      <c r="AM969" s="2">
        <v>0</v>
      </c>
      <c r="AN969" s="2">
        <v>0</v>
      </c>
      <c r="AO969" s="2">
        <v>1</v>
      </c>
      <c r="AP969" s="2">
        <v>0</v>
      </c>
      <c r="AQ969" s="2">
        <v>0</v>
      </c>
      <c r="AR969" s="2">
        <v>0</v>
      </c>
      <c r="AS969" s="2">
        <v>0</v>
      </c>
      <c r="AT969" s="2">
        <v>0</v>
      </c>
      <c r="BB969" s="2" t="str">
        <f>+PROPER(BD[[#This Row],[PRIMER_APELLIDO]])</f>
        <v>Espinoza</v>
      </c>
    </row>
    <row r="970" spans="1:54" x14ac:dyDescent="0.25">
      <c r="A970" s="2">
        <v>969</v>
      </c>
      <c r="B970" s="2">
        <v>29334</v>
      </c>
      <c r="C970" s="2" t="s">
        <v>619</v>
      </c>
      <c r="D970" s="2" t="s">
        <v>620</v>
      </c>
      <c r="E970" s="2" t="s">
        <v>6548</v>
      </c>
      <c r="F970" s="2">
        <v>21788998</v>
      </c>
      <c r="G970" s="3">
        <v>39.076712328767123</v>
      </c>
      <c r="H970" s="2" t="s">
        <v>622</v>
      </c>
      <c r="I970" s="2" t="s">
        <v>6549</v>
      </c>
      <c r="J970" s="2" t="str">
        <f>+IF(BD[[#This Row],[DEPARTAMENTO_INSS]]="MANAGUA","_01_","_02_")</f>
        <v>_01_</v>
      </c>
      <c r="K970" s="2" t="str">
        <f>+CONCATENATE(BD[[#This Row],[Columna3]],BD[[#This Row],[Columna4]],BD[[#This Row],[NOMBRE COMPLETO]])</f>
        <v>E003_01_MARIA ALEJANDRA OCHOA PLASCENCIA</v>
      </c>
      <c r="L970" s="2" t="s">
        <v>724</v>
      </c>
      <c r="M970" s="2" t="s">
        <v>1242</v>
      </c>
      <c r="N970" s="2" t="s">
        <v>391</v>
      </c>
      <c r="O970" s="2" t="s">
        <v>6550</v>
      </c>
      <c r="P970" s="2" t="s">
        <v>626</v>
      </c>
      <c r="Q970" s="2" t="s">
        <v>351</v>
      </c>
      <c r="R970" s="2">
        <v>30533</v>
      </c>
      <c r="S970" s="2">
        <v>30533</v>
      </c>
      <c r="T970" s="2" t="s">
        <v>627</v>
      </c>
      <c r="U970" s="2" t="s">
        <v>627</v>
      </c>
      <c r="V970" s="2" t="s">
        <v>1498</v>
      </c>
      <c r="W970" s="2" t="s">
        <v>1498</v>
      </c>
      <c r="X970" s="2" t="s">
        <v>6551</v>
      </c>
      <c r="Y970" s="2" t="s">
        <v>6552</v>
      </c>
      <c r="Z970" s="2">
        <v>87613337</v>
      </c>
      <c r="AA970" s="2">
        <v>22692148</v>
      </c>
      <c r="AB970" s="2" t="s">
        <v>642</v>
      </c>
      <c r="AC970" s="2" t="s">
        <v>632</v>
      </c>
      <c r="AD970" s="2">
        <v>87613337</v>
      </c>
      <c r="AJ970" s="2">
        <v>87613337</v>
      </c>
      <c r="AK970" s="2">
        <v>2</v>
      </c>
      <c r="AL970" s="2" t="s">
        <v>633</v>
      </c>
      <c r="AM970" s="2">
        <v>0</v>
      </c>
      <c r="AN970" s="2">
        <v>0</v>
      </c>
      <c r="AO970" s="2">
        <v>1</v>
      </c>
      <c r="AP970" s="2">
        <v>0</v>
      </c>
      <c r="AQ970" s="2">
        <v>0</v>
      </c>
      <c r="AR970" s="2">
        <v>0</v>
      </c>
      <c r="AS970" s="2">
        <v>0</v>
      </c>
      <c r="AT970" s="2">
        <v>0</v>
      </c>
      <c r="AZ970" s="2" t="s">
        <v>6553</v>
      </c>
      <c r="BB970" s="2" t="str">
        <f>+PROPER(BD[[#This Row],[PRIMER_APELLIDO]])</f>
        <v>Ochoa</v>
      </c>
    </row>
    <row r="971" spans="1:54" x14ac:dyDescent="0.25">
      <c r="A971" s="2">
        <v>970</v>
      </c>
      <c r="B971" s="2">
        <v>47941</v>
      </c>
      <c r="C971" s="2" t="s">
        <v>619</v>
      </c>
      <c r="D971" s="2" t="s">
        <v>620</v>
      </c>
      <c r="E971" s="2" t="s">
        <v>6554</v>
      </c>
      <c r="F971" s="2">
        <v>26970105</v>
      </c>
      <c r="G971" s="3">
        <v>39.079452054794523</v>
      </c>
      <c r="H971" s="2" t="s">
        <v>622</v>
      </c>
      <c r="I971" s="2" t="s">
        <v>6555</v>
      </c>
      <c r="J971" s="2" t="str">
        <f>+IF(BD[[#This Row],[DEPARTAMENTO_INSS]]="MANAGUA","_01_","_02_")</f>
        <v>_01_</v>
      </c>
      <c r="K971" s="2" t="str">
        <f>+CONCATENATE(BD[[#This Row],[Columna3]],BD[[#This Row],[Columna4]],BD[[#This Row],[NOMBRE COMPLETO]])</f>
        <v>E003_01_ADRIANA CAROLINA MENDOZA GALEANO</v>
      </c>
      <c r="L971" s="2" t="s">
        <v>6556</v>
      </c>
      <c r="M971" s="2" t="s">
        <v>714</v>
      </c>
      <c r="N971" s="2" t="s">
        <v>9</v>
      </c>
      <c r="O971" s="2" t="s">
        <v>70</v>
      </c>
      <c r="P971" s="2" t="s">
        <v>626</v>
      </c>
      <c r="Q971" s="2" t="s">
        <v>351</v>
      </c>
      <c r="R971" s="2">
        <v>30532</v>
      </c>
      <c r="S971" s="2">
        <v>30532</v>
      </c>
      <c r="T971" s="2" t="s">
        <v>627</v>
      </c>
      <c r="U971" s="2" t="s">
        <v>627</v>
      </c>
      <c r="V971" s="2" t="s">
        <v>1498</v>
      </c>
      <c r="W971" s="2" t="s">
        <v>1498</v>
      </c>
      <c r="X971" s="2" t="s">
        <v>6557</v>
      </c>
      <c r="Y971" s="2" t="s">
        <v>6558</v>
      </c>
      <c r="Z971" s="2">
        <v>85226104</v>
      </c>
      <c r="AA971" s="2">
        <v>85226104</v>
      </c>
      <c r="AB971" s="2" t="s">
        <v>631</v>
      </c>
      <c r="AC971" s="2" t="s">
        <v>632</v>
      </c>
      <c r="AD971" s="2">
        <v>85226104</v>
      </c>
      <c r="AJ971" s="2">
        <v>85226104</v>
      </c>
      <c r="AK971" s="2">
        <v>2</v>
      </c>
      <c r="AL971" s="2" t="s">
        <v>633</v>
      </c>
      <c r="AM971" s="2">
        <v>0</v>
      </c>
      <c r="AN971" s="2">
        <v>0</v>
      </c>
      <c r="AO971" s="2">
        <v>1</v>
      </c>
      <c r="AP971" s="2">
        <v>0</v>
      </c>
      <c r="AQ971" s="2">
        <v>0</v>
      </c>
      <c r="AR971" s="2">
        <v>0</v>
      </c>
      <c r="AS971" s="2">
        <v>0</v>
      </c>
      <c r="AT971" s="2">
        <v>0</v>
      </c>
      <c r="AZ971" s="2" t="s">
        <v>6559</v>
      </c>
      <c r="BA971" s="2" t="s">
        <v>6559</v>
      </c>
      <c r="BB971" s="2" t="str">
        <f>+PROPER(BD[[#This Row],[PRIMER_APELLIDO]])</f>
        <v>Mendoza</v>
      </c>
    </row>
    <row r="972" spans="1:54" x14ac:dyDescent="0.25">
      <c r="A972" s="2">
        <v>971</v>
      </c>
      <c r="B972" s="2">
        <v>32954</v>
      </c>
      <c r="C972" s="2" t="s">
        <v>619</v>
      </c>
      <c r="D972" s="2" t="s">
        <v>620</v>
      </c>
      <c r="E972" s="2" t="s">
        <v>6560</v>
      </c>
      <c r="F972" s="2">
        <v>22133962</v>
      </c>
      <c r="G972" s="3">
        <v>39.087671232876716</v>
      </c>
      <c r="H972" s="2" t="s">
        <v>622</v>
      </c>
      <c r="I972" s="2" t="s">
        <v>6561</v>
      </c>
      <c r="J972" s="2" t="str">
        <f>+IF(BD[[#This Row],[DEPARTAMENTO_INSS]]="MANAGUA","_01_","_02_")</f>
        <v>_02_</v>
      </c>
      <c r="K972" s="2" t="str">
        <f>+CONCATENATE(BD[[#This Row],[Columna3]],BD[[#This Row],[Columna4]],BD[[#This Row],[NOMBRE COMPLETO]])</f>
        <v>E003_02_KAREN RAQUEL LANUZA VALDIVIA</v>
      </c>
      <c r="L972" s="2" t="s">
        <v>1162</v>
      </c>
      <c r="M972" s="2" t="s">
        <v>2545</v>
      </c>
      <c r="N972" s="2" t="s">
        <v>131</v>
      </c>
      <c r="O972" s="2" t="s">
        <v>93</v>
      </c>
      <c r="P972" s="2" t="s">
        <v>626</v>
      </c>
      <c r="Q972" s="2" t="s">
        <v>351</v>
      </c>
      <c r="R972" s="2">
        <v>30529</v>
      </c>
      <c r="S972" s="2">
        <v>30529</v>
      </c>
      <c r="T972" s="2" t="s">
        <v>691</v>
      </c>
      <c r="U972" s="2" t="s">
        <v>691</v>
      </c>
      <c r="V972" s="2" t="s">
        <v>716</v>
      </c>
      <c r="W972" s="2" t="s">
        <v>691</v>
      </c>
      <c r="X972" s="2" t="s">
        <v>6562</v>
      </c>
      <c r="Y972" s="2" t="s">
        <v>6563</v>
      </c>
      <c r="Z972" s="2">
        <v>85326534</v>
      </c>
      <c r="AA972" s="2" t="s">
        <v>6564</v>
      </c>
      <c r="AB972" s="2" t="s">
        <v>654</v>
      </c>
      <c r="AC972" s="2" t="s">
        <v>632</v>
      </c>
      <c r="AD972" s="2">
        <v>85326534</v>
      </c>
      <c r="AJ972" s="2">
        <v>85326534</v>
      </c>
      <c r="AK972" s="2">
        <v>3</v>
      </c>
      <c r="AL972" s="2" t="s">
        <v>633</v>
      </c>
      <c r="AM972" s="2">
        <v>0</v>
      </c>
      <c r="AN972" s="2">
        <v>0</v>
      </c>
      <c r="AO972" s="2">
        <v>1</v>
      </c>
      <c r="AP972" s="2">
        <v>0</v>
      </c>
      <c r="AQ972" s="2">
        <v>0</v>
      </c>
      <c r="AR972" s="2">
        <v>0</v>
      </c>
      <c r="AS972" s="2">
        <v>0</v>
      </c>
      <c r="AT972" s="2">
        <v>0</v>
      </c>
      <c r="AZ972" s="2" t="s">
        <v>6565</v>
      </c>
      <c r="BB972" s="2" t="str">
        <f>+PROPER(BD[[#This Row],[PRIMER_APELLIDO]])</f>
        <v>Lanuza</v>
      </c>
    </row>
    <row r="973" spans="1:54" x14ac:dyDescent="0.25">
      <c r="A973" s="2">
        <v>972</v>
      </c>
      <c r="B973" s="2">
        <v>49672</v>
      </c>
      <c r="C973" s="2" t="s">
        <v>619</v>
      </c>
      <c r="D973" s="2" t="s">
        <v>620</v>
      </c>
      <c r="E973" s="2" t="s">
        <v>6566</v>
      </c>
      <c r="F973" s="2">
        <v>25625138</v>
      </c>
      <c r="G973" s="3">
        <v>39.093150684931508</v>
      </c>
      <c r="H973" s="2" t="s">
        <v>622</v>
      </c>
      <c r="I973" s="2" t="s">
        <v>6567</v>
      </c>
      <c r="J973" s="2" t="str">
        <f>+IF(BD[[#This Row],[DEPARTAMENTO_INSS]]="MANAGUA","_01_","_02_")</f>
        <v>_02_</v>
      </c>
      <c r="K973" s="2" t="str">
        <f>+CONCATENATE(BD[[#This Row],[Columna3]],BD[[#This Row],[Columna4]],BD[[#This Row],[NOMBRE COMPLETO]])</f>
        <v>E003_02_MARTHA ANGELICA CARAZO MARIN</v>
      </c>
      <c r="L973" s="2" t="s">
        <v>1333</v>
      </c>
      <c r="M973" s="2" t="s">
        <v>1170</v>
      </c>
      <c r="N973" s="2" t="s">
        <v>133</v>
      </c>
      <c r="O973" s="2" t="s">
        <v>480</v>
      </c>
      <c r="P973" s="2" t="s">
        <v>626</v>
      </c>
      <c r="Q973" s="2" t="s">
        <v>351</v>
      </c>
      <c r="R973" s="2">
        <v>30527</v>
      </c>
      <c r="S973" s="2">
        <v>30527</v>
      </c>
      <c r="T973" s="2" t="s">
        <v>929</v>
      </c>
      <c r="U973" s="2" t="s">
        <v>929</v>
      </c>
      <c r="V973" s="2" t="s">
        <v>1653</v>
      </c>
      <c r="W973" s="2" t="s">
        <v>1653</v>
      </c>
      <c r="X973" s="2" t="s">
        <v>6568</v>
      </c>
      <c r="Y973" s="2" t="s">
        <v>6569</v>
      </c>
      <c r="AA973" s="2" t="s">
        <v>6570</v>
      </c>
      <c r="AB973" s="2" t="s">
        <v>642</v>
      </c>
      <c r="AC973" s="2" t="s">
        <v>632</v>
      </c>
      <c r="AE973" s="2">
        <v>84425240</v>
      </c>
      <c r="AJ973" s="2">
        <v>84425240</v>
      </c>
      <c r="AK973" s="2">
        <v>2</v>
      </c>
      <c r="AL973" s="2" t="s">
        <v>633</v>
      </c>
      <c r="AM973" s="2">
        <v>0</v>
      </c>
      <c r="AN973" s="2">
        <v>0</v>
      </c>
      <c r="AO973" s="2">
        <v>1</v>
      </c>
      <c r="AP973" s="2">
        <v>0</v>
      </c>
      <c r="AQ973" s="2">
        <v>0</v>
      </c>
      <c r="AR973" s="2">
        <v>0</v>
      </c>
      <c r="AS973" s="2">
        <v>0</v>
      </c>
      <c r="AT973" s="2">
        <v>0</v>
      </c>
      <c r="BB973" s="2" t="str">
        <f>+PROPER(BD[[#This Row],[PRIMER_APELLIDO]])</f>
        <v>Carazo</v>
      </c>
    </row>
    <row r="974" spans="1:54" x14ac:dyDescent="0.25">
      <c r="A974" s="2">
        <v>973</v>
      </c>
      <c r="B974" s="2">
        <v>72650</v>
      </c>
      <c r="C974" s="2" t="s">
        <v>619</v>
      </c>
      <c r="D974" s="2" t="s">
        <v>620</v>
      </c>
      <c r="E974" s="2" t="s">
        <v>6571</v>
      </c>
      <c r="G974" s="3">
        <v>39.098630136986301</v>
      </c>
      <c r="H974" s="2" t="s">
        <v>622</v>
      </c>
      <c r="I974" s="2" t="s">
        <v>6572</v>
      </c>
      <c r="J974" s="2" t="str">
        <f>+IF(BD[[#This Row],[DEPARTAMENTO_INSS]]="MANAGUA","_01_","_02_")</f>
        <v>_01_</v>
      </c>
      <c r="K974" s="2" t="str">
        <f>+CONCATENATE(BD[[#This Row],[Columna3]],BD[[#This Row],[Columna4]],BD[[#This Row],[NOMBRE COMPLETO]])</f>
        <v>E003_01_DARLING TATIANA TELLEZ MARTÍNEZ</v>
      </c>
      <c r="L974" s="2" t="s">
        <v>3616</v>
      </c>
      <c r="M974" s="2" t="s">
        <v>3023</v>
      </c>
      <c r="N974" s="2" t="s">
        <v>274</v>
      </c>
      <c r="O974" s="2" t="s">
        <v>436</v>
      </c>
      <c r="P974" s="2" t="s">
        <v>626</v>
      </c>
      <c r="Q974" s="2" t="s">
        <v>351</v>
      </c>
      <c r="R974" s="2">
        <v>30525</v>
      </c>
      <c r="S974" s="2">
        <v>30525</v>
      </c>
      <c r="T974" s="2" t="s">
        <v>627</v>
      </c>
      <c r="U974" s="2" t="s">
        <v>627</v>
      </c>
      <c r="V974" s="2" t="s">
        <v>627</v>
      </c>
      <c r="W974" s="2" t="s">
        <v>627</v>
      </c>
      <c r="X974" s="2" t="s">
        <v>6573</v>
      </c>
      <c r="Y974" s="2" t="s">
        <v>6574</v>
      </c>
      <c r="Z974" s="2">
        <v>88782929</v>
      </c>
      <c r="AB974" s="2" t="s">
        <v>2629</v>
      </c>
      <c r="AC974" s="2" t="s">
        <v>632</v>
      </c>
      <c r="AD974" s="2">
        <v>88782929</v>
      </c>
      <c r="AJ974" s="2">
        <v>88782929</v>
      </c>
      <c r="AK974" s="2">
        <v>1</v>
      </c>
      <c r="AL974" s="2" t="s">
        <v>633</v>
      </c>
      <c r="AM974" s="2">
        <v>0</v>
      </c>
      <c r="AN974" s="2">
        <v>0</v>
      </c>
      <c r="AO974" s="2">
        <v>1</v>
      </c>
      <c r="AP974" s="2">
        <v>0</v>
      </c>
      <c r="AQ974" s="2">
        <v>0</v>
      </c>
      <c r="AR974" s="2">
        <v>0</v>
      </c>
      <c r="AS974" s="2">
        <v>0</v>
      </c>
      <c r="AT974" s="2">
        <v>0</v>
      </c>
      <c r="AZ974" s="2" t="s">
        <v>6575</v>
      </c>
      <c r="BB974" s="2" t="str">
        <f>+PROPER(BD[[#This Row],[PRIMER_APELLIDO]])</f>
        <v>Tellez</v>
      </c>
    </row>
    <row r="975" spans="1:54" x14ac:dyDescent="0.25">
      <c r="A975" s="2">
        <v>974</v>
      </c>
      <c r="B975" s="2">
        <v>32517</v>
      </c>
      <c r="C975" s="2" t="s">
        <v>619</v>
      </c>
      <c r="D975" s="2" t="s">
        <v>620</v>
      </c>
      <c r="E975" s="2" t="s">
        <v>6576</v>
      </c>
      <c r="F975" s="2">
        <v>13932684</v>
      </c>
      <c r="G975" s="3">
        <v>39.115068493150687</v>
      </c>
      <c r="H975" s="2" t="s">
        <v>622</v>
      </c>
      <c r="I975" s="2" t="s">
        <v>6577</v>
      </c>
      <c r="J975" s="2" t="str">
        <f>+IF(BD[[#This Row],[DEPARTAMENTO_INSS]]="MANAGUA","_01_","_02_")</f>
        <v>_02_</v>
      </c>
      <c r="K975" s="2" t="str">
        <f>+CONCATENATE(BD[[#This Row],[Columna3]],BD[[#This Row],[Columna4]],BD[[#This Row],[NOMBRE COMPLETO]])</f>
        <v>E003_02_FRANCIS CAROLINA CASTILLA</v>
      </c>
      <c r="L975" s="2" t="s">
        <v>362</v>
      </c>
      <c r="M975" s="2" t="s">
        <v>714</v>
      </c>
      <c r="N975" s="2" t="s">
        <v>135</v>
      </c>
      <c r="P975" s="2" t="s">
        <v>626</v>
      </c>
      <c r="Q975" s="2" t="s">
        <v>351</v>
      </c>
      <c r="R975" s="2">
        <v>30519</v>
      </c>
      <c r="S975" s="2">
        <v>30519</v>
      </c>
      <c r="T975" s="2" t="s">
        <v>929</v>
      </c>
      <c r="U975" s="2" t="s">
        <v>780</v>
      </c>
      <c r="V975" s="2" t="s">
        <v>1653</v>
      </c>
      <c r="W975" s="2" t="s">
        <v>781</v>
      </c>
      <c r="X975" s="2" t="s">
        <v>6578</v>
      </c>
      <c r="Y975" s="2" t="s">
        <v>6579</v>
      </c>
      <c r="AA975" s="2" t="s">
        <v>6580</v>
      </c>
      <c r="AB975" s="2" t="s">
        <v>631</v>
      </c>
      <c r="AC975" s="2" t="s">
        <v>632</v>
      </c>
      <c r="AE975" s="2">
        <v>89413339</v>
      </c>
      <c r="AJ975" s="2">
        <v>89413339</v>
      </c>
      <c r="AK975" s="2">
        <v>2</v>
      </c>
      <c r="AL975" s="2" t="s">
        <v>633</v>
      </c>
      <c r="AM975" s="2">
        <v>0</v>
      </c>
      <c r="AN975" s="2">
        <v>0</v>
      </c>
      <c r="AO975" s="2">
        <v>1</v>
      </c>
      <c r="AP975" s="2">
        <v>0</v>
      </c>
      <c r="AQ975" s="2">
        <v>0</v>
      </c>
      <c r="AR975" s="2">
        <v>0</v>
      </c>
      <c r="AS975" s="2">
        <v>0</v>
      </c>
      <c r="AT975" s="2">
        <v>0</v>
      </c>
      <c r="BB975" s="2" t="str">
        <f>+PROPER(BD[[#This Row],[PRIMER_APELLIDO]])</f>
        <v>Castilla</v>
      </c>
    </row>
    <row r="976" spans="1:54" x14ac:dyDescent="0.25">
      <c r="A976" s="2">
        <v>975</v>
      </c>
      <c r="B976" s="2">
        <v>38359</v>
      </c>
      <c r="C976" s="2" t="s">
        <v>619</v>
      </c>
      <c r="D976" s="2" t="s">
        <v>620</v>
      </c>
      <c r="E976" s="2" t="s">
        <v>6581</v>
      </c>
      <c r="F976" s="2">
        <v>21666377</v>
      </c>
      <c r="G976" s="3">
        <v>39.11780821917808</v>
      </c>
      <c r="H976" s="2" t="s">
        <v>622</v>
      </c>
      <c r="I976" s="2" t="s">
        <v>6582</v>
      </c>
      <c r="J976" s="2" t="str">
        <f>+IF(BD[[#This Row],[DEPARTAMENTO_INSS]]="MANAGUA","_01_","_02_")</f>
        <v>_02_</v>
      </c>
      <c r="K976" s="2" t="str">
        <f>+CONCATENATE(BD[[#This Row],[Columna3]],BD[[#This Row],[Columna4]],BD[[#This Row],[NOMBRE COMPLETO]])</f>
        <v>E003_02_JUAN CARLOS HERNANDEZ MOLINA</v>
      </c>
      <c r="L976" s="2" t="s">
        <v>825</v>
      </c>
      <c r="M976" s="2" t="s">
        <v>826</v>
      </c>
      <c r="N976" s="2" t="s">
        <v>11</v>
      </c>
      <c r="O976" s="2" t="s">
        <v>63</v>
      </c>
      <c r="P976" s="2" t="s">
        <v>649</v>
      </c>
      <c r="Q976" s="2" t="s">
        <v>351</v>
      </c>
      <c r="R976" s="2">
        <v>30518</v>
      </c>
      <c r="S976" s="2">
        <v>30518</v>
      </c>
      <c r="T976" s="2" t="s">
        <v>705</v>
      </c>
      <c r="U976" s="2" t="s">
        <v>780</v>
      </c>
      <c r="V976" s="2" t="s">
        <v>725</v>
      </c>
      <c r="W976" s="2" t="s">
        <v>1143</v>
      </c>
      <c r="X976" s="2" t="s">
        <v>6583</v>
      </c>
      <c r="Y976" s="2" t="s">
        <v>6584</v>
      </c>
      <c r="AA976" s="2">
        <v>87318289</v>
      </c>
      <c r="AB976" s="2" t="s">
        <v>654</v>
      </c>
      <c r="AC976" s="2" t="s">
        <v>632</v>
      </c>
      <c r="AD976" s="2">
        <v>87318289</v>
      </c>
      <c r="AJ976" s="2">
        <v>87318289</v>
      </c>
      <c r="AK976" s="2">
        <v>1</v>
      </c>
      <c r="AL976" s="2" t="s">
        <v>633</v>
      </c>
      <c r="AM976" s="2">
        <v>0</v>
      </c>
      <c r="AN976" s="2">
        <v>0</v>
      </c>
      <c r="AO976" s="2">
        <v>1</v>
      </c>
      <c r="AP976" s="2">
        <v>0</v>
      </c>
      <c r="AQ976" s="2">
        <v>0</v>
      </c>
      <c r="AR976" s="2">
        <v>0</v>
      </c>
      <c r="AS976" s="2">
        <v>0</v>
      </c>
      <c r="AT976" s="2">
        <v>0</v>
      </c>
      <c r="BB976" s="2" t="str">
        <f>+PROPER(BD[[#This Row],[PRIMER_APELLIDO]])</f>
        <v>Hernandez</v>
      </c>
    </row>
    <row r="977" spans="1:54" x14ac:dyDescent="0.25">
      <c r="A977" s="2">
        <v>976</v>
      </c>
      <c r="B977" s="2">
        <v>20715</v>
      </c>
      <c r="C977" s="2" t="s">
        <v>619</v>
      </c>
      <c r="D977" s="2" t="s">
        <v>620</v>
      </c>
      <c r="E977" s="2" t="s">
        <v>6585</v>
      </c>
      <c r="F977" s="2">
        <v>16659061</v>
      </c>
      <c r="G977" s="3">
        <v>39.12054794520548</v>
      </c>
      <c r="H977" s="2" t="s">
        <v>622</v>
      </c>
      <c r="I977" s="2" t="s">
        <v>6586</v>
      </c>
      <c r="J977" s="2" t="str">
        <f>+IF(BD[[#This Row],[DEPARTAMENTO_INSS]]="MANAGUA","_01_","_02_")</f>
        <v>_01_</v>
      </c>
      <c r="K977" s="2" t="str">
        <f>+CONCATENATE(BD[[#This Row],[Columna3]],BD[[#This Row],[Columna4]],BD[[#This Row],[NOMBRE COMPLETO]])</f>
        <v>E003_01_IRIS MARLENE BORDAS</v>
      </c>
      <c r="L977" s="2" t="s">
        <v>6587</v>
      </c>
      <c r="M977" s="2" t="s">
        <v>6588</v>
      </c>
      <c r="N977" s="2" t="s">
        <v>273</v>
      </c>
      <c r="P977" s="2" t="s">
        <v>626</v>
      </c>
      <c r="Q977" s="2" t="s">
        <v>351</v>
      </c>
      <c r="R977" s="2">
        <v>30517</v>
      </c>
      <c r="S977" s="2">
        <v>30517</v>
      </c>
      <c r="T977" s="2" t="s">
        <v>627</v>
      </c>
      <c r="U977" s="2" t="s">
        <v>627</v>
      </c>
      <c r="V977" s="2" t="s">
        <v>627</v>
      </c>
      <c r="W977" s="2" t="s">
        <v>627</v>
      </c>
      <c r="X977" s="2" t="s">
        <v>6589</v>
      </c>
      <c r="Y977" s="2" t="s">
        <v>6590</v>
      </c>
      <c r="Z977" s="2" t="s">
        <v>6591</v>
      </c>
      <c r="AA977" s="2" t="s">
        <v>6592</v>
      </c>
      <c r="AB977" s="2" t="s">
        <v>642</v>
      </c>
      <c r="AC977" s="2" t="s">
        <v>632</v>
      </c>
      <c r="AD977" s="2">
        <v>83627059</v>
      </c>
      <c r="AF977" s="2">
        <v>87683338</v>
      </c>
      <c r="AJ977" s="2">
        <v>83627059</v>
      </c>
      <c r="AK977" s="2">
        <v>4</v>
      </c>
      <c r="AL977" s="2" t="s">
        <v>633</v>
      </c>
      <c r="AM977" s="2">
        <v>0</v>
      </c>
      <c r="AN977" s="2">
        <v>0</v>
      </c>
      <c r="AO977" s="2">
        <v>1</v>
      </c>
      <c r="AP977" s="2">
        <v>0</v>
      </c>
      <c r="AQ977" s="2">
        <v>0</v>
      </c>
      <c r="AR977" s="2">
        <v>0</v>
      </c>
      <c r="AS977" s="2">
        <v>0</v>
      </c>
      <c r="AT977" s="2">
        <v>0</v>
      </c>
      <c r="BA977" s="2" t="s">
        <v>6593</v>
      </c>
      <c r="BB977" s="2" t="str">
        <f>+PROPER(BD[[#This Row],[PRIMER_APELLIDO]])</f>
        <v>Bordas</v>
      </c>
    </row>
    <row r="978" spans="1:54" x14ac:dyDescent="0.25">
      <c r="A978" s="2">
        <v>977</v>
      </c>
      <c r="B978" s="2">
        <v>47620</v>
      </c>
      <c r="C978" s="2" t="s">
        <v>619</v>
      </c>
      <c r="D978" s="2" t="s">
        <v>620</v>
      </c>
      <c r="E978" s="2" t="s">
        <v>6594</v>
      </c>
      <c r="F978" s="2">
        <v>15265487</v>
      </c>
      <c r="G978" s="3">
        <v>39.128767123287673</v>
      </c>
      <c r="H978" s="2" t="s">
        <v>622</v>
      </c>
      <c r="I978" s="2" t="s">
        <v>6595</v>
      </c>
      <c r="J978" s="2" t="str">
        <f>+IF(BD[[#This Row],[DEPARTAMENTO_INSS]]="MANAGUA","_01_","_02_")</f>
        <v>_01_</v>
      </c>
      <c r="K978" s="2" t="str">
        <f>+CONCATENATE(BD[[#This Row],[Columna3]],BD[[#This Row],[Columna4]],BD[[#This Row],[NOMBRE COMPLETO]])</f>
        <v>E003_01_ALEJANDRO ENRIQUE CRUZ TELLEZ</v>
      </c>
      <c r="L978" s="2" t="s">
        <v>1554</v>
      </c>
      <c r="M978" s="2" t="s">
        <v>1480</v>
      </c>
      <c r="N978" s="2" t="s">
        <v>32</v>
      </c>
      <c r="O978" s="2" t="s">
        <v>274</v>
      </c>
      <c r="P978" s="2" t="s">
        <v>649</v>
      </c>
      <c r="Q978" s="2" t="s">
        <v>351</v>
      </c>
      <c r="R978" s="2">
        <v>30514</v>
      </c>
      <c r="S978" s="2">
        <v>30514</v>
      </c>
      <c r="T978" s="2" t="s">
        <v>627</v>
      </c>
      <c r="U978" s="2" t="s">
        <v>627</v>
      </c>
      <c r="V978" s="2" t="s">
        <v>692</v>
      </c>
      <c r="W978" s="2" t="s">
        <v>692</v>
      </c>
      <c r="X978" s="2" t="s">
        <v>6596</v>
      </c>
      <c r="Y978" s="2" t="s">
        <v>6597</v>
      </c>
      <c r="Z978" s="2">
        <v>87756143</v>
      </c>
      <c r="AA978" s="2">
        <v>85204332</v>
      </c>
      <c r="AB978" s="2" t="s">
        <v>798</v>
      </c>
      <c r="AC978" s="2" t="s">
        <v>632</v>
      </c>
      <c r="AD978" s="2">
        <v>87756143</v>
      </c>
      <c r="AF978" s="2">
        <v>85204332</v>
      </c>
      <c r="AJ978" s="2">
        <v>87756143</v>
      </c>
      <c r="AK978" s="2">
        <v>2</v>
      </c>
      <c r="AL978" s="2" t="s">
        <v>633</v>
      </c>
      <c r="AM978" s="2">
        <v>0</v>
      </c>
      <c r="AN978" s="2">
        <v>0</v>
      </c>
      <c r="AO978" s="2">
        <v>1</v>
      </c>
      <c r="AP978" s="2">
        <v>0</v>
      </c>
      <c r="AQ978" s="2">
        <v>0</v>
      </c>
      <c r="AR978" s="2">
        <v>0</v>
      </c>
      <c r="AS978" s="2">
        <v>0</v>
      </c>
      <c r="AT978" s="2">
        <v>0</v>
      </c>
      <c r="AZ978" s="2" t="s">
        <v>6598</v>
      </c>
      <c r="BB978" s="2" t="str">
        <f>+PROPER(BD[[#This Row],[PRIMER_APELLIDO]])</f>
        <v>Cruz</v>
      </c>
    </row>
    <row r="979" spans="1:54" x14ac:dyDescent="0.25">
      <c r="A979" s="2">
        <v>978</v>
      </c>
      <c r="B979" s="2">
        <v>64596</v>
      </c>
      <c r="C979" s="2" t="s">
        <v>619</v>
      </c>
      <c r="D979" s="2" t="s">
        <v>620</v>
      </c>
      <c r="E979" s="2" t="s">
        <v>6599</v>
      </c>
      <c r="G979" s="3">
        <v>39.131506849315066</v>
      </c>
      <c r="H979" s="2" t="s">
        <v>622</v>
      </c>
      <c r="I979" s="2" t="s">
        <v>6600</v>
      </c>
      <c r="J979" s="2" t="str">
        <f>+IF(BD[[#This Row],[DEPARTAMENTO_INSS]]="MANAGUA","_01_","_02_")</f>
        <v>_02_</v>
      </c>
      <c r="K979" s="2" t="str">
        <f>+CONCATENATE(BD[[#This Row],[Columna3]],BD[[#This Row],[Columna4]],BD[[#This Row],[NOMBRE COMPLETO]])</f>
        <v>E003_02_ANDY JOSUE MONDRAGON OLIVAS</v>
      </c>
      <c r="L979" s="2" t="s">
        <v>6601</v>
      </c>
      <c r="M979" s="2" t="s">
        <v>1058</v>
      </c>
      <c r="N979" s="2" t="s">
        <v>202</v>
      </c>
      <c r="O979" s="2" t="s">
        <v>322</v>
      </c>
      <c r="P979" s="2" t="s">
        <v>649</v>
      </c>
      <c r="Q979" s="2" t="s">
        <v>351</v>
      </c>
      <c r="R979" s="2">
        <v>30513</v>
      </c>
      <c r="S979" s="2">
        <v>34166</v>
      </c>
      <c r="T979" s="2" t="s">
        <v>444</v>
      </c>
      <c r="U979" s="2" t="s">
        <v>444</v>
      </c>
      <c r="V979" s="2" t="s">
        <v>947</v>
      </c>
      <c r="W979" s="2" t="s">
        <v>1845</v>
      </c>
      <c r="X979" s="2" t="s">
        <v>6602</v>
      </c>
      <c r="Y979" s="2" t="s">
        <v>6603</v>
      </c>
      <c r="Z979" s="2">
        <v>58832855</v>
      </c>
      <c r="AA979" s="2" t="s">
        <v>6604</v>
      </c>
      <c r="AB979" s="2" t="s">
        <v>984</v>
      </c>
      <c r="AC979" s="2" t="s">
        <v>632</v>
      </c>
      <c r="AD979" s="2">
        <v>58832855</v>
      </c>
      <c r="AJ979" s="2">
        <v>58832855</v>
      </c>
      <c r="AK979" s="2">
        <v>3</v>
      </c>
      <c r="AL979" s="2" t="s">
        <v>633</v>
      </c>
      <c r="AM979" s="2">
        <v>0</v>
      </c>
      <c r="AN979" s="2">
        <v>0</v>
      </c>
      <c r="AO979" s="2">
        <v>1</v>
      </c>
      <c r="AP979" s="2">
        <v>0</v>
      </c>
      <c r="AQ979" s="2">
        <v>0</v>
      </c>
      <c r="AR979" s="2">
        <v>0</v>
      </c>
      <c r="AS979" s="2">
        <v>0</v>
      </c>
      <c r="AT979" s="2">
        <v>0</v>
      </c>
      <c r="BB979" s="2" t="str">
        <f>+PROPER(BD[[#This Row],[PRIMER_APELLIDO]])</f>
        <v>Mondragon</v>
      </c>
    </row>
    <row r="980" spans="1:54" x14ac:dyDescent="0.25">
      <c r="A980" s="2">
        <v>979</v>
      </c>
      <c r="B980" s="2">
        <v>31882</v>
      </c>
      <c r="C980" s="2" t="s">
        <v>619</v>
      </c>
      <c r="D980" s="2" t="s">
        <v>620</v>
      </c>
      <c r="E980" s="2" t="s">
        <v>6605</v>
      </c>
      <c r="F980" s="2">
        <v>21704624</v>
      </c>
      <c r="G980" s="3">
        <v>39.134246575342466</v>
      </c>
      <c r="H980" s="2" t="s">
        <v>622</v>
      </c>
      <c r="I980" s="2" t="s">
        <v>6606</v>
      </c>
      <c r="J980" s="2" t="str">
        <f>+IF(BD[[#This Row],[DEPARTAMENTO_INSS]]="MANAGUA","_01_","_02_")</f>
        <v>_02_</v>
      </c>
      <c r="K980" s="2" t="str">
        <f>+CONCATENATE(BD[[#This Row],[Columna3]],BD[[#This Row],[Columna4]],BD[[#This Row],[NOMBRE COMPLETO]])</f>
        <v>E003_02_RIDER ANTONIO MIRANDA JUAREZ</v>
      </c>
      <c r="L980" s="2" t="s">
        <v>6607</v>
      </c>
      <c r="M980" s="2" t="s">
        <v>904</v>
      </c>
      <c r="N980" s="2" t="s">
        <v>56</v>
      </c>
      <c r="O980" s="2" t="s">
        <v>344</v>
      </c>
      <c r="P980" s="2" t="s">
        <v>649</v>
      </c>
      <c r="Q980" s="2" t="s">
        <v>351</v>
      </c>
      <c r="R980" s="2">
        <v>30512</v>
      </c>
      <c r="S980" s="2">
        <v>30512</v>
      </c>
      <c r="T980" s="2" t="s">
        <v>176</v>
      </c>
      <c r="U980" s="2" t="s">
        <v>176</v>
      </c>
      <c r="V980" s="2" t="s">
        <v>650</v>
      </c>
      <c r="W980" s="2" t="s">
        <v>176</v>
      </c>
      <c r="X980" s="2" t="s">
        <v>6608</v>
      </c>
      <c r="Y980" s="2" t="s">
        <v>6609</v>
      </c>
      <c r="Z980" s="2">
        <v>84039695</v>
      </c>
      <c r="AB980" s="2" t="s">
        <v>654</v>
      </c>
      <c r="AC980" s="2" t="s">
        <v>632</v>
      </c>
      <c r="AD980" s="2">
        <v>84039695</v>
      </c>
      <c r="AJ980" s="2">
        <v>84039695</v>
      </c>
      <c r="AK980" s="2">
        <v>1</v>
      </c>
      <c r="AL980" s="2" t="s">
        <v>633</v>
      </c>
      <c r="AM980" s="2">
        <v>0</v>
      </c>
      <c r="AN980" s="2">
        <v>0</v>
      </c>
      <c r="AO980" s="2">
        <v>1</v>
      </c>
      <c r="AP980" s="2">
        <v>0</v>
      </c>
      <c r="AQ980" s="2">
        <v>0</v>
      </c>
      <c r="AR980" s="2">
        <v>0</v>
      </c>
      <c r="AS980" s="2">
        <v>0</v>
      </c>
      <c r="AT980" s="2">
        <v>0</v>
      </c>
      <c r="AZ980" s="2" t="s">
        <v>6610</v>
      </c>
      <c r="BB980" s="2" t="str">
        <f>+PROPER(BD[[#This Row],[PRIMER_APELLIDO]])</f>
        <v>Miranda</v>
      </c>
    </row>
    <row r="981" spans="1:54" x14ac:dyDescent="0.25">
      <c r="A981" s="2">
        <v>980</v>
      </c>
      <c r="B981" s="2">
        <v>29939</v>
      </c>
      <c r="C981" s="2" t="s">
        <v>619</v>
      </c>
      <c r="D981" s="2" t="s">
        <v>620</v>
      </c>
      <c r="E981" s="2" t="s">
        <v>6611</v>
      </c>
      <c r="F981" s="2">
        <v>21675481</v>
      </c>
      <c r="G981" s="3">
        <v>39.139726027397259</v>
      </c>
      <c r="H981" s="2" t="s">
        <v>622</v>
      </c>
      <c r="I981" s="2" t="s">
        <v>6612</v>
      </c>
      <c r="J981" s="2" t="str">
        <f>+IF(BD[[#This Row],[DEPARTAMENTO_INSS]]="MANAGUA","_01_","_02_")</f>
        <v>_02_</v>
      </c>
      <c r="K981" s="2" t="str">
        <f>+CONCATENATE(BD[[#This Row],[Columna3]],BD[[#This Row],[Columna4]],BD[[#This Row],[NOMBRE COMPLETO]])</f>
        <v>E003_02_MARYINI DEL SOCORRO CARRASCO LOPEZ</v>
      </c>
      <c r="L981" s="2" t="s">
        <v>6613</v>
      </c>
      <c r="M981" s="2" t="s">
        <v>787</v>
      </c>
      <c r="N981" s="2" t="s">
        <v>152</v>
      </c>
      <c r="O981" s="2" t="s">
        <v>15</v>
      </c>
      <c r="P981" s="2" t="s">
        <v>626</v>
      </c>
      <c r="Q981" s="2" t="s">
        <v>351</v>
      </c>
      <c r="R981" s="2">
        <v>30510</v>
      </c>
      <c r="S981" s="2">
        <v>30510</v>
      </c>
      <c r="T981" s="2" t="s">
        <v>691</v>
      </c>
      <c r="U981" s="2" t="s">
        <v>691</v>
      </c>
      <c r="V981" s="2" t="s">
        <v>1399</v>
      </c>
      <c r="W981" s="2" t="s">
        <v>691</v>
      </c>
      <c r="X981" s="2" t="s">
        <v>6614</v>
      </c>
      <c r="Y981" s="2" t="s">
        <v>6615</v>
      </c>
      <c r="Z981" s="2">
        <v>86199743</v>
      </c>
      <c r="AB981" s="2" t="s">
        <v>654</v>
      </c>
      <c r="AC981" s="2" t="s">
        <v>632</v>
      </c>
      <c r="AD981" s="2">
        <v>86199743</v>
      </c>
      <c r="AJ981" s="2">
        <v>86199743</v>
      </c>
      <c r="AK981" s="2">
        <v>1</v>
      </c>
      <c r="AL981" s="2" t="s">
        <v>633</v>
      </c>
      <c r="AM981" s="2">
        <v>0</v>
      </c>
      <c r="AN981" s="2">
        <v>0</v>
      </c>
      <c r="AO981" s="2">
        <v>1</v>
      </c>
      <c r="AP981" s="2">
        <v>0</v>
      </c>
      <c r="AQ981" s="2">
        <v>0</v>
      </c>
      <c r="AR981" s="2">
        <v>0</v>
      </c>
      <c r="AS981" s="2">
        <v>0</v>
      </c>
      <c r="AT981" s="2">
        <v>0</v>
      </c>
      <c r="AZ981" s="2" t="s">
        <v>6616</v>
      </c>
      <c r="BB981" s="2" t="str">
        <f>+PROPER(BD[[#This Row],[PRIMER_APELLIDO]])</f>
        <v>Carrasco</v>
      </c>
    </row>
    <row r="982" spans="1:54" x14ac:dyDescent="0.25">
      <c r="A982" s="2">
        <v>981</v>
      </c>
      <c r="B982" s="2">
        <v>32637</v>
      </c>
      <c r="C982" s="2" t="s">
        <v>619</v>
      </c>
      <c r="D982" s="2" t="s">
        <v>620</v>
      </c>
      <c r="E982" s="2" t="s">
        <v>6617</v>
      </c>
      <c r="G982" s="3">
        <v>39.150684931506852</v>
      </c>
      <c r="H982" s="2" t="s">
        <v>622</v>
      </c>
      <c r="I982" s="2" t="s">
        <v>6618</v>
      </c>
      <c r="J982" s="2" t="str">
        <f>+IF(BD[[#This Row],[DEPARTAMENTO_INSS]]="MANAGUA","_01_","_02_")</f>
        <v>_02_</v>
      </c>
      <c r="K982" s="2" t="str">
        <f>+CONCATENATE(BD[[#This Row],[Columna3]],BD[[#This Row],[Columna4]],BD[[#This Row],[NOMBRE COMPLETO]])</f>
        <v>E003_02_MARIA AUXILIADORA ESPINOZA GAITAN</v>
      </c>
      <c r="L982" s="2" t="s">
        <v>724</v>
      </c>
      <c r="M982" s="2" t="s">
        <v>970</v>
      </c>
      <c r="N982" s="2" t="s">
        <v>235</v>
      </c>
      <c r="O982" s="2" t="s">
        <v>54</v>
      </c>
      <c r="P982" s="2" t="s">
        <v>626</v>
      </c>
      <c r="Q982" s="2" t="s">
        <v>351</v>
      </c>
      <c r="R982" s="2">
        <v>30506</v>
      </c>
      <c r="S982" s="2">
        <v>30506</v>
      </c>
      <c r="T982" s="2" t="s">
        <v>732</v>
      </c>
      <c r="U982" s="2" t="s">
        <v>732</v>
      </c>
      <c r="V982" s="2" t="s">
        <v>732</v>
      </c>
      <c r="W982" s="2" t="s">
        <v>732</v>
      </c>
      <c r="X982" s="2" t="s">
        <v>6619</v>
      </c>
      <c r="Y982" s="2" t="s">
        <v>6620</v>
      </c>
      <c r="Z982" s="2">
        <v>88731465</v>
      </c>
      <c r="AA982" s="2">
        <v>87346194</v>
      </c>
      <c r="AB982" s="2" t="s">
        <v>654</v>
      </c>
      <c r="AC982" s="2" t="s">
        <v>632</v>
      </c>
      <c r="AD982" s="2">
        <v>88731465</v>
      </c>
      <c r="AF982" s="2">
        <v>87346194</v>
      </c>
      <c r="AJ982" s="2">
        <v>88731465</v>
      </c>
      <c r="AK982" s="2">
        <v>2</v>
      </c>
      <c r="AL982" s="2" t="s">
        <v>633</v>
      </c>
      <c r="AM982" s="2">
        <v>0</v>
      </c>
      <c r="AN982" s="2">
        <v>0</v>
      </c>
      <c r="AO982" s="2">
        <v>1</v>
      </c>
      <c r="AP982" s="2">
        <v>0</v>
      </c>
      <c r="AQ982" s="2">
        <v>0</v>
      </c>
      <c r="AR982" s="2">
        <v>0</v>
      </c>
      <c r="AS982" s="2">
        <v>0</v>
      </c>
      <c r="AT982" s="2">
        <v>0</v>
      </c>
      <c r="BB982" s="2" t="str">
        <f>+PROPER(BD[[#This Row],[PRIMER_APELLIDO]])</f>
        <v>Espinoza</v>
      </c>
    </row>
    <row r="983" spans="1:54" x14ac:dyDescent="0.25">
      <c r="A983" s="2">
        <v>982</v>
      </c>
      <c r="B983" s="2">
        <v>38998</v>
      </c>
      <c r="C983" s="2" t="s">
        <v>619</v>
      </c>
      <c r="D983" s="2" t="s">
        <v>620</v>
      </c>
      <c r="E983" s="2" t="s">
        <v>6621</v>
      </c>
      <c r="F983" s="2">
        <v>23142675</v>
      </c>
      <c r="G983" s="3">
        <v>39.153424657534245</v>
      </c>
      <c r="H983" s="2" t="s">
        <v>622</v>
      </c>
      <c r="I983" s="2" t="s">
        <v>6622</v>
      </c>
      <c r="J983" s="2" t="str">
        <f>+IF(BD[[#This Row],[DEPARTAMENTO_INSS]]="MANAGUA","_01_","_02_")</f>
        <v>_02_</v>
      </c>
      <c r="K983" s="2" t="str">
        <f>+CONCATENATE(BD[[#This Row],[Columna3]],BD[[#This Row],[Columna4]],BD[[#This Row],[NOMBRE COMPLETO]])</f>
        <v>E003_02_ROBERTO HERNALDO LACAYO GOMEZ</v>
      </c>
      <c r="L983" s="2" t="s">
        <v>1057</v>
      </c>
      <c r="M983" s="2" t="s">
        <v>1112</v>
      </c>
      <c r="N983" s="2" t="s">
        <v>148</v>
      </c>
      <c r="O983" s="2" t="s">
        <v>43</v>
      </c>
      <c r="P983" s="2" t="s">
        <v>649</v>
      </c>
      <c r="Q983" s="2" t="s">
        <v>351</v>
      </c>
      <c r="R983" s="2">
        <v>30505</v>
      </c>
      <c r="S983" s="2">
        <v>30505</v>
      </c>
      <c r="T983" s="2" t="s">
        <v>740</v>
      </c>
      <c r="U983" s="2" t="s">
        <v>740</v>
      </c>
      <c r="V983" s="2" t="s">
        <v>740</v>
      </c>
      <c r="W983" s="2" t="s">
        <v>740</v>
      </c>
      <c r="X983" s="2" t="s">
        <v>6623</v>
      </c>
      <c r="Y983" s="2" t="s">
        <v>6624</v>
      </c>
      <c r="AA983" s="2">
        <v>25523274</v>
      </c>
      <c r="AB983" s="2" t="s">
        <v>654</v>
      </c>
      <c r="AC983" s="2" t="s">
        <v>632</v>
      </c>
      <c r="AK983" s="2">
        <v>1</v>
      </c>
      <c r="AL983" s="2" t="s">
        <v>633</v>
      </c>
      <c r="AM983" s="2">
        <v>0</v>
      </c>
      <c r="AN983" s="2">
        <v>0</v>
      </c>
      <c r="AO983" s="2">
        <v>1</v>
      </c>
      <c r="AP983" s="2">
        <v>0</v>
      </c>
      <c r="AQ983" s="2">
        <v>0</v>
      </c>
      <c r="AR983" s="2">
        <v>0</v>
      </c>
      <c r="AS983" s="2">
        <v>0</v>
      </c>
      <c r="AT983" s="2">
        <v>0</v>
      </c>
      <c r="BB983" s="2" t="str">
        <f>+PROPER(BD[[#This Row],[PRIMER_APELLIDO]])</f>
        <v>Lacayo</v>
      </c>
    </row>
    <row r="984" spans="1:54" x14ac:dyDescent="0.25">
      <c r="A984" s="2">
        <v>983</v>
      </c>
      <c r="B984" s="2">
        <v>35350</v>
      </c>
      <c r="C984" s="2" t="s">
        <v>619</v>
      </c>
      <c r="D984" s="2" t="s">
        <v>620</v>
      </c>
      <c r="E984" s="2" t="s">
        <v>6625</v>
      </c>
      <c r="F984" s="2">
        <v>21717985</v>
      </c>
      <c r="G984" s="3">
        <v>39.156164383561645</v>
      </c>
      <c r="H984" s="2" t="s">
        <v>622</v>
      </c>
      <c r="I984" s="2" t="s">
        <v>6626</v>
      </c>
      <c r="J984" s="2" t="str">
        <f>+IF(BD[[#This Row],[DEPARTAMENTO_INSS]]="MANAGUA","_01_","_02_")</f>
        <v>_02_</v>
      </c>
      <c r="K984" s="2" t="str">
        <f>+CONCATENATE(BD[[#This Row],[Columna3]],BD[[#This Row],[Columna4]],BD[[#This Row],[NOMBRE COMPLETO]])</f>
        <v>E003_02_MABEL YUNIETH FORNOS MEMBREÑO</v>
      </c>
      <c r="L984" s="2" t="s">
        <v>3029</v>
      </c>
      <c r="M984" s="2" t="s">
        <v>6627</v>
      </c>
      <c r="N984" s="2" t="s">
        <v>389</v>
      </c>
      <c r="O984" s="2" t="s">
        <v>326</v>
      </c>
      <c r="P984" s="2" t="s">
        <v>626</v>
      </c>
      <c r="Q984" s="2" t="s">
        <v>351</v>
      </c>
      <c r="R984" s="2">
        <v>30504</v>
      </c>
      <c r="S984" s="2">
        <v>30504</v>
      </c>
      <c r="T984" s="2" t="s">
        <v>176</v>
      </c>
      <c r="U984" s="2" t="s">
        <v>176</v>
      </c>
      <c r="V984" s="2" t="s">
        <v>650</v>
      </c>
      <c r="W984" s="2" t="s">
        <v>176</v>
      </c>
      <c r="X984" s="2" t="s">
        <v>6628</v>
      </c>
      <c r="Y984" s="2" t="s">
        <v>6629</v>
      </c>
      <c r="Z984" s="2">
        <v>87448672</v>
      </c>
      <c r="AA984" s="2" t="s">
        <v>6630</v>
      </c>
      <c r="AB984" s="2" t="s">
        <v>654</v>
      </c>
      <c r="AC984" s="2" t="s">
        <v>632</v>
      </c>
      <c r="AD984" s="2">
        <v>87448672</v>
      </c>
      <c r="AE984" s="2">
        <v>88370294</v>
      </c>
      <c r="AF984" s="2">
        <v>89485292</v>
      </c>
      <c r="AJ984" s="2">
        <v>87448672</v>
      </c>
      <c r="AK984" s="2">
        <v>3</v>
      </c>
      <c r="AL984" s="2" t="s">
        <v>633</v>
      </c>
      <c r="AM984" s="2">
        <v>0</v>
      </c>
      <c r="AN984" s="2">
        <v>0</v>
      </c>
      <c r="AO984" s="2">
        <v>1</v>
      </c>
      <c r="AP984" s="2">
        <v>0</v>
      </c>
      <c r="AQ984" s="2">
        <v>0</v>
      </c>
      <c r="AR984" s="2">
        <v>0</v>
      </c>
      <c r="AS984" s="2">
        <v>0</v>
      </c>
      <c r="AT984" s="2">
        <v>0</v>
      </c>
      <c r="AZ984" s="2" t="s">
        <v>6631</v>
      </c>
      <c r="BB984" s="2" t="str">
        <f>+PROPER(BD[[#This Row],[PRIMER_APELLIDO]])</f>
        <v>Fornos</v>
      </c>
    </row>
    <row r="985" spans="1:54" x14ac:dyDescent="0.25">
      <c r="A985" s="2">
        <v>984</v>
      </c>
      <c r="B985" s="2">
        <v>61809</v>
      </c>
      <c r="C985" s="2" t="s">
        <v>619</v>
      </c>
      <c r="D985" s="2" t="s">
        <v>620</v>
      </c>
      <c r="E985" s="2" t="s">
        <v>6632</v>
      </c>
      <c r="G985" s="3">
        <v>39.169863013698631</v>
      </c>
      <c r="H985" s="2" t="s">
        <v>622</v>
      </c>
      <c r="I985" s="2" t="s">
        <v>6633</v>
      </c>
      <c r="J985" s="2" t="str">
        <f>+IF(BD[[#This Row],[DEPARTAMENTO_INSS]]="MANAGUA","_01_","_02_")</f>
        <v>_02_</v>
      </c>
      <c r="K985" s="2" t="str">
        <f>+CONCATENATE(BD[[#This Row],[Columna3]],BD[[#This Row],[Columna4]],BD[[#This Row],[NOMBRE COMPLETO]])</f>
        <v>E003_02_ANA MARIA NOGUERA GUTIERREZ</v>
      </c>
      <c r="L985" s="2" t="s">
        <v>860</v>
      </c>
      <c r="M985" s="2" t="s">
        <v>724</v>
      </c>
      <c r="N985" s="2" t="s">
        <v>352</v>
      </c>
      <c r="O985" s="2" t="s">
        <v>171</v>
      </c>
      <c r="P985" s="2" t="s">
        <v>626</v>
      </c>
      <c r="Q985" s="2" t="s">
        <v>351</v>
      </c>
      <c r="R985" s="2">
        <v>30499</v>
      </c>
      <c r="S985" s="2">
        <v>30499</v>
      </c>
      <c r="T985" s="2" t="s">
        <v>740</v>
      </c>
      <c r="U985" s="2" t="s">
        <v>740</v>
      </c>
      <c r="V985" s="2" t="s">
        <v>5278</v>
      </c>
      <c r="W985" s="2" t="s">
        <v>1334</v>
      </c>
      <c r="X985" s="2" t="s">
        <v>6634</v>
      </c>
      <c r="Y985" s="2" t="s">
        <v>6635</v>
      </c>
      <c r="Z985" s="2">
        <v>86082549</v>
      </c>
      <c r="AA985" s="2">
        <v>86082549</v>
      </c>
      <c r="AB985" s="2" t="s">
        <v>3228</v>
      </c>
      <c r="AC985" s="2" t="s">
        <v>632</v>
      </c>
      <c r="AD985" s="2">
        <v>86082549</v>
      </c>
      <c r="AJ985" s="2">
        <v>86082549</v>
      </c>
      <c r="AK985" s="2">
        <v>2</v>
      </c>
      <c r="AL985" s="2" t="s">
        <v>633</v>
      </c>
      <c r="AM985" s="2">
        <v>0</v>
      </c>
      <c r="AN985" s="2">
        <v>0</v>
      </c>
      <c r="AO985" s="2">
        <v>1</v>
      </c>
      <c r="AP985" s="2">
        <v>0</v>
      </c>
      <c r="AQ985" s="2">
        <v>0</v>
      </c>
      <c r="AR985" s="2">
        <v>0</v>
      </c>
      <c r="AS985" s="2">
        <v>0</v>
      </c>
      <c r="AT985" s="2">
        <v>0</v>
      </c>
      <c r="AZ985" s="2" t="s">
        <v>6636</v>
      </c>
      <c r="BB985" s="2" t="str">
        <f>+PROPER(BD[[#This Row],[PRIMER_APELLIDO]])</f>
        <v>Noguera</v>
      </c>
    </row>
    <row r="986" spans="1:54" x14ac:dyDescent="0.25">
      <c r="A986" s="2">
        <v>985</v>
      </c>
      <c r="B986" s="2">
        <v>37751</v>
      </c>
      <c r="C986" s="2" t="s">
        <v>619</v>
      </c>
      <c r="D986" s="2" t="s">
        <v>620</v>
      </c>
      <c r="E986" s="2" t="s">
        <v>6637</v>
      </c>
      <c r="F986" s="2">
        <v>21705254</v>
      </c>
      <c r="G986" s="3">
        <v>39.172602739726024</v>
      </c>
      <c r="H986" s="2" t="s">
        <v>622</v>
      </c>
      <c r="I986" s="2" t="s">
        <v>6638</v>
      </c>
      <c r="J986" s="2" t="str">
        <f>+IF(BD[[#This Row],[DEPARTAMENTO_INSS]]="MANAGUA","_01_","_02_")</f>
        <v>_02_</v>
      </c>
      <c r="K986" s="2" t="str">
        <f>+CONCATENATE(BD[[#This Row],[Columna3]],BD[[#This Row],[Columna4]],BD[[#This Row],[NOMBRE COMPLETO]])</f>
        <v>E003_02_KENIA MARIA RIVERA ESPINOZA</v>
      </c>
      <c r="L986" s="2" t="s">
        <v>802</v>
      </c>
      <c r="M986" s="2" t="s">
        <v>724</v>
      </c>
      <c r="N986" s="2" t="s">
        <v>198</v>
      </c>
      <c r="O986" s="2" t="s">
        <v>235</v>
      </c>
      <c r="P986" s="2" t="s">
        <v>626</v>
      </c>
      <c r="Q986" s="2" t="s">
        <v>351</v>
      </c>
      <c r="R986" s="2">
        <v>30498</v>
      </c>
      <c r="S986" s="2">
        <v>30498</v>
      </c>
      <c r="T986" s="2" t="s">
        <v>176</v>
      </c>
      <c r="U986" s="2" t="s">
        <v>176</v>
      </c>
      <c r="V986" s="2" t="s">
        <v>650</v>
      </c>
      <c r="W986" s="2" t="s">
        <v>176</v>
      </c>
      <c r="X986" s="2" t="s">
        <v>6639</v>
      </c>
      <c r="Y986" s="2" t="s">
        <v>6640</v>
      </c>
      <c r="Z986" s="2">
        <v>86317023</v>
      </c>
      <c r="AA986" s="2">
        <v>86317023</v>
      </c>
      <c r="AB986" s="2" t="s">
        <v>654</v>
      </c>
      <c r="AC986" s="2" t="s">
        <v>632</v>
      </c>
      <c r="AD986" s="2">
        <v>86317023</v>
      </c>
      <c r="AJ986" s="2">
        <v>86317023</v>
      </c>
      <c r="AK986" s="2">
        <v>2</v>
      </c>
      <c r="AL986" s="2" t="s">
        <v>633</v>
      </c>
      <c r="AM986" s="2">
        <v>0</v>
      </c>
      <c r="AN986" s="2">
        <v>0</v>
      </c>
      <c r="AO986" s="2">
        <v>1</v>
      </c>
      <c r="AP986" s="2">
        <v>0</v>
      </c>
      <c r="AQ986" s="2">
        <v>0</v>
      </c>
      <c r="AR986" s="2">
        <v>0</v>
      </c>
      <c r="AS986" s="2">
        <v>0</v>
      </c>
      <c r="AT986" s="2">
        <v>0</v>
      </c>
      <c r="AZ986" s="2" t="s">
        <v>6641</v>
      </c>
      <c r="BB986" s="2" t="str">
        <f>+PROPER(BD[[#This Row],[PRIMER_APELLIDO]])</f>
        <v>Rivera</v>
      </c>
    </row>
    <row r="987" spans="1:54" x14ac:dyDescent="0.25">
      <c r="A987" s="2">
        <v>986</v>
      </c>
      <c r="B987" s="2">
        <v>46907</v>
      </c>
      <c r="C987" s="2" t="s">
        <v>619</v>
      </c>
      <c r="D987" s="2" t="s">
        <v>620</v>
      </c>
      <c r="E987" s="2" t="s">
        <v>6642</v>
      </c>
      <c r="F987" s="2">
        <v>21431443</v>
      </c>
      <c r="G987" s="3">
        <v>39.180821917808217</v>
      </c>
      <c r="H987" s="2" t="s">
        <v>622</v>
      </c>
      <c r="I987" s="2" t="s">
        <v>6643</v>
      </c>
      <c r="J987" s="2" t="str">
        <f>+IF(BD[[#This Row],[DEPARTAMENTO_INSS]]="MANAGUA","_01_","_02_")</f>
        <v>_02_</v>
      </c>
      <c r="K987" s="2" t="str">
        <f>+CONCATENATE(BD[[#This Row],[Columna3]],BD[[#This Row],[Columna4]],BD[[#This Row],[NOMBRE COMPLETO]])</f>
        <v>E003_02_XOCHILT DEL ROSARIO SALINAS DOMINGUEZ</v>
      </c>
      <c r="L987" s="2" t="s">
        <v>1935</v>
      </c>
      <c r="M987" s="2" t="s">
        <v>1070</v>
      </c>
      <c r="N987" s="2" t="s">
        <v>114</v>
      </c>
      <c r="O987" s="2" t="s">
        <v>812</v>
      </c>
      <c r="P987" s="2" t="s">
        <v>626</v>
      </c>
      <c r="Q987" s="2" t="s">
        <v>351</v>
      </c>
      <c r="R987" s="2">
        <v>30495</v>
      </c>
      <c r="S987" s="2">
        <v>30495</v>
      </c>
      <c r="T987" s="2" t="s">
        <v>732</v>
      </c>
      <c r="U987" s="2" t="s">
        <v>732</v>
      </c>
      <c r="V987" s="2" t="s">
        <v>732</v>
      </c>
      <c r="W987" s="2" t="s">
        <v>732</v>
      </c>
      <c r="X987" s="2" t="s">
        <v>6644</v>
      </c>
      <c r="Y987" s="2" t="s">
        <v>6645</v>
      </c>
      <c r="AA987" s="2">
        <v>75385304</v>
      </c>
      <c r="AB987" s="2" t="s">
        <v>642</v>
      </c>
      <c r="AC987" s="2" t="s">
        <v>632</v>
      </c>
      <c r="AD987" s="2">
        <v>75385304</v>
      </c>
      <c r="AJ987" s="2">
        <v>75385304</v>
      </c>
      <c r="AK987" s="2">
        <v>1</v>
      </c>
      <c r="AL987" s="2" t="s">
        <v>633</v>
      </c>
      <c r="AM987" s="2">
        <v>0</v>
      </c>
      <c r="AN987" s="2">
        <v>0</v>
      </c>
      <c r="AO987" s="2">
        <v>1</v>
      </c>
      <c r="AP987" s="2">
        <v>0</v>
      </c>
      <c r="AQ987" s="2">
        <v>0</v>
      </c>
      <c r="AR987" s="2">
        <v>0</v>
      </c>
      <c r="AS987" s="2">
        <v>0</v>
      </c>
      <c r="AT987" s="2">
        <v>0</v>
      </c>
      <c r="BB987" s="2" t="str">
        <f>+PROPER(BD[[#This Row],[PRIMER_APELLIDO]])</f>
        <v>Salinas</v>
      </c>
    </row>
    <row r="988" spans="1:54" x14ac:dyDescent="0.25">
      <c r="A988" s="2">
        <v>987</v>
      </c>
      <c r="B988" s="2">
        <v>48648</v>
      </c>
      <c r="C988" s="2" t="s">
        <v>619</v>
      </c>
      <c r="D988" s="2" t="s">
        <v>620</v>
      </c>
      <c r="E988" s="2" t="s">
        <v>6646</v>
      </c>
      <c r="F988" s="2">
        <v>16658455</v>
      </c>
      <c r="G988" s="3">
        <v>39.183561643835617</v>
      </c>
      <c r="H988" s="2" t="s">
        <v>622</v>
      </c>
      <c r="I988" s="2" t="s">
        <v>6647</v>
      </c>
      <c r="J988" s="2" t="str">
        <f>+IF(BD[[#This Row],[DEPARTAMENTO_INSS]]="MANAGUA","_01_","_02_")</f>
        <v>_02_</v>
      </c>
      <c r="K988" s="2" t="str">
        <f>+CONCATENATE(BD[[#This Row],[Columna3]],BD[[#This Row],[Columna4]],BD[[#This Row],[NOMBRE COMPLETO]])</f>
        <v>E003_02_ADRIAN JOSE RAMIREZ</v>
      </c>
      <c r="L988" s="2" t="s">
        <v>6648</v>
      </c>
      <c r="M988" s="2" t="s">
        <v>243</v>
      </c>
      <c r="N988" s="2" t="s">
        <v>38</v>
      </c>
      <c r="P988" s="2" t="s">
        <v>649</v>
      </c>
      <c r="Q988" s="2" t="s">
        <v>351</v>
      </c>
      <c r="R988" s="2">
        <v>30494</v>
      </c>
      <c r="S988" s="2">
        <v>30494</v>
      </c>
      <c r="T988" s="2" t="s">
        <v>176</v>
      </c>
      <c r="U988" s="2" t="s">
        <v>176</v>
      </c>
      <c r="V988" s="2" t="s">
        <v>650</v>
      </c>
      <c r="W988" s="2" t="s">
        <v>176</v>
      </c>
      <c r="X988" s="2" t="s">
        <v>6649</v>
      </c>
      <c r="Y988" s="2" t="s">
        <v>6650</v>
      </c>
      <c r="Z988" s="2">
        <v>57318248</v>
      </c>
      <c r="AB988" s="2" t="s">
        <v>654</v>
      </c>
      <c r="AC988" s="2" t="s">
        <v>632</v>
      </c>
      <c r="AD988" s="2">
        <v>57318248</v>
      </c>
      <c r="AJ988" s="2">
        <v>57318248</v>
      </c>
      <c r="AK988" s="2">
        <v>1</v>
      </c>
      <c r="AL988" s="2" t="s">
        <v>633</v>
      </c>
      <c r="AM988" s="2">
        <v>0</v>
      </c>
      <c r="AN988" s="2">
        <v>0</v>
      </c>
      <c r="AO988" s="2">
        <v>1</v>
      </c>
      <c r="AP988" s="2">
        <v>0</v>
      </c>
      <c r="AQ988" s="2">
        <v>0</v>
      </c>
      <c r="AR988" s="2">
        <v>0</v>
      </c>
      <c r="AS988" s="2">
        <v>0</v>
      </c>
      <c r="AT988" s="2">
        <v>0</v>
      </c>
      <c r="AZ988" s="2" t="s">
        <v>6651</v>
      </c>
      <c r="BB988" s="2" t="str">
        <f>+PROPER(BD[[#This Row],[PRIMER_APELLIDO]])</f>
        <v>Ramirez</v>
      </c>
    </row>
    <row r="989" spans="1:54" x14ac:dyDescent="0.25">
      <c r="A989" s="2">
        <v>988</v>
      </c>
      <c r="B989" s="2">
        <v>57765</v>
      </c>
      <c r="C989" s="2" t="s">
        <v>619</v>
      </c>
      <c r="D989" s="2" t="s">
        <v>620</v>
      </c>
      <c r="E989" s="2" t="s">
        <v>6652</v>
      </c>
      <c r="G989" s="3">
        <v>39.18904109589041</v>
      </c>
      <c r="H989" s="2" t="s">
        <v>622</v>
      </c>
      <c r="I989" s="2" t="s">
        <v>6653</v>
      </c>
      <c r="J989" s="2" t="str">
        <f>+IF(BD[[#This Row],[DEPARTAMENTO_INSS]]="MANAGUA","_01_","_02_")</f>
        <v>_02_</v>
      </c>
      <c r="K989" s="2" t="str">
        <f>+CONCATENATE(BD[[#This Row],[Columna3]],BD[[#This Row],[Columna4]],BD[[#This Row],[NOMBRE COMPLETO]])</f>
        <v>E003_02_VERONICA DEL CARMEN VALDIVIA QUINTERO</v>
      </c>
      <c r="L989" s="2" t="s">
        <v>1464</v>
      </c>
      <c r="M989" s="2" t="s">
        <v>961</v>
      </c>
      <c r="N989" s="2" t="s">
        <v>93</v>
      </c>
      <c r="O989" s="2" t="s">
        <v>188</v>
      </c>
      <c r="P989" s="2" t="s">
        <v>626</v>
      </c>
      <c r="Q989" s="2" t="s">
        <v>351</v>
      </c>
      <c r="R989" s="2">
        <v>30492</v>
      </c>
      <c r="S989" s="2">
        <v>30492</v>
      </c>
      <c r="T989" s="2" t="s">
        <v>691</v>
      </c>
      <c r="U989" s="2" t="s">
        <v>691</v>
      </c>
      <c r="V989" s="2" t="s">
        <v>2467</v>
      </c>
      <c r="W989" s="2" t="s">
        <v>2467</v>
      </c>
      <c r="X989" s="2" t="s">
        <v>6654</v>
      </c>
      <c r="Y989" s="2" t="s">
        <v>6655</v>
      </c>
      <c r="Z989" s="2">
        <v>58440220</v>
      </c>
      <c r="AA989" s="2">
        <v>86134916</v>
      </c>
      <c r="AB989" s="2" t="s">
        <v>631</v>
      </c>
      <c r="AC989" s="2" t="s">
        <v>632</v>
      </c>
      <c r="AD989" s="2">
        <v>58440220</v>
      </c>
      <c r="AE989" s="2">
        <v>86134916</v>
      </c>
      <c r="AJ989" s="2">
        <v>58440220</v>
      </c>
      <c r="AK989" s="2">
        <v>2</v>
      </c>
      <c r="AL989" s="2" t="s">
        <v>633</v>
      </c>
      <c r="AM989" s="2">
        <v>0</v>
      </c>
      <c r="AN989" s="2">
        <v>0</v>
      </c>
      <c r="AO989" s="2">
        <v>1</v>
      </c>
      <c r="AP989" s="2">
        <v>0</v>
      </c>
      <c r="AQ989" s="2">
        <v>0</v>
      </c>
      <c r="AR989" s="2">
        <v>0</v>
      </c>
      <c r="AS989" s="2">
        <v>0</v>
      </c>
      <c r="AT989" s="2">
        <v>0</v>
      </c>
      <c r="BB989" s="2" t="str">
        <f>+PROPER(BD[[#This Row],[PRIMER_APELLIDO]])</f>
        <v>Valdivia</v>
      </c>
    </row>
    <row r="990" spans="1:54" x14ac:dyDescent="0.25">
      <c r="A990" s="2">
        <v>989</v>
      </c>
      <c r="B990" s="2">
        <v>51241</v>
      </c>
      <c r="C990" s="2" t="s">
        <v>619</v>
      </c>
      <c r="D990" s="2" t="s">
        <v>620</v>
      </c>
      <c r="E990" s="2" t="s">
        <v>6656</v>
      </c>
      <c r="F990" s="2">
        <v>22135478</v>
      </c>
      <c r="G990" s="3">
        <v>39.194520547945203</v>
      </c>
      <c r="H990" s="2" t="s">
        <v>622</v>
      </c>
      <c r="I990" s="2" t="s">
        <v>6657</v>
      </c>
      <c r="J990" s="2" t="str">
        <f>+IF(BD[[#This Row],[DEPARTAMENTO_INSS]]="MANAGUA","_01_","_02_")</f>
        <v>_01_</v>
      </c>
      <c r="K990" s="2" t="str">
        <f>+CONCATENATE(BD[[#This Row],[Columna3]],BD[[#This Row],[Columna4]],BD[[#This Row],[NOMBRE COMPLETO]])</f>
        <v>E003_01_BYRON JAVIER RODRIGUEZ GARCIA</v>
      </c>
      <c r="L990" s="2" t="s">
        <v>6658</v>
      </c>
      <c r="M990" s="2" t="s">
        <v>975</v>
      </c>
      <c r="N990" s="2" t="s">
        <v>185</v>
      </c>
      <c r="O990" s="2" t="s">
        <v>10</v>
      </c>
      <c r="P990" s="2" t="s">
        <v>649</v>
      </c>
      <c r="Q990" s="2" t="s">
        <v>351</v>
      </c>
      <c r="R990" s="2">
        <v>30490</v>
      </c>
      <c r="S990" s="2">
        <v>30490</v>
      </c>
      <c r="T990" s="2" t="s">
        <v>627</v>
      </c>
      <c r="U990" s="2" t="s">
        <v>627</v>
      </c>
      <c r="V990" s="2" t="s">
        <v>627</v>
      </c>
      <c r="W990" s="2" t="s">
        <v>627</v>
      </c>
      <c r="X990" s="2" t="s">
        <v>6659</v>
      </c>
      <c r="Y990" s="2" t="s">
        <v>6660</v>
      </c>
      <c r="AA990" s="2">
        <v>84642809</v>
      </c>
      <c r="AB990" s="2" t="s">
        <v>654</v>
      </c>
      <c r="AC990" s="2" t="s">
        <v>632</v>
      </c>
      <c r="AD990" s="2">
        <v>84642809</v>
      </c>
      <c r="AJ990" s="2">
        <v>84642809</v>
      </c>
      <c r="AK990" s="2">
        <v>1</v>
      </c>
      <c r="AL990" s="2" t="s">
        <v>633</v>
      </c>
      <c r="AM990" s="2">
        <v>0</v>
      </c>
      <c r="AN990" s="2">
        <v>0</v>
      </c>
      <c r="AO990" s="2">
        <v>1</v>
      </c>
      <c r="AP990" s="2">
        <v>0</v>
      </c>
      <c r="AQ990" s="2">
        <v>0</v>
      </c>
      <c r="AR990" s="2">
        <v>0</v>
      </c>
      <c r="AS990" s="2">
        <v>0</v>
      </c>
      <c r="AT990" s="2">
        <v>0</v>
      </c>
      <c r="BB990" s="2" t="str">
        <f>+PROPER(BD[[#This Row],[PRIMER_APELLIDO]])</f>
        <v>Rodriguez</v>
      </c>
    </row>
    <row r="991" spans="1:54" x14ac:dyDescent="0.25">
      <c r="A991" s="2">
        <v>990</v>
      </c>
      <c r="B991" s="2">
        <v>65788</v>
      </c>
      <c r="C991" s="2" t="s">
        <v>619</v>
      </c>
      <c r="D991" s="2" t="s">
        <v>620</v>
      </c>
      <c r="E991" s="2" t="s">
        <v>6661</v>
      </c>
      <c r="G991" s="3">
        <v>39.197260273972603</v>
      </c>
      <c r="H991" s="2" t="s">
        <v>622</v>
      </c>
      <c r="I991" s="2" t="s">
        <v>6662</v>
      </c>
      <c r="J991" s="2" t="str">
        <f>+IF(BD[[#This Row],[DEPARTAMENTO_INSS]]="MANAGUA","_01_","_02_")</f>
        <v>_02_</v>
      </c>
      <c r="K991" s="2" t="str">
        <f>+CONCATENATE(BD[[#This Row],[Columna3]],BD[[#This Row],[Columna4]],BD[[#This Row],[NOMBRE COMPLETO]])</f>
        <v>E003_02_RICARDO ANTONIO PILARTE ROBLETO</v>
      </c>
      <c r="L991" s="2" t="s">
        <v>4501</v>
      </c>
      <c r="M991" s="2" t="s">
        <v>904</v>
      </c>
      <c r="N991" s="2" t="s">
        <v>30</v>
      </c>
      <c r="O991" s="2" t="s">
        <v>142</v>
      </c>
      <c r="P991" s="2" t="s">
        <v>649</v>
      </c>
      <c r="Q991" s="2" t="s">
        <v>351</v>
      </c>
      <c r="R991" s="2">
        <v>30489</v>
      </c>
      <c r="S991" s="2">
        <v>30489</v>
      </c>
      <c r="T991" s="2" t="s">
        <v>1191</v>
      </c>
      <c r="U991" s="2" t="s">
        <v>1191</v>
      </c>
      <c r="V991" s="2" t="s">
        <v>3060</v>
      </c>
      <c r="W991" s="2" t="s">
        <v>6663</v>
      </c>
      <c r="X991" s="2" t="s">
        <v>6664</v>
      </c>
      <c r="Y991" s="2" t="s">
        <v>6665</v>
      </c>
      <c r="Z991" s="2">
        <v>86914855</v>
      </c>
      <c r="AA991" s="2" t="s">
        <v>6666</v>
      </c>
      <c r="AB991" s="2" t="s">
        <v>654</v>
      </c>
      <c r="AC991" s="2" t="s">
        <v>632</v>
      </c>
      <c r="AD991" s="2">
        <v>86914855</v>
      </c>
      <c r="AE991" s="2">
        <v>84081697</v>
      </c>
      <c r="AH991" s="2">
        <v>88532038</v>
      </c>
      <c r="AJ991" s="2">
        <v>86914855</v>
      </c>
      <c r="AK991" s="2">
        <v>4</v>
      </c>
      <c r="AL991" s="2" t="s">
        <v>633</v>
      </c>
      <c r="AM991" s="2">
        <v>0</v>
      </c>
      <c r="AN991" s="2">
        <v>0</v>
      </c>
      <c r="AO991" s="2">
        <v>1</v>
      </c>
      <c r="AP991" s="2">
        <v>0</v>
      </c>
      <c r="AQ991" s="2">
        <v>0</v>
      </c>
      <c r="AR991" s="2">
        <v>0</v>
      </c>
      <c r="AS991" s="2">
        <v>0</v>
      </c>
      <c r="AT991" s="2">
        <v>0</v>
      </c>
      <c r="AZ991" s="2" t="s">
        <v>6667</v>
      </c>
      <c r="BB991" s="2" t="str">
        <f>+PROPER(BD[[#This Row],[PRIMER_APELLIDO]])</f>
        <v>Pilarte</v>
      </c>
    </row>
    <row r="992" spans="1:54" x14ac:dyDescent="0.25">
      <c r="A992" s="2">
        <v>991</v>
      </c>
      <c r="B992" s="2">
        <v>52453</v>
      </c>
      <c r="C992" s="2" t="s">
        <v>619</v>
      </c>
      <c r="D992" s="2" t="s">
        <v>620</v>
      </c>
      <c r="E992" s="2" t="s">
        <v>6668</v>
      </c>
      <c r="F992" s="2">
        <v>25021965</v>
      </c>
      <c r="G992" s="3">
        <v>39.213698630136989</v>
      </c>
      <c r="H992" s="2" t="s">
        <v>622</v>
      </c>
      <c r="I992" s="2" t="s">
        <v>6669</v>
      </c>
      <c r="J992" s="2" t="str">
        <f>+IF(BD[[#This Row],[DEPARTAMENTO_INSS]]="MANAGUA","_01_","_02_")</f>
        <v>_02_</v>
      </c>
      <c r="K992" s="2" t="str">
        <f>+CONCATENATE(BD[[#This Row],[Columna3]],BD[[#This Row],[Columna4]],BD[[#This Row],[NOMBRE COMPLETO]])</f>
        <v>E003_02_JOSE FRANCISCO HERRERA AGUILAR</v>
      </c>
      <c r="L992" s="2" t="s">
        <v>243</v>
      </c>
      <c r="M992" s="2" t="s">
        <v>1692</v>
      </c>
      <c r="N992" s="2" t="s">
        <v>179</v>
      </c>
      <c r="O992" s="2" t="s">
        <v>141</v>
      </c>
      <c r="P992" s="2" t="s">
        <v>649</v>
      </c>
      <c r="Q992" s="2" t="s">
        <v>351</v>
      </c>
      <c r="R992" s="2">
        <v>30483</v>
      </c>
      <c r="S992" s="2">
        <v>30483</v>
      </c>
      <c r="T992" s="2" t="s">
        <v>1104</v>
      </c>
      <c r="U992" s="2" t="s">
        <v>1104</v>
      </c>
      <c r="V992" s="2" t="s">
        <v>1104</v>
      </c>
      <c r="W992" s="2" t="s">
        <v>2840</v>
      </c>
      <c r="X992" s="2" t="s">
        <v>6670</v>
      </c>
      <c r="Y992" s="2" t="s">
        <v>6671</v>
      </c>
      <c r="Z992" s="2">
        <v>89203820</v>
      </c>
      <c r="AA992" s="2" t="s">
        <v>6672</v>
      </c>
      <c r="AB992" s="2" t="s">
        <v>798</v>
      </c>
      <c r="AC992" s="2" t="s">
        <v>632</v>
      </c>
      <c r="AD992" s="2">
        <v>89203820</v>
      </c>
      <c r="AE992" s="2">
        <v>84258461</v>
      </c>
      <c r="AJ992" s="2">
        <v>89203820</v>
      </c>
      <c r="AK992" s="2">
        <v>3</v>
      </c>
      <c r="AL992" s="2" t="s">
        <v>633</v>
      </c>
      <c r="AM992" s="2">
        <v>0</v>
      </c>
      <c r="AN992" s="2">
        <v>0</v>
      </c>
      <c r="AO992" s="2">
        <v>1</v>
      </c>
      <c r="AP992" s="2">
        <v>0</v>
      </c>
      <c r="AQ992" s="2">
        <v>0</v>
      </c>
      <c r="AR992" s="2">
        <v>0</v>
      </c>
      <c r="AS992" s="2">
        <v>0</v>
      </c>
      <c r="AT992" s="2">
        <v>0</v>
      </c>
      <c r="BB992" s="2" t="str">
        <f>+PROPER(BD[[#This Row],[PRIMER_APELLIDO]])</f>
        <v>Herrera</v>
      </c>
    </row>
    <row r="993" spans="1:54" x14ac:dyDescent="0.25">
      <c r="A993" s="2">
        <v>992</v>
      </c>
      <c r="B993" s="2">
        <v>26169</v>
      </c>
      <c r="C993" s="2" t="s">
        <v>619</v>
      </c>
      <c r="D993" s="2" t="s">
        <v>620</v>
      </c>
      <c r="E993" s="2" t="s">
        <v>6673</v>
      </c>
      <c r="F993" s="2">
        <v>20900090</v>
      </c>
      <c r="G993" s="3">
        <v>39.219178082191782</v>
      </c>
      <c r="H993" s="2" t="s">
        <v>622</v>
      </c>
      <c r="I993" s="2" t="s">
        <v>6674</v>
      </c>
      <c r="J993" s="2" t="str">
        <f>+IF(BD[[#This Row],[DEPARTAMENTO_INSS]]="MANAGUA","_01_","_02_")</f>
        <v>_02_</v>
      </c>
      <c r="K993" s="2" t="str">
        <f>+CONCATENATE(BD[[#This Row],[Columna3]],BD[[#This Row],[Columna4]],BD[[#This Row],[NOMBRE COMPLETO]])</f>
        <v>E003_02_ISMARA JOSE HERNANDEZ</v>
      </c>
      <c r="L993" s="2" t="s">
        <v>6675</v>
      </c>
      <c r="M993" s="2" t="s">
        <v>243</v>
      </c>
      <c r="N993" s="2" t="s">
        <v>11</v>
      </c>
      <c r="P993" s="2" t="s">
        <v>626</v>
      </c>
      <c r="Q993" s="2" t="s">
        <v>351</v>
      </c>
      <c r="R993" s="2">
        <v>30481</v>
      </c>
      <c r="S993" s="2">
        <v>30481</v>
      </c>
      <c r="T993" s="2" t="s">
        <v>176</v>
      </c>
      <c r="U993" s="2" t="s">
        <v>176</v>
      </c>
      <c r="V993" s="2" t="s">
        <v>650</v>
      </c>
      <c r="W993" s="2" t="s">
        <v>176</v>
      </c>
      <c r="X993" s="2" t="s">
        <v>6676</v>
      </c>
      <c r="Y993" s="2" t="s">
        <v>6677</v>
      </c>
      <c r="Z993" s="2">
        <v>86485240</v>
      </c>
      <c r="AA993" s="2" t="s">
        <v>6678</v>
      </c>
      <c r="AB993" s="2" t="s">
        <v>642</v>
      </c>
      <c r="AC993" s="2" t="s">
        <v>632</v>
      </c>
      <c r="AD993" s="2">
        <v>86485240</v>
      </c>
      <c r="AJ993" s="2">
        <v>86485240</v>
      </c>
      <c r="AK993" s="2">
        <v>3</v>
      </c>
      <c r="AL993" s="2" t="s">
        <v>633</v>
      </c>
      <c r="AM993" s="2">
        <v>0</v>
      </c>
      <c r="AN993" s="2">
        <v>0</v>
      </c>
      <c r="AO993" s="2">
        <v>1</v>
      </c>
      <c r="AP993" s="2">
        <v>0</v>
      </c>
      <c r="AQ993" s="2">
        <v>0</v>
      </c>
      <c r="AR993" s="2">
        <v>0</v>
      </c>
      <c r="AS993" s="2">
        <v>0</v>
      </c>
      <c r="AT993" s="2">
        <v>0</v>
      </c>
      <c r="AZ993" s="2" t="s">
        <v>6679</v>
      </c>
      <c r="BB993" s="2" t="str">
        <f>+PROPER(BD[[#This Row],[PRIMER_APELLIDO]])</f>
        <v>Hernandez</v>
      </c>
    </row>
    <row r="994" spans="1:54" x14ac:dyDescent="0.25">
      <c r="A994" s="2">
        <v>993</v>
      </c>
      <c r="B994" s="2">
        <v>41058</v>
      </c>
      <c r="C994" s="2" t="s">
        <v>619</v>
      </c>
      <c r="D994" s="2" t="s">
        <v>620</v>
      </c>
      <c r="E994" s="2" t="s">
        <v>6680</v>
      </c>
      <c r="F994" s="2">
        <v>14017928</v>
      </c>
      <c r="G994" s="3">
        <v>39.219178082191782</v>
      </c>
      <c r="H994" s="2" t="s">
        <v>622</v>
      </c>
      <c r="I994" s="2" t="s">
        <v>6681</v>
      </c>
      <c r="J994" s="2" t="str">
        <f>+IF(BD[[#This Row],[DEPARTAMENTO_INSS]]="MANAGUA","_01_","_02_")</f>
        <v>_01_</v>
      </c>
      <c r="K994" s="2" t="str">
        <f>+CONCATENATE(BD[[#This Row],[Columna3]],BD[[#This Row],[Columna4]],BD[[#This Row],[NOMBRE COMPLETO]])</f>
        <v>E003_01_ARLEN CRISTINA ROMERO MORALES</v>
      </c>
      <c r="L994" s="2" t="s">
        <v>624</v>
      </c>
      <c r="M994" s="2" t="s">
        <v>1795</v>
      </c>
      <c r="N994" s="2" t="s">
        <v>41</v>
      </c>
      <c r="O994" s="2" t="s">
        <v>82</v>
      </c>
      <c r="P994" s="2" t="s">
        <v>626</v>
      </c>
      <c r="Q994" s="2" t="s">
        <v>351</v>
      </c>
      <c r="R994" s="2">
        <v>30481</v>
      </c>
      <c r="S994" s="2">
        <v>30481</v>
      </c>
      <c r="T994" s="2" t="s">
        <v>627</v>
      </c>
      <c r="U994" s="2" t="s">
        <v>627</v>
      </c>
      <c r="V994" s="2" t="s">
        <v>627</v>
      </c>
      <c r="W994" s="2" t="s">
        <v>1498</v>
      </c>
      <c r="X994" s="2" t="s">
        <v>6682</v>
      </c>
      <c r="Y994" s="2" t="s">
        <v>6683</v>
      </c>
      <c r="AA994" s="2">
        <v>89686542</v>
      </c>
      <c r="AB994" s="2" t="s">
        <v>642</v>
      </c>
      <c r="AC994" s="2" t="s">
        <v>632</v>
      </c>
      <c r="AD994" s="2">
        <v>89686542</v>
      </c>
      <c r="AJ994" s="2">
        <v>89686542</v>
      </c>
      <c r="AK994" s="2">
        <v>1</v>
      </c>
      <c r="AL994" s="2" t="s">
        <v>633</v>
      </c>
      <c r="AM994" s="2">
        <v>0</v>
      </c>
      <c r="AN994" s="2">
        <v>0</v>
      </c>
      <c r="AO994" s="2">
        <v>1</v>
      </c>
      <c r="AP994" s="2">
        <v>0</v>
      </c>
      <c r="AQ994" s="2">
        <v>0</v>
      </c>
      <c r="AR994" s="2">
        <v>0</v>
      </c>
      <c r="AS994" s="2">
        <v>0</v>
      </c>
      <c r="AT994" s="2">
        <v>0</v>
      </c>
      <c r="BB994" s="2" t="str">
        <f>+PROPER(BD[[#This Row],[PRIMER_APELLIDO]])</f>
        <v>Romero</v>
      </c>
    </row>
    <row r="995" spans="1:54" x14ac:dyDescent="0.25">
      <c r="A995" s="2">
        <v>994</v>
      </c>
      <c r="B995" s="2">
        <v>35872</v>
      </c>
      <c r="C995" s="2" t="s">
        <v>619</v>
      </c>
      <c r="D995" s="2" t="s">
        <v>620</v>
      </c>
      <c r="E995" s="2" t="s">
        <v>6684</v>
      </c>
      <c r="F995" s="2">
        <v>22155856</v>
      </c>
      <c r="G995" s="3">
        <v>39.221917808219175</v>
      </c>
      <c r="H995" s="2" t="s">
        <v>622</v>
      </c>
      <c r="I995" s="2" t="s">
        <v>6685</v>
      </c>
      <c r="J995" s="2" t="str">
        <f>+IF(BD[[#This Row],[DEPARTAMENTO_INSS]]="MANAGUA","_01_","_02_")</f>
        <v>_02_</v>
      </c>
      <c r="K995" s="2" t="str">
        <f>+CONCATENATE(BD[[#This Row],[Columna3]],BD[[#This Row],[Columna4]],BD[[#This Row],[NOMBRE COMPLETO]])</f>
        <v>E003_02_VIOLETA EUGENIA REYES MORENO</v>
      </c>
      <c r="L995" s="2" t="s">
        <v>6686</v>
      </c>
      <c r="M995" s="2" t="s">
        <v>2662</v>
      </c>
      <c r="N995" s="2" t="s">
        <v>74</v>
      </c>
      <c r="O995" s="2" t="s">
        <v>430</v>
      </c>
      <c r="P995" s="2" t="s">
        <v>626</v>
      </c>
      <c r="Q995" s="2" t="s">
        <v>351</v>
      </c>
      <c r="R995" s="2">
        <v>30480</v>
      </c>
      <c r="S995" s="2">
        <v>30480</v>
      </c>
      <c r="T995" s="2" t="s">
        <v>176</v>
      </c>
      <c r="U995" s="2" t="s">
        <v>659</v>
      </c>
      <c r="V995" s="2" t="s">
        <v>650</v>
      </c>
      <c r="W995" s="2" t="s">
        <v>659</v>
      </c>
      <c r="X995" s="2" t="s">
        <v>6687</v>
      </c>
      <c r="Y995" s="2" t="s">
        <v>6688</v>
      </c>
      <c r="Z995" s="2">
        <v>86070813</v>
      </c>
      <c r="AA995" s="2" t="s">
        <v>6689</v>
      </c>
      <c r="AB995" s="2" t="s">
        <v>654</v>
      </c>
      <c r="AC995" s="2" t="s">
        <v>632</v>
      </c>
      <c r="AD995" s="2">
        <v>86070813</v>
      </c>
      <c r="AJ995" s="2">
        <v>86070813</v>
      </c>
      <c r="AK995" s="2">
        <v>3</v>
      </c>
      <c r="AL995" s="2" t="s">
        <v>633</v>
      </c>
      <c r="AM995" s="2">
        <v>0</v>
      </c>
      <c r="AN995" s="2">
        <v>0</v>
      </c>
      <c r="AO995" s="2">
        <v>1</v>
      </c>
      <c r="AP995" s="2">
        <v>0</v>
      </c>
      <c r="AQ995" s="2">
        <v>0</v>
      </c>
      <c r="AR995" s="2">
        <v>0</v>
      </c>
      <c r="AS995" s="2">
        <v>0</v>
      </c>
      <c r="AT995" s="2">
        <v>0</v>
      </c>
      <c r="BB995" s="2" t="str">
        <f>+PROPER(BD[[#This Row],[PRIMER_APELLIDO]])</f>
        <v>Reyes</v>
      </c>
    </row>
    <row r="996" spans="1:54" x14ac:dyDescent="0.25">
      <c r="A996" s="2">
        <v>995</v>
      </c>
      <c r="B996" s="2">
        <v>78142</v>
      </c>
      <c r="C996" s="2" t="s">
        <v>619</v>
      </c>
      <c r="D996" s="2" t="s">
        <v>620</v>
      </c>
      <c r="E996" s="2" t="s">
        <v>6690</v>
      </c>
      <c r="G996" s="3">
        <v>39.227397260273975</v>
      </c>
      <c r="H996" s="2" t="s">
        <v>622</v>
      </c>
      <c r="I996" s="2" t="s">
        <v>6691</v>
      </c>
      <c r="J996" s="2" t="str">
        <f>+IF(BD[[#This Row],[DEPARTAMENTO_INSS]]="MANAGUA","_01_","_02_")</f>
        <v>_02_</v>
      </c>
      <c r="K996" s="2" t="str">
        <f>+CONCATENATE(BD[[#This Row],[Columna3]],BD[[#This Row],[Columna4]],BD[[#This Row],[NOMBRE COMPLETO]])</f>
        <v>E003_02_BARNEY JORDIE MC.CREA ORBINA</v>
      </c>
      <c r="L996" s="2" t="s">
        <v>6692</v>
      </c>
      <c r="M996" s="2" t="s">
        <v>6693</v>
      </c>
      <c r="N996" s="2" t="s">
        <v>172</v>
      </c>
      <c r="O996" s="2" t="s">
        <v>6694</v>
      </c>
      <c r="P996" s="2" t="s">
        <v>649</v>
      </c>
      <c r="Q996" s="2" t="s">
        <v>351</v>
      </c>
      <c r="R996" s="2">
        <v>30478</v>
      </c>
      <c r="S996" s="2">
        <v>30478</v>
      </c>
      <c r="T996" s="2" t="s">
        <v>780</v>
      </c>
      <c r="U996" s="2" t="s">
        <v>780</v>
      </c>
      <c r="V996" s="2" t="s">
        <v>781</v>
      </c>
      <c r="W996" s="2" t="s">
        <v>781</v>
      </c>
      <c r="X996" s="2" t="s">
        <v>6695</v>
      </c>
      <c r="Y996" s="2" t="s">
        <v>6696</v>
      </c>
      <c r="Z996" s="2">
        <v>57281033</v>
      </c>
      <c r="AA996" s="2" t="s">
        <v>6697</v>
      </c>
      <c r="AB996" s="2" t="s">
        <v>654</v>
      </c>
      <c r="AC996" s="2" t="s">
        <v>632</v>
      </c>
      <c r="AD996" s="2">
        <v>57281033</v>
      </c>
      <c r="AE996" s="2">
        <v>87382964</v>
      </c>
      <c r="AJ996" s="2">
        <v>57281033</v>
      </c>
      <c r="AK996" s="2">
        <v>3</v>
      </c>
      <c r="AL996" s="2" t="s">
        <v>633</v>
      </c>
      <c r="AM996" s="2">
        <v>0</v>
      </c>
      <c r="AN996" s="2">
        <v>0</v>
      </c>
      <c r="AO996" s="2">
        <v>1</v>
      </c>
      <c r="AP996" s="2">
        <v>0</v>
      </c>
      <c r="AQ996" s="2">
        <v>0</v>
      </c>
      <c r="AR996" s="2">
        <v>0</v>
      </c>
      <c r="AS996" s="2">
        <v>0</v>
      </c>
      <c r="AT996" s="2">
        <v>0</v>
      </c>
      <c r="AZ996" s="2" t="s">
        <v>6698</v>
      </c>
      <c r="BB996" s="2" t="str">
        <f>+PROPER(BD[[#This Row],[PRIMER_APELLIDO]])</f>
        <v>Mc.Crea</v>
      </c>
    </row>
    <row r="997" spans="1:54" x14ac:dyDescent="0.25">
      <c r="A997" s="2">
        <v>996</v>
      </c>
      <c r="B997" s="2">
        <v>53100</v>
      </c>
      <c r="C997" s="2" t="s">
        <v>619</v>
      </c>
      <c r="D997" s="2" t="s">
        <v>620</v>
      </c>
      <c r="E997" s="2" t="s">
        <v>6699</v>
      </c>
      <c r="G997" s="3">
        <v>39.232876712328768</v>
      </c>
      <c r="H997" s="2" t="s">
        <v>622</v>
      </c>
      <c r="I997" s="2" t="s">
        <v>6700</v>
      </c>
      <c r="J997" s="2" t="str">
        <f>+IF(BD[[#This Row],[DEPARTAMENTO_INSS]]="MANAGUA","_01_","_02_")</f>
        <v>_02_</v>
      </c>
      <c r="K997" s="2" t="str">
        <f>+CONCATENATE(BD[[#This Row],[Columna3]],BD[[#This Row],[Columna4]],BD[[#This Row],[NOMBRE COMPLETO]])</f>
        <v>E003_02_JASSER ANTONIO TRAÑA RUIZ</v>
      </c>
      <c r="L997" s="2" t="s">
        <v>1804</v>
      </c>
      <c r="M997" s="2" t="s">
        <v>904</v>
      </c>
      <c r="N997" s="2" t="s">
        <v>373</v>
      </c>
      <c r="O997" s="2" t="s">
        <v>84</v>
      </c>
      <c r="P997" s="2" t="s">
        <v>649</v>
      </c>
      <c r="Q997" s="2" t="s">
        <v>351</v>
      </c>
      <c r="R997" s="2">
        <v>30476</v>
      </c>
      <c r="S997" s="2">
        <v>30476</v>
      </c>
      <c r="T997" s="2" t="s">
        <v>133</v>
      </c>
      <c r="U997" s="2" t="s">
        <v>133</v>
      </c>
      <c r="V997" s="2" t="s">
        <v>939</v>
      </c>
      <c r="W997" s="2" t="s">
        <v>939</v>
      </c>
      <c r="X997" s="2" t="s">
        <v>6701</v>
      </c>
      <c r="Y997" s="2" t="s">
        <v>6702</v>
      </c>
      <c r="Z997" s="2">
        <v>86642867</v>
      </c>
      <c r="AB997" s="2" t="s">
        <v>798</v>
      </c>
      <c r="AC997" s="2" t="s">
        <v>632</v>
      </c>
      <c r="AD997" s="2">
        <v>86642867</v>
      </c>
      <c r="AJ997" s="2">
        <v>86642867</v>
      </c>
      <c r="AK997" s="2">
        <v>1</v>
      </c>
      <c r="AL997" s="2" t="s">
        <v>633</v>
      </c>
      <c r="AM997" s="2">
        <v>0</v>
      </c>
      <c r="AN997" s="2">
        <v>0</v>
      </c>
      <c r="AO997" s="2">
        <v>1</v>
      </c>
      <c r="AP997" s="2">
        <v>0</v>
      </c>
      <c r="AQ997" s="2">
        <v>0</v>
      </c>
      <c r="AR997" s="2">
        <v>0</v>
      </c>
      <c r="AS997" s="2">
        <v>0</v>
      </c>
      <c r="AT997" s="2">
        <v>0</v>
      </c>
      <c r="AZ997" s="2" t="s">
        <v>6703</v>
      </c>
      <c r="BB997" s="2" t="str">
        <f>+PROPER(BD[[#This Row],[PRIMER_APELLIDO]])</f>
        <v>Traña</v>
      </c>
    </row>
    <row r="998" spans="1:54" x14ac:dyDescent="0.25">
      <c r="A998" s="2">
        <v>997</v>
      </c>
      <c r="B998" s="2">
        <v>31886</v>
      </c>
      <c r="C998" s="2" t="s">
        <v>619</v>
      </c>
      <c r="D998" s="2" t="s">
        <v>620</v>
      </c>
      <c r="E998" s="2" t="s">
        <v>6704</v>
      </c>
      <c r="F998" s="2">
        <v>21677250</v>
      </c>
      <c r="G998" s="3">
        <v>39.241095890410961</v>
      </c>
      <c r="H998" s="2" t="s">
        <v>622</v>
      </c>
      <c r="I998" s="2" t="s">
        <v>6705</v>
      </c>
      <c r="J998" s="2" t="str">
        <f>+IF(BD[[#This Row],[DEPARTAMENTO_INSS]]="MANAGUA","_01_","_02_")</f>
        <v>_01_</v>
      </c>
      <c r="K998" s="2" t="str">
        <f>+CONCATENATE(BD[[#This Row],[Columna3]],BD[[#This Row],[Columna4]],BD[[#This Row],[NOMBRE COMPLETO]])</f>
        <v>E003_01_CLAUDIA YESSENIA ESPINOZA MUÑOZ</v>
      </c>
      <c r="L998" s="2" t="s">
        <v>1850</v>
      </c>
      <c r="M998" s="2" t="s">
        <v>6706</v>
      </c>
      <c r="N998" s="2" t="s">
        <v>235</v>
      </c>
      <c r="O998" s="2" t="s">
        <v>356</v>
      </c>
      <c r="P998" s="2" t="s">
        <v>626</v>
      </c>
      <c r="Q998" s="2" t="s">
        <v>351</v>
      </c>
      <c r="R998" s="2">
        <v>30473</v>
      </c>
      <c r="S998" s="2">
        <v>30473</v>
      </c>
      <c r="T998" s="2" t="s">
        <v>627</v>
      </c>
      <c r="U998" s="2" t="s">
        <v>627</v>
      </c>
      <c r="V998" s="2" t="s">
        <v>627</v>
      </c>
      <c r="W998" s="2" t="s">
        <v>627</v>
      </c>
      <c r="X998" s="2" t="s">
        <v>6707</v>
      </c>
      <c r="Y998" s="2" t="s">
        <v>6708</v>
      </c>
      <c r="Z998" s="2">
        <v>89864986</v>
      </c>
      <c r="AA998" s="2">
        <v>89864986</v>
      </c>
      <c r="AB998" s="2" t="s">
        <v>642</v>
      </c>
      <c r="AC998" s="2" t="s">
        <v>632</v>
      </c>
      <c r="AD998" s="2">
        <v>89864986</v>
      </c>
      <c r="AJ998" s="2">
        <v>89864986</v>
      </c>
      <c r="AK998" s="2">
        <v>2</v>
      </c>
      <c r="AL998" s="2" t="s">
        <v>633</v>
      </c>
      <c r="AM998" s="2">
        <v>0</v>
      </c>
      <c r="AN998" s="2">
        <v>0</v>
      </c>
      <c r="AO998" s="2">
        <v>1</v>
      </c>
      <c r="AP998" s="2">
        <v>0</v>
      </c>
      <c r="AQ998" s="2">
        <v>0</v>
      </c>
      <c r="AR998" s="2">
        <v>0</v>
      </c>
      <c r="AS998" s="2">
        <v>0</v>
      </c>
      <c r="AT998" s="2">
        <v>0</v>
      </c>
      <c r="AZ998" s="2" t="s">
        <v>6709</v>
      </c>
      <c r="BB998" s="2" t="str">
        <f>+PROPER(BD[[#This Row],[PRIMER_APELLIDO]])</f>
        <v>Espinoza</v>
      </c>
    </row>
    <row r="999" spans="1:54" x14ac:dyDescent="0.25">
      <c r="A999" s="2">
        <v>998</v>
      </c>
      <c r="B999" s="2">
        <v>37582</v>
      </c>
      <c r="C999" s="2" t="s">
        <v>619</v>
      </c>
      <c r="D999" s="2" t="s">
        <v>620</v>
      </c>
      <c r="E999" s="2" t="s">
        <v>6710</v>
      </c>
      <c r="G999" s="3">
        <v>39.260273972602739</v>
      </c>
      <c r="H999" s="2" t="s">
        <v>622</v>
      </c>
      <c r="I999" s="2" t="s">
        <v>6711</v>
      </c>
      <c r="J999" s="2" t="str">
        <f>+IF(BD[[#This Row],[DEPARTAMENTO_INSS]]="MANAGUA","_01_","_02_")</f>
        <v>_02_</v>
      </c>
      <c r="K999" s="2" t="str">
        <f>+CONCATENATE(BD[[#This Row],[Columna3]],BD[[#This Row],[Columna4]],BD[[#This Row],[NOMBRE COMPLETO]])</f>
        <v>E003_02_DELBIZ ESTHER LANDERO LANDERO</v>
      </c>
      <c r="L999" s="2" t="s">
        <v>6712</v>
      </c>
      <c r="M999" s="2" t="s">
        <v>704</v>
      </c>
      <c r="N999" s="2" t="s">
        <v>432</v>
      </c>
      <c r="O999" s="2" t="s">
        <v>432</v>
      </c>
      <c r="P999" s="2" t="s">
        <v>626</v>
      </c>
      <c r="Q999" s="2" t="s">
        <v>351</v>
      </c>
      <c r="R999" s="2">
        <v>30466</v>
      </c>
      <c r="S999" s="2">
        <v>30466</v>
      </c>
      <c r="T999" s="2" t="s">
        <v>627</v>
      </c>
      <c r="U999" s="2" t="s">
        <v>1044</v>
      </c>
      <c r="V999" s="2" t="s">
        <v>627</v>
      </c>
      <c r="W999" s="2" t="s">
        <v>1838</v>
      </c>
      <c r="X999" s="2" t="s">
        <v>6713</v>
      </c>
      <c r="Y999" s="2" t="s">
        <v>6714</v>
      </c>
      <c r="Z999" s="2">
        <v>89282736</v>
      </c>
      <c r="AB999" s="2" t="s">
        <v>631</v>
      </c>
      <c r="AC999" s="2" t="s">
        <v>632</v>
      </c>
      <c r="AD999" s="2">
        <v>89282736</v>
      </c>
      <c r="AJ999" s="2">
        <v>89282736</v>
      </c>
      <c r="AK999" s="2">
        <v>1</v>
      </c>
      <c r="AL999" s="2" t="s">
        <v>633</v>
      </c>
      <c r="AM999" s="2">
        <v>0</v>
      </c>
      <c r="AN999" s="2">
        <v>0</v>
      </c>
      <c r="AO999" s="2">
        <v>1</v>
      </c>
      <c r="AP999" s="2">
        <v>0</v>
      </c>
      <c r="AQ999" s="2">
        <v>0</v>
      </c>
      <c r="AR999" s="2">
        <v>0</v>
      </c>
      <c r="AS999" s="2">
        <v>0</v>
      </c>
      <c r="AT999" s="2">
        <v>0</v>
      </c>
      <c r="AZ999" s="2" t="s">
        <v>6715</v>
      </c>
      <c r="BB999" s="2" t="str">
        <f>+PROPER(BD[[#This Row],[PRIMER_APELLIDO]])</f>
        <v>Landero</v>
      </c>
    </row>
    <row r="1000" spans="1:54" x14ac:dyDescent="0.25">
      <c r="A1000" s="2">
        <v>999</v>
      </c>
      <c r="B1000" s="2">
        <v>32876</v>
      </c>
      <c r="C1000" s="2" t="s">
        <v>619</v>
      </c>
      <c r="D1000" s="2" t="s">
        <v>620</v>
      </c>
      <c r="E1000" s="2" t="s">
        <v>6716</v>
      </c>
      <c r="F1000" s="2">
        <v>21260962</v>
      </c>
      <c r="G1000" s="3">
        <v>39.263013698630139</v>
      </c>
      <c r="H1000" s="2" t="s">
        <v>622</v>
      </c>
      <c r="I1000" s="2" t="s">
        <v>6717</v>
      </c>
      <c r="J1000" s="2" t="str">
        <f>+IF(BD[[#This Row],[DEPARTAMENTO_INSS]]="MANAGUA","_01_","_02_")</f>
        <v>_01_</v>
      </c>
      <c r="K1000" s="2" t="str">
        <f>+CONCATENATE(BD[[#This Row],[Columna3]],BD[[#This Row],[Columna4]],BD[[#This Row],[NOMBRE COMPLETO]])</f>
        <v>E003_01_TANIA DE LOS ANDES PERALTA ULLOA</v>
      </c>
      <c r="L1000" s="2" t="s">
        <v>2305</v>
      </c>
      <c r="M1000" s="2" t="s">
        <v>6718</v>
      </c>
      <c r="N1000" s="2" t="s">
        <v>396</v>
      </c>
      <c r="O1000" s="2" t="s">
        <v>25</v>
      </c>
      <c r="P1000" s="2" t="s">
        <v>626</v>
      </c>
      <c r="Q1000" s="2" t="s">
        <v>351</v>
      </c>
      <c r="R1000" s="2">
        <v>30465</v>
      </c>
      <c r="S1000" s="2">
        <v>30465</v>
      </c>
      <c r="T1000" s="2" t="s">
        <v>627</v>
      </c>
      <c r="U1000" s="2" t="s">
        <v>627</v>
      </c>
      <c r="V1000" s="2" t="s">
        <v>627</v>
      </c>
      <c r="W1000" s="2" t="s">
        <v>627</v>
      </c>
      <c r="X1000" s="2" t="s">
        <v>6719</v>
      </c>
      <c r="Y1000" s="2" t="s">
        <v>6720</v>
      </c>
      <c r="AA1000" s="2">
        <v>87871103</v>
      </c>
      <c r="AB1000" s="2" t="s">
        <v>642</v>
      </c>
      <c r="AC1000" s="2" t="s">
        <v>632</v>
      </c>
      <c r="AD1000" s="2">
        <v>87871103</v>
      </c>
      <c r="AJ1000" s="2">
        <v>87871103</v>
      </c>
      <c r="AK1000" s="2">
        <v>1</v>
      </c>
      <c r="AL1000" s="2" t="s">
        <v>633</v>
      </c>
      <c r="AM1000" s="2">
        <v>0</v>
      </c>
      <c r="AN1000" s="2">
        <v>0</v>
      </c>
      <c r="AO1000" s="2">
        <v>1</v>
      </c>
      <c r="AP1000" s="2">
        <v>0</v>
      </c>
      <c r="AQ1000" s="2">
        <v>0</v>
      </c>
      <c r="AR1000" s="2">
        <v>0</v>
      </c>
      <c r="AS1000" s="2">
        <v>0</v>
      </c>
      <c r="AT1000" s="2">
        <v>0</v>
      </c>
      <c r="BB1000" s="2" t="str">
        <f>+PROPER(BD[[#This Row],[PRIMER_APELLIDO]])</f>
        <v>Peralta</v>
      </c>
    </row>
    <row r="1001" spans="1:54" x14ac:dyDescent="0.25">
      <c r="A1001" s="2">
        <v>1000</v>
      </c>
      <c r="B1001" s="2">
        <v>29877</v>
      </c>
      <c r="C1001" s="2" t="s">
        <v>619</v>
      </c>
      <c r="D1001" s="2" t="s">
        <v>620</v>
      </c>
      <c r="E1001" s="2" t="s">
        <v>6721</v>
      </c>
      <c r="F1001" s="2">
        <v>21739651</v>
      </c>
      <c r="G1001" s="3">
        <v>39.279452054794518</v>
      </c>
      <c r="H1001" s="2" t="s">
        <v>622</v>
      </c>
      <c r="I1001" s="2" t="s">
        <v>6722</v>
      </c>
      <c r="J1001" s="2" t="str">
        <f>+IF(BD[[#This Row],[DEPARTAMENTO_INSS]]="MANAGUA","_01_","_02_")</f>
        <v>_02_</v>
      </c>
      <c r="K1001" s="2" t="str">
        <f>+CONCATENATE(BD[[#This Row],[Columna3]],BD[[#This Row],[Columna4]],BD[[#This Row],[NOMBRE COMPLETO]])</f>
        <v>E003_02_DELMIS LUCIA CHAVARRIA BALDIZON</v>
      </c>
      <c r="L1001" s="2" t="s">
        <v>6723</v>
      </c>
      <c r="M1001" s="2" t="s">
        <v>676</v>
      </c>
      <c r="N1001" s="2" t="s">
        <v>98</v>
      </c>
      <c r="O1001" s="2" t="s">
        <v>120</v>
      </c>
      <c r="P1001" s="2" t="s">
        <v>626</v>
      </c>
      <c r="Q1001" s="2" t="s">
        <v>351</v>
      </c>
      <c r="R1001" s="2">
        <v>30459</v>
      </c>
      <c r="S1001" s="2">
        <v>30459</v>
      </c>
      <c r="T1001" s="2" t="s">
        <v>176</v>
      </c>
      <c r="U1001" s="2" t="s">
        <v>176</v>
      </c>
      <c r="V1001" s="2" t="s">
        <v>650</v>
      </c>
      <c r="W1001" s="2" t="s">
        <v>176</v>
      </c>
      <c r="X1001" s="2" t="s">
        <v>6724</v>
      </c>
      <c r="Y1001" s="2" t="s">
        <v>6725</v>
      </c>
      <c r="AA1001" s="2" t="s">
        <v>6726</v>
      </c>
      <c r="AB1001" s="2" t="s">
        <v>654</v>
      </c>
      <c r="AC1001" s="2" t="s">
        <v>632</v>
      </c>
      <c r="AE1001" s="2">
        <v>58237697</v>
      </c>
      <c r="AJ1001" s="2">
        <v>58237697</v>
      </c>
      <c r="AK1001" s="2">
        <v>2</v>
      </c>
      <c r="AL1001" s="2" t="s">
        <v>633</v>
      </c>
      <c r="AM1001" s="2">
        <v>0</v>
      </c>
      <c r="AN1001" s="2">
        <v>0</v>
      </c>
      <c r="AO1001" s="2">
        <v>1</v>
      </c>
      <c r="AP1001" s="2">
        <v>0</v>
      </c>
      <c r="AQ1001" s="2">
        <v>0</v>
      </c>
      <c r="AR1001" s="2">
        <v>0</v>
      </c>
      <c r="AS1001" s="2">
        <v>0</v>
      </c>
      <c r="AT1001" s="2">
        <v>0</v>
      </c>
      <c r="BA1001" s="2" t="s">
        <v>6727</v>
      </c>
      <c r="BB1001" s="2" t="str">
        <f>+PROPER(BD[[#This Row],[PRIMER_APELLIDO]])</f>
        <v>Chavarria</v>
      </c>
    </row>
    <row r="1002" spans="1:54" x14ac:dyDescent="0.25">
      <c r="A1002" s="2">
        <v>1001</v>
      </c>
      <c r="B1002" s="2">
        <v>51693</v>
      </c>
      <c r="C1002" s="2" t="s">
        <v>619</v>
      </c>
      <c r="D1002" s="2" t="s">
        <v>620</v>
      </c>
      <c r="E1002" s="2" t="s">
        <v>6728</v>
      </c>
      <c r="F1002" s="2">
        <v>18944341</v>
      </c>
      <c r="G1002" s="3">
        <v>39.279452054794518</v>
      </c>
      <c r="H1002" s="2" t="s">
        <v>622</v>
      </c>
      <c r="I1002" s="2" t="s">
        <v>6729</v>
      </c>
      <c r="J1002" s="2" t="str">
        <f>+IF(BD[[#This Row],[DEPARTAMENTO_INSS]]="MANAGUA","_01_","_02_")</f>
        <v>_02_</v>
      </c>
      <c r="K1002" s="2" t="str">
        <f>+CONCATENATE(BD[[#This Row],[Columna3]],BD[[#This Row],[Columna4]],BD[[#This Row],[NOMBRE COMPLETO]])</f>
        <v>E003_02_OSCAR MIGUEL ZAPATA CANO</v>
      </c>
      <c r="L1002" s="2" t="s">
        <v>2539</v>
      </c>
      <c r="M1002" s="2" t="s">
        <v>2016</v>
      </c>
      <c r="N1002" s="2" t="s">
        <v>222</v>
      </c>
      <c r="O1002" s="2" t="s">
        <v>340</v>
      </c>
      <c r="P1002" s="2" t="s">
        <v>649</v>
      </c>
      <c r="Q1002" s="2" t="s">
        <v>351</v>
      </c>
      <c r="R1002" s="2">
        <v>30459</v>
      </c>
      <c r="S1002" s="2">
        <v>30459</v>
      </c>
      <c r="T1002" s="2" t="s">
        <v>444</v>
      </c>
      <c r="U1002" s="2" t="s">
        <v>444</v>
      </c>
      <c r="V1002" s="2" t="s">
        <v>6730</v>
      </c>
      <c r="W1002" s="2" t="s">
        <v>764</v>
      </c>
      <c r="X1002" s="2" t="s">
        <v>6731</v>
      </c>
      <c r="Y1002" s="2" t="s">
        <v>6732</v>
      </c>
      <c r="Z1002" s="2">
        <v>77144498</v>
      </c>
      <c r="AA1002" s="2">
        <v>86287964</v>
      </c>
      <c r="AB1002" s="2" t="s">
        <v>654</v>
      </c>
      <c r="AC1002" s="2" t="s">
        <v>632</v>
      </c>
      <c r="AD1002" s="2">
        <v>77144498</v>
      </c>
      <c r="AF1002" s="2">
        <v>86287964</v>
      </c>
      <c r="AJ1002" s="2">
        <v>77144498</v>
      </c>
      <c r="AK1002" s="2">
        <v>2</v>
      </c>
      <c r="AL1002" s="2" t="s">
        <v>633</v>
      </c>
      <c r="AM1002" s="2">
        <v>0</v>
      </c>
      <c r="AN1002" s="2">
        <v>0</v>
      </c>
      <c r="AO1002" s="2">
        <v>1</v>
      </c>
      <c r="AP1002" s="2">
        <v>0</v>
      </c>
      <c r="AQ1002" s="2">
        <v>0</v>
      </c>
      <c r="AR1002" s="2">
        <v>0</v>
      </c>
      <c r="AS1002" s="2">
        <v>0</v>
      </c>
      <c r="AT1002" s="2">
        <v>0</v>
      </c>
      <c r="AZ1002" s="2" t="s">
        <v>6733</v>
      </c>
      <c r="BB1002" s="2" t="str">
        <f>+PROPER(BD[[#This Row],[PRIMER_APELLIDO]])</f>
        <v>Zapata</v>
      </c>
    </row>
    <row r="1003" spans="1:54" x14ac:dyDescent="0.25">
      <c r="A1003" s="2">
        <v>1002</v>
      </c>
      <c r="B1003" s="2">
        <v>58098</v>
      </c>
      <c r="C1003" s="2" t="s">
        <v>619</v>
      </c>
      <c r="D1003" s="2" t="s">
        <v>620</v>
      </c>
      <c r="E1003" s="2" t="s">
        <v>6734</v>
      </c>
      <c r="G1003" s="3">
        <v>39.282191780821918</v>
      </c>
      <c r="H1003" s="2" t="s">
        <v>622</v>
      </c>
      <c r="I1003" s="2" t="s">
        <v>6735</v>
      </c>
      <c r="J1003" s="2" t="str">
        <f>+IF(BD[[#This Row],[DEPARTAMENTO_INSS]]="MANAGUA","_01_","_02_")</f>
        <v>_01_</v>
      </c>
      <c r="K1003" s="2" t="str">
        <f>+CONCATENATE(BD[[#This Row],[Columna3]],BD[[#This Row],[Columna4]],BD[[#This Row],[NOMBRE COMPLETO]])</f>
        <v>E003_01_BEYRA DANILA RIVAS IGLESIAS</v>
      </c>
      <c r="L1003" s="2" t="s">
        <v>6736</v>
      </c>
      <c r="M1003" s="2" t="s">
        <v>6737</v>
      </c>
      <c r="N1003" s="2" t="s">
        <v>186</v>
      </c>
      <c r="O1003" s="2" t="s">
        <v>435</v>
      </c>
      <c r="P1003" s="2" t="s">
        <v>626</v>
      </c>
      <c r="Q1003" s="2" t="s">
        <v>351</v>
      </c>
      <c r="R1003" s="2">
        <v>30458</v>
      </c>
      <c r="S1003" s="2">
        <v>30458</v>
      </c>
      <c r="T1003" s="2" t="s">
        <v>627</v>
      </c>
      <c r="U1003" s="2" t="s">
        <v>627</v>
      </c>
      <c r="V1003" s="2" t="s">
        <v>627</v>
      </c>
      <c r="W1003" s="2" t="s">
        <v>1498</v>
      </c>
      <c r="X1003" s="2" t="s">
        <v>6738</v>
      </c>
      <c r="Y1003" s="2" t="s">
        <v>6739</v>
      </c>
      <c r="Z1003" s="2">
        <v>86992260</v>
      </c>
      <c r="AA1003" s="2">
        <v>86992260</v>
      </c>
      <c r="AB1003" s="2" t="s">
        <v>642</v>
      </c>
      <c r="AC1003" s="2" t="s">
        <v>632</v>
      </c>
      <c r="AD1003" s="2">
        <v>86992260</v>
      </c>
      <c r="AJ1003" s="2">
        <v>86992260</v>
      </c>
      <c r="AK1003" s="2">
        <v>2</v>
      </c>
      <c r="AL1003" s="2" t="s">
        <v>633</v>
      </c>
      <c r="AM1003" s="2">
        <v>0</v>
      </c>
      <c r="AN1003" s="2">
        <v>0</v>
      </c>
      <c r="AO1003" s="2">
        <v>1</v>
      </c>
      <c r="AP1003" s="2">
        <v>0</v>
      </c>
      <c r="AQ1003" s="2">
        <v>0</v>
      </c>
      <c r="AR1003" s="2">
        <v>0</v>
      </c>
      <c r="AS1003" s="2">
        <v>0</v>
      </c>
      <c r="AT1003" s="2">
        <v>0</v>
      </c>
      <c r="AZ1003" s="2" t="s">
        <v>6740</v>
      </c>
      <c r="BB1003" s="2" t="str">
        <f>+PROPER(BD[[#This Row],[PRIMER_APELLIDO]])</f>
        <v>Rivas</v>
      </c>
    </row>
    <row r="1004" spans="1:54" x14ac:dyDescent="0.25">
      <c r="A1004" s="2">
        <v>1003</v>
      </c>
      <c r="B1004" s="2">
        <v>35382</v>
      </c>
      <c r="C1004" s="2" t="s">
        <v>619</v>
      </c>
      <c r="D1004" s="2" t="s">
        <v>620</v>
      </c>
      <c r="E1004" s="2" t="s">
        <v>6741</v>
      </c>
      <c r="F1004" s="2">
        <v>22138967</v>
      </c>
      <c r="G1004" s="3">
        <v>39.284931506849318</v>
      </c>
      <c r="H1004" s="2" t="s">
        <v>622</v>
      </c>
      <c r="I1004" s="2" t="s">
        <v>6742</v>
      </c>
      <c r="J1004" s="2" t="str">
        <f>+IF(BD[[#This Row],[DEPARTAMENTO_INSS]]="MANAGUA","_01_","_02_")</f>
        <v>_01_</v>
      </c>
      <c r="K1004" s="2" t="str">
        <f>+CONCATENATE(BD[[#This Row],[Columna3]],BD[[#This Row],[Columna4]],BD[[#This Row],[NOMBRE COMPLETO]])</f>
        <v>E003_01_FREDDY JAVIER PEREZ FERNANDEZ</v>
      </c>
      <c r="L1004" s="2" t="s">
        <v>1765</v>
      </c>
      <c r="M1004" s="2" t="s">
        <v>975</v>
      </c>
      <c r="N1004" s="2" t="s">
        <v>24</v>
      </c>
      <c r="O1004" s="2" t="s">
        <v>4933</v>
      </c>
      <c r="P1004" s="2" t="s">
        <v>649</v>
      </c>
      <c r="Q1004" s="2" t="s">
        <v>351</v>
      </c>
      <c r="R1004" s="2">
        <v>30457</v>
      </c>
      <c r="S1004" s="2">
        <v>30457</v>
      </c>
      <c r="T1004" s="2" t="s">
        <v>627</v>
      </c>
      <c r="U1004" s="2" t="s">
        <v>627</v>
      </c>
      <c r="V1004" s="2" t="s">
        <v>627</v>
      </c>
      <c r="W1004" s="2" t="s">
        <v>627</v>
      </c>
      <c r="X1004" s="2" t="s">
        <v>6743</v>
      </c>
      <c r="Y1004" s="2" t="s">
        <v>6744</v>
      </c>
      <c r="Z1004" s="2">
        <v>83783257</v>
      </c>
      <c r="AA1004" s="2" t="s">
        <v>6745</v>
      </c>
      <c r="AB1004" s="2" t="s">
        <v>654</v>
      </c>
      <c r="AC1004" s="2" t="s">
        <v>632</v>
      </c>
      <c r="AD1004" s="2">
        <v>83783257</v>
      </c>
      <c r="AE1004" s="2">
        <v>86683185</v>
      </c>
      <c r="AJ1004" s="2">
        <v>83783257</v>
      </c>
      <c r="AK1004" s="2">
        <v>3</v>
      </c>
      <c r="AL1004" s="2" t="s">
        <v>633</v>
      </c>
      <c r="AM1004" s="2">
        <v>0</v>
      </c>
      <c r="AN1004" s="2">
        <v>0</v>
      </c>
      <c r="AO1004" s="2">
        <v>1</v>
      </c>
      <c r="AP1004" s="2">
        <v>0</v>
      </c>
      <c r="AQ1004" s="2">
        <v>0</v>
      </c>
      <c r="AR1004" s="2">
        <v>0</v>
      </c>
      <c r="AS1004" s="2">
        <v>0</v>
      </c>
      <c r="AT1004" s="2">
        <v>0</v>
      </c>
      <c r="AZ1004" s="2" t="s">
        <v>6746</v>
      </c>
      <c r="BB1004" s="2" t="str">
        <f>+PROPER(BD[[#This Row],[PRIMER_APELLIDO]])</f>
        <v>Perez</v>
      </c>
    </row>
    <row r="1005" spans="1:54" x14ac:dyDescent="0.25">
      <c r="A1005" s="2">
        <v>1004</v>
      </c>
      <c r="B1005" s="2">
        <v>44615</v>
      </c>
      <c r="C1005" s="2" t="s">
        <v>619</v>
      </c>
      <c r="D1005" s="2" t="s">
        <v>620</v>
      </c>
      <c r="E1005" s="2" t="s">
        <v>6747</v>
      </c>
      <c r="F1005" s="2">
        <v>29679229</v>
      </c>
      <c r="G1005" s="3">
        <v>39.298630136986304</v>
      </c>
      <c r="H1005" s="2" t="s">
        <v>622</v>
      </c>
      <c r="I1005" s="2" t="s">
        <v>6748</v>
      </c>
      <c r="J1005" s="2" t="str">
        <f>+IF(BD[[#This Row],[DEPARTAMENTO_INSS]]="MANAGUA","_01_","_02_")</f>
        <v>_02_</v>
      </c>
      <c r="K1005" s="2" t="str">
        <f>+CONCATENATE(BD[[#This Row],[Columna3]],BD[[#This Row],[Columna4]],BD[[#This Row],[NOMBRE COMPLETO]])</f>
        <v>E003_02_CESAR JAVIER LOPEZ MALDONADO</v>
      </c>
      <c r="L1005" s="2" t="s">
        <v>1223</v>
      </c>
      <c r="M1005" s="2" t="s">
        <v>975</v>
      </c>
      <c r="N1005" s="2" t="s">
        <v>15</v>
      </c>
      <c r="O1005" s="2" t="s">
        <v>560</v>
      </c>
      <c r="P1005" s="2" t="s">
        <v>649</v>
      </c>
      <c r="Q1005" s="2" t="s">
        <v>351</v>
      </c>
      <c r="R1005" s="2">
        <v>30452</v>
      </c>
      <c r="S1005" s="2">
        <v>30452</v>
      </c>
      <c r="T1005" s="2" t="s">
        <v>732</v>
      </c>
      <c r="U1005" s="2" t="s">
        <v>732</v>
      </c>
      <c r="V1005" s="2" t="s">
        <v>732</v>
      </c>
      <c r="W1005" s="2" t="s">
        <v>732</v>
      </c>
      <c r="Y1005" s="2" t="s">
        <v>6749</v>
      </c>
      <c r="AA1005" s="2">
        <v>77445253</v>
      </c>
      <c r="AB1005" s="2" t="s">
        <v>654</v>
      </c>
      <c r="AC1005" s="2" t="s">
        <v>632</v>
      </c>
      <c r="AD1005" s="2">
        <v>77445253</v>
      </c>
      <c r="AJ1005" s="2">
        <v>77445253</v>
      </c>
      <c r="AK1005" s="2">
        <v>1</v>
      </c>
      <c r="AL1005" s="2" t="s">
        <v>633</v>
      </c>
      <c r="AM1005" s="2">
        <v>0</v>
      </c>
      <c r="AN1005" s="2">
        <v>0</v>
      </c>
      <c r="AO1005" s="2">
        <v>1</v>
      </c>
      <c r="AP1005" s="2">
        <v>0</v>
      </c>
      <c r="AQ1005" s="2">
        <v>0</v>
      </c>
      <c r="AR1005" s="2">
        <v>0</v>
      </c>
      <c r="AS1005" s="2">
        <v>0</v>
      </c>
      <c r="AT1005" s="2">
        <v>0</v>
      </c>
      <c r="BB1005" s="2" t="str">
        <f>+PROPER(BD[[#This Row],[PRIMER_APELLIDO]])</f>
        <v>Lopez</v>
      </c>
    </row>
    <row r="1006" spans="1:54" x14ac:dyDescent="0.25">
      <c r="A1006" s="2">
        <v>1005</v>
      </c>
      <c r="B1006" s="2">
        <v>33094</v>
      </c>
      <c r="C1006" s="2" t="s">
        <v>619</v>
      </c>
      <c r="D1006" s="2" t="s">
        <v>620</v>
      </c>
      <c r="E1006" s="2" t="s">
        <v>6750</v>
      </c>
      <c r="F1006" s="2">
        <v>25580318</v>
      </c>
      <c r="G1006" s="3">
        <v>39.301369863013697</v>
      </c>
      <c r="H1006" s="2" t="s">
        <v>622</v>
      </c>
      <c r="I1006" s="2" t="s">
        <v>6751</v>
      </c>
      <c r="J1006" s="2" t="str">
        <f>+IF(BD[[#This Row],[DEPARTAMENTO_INSS]]="MANAGUA","_01_","_02_")</f>
        <v>_02_</v>
      </c>
      <c r="K1006" s="2" t="str">
        <f>+CONCATENATE(BD[[#This Row],[Columna3]],BD[[#This Row],[Columna4]],BD[[#This Row],[NOMBRE COMPLETO]])</f>
        <v>E003_02_CHRISTIAN CAROLINA GUILLEN ROQUE</v>
      </c>
      <c r="L1006" s="2" t="s">
        <v>6752</v>
      </c>
      <c r="M1006" s="2" t="s">
        <v>714</v>
      </c>
      <c r="N1006" s="2" t="s">
        <v>361</v>
      </c>
      <c r="O1006" s="2" t="s">
        <v>21</v>
      </c>
      <c r="P1006" s="2" t="s">
        <v>626</v>
      </c>
      <c r="Q1006" s="2" t="s">
        <v>351</v>
      </c>
      <c r="R1006" s="2">
        <v>30451</v>
      </c>
      <c r="S1006" s="2">
        <v>30451</v>
      </c>
      <c r="T1006" s="2" t="s">
        <v>444</v>
      </c>
      <c r="U1006" s="2" t="s">
        <v>444</v>
      </c>
      <c r="V1006" s="2" t="s">
        <v>764</v>
      </c>
      <c r="W1006" s="2" t="s">
        <v>764</v>
      </c>
      <c r="X1006" s="2" t="s">
        <v>6753</v>
      </c>
      <c r="Y1006" s="2" t="s">
        <v>6754</v>
      </c>
      <c r="Z1006" s="2">
        <v>86264635</v>
      </c>
      <c r="AA1006" s="2">
        <v>85900558</v>
      </c>
      <c r="AB1006" s="2" t="s">
        <v>642</v>
      </c>
      <c r="AC1006" s="2" t="s">
        <v>632</v>
      </c>
      <c r="AD1006" s="2">
        <v>86264635</v>
      </c>
      <c r="AF1006" s="2">
        <v>85900558</v>
      </c>
      <c r="AJ1006" s="2">
        <v>86264635</v>
      </c>
      <c r="AK1006" s="2">
        <v>2</v>
      </c>
      <c r="AL1006" s="2" t="s">
        <v>633</v>
      </c>
      <c r="AM1006" s="2">
        <v>0</v>
      </c>
      <c r="AN1006" s="2">
        <v>0</v>
      </c>
      <c r="AO1006" s="2">
        <v>1</v>
      </c>
      <c r="AP1006" s="2">
        <v>0</v>
      </c>
      <c r="AQ1006" s="2">
        <v>0</v>
      </c>
      <c r="AR1006" s="2">
        <v>0</v>
      </c>
      <c r="AS1006" s="2">
        <v>0</v>
      </c>
      <c r="AT1006" s="2">
        <v>0</v>
      </c>
      <c r="AZ1006" s="2" t="s">
        <v>6755</v>
      </c>
      <c r="BB1006" s="2" t="str">
        <f>+PROPER(BD[[#This Row],[PRIMER_APELLIDO]])</f>
        <v>Guillen</v>
      </c>
    </row>
    <row r="1007" spans="1:54" x14ac:dyDescent="0.25">
      <c r="A1007" s="2">
        <v>1006</v>
      </c>
      <c r="B1007" s="2">
        <v>46881</v>
      </c>
      <c r="C1007" s="2" t="s">
        <v>619</v>
      </c>
      <c r="D1007" s="2" t="s">
        <v>620</v>
      </c>
      <c r="E1007" s="2" t="s">
        <v>6756</v>
      </c>
      <c r="F1007" s="2">
        <v>15609955</v>
      </c>
      <c r="G1007" s="3">
        <v>39.304109589041097</v>
      </c>
      <c r="H1007" s="2" t="s">
        <v>622</v>
      </c>
      <c r="I1007" s="2" t="s">
        <v>6757</v>
      </c>
      <c r="J1007" s="2" t="str">
        <f>+IF(BD[[#This Row],[DEPARTAMENTO_INSS]]="MANAGUA","_01_","_02_")</f>
        <v>_02_</v>
      </c>
      <c r="K1007" s="2" t="str">
        <f>+CONCATENATE(BD[[#This Row],[Columna3]],BD[[#This Row],[Columna4]],BD[[#This Row],[NOMBRE COMPLETO]])</f>
        <v>E003_02_ROBERTO ANTONIO PAIZ CASTAÑEDA</v>
      </c>
      <c r="L1007" s="2" t="s">
        <v>1057</v>
      </c>
      <c r="M1007" s="2" t="s">
        <v>904</v>
      </c>
      <c r="N1007" s="2" t="s">
        <v>368</v>
      </c>
      <c r="O1007" s="2" t="s">
        <v>6758</v>
      </c>
      <c r="P1007" s="2" t="s">
        <v>649</v>
      </c>
      <c r="Q1007" s="2" t="s">
        <v>351</v>
      </c>
      <c r="R1007" s="2">
        <v>30450</v>
      </c>
      <c r="S1007" s="2">
        <v>30450</v>
      </c>
      <c r="T1007" s="2" t="s">
        <v>627</v>
      </c>
      <c r="U1007" s="2" t="s">
        <v>1005</v>
      </c>
      <c r="V1007" s="2" t="s">
        <v>627</v>
      </c>
      <c r="W1007" s="2" t="s">
        <v>1988</v>
      </c>
      <c r="X1007" s="2" t="s">
        <v>6759</v>
      </c>
      <c r="Y1007" s="2" t="s">
        <v>6760</v>
      </c>
      <c r="Z1007" s="2">
        <v>86560072</v>
      </c>
      <c r="AB1007" s="2" t="s">
        <v>6761</v>
      </c>
      <c r="AC1007" s="2" t="s">
        <v>632</v>
      </c>
      <c r="AD1007" s="2">
        <v>86560072</v>
      </c>
      <c r="AJ1007" s="2">
        <v>86560072</v>
      </c>
      <c r="AK1007" s="2">
        <v>1</v>
      </c>
      <c r="AL1007" s="2" t="s">
        <v>633</v>
      </c>
      <c r="AM1007" s="2">
        <v>0</v>
      </c>
      <c r="AN1007" s="2">
        <v>0</v>
      </c>
      <c r="AO1007" s="2">
        <v>1</v>
      </c>
      <c r="AP1007" s="2">
        <v>0</v>
      </c>
      <c r="AQ1007" s="2">
        <v>0</v>
      </c>
      <c r="AR1007" s="2">
        <v>0</v>
      </c>
      <c r="AS1007" s="2">
        <v>0</v>
      </c>
      <c r="AT1007" s="2">
        <v>0</v>
      </c>
      <c r="AZ1007" s="2" t="s">
        <v>6762</v>
      </c>
      <c r="BB1007" s="2" t="str">
        <f>+PROPER(BD[[#This Row],[PRIMER_APELLIDO]])</f>
        <v>Paiz</v>
      </c>
    </row>
    <row r="1008" spans="1:54" x14ac:dyDescent="0.25">
      <c r="A1008" s="2">
        <v>1007</v>
      </c>
      <c r="B1008" s="2">
        <v>30419</v>
      </c>
      <c r="C1008" s="2" t="s">
        <v>619</v>
      </c>
      <c r="D1008" s="2" t="s">
        <v>620</v>
      </c>
      <c r="E1008" s="2" t="s">
        <v>6763</v>
      </c>
      <c r="F1008" s="2">
        <v>22921822</v>
      </c>
      <c r="G1008" s="3">
        <v>39.30958904109589</v>
      </c>
      <c r="H1008" s="2" t="s">
        <v>622</v>
      </c>
      <c r="I1008" s="2" t="s">
        <v>6764</v>
      </c>
      <c r="J1008" s="2" t="str">
        <f>+IF(BD[[#This Row],[DEPARTAMENTO_INSS]]="MANAGUA","_01_","_02_")</f>
        <v>_02_</v>
      </c>
      <c r="K1008" s="2" t="str">
        <f>+CONCATENATE(BD[[#This Row],[Columna3]],BD[[#This Row],[Columna4]],BD[[#This Row],[NOMBRE COMPLETO]])</f>
        <v>E003_02_YASMINA MARIA RUIZ ROJAS</v>
      </c>
      <c r="L1008" s="2" t="s">
        <v>6765</v>
      </c>
      <c r="M1008" s="2" t="s">
        <v>724</v>
      </c>
      <c r="N1008" s="2" t="s">
        <v>84</v>
      </c>
      <c r="O1008" s="2" t="s">
        <v>105</v>
      </c>
      <c r="P1008" s="2" t="s">
        <v>626</v>
      </c>
      <c r="Q1008" s="2" t="s">
        <v>351</v>
      </c>
      <c r="R1008" s="2">
        <v>30448</v>
      </c>
      <c r="S1008" s="2">
        <v>30448</v>
      </c>
      <c r="T1008" s="2" t="s">
        <v>732</v>
      </c>
      <c r="U1008" s="2" t="s">
        <v>732</v>
      </c>
      <c r="V1008" s="2" t="s">
        <v>2793</v>
      </c>
      <c r="W1008" s="2" t="s">
        <v>732</v>
      </c>
      <c r="X1008" s="2" t="s">
        <v>6766</v>
      </c>
      <c r="Y1008" s="2" t="s">
        <v>6767</v>
      </c>
      <c r="AA1008" s="2">
        <v>82577936</v>
      </c>
      <c r="AB1008" s="2" t="s">
        <v>642</v>
      </c>
      <c r="AC1008" s="2" t="s">
        <v>632</v>
      </c>
      <c r="AD1008" s="2">
        <v>82577936</v>
      </c>
      <c r="AJ1008" s="2">
        <v>82577936</v>
      </c>
      <c r="AK1008" s="2">
        <v>1</v>
      </c>
      <c r="AL1008" s="2" t="s">
        <v>633</v>
      </c>
      <c r="AM1008" s="2">
        <v>0</v>
      </c>
      <c r="AN1008" s="2">
        <v>0</v>
      </c>
      <c r="AO1008" s="2">
        <v>1</v>
      </c>
      <c r="AP1008" s="2">
        <v>0</v>
      </c>
      <c r="AQ1008" s="2">
        <v>0</v>
      </c>
      <c r="AR1008" s="2">
        <v>0</v>
      </c>
      <c r="AS1008" s="2">
        <v>0</v>
      </c>
      <c r="AT1008" s="2">
        <v>0</v>
      </c>
      <c r="BB1008" s="2" t="str">
        <f>+PROPER(BD[[#This Row],[PRIMER_APELLIDO]])</f>
        <v>Ruiz</v>
      </c>
    </row>
    <row r="1009" spans="1:54" x14ac:dyDescent="0.25">
      <c r="A1009" s="2">
        <v>1008</v>
      </c>
      <c r="B1009" s="2">
        <v>29770</v>
      </c>
      <c r="C1009" s="2" t="s">
        <v>619</v>
      </c>
      <c r="D1009" s="2" t="s">
        <v>620</v>
      </c>
      <c r="E1009" s="2" t="s">
        <v>6768</v>
      </c>
      <c r="F1009" s="2">
        <v>21666218</v>
      </c>
      <c r="G1009" s="3">
        <v>39.315068493150683</v>
      </c>
      <c r="H1009" s="2" t="s">
        <v>622</v>
      </c>
      <c r="I1009" s="2" t="s">
        <v>6769</v>
      </c>
      <c r="J1009" s="2" t="str">
        <f>+IF(BD[[#This Row],[DEPARTAMENTO_INSS]]="MANAGUA","_01_","_02_")</f>
        <v>_01_</v>
      </c>
      <c r="K1009" s="2" t="str">
        <f>+CONCATENATE(BD[[#This Row],[Columna3]],BD[[#This Row],[Columna4]],BD[[#This Row],[NOMBRE COMPLETO]])</f>
        <v>E003_01_LIDIA OFELIA DAVILA POVEDA</v>
      </c>
      <c r="L1009" s="2" t="s">
        <v>4432</v>
      </c>
      <c r="M1009" s="2" t="s">
        <v>6770</v>
      </c>
      <c r="N1009" s="2" t="s">
        <v>88</v>
      </c>
      <c r="O1009" s="2" t="s">
        <v>395</v>
      </c>
      <c r="P1009" s="2" t="s">
        <v>626</v>
      </c>
      <c r="Q1009" s="2" t="s">
        <v>351</v>
      </c>
      <c r="R1009" s="2">
        <v>30446</v>
      </c>
      <c r="S1009" s="2">
        <v>30446</v>
      </c>
      <c r="T1009" s="2" t="s">
        <v>627</v>
      </c>
      <c r="U1009" s="2" t="s">
        <v>627</v>
      </c>
      <c r="V1009" s="2" t="s">
        <v>1251</v>
      </c>
      <c r="W1009" s="2" t="s">
        <v>1252</v>
      </c>
      <c r="X1009" s="2" t="s">
        <v>6771</v>
      </c>
      <c r="Y1009" s="2" t="s">
        <v>6772</v>
      </c>
      <c r="Z1009" s="2">
        <v>86034516</v>
      </c>
      <c r="AA1009" s="2">
        <v>25120912</v>
      </c>
      <c r="AB1009" s="2" t="s">
        <v>642</v>
      </c>
      <c r="AC1009" s="2" t="s">
        <v>632</v>
      </c>
      <c r="AD1009" s="2">
        <v>86034516</v>
      </c>
      <c r="AJ1009" s="2">
        <v>86034516</v>
      </c>
      <c r="AK1009" s="2">
        <v>2</v>
      </c>
      <c r="AL1009" s="2" t="s">
        <v>633</v>
      </c>
      <c r="AM1009" s="2">
        <v>0</v>
      </c>
      <c r="AN1009" s="2">
        <v>0</v>
      </c>
      <c r="AO1009" s="2">
        <v>1</v>
      </c>
      <c r="AP1009" s="2">
        <v>0</v>
      </c>
      <c r="AQ1009" s="2">
        <v>0</v>
      </c>
      <c r="AR1009" s="2">
        <v>0</v>
      </c>
      <c r="AS1009" s="2">
        <v>0</v>
      </c>
      <c r="AT1009" s="2">
        <v>0</v>
      </c>
      <c r="AZ1009" s="2" t="s">
        <v>6773</v>
      </c>
      <c r="BB1009" s="2" t="str">
        <f>+PROPER(BD[[#This Row],[PRIMER_APELLIDO]])</f>
        <v>Davila</v>
      </c>
    </row>
    <row r="1010" spans="1:54" x14ac:dyDescent="0.25">
      <c r="A1010" s="2">
        <v>1009</v>
      </c>
      <c r="B1010" s="2">
        <v>56809</v>
      </c>
      <c r="C1010" s="2" t="s">
        <v>619</v>
      </c>
      <c r="D1010" s="2" t="s">
        <v>620</v>
      </c>
      <c r="E1010" s="2" t="s">
        <v>6774</v>
      </c>
      <c r="G1010" s="3">
        <v>39.320547945205476</v>
      </c>
      <c r="H1010" s="2" t="s">
        <v>622</v>
      </c>
      <c r="I1010" s="2" t="s">
        <v>6775</v>
      </c>
      <c r="J1010" s="2" t="str">
        <f>+IF(BD[[#This Row],[DEPARTAMENTO_INSS]]="MANAGUA","_01_","_02_")</f>
        <v>_02_</v>
      </c>
      <c r="K1010" s="2" t="str">
        <f>+CONCATENATE(BD[[#This Row],[Columna3]],BD[[#This Row],[Columna4]],BD[[#This Row],[NOMBRE COMPLETO]])</f>
        <v>E003_02_SINDIS DARLENIS HERNANDEZ PICADO</v>
      </c>
      <c r="L1010" s="2" t="s">
        <v>6776</v>
      </c>
      <c r="M1010" s="2" t="s">
        <v>6777</v>
      </c>
      <c r="N1010" s="2" t="s">
        <v>11</v>
      </c>
      <c r="O1010" s="2" t="s">
        <v>129</v>
      </c>
      <c r="P1010" s="2" t="s">
        <v>626</v>
      </c>
      <c r="Q1010" s="2" t="s">
        <v>351</v>
      </c>
      <c r="R1010" s="2">
        <v>30444</v>
      </c>
      <c r="S1010" s="2">
        <v>30444</v>
      </c>
      <c r="T1010" s="2" t="s">
        <v>929</v>
      </c>
      <c r="U1010" s="2" t="s">
        <v>929</v>
      </c>
      <c r="V1010" s="2" t="s">
        <v>1653</v>
      </c>
      <c r="W1010" s="2" t="s">
        <v>1653</v>
      </c>
      <c r="X1010" s="2" t="s">
        <v>6778</v>
      </c>
      <c r="Y1010" s="2" t="s">
        <v>6779</v>
      </c>
      <c r="Z1010" s="2">
        <v>57015309</v>
      </c>
      <c r="AA1010" s="2">
        <v>84355672</v>
      </c>
      <c r="AB1010" s="2" t="s">
        <v>631</v>
      </c>
      <c r="AC1010" s="2" t="s">
        <v>632</v>
      </c>
      <c r="AD1010" s="2">
        <v>57015309</v>
      </c>
      <c r="AE1010" s="2">
        <v>84355672</v>
      </c>
      <c r="AJ1010" s="2">
        <v>57015309</v>
      </c>
      <c r="AK1010" s="2">
        <v>2</v>
      </c>
      <c r="AL1010" s="2" t="s">
        <v>633</v>
      </c>
      <c r="AM1010" s="2">
        <v>0</v>
      </c>
      <c r="AN1010" s="2">
        <v>0</v>
      </c>
      <c r="AO1010" s="2">
        <v>1</v>
      </c>
      <c r="AP1010" s="2">
        <v>0</v>
      </c>
      <c r="AQ1010" s="2">
        <v>0</v>
      </c>
      <c r="AR1010" s="2">
        <v>0</v>
      </c>
      <c r="AS1010" s="2">
        <v>0</v>
      </c>
      <c r="AT1010" s="2">
        <v>0</v>
      </c>
      <c r="AZ1010" s="2" t="s">
        <v>6780</v>
      </c>
      <c r="BB1010" s="2" t="str">
        <f>+PROPER(BD[[#This Row],[PRIMER_APELLIDO]])</f>
        <v>Hernandez</v>
      </c>
    </row>
    <row r="1011" spans="1:54" x14ac:dyDescent="0.25">
      <c r="A1011" s="2">
        <v>1010</v>
      </c>
      <c r="B1011" s="2">
        <v>31846</v>
      </c>
      <c r="C1011" s="2" t="s">
        <v>619</v>
      </c>
      <c r="D1011" s="2" t="s">
        <v>620</v>
      </c>
      <c r="E1011" s="2" t="s">
        <v>6781</v>
      </c>
      <c r="F1011" s="2">
        <v>21020614</v>
      </c>
      <c r="G1011" s="3">
        <v>39.326027397260276</v>
      </c>
      <c r="H1011" s="2" t="s">
        <v>622</v>
      </c>
      <c r="I1011" s="2" t="s">
        <v>6782</v>
      </c>
      <c r="J1011" s="2" t="str">
        <f>+IF(BD[[#This Row],[DEPARTAMENTO_INSS]]="MANAGUA","_01_","_02_")</f>
        <v>_01_</v>
      </c>
      <c r="K1011" s="2" t="str">
        <f>+CONCATENATE(BD[[#This Row],[Columna3]],BD[[#This Row],[Columna4]],BD[[#This Row],[NOMBRE COMPLETO]])</f>
        <v>E003_01_JORGE LUIS ALVARADO PEREZ</v>
      </c>
      <c r="L1011" s="2" t="s">
        <v>1076</v>
      </c>
      <c r="M1011" s="2" t="s">
        <v>738</v>
      </c>
      <c r="N1011" s="2" t="s">
        <v>18</v>
      </c>
      <c r="O1011" s="2" t="s">
        <v>24</v>
      </c>
      <c r="P1011" s="2" t="s">
        <v>649</v>
      </c>
      <c r="Q1011" s="2" t="s">
        <v>351</v>
      </c>
      <c r="R1011" s="2">
        <v>30442</v>
      </c>
      <c r="S1011" s="2">
        <v>30442</v>
      </c>
      <c r="T1011" s="2" t="s">
        <v>176</v>
      </c>
      <c r="U1011" s="2" t="s">
        <v>627</v>
      </c>
      <c r="V1011" s="2" t="s">
        <v>650</v>
      </c>
      <c r="W1011" s="2" t="s">
        <v>627</v>
      </c>
      <c r="X1011" s="2" t="s">
        <v>6783</v>
      </c>
      <c r="Y1011" s="2" t="s">
        <v>6784</v>
      </c>
      <c r="AA1011" s="2" t="s">
        <v>6785</v>
      </c>
      <c r="AB1011" s="2" t="s">
        <v>654</v>
      </c>
      <c r="AC1011" s="2" t="s">
        <v>632</v>
      </c>
      <c r="AH1011" s="2">
        <v>84099915</v>
      </c>
      <c r="AK1011" s="2">
        <v>3</v>
      </c>
      <c r="AL1011" s="2" t="s">
        <v>633</v>
      </c>
      <c r="AM1011" s="2">
        <v>0</v>
      </c>
      <c r="AN1011" s="2">
        <v>0</v>
      </c>
      <c r="AO1011" s="2">
        <v>1</v>
      </c>
      <c r="AP1011" s="2">
        <v>0</v>
      </c>
      <c r="AQ1011" s="2">
        <v>0</v>
      </c>
      <c r="AR1011" s="2">
        <v>0</v>
      </c>
      <c r="AS1011" s="2">
        <v>0</v>
      </c>
      <c r="AT1011" s="2">
        <v>0</v>
      </c>
      <c r="BB1011" s="2" t="str">
        <f>+PROPER(BD[[#This Row],[PRIMER_APELLIDO]])</f>
        <v>Alvarado</v>
      </c>
    </row>
    <row r="1012" spans="1:54" x14ac:dyDescent="0.25">
      <c r="A1012" s="2">
        <v>1011</v>
      </c>
      <c r="B1012" s="2">
        <v>36228</v>
      </c>
      <c r="C1012" s="2" t="s">
        <v>619</v>
      </c>
      <c r="D1012" s="2" t="s">
        <v>620</v>
      </c>
      <c r="E1012" s="2" t="s">
        <v>6786</v>
      </c>
      <c r="F1012" s="2">
        <v>21675166</v>
      </c>
      <c r="G1012" s="3">
        <v>39.326027397260276</v>
      </c>
      <c r="H1012" s="2" t="s">
        <v>622</v>
      </c>
      <c r="I1012" s="2" t="s">
        <v>6787</v>
      </c>
      <c r="J1012" s="2" t="str">
        <f>+IF(BD[[#This Row],[DEPARTAMENTO_INSS]]="MANAGUA","_01_","_02_")</f>
        <v>_02_</v>
      </c>
      <c r="K1012" s="2" t="str">
        <f>+CONCATENATE(BD[[#This Row],[Columna3]],BD[[#This Row],[Columna4]],BD[[#This Row],[NOMBRE COMPLETO]])</f>
        <v>E003_02_GLORIA MARGARITA SAENZ ALEJO</v>
      </c>
      <c r="L1012" s="2" t="s">
        <v>2131</v>
      </c>
      <c r="M1012" s="2" t="s">
        <v>937</v>
      </c>
      <c r="N1012" s="2" t="s">
        <v>317</v>
      </c>
      <c r="O1012" s="2" t="s">
        <v>6788</v>
      </c>
      <c r="P1012" s="2" t="s">
        <v>626</v>
      </c>
      <c r="Q1012" s="2" t="s">
        <v>351</v>
      </c>
      <c r="R1012" s="2">
        <v>30442</v>
      </c>
      <c r="S1012" s="2">
        <v>30442</v>
      </c>
      <c r="T1012" s="2" t="s">
        <v>732</v>
      </c>
      <c r="U1012" s="2" t="s">
        <v>732</v>
      </c>
      <c r="V1012" s="2" t="s">
        <v>732</v>
      </c>
      <c r="W1012" s="2" t="s">
        <v>732</v>
      </c>
      <c r="X1012" s="2" t="s">
        <v>6789</v>
      </c>
      <c r="Y1012" s="2" t="s">
        <v>6789</v>
      </c>
      <c r="Z1012" s="2">
        <v>88739564</v>
      </c>
      <c r="AA1012" s="2">
        <v>88739564</v>
      </c>
      <c r="AB1012" s="2" t="s">
        <v>642</v>
      </c>
      <c r="AC1012" s="2" t="s">
        <v>632</v>
      </c>
      <c r="AD1012" s="2">
        <v>88739564</v>
      </c>
      <c r="AJ1012" s="2">
        <v>88739564</v>
      </c>
      <c r="AK1012" s="2">
        <v>2</v>
      </c>
      <c r="AL1012" s="2" t="s">
        <v>633</v>
      </c>
      <c r="AM1012" s="2">
        <v>0</v>
      </c>
      <c r="AN1012" s="2">
        <v>0</v>
      </c>
      <c r="AO1012" s="2">
        <v>1</v>
      </c>
      <c r="AP1012" s="2">
        <v>0</v>
      </c>
      <c r="AQ1012" s="2">
        <v>0</v>
      </c>
      <c r="AR1012" s="2">
        <v>0</v>
      </c>
      <c r="AS1012" s="2">
        <v>0</v>
      </c>
      <c r="AT1012" s="2">
        <v>0</v>
      </c>
      <c r="AZ1012" s="2" t="s">
        <v>6790</v>
      </c>
      <c r="BB1012" s="2" t="str">
        <f>+PROPER(BD[[#This Row],[PRIMER_APELLIDO]])</f>
        <v>Saenz</v>
      </c>
    </row>
    <row r="1013" spans="1:54" x14ac:dyDescent="0.25">
      <c r="A1013" s="2">
        <v>1012</v>
      </c>
      <c r="B1013" s="2">
        <v>28494</v>
      </c>
      <c r="C1013" s="2" t="s">
        <v>619</v>
      </c>
      <c r="D1013" s="2" t="s">
        <v>620</v>
      </c>
      <c r="E1013" s="2" t="s">
        <v>6791</v>
      </c>
      <c r="F1013" s="2">
        <v>21519840</v>
      </c>
      <c r="G1013" s="3">
        <v>39.328767123287669</v>
      </c>
      <c r="H1013" s="2" t="s">
        <v>622</v>
      </c>
      <c r="I1013" s="2" t="s">
        <v>6792</v>
      </c>
      <c r="J1013" s="2" t="str">
        <f>+IF(BD[[#This Row],[DEPARTAMENTO_INSS]]="MANAGUA","_01_","_02_")</f>
        <v>_02_</v>
      </c>
      <c r="K1013" s="2" t="str">
        <f>+CONCATENATE(BD[[#This Row],[Columna3]],BD[[#This Row],[Columna4]],BD[[#This Row],[NOMBRE COMPLETO]])</f>
        <v>E003_02_BETTY KARINA ORTEGA CASTRO</v>
      </c>
      <c r="L1013" s="2" t="s">
        <v>713</v>
      </c>
      <c r="M1013" s="2" t="s">
        <v>1614</v>
      </c>
      <c r="N1013" s="2" t="s">
        <v>29</v>
      </c>
      <c r="O1013" s="2" t="s">
        <v>163</v>
      </c>
      <c r="P1013" s="2" t="s">
        <v>626</v>
      </c>
      <c r="Q1013" s="2" t="s">
        <v>351</v>
      </c>
      <c r="R1013" s="2">
        <v>30441</v>
      </c>
      <c r="S1013" s="2">
        <v>30441</v>
      </c>
      <c r="T1013" s="2" t="s">
        <v>186</v>
      </c>
      <c r="U1013" s="2" t="s">
        <v>186</v>
      </c>
      <c r="V1013" s="2" t="s">
        <v>1634</v>
      </c>
      <c r="W1013" s="2" t="s">
        <v>1634</v>
      </c>
      <c r="X1013" s="2" t="s">
        <v>6793</v>
      </c>
      <c r="Y1013" s="2" t="s">
        <v>6794</v>
      </c>
      <c r="Z1013" s="2">
        <v>76377000</v>
      </c>
      <c r="AA1013" s="2">
        <v>76377000</v>
      </c>
      <c r="AB1013" s="2" t="s">
        <v>631</v>
      </c>
      <c r="AC1013" s="2" t="s">
        <v>632</v>
      </c>
      <c r="AD1013" s="2">
        <v>76377000</v>
      </c>
      <c r="AJ1013" s="2">
        <v>76377000</v>
      </c>
      <c r="AK1013" s="2">
        <v>2</v>
      </c>
      <c r="AL1013" s="2" t="s">
        <v>633</v>
      </c>
      <c r="AM1013" s="2">
        <v>0</v>
      </c>
      <c r="AN1013" s="2">
        <v>0</v>
      </c>
      <c r="AO1013" s="2">
        <v>1</v>
      </c>
      <c r="AP1013" s="2">
        <v>0</v>
      </c>
      <c r="AQ1013" s="2">
        <v>0</v>
      </c>
      <c r="AR1013" s="2">
        <v>0</v>
      </c>
      <c r="AS1013" s="2">
        <v>0</v>
      </c>
      <c r="AT1013" s="2">
        <v>0</v>
      </c>
      <c r="BB1013" s="2" t="str">
        <f>+PROPER(BD[[#This Row],[PRIMER_APELLIDO]])</f>
        <v>Ortega</v>
      </c>
    </row>
    <row r="1014" spans="1:54" x14ac:dyDescent="0.25">
      <c r="A1014" s="2">
        <v>1013</v>
      </c>
      <c r="B1014" s="2">
        <v>31469</v>
      </c>
      <c r="C1014" s="2" t="s">
        <v>619</v>
      </c>
      <c r="D1014" s="2" t="s">
        <v>620</v>
      </c>
      <c r="E1014" s="2" t="s">
        <v>6795</v>
      </c>
      <c r="F1014" s="2">
        <v>21797282</v>
      </c>
      <c r="G1014" s="3">
        <v>39.339726027397262</v>
      </c>
      <c r="H1014" s="2" t="s">
        <v>622</v>
      </c>
      <c r="I1014" s="2" t="s">
        <v>6796</v>
      </c>
      <c r="J1014" s="2" t="str">
        <f>+IF(BD[[#This Row],[DEPARTAMENTO_INSS]]="MANAGUA","_01_","_02_")</f>
        <v>_01_</v>
      </c>
      <c r="K1014" s="2" t="str">
        <f>+CONCATENATE(BD[[#This Row],[Columna3]],BD[[#This Row],[Columna4]],BD[[#This Row],[NOMBRE COMPLETO]])</f>
        <v>E003_01_WASCARXEI CESAR SEQUEIRA ABARCA</v>
      </c>
      <c r="L1014" s="2" t="s">
        <v>6797</v>
      </c>
      <c r="M1014" s="2" t="s">
        <v>1223</v>
      </c>
      <c r="N1014" s="2" t="s">
        <v>348</v>
      </c>
      <c r="O1014" s="2" t="s">
        <v>6798</v>
      </c>
      <c r="P1014" s="2" t="s">
        <v>649</v>
      </c>
      <c r="Q1014" s="2" t="s">
        <v>351</v>
      </c>
      <c r="R1014" s="2">
        <v>30437</v>
      </c>
      <c r="S1014" s="2">
        <v>30437</v>
      </c>
      <c r="T1014" s="2" t="s">
        <v>627</v>
      </c>
      <c r="U1014" s="2" t="s">
        <v>627</v>
      </c>
      <c r="V1014" s="2" t="s">
        <v>627</v>
      </c>
      <c r="W1014" s="2" t="s">
        <v>627</v>
      </c>
      <c r="X1014" s="2" t="s">
        <v>6799</v>
      </c>
      <c r="Y1014" s="2" t="s">
        <v>6800</v>
      </c>
      <c r="AA1014" s="2">
        <v>86238049</v>
      </c>
      <c r="AB1014" s="2" t="s">
        <v>654</v>
      </c>
      <c r="AC1014" s="2" t="s">
        <v>632</v>
      </c>
      <c r="AD1014" s="2">
        <v>86238049</v>
      </c>
      <c r="AJ1014" s="2">
        <v>86238049</v>
      </c>
      <c r="AK1014" s="2">
        <v>1</v>
      </c>
      <c r="AL1014" s="2" t="s">
        <v>633</v>
      </c>
      <c r="AM1014" s="2">
        <v>0</v>
      </c>
      <c r="AN1014" s="2">
        <v>0</v>
      </c>
      <c r="AO1014" s="2">
        <v>1</v>
      </c>
      <c r="AP1014" s="2">
        <v>0</v>
      </c>
      <c r="AQ1014" s="2">
        <v>0</v>
      </c>
      <c r="AR1014" s="2">
        <v>0</v>
      </c>
      <c r="AS1014" s="2">
        <v>0</v>
      </c>
      <c r="AT1014" s="2">
        <v>0</v>
      </c>
      <c r="BB1014" s="2" t="str">
        <f>+PROPER(BD[[#This Row],[PRIMER_APELLIDO]])</f>
        <v>Sequeira</v>
      </c>
    </row>
    <row r="1015" spans="1:54" x14ac:dyDescent="0.25">
      <c r="A1015" s="2">
        <v>1014</v>
      </c>
      <c r="B1015" s="2">
        <v>32604</v>
      </c>
      <c r="C1015" s="2" t="s">
        <v>619</v>
      </c>
      <c r="D1015" s="2" t="s">
        <v>620</v>
      </c>
      <c r="E1015" s="2" t="s">
        <v>6801</v>
      </c>
      <c r="F1015" s="2">
        <v>21670967</v>
      </c>
      <c r="G1015" s="3">
        <v>39.345205479452055</v>
      </c>
      <c r="H1015" s="2" t="s">
        <v>622</v>
      </c>
      <c r="I1015" s="2" t="s">
        <v>6802</v>
      </c>
      <c r="J1015" s="2" t="str">
        <f>+IF(BD[[#This Row],[DEPARTAMENTO_INSS]]="MANAGUA","_01_","_02_")</f>
        <v>_01_</v>
      </c>
      <c r="K1015" s="2" t="str">
        <f>+CONCATENATE(BD[[#This Row],[Columna3]],BD[[#This Row],[Columna4]],BD[[#This Row],[NOMBRE COMPLETO]])</f>
        <v>E003_01_DAYANA MERCEDES MATUS GOMEZ</v>
      </c>
      <c r="L1015" s="2" t="s">
        <v>5623</v>
      </c>
      <c r="M1015" s="2" t="s">
        <v>769</v>
      </c>
      <c r="N1015" s="2" t="s">
        <v>65</v>
      </c>
      <c r="O1015" s="2" t="s">
        <v>43</v>
      </c>
      <c r="P1015" s="2" t="s">
        <v>626</v>
      </c>
      <c r="Q1015" s="2" t="s">
        <v>351</v>
      </c>
      <c r="R1015" s="2">
        <v>30435</v>
      </c>
      <c r="S1015" s="2">
        <v>30435</v>
      </c>
      <c r="U1015" s="2" t="s">
        <v>627</v>
      </c>
      <c r="W1015" s="2" t="s">
        <v>627</v>
      </c>
      <c r="X1015" s="2" t="s">
        <v>6803</v>
      </c>
      <c r="Y1015" s="2" t="s">
        <v>6804</v>
      </c>
      <c r="AA1015" s="2">
        <v>22642785</v>
      </c>
      <c r="AB1015" s="2" t="s">
        <v>654</v>
      </c>
      <c r="AC1015" s="2" t="s">
        <v>632</v>
      </c>
      <c r="AK1015" s="2">
        <v>1</v>
      </c>
      <c r="AL1015" s="2" t="s">
        <v>633</v>
      </c>
      <c r="AM1015" s="2">
        <v>0</v>
      </c>
      <c r="AN1015" s="2">
        <v>0</v>
      </c>
      <c r="AO1015" s="2">
        <v>1</v>
      </c>
      <c r="AP1015" s="2">
        <v>0</v>
      </c>
      <c r="AQ1015" s="2">
        <v>0</v>
      </c>
      <c r="AR1015" s="2">
        <v>0</v>
      </c>
      <c r="AS1015" s="2">
        <v>0</v>
      </c>
      <c r="AT1015" s="2">
        <v>0</v>
      </c>
      <c r="BB1015" s="2" t="str">
        <f>+PROPER(BD[[#This Row],[PRIMER_APELLIDO]])</f>
        <v>Matus</v>
      </c>
    </row>
    <row r="1016" spans="1:54" x14ac:dyDescent="0.25">
      <c r="A1016" s="2">
        <v>1015</v>
      </c>
      <c r="B1016" s="2">
        <v>54864</v>
      </c>
      <c r="C1016" s="2" t="s">
        <v>619</v>
      </c>
      <c r="D1016" s="2" t="s">
        <v>620</v>
      </c>
      <c r="E1016" s="2" t="s">
        <v>6805</v>
      </c>
      <c r="G1016" s="3">
        <v>39.356164383561641</v>
      </c>
      <c r="H1016" s="2" t="s">
        <v>622</v>
      </c>
      <c r="I1016" s="2" t="s">
        <v>6806</v>
      </c>
      <c r="J1016" s="2" t="str">
        <f>+IF(BD[[#This Row],[DEPARTAMENTO_INSS]]="MANAGUA","_01_","_02_")</f>
        <v>_02_</v>
      </c>
      <c r="K1016" s="2" t="str">
        <f>+CONCATENATE(BD[[#This Row],[Columna3]],BD[[#This Row],[Columna4]],BD[[#This Row],[NOMBRE COMPLETO]])</f>
        <v>E003_02_DALILA DEL CARMEN RIVAS CASTILLO</v>
      </c>
      <c r="L1016" s="2" t="s">
        <v>6807</v>
      </c>
      <c r="M1016" s="2" t="s">
        <v>961</v>
      </c>
      <c r="N1016" s="2" t="s">
        <v>186</v>
      </c>
      <c r="O1016" s="2" t="s">
        <v>100</v>
      </c>
      <c r="P1016" s="2" t="s">
        <v>626</v>
      </c>
      <c r="Q1016" s="2" t="s">
        <v>351</v>
      </c>
      <c r="R1016" s="2">
        <v>30431</v>
      </c>
      <c r="S1016" s="2">
        <v>30431</v>
      </c>
      <c r="T1016" s="2" t="s">
        <v>1005</v>
      </c>
      <c r="U1016" s="2" t="s">
        <v>1005</v>
      </c>
      <c r="V1016" s="2" t="s">
        <v>1184</v>
      </c>
      <c r="W1016" s="2" t="s">
        <v>1184</v>
      </c>
      <c r="X1016" s="2" t="s">
        <v>6808</v>
      </c>
      <c r="Y1016" s="2" t="s">
        <v>6809</v>
      </c>
      <c r="Z1016" s="2">
        <v>84962529</v>
      </c>
      <c r="AB1016" s="2" t="s">
        <v>1030</v>
      </c>
      <c r="AC1016" s="2" t="s">
        <v>632</v>
      </c>
      <c r="AD1016" s="2">
        <v>84962529</v>
      </c>
      <c r="AJ1016" s="2">
        <v>84962529</v>
      </c>
      <c r="AK1016" s="2">
        <v>1</v>
      </c>
      <c r="AL1016" s="2" t="s">
        <v>633</v>
      </c>
      <c r="AM1016" s="2">
        <v>0</v>
      </c>
      <c r="AN1016" s="2">
        <v>0</v>
      </c>
      <c r="AO1016" s="2">
        <v>1</v>
      </c>
      <c r="AP1016" s="2">
        <v>0</v>
      </c>
      <c r="AQ1016" s="2">
        <v>0</v>
      </c>
      <c r="AR1016" s="2">
        <v>0</v>
      </c>
      <c r="AS1016" s="2">
        <v>0</v>
      </c>
      <c r="AT1016" s="2">
        <v>0</v>
      </c>
      <c r="BB1016" s="2" t="str">
        <f>+PROPER(BD[[#This Row],[PRIMER_APELLIDO]])</f>
        <v>Rivas</v>
      </c>
    </row>
    <row r="1017" spans="1:54" x14ac:dyDescent="0.25">
      <c r="A1017" s="2">
        <v>1016</v>
      </c>
      <c r="B1017" s="2">
        <v>54642</v>
      </c>
      <c r="C1017" s="2" t="s">
        <v>619</v>
      </c>
      <c r="D1017" s="2" t="s">
        <v>620</v>
      </c>
      <c r="E1017" s="2" t="s">
        <v>6810</v>
      </c>
      <c r="G1017" s="3">
        <v>39.367123287671234</v>
      </c>
      <c r="H1017" s="2" t="s">
        <v>622</v>
      </c>
      <c r="I1017" s="2" t="s">
        <v>6811</v>
      </c>
      <c r="J1017" s="2" t="str">
        <f>+IF(BD[[#This Row],[DEPARTAMENTO_INSS]]="MANAGUA","_01_","_02_")</f>
        <v>_01_</v>
      </c>
      <c r="K1017" s="2" t="str">
        <f>+CONCATENATE(BD[[#This Row],[Columna3]],BD[[#This Row],[Columna4]],BD[[#This Row],[NOMBRE COMPLETO]])</f>
        <v>E003_01_SANDY MEDINA VALERIO</v>
      </c>
      <c r="L1017" s="2" t="s">
        <v>6812</v>
      </c>
      <c r="N1017" s="2" t="s">
        <v>104</v>
      </c>
      <c r="O1017" s="2" t="s">
        <v>303</v>
      </c>
      <c r="P1017" s="2" t="s">
        <v>649</v>
      </c>
      <c r="Q1017" s="2" t="s">
        <v>351</v>
      </c>
      <c r="R1017" s="2">
        <v>30427</v>
      </c>
      <c r="S1017" s="2">
        <v>30427</v>
      </c>
      <c r="T1017" s="2" t="s">
        <v>627</v>
      </c>
      <c r="U1017" s="2" t="s">
        <v>627</v>
      </c>
      <c r="V1017" s="2" t="s">
        <v>627</v>
      </c>
      <c r="W1017" s="2" t="s">
        <v>627</v>
      </c>
      <c r="X1017" s="2" t="s">
        <v>6813</v>
      </c>
      <c r="Y1017" s="2" t="s">
        <v>6814</v>
      </c>
      <c r="Z1017" s="2">
        <v>86696236</v>
      </c>
      <c r="AA1017" s="2" t="s">
        <v>6815</v>
      </c>
      <c r="AB1017" s="2" t="s">
        <v>654</v>
      </c>
      <c r="AC1017" s="2" t="s">
        <v>632</v>
      </c>
      <c r="AD1017" s="2">
        <v>86696236</v>
      </c>
      <c r="AE1017" s="2">
        <v>84935300</v>
      </c>
      <c r="AJ1017" s="2">
        <v>86696236</v>
      </c>
      <c r="AK1017" s="2">
        <v>3</v>
      </c>
      <c r="AL1017" s="2" t="s">
        <v>633</v>
      </c>
      <c r="AM1017" s="2">
        <v>0</v>
      </c>
      <c r="AN1017" s="2">
        <v>0</v>
      </c>
      <c r="AO1017" s="2">
        <v>1</v>
      </c>
      <c r="AP1017" s="2">
        <v>0</v>
      </c>
      <c r="AQ1017" s="2">
        <v>0</v>
      </c>
      <c r="AR1017" s="2">
        <v>0</v>
      </c>
      <c r="AS1017" s="2">
        <v>0</v>
      </c>
      <c r="AT1017" s="2">
        <v>0</v>
      </c>
      <c r="AZ1017" s="2" t="s">
        <v>6816</v>
      </c>
      <c r="BB1017" s="2" t="str">
        <f>+PROPER(BD[[#This Row],[PRIMER_APELLIDO]])</f>
        <v>Medina</v>
      </c>
    </row>
    <row r="1018" spans="1:54" x14ac:dyDescent="0.25">
      <c r="A1018" s="2">
        <v>1017</v>
      </c>
      <c r="B1018" s="2">
        <v>35342</v>
      </c>
      <c r="C1018" s="2" t="s">
        <v>619</v>
      </c>
      <c r="D1018" s="2" t="s">
        <v>620</v>
      </c>
      <c r="E1018" s="2" t="s">
        <v>6817</v>
      </c>
      <c r="F1018" s="2">
        <v>21711710</v>
      </c>
      <c r="G1018" s="3">
        <v>39.37808219178082</v>
      </c>
      <c r="H1018" s="2" t="s">
        <v>622</v>
      </c>
      <c r="I1018" s="2" t="s">
        <v>6818</v>
      </c>
      <c r="J1018" s="2" t="str">
        <f>+IF(BD[[#This Row],[DEPARTAMENTO_INSS]]="MANAGUA","_01_","_02_")</f>
        <v>_02_</v>
      </c>
      <c r="K1018" s="2" t="str">
        <f>+CONCATENATE(BD[[#This Row],[Columna3]],BD[[#This Row],[Columna4]],BD[[#This Row],[NOMBRE COMPLETO]])</f>
        <v>E003_02_KAREN YAMILA BRENES LOPEZ</v>
      </c>
      <c r="L1018" s="2" t="s">
        <v>1162</v>
      </c>
      <c r="M1018" s="2" t="s">
        <v>6819</v>
      </c>
      <c r="N1018" s="2" t="s">
        <v>230</v>
      </c>
      <c r="O1018" s="2" t="s">
        <v>15</v>
      </c>
      <c r="P1018" s="2" t="s">
        <v>626</v>
      </c>
      <c r="Q1018" s="2" t="s">
        <v>351</v>
      </c>
      <c r="R1018" s="2">
        <v>30423</v>
      </c>
      <c r="S1018" s="2">
        <v>30423</v>
      </c>
      <c r="T1018" s="2" t="s">
        <v>133</v>
      </c>
      <c r="U1018" s="2" t="s">
        <v>133</v>
      </c>
      <c r="V1018" s="2" t="s">
        <v>869</v>
      </c>
      <c r="W1018" s="2" t="s">
        <v>869</v>
      </c>
      <c r="X1018" s="2" t="s">
        <v>6820</v>
      </c>
      <c r="Y1018" s="2" t="s">
        <v>6821</v>
      </c>
      <c r="Z1018" s="2">
        <v>88489739</v>
      </c>
      <c r="AA1018" s="2" t="s">
        <v>6822</v>
      </c>
      <c r="AB1018" s="2" t="s">
        <v>642</v>
      </c>
      <c r="AC1018" s="2" t="s">
        <v>632</v>
      </c>
      <c r="AD1018" s="2">
        <v>88489739</v>
      </c>
      <c r="AE1018" s="2">
        <v>85608812</v>
      </c>
      <c r="AJ1018" s="2">
        <v>88489739</v>
      </c>
      <c r="AK1018" s="2">
        <v>3</v>
      </c>
      <c r="AL1018" s="2" t="s">
        <v>633</v>
      </c>
      <c r="AM1018" s="2">
        <v>0</v>
      </c>
      <c r="AN1018" s="2">
        <v>0</v>
      </c>
      <c r="AO1018" s="2">
        <v>1</v>
      </c>
      <c r="AP1018" s="2">
        <v>0</v>
      </c>
      <c r="AQ1018" s="2">
        <v>0</v>
      </c>
      <c r="AR1018" s="2">
        <v>0</v>
      </c>
      <c r="AS1018" s="2">
        <v>0</v>
      </c>
      <c r="AT1018" s="2">
        <v>0</v>
      </c>
      <c r="BB1018" s="2" t="str">
        <f>+PROPER(BD[[#This Row],[PRIMER_APELLIDO]])</f>
        <v>Brenes</v>
      </c>
    </row>
    <row r="1019" spans="1:54" x14ac:dyDescent="0.25">
      <c r="A1019" s="2">
        <v>1018</v>
      </c>
      <c r="B1019" s="2">
        <v>53775</v>
      </c>
      <c r="C1019" s="2" t="s">
        <v>619</v>
      </c>
      <c r="D1019" s="2" t="s">
        <v>620</v>
      </c>
      <c r="E1019" s="2" t="s">
        <v>6823</v>
      </c>
      <c r="G1019" s="3">
        <v>39.38082191780822</v>
      </c>
      <c r="H1019" s="2" t="s">
        <v>622</v>
      </c>
      <c r="I1019" s="2" t="s">
        <v>6824</v>
      </c>
      <c r="J1019" s="2" t="str">
        <f>+IF(BD[[#This Row],[DEPARTAMENTO_INSS]]="MANAGUA","_01_","_02_")</f>
        <v>_02_</v>
      </c>
      <c r="K1019" s="2" t="str">
        <f>+CONCATENATE(BD[[#This Row],[Columna3]],BD[[#This Row],[Columna4]],BD[[#This Row],[NOMBRE COMPLETO]])</f>
        <v>E003_02_JUAN ALBERTO HURTADO GARCIA</v>
      </c>
      <c r="L1019" s="2" t="s">
        <v>825</v>
      </c>
      <c r="M1019" s="2" t="s">
        <v>1699</v>
      </c>
      <c r="N1019" s="2" t="s">
        <v>107</v>
      </c>
      <c r="O1019" s="2" t="s">
        <v>10</v>
      </c>
      <c r="P1019" s="2" t="s">
        <v>649</v>
      </c>
      <c r="Q1019" s="2" t="s">
        <v>351</v>
      </c>
      <c r="R1019" s="2">
        <v>30422</v>
      </c>
      <c r="S1019" s="2">
        <v>30422</v>
      </c>
      <c r="T1019" s="2" t="s">
        <v>705</v>
      </c>
      <c r="U1019" s="2" t="s">
        <v>705</v>
      </c>
      <c r="V1019" s="2" t="s">
        <v>725</v>
      </c>
      <c r="W1019" s="2" t="s">
        <v>725</v>
      </c>
      <c r="X1019" s="2" t="s">
        <v>6825</v>
      </c>
      <c r="Y1019" s="2" t="s">
        <v>6826</v>
      </c>
      <c r="Z1019" s="2">
        <v>83204330</v>
      </c>
      <c r="AA1019" s="2">
        <v>83204330</v>
      </c>
      <c r="AB1019" s="2" t="s">
        <v>654</v>
      </c>
      <c r="AC1019" s="2" t="s">
        <v>632</v>
      </c>
      <c r="AD1019" s="2">
        <v>83204330</v>
      </c>
      <c r="AJ1019" s="2">
        <v>83204330</v>
      </c>
      <c r="AK1019" s="2">
        <v>2</v>
      </c>
      <c r="AL1019" s="2" t="s">
        <v>633</v>
      </c>
      <c r="AM1019" s="2">
        <v>0</v>
      </c>
      <c r="AN1019" s="2">
        <v>0</v>
      </c>
      <c r="AO1019" s="2">
        <v>1</v>
      </c>
      <c r="AP1019" s="2">
        <v>0</v>
      </c>
      <c r="AQ1019" s="2">
        <v>0</v>
      </c>
      <c r="AR1019" s="2">
        <v>0</v>
      </c>
      <c r="AS1019" s="2">
        <v>0</v>
      </c>
      <c r="AT1019" s="2">
        <v>0</v>
      </c>
      <c r="AZ1019" s="2" t="s">
        <v>6827</v>
      </c>
      <c r="BB1019" s="2" t="str">
        <f>+PROPER(BD[[#This Row],[PRIMER_APELLIDO]])</f>
        <v>Hurtado</v>
      </c>
    </row>
    <row r="1020" spans="1:54" x14ac:dyDescent="0.25">
      <c r="A1020" s="2">
        <v>1019</v>
      </c>
      <c r="B1020" s="2">
        <v>26210</v>
      </c>
      <c r="C1020" s="2" t="s">
        <v>619</v>
      </c>
      <c r="D1020" s="2" t="s">
        <v>620</v>
      </c>
      <c r="E1020" s="2" t="s">
        <v>6828</v>
      </c>
      <c r="F1020" s="2">
        <v>21754809</v>
      </c>
      <c r="G1020" s="3">
        <v>39.389041095890413</v>
      </c>
      <c r="H1020" s="2" t="s">
        <v>622</v>
      </c>
      <c r="I1020" s="2" t="s">
        <v>6829</v>
      </c>
      <c r="J1020" s="2" t="str">
        <f>+IF(BD[[#This Row],[DEPARTAMENTO_INSS]]="MANAGUA","_01_","_02_")</f>
        <v>_02_</v>
      </c>
      <c r="K1020" s="2" t="str">
        <f>+CONCATENATE(BD[[#This Row],[Columna3]],BD[[#This Row],[Columna4]],BD[[#This Row],[NOMBRE COMPLETO]])</f>
        <v>E003_02_BLANCA ESTELA GONZALEZ MORENO</v>
      </c>
      <c r="L1020" s="2" t="s">
        <v>1169</v>
      </c>
      <c r="M1020" s="2" t="s">
        <v>876</v>
      </c>
      <c r="N1020" s="2" t="s">
        <v>14</v>
      </c>
      <c r="O1020" s="2" t="s">
        <v>430</v>
      </c>
      <c r="P1020" s="2" t="s">
        <v>626</v>
      </c>
      <c r="Q1020" s="2" t="s">
        <v>351</v>
      </c>
      <c r="R1020" s="2">
        <v>30419</v>
      </c>
      <c r="S1020" s="2">
        <v>30419</v>
      </c>
      <c r="U1020" s="2" t="s">
        <v>176</v>
      </c>
      <c r="W1020" s="2" t="s">
        <v>176</v>
      </c>
      <c r="X1020" s="2" t="s">
        <v>6830</v>
      </c>
      <c r="Y1020" s="2" t="s">
        <v>6831</v>
      </c>
      <c r="AA1020" s="2" t="s">
        <v>6832</v>
      </c>
      <c r="AB1020" s="2" t="s">
        <v>642</v>
      </c>
      <c r="AC1020" s="2" t="s">
        <v>632</v>
      </c>
      <c r="AE1020" s="2">
        <v>82423707</v>
      </c>
      <c r="AH1020" s="2">
        <v>82374386</v>
      </c>
      <c r="AJ1020" s="2">
        <v>82423707</v>
      </c>
      <c r="AK1020" s="2">
        <v>3</v>
      </c>
      <c r="AL1020" s="2" t="s">
        <v>633</v>
      </c>
      <c r="AM1020" s="2">
        <v>0</v>
      </c>
      <c r="AN1020" s="2">
        <v>0</v>
      </c>
      <c r="AO1020" s="2">
        <v>1</v>
      </c>
      <c r="AP1020" s="2">
        <v>0</v>
      </c>
      <c r="AQ1020" s="2">
        <v>0</v>
      </c>
      <c r="AR1020" s="2">
        <v>0</v>
      </c>
      <c r="AS1020" s="2">
        <v>0</v>
      </c>
      <c r="AT1020" s="2">
        <v>0</v>
      </c>
      <c r="BB1020" s="2" t="str">
        <f>+PROPER(BD[[#This Row],[PRIMER_APELLIDO]])</f>
        <v>Gonzalez</v>
      </c>
    </row>
    <row r="1021" spans="1:54" x14ac:dyDescent="0.25">
      <c r="A1021" s="2">
        <v>1020</v>
      </c>
      <c r="B1021" s="2">
        <v>47609</v>
      </c>
      <c r="C1021" s="2" t="s">
        <v>619</v>
      </c>
      <c r="D1021" s="2" t="s">
        <v>620</v>
      </c>
      <c r="E1021" s="2" t="s">
        <v>6833</v>
      </c>
      <c r="F1021" s="2">
        <v>25020861</v>
      </c>
      <c r="G1021" s="3">
        <v>39.389041095890413</v>
      </c>
      <c r="H1021" s="2" t="s">
        <v>622</v>
      </c>
      <c r="I1021" s="2" t="s">
        <v>6834</v>
      </c>
      <c r="J1021" s="2" t="str">
        <f>+IF(BD[[#This Row],[DEPARTAMENTO_INSS]]="MANAGUA","_01_","_02_")</f>
        <v>_02_</v>
      </c>
      <c r="K1021" s="2" t="str">
        <f>+CONCATENATE(BD[[#This Row],[Columna3]],BD[[#This Row],[Columna4]],BD[[#This Row],[NOMBRE COMPLETO]])</f>
        <v>E003_02_BYRON JAVIER FLORES JAIME</v>
      </c>
      <c r="L1021" s="2" t="s">
        <v>6658</v>
      </c>
      <c r="M1021" s="2" t="s">
        <v>975</v>
      </c>
      <c r="N1021" s="2" t="s">
        <v>58</v>
      </c>
      <c r="O1021" s="2" t="s">
        <v>242</v>
      </c>
      <c r="P1021" s="2" t="s">
        <v>649</v>
      </c>
      <c r="Q1021" s="2" t="s">
        <v>351</v>
      </c>
      <c r="R1021" s="2">
        <v>30419</v>
      </c>
      <c r="S1021" s="2">
        <v>30419</v>
      </c>
      <c r="T1021" s="2" t="s">
        <v>1191</v>
      </c>
      <c r="U1021" s="2" t="s">
        <v>1191</v>
      </c>
      <c r="V1021" s="2" t="s">
        <v>6406</v>
      </c>
      <c r="W1021" s="2" t="s">
        <v>6406</v>
      </c>
      <c r="X1021" s="2" t="s">
        <v>6835</v>
      </c>
      <c r="Y1021" s="2" t="s">
        <v>6836</v>
      </c>
      <c r="Z1021" s="2">
        <v>84496903</v>
      </c>
      <c r="AB1021" s="2" t="s">
        <v>798</v>
      </c>
      <c r="AC1021" s="2" t="s">
        <v>632</v>
      </c>
      <c r="AD1021" s="2">
        <v>84496903</v>
      </c>
      <c r="AJ1021" s="2">
        <v>84496903</v>
      </c>
      <c r="AK1021" s="2">
        <v>1</v>
      </c>
      <c r="AL1021" s="2" t="s">
        <v>633</v>
      </c>
      <c r="AM1021" s="2">
        <v>0</v>
      </c>
      <c r="AN1021" s="2">
        <v>0</v>
      </c>
      <c r="AO1021" s="2">
        <v>1</v>
      </c>
      <c r="AP1021" s="2">
        <v>0</v>
      </c>
      <c r="AQ1021" s="2">
        <v>0</v>
      </c>
      <c r="AR1021" s="2">
        <v>0</v>
      </c>
      <c r="AS1021" s="2">
        <v>0</v>
      </c>
      <c r="AT1021" s="2">
        <v>0</v>
      </c>
      <c r="AZ1021" s="2" t="s">
        <v>6837</v>
      </c>
      <c r="BB1021" s="2" t="str">
        <f>+PROPER(BD[[#This Row],[PRIMER_APELLIDO]])</f>
        <v>Flores</v>
      </c>
    </row>
    <row r="1022" spans="1:54" x14ac:dyDescent="0.25">
      <c r="A1022" s="2">
        <v>1021</v>
      </c>
      <c r="B1022" s="2">
        <v>21258</v>
      </c>
      <c r="C1022" s="2" t="s">
        <v>619</v>
      </c>
      <c r="D1022" s="2" t="s">
        <v>620</v>
      </c>
      <c r="E1022" s="2" t="s">
        <v>6838</v>
      </c>
      <c r="F1022" s="2">
        <v>19253491</v>
      </c>
      <c r="G1022" s="3">
        <v>39.391780821917806</v>
      </c>
      <c r="H1022" s="2" t="s">
        <v>622</v>
      </c>
      <c r="I1022" s="2" t="s">
        <v>6839</v>
      </c>
      <c r="J1022" s="2" t="str">
        <f>+IF(BD[[#This Row],[DEPARTAMENTO_INSS]]="MANAGUA","_01_","_02_")</f>
        <v>_02_</v>
      </c>
      <c r="K1022" s="2" t="str">
        <f>+CONCATENATE(BD[[#This Row],[Columna3]],BD[[#This Row],[Columna4]],BD[[#This Row],[NOMBRE COMPLETO]])</f>
        <v>E003_02_MARGINE DEL CARMEN ROSTRAN GADEA</v>
      </c>
      <c r="L1022" s="2" t="s">
        <v>6840</v>
      </c>
      <c r="M1022" s="2" t="s">
        <v>961</v>
      </c>
      <c r="N1022" s="2" t="s">
        <v>410</v>
      </c>
      <c r="O1022" s="2" t="s">
        <v>493</v>
      </c>
      <c r="P1022" s="2" t="s">
        <v>626</v>
      </c>
      <c r="Q1022" s="2" t="s">
        <v>351</v>
      </c>
      <c r="R1022" s="2">
        <v>30418</v>
      </c>
      <c r="S1022" s="2">
        <v>30418</v>
      </c>
      <c r="T1022" s="2" t="s">
        <v>659</v>
      </c>
      <c r="U1022" s="2" t="s">
        <v>659</v>
      </c>
      <c r="V1022" s="2" t="s">
        <v>659</v>
      </c>
      <c r="W1022" s="2" t="s">
        <v>659</v>
      </c>
      <c r="X1022" s="2" t="s">
        <v>6841</v>
      </c>
      <c r="Y1022" s="2" t="s">
        <v>6842</v>
      </c>
      <c r="Z1022" s="2">
        <v>88443345</v>
      </c>
      <c r="AA1022" s="2" t="s">
        <v>6843</v>
      </c>
      <c r="AB1022" s="2" t="s">
        <v>773</v>
      </c>
      <c r="AC1022" s="2" t="s">
        <v>632</v>
      </c>
      <c r="AD1022" s="2">
        <v>88443345</v>
      </c>
      <c r="AJ1022" s="2">
        <v>88443345</v>
      </c>
      <c r="AK1022" s="2">
        <v>3</v>
      </c>
      <c r="AL1022" s="2" t="s">
        <v>633</v>
      </c>
      <c r="AM1022" s="2">
        <v>0</v>
      </c>
      <c r="AN1022" s="2">
        <v>0</v>
      </c>
      <c r="AO1022" s="2">
        <v>1</v>
      </c>
      <c r="AP1022" s="2">
        <v>0</v>
      </c>
      <c r="AQ1022" s="2">
        <v>0</v>
      </c>
      <c r="AR1022" s="2">
        <v>0</v>
      </c>
      <c r="AS1022" s="2">
        <v>0</v>
      </c>
      <c r="AT1022" s="2">
        <v>0</v>
      </c>
      <c r="AZ1022" s="2" t="s">
        <v>6844</v>
      </c>
      <c r="BB1022" s="2" t="str">
        <f>+PROPER(BD[[#This Row],[PRIMER_APELLIDO]])</f>
        <v>Rostran</v>
      </c>
    </row>
    <row r="1023" spans="1:54" x14ac:dyDescent="0.25">
      <c r="A1023" s="2">
        <v>1022</v>
      </c>
      <c r="B1023" s="2">
        <v>25837</v>
      </c>
      <c r="C1023" s="2" t="s">
        <v>619</v>
      </c>
      <c r="D1023" s="2" t="s">
        <v>620</v>
      </c>
      <c r="E1023" s="2" t="s">
        <v>6845</v>
      </c>
      <c r="F1023" s="2">
        <v>12464957</v>
      </c>
      <c r="G1023" s="3">
        <v>39.391780821917806</v>
      </c>
      <c r="H1023" s="2" t="s">
        <v>622</v>
      </c>
      <c r="I1023" s="2" t="s">
        <v>6846</v>
      </c>
      <c r="J1023" s="2" t="str">
        <f>+IF(BD[[#This Row],[DEPARTAMENTO_INSS]]="MANAGUA","_01_","_02_")</f>
        <v>_01_</v>
      </c>
      <c r="K1023" s="2" t="str">
        <f>+CONCATENATE(BD[[#This Row],[Columna3]],BD[[#This Row],[Columna4]],BD[[#This Row],[NOMBRE COMPLETO]])</f>
        <v>E003_01_ELIEZER ELI CASTILLO MEDINA</v>
      </c>
      <c r="L1023" s="2" t="s">
        <v>1052</v>
      </c>
      <c r="M1023" s="2" t="s">
        <v>1205</v>
      </c>
      <c r="N1023" s="2" t="s">
        <v>100</v>
      </c>
      <c r="O1023" s="2" t="s">
        <v>104</v>
      </c>
      <c r="P1023" s="2" t="s">
        <v>649</v>
      </c>
      <c r="Q1023" s="2" t="s">
        <v>351</v>
      </c>
      <c r="R1023" s="2">
        <v>30418</v>
      </c>
      <c r="S1023" s="2">
        <v>30418</v>
      </c>
      <c r="T1023" s="2" t="s">
        <v>1191</v>
      </c>
      <c r="U1023" s="2" t="s">
        <v>627</v>
      </c>
      <c r="V1023" s="2" t="s">
        <v>1300</v>
      </c>
      <c r="W1023" s="2" t="s">
        <v>627</v>
      </c>
      <c r="X1023" s="2" t="s">
        <v>6847</v>
      </c>
      <c r="Y1023" s="2" t="s">
        <v>6848</v>
      </c>
      <c r="Z1023" s="2">
        <v>88205052</v>
      </c>
      <c r="AA1023" s="2">
        <v>88205052</v>
      </c>
      <c r="AB1023" s="2" t="s">
        <v>654</v>
      </c>
      <c r="AC1023" s="2" t="s">
        <v>632</v>
      </c>
      <c r="AD1023" s="2">
        <v>88205052</v>
      </c>
      <c r="AJ1023" s="2">
        <v>88205052</v>
      </c>
      <c r="AK1023" s="2">
        <v>2</v>
      </c>
      <c r="AL1023" s="2" t="s">
        <v>633</v>
      </c>
      <c r="AM1023" s="2">
        <v>0</v>
      </c>
      <c r="AN1023" s="2">
        <v>0</v>
      </c>
      <c r="AO1023" s="2">
        <v>1</v>
      </c>
      <c r="AP1023" s="2">
        <v>0</v>
      </c>
      <c r="AQ1023" s="2">
        <v>0</v>
      </c>
      <c r="AR1023" s="2">
        <v>0</v>
      </c>
      <c r="AS1023" s="2">
        <v>0</v>
      </c>
      <c r="AT1023" s="2">
        <v>0</v>
      </c>
      <c r="AZ1023" s="2" t="s">
        <v>6849</v>
      </c>
      <c r="BB1023" s="2" t="str">
        <f>+PROPER(BD[[#This Row],[PRIMER_APELLIDO]])</f>
        <v>Castillo</v>
      </c>
    </row>
    <row r="1024" spans="1:54" x14ac:dyDescent="0.25">
      <c r="A1024" s="2">
        <v>1023</v>
      </c>
      <c r="B1024" s="2">
        <v>32844</v>
      </c>
      <c r="C1024" s="2" t="s">
        <v>619</v>
      </c>
      <c r="D1024" s="2" t="s">
        <v>620</v>
      </c>
      <c r="E1024" s="2" t="s">
        <v>6850</v>
      </c>
      <c r="F1024" s="2">
        <v>21669707</v>
      </c>
      <c r="G1024" s="3">
        <v>39.405479452054792</v>
      </c>
      <c r="H1024" s="2" t="s">
        <v>622</v>
      </c>
      <c r="I1024" s="2" t="s">
        <v>6851</v>
      </c>
      <c r="J1024" s="2" t="str">
        <f>+IF(BD[[#This Row],[DEPARTAMENTO_INSS]]="MANAGUA","_01_","_02_")</f>
        <v>_02_</v>
      </c>
      <c r="K1024" s="2" t="str">
        <f>+CONCATENATE(BD[[#This Row],[Columna3]],BD[[#This Row],[Columna4]],BD[[#This Row],[NOMBRE COMPLETO]])</f>
        <v>E003_02_EDWIN DIONICIO PICADO PINEDA</v>
      </c>
      <c r="L1024" s="2" t="s">
        <v>996</v>
      </c>
      <c r="M1024" s="2" t="s">
        <v>1505</v>
      </c>
      <c r="N1024" s="2" t="s">
        <v>129</v>
      </c>
      <c r="O1024" s="2" t="s">
        <v>187</v>
      </c>
      <c r="P1024" s="2" t="s">
        <v>649</v>
      </c>
      <c r="Q1024" s="2" t="s">
        <v>351</v>
      </c>
      <c r="R1024" s="2">
        <v>30413</v>
      </c>
      <c r="S1024" s="2">
        <v>30413</v>
      </c>
      <c r="T1024" s="2" t="s">
        <v>705</v>
      </c>
      <c r="U1024" s="2" t="s">
        <v>705</v>
      </c>
      <c r="V1024" s="2" t="s">
        <v>725</v>
      </c>
      <c r="W1024" s="2" t="s">
        <v>725</v>
      </c>
      <c r="X1024" s="2" t="s">
        <v>6852</v>
      </c>
      <c r="Y1024" s="2" t="s">
        <v>6853</v>
      </c>
      <c r="Z1024" s="2">
        <v>23440328</v>
      </c>
      <c r="AA1024" s="2" t="s">
        <v>6854</v>
      </c>
      <c r="AB1024" s="2" t="s">
        <v>654</v>
      </c>
      <c r="AC1024" s="2" t="s">
        <v>632</v>
      </c>
      <c r="AE1024" s="2">
        <v>87599380</v>
      </c>
      <c r="AJ1024" s="2">
        <v>87599380</v>
      </c>
      <c r="AK1024" s="2">
        <v>3</v>
      </c>
      <c r="AL1024" s="2" t="s">
        <v>633</v>
      </c>
      <c r="AM1024" s="2">
        <v>0</v>
      </c>
      <c r="AN1024" s="2">
        <v>0</v>
      </c>
      <c r="AO1024" s="2">
        <v>1</v>
      </c>
      <c r="AP1024" s="2">
        <v>0</v>
      </c>
      <c r="AQ1024" s="2">
        <v>0</v>
      </c>
      <c r="AR1024" s="2">
        <v>0</v>
      </c>
      <c r="AS1024" s="2">
        <v>0</v>
      </c>
      <c r="AT1024" s="2">
        <v>0</v>
      </c>
      <c r="AZ1024" s="2" t="s">
        <v>6855</v>
      </c>
      <c r="BB1024" s="2" t="str">
        <f>+PROPER(BD[[#This Row],[PRIMER_APELLIDO]])</f>
        <v>Picado</v>
      </c>
    </row>
    <row r="1025" spans="1:54" x14ac:dyDescent="0.25">
      <c r="A1025" s="2">
        <v>1024</v>
      </c>
      <c r="B1025" s="2">
        <v>25487</v>
      </c>
      <c r="C1025" s="2" t="s">
        <v>619</v>
      </c>
      <c r="D1025" s="2" t="s">
        <v>620</v>
      </c>
      <c r="E1025" s="2" t="s">
        <v>6856</v>
      </c>
      <c r="F1025" s="2">
        <v>21268418</v>
      </c>
      <c r="G1025" s="3">
        <v>39.408219178082192</v>
      </c>
      <c r="H1025" s="2" t="s">
        <v>622</v>
      </c>
      <c r="I1025" s="2" t="s">
        <v>6857</v>
      </c>
      <c r="J1025" s="2" t="str">
        <f>+IF(BD[[#This Row],[DEPARTAMENTO_INSS]]="MANAGUA","_01_","_02_")</f>
        <v>_02_</v>
      </c>
      <c r="K1025" s="2" t="str">
        <f>+CONCATENATE(BD[[#This Row],[Columna3]],BD[[#This Row],[Columna4]],BD[[#This Row],[NOMBRE COMPLETO]])</f>
        <v>E003_02_PRISCILA MINERVA DE TRINIDAD ESPINOZA</v>
      </c>
      <c r="L1025" s="2" t="s">
        <v>6858</v>
      </c>
      <c r="M1025" s="2" t="s">
        <v>6859</v>
      </c>
      <c r="N1025" s="2" t="s">
        <v>83</v>
      </c>
      <c r="O1025" s="2" t="s">
        <v>235</v>
      </c>
      <c r="P1025" s="2" t="s">
        <v>626</v>
      </c>
      <c r="Q1025" s="2" t="s">
        <v>351</v>
      </c>
      <c r="R1025" s="2">
        <v>30412</v>
      </c>
      <c r="S1025" s="2">
        <v>30412</v>
      </c>
      <c r="U1025" s="2" t="s">
        <v>186</v>
      </c>
      <c r="W1025" s="2" t="s">
        <v>2235</v>
      </c>
      <c r="X1025" s="2" t="s">
        <v>6860</v>
      </c>
      <c r="Y1025" s="2" t="s">
        <v>6861</v>
      </c>
      <c r="AA1025" s="2" t="s">
        <v>6862</v>
      </c>
      <c r="AB1025" s="2" t="s">
        <v>642</v>
      </c>
      <c r="AC1025" s="2" t="s">
        <v>632</v>
      </c>
      <c r="AE1025" s="2">
        <v>87871477</v>
      </c>
      <c r="AJ1025" s="2">
        <v>87871477</v>
      </c>
      <c r="AK1025" s="2">
        <v>2</v>
      </c>
      <c r="AL1025" s="2" t="s">
        <v>633</v>
      </c>
      <c r="AM1025" s="2">
        <v>0</v>
      </c>
      <c r="AN1025" s="2">
        <v>0</v>
      </c>
      <c r="AO1025" s="2">
        <v>1</v>
      </c>
      <c r="AP1025" s="2">
        <v>0</v>
      </c>
      <c r="AQ1025" s="2">
        <v>0</v>
      </c>
      <c r="AR1025" s="2">
        <v>0</v>
      </c>
      <c r="AS1025" s="2">
        <v>0</v>
      </c>
      <c r="AT1025" s="2">
        <v>0</v>
      </c>
      <c r="BA1025" s="2" t="s">
        <v>6863</v>
      </c>
      <c r="BB1025" s="2" t="str">
        <f>+PROPER(BD[[#This Row],[PRIMER_APELLIDO]])</f>
        <v>De Trinidad</v>
      </c>
    </row>
    <row r="1026" spans="1:54" x14ac:dyDescent="0.25">
      <c r="A1026" s="2">
        <v>1025</v>
      </c>
      <c r="B1026" s="2">
        <v>25030</v>
      </c>
      <c r="C1026" s="2" t="s">
        <v>619</v>
      </c>
      <c r="D1026" s="2" t="s">
        <v>620</v>
      </c>
      <c r="E1026" s="2" t="s">
        <v>6864</v>
      </c>
      <c r="G1026" s="3">
        <v>39.410958904109592</v>
      </c>
      <c r="H1026" s="2" t="s">
        <v>622</v>
      </c>
      <c r="I1026" s="2" t="s">
        <v>6865</v>
      </c>
      <c r="J1026" s="2" t="str">
        <f>+IF(BD[[#This Row],[DEPARTAMENTO_INSS]]="MANAGUA","_01_","_02_")</f>
        <v>_01_</v>
      </c>
      <c r="K1026" s="2" t="str">
        <f>+CONCATENATE(BD[[#This Row],[Columna3]],BD[[#This Row],[Columna4]],BD[[#This Row],[NOMBRE COMPLETO]])</f>
        <v>E003_01_MARCIAL ANTONIO TELLEZ GARCIA</v>
      </c>
      <c r="L1026" s="2" t="s">
        <v>6866</v>
      </c>
      <c r="M1026" s="2" t="s">
        <v>904</v>
      </c>
      <c r="N1026" s="2" t="s">
        <v>274</v>
      </c>
      <c r="O1026" s="2" t="s">
        <v>10</v>
      </c>
      <c r="P1026" s="2" t="s">
        <v>649</v>
      </c>
      <c r="Q1026" s="2" t="s">
        <v>351</v>
      </c>
      <c r="R1026" s="2">
        <v>30411</v>
      </c>
      <c r="S1026" s="2">
        <v>30411</v>
      </c>
      <c r="T1026" s="2" t="s">
        <v>627</v>
      </c>
      <c r="U1026" s="2" t="s">
        <v>627</v>
      </c>
      <c r="V1026" s="2" t="s">
        <v>627</v>
      </c>
      <c r="W1026" s="2" t="s">
        <v>627</v>
      </c>
      <c r="X1026" s="2" t="s">
        <v>6867</v>
      </c>
      <c r="Y1026" s="2" t="s">
        <v>6868</v>
      </c>
      <c r="Z1026" s="2">
        <v>84239335</v>
      </c>
      <c r="AA1026" s="2">
        <v>84239335</v>
      </c>
      <c r="AB1026" s="2" t="s">
        <v>654</v>
      </c>
      <c r="AC1026" s="2" t="s">
        <v>632</v>
      </c>
      <c r="AD1026" s="2">
        <v>84239335</v>
      </c>
      <c r="AJ1026" s="2">
        <v>84239335</v>
      </c>
      <c r="AK1026" s="2">
        <v>2</v>
      </c>
      <c r="AL1026" s="2" t="s">
        <v>633</v>
      </c>
      <c r="AM1026" s="2">
        <v>0</v>
      </c>
      <c r="AN1026" s="2">
        <v>0</v>
      </c>
      <c r="AO1026" s="2">
        <v>1</v>
      </c>
      <c r="AP1026" s="2">
        <v>0</v>
      </c>
      <c r="AQ1026" s="2">
        <v>0</v>
      </c>
      <c r="AR1026" s="2">
        <v>0</v>
      </c>
      <c r="AS1026" s="2">
        <v>0</v>
      </c>
      <c r="AT1026" s="2">
        <v>0</v>
      </c>
      <c r="AZ1026" s="2" t="s">
        <v>6869</v>
      </c>
      <c r="BB1026" s="2" t="str">
        <f>+PROPER(BD[[#This Row],[PRIMER_APELLIDO]])</f>
        <v>Tellez</v>
      </c>
    </row>
    <row r="1027" spans="1:54" x14ac:dyDescent="0.25">
      <c r="A1027" s="2">
        <v>1026</v>
      </c>
      <c r="B1027" s="2">
        <v>26384</v>
      </c>
      <c r="C1027" s="2" t="s">
        <v>619</v>
      </c>
      <c r="D1027" s="2" t="s">
        <v>620</v>
      </c>
      <c r="E1027" s="2" t="s">
        <v>6870</v>
      </c>
      <c r="F1027" s="2">
        <v>20882633</v>
      </c>
      <c r="G1027" s="3">
        <v>39.416438356164385</v>
      </c>
      <c r="H1027" s="2" t="s">
        <v>622</v>
      </c>
      <c r="I1027" s="2" t="s">
        <v>6871</v>
      </c>
      <c r="J1027" s="2" t="str">
        <f>+IF(BD[[#This Row],[DEPARTAMENTO_INSS]]="MANAGUA","_01_","_02_")</f>
        <v>_02_</v>
      </c>
      <c r="K1027" s="2" t="str">
        <f>+CONCATENATE(BD[[#This Row],[Columna3]],BD[[#This Row],[Columna4]],BD[[#This Row],[NOMBRE COMPLETO]])</f>
        <v>E003_02_DORIS RAQUEL LANZAS CASTRO</v>
      </c>
      <c r="L1027" s="2" t="s">
        <v>6072</v>
      </c>
      <c r="M1027" s="2" t="s">
        <v>2545</v>
      </c>
      <c r="N1027" s="2" t="s">
        <v>170</v>
      </c>
      <c r="O1027" s="2" t="s">
        <v>163</v>
      </c>
      <c r="P1027" s="2" t="s">
        <v>626</v>
      </c>
      <c r="Q1027" s="2" t="s">
        <v>351</v>
      </c>
      <c r="R1027" s="2">
        <v>30409</v>
      </c>
      <c r="S1027" s="2">
        <v>30409</v>
      </c>
      <c r="T1027" s="2" t="s">
        <v>659</v>
      </c>
      <c r="U1027" s="2" t="s">
        <v>659</v>
      </c>
      <c r="V1027" s="2" t="s">
        <v>659</v>
      </c>
      <c r="W1027" s="2" t="s">
        <v>659</v>
      </c>
      <c r="X1027" s="2" t="s">
        <v>6872</v>
      </c>
      <c r="Y1027" s="2" t="s">
        <v>6873</v>
      </c>
      <c r="Z1027" s="2">
        <v>57173955</v>
      </c>
      <c r="AA1027" s="2">
        <v>57173955</v>
      </c>
      <c r="AB1027" s="2" t="s">
        <v>642</v>
      </c>
      <c r="AC1027" s="2" t="s">
        <v>632</v>
      </c>
      <c r="AD1027" s="2">
        <v>57173955</v>
      </c>
      <c r="AJ1027" s="2">
        <v>57173955</v>
      </c>
      <c r="AK1027" s="2">
        <v>2</v>
      </c>
      <c r="AL1027" s="2" t="s">
        <v>633</v>
      </c>
      <c r="AM1027" s="2">
        <v>0</v>
      </c>
      <c r="AN1027" s="2">
        <v>0</v>
      </c>
      <c r="AO1027" s="2">
        <v>1</v>
      </c>
      <c r="AP1027" s="2">
        <v>0</v>
      </c>
      <c r="AQ1027" s="2">
        <v>0</v>
      </c>
      <c r="AR1027" s="2">
        <v>0</v>
      </c>
      <c r="AS1027" s="2">
        <v>0</v>
      </c>
      <c r="AT1027" s="2">
        <v>0</v>
      </c>
      <c r="BB1027" s="2" t="str">
        <f>+PROPER(BD[[#This Row],[PRIMER_APELLIDO]])</f>
        <v>Lanzas</v>
      </c>
    </row>
    <row r="1028" spans="1:54" x14ac:dyDescent="0.25">
      <c r="A1028" s="2">
        <v>1027</v>
      </c>
      <c r="B1028" s="2">
        <v>35584</v>
      </c>
      <c r="C1028" s="2" t="s">
        <v>619</v>
      </c>
      <c r="D1028" s="2" t="s">
        <v>620</v>
      </c>
      <c r="E1028" s="2" t="s">
        <v>6874</v>
      </c>
      <c r="F1028" s="2">
        <v>21670860</v>
      </c>
      <c r="G1028" s="3">
        <v>39.421917808219177</v>
      </c>
      <c r="H1028" s="2" t="s">
        <v>622</v>
      </c>
      <c r="I1028" s="2" t="s">
        <v>6875</v>
      </c>
      <c r="J1028" s="2" t="str">
        <f>+IF(BD[[#This Row],[DEPARTAMENTO_INSS]]="MANAGUA","_01_","_02_")</f>
        <v>_01_</v>
      </c>
      <c r="K1028" s="2" t="str">
        <f>+CONCATENATE(BD[[#This Row],[Columna3]],BD[[#This Row],[Columna4]],BD[[#This Row],[NOMBRE COMPLETO]])</f>
        <v>E003_01_MIRIAM ESTHELA SOZA CASTRO</v>
      </c>
      <c r="L1028" s="2" t="s">
        <v>3210</v>
      </c>
      <c r="M1028" s="2" t="s">
        <v>6876</v>
      </c>
      <c r="N1028" s="2" t="s">
        <v>211</v>
      </c>
      <c r="O1028" s="2" t="s">
        <v>163</v>
      </c>
      <c r="P1028" s="2" t="s">
        <v>626</v>
      </c>
      <c r="Q1028" s="2" t="s">
        <v>351</v>
      </c>
      <c r="R1028" s="2">
        <v>30407</v>
      </c>
      <c r="S1028" s="2">
        <v>30407</v>
      </c>
      <c r="T1028" s="2" t="s">
        <v>627</v>
      </c>
      <c r="U1028" s="2" t="s">
        <v>627</v>
      </c>
      <c r="V1028" s="2" t="s">
        <v>627</v>
      </c>
      <c r="W1028" s="2" t="s">
        <v>627</v>
      </c>
      <c r="X1028" s="2" t="s">
        <v>6877</v>
      </c>
      <c r="Y1028" s="2" t="s">
        <v>6878</v>
      </c>
      <c r="Z1028" s="2">
        <v>78006690</v>
      </c>
      <c r="AA1028" s="2" t="s">
        <v>6879</v>
      </c>
      <c r="AB1028" s="2" t="s">
        <v>642</v>
      </c>
      <c r="AC1028" s="2" t="s">
        <v>632</v>
      </c>
      <c r="AD1028" s="2">
        <v>78006690</v>
      </c>
      <c r="AE1028" s="2">
        <v>86054221</v>
      </c>
      <c r="AJ1028" s="2">
        <v>78006690</v>
      </c>
      <c r="AK1028" s="2">
        <v>3</v>
      </c>
      <c r="AL1028" s="2" t="s">
        <v>633</v>
      </c>
      <c r="AM1028" s="2">
        <v>0</v>
      </c>
      <c r="AN1028" s="2">
        <v>0</v>
      </c>
      <c r="AO1028" s="2">
        <v>1</v>
      </c>
      <c r="AP1028" s="2">
        <v>0</v>
      </c>
      <c r="AQ1028" s="2">
        <v>0</v>
      </c>
      <c r="AR1028" s="2">
        <v>0</v>
      </c>
      <c r="AS1028" s="2">
        <v>0</v>
      </c>
      <c r="AT1028" s="2">
        <v>0</v>
      </c>
      <c r="AZ1028" s="2" t="s">
        <v>6880</v>
      </c>
      <c r="BB1028" s="2" t="str">
        <f>+PROPER(BD[[#This Row],[PRIMER_APELLIDO]])</f>
        <v>Soza</v>
      </c>
    </row>
    <row r="1029" spans="1:54" x14ac:dyDescent="0.25">
      <c r="A1029" s="2">
        <v>1028</v>
      </c>
      <c r="B1029" s="2">
        <v>25015</v>
      </c>
      <c r="C1029" s="2" t="s">
        <v>619</v>
      </c>
      <c r="D1029" s="2" t="s">
        <v>620</v>
      </c>
      <c r="E1029" s="2" t="s">
        <v>6881</v>
      </c>
      <c r="F1029" s="2">
        <v>20904472</v>
      </c>
      <c r="G1029" s="3">
        <v>39.42739726027397</v>
      </c>
      <c r="H1029" s="2" t="s">
        <v>622</v>
      </c>
      <c r="I1029" s="2" t="s">
        <v>6882</v>
      </c>
      <c r="J1029" s="2" t="str">
        <f>+IF(BD[[#This Row],[DEPARTAMENTO_INSS]]="MANAGUA","_01_","_02_")</f>
        <v>_02_</v>
      </c>
      <c r="K1029" s="2" t="str">
        <f>+CONCATENATE(BD[[#This Row],[Columna3]],BD[[#This Row],[Columna4]],BD[[#This Row],[NOMBRE COMPLETO]])</f>
        <v>E003_02_LISBETH YOSSELYN GARCIA ARGUELLO</v>
      </c>
      <c r="L1029" s="2" t="s">
        <v>1359</v>
      </c>
      <c r="M1029" s="2" t="s">
        <v>6883</v>
      </c>
      <c r="N1029" s="2" t="s">
        <v>10</v>
      </c>
      <c r="O1029" s="2" t="s">
        <v>271</v>
      </c>
      <c r="P1029" s="2" t="s">
        <v>626</v>
      </c>
      <c r="Q1029" s="2" t="s">
        <v>351</v>
      </c>
      <c r="R1029" s="2">
        <v>30405</v>
      </c>
      <c r="S1029" s="2">
        <v>30405</v>
      </c>
      <c r="U1029" s="2" t="s">
        <v>929</v>
      </c>
      <c r="W1029" s="2" t="s">
        <v>1653</v>
      </c>
      <c r="X1029" s="2" t="s">
        <v>6884</v>
      </c>
      <c r="Y1029" s="2" t="s">
        <v>6885</v>
      </c>
      <c r="AA1029" s="2">
        <v>25120475</v>
      </c>
      <c r="AB1029" s="2" t="s">
        <v>642</v>
      </c>
      <c r="AC1029" s="2" t="s">
        <v>632</v>
      </c>
      <c r="AK1029" s="2">
        <v>1</v>
      </c>
      <c r="AL1029" s="2" t="s">
        <v>633</v>
      </c>
      <c r="AM1029" s="2">
        <v>0</v>
      </c>
      <c r="AN1029" s="2">
        <v>0</v>
      </c>
      <c r="AO1029" s="2">
        <v>1</v>
      </c>
      <c r="AP1029" s="2">
        <v>0</v>
      </c>
      <c r="AQ1029" s="2">
        <v>0</v>
      </c>
      <c r="AR1029" s="2">
        <v>0</v>
      </c>
      <c r="AS1029" s="2">
        <v>0</v>
      </c>
      <c r="AT1029" s="2">
        <v>0</v>
      </c>
      <c r="BB1029" s="2" t="str">
        <f>+PROPER(BD[[#This Row],[PRIMER_APELLIDO]])</f>
        <v>Garcia</v>
      </c>
    </row>
    <row r="1030" spans="1:54" x14ac:dyDescent="0.25">
      <c r="A1030" s="2">
        <v>1029</v>
      </c>
      <c r="B1030" s="2">
        <v>39012</v>
      </c>
      <c r="C1030" s="2" t="s">
        <v>619</v>
      </c>
      <c r="D1030" s="2" t="s">
        <v>620</v>
      </c>
      <c r="E1030" s="2" t="s">
        <v>6886</v>
      </c>
      <c r="F1030" s="2">
        <v>23112252</v>
      </c>
      <c r="G1030" s="3">
        <v>39.441095890410956</v>
      </c>
      <c r="H1030" s="2" t="s">
        <v>622</v>
      </c>
      <c r="I1030" s="2" t="s">
        <v>6887</v>
      </c>
      <c r="J1030" s="2" t="str">
        <f>+IF(BD[[#This Row],[DEPARTAMENTO_INSS]]="MANAGUA","_01_","_02_")</f>
        <v>_01_</v>
      </c>
      <c r="K1030" s="2" t="str">
        <f>+CONCATENATE(BD[[#This Row],[Columna3]],BD[[#This Row],[Columna4]],BD[[#This Row],[NOMBRE COMPLETO]])</f>
        <v>E003_01_EYMIS JULIETTE RIVAS LOPEZ</v>
      </c>
      <c r="L1030" s="2" t="s">
        <v>6888</v>
      </c>
      <c r="M1030" s="2" t="s">
        <v>6889</v>
      </c>
      <c r="N1030" s="2" t="s">
        <v>186</v>
      </c>
      <c r="O1030" s="2" t="s">
        <v>15</v>
      </c>
      <c r="P1030" s="2" t="s">
        <v>626</v>
      </c>
      <c r="Q1030" s="2" t="s">
        <v>351</v>
      </c>
      <c r="R1030" s="2">
        <v>30400</v>
      </c>
      <c r="S1030" s="2">
        <v>30400</v>
      </c>
      <c r="T1030" s="2" t="s">
        <v>627</v>
      </c>
      <c r="U1030" s="2" t="s">
        <v>627</v>
      </c>
      <c r="V1030" s="2" t="s">
        <v>627</v>
      </c>
      <c r="W1030" s="2" t="s">
        <v>627</v>
      </c>
      <c r="X1030" s="2" t="s">
        <v>6890</v>
      </c>
      <c r="Y1030" s="2" t="s">
        <v>6891</v>
      </c>
      <c r="Z1030" s="2">
        <v>89530921</v>
      </c>
      <c r="AA1030" s="2" t="s">
        <v>6892</v>
      </c>
      <c r="AB1030" s="2" t="s">
        <v>642</v>
      </c>
      <c r="AC1030" s="2" t="s">
        <v>632</v>
      </c>
      <c r="AD1030" s="2">
        <v>89530921</v>
      </c>
      <c r="AJ1030" s="2">
        <v>89530921</v>
      </c>
      <c r="AK1030" s="2">
        <v>3</v>
      </c>
      <c r="AL1030" s="2" t="s">
        <v>633</v>
      </c>
      <c r="AM1030" s="2">
        <v>0</v>
      </c>
      <c r="AN1030" s="2">
        <v>0</v>
      </c>
      <c r="AO1030" s="2">
        <v>1</v>
      </c>
      <c r="AP1030" s="2">
        <v>0</v>
      </c>
      <c r="AQ1030" s="2">
        <v>0</v>
      </c>
      <c r="AR1030" s="2">
        <v>0</v>
      </c>
      <c r="AS1030" s="2">
        <v>0</v>
      </c>
      <c r="AT1030" s="2">
        <v>0</v>
      </c>
      <c r="AZ1030" s="2" t="s">
        <v>6893</v>
      </c>
      <c r="BB1030" s="2" t="str">
        <f>+PROPER(BD[[#This Row],[PRIMER_APELLIDO]])</f>
        <v>Rivas</v>
      </c>
    </row>
    <row r="1031" spans="1:54" x14ac:dyDescent="0.25">
      <c r="A1031" s="2">
        <v>1030</v>
      </c>
      <c r="B1031" s="2">
        <v>29888</v>
      </c>
      <c r="C1031" s="2" t="s">
        <v>619</v>
      </c>
      <c r="D1031" s="2" t="s">
        <v>620</v>
      </c>
      <c r="E1031" s="2" t="s">
        <v>6894</v>
      </c>
      <c r="F1031" s="2">
        <v>21669167</v>
      </c>
      <c r="G1031" s="3">
        <v>39.443835616438356</v>
      </c>
      <c r="H1031" s="2" t="s">
        <v>622</v>
      </c>
      <c r="I1031" s="2" t="s">
        <v>6895</v>
      </c>
      <c r="J1031" s="2" t="str">
        <f>+IF(BD[[#This Row],[DEPARTAMENTO_INSS]]="MANAGUA","_01_","_02_")</f>
        <v>_01_</v>
      </c>
      <c r="K1031" s="2" t="str">
        <f>+CONCATENATE(BD[[#This Row],[Columna3]],BD[[#This Row],[Columna4]],BD[[#This Row],[NOMBRE COMPLETO]])</f>
        <v>E003_01_HEYRA YOLIBET CRUZ LOPEZ</v>
      </c>
      <c r="L1031" s="2" t="s">
        <v>6896</v>
      </c>
      <c r="M1031" s="2" t="s">
        <v>6897</v>
      </c>
      <c r="N1031" s="2" t="s">
        <v>32</v>
      </c>
      <c r="O1031" s="2" t="s">
        <v>15</v>
      </c>
      <c r="P1031" s="2" t="s">
        <v>626</v>
      </c>
      <c r="Q1031" s="2" t="s">
        <v>351</v>
      </c>
      <c r="R1031" s="2">
        <v>30399</v>
      </c>
      <c r="S1031" s="2">
        <v>30399</v>
      </c>
      <c r="T1031" s="2" t="s">
        <v>1104</v>
      </c>
      <c r="U1031" s="2" t="s">
        <v>627</v>
      </c>
      <c r="V1031" s="2" t="s">
        <v>3078</v>
      </c>
      <c r="W1031" s="2" t="s">
        <v>1406</v>
      </c>
      <c r="X1031" s="2" t="s">
        <v>6898</v>
      </c>
      <c r="Y1031" s="2" t="s">
        <v>6899</v>
      </c>
      <c r="AA1031" s="2">
        <v>89883102</v>
      </c>
      <c r="AB1031" s="2" t="s">
        <v>654</v>
      </c>
      <c r="AC1031" s="2" t="s">
        <v>632</v>
      </c>
      <c r="AD1031" s="2">
        <v>89883102</v>
      </c>
      <c r="AJ1031" s="2">
        <v>89883102</v>
      </c>
      <c r="AK1031" s="2">
        <v>1</v>
      </c>
      <c r="AL1031" s="2" t="s">
        <v>633</v>
      </c>
      <c r="AM1031" s="2">
        <v>0</v>
      </c>
      <c r="AN1031" s="2">
        <v>0</v>
      </c>
      <c r="AO1031" s="2">
        <v>1</v>
      </c>
      <c r="AP1031" s="2">
        <v>0</v>
      </c>
      <c r="AQ1031" s="2">
        <v>0</v>
      </c>
      <c r="AR1031" s="2">
        <v>0</v>
      </c>
      <c r="AS1031" s="2">
        <v>0</v>
      </c>
      <c r="AT1031" s="2">
        <v>0</v>
      </c>
      <c r="BB1031" s="2" t="str">
        <f>+PROPER(BD[[#This Row],[PRIMER_APELLIDO]])</f>
        <v>Cruz</v>
      </c>
    </row>
    <row r="1032" spans="1:54" x14ac:dyDescent="0.25">
      <c r="A1032" s="2">
        <v>1031</v>
      </c>
      <c r="B1032" s="2">
        <v>32257</v>
      </c>
      <c r="C1032" s="2" t="s">
        <v>619</v>
      </c>
      <c r="D1032" s="2" t="s">
        <v>620</v>
      </c>
      <c r="E1032" s="2" t="s">
        <v>6900</v>
      </c>
      <c r="F1032" s="2">
        <v>22389039</v>
      </c>
      <c r="G1032" s="3">
        <v>39.454794520547942</v>
      </c>
      <c r="H1032" s="2" t="s">
        <v>622</v>
      </c>
      <c r="I1032" s="2" t="s">
        <v>6901</v>
      </c>
      <c r="J1032" s="2" t="str">
        <f>+IF(BD[[#This Row],[DEPARTAMENTO_INSS]]="MANAGUA","_01_","_02_")</f>
        <v>_02_</v>
      </c>
      <c r="K1032" s="2" t="str">
        <f>+CONCATENATE(BD[[#This Row],[Columna3]],BD[[#This Row],[Columna4]],BD[[#This Row],[NOMBRE COMPLETO]])</f>
        <v>E003_02_MEYLING ANABETZY MEJIA BERRIOS</v>
      </c>
      <c r="L1032" s="2" t="s">
        <v>2785</v>
      </c>
      <c r="M1032" s="2" t="s">
        <v>6902</v>
      </c>
      <c r="N1032" s="2" t="s">
        <v>130</v>
      </c>
      <c r="O1032" s="2" t="s">
        <v>108</v>
      </c>
      <c r="P1032" s="2" t="s">
        <v>626</v>
      </c>
      <c r="Q1032" s="2" t="s">
        <v>351</v>
      </c>
      <c r="R1032" s="2">
        <v>30395</v>
      </c>
      <c r="S1032" s="2">
        <v>30395</v>
      </c>
      <c r="T1032" s="2" t="s">
        <v>176</v>
      </c>
      <c r="U1032" s="2" t="s">
        <v>705</v>
      </c>
      <c r="V1032" s="2" t="s">
        <v>650</v>
      </c>
      <c r="W1032" s="2" t="s">
        <v>705</v>
      </c>
      <c r="X1032" s="2" t="s">
        <v>6903</v>
      </c>
      <c r="Y1032" s="2" t="s">
        <v>6904</v>
      </c>
      <c r="AA1032" s="2" t="s">
        <v>6905</v>
      </c>
      <c r="AB1032" s="2" t="s">
        <v>654</v>
      </c>
      <c r="AC1032" s="2" t="s">
        <v>632</v>
      </c>
      <c r="AE1032" s="2">
        <v>88824621</v>
      </c>
      <c r="AJ1032" s="2">
        <v>88824621</v>
      </c>
      <c r="AK1032" s="2">
        <v>2</v>
      </c>
      <c r="AL1032" s="2" t="s">
        <v>633</v>
      </c>
      <c r="AM1032" s="2">
        <v>0</v>
      </c>
      <c r="AN1032" s="2">
        <v>0</v>
      </c>
      <c r="AO1032" s="2">
        <v>1</v>
      </c>
      <c r="AP1032" s="2">
        <v>0</v>
      </c>
      <c r="AQ1032" s="2">
        <v>0</v>
      </c>
      <c r="AR1032" s="2">
        <v>0</v>
      </c>
      <c r="AS1032" s="2">
        <v>0</v>
      </c>
      <c r="AT1032" s="2">
        <v>0</v>
      </c>
      <c r="BB1032" s="2" t="str">
        <f>+PROPER(BD[[#This Row],[PRIMER_APELLIDO]])</f>
        <v>Mejia</v>
      </c>
    </row>
    <row r="1033" spans="1:54" x14ac:dyDescent="0.25">
      <c r="A1033" s="2">
        <v>1032</v>
      </c>
      <c r="B1033" s="2">
        <v>29802</v>
      </c>
      <c r="C1033" s="2" t="s">
        <v>619</v>
      </c>
      <c r="D1033" s="2" t="s">
        <v>620</v>
      </c>
      <c r="E1033" s="2" t="s">
        <v>6906</v>
      </c>
      <c r="F1033" s="2">
        <v>21702495</v>
      </c>
      <c r="G1033" s="3">
        <v>39.463013698630135</v>
      </c>
      <c r="H1033" s="2" t="s">
        <v>622</v>
      </c>
      <c r="I1033" s="2" t="s">
        <v>6907</v>
      </c>
      <c r="J1033" s="2" t="str">
        <f>+IF(BD[[#This Row],[DEPARTAMENTO_INSS]]="MANAGUA","_01_","_02_")</f>
        <v>_01_</v>
      </c>
      <c r="K1033" s="2" t="str">
        <f>+CONCATENATE(BD[[#This Row],[Columna3]],BD[[#This Row],[Columna4]],BD[[#This Row],[NOMBRE COMPLETO]])</f>
        <v>E003_01_HANETTHA WILIMET LUQUEZ MONTIEL</v>
      </c>
      <c r="L1033" s="2" t="s">
        <v>6908</v>
      </c>
      <c r="M1033" s="2" t="s">
        <v>6909</v>
      </c>
      <c r="N1033" s="2" t="s">
        <v>17</v>
      </c>
      <c r="O1033" s="2" t="s">
        <v>37</v>
      </c>
      <c r="P1033" s="2" t="s">
        <v>626</v>
      </c>
      <c r="Q1033" s="2" t="s">
        <v>351</v>
      </c>
      <c r="R1033" s="2">
        <v>30392</v>
      </c>
      <c r="S1033" s="2">
        <v>30392</v>
      </c>
      <c r="T1033" s="2" t="s">
        <v>627</v>
      </c>
      <c r="U1033" s="2" t="s">
        <v>627</v>
      </c>
      <c r="V1033" s="2" t="s">
        <v>627</v>
      </c>
      <c r="W1033" s="2" t="s">
        <v>627</v>
      </c>
      <c r="X1033" s="2" t="s">
        <v>6910</v>
      </c>
      <c r="Y1033" s="2" t="s">
        <v>6911</v>
      </c>
      <c r="AA1033" s="2" t="s">
        <v>6912</v>
      </c>
      <c r="AB1033" s="2" t="s">
        <v>642</v>
      </c>
      <c r="AC1033" s="2" t="s">
        <v>632</v>
      </c>
      <c r="AE1033" s="2">
        <v>88260573</v>
      </c>
      <c r="AH1033" s="2">
        <v>83857259</v>
      </c>
      <c r="AJ1033" s="2">
        <v>88260573</v>
      </c>
      <c r="AK1033" s="2">
        <v>3</v>
      </c>
      <c r="AL1033" s="2" t="s">
        <v>633</v>
      </c>
      <c r="AM1033" s="2">
        <v>0</v>
      </c>
      <c r="AN1033" s="2">
        <v>0</v>
      </c>
      <c r="AO1033" s="2">
        <v>1</v>
      </c>
      <c r="AP1033" s="2">
        <v>0</v>
      </c>
      <c r="AQ1033" s="2">
        <v>0</v>
      </c>
      <c r="AR1033" s="2">
        <v>0</v>
      </c>
      <c r="AS1033" s="2">
        <v>0</v>
      </c>
      <c r="AT1033" s="2">
        <v>0</v>
      </c>
      <c r="BB1033" s="2" t="str">
        <f>+PROPER(BD[[#This Row],[PRIMER_APELLIDO]])</f>
        <v>Luquez</v>
      </c>
    </row>
    <row r="1034" spans="1:54" x14ac:dyDescent="0.25">
      <c r="A1034" s="2">
        <v>1033</v>
      </c>
      <c r="B1034" s="2">
        <v>28051</v>
      </c>
      <c r="C1034" s="2" t="s">
        <v>619</v>
      </c>
      <c r="D1034" s="2" t="s">
        <v>620</v>
      </c>
      <c r="E1034" s="2" t="s">
        <v>6913</v>
      </c>
      <c r="F1034" s="2">
        <v>23356359</v>
      </c>
      <c r="G1034" s="3">
        <v>39.476712328767121</v>
      </c>
      <c r="H1034" s="2" t="s">
        <v>622</v>
      </c>
      <c r="I1034" s="2" t="s">
        <v>6914</v>
      </c>
      <c r="J1034" s="2" t="str">
        <f>+IF(BD[[#This Row],[DEPARTAMENTO_INSS]]="MANAGUA","_01_","_02_")</f>
        <v>_02_</v>
      </c>
      <c r="K1034" s="2" t="str">
        <f>+CONCATENATE(BD[[#This Row],[Columna3]],BD[[#This Row],[Columna4]],BD[[#This Row],[NOMBRE COMPLETO]])</f>
        <v>E003_02_ALICIA MERCEDES SANCHEZ GARCIA</v>
      </c>
      <c r="L1034" s="2" t="s">
        <v>6915</v>
      </c>
      <c r="M1034" s="2" t="s">
        <v>769</v>
      </c>
      <c r="N1034" s="2" t="s">
        <v>90</v>
      </c>
      <c r="O1034" s="2" t="s">
        <v>10</v>
      </c>
      <c r="P1034" s="2" t="s">
        <v>626</v>
      </c>
      <c r="Q1034" s="2" t="s">
        <v>351</v>
      </c>
      <c r="R1034" s="2">
        <v>30387</v>
      </c>
      <c r="S1034" s="2">
        <v>30387</v>
      </c>
      <c r="U1034" s="2" t="s">
        <v>176</v>
      </c>
      <c r="W1034" s="2" t="s">
        <v>997</v>
      </c>
      <c r="X1034" s="2" t="s">
        <v>6916</v>
      </c>
      <c r="Y1034" s="2" t="s">
        <v>6917</v>
      </c>
      <c r="AA1034" s="2">
        <v>58104623</v>
      </c>
      <c r="AB1034" s="2" t="s">
        <v>654</v>
      </c>
      <c r="AC1034" s="2" t="s">
        <v>632</v>
      </c>
      <c r="AD1034" s="2">
        <v>58104623</v>
      </c>
      <c r="AJ1034" s="2">
        <v>58104623</v>
      </c>
      <c r="AK1034" s="2">
        <v>1</v>
      </c>
      <c r="AL1034" s="2" t="s">
        <v>633</v>
      </c>
      <c r="AM1034" s="2">
        <v>0</v>
      </c>
      <c r="AN1034" s="2">
        <v>0</v>
      </c>
      <c r="AO1034" s="2">
        <v>1</v>
      </c>
      <c r="AP1034" s="2">
        <v>0</v>
      </c>
      <c r="AQ1034" s="2">
        <v>0</v>
      </c>
      <c r="AR1034" s="2">
        <v>0</v>
      </c>
      <c r="AS1034" s="2">
        <v>0</v>
      </c>
      <c r="AT1034" s="2">
        <v>0</v>
      </c>
      <c r="BB1034" s="2" t="str">
        <f>+PROPER(BD[[#This Row],[PRIMER_APELLIDO]])</f>
        <v>Sanchez</v>
      </c>
    </row>
    <row r="1035" spans="1:54" x14ac:dyDescent="0.25">
      <c r="A1035" s="2">
        <v>1034</v>
      </c>
      <c r="B1035" s="2">
        <v>30328</v>
      </c>
      <c r="C1035" s="2" t="s">
        <v>619</v>
      </c>
      <c r="D1035" s="2" t="s">
        <v>620</v>
      </c>
      <c r="E1035" s="2" t="s">
        <v>6918</v>
      </c>
      <c r="F1035" s="2">
        <v>21727373</v>
      </c>
      <c r="G1035" s="3">
        <v>39.476712328767121</v>
      </c>
      <c r="H1035" s="2" t="s">
        <v>622</v>
      </c>
      <c r="I1035" s="2" t="s">
        <v>6919</v>
      </c>
      <c r="J1035" s="2" t="str">
        <f>+IF(BD[[#This Row],[DEPARTAMENTO_INSS]]="MANAGUA","_01_","_02_")</f>
        <v>_01_</v>
      </c>
      <c r="K1035" s="2" t="str">
        <f>+CONCATENATE(BD[[#This Row],[Columna3]],BD[[#This Row],[Columna4]],BD[[#This Row],[NOMBRE COMPLETO]])</f>
        <v>E003_01_PAOLA FRANCISCA COREA URBINA</v>
      </c>
      <c r="L1035" s="2" t="s">
        <v>1823</v>
      </c>
      <c r="M1035" s="2" t="s">
        <v>6920</v>
      </c>
      <c r="N1035" s="2" t="s">
        <v>212</v>
      </c>
      <c r="O1035" s="2" t="s">
        <v>86</v>
      </c>
      <c r="P1035" s="2" t="s">
        <v>626</v>
      </c>
      <c r="Q1035" s="2" t="s">
        <v>351</v>
      </c>
      <c r="R1035" s="2">
        <v>30387</v>
      </c>
      <c r="S1035" s="2">
        <v>30387</v>
      </c>
      <c r="T1035" s="2" t="s">
        <v>627</v>
      </c>
      <c r="U1035" s="2" t="s">
        <v>627</v>
      </c>
      <c r="V1035" s="2" t="s">
        <v>627</v>
      </c>
      <c r="W1035" s="2" t="s">
        <v>627</v>
      </c>
      <c r="X1035" s="2" t="s">
        <v>6921</v>
      </c>
      <c r="Y1035" s="2" t="s">
        <v>6922</v>
      </c>
      <c r="Z1035" s="2">
        <v>76046915</v>
      </c>
      <c r="AA1035" s="2" t="s">
        <v>6923</v>
      </c>
      <c r="AB1035" s="2" t="s">
        <v>654</v>
      </c>
      <c r="AC1035" s="2" t="s">
        <v>632</v>
      </c>
      <c r="AD1035" s="2">
        <v>76046915</v>
      </c>
      <c r="AE1035" s="2">
        <v>57144015</v>
      </c>
      <c r="AJ1035" s="2">
        <v>76046915</v>
      </c>
      <c r="AK1035" s="2">
        <v>3</v>
      </c>
      <c r="AL1035" s="2" t="s">
        <v>633</v>
      </c>
      <c r="AM1035" s="2">
        <v>0</v>
      </c>
      <c r="AN1035" s="2">
        <v>0</v>
      </c>
      <c r="AO1035" s="2">
        <v>1</v>
      </c>
      <c r="AP1035" s="2">
        <v>0</v>
      </c>
      <c r="AQ1035" s="2">
        <v>0</v>
      </c>
      <c r="AR1035" s="2">
        <v>0</v>
      </c>
      <c r="AS1035" s="2">
        <v>0</v>
      </c>
      <c r="AT1035" s="2">
        <v>0</v>
      </c>
      <c r="AZ1035" s="2" t="s">
        <v>6924</v>
      </c>
      <c r="BA1035" s="2" t="s">
        <v>6925</v>
      </c>
      <c r="BB1035" s="2" t="str">
        <f>+PROPER(BD[[#This Row],[PRIMER_APELLIDO]])</f>
        <v>Corea</v>
      </c>
    </row>
    <row r="1036" spans="1:54" x14ac:dyDescent="0.25">
      <c r="A1036" s="2">
        <v>1035</v>
      </c>
      <c r="B1036" s="2">
        <v>43173</v>
      </c>
      <c r="C1036" s="2" t="s">
        <v>619</v>
      </c>
      <c r="D1036" s="2" t="s">
        <v>620</v>
      </c>
      <c r="E1036" s="2" t="s">
        <v>6926</v>
      </c>
      <c r="F1036" s="2">
        <v>24234337</v>
      </c>
      <c r="G1036" s="3">
        <v>39.476712328767121</v>
      </c>
      <c r="H1036" s="2" t="s">
        <v>622</v>
      </c>
      <c r="I1036" s="2" t="s">
        <v>6927</v>
      </c>
      <c r="J1036" s="2" t="str">
        <f>+IF(BD[[#This Row],[DEPARTAMENTO_INSS]]="MANAGUA","_01_","_02_")</f>
        <v>_01_</v>
      </c>
      <c r="K1036" s="2" t="str">
        <f>+CONCATENATE(BD[[#This Row],[Columna3]],BD[[#This Row],[Columna4]],BD[[#This Row],[NOMBRE COMPLETO]])</f>
        <v>E003_01_DAYSI GUADALUPE ORTEGA MENDOZA</v>
      </c>
      <c r="L1036" s="2" t="s">
        <v>6928</v>
      </c>
      <c r="M1036" s="2" t="s">
        <v>1176</v>
      </c>
      <c r="N1036" s="2" t="s">
        <v>29</v>
      </c>
      <c r="O1036" s="2" t="s">
        <v>9</v>
      </c>
      <c r="P1036" s="2" t="s">
        <v>626</v>
      </c>
      <c r="Q1036" s="2" t="s">
        <v>351</v>
      </c>
      <c r="R1036" s="2">
        <v>30387</v>
      </c>
      <c r="S1036" s="2">
        <v>30387</v>
      </c>
      <c r="T1036" s="2" t="s">
        <v>627</v>
      </c>
      <c r="U1036" s="2" t="s">
        <v>627</v>
      </c>
      <c r="V1036" s="2" t="s">
        <v>627</v>
      </c>
      <c r="W1036" s="2" t="s">
        <v>627</v>
      </c>
      <c r="X1036" s="2" t="s">
        <v>6929</v>
      </c>
      <c r="Y1036" s="2" t="s">
        <v>6930</v>
      </c>
      <c r="AA1036" s="2" t="s">
        <v>6931</v>
      </c>
      <c r="AB1036" s="2" t="s">
        <v>642</v>
      </c>
      <c r="AC1036" s="2" t="s">
        <v>632</v>
      </c>
      <c r="AE1036" s="2">
        <v>86195260</v>
      </c>
      <c r="AJ1036" s="2">
        <v>86195260</v>
      </c>
      <c r="AK1036" s="2">
        <v>2</v>
      </c>
      <c r="AL1036" s="2" t="s">
        <v>633</v>
      </c>
      <c r="AM1036" s="2">
        <v>0</v>
      </c>
      <c r="AN1036" s="2">
        <v>0</v>
      </c>
      <c r="AO1036" s="2">
        <v>1</v>
      </c>
      <c r="AP1036" s="2">
        <v>0</v>
      </c>
      <c r="AQ1036" s="2">
        <v>0</v>
      </c>
      <c r="AR1036" s="2">
        <v>0</v>
      </c>
      <c r="AS1036" s="2">
        <v>0</v>
      </c>
      <c r="AT1036" s="2">
        <v>0</v>
      </c>
      <c r="BB1036" s="2" t="str">
        <f>+PROPER(BD[[#This Row],[PRIMER_APELLIDO]])</f>
        <v>Ortega</v>
      </c>
    </row>
    <row r="1037" spans="1:54" x14ac:dyDescent="0.25">
      <c r="A1037" s="2">
        <v>1036</v>
      </c>
      <c r="B1037" s="2">
        <v>35670</v>
      </c>
      <c r="C1037" s="2" t="s">
        <v>619</v>
      </c>
      <c r="D1037" s="2" t="s">
        <v>620</v>
      </c>
      <c r="E1037" s="2" t="s">
        <v>6932</v>
      </c>
      <c r="F1037" s="2">
        <v>22126236</v>
      </c>
      <c r="G1037" s="3">
        <v>39.482191780821921</v>
      </c>
      <c r="H1037" s="2" t="s">
        <v>622</v>
      </c>
      <c r="I1037" s="2" t="s">
        <v>6933</v>
      </c>
      <c r="J1037" s="2" t="str">
        <f>+IF(BD[[#This Row],[DEPARTAMENTO_INSS]]="MANAGUA","_01_","_02_")</f>
        <v>_02_</v>
      </c>
      <c r="K1037" s="2" t="str">
        <f>+CONCATENATE(BD[[#This Row],[Columna3]],BD[[#This Row],[Columna4]],BD[[#This Row],[NOMBRE COMPLETO]])</f>
        <v>E003_02_DANIEL ALBERTO SACASA FLAMENCO</v>
      </c>
      <c r="L1037" s="2" t="s">
        <v>2175</v>
      </c>
      <c r="M1037" s="2" t="s">
        <v>1699</v>
      </c>
      <c r="N1037" s="2" t="s">
        <v>183</v>
      </c>
      <c r="O1037" s="2" t="s">
        <v>6934</v>
      </c>
      <c r="P1037" s="2" t="s">
        <v>649</v>
      </c>
      <c r="Q1037" s="2" t="s">
        <v>351</v>
      </c>
      <c r="R1037" s="2">
        <v>30385</v>
      </c>
      <c r="S1037" s="2">
        <v>30385</v>
      </c>
      <c r="T1037" s="2" t="s">
        <v>186</v>
      </c>
      <c r="U1037" s="2" t="s">
        <v>186</v>
      </c>
      <c r="V1037" s="2" t="s">
        <v>186</v>
      </c>
      <c r="W1037" s="2" t="s">
        <v>186</v>
      </c>
      <c r="X1037" s="2" t="s">
        <v>6935</v>
      </c>
      <c r="Y1037" s="2" t="s">
        <v>6936</v>
      </c>
      <c r="Z1037" s="2">
        <v>57813164</v>
      </c>
      <c r="AA1037" s="2">
        <v>83354083</v>
      </c>
      <c r="AB1037" s="2" t="s">
        <v>654</v>
      </c>
      <c r="AC1037" s="2" t="s">
        <v>632</v>
      </c>
      <c r="AD1037" s="2">
        <v>57813164</v>
      </c>
      <c r="AF1037" s="2">
        <v>83354083</v>
      </c>
      <c r="AJ1037" s="2">
        <v>57813164</v>
      </c>
      <c r="AK1037" s="2">
        <v>2</v>
      </c>
      <c r="AL1037" s="2" t="s">
        <v>633</v>
      </c>
      <c r="AM1037" s="2">
        <v>0</v>
      </c>
      <c r="AN1037" s="2">
        <v>0</v>
      </c>
      <c r="AO1037" s="2">
        <v>1</v>
      </c>
      <c r="AP1037" s="2">
        <v>0</v>
      </c>
      <c r="AQ1037" s="2">
        <v>0</v>
      </c>
      <c r="AR1037" s="2">
        <v>0</v>
      </c>
      <c r="AS1037" s="2">
        <v>0</v>
      </c>
      <c r="AT1037" s="2">
        <v>0</v>
      </c>
      <c r="AZ1037" s="2" t="s">
        <v>6937</v>
      </c>
      <c r="BB1037" s="2" t="str">
        <f>+PROPER(BD[[#This Row],[PRIMER_APELLIDO]])</f>
        <v>Sacasa</v>
      </c>
    </row>
    <row r="1038" spans="1:54" x14ac:dyDescent="0.25">
      <c r="A1038" s="2">
        <v>1037</v>
      </c>
      <c r="B1038" s="2">
        <v>31923</v>
      </c>
      <c r="C1038" s="2" t="s">
        <v>619</v>
      </c>
      <c r="D1038" s="2" t="s">
        <v>620</v>
      </c>
      <c r="E1038" s="2" t="s">
        <v>6938</v>
      </c>
      <c r="F1038" s="2">
        <v>22173960</v>
      </c>
      <c r="G1038" s="3">
        <v>39.487671232876714</v>
      </c>
      <c r="H1038" s="2" t="s">
        <v>622</v>
      </c>
      <c r="I1038" s="2" t="s">
        <v>6939</v>
      </c>
      <c r="J1038" s="2" t="str">
        <f>+IF(BD[[#This Row],[DEPARTAMENTO_INSS]]="MANAGUA","_01_","_02_")</f>
        <v>_02_</v>
      </c>
      <c r="K1038" s="2" t="str">
        <f>+CONCATENATE(BD[[#This Row],[Columna3]],BD[[#This Row],[Columna4]],BD[[#This Row],[NOMBRE COMPLETO]])</f>
        <v>E003_02_JUAN CARLOS MATUTE BENAVIDEZ</v>
      </c>
      <c r="L1038" s="2" t="s">
        <v>825</v>
      </c>
      <c r="M1038" s="2" t="s">
        <v>826</v>
      </c>
      <c r="N1038" s="2" t="s">
        <v>353</v>
      </c>
      <c r="O1038" s="2" t="s">
        <v>500</v>
      </c>
      <c r="P1038" s="2" t="s">
        <v>649</v>
      </c>
      <c r="Q1038" s="2" t="s">
        <v>351</v>
      </c>
      <c r="R1038" s="2">
        <v>30383</v>
      </c>
      <c r="S1038" s="2">
        <v>30383</v>
      </c>
      <c r="T1038" s="2" t="s">
        <v>444</v>
      </c>
      <c r="U1038" s="2" t="s">
        <v>176</v>
      </c>
      <c r="V1038" s="2" t="s">
        <v>947</v>
      </c>
      <c r="W1038" s="2" t="s">
        <v>176</v>
      </c>
      <c r="X1038" s="2" t="s">
        <v>6940</v>
      </c>
      <c r="Y1038" s="2" t="s">
        <v>6941</v>
      </c>
      <c r="Z1038" s="2" t="s">
        <v>6942</v>
      </c>
      <c r="AA1038" s="2">
        <v>86103746</v>
      </c>
      <c r="AB1038" s="2" t="s">
        <v>654</v>
      </c>
      <c r="AC1038" s="2" t="s">
        <v>632</v>
      </c>
      <c r="AD1038" s="2">
        <v>86103746</v>
      </c>
      <c r="AE1038" s="2">
        <v>87872579</v>
      </c>
      <c r="AJ1038" s="2">
        <v>86103746</v>
      </c>
      <c r="AK1038" s="2">
        <v>3</v>
      </c>
      <c r="AL1038" s="2" t="s">
        <v>633</v>
      </c>
      <c r="AM1038" s="2">
        <v>0</v>
      </c>
      <c r="AN1038" s="2">
        <v>0</v>
      </c>
      <c r="AO1038" s="2">
        <v>1</v>
      </c>
      <c r="AP1038" s="2">
        <v>0</v>
      </c>
      <c r="AQ1038" s="2">
        <v>0</v>
      </c>
      <c r="AR1038" s="2">
        <v>0</v>
      </c>
      <c r="AS1038" s="2">
        <v>0</v>
      </c>
      <c r="AT1038" s="2">
        <v>0</v>
      </c>
      <c r="AZ1038" s="2" t="s">
        <v>6943</v>
      </c>
      <c r="BB1038" s="2" t="str">
        <f>+PROPER(BD[[#This Row],[PRIMER_APELLIDO]])</f>
        <v>Matute</v>
      </c>
    </row>
    <row r="1039" spans="1:54" x14ac:dyDescent="0.25">
      <c r="A1039" s="2">
        <v>1038</v>
      </c>
      <c r="B1039" s="2">
        <v>39380</v>
      </c>
      <c r="C1039" s="2" t="s">
        <v>619</v>
      </c>
      <c r="D1039" s="2" t="s">
        <v>620</v>
      </c>
      <c r="E1039" s="2" t="s">
        <v>6944</v>
      </c>
      <c r="F1039" s="2">
        <v>23140325</v>
      </c>
      <c r="G1039" s="3">
        <v>39.487671232876714</v>
      </c>
      <c r="H1039" s="2" t="s">
        <v>622</v>
      </c>
      <c r="I1039" s="2" t="s">
        <v>6945</v>
      </c>
      <c r="J1039" s="2" t="str">
        <f>+IF(BD[[#This Row],[DEPARTAMENTO_INSS]]="MANAGUA","_01_","_02_")</f>
        <v>_02_</v>
      </c>
      <c r="K1039" s="2" t="str">
        <f>+CONCATENATE(BD[[#This Row],[Columna3]],BD[[#This Row],[Columna4]],BD[[#This Row],[NOMBRE COMPLETO]])</f>
        <v>E003_02_DARLYN LORENA AGUIRRE HERNANDEZ</v>
      </c>
      <c r="L1039" s="2" t="s">
        <v>6946</v>
      </c>
      <c r="M1039" s="2" t="s">
        <v>1263</v>
      </c>
      <c r="N1039" s="2" t="s">
        <v>255</v>
      </c>
      <c r="O1039" s="2" t="s">
        <v>11</v>
      </c>
      <c r="P1039" s="2" t="s">
        <v>626</v>
      </c>
      <c r="Q1039" s="2" t="s">
        <v>351</v>
      </c>
      <c r="R1039" s="2">
        <v>30383</v>
      </c>
      <c r="S1039" s="2">
        <v>30383</v>
      </c>
      <c r="T1039" s="2" t="s">
        <v>176</v>
      </c>
      <c r="U1039" s="2" t="s">
        <v>176</v>
      </c>
      <c r="V1039" s="2" t="s">
        <v>1796</v>
      </c>
      <c r="W1039" s="2" t="s">
        <v>1796</v>
      </c>
      <c r="X1039" s="2" t="s">
        <v>6947</v>
      </c>
      <c r="Y1039" s="2" t="s">
        <v>6948</v>
      </c>
      <c r="Z1039" s="2">
        <v>86375686</v>
      </c>
      <c r="AA1039" s="2">
        <v>86375686</v>
      </c>
      <c r="AB1039" s="2" t="s">
        <v>654</v>
      </c>
      <c r="AC1039" s="2" t="s">
        <v>632</v>
      </c>
      <c r="AD1039" s="2">
        <v>86375686</v>
      </c>
      <c r="AJ1039" s="2">
        <v>86375686</v>
      </c>
      <c r="AK1039" s="2">
        <v>2</v>
      </c>
      <c r="AL1039" s="2" t="s">
        <v>633</v>
      </c>
      <c r="AM1039" s="2">
        <v>0</v>
      </c>
      <c r="AN1039" s="2">
        <v>0</v>
      </c>
      <c r="AO1039" s="2">
        <v>1</v>
      </c>
      <c r="AP1039" s="2">
        <v>0</v>
      </c>
      <c r="AQ1039" s="2">
        <v>0</v>
      </c>
      <c r="AR1039" s="2">
        <v>0</v>
      </c>
      <c r="AS1039" s="2">
        <v>0</v>
      </c>
      <c r="AT1039" s="2">
        <v>0</v>
      </c>
      <c r="AZ1039" s="2" t="s">
        <v>6949</v>
      </c>
      <c r="BB1039" s="2" t="str">
        <f>+PROPER(BD[[#This Row],[PRIMER_APELLIDO]])</f>
        <v>Aguirre</v>
      </c>
    </row>
    <row r="1040" spans="1:54" x14ac:dyDescent="0.25">
      <c r="A1040" s="2">
        <v>1039</v>
      </c>
      <c r="B1040" s="2">
        <v>21413</v>
      </c>
      <c r="C1040" s="2" t="s">
        <v>619</v>
      </c>
      <c r="D1040" s="2" t="s">
        <v>620</v>
      </c>
      <c r="E1040" s="2" t="s">
        <v>6950</v>
      </c>
      <c r="F1040" s="2">
        <v>17415518</v>
      </c>
      <c r="G1040" s="3">
        <v>39.490410958904107</v>
      </c>
      <c r="H1040" s="2" t="s">
        <v>622</v>
      </c>
      <c r="I1040" s="2" t="s">
        <v>6951</v>
      </c>
      <c r="J1040" s="2" t="str">
        <f>+IF(BD[[#This Row],[DEPARTAMENTO_INSS]]="MANAGUA","_01_","_02_")</f>
        <v>_02_</v>
      </c>
      <c r="K1040" s="2" t="str">
        <f>+CONCATENATE(BD[[#This Row],[Columna3]],BD[[#This Row],[Columna4]],BD[[#This Row],[NOMBRE COMPLETO]])</f>
        <v>E003_02_JAIRO ANTONIO ESPINOZA FLORES</v>
      </c>
      <c r="L1040" s="2" t="s">
        <v>1803</v>
      </c>
      <c r="M1040" s="2" t="s">
        <v>904</v>
      </c>
      <c r="N1040" s="2" t="s">
        <v>235</v>
      </c>
      <c r="O1040" s="2" t="s">
        <v>58</v>
      </c>
      <c r="P1040" s="2" t="s">
        <v>649</v>
      </c>
      <c r="Q1040" s="2" t="s">
        <v>351</v>
      </c>
      <c r="R1040" s="2">
        <v>30382</v>
      </c>
      <c r="S1040" s="2">
        <v>30382</v>
      </c>
      <c r="T1040" s="2" t="s">
        <v>732</v>
      </c>
      <c r="U1040" s="2" t="s">
        <v>732</v>
      </c>
      <c r="V1040" s="2" t="s">
        <v>732</v>
      </c>
      <c r="W1040" s="2" t="s">
        <v>732</v>
      </c>
      <c r="X1040" s="2" t="s">
        <v>6952</v>
      </c>
      <c r="Y1040" s="2" t="s">
        <v>6953</v>
      </c>
      <c r="Z1040" s="2">
        <v>83241958</v>
      </c>
      <c r="AB1040" s="2" t="s">
        <v>654</v>
      </c>
      <c r="AC1040" s="2" t="s">
        <v>632</v>
      </c>
      <c r="AD1040" s="2">
        <v>83241958</v>
      </c>
      <c r="AJ1040" s="2">
        <v>83241958</v>
      </c>
      <c r="AK1040" s="2">
        <v>1</v>
      </c>
      <c r="AL1040" s="2" t="s">
        <v>633</v>
      </c>
      <c r="AM1040" s="2">
        <v>0</v>
      </c>
      <c r="AN1040" s="2">
        <v>0</v>
      </c>
      <c r="AO1040" s="2">
        <v>1</v>
      </c>
      <c r="AP1040" s="2">
        <v>0</v>
      </c>
      <c r="AQ1040" s="2">
        <v>0</v>
      </c>
      <c r="AR1040" s="2">
        <v>0</v>
      </c>
      <c r="AS1040" s="2">
        <v>0</v>
      </c>
      <c r="AT1040" s="2">
        <v>0</v>
      </c>
      <c r="BB1040" s="2" t="str">
        <f>+PROPER(BD[[#This Row],[PRIMER_APELLIDO]])</f>
        <v>Espinoza</v>
      </c>
    </row>
    <row r="1041" spans="1:54" x14ac:dyDescent="0.25">
      <c r="A1041" s="2">
        <v>1040</v>
      </c>
      <c r="B1041" s="2">
        <v>36791</v>
      </c>
      <c r="C1041" s="2" t="s">
        <v>619</v>
      </c>
      <c r="D1041" s="2" t="s">
        <v>620</v>
      </c>
      <c r="E1041" s="2" t="s">
        <v>6954</v>
      </c>
      <c r="F1041" s="2">
        <v>22117869</v>
      </c>
      <c r="G1041" s="3">
        <v>39.490410958904107</v>
      </c>
      <c r="H1041" s="2" t="s">
        <v>622</v>
      </c>
      <c r="I1041" s="2" t="s">
        <v>6955</v>
      </c>
      <c r="J1041" s="2" t="str">
        <f>+IF(BD[[#This Row],[DEPARTAMENTO_INSS]]="MANAGUA","_01_","_02_")</f>
        <v>_01_</v>
      </c>
      <c r="K1041" s="2" t="str">
        <f>+CONCATENATE(BD[[#This Row],[Columna3]],BD[[#This Row],[Columna4]],BD[[#This Row],[NOMBRE COMPLETO]])</f>
        <v>E003_01_MARIA ISABEL MARQUEZ LANUZA</v>
      </c>
      <c r="L1041" s="2" t="s">
        <v>724</v>
      </c>
      <c r="M1041" s="2" t="s">
        <v>3736</v>
      </c>
      <c r="N1041" s="2" t="s">
        <v>33</v>
      </c>
      <c r="O1041" s="2" t="s">
        <v>131</v>
      </c>
      <c r="P1041" s="2" t="s">
        <v>626</v>
      </c>
      <c r="Q1041" s="2" t="s">
        <v>351</v>
      </c>
      <c r="R1041" s="2">
        <v>30382</v>
      </c>
      <c r="S1041" s="2">
        <v>30382</v>
      </c>
      <c r="T1041" s="2" t="s">
        <v>627</v>
      </c>
      <c r="U1041" s="2" t="s">
        <v>627</v>
      </c>
      <c r="V1041" s="2" t="s">
        <v>627</v>
      </c>
      <c r="W1041" s="2" t="s">
        <v>627</v>
      </c>
      <c r="X1041" s="2" t="s">
        <v>6956</v>
      </c>
      <c r="Y1041" s="2" t="s">
        <v>6957</v>
      </c>
      <c r="AA1041" s="2" t="s">
        <v>6958</v>
      </c>
      <c r="AB1041" s="2" t="s">
        <v>654</v>
      </c>
      <c r="AC1041" s="2" t="s">
        <v>632</v>
      </c>
      <c r="AE1041" s="2">
        <v>81672770</v>
      </c>
      <c r="AH1041" s="2">
        <v>88814252</v>
      </c>
      <c r="AI1041" s="2">
        <v>77983288</v>
      </c>
      <c r="AJ1041" s="2">
        <v>81672770</v>
      </c>
      <c r="AK1041" s="2">
        <v>4</v>
      </c>
      <c r="AL1041" s="2" t="s">
        <v>633</v>
      </c>
      <c r="AM1041" s="2">
        <v>0</v>
      </c>
      <c r="AN1041" s="2">
        <v>0</v>
      </c>
      <c r="AO1041" s="2">
        <v>1</v>
      </c>
      <c r="AP1041" s="2">
        <v>0</v>
      </c>
      <c r="AQ1041" s="2">
        <v>0</v>
      </c>
      <c r="AR1041" s="2">
        <v>0</v>
      </c>
      <c r="AS1041" s="2">
        <v>0</v>
      </c>
      <c r="AT1041" s="2">
        <v>0</v>
      </c>
      <c r="BB1041" s="2" t="str">
        <f>+PROPER(BD[[#This Row],[PRIMER_APELLIDO]])</f>
        <v>Marquez</v>
      </c>
    </row>
    <row r="1042" spans="1:54" x14ac:dyDescent="0.25">
      <c r="A1042" s="2">
        <v>1041</v>
      </c>
      <c r="B1042" s="2">
        <v>24608</v>
      </c>
      <c r="C1042" s="2" t="s">
        <v>619</v>
      </c>
      <c r="D1042" s="2" t="s">
        <v>620</v>
      </c>
      <c r="E1042" s="2" t="s">
        <v>6959</v>
      </c>
      <c r="G1042" s="3">
        <v>39.506849315068493</v>
      </c>
      <c r="H1042" s="2" t="s">
        <v>622</v>
      </c>
      <c r="I1042" s="2" t="s">
        <v>6960</v>
      </c>
      <c r="J1042" s="2" t="str">
        <f>+IF(BD[[#This Row],[DEPARTAMENTO_INSS]]="MANAGUA","_01_","_02_")</f>
        <v>_02_</v>
      </c>
      <c r="K1042" s="2" t="str">
        <f>+CONCATENATE(BD[[#This Row],[Columna3]],BD[[#This Row],[Columna4]],BD[[#This Row],[NOMBRE COMPLETO]])</f>
        <v>E003_02_ALICIA MARIA SANCHEZ CALIX</v>
      </c>
      <c r="L1042" s="2" t="s">
        <v>6915</v>
      </c>
      <c r="M1042" s="2" t="s">
        <v>724</v>
      </c>
      <c r="N1042" s="2" t="s">
        <v>90</v>
      </c>
      <c r="O1042" s="2" t="s">
        <v>6961</v>
      </c>
      <c r="P1042" s="2" t="s">
        <v>626</v>
      </c>
      <c r="Q1042" s="2" t="s">
        <v>351</v>
      </c>
      <c r="R1042" s="2">
        <v>30376</v>
      </c>
      <c r="S1042" s="2">
        <v>30376</v>
      </c>
      <c r="T1042" s="2" t="s">
        <v>705</v>
      </c>
      <c r="U1042" s="2" t="s">
        <v>705</v>
      </c>
      <c r="V1042" s="2" t="s">
        <v>705</v>
      </c>
      <c r="W1042" s="2" t="s">
        <v>705</v>
      </c>
      <c r="X1042" s="2" t="s">
        <v>6962</v>
      </c>
      <c r="Y1042" s="2" t="s">
        <v>6963</v>
      </c>
      <c r="Z1042" s="2">
        <v>78834962</v>
      </c>
      <c r="AA1042" s="2">
        <v>78834962</v>
      </c>
      <c r="AB1042" s="2" t="s">
        <v>642</v>
      </c>
      <c r="AC1042" s="2" t="s">
        <v>632</v>
      </c>
      <c r="AD1042" s="2">
        <v>78834962</v>
      </c>
      <c r="AJ1042" s="2">
        <v>78834962</v>
      </c>
      <c r="AK1042" s="2">
        <v>2</v>
      </c>
      <c r="AL1042" s="2" t="s">
        <v>633</v>
      </c>
      <c r="AM1042" s="2">
        <v>0</v>
      </c>
      <c r="AN1042" s="2">
        <v>0</v>
      </c>
      <c r="AO1042" s="2">
        <v>1</v>
      </c>
      <c r="AP1042" s="2">
        <v>0</v>
      </c>
      <c r="AQ1042" s="2">
        <v>0</v>
      </c>
      <c r="AR1042" s="2">
        <v>0</v>
      </c>
      <c r="AS1042" s="2">
        <v>0</v>
      </c>
      <c r="AT1042" s="2">
        <v>0</v>
      </c>
      <c r="BB1042" s="2" t="str">
        <f>+PROPER(BD[[#This Row],[PRIMER_APELLIDO]])</f>
        <v>Sanchez</v>
      </c>
    </row>
    <row r="1043" spans="1:54" x14ac:dyDescent="0.25">
      <c r="A1043" s="2">
        <v>1042</v>
      </c>
      <c r="B1043" s="2">
        <v>35638</v>
      </c>
      <c r="C1043" s="2" t="s">
        <v>619</v>
      </c>
      <c r="D1043" s="2" t="s">
        <v>620</v>
      </c>
      <c r="E1043" s="2" t="s">
        <v>6964</v>
      </c>
      <c r="F1043" s="2">
        <v>22230487</v>
      </c>
      <c r="G1043" s="3">
        <v>39.509589041095893</v>
      </c>
      <c r="H1043" s="2" t="s">
        <v>622</v>
      </c>
      <c r="I1043" s="2" t="s">
        <v>6965</v>
      </c>
      <c r="J1043" s="2" t="str">
        <f>+IF(BD[[#This Row],[DEPARTAMENTO_INSS]]="MANAGUA","_01_","_02_")</f>
        <v>_02_</v>
      </c>
      <c r="K1043" s="2" t="str">
        <f>+CONCATENATE(BD[[#This Row],[Columna3]],BD[[#This Row],[Columna4]],BD[[#This Row],[NOMBRE COMPLETO]])</f>
        <v>E003_02_JULIO CESAR GARCIA MONGALO</v>
      </c>
      <c r="L1043" s="2" t="s">
        <v>3923</v>
      </c>
      <c r="M1043" s="2" t="s">
        <v>1223</v>
      </c>
      <c r="N1043" s="2" t="s">
        <v>10</v>
      </c>
      <c r="O1043" s="2" t="s">
        <v>6966</v>
      </c>
      <c r="P1043" s="2" t="s">
        <v>649</v>
      </c>
      <c r="Q1043" s="2" t="s">
        <v>351</v>
      </c>
      <c r="R1043" s="2">
        <v>30375</v>
      </c>
      <c r="S1043" s="2">
        <v>30375</v>
      </c>
      <c r="T1043" s="2" t="s">
        <v>1044</v>
      </c>
      <c r="U1043" s="2" t="s">
        <v>176</v>
      </c>
      <c r="V1043" s="2" t="s">
        <v>1045</v>
      </c>
      <c r="W1043" s="2" t="s">
        <v>176</v>
      </c>
      <c r="X1043" s="2" t="s">
        <v>6967</v>
      </c>
      <c r="Y1043" s="2" t="s">
        <v>6968</v>
      </c>
      <c r="Z1043" s="2">
        <v>86635431</v>
      </c>
      <c r="AA1043" s="2" t="s">
        <v>6969</v>
      </c>
      <c r="AB1043" s="2" t="s">
        <v>654</v>
      </c>
      <c r="AC1043" s="2" t="s">
        <v>632</v>
      </c>
      <c r="AD1043" s="2">
        <v>86635431</v>
      </c>
      <c r="AE1043" s="2">
        <v>57833620</v>
      </c>
      <c r="AJ1043" s="2">
        <v>86635431</v>
      </c>
      <c r="AK1043" s="2">
        <v>4</v>
      </c>
      <c r="AL1043" s="2" t="s">
        <v>633</v>
      </c>
      <c r="AM1043" s="2">
        <v>0</v>
      </c>
      <c r="AN1043" s="2">
        <v>0</v>
      </c>
      <c r="AO1043" s="2">
        <v>1</v>
      </c>
      <c r="AP1043" s="2">
        <v>0</v>
      </c>
      <c r="AQ1043" s="2">
        <v>0</v>
      </c>
      <c r="AR1043" s="2">
        <v>0</v>
      </c>
      <c r="AS1043" s="2">
        <v>0</v>
      </c>
      <c r="AT1043" s="2">
        <v>0</v>
      </c>
      <c r="BB1043" s="2" t="str">
        <f>+PROPER(BD[[#This Row],[PRIMER_APELLIDO]])</f>
        <v>Garcia</v>
      </c>
    </row>
    <row r="1044" spans="1:54" x14ac:dyDescent="0.25">
      <c r="A1044" s="2">
        <v>1043</v>
      </c>
      <c r="B1044" s="2">
        <v>41139</v>
      </c>
      <c r="C1044" s="2" t="s">
        <v>619</v>
      </c>
      <c r="D1044" s="2" t="s">
        <v>620</v>
      </c>
      <c r="E1044" s="2" t="s">
        <v>6970</v>
      </c>
      <c r="F1044" s="2">
        <v>23141173</v>
      </c>
      <c r="G1044" s="3">
        <v>39.509589041095893</v>
      </c>
      <c r="H1044" s="2" t="s">
        <v>622</v>
      </c>
      <c r="I1044" s="2" t="s">
        <v>6971</v>
      </c>
      <c r="J1044" s="2" t="str">
        <f>+IF(BD[[#This Row],[DEPARTAMENTO_INSS]]="MANAGUA","_01_","_02_")</f>
        <v>_02_</v>
      </c>
      <c r="K1044" s="2" t="str">
        <f>+CONCATENATE(BD[[#This Row],[Columna3]],BD[[#This Row],[Columna4]],BD[[#This Row],[NOMBRE COMPLETO]])</f>
        <v>E003_02_MARIA LISSETH ZAPATA MIRANDA</v>
      </c>
      <c r="L1044" s="2" t="s">
        <v>724</v>
      </c>
      <c r="M1044" s="2" t="s">
        <v>2080</v>
      </c>
      <c r="N1044" s="2" t="s">
        <v>222</v>
      </c>
      <c r="O1044" s="2" t="s">
        <v>56</v>
      </c>
      <c r="P1044" s="2" t="s">
        <v>626</v>
      </c>
      <c r="Q1044" s="2" t="s">
        <v>351</v>
      </c>
      <c r="R1044" s="2">
        <v>30375</v>
      </c>
      <c r="S1044" s="2">
        <v>30375</v>
      </c>
      <c r="T1044" s="2" t="s">
        <v>705</v>
      </c>
      <c r="U1044" s="2" t="s">
        <v>176</v>
      </c>
      <c r="V1044" s="2" t="s">
        <v>1014</v>
      </c>
      <c r="W1044" s="2" t="s">
        <v>176</v>
      </c>
      <c r="X1044" s="2" t="s">
        <v>6972</v>
      </c>
      <c r="Y1044" s="2" t="s">
        <v>6973</v>
      </c>
      <c r="AA1044" s="2">
        <v>89252026</v>
      </c>
      <c r="AB1044" s="2" t="s">
        <v>654</v>
      </c>
      <c r="AC1044" s="2" t="s">
        <v>632</v>
      </c>
      <c r="AD1044" s="2">
        <v>89252026</v>
      </c>
      <c r="AJ1044" s="2">
        <v>89252026</v>
      </c>
      <c r="AK1044" s="2">
        <v>1</v>
      </c>
      <c r="AL1044" s="2" t="s">
        <v>633</v>
      </c>
      <c r="AM1044" s="2">
        <v>0</v>
      </c>
      <c r="AN1044" s="2">
        <v>0</v>
      </c>
      <c r="AO1044" s="2">
        <v>1</v>
      </c>
      <c r="AP1044" s="2">
        <v>0</v>
      </c>
      <c r="AQ1044" s="2">
        <v>0</v>
      </c>
      <c r="AR1044" s="2">
        <v>0</v>
      </c>
      <c r="AS1044" s="2">
        <v>0</v>
      </c>
      <c r="AT1044" s="2">
        <v>0</v>
      </c>
      <c r="BB1044" s="2" t="str">
        <f>+PROPER(BD[[#This Row],[PRIMER_APELLIDO]])</f>
        <v>Zapata</v>
      </c>
    </row>
    <row r="1045" spans="1:54" x14ac:dyDescent="0.25">
      <c r="A1045" s="2">
        <v>1044</v>
      </c>
      <c r="B1045" s="2">
        <v>32960</v>
      </c>
      <c r="C1045" s="2" t="s">
        <v>619</v>
      </c>
      <c r="D1045" s="2" t="s">
        <v>620</v>
      </c>
      <c r="E1045" s="2" t="s">
        <v>6974</v>
      </c>
      <c r="F1045" s="2">
        <v>15397614</v>
      </c>
      <c r="G1045" s="3">
        <v>39.517808219178079</v>
      </c>
      <c r="H1045" s="2" t="s">
        <v>622</v>
      </c>
      <c r="I1045" s="2" t="s">
        <v>6975</v>
      </c>
      <c r="J1045" s="2" t="str">
        <f>+IF(BD[[#This Row],[DEPARTAMENTO_INSS]]="MANAGUA","_01_","_02_")</f>
        <v>_02_</v>
      </c>
      <c r="K1045" s="2" t="str">
        <f>+CONCATENATE(BD[[#This Row],[Columna3]],BD[[#This Row],[Columna4]],BD[[#This Row],[NOMBRE COMPLETO]])</f>
        <v>E003_02_MIRIAM DE BELEN ALEGRE SARRIA</v>
      </c>
      <c r="L1045" s="2" t="s">
        <v>3210</v>
      </c>
      <c r="M1045" s="2" t="s">
        <v>6976</v>
      </c>
      <c r="N1045" s="2" t="s">
        <v>240</v>
      </c>
      <c r="O1045" s="2" t="s">
        <v>472</v>
      </c>
      <c r="P1045" s="2" t="s">
        <v>626</v>
      </c>
      <c r="Q1045" s="2" t="s">
        <v>351</v>
      </c>
      <c r="R1045" s="2">
        <v>30372</v>
      </c>
      <c r="S1045" s="2">
        <v>30372</v>
      </c>
      <c r="T1045" s="2" t="s">
        <v>176</v>
      </c>
      <c r="U1045" s="2" t="s">
        <v>176</v>
      </c>
      <c r="V1045" s="2" t="s">
        <v>650</v>
      </c>
      <c r="W1045" s="2" t="s">
        <v>176</v>
      </c>
      <c r="X1045" s="2" t="s">
        <v>6977</v>
      </c>
      <c r="Y1045" s="2" t="s">
        <v>6978</v>
      </c>
      <c r="AA1045" s="2">
        <v>81521814</v>
      </c>
      <c r="AB1045" s="2" t="s">
        <v>654</v>
      </c>
      <c r="AC1045" s="2" t="s">
        <v>632</v>
      </c>
      <c r="AD1045" s="2">
        <v>81521814</v>
      </c>
      <c r="AJ1045" s="2">
        <v>81521814</v>
      </c>
      <c r="AK1045" s="2">
        <v>1</v>
      </c>
      <c r="AL1045" s="2" t="s">
        <v>633</v>
      </c>
      <c r="AM1045" s="2">
        <v>0</v>
      </c>
      <c r="AN1045" s="2">
        <v>0</v>
      </c>
      <c r="AO1045" s="2">
        <v>1</v>
      </c>
      <c r="AP1045" s="2">
        <v>0</v>
      </c>
      <c r="AQ1045" s="2">
        <v>0</v>
      </c>
      <c r="AR1045" s="2">
        <v>0</v>
      </c>
      <c r="AS1045" s="2">
        <v>0</v>
      </c>
      <c r="AT1045" s="2">
        <v>0</v>
      </c>
      <c r="BB1045" s="2" t="str">
        <f>+PROPER(BD[[#This Row],[PRIMER_APELLIDO]])</f>
        <v>Alegre</v>
      </c>
    </row>
    <row r="1046" spans="1:54" x14ac:dyDescent="0.25">
      <c r="A1046" s="2">
        <v>1045</v>
      </c>
      <c r="B1046" s="2">
        <v>26150</v>
      </c>
      <c r="C1046" s="2" t="s">
        <v>619</v>
      </c>
      <c r="D1046" s="2" t="s">
        <v>620</v>
      </c>
      <c r="E1046" s="2" t="s">
        <v>6979</v>
      </c>
      <c r="G1046" s="3">
        <v>39.528767123287672</v>
      </c>
      <c r="H1046" s="2" t="s">
        <v>622</v>
      </c>
      <c r="I1046" s="2" t="s">
        <v>6980</v>
      </c>
      <c r="J1046" s="2" t="str">
        <f>+IF(BD[[#This Row],[DEPARTAMENTO_INSS]]="MANAGUA","_01_","_02_")</f>
        <v>_02_</v>
      </c>
      <c r="K1046" s="2" t="str">
        <f>+CONCATENATE(BD[[#This Row],[Columna3]],BD[[#This Row],[Columna4]],BD[[#This Row],[NOMBRE COMPLETO]])</f>
        <v>E003_02_IRIS JUDITH BALDIZON ROSALES</v>
      </c>
      <c r="L1046" s="2" t="s">
        <v>6587</v>
      </c>
      <c r="M1046" s="2" t="s">
        <v>1348</v>
      </c>
      <c r="N1046" s="2" t="s">
        <v>120</v>
      </c>
      <c r="O1046" s="2" t="s">
        <v>331</v>
      </c>
      <c r="P1046" s="2" t="s">
        <v>626</v>
      </c>
      <c r="Q1046" s="2" t="s">
        <v>351</v>
      </c>
      <c r="R1046" s="2">
        <v>30368</v>
      </c>
      <c r="S1046" s="2">
        <v>30368</v>
      </c>
      <c r="T1046" s="2" t="s">
        <v>176</v>
      </c>
      <c r="U1046" s="2" t="s">
        <v>176</v>
      </c>
      <c r="V1046" s="2" t="s">
        <v>650</v>
      </c>
      <c r="W1046" s="2" t="s">
        <v>176</v>
      </c>
      <c r="X1046" s="2" t="s">
        <v>6981</v>
      </c>
      <c r="Y1046" s="2" t="s">
        <v>6982</v>
      </c>
      <c r="Z1046" s="2">
        <v>89979785</v>
      </c>
      <c r="AA1046" s="2" t="s">
        <v>6983</v>
      </c>
      <c r="AB1046" s="2" t="s">
        <v>654</v>
      </c>
      <c r="AC1046" s="2" t="s">
        <v>632</v>
      </c>
      <c r="AD1046" s="2">
        <v>89979785</v>
      </c>
      <c r="AE1046" s="2">
        <v>85573196</v>
      </c>
      <c r="AF1046" s="2">
        <v>83154260</v>
      </c>
      <c r="AJ1046" s="2">
        <v>89979785</v>
      </c>
      <c r="AK1046" s="2">
        <v>3</v>
      </c>
      <c r="AL1046" s="2" t="s">
        <v>633</v>
      </c>
      <c r="AM1046" s="2">
        <v>0</v>
      </c>
      <c r="AN1046" s="2">
        <v>0</v>
      </c>
      <c r="AO1046" s="2">
        <v>1</v>
      </c>
      <c r="AP1046" s="2">
        <v>0</v>
      </c>
      <c r="AQ1046" s="2">
        <v>0</v>
      </c>
      <c r="AR1046" s="2">
        <v>0</v>
      </c>
      <c r="AS1046" s="2">
        <v>0</v>
      </c>
      <c r="AT1046" s="2">
        <v>0</v>
      </c>
      <c r="AZ1046" s="2" t="s">
        <v>6984</v>
      </c>
      <c r="BB1046" s="2" t="str">
        <f>+PROPER(BD[[#This Row],[PRIMER_APELLIDO]])</f>
        <v>Baldizon</v>
      </c>
    </row>
    <row r="1047" spans="1:54" x14ac:dyDescent="0.25">
      <c r="A1047" s="2">
        <v>1046</v>
      </c>
      <c r="B1047" s="2">
        <v>35353</v>
      </c>
      <c r="C1047" s="2" t="s">
        <v>619</v>
      </c>
      <c r="D1047" s="2" t="s">
        <v>620</v>
      </c>
      <c r="E1047" s="2" t="s">
        <v>6985</v>
      </c>
      <c r="F1047" s="2">
        <v>22138815</v>
      </c>
      <c r="G1047" s="3">
        <v>39.542465753424658</v>
      </c>
      <c r="H1047" s="2" t="s">
        <v>622</v>
      </c>
      <c r="I1047" s="2" t="s">
        <v>6986</v>
      </c>
      <c r="J1047" s="2" t="str">
        <f>+IF(BD[[#This Row],[DEPARTAMENTO_INSS]]="MANAGUA","_01_","_02_")</f>
        <v>_01_</v>
      </c>
      <c r="K1047" s="2" t="str">
        <f>+CONCATENATE(BD[[#This Row],[Columna3]],BD[[#This Row],[Columna4]],BD[[#This Row],[NOMBRE COMPLETO]])</f>
        <v>E003_01_FERNANDO JOSE CAJINA TORRES</v>
      </c>
      <c r="L1047" s="2" t="s">
        <v>2009</v>
      </c>
      <c r="M1047" s="2" t="s">
        <v>243</v>
      </c>
      <c r="N1047" s="2" t="s">
        <v>26</v>
      </c>
      <c r="O1047" s="2" t="s">
        <v>132</v>
      </c>
      <c r="P1047" s="2" t="s">
        <v>649</v>
      </c>
      <c r="Q1047" s="2" t="s">
        <v>351</v>
      </c>
      <c r="R1047" s="2">
        <v>30363</v>
      </c>
      <c r="S1047" s="2">
        <v>30363</v>
      </c>
      <c r="T1047" s="2" t="s">
        <v>627</v>
      </c>
      <c r="U1047" s="2" t="s">
        <v>627</v>
      </c>
      <c r="V1047" s="2" t="s">
        <v>627</v>
      </c>
      <c r="W1047" s="2" t="s">
        <v>627</v>
      </c>
      <c r="X1047" s="2" t="s">
        <v>6987</v>
      </c>
      <c r="Y1047" s="2" t="s">
        <v>6988</v>
      </c>
      <c r="AA1047" s="2">
        <v>89888879</v>
      </c>
      <c r="AB1047" s="2" t="s">
        <v>654</v>
      </c>
      <c r="AC1047" s="2" t="s">
        <v>632</v>
      </c>
      <c r="AD1047" s="2">
        <v>89888879</v>
      </c>
      <c r="AJ1047" s="2">
        <v>89888879</v>
      </c>
      <c r="AK1047" s="2">
        <v>1</v>
      </c>
      <c r="AL1047" s="2" t="s">
        <v>633</v>
      </c>
      <c r="AM1047" s="2">
        <v>0</v>
      </c>
      <c r="AN1047" s="2">
        <v>0</v>
      </c>
      <c r="AO1047" s="2">
        <v>1</v>
      </c>
      <c r="AP1047" s="2">
        <v>0</v>
      </c>
      <c r="AQ1047" s="2">
        <v>0</v>
      </c>
      <c r="AR1047" s="2">
        <v>0</v>
      </c>
      <c r="AS1047" s="2">
        <v>0</v>
      </c>
      <c r="AT1047" s="2">
        <v>0</v>
      </c>
      <c r="BB1047" s="2" t="str">
        <f>+PROPER(BD[[#This Row],[PRIMER_APELLIDO]])</f>
        <v>Cajina</v>
      </c>
    </row>
    <row r="1048" spans="1:54" x14ac:dyDescent="0.25">
      <c r="A1048" s="2">
        <v>1047</v>
      </c>
      <c r="B1048" s="2">
        <v>46370</v>
      </c>
      <c r="C1048" s="2" t="s">
        <v>619</v>
      </c>
      <c r="D1048" s="2" t="s">
        <v>620</v>
      </c>
      <c r="E1048" s="2" t="s">
        <v>6989</v>
      </c>
      <c r="F1048" s="2">
        <v>21808885</v>
      </c>
      <c r="G1048" s="3">
        <v>39.564383561643837</v>
      </c>
      <c r="H1048" s="2" t="s">
        <v>622</v>
      </c>
      <c r="I1048" s="2" t="s">
        <v>6990</v>
      </c>
      <c r="J1048" s="2" t="str">
        <f>+IF(BD[[#This Row],[DEPARTAMENTO_INSS]]="MANAGUA","_01_","_02_")</f>
        <v>_01_</v>
      </c>
      <c r="K1048" s="2" t="str">
        <f>+CONCATENATE(BD[[#This Row],[Columna3]],BD[[#This Row],[Columna4]],BD[[#This Row],[NOMBRE COMPLETO]])</f>
        <v>E003_01_JOSE MANUEL COREA VALLECILLO</v>
      </c>
      <c r="L1048" s="2" t="s">
        <v>243</v>
      </c>
      <c r="M1048" s="2" t="s">
        <v>648</v>
      </c>
      <c r="N1048" s="2" t="s">
        <v>212</v>
      </c>
      <c r="O1048" s="2" t="s">
        <v>6991</v>
      </c>
      <c r="P1048" s="2" t="s">
        <v>649</v>
      </c>
      <c r="Q1048" s="2" t="s">
        <v>351</v>
      </c>
      <c r="R1048" s="2">
        <v>30355</v>
      </c>
      <c r="S1048" s="2">
        <v>30355</v>
      </c>
      <c r="T1048" s="2" t="s">
        <v>732</v>
      </c>
      <c r="U1048" s="2" t="s">
        <v>627</v>
      </c>
      <c r="V1048" s="2" t="s">
        <v>732</v>
      </c>
      <c r="W1048" s="2" t="s">
        <v>1026</v>
      </c>
      <c r="X1048" s="2" t="s">
        <v>6992</v>
      </c>
      <c r="Y1048" s="2" t="s">
        <v>6993</v>
      </c>
      <c r="AA1048" s="2" t="s">
        <v>6994</v>
      </c>
      <c r="AB1048" s="2" t="s">
        <v>654</v>
      </c>
      <c r="AC1048" s="2" t="s">
        <v>632</v>
      </c>
      <c r="AD1048" s="2">
        <v>77488048</v>
      </c>
      <c r="AE1048" s="2">
        <v>82181570</v>
      </c>
      <c r="AJ1048" s="2">
        <v>77488048</v>
      </c>
      <c r="AK1048" s="2">
        <v>2</v>
      </c>
      <c r="AL1048" s="2" t="s">
        <v>633</v>
      </c>
      <c r="AM1048" s="2">
        <v>0</v>
      </c>
      <c r="AN1048" s="2">
        <v>0</v>
      </c>
      <c r="AO1048" s="2">
        <v>1</v>
      </c>
      <c r="AP1048" s="2">
        <v>0</v>
      </c>
      <c r="AQ1048" s="2">
        <v>0</v>
      </c>
      <c r="AR1048" s="2">
        <v>0</v>
      </c>
      <c r="AS1048" s="2">
        <v>0</v>
      </c>
      <c r="AT1048" s="2">
        <v>0</v>
      </c>
      <c r="BB1048" s="2" t="str">
        <f>+PROPER(BD[[#This Row],[PRIMER_APELLIDO]])</f>
        <v>Corea</v>
      </c>
    </row>
    <row r="1049" spans="1:54" x14ac:dyDescent="0.25">
      <c r="A1049" s="2">
        <v>1048</v>
      </c>
      <c r="B1049" s="2">
        <v>48223</v>
      </c>
      <c r="C1049" s="2" t="s">
        <v>619</v>
      </c>
      <c r="D1049" s="2" t="s">
        <v>620</v>
      </c>
      <c r="E1049" s="2" t="s">
        <v>6995</v>
      </c>
      <c r="F1049" s="2">
        <v>16043541</v>
      </c>
      <c r="G1049" s="3">
        <v>39.56712328767123</v>
      </c>
      <c r="H1049" s="2" t="s">
        <v>622</v>
      </c>
      <c r="I1049" s="2" t="s">
        <v>6996</v>
      </c>
      <c r="J1049" s="2" t="str">
        <f>+IF(BD[[#This Row],[DEPARTAMENTO_INSS]]="MANAGUA","_01_","_02_")</f>
        <v>_02_</v>
      </c>
      <c r="K1049" s="2" t="str">
        <f>+CONCATENATE(BD[[#This Row],[Columna3]],BD[[#This Row],[Columna4]],BD[[#This Row],[NOMBRE COMPLETO]])</f>
        <v>E003_02_MAYORLIN SULEMA TALAVERA MELGARA</v>
      </c>
      <c r="L1049" s="2" t="s">
        <v>6997</v>
      </c>
      <c r="M1049" s="2" t="s">
        <v>6998</v>
      </c>
      <c r="N1049" s="2" t="s">
        <v>31</v>
      </c>
      <c r="O1049" s="2" t="s">
        <v>357</v>
      </c>
      <c r="P1049" s="2" t="s">
        <v>626</v>
      </c>
      <c r="Q1049" s="2" t="s">
        <v>351</v>
      </c>
      <c r="R1049" s="2">
        <v>30354</v>
      </c>
      <c r="S1049" s="2">
        <v>30354</v>
      </c>
      <c r="T1049" s="2" t="s">
        <v>444</v>
      </c>
      <c r="U1049" s="2" t="s">
        <v>444</v>
      </c>
      <c r="V1049" s="2" t="s">
        <v>1136</v>
      </c>
      <c r="W1049" s="2" t="s">
        <v>1137</v>
      </c>
      <c r="X1049" s="2" t="s">
        <v>6999</v>
      </c>
      <c r="Y1049" s="2" t="s">
        <v>7000</v>
      </c>
      <c r="AA1049" s="2">
        <v>84031635</v>
      </c>
      <c r="AB1049" s="2" t="s">
        <v>631</v>
      </c>
      <c r="AC1049" s="2" t="s">
        <v>632</v>
      </c>
      <c r="AD1049" s="2">
        <v>84031635</v>
      </c>
      <c r="AJ1049" s="2">
        <v>84031635</v>
      </c>
      <c r="AK1049" s="2">
        <v>1</v>
      </c>
      <c r="AL1049" s="2" t="s">
        <v>633</v>
      </c>
      <c r="AM1049" s="2">
        <v>0</v>
      </c>
      <c r="AN1049" s="2">
        <v>0</v>
      </c>
      <c r="AO1049" s="2">
        <v>1</v>
      </c>
      <c r="AP1049" s="2">
        <v>0</v>
      </c>
      <c r="AQ1049" s="2">
        <v>0</v>
      </c>
      <c r="AR1049" s="2">
        <v>0</v>
      </c>
      <c r="AS1049" s="2">
        <v>0</v>
      </c>
      <c r="AT1049" s="2">
        <v>0</v>
      </c>
      <c r="BB1049" s="2" t="str">
        <f>+PROPER(BD[[#This Row],[PRIMER_APELLIDO]])</f>
        <v>Talavera</v>
      </c>
    </row>
    <row r="1050" spans="1:54" x14ac:dyDescent="0.25">
      <c r="A1050" s="2">
        <v>1049</v>
      </c>
      <c r="B1050" s="2">
        <v>40976</v>
      </c>
      <c r="C1050" s="2" t="s">
        <v>619</v>
      </c>
      <c r="D1050" s="2" t="s">
        <v>620</v>
      </c>
      <c r="E1050" s="2" t="s">
        <v>7001</v>
      </c>
      <c r="F1050" s="2">
        <v>20983042</v>
      </c>
      <c r="G1050" s="3">
        <v>39.575342465753423</v>
      </c>
      <c r="H1050" s="2" t="s">
        <v>622</v>
      </c>
      <c r="I1050" s="2" t="s">
        <v>7002</v>
      </c>
      <c r="J1050" s="2" t="str">
        <f>+IF(BD[[#This Row],[DEPARTAMENTO_INSS]]="MANAGUA","_01_","_02_")</f>
        <v>_02_</v>
      </c>
      <c r="K1050" s="2" t="str">
        <f>+CONCATENATE(BD[[#This Row],[Columna3]],BD[[#This Row],[Columna4]],BD[[#This Row],[NOMBRE COMPLETO]])</f>
        <v>E003_02_YESENIA DEL SOCORRO ROQUE RIOS</v>
      </c>
      <c r="L1050" s="2" t="s">
        <v>4975</v>
      </c>
      <c r="M1050" s="2" t="s">
        <v>787</v>
      </c>
      <c r="N1050" s="2" t="s">
        <v>21</v>
      </c>
      <c r="O1050" s="2" t="s">
        <v>164</v>
      </c>
      <c r="P1050" s="2" t="s">
        <v>626</v>
      </c>
      <c r="Q1050" s="2" t="s">
        <v>351</v>
      </c>
      <c r="R1050" s="2">
        <v>30351</v>
      </c>
      <c r="S1050" s="2">
        <v>30351</v>
      </c>
      <c r="T1050" s="2" t="s">
        <v>1191</v>
      </c>
      <c r="U1050" s="2" t="s">
        <v>1191</v>
      </c>
      <c r="V1050" s="2" t="s">
        <v>1300</v>
      </c>
      <c r="W1050" s="2" t="s">
        <v>1300</v>
      </c>
      <c r="X1050" s="2" t="s">
        <v>7003</v>
      </c>
      <c r="Y1050" s="2" t="s">
        <v>7004</v>
      </c>
      <c r="Z1050" s="2">
        <v>81791231</v>
      </c>
      <c r="AA1050" s="2" t="s">
        <v>7005</v>
      </c>
      <c r="AB1050" s="2" t="s">
        <v>642</v>
      </c>
      <c r="AC1050" s="2" t="s">
        <v>632</v>
      </c>
      <c r="AD1050" s="2">
        <v>81791231</v>
      </c>
      <c r="AE1050" s="2">
        <v>83943372</v>
      </c>
      <c r="AH1050" s="2">
        <v>84255879</v>
      </c>
      <c r="AJ1050" s="2">
        <v>81791231</v>
      </c>
      <c r="AK1050" s="2">
        <v>4</v>
      </c>
      <c r="AL1050" s="2" t="s">
        <v>633</v>
      </c>
      <c r="AM1050" s="2">
        <v>0</v>
      </c>
      <c r="AN1050" s="2">
        <v>0</v>
      </c>
      <c r="AO1050" s="2">
        <v>1</v>
      </c>
      <c r="AP1050" s="2">
        <v>0</v>
      </c>
      <c r="AQ1050" s="2">
        <v>0</v>
      </c>
      <c r="AR1050" s="2">
        <v>0</v>
      </c>
      <c r="AS1050" s="2">
        <v>0</v>
      </c>
      <c r="AT1050" s="2">
        <v>0</v>
      </c>
      <c r="AZ1050" s="2" t="s">
        <v>4555</v>
      </c>
      <c r="BB1050" s="2" t="str">
        <f>+PROPER(BD[[#This Row],[PRIMER_APELLIDO]])</f>
        <v>Roque</v>
      </c>
    </row>
    <row r="1051" spans="1:54" x14ac:dyDescent="0.25">
      <c r="A1051" s="2">
        <v>1050</v>
      </c>
      <c r="B1051" s="2">
        <v>42779</v>
      </c>
      <c r="C1051" s="2" t="s">
        <v>619</v>
      </c>
      <c r="D1051" s="2" t="s">
        <v>620</v>
      </c>
      <c r="E1051" s="2" t="s">
        <v>7006</v>
      </c>
      <c r="F1051" s="2">
        <v>28989749</v>
      </c>
      <c r="G1051" s="3">
        <v>39.575342465753423</v>
      </c>
      <c r="H1051" s="2" t="s">
        <v>622</v>
      </c>
      <c r="I1051" s="2" t="s">
        <v>7007</v>
      </c>
      <c r="J1051" s="2" t="str">
        <f>+IF(BD[[#This Row],[DEPARTAMENTO_INSS]]="MANAGUA","_01_","_02_")</f>
        <v>_01_</v>
      </c>
      <c r="K1051" s="2" t="str">
        <f>+CONCATENATE(BD[[#This Row],[Columna3]],BD[[#This Row],[Columna4]],BD[[#This Row],[NOMBRE COMPLETO]])</f>
        <v>E003_01_AMILCAR LOPEZ SANCHEZ</v>
      </c>
      <c r="L1051" s="2" t="s">
        <v>7008</v>
      </c>
      <c r="N1051" s="2" t="s">
        <v>15</v>
      </c>
      <c r="O1051" s="2" t="s">
        <v>90</v>
      </c>
      <c r="P1051" s="2" t="s">
        <v>649</v>
      </c>
      <c r="Q1051" s="2" t="s">
        <v>5144</v>
      </c>
      <c r="R1051" s="2">
        <v>30351</v>
      </c>
      <c r="S1051" s="2">
        <v>30351</v>
      </c>
      <c r="T1051" s="2" t="s">
        <v>627</v>
      </c>
      <c r="U1051" s="2" t="s">
        <v>627</v>
      </c>
      <c r="V1051" s="2" t="s">
        <v>627</v>
      </c>
      <c r="W1051" s="2" t="s">
        <v>627</v>
      </c>
      <c r="X1051" s="2" t="s">
        <v>7009</v>
      </c>
      <c r="Y1051" s="2" t="s">
        <v>7010</v>
      </c>
      <c r="Z1051" s="2">
        <v>77035100</v>
      </c>
      <c r="AA1051" s="2">
        <v>22939067</v>
      </c>
      <c r="AB1051" s="2" t="s">
        <v>798</v>
      </c>
      <c r="AC1051" s="2" t="s">
        <v>632</v>
      </c>
      <c r="AD1051" s="2">
        <v>77035100</v>
      </c>
      <c r="AJ1051" s="2">
        <v>77035100</v>
      </c>
      <c r="AK1051" s="2">
        <v>2</v>
      </c>
      <c r="AL1051" s="2" t="s">
        <v>633</v>
      </c>
      <c r="AM1051" s="2">
        <v>0</v>
      </c>
      <c r="AN1051" s="2">
        <v>0</v>
      </c>
      <c r="AO1051" s="2">
        <v>1</v>
      </c>
      <c r="AP1051" s="2">
        <v>0</v>
      </c>
      <c r="AQ1051" s="2">
        <v>0</v>
      </c>
      <c r="AR1051" s="2">
        <v>0</v>
      </c>
      <c r="AS1051" s="2">
        <v>0</v>
      </c>
      <c r="AT1051" s="2">
        <v>0</v>
      </c>
      <c r="AZ1051" s="2" t="s">
        <v>7011</v>
      </c>
      <c r="BB1051" s="2" t="str">
        <f>+PROPER(BD[[#This Row],[PRIMER_APELLIDO]])</f>
        <v>Lopez</v>
      </c>
    </row>
    <row r="1052" spans="1:54" x14ac:dyDescent="0.25">
      <c r="A1052" s="2">
        <v>1051</v>
      </c>
      <c r="B1052" s="2">
        <v>27314</v>
      </c>
      <c r="C1052" s="2" t="s">
        <v>619</v>
      </c>
      <c r="D1052" s="2" t="s">
        <v>620</v>
      </c>
      <c r="E1052" s="2" t="s">
        <v>7012</v>
      </c>
      <c r="F1052" s="2">
        <v>22198419</v>
      </c>
      <c r="G1052" s="3">
        <v>39.583561643835615</v>
      </c>
      <c r="H1052" s="2" t="s">
        <v>622</v>
      </c>
      <c r="I1052" s="2" t="s">
        <v>7013</v>
      </c>
      <c r="J1052" s="2" t="str">
        <f>+IF(BD[[#This Row],[DEPARTAMENTO_INSS]]="MANAGUA","_01_","_02_")</f>
        <v>_02_</v>
      </c>
      <c r="K1052" s="2" t="str">
        <f>+CONCATENATE(BD[[#This Row],[Columna3]],BD[[#This Row],[Columna4]],BD[[#This Row],[NOMBRE COMPLETO]])</f>
        <v>E003_02_MARLENE DEL SOCORRO ALVARADO MARTINEZ</v>
      </c>
      <c r="L1052" s="2" t="s">
        <v>6588</v>
      </c>
      <c r="M1052" s="2" t="s">
        <v>787</v>
      </c>
      <c r="N1052" s="2" t="s">
        <v>18</v>
      </c>
      <c r="O1052" s="2" t="s">
        <v>44</v>
      </c>
      <c r="P1052" s="2" t="s">
        <v>626</v>
      </c>
      <c r="Q1052" s="2" t="s">
        <v>351</v>
      </c>
      <c r="R1052" s="2">
        <v>30348</v>
      </c>
      <c r="S1052" s="2">
        <v>30348</v>
      </c>
      <c r="U1052" s="2" t="s">
        <v>176</v>
      </c>
      <c r="W1052" s="2" t="s">
        <v>176</v>
      </c>
      <c r="X1052" s="2" t="s">
        <v>7014</v>
      </c>
      <c r="Y1052" s="2" t="s">
        <v>7015</v>
      </c>
      <c r="AA1052" s="2" t="s">
        <v>7016</v>
      </c>
      <c r="AB1052" s="2" t="s">
        <v>654</v>
      </c>
      <c r="AC1052" s="2" t="s">
        <v>632</v>
      </c>
      <c r="AE1052" s="2">
        <v>84505634</v>
      </c>
      <c r="AJ1052" s="2">
        <v>84505634</v>
      </c>
      <c r="AK1052" s="2">
        <v>2</v>
      </c>
      <c r="AL1052" s="2" t="s">
        <v>633</v>
      </c>
      <c r="AM1052" s="2">
        <v>0</v>
      </c>
      <c r="AN1052" s="2">
        <v>0</v>
      </c>
      <c r="AO1052" s="2">
        <v>1</v>
      </c>
      <c r="AP1052" s="2">
        <v>0</v>
      </c>
      <c r="AQ1052" s="2">
        <v>0</v>
      </c>
      <c r="AR1052" s="2">
        <v>0</v>
      </c>
      <c r="AS1052" s="2">
        <v>0</v>
      </c>
      <c r="AT1052" s="2">
        <v>0</v>
      </c>
      <c r="BB1052" s="2" t="str">
        <f>+PROPER(BD[[#This Row],[PRIMER_APELLIDO]])</f>
        <v>Alvarado</v>
      </c>
    </row>
    <row r="1053" spans="1:54" x14ac:dyDescent="0.25">
      <c r="A1053" s="2">
        <v>1052</v>
      </c>
      <c r="B1053" s="2">
        <v>35541</v>
      </c>
      <c r="C1053" s="2" t="s">
        <v>619</v>
      </c>
      <c r="D1053" s="2" t="s">
        <v>620</v>
      </c>
      <c r="E1053" s="2" t="s">
        <v>7017</v>
      </c>
      <c r="F1053" s="2">
        <v>15123554</v>
      </c>
      <c r="G1053" s="3">
        <v>39.583561643835615</v>
      </c>
      <c r="H1053" s="2" t="s">
        <v>622</v>
      </c>
      <c r="I1053" s="2" t="s">
        <v>7018</v>
      </c>
      <c r="J1053" s="2" t="str">
        <f>+IF(BD[[#This Row],[DEPARTAMENTO_INSS]]="MANAGUA","_01_","_02_")</f>
        <v>_02_</v>
      </c>
      <c r="K1053" s="2" t="str">
        <f>+CONCATENATE(BD[[#This Row],[Columna3]],BD[[#This Row],[Columna4]],BD[[#This Row],[NOMBRE COMPLETO]])</f>
        <v>E003_02_EVELING MERCEDES MONTALVAN CANO</v>
      </c>
      <c r="L1053" s="2" t="s">
        <v>1134</v>
      </c>
      <c r="M1053" s="2" t="s">
        <v>769</v>
      </c>
      <c r="N1053" s="2" t="s">
        <v>27</v>
      </c>
      <c r="O1053" s="2" t="s">
        <v>340</v>
      </c>
      <c r="P1053" s="2" t="s">
        <v>626</v>
      </c>
      <c r="Q1053" s="2" t="s">
        <v>351</v>
      </c>
      <c r="R1053" s="2">
        <v>30348</v>
      </c>
      <c r="S1053" s="2">
        <v>30348</v>
      </c>
      <c r="T1053" s="2" t="s">
        <v>176</v>
      </c>
      <c r="U1053" s="2" t="s">
        <v>176</v>
      </c>
      <c r="V1053" s="2" t="s">
        <v>650</v>
      </c>
      <c r="W1053" s="2" t="s">
        <v>176</v>
      </c>
      <c r="X1053" s="2" t="s">
        <v>7019</v>
      </c>
      <c r="Y1053" s="2" t="s">
        <v>7020</v>
      </c>
      <c r="Z1053" s="2">
        <v>87458820</v>
      </c>
      <c r="AA1053" s="2" t="s">
        <v>7021</v>
      </c>
      <c r="AB1053" s="2" t="s">
        <v>654</v>
      </c>
      <c r="AC1053" s="2" t="s">
        <v>632</v>
      </c>
      <c r="AD1053" s="2">
        <v>87458820</v>
      </c>
      <c r="AH1053" s="2">
        <v>87000583</v>
      </c>
      <c r="AJ1053" s="2">
        <v>87458820</v>
      </c>
      <c r="AK1053" s="2">
        <v>4</v>
      </c>
      <c r="AL1053" s="2" t="s">
        <v>633</v>
      </c>
      <c r="AM1053" s="2">
        <v>0</v>
      </c>
      <c r="AN1053" s="2">
        <v>0</v>
      </c>
      <c r="AO1053" s="2">
        <v>1</v>
      </c>
      <c r="AP1053" s="2">
        <v>0</v>
      </c>
      <c r="AQ1053" s="2">
        <v>0</v>
      </c>
      <c r="AR1053" s="2">
        <v>0</v>
      </c>
      <c r="AS1053" s="2">
        <v>0</v>
      </c>
      <c r="AT1053" s="2">
        <v>0</v>
      </c>
      <c r="BB1053" s="2" t="str">
        <f>+PROPER(BD[[#This Row],[PRIMER_APELLIDO]])</f>
        <v>Montalvan</v>
      </c>
    </row>
    <row r="1054" spans="1:54" x14ac:dyDescent="0.25">
      <c r="A1054" s="2">
        <v>1053</v>
      </c>
      <c r="B1054" s="2">
        <v>35106</v>
      </c>
      <c r="C1054" s="2" t="s">
        <v>619</v>
      </c>
      <c r="D1054" s="2" t="s">
        <v>620</v>
      </c>
      <c r="E1054" s="2" t="s">
        <v>7022</v>
      </c>
      <c r="F1054" s="2">
        <v>20261865</v>
      </c>
      <c r="G1054" s="3">
        <v>39.591780821917808</v>
      </c>
      <c r="H1054" s="2" t="s">
        <v>622</v>
      </c>
      <c r="I1054" s="2" t="s">
        <v>7023</v>
      </c>
      <c r="J1054" s="2" t="str">
        <f>+IF(BD[[#This Row],[DEPARTAMENTO_INSS]]="MANAGUA","_01_","_02_")</f>
        <v>_01_</v>
      </c>
      <c r="K1054" s="2" t="str">
        <f>+CONCATENATE(BD[[#This Row],[Columna3]],BD[[#This Row],[Columna4]],BD[[#This Row],[NOMBRE COMPLETO]])</f>
        <v>E003_01_DIANA VANESSA BORGE MALTEZ</v>
      </c>
      <c r="L1054" s="2" t="s">
        <v>1457</v>
      </c>
      <c r="M1054" s="2" t="s">
        <v>1163</v>
      </c>
      <c r="N1054" s="2" t="s">
        <v>423</v>
      </c>
      <c r="O1054" s="2" t="s">
        <v>551</v>
      </c>
      <c r="P1054" s="2" t="s">
        <v>626</v>
      </c>
      <c r="Q1054" s="2" t="s">
        <v>351</v>
      </c>
      <c r="R1054" s="2">
        <v>30345</v>
      </c>
      <c r="S1054" s="2">
        <v>30345</v>
      </c>
      <c r="T1054" s="2" t="s">
        <v>627</v>
      </c>
      <c r="U1054" s="2" t="s">
        <v>627</v>
      </c>
      <c r="V1054" s="2" t="s">
        <v>627</v>
      </c>
      <c r="W1054" s="2" t="s">
        <v>692</v>
      </c>
      <c r="X1054" s="2" t="s">
        <v>7024</v>
      </c>
      <c r="Y1054" s="2" t="s">
        <v>7025</v>
      </c>
      <c r="AA1054" s="2">
        <v>88951508</v>
      </c>
      <c r="AB1054" s="2" t="s">
        <v>642</v>
      </c>
      <c r="AC1054" s="2" t="s">
        <v>632</v>
      </c>
      <c r="AD1054" s="2">
        <v>88951508</v>
      </c>
      <c r="AJ1054" s="2">
        <v>88951508</v>
      </c>
      <c r="AK1054" s="2">
        <v>1</v>
      </c>
      <c r="AL1054" s="2" t="s">
        <v>633</v>
      </c>
      <c r="AM1054" s="2">
        <v>0</v>
      </c>
      <c r="AN1054" s="2">
        <v>0</v>
      </c>
      <c r="AO1054" s="2">
        <v>1</v>
      </c>
      <c r="AP1054" s="2">
        <v>0</v>
      </c>
      <c r="AQ1054" s="2">
        <v>0</v>
      </c>
      <c r="AR1054" s="2">
        <v>0</v>
      </c>
      <c r="AS1054" s="2">
        <v>0</v>
      </c>
      <c r="AT1054" s="2">
        <v>0</v>
      </c>
      <c r="BA1054" s="2" t="s">
        <v>7026</v>
      </c>
      <c r="BB1054" s="2" t="str">
        <f>+PROPER(BD[[#This Row],[PRIMER_APELLIDO]])</f>
        <v>Borge</v>
      </c>
    </row>
    <row r="1055" spans="1:54" x14ac:dyDescent="0.25">
      <c r="A1055" s="2">
        <v>1054</v>
      </c>
      <c r="B1055" s="2">
        <v>25697</v>
      </c>
      <c r="C1055" s="2" t="s">
        <v>619</v>
      </c>
      <c r="D1055" s="2" t="s">
        <v>620</v>
      </c>
      <c r="E1055" s="2" t="s">
        <v>7027</v>
      </c>
      <c r="F1055" s="2">
        <v>21348750</v>
      </c>
      <c r="G1055" s="3">
        <v>39.594520547945208</v>
      </c>
      <c r="H1055" s="2" t="s">
        <v>622</v>
      </c>
      <c r="I1055" s="2" t="s">
        <v>7028</v>
      </c>
      <c r="J1055" s="2" t="str">
        <f>+IF(BD[[#This Row],[DEPARTAMENTO_INSS]]="MANAGUA","_01_","_02_")</f>
        <v>_01_</v>
      </c>
      <c r="K1055" s="2" t="str">
        <f>+CONCATENATE(BD[[#This Row],[Columna3]],BD[[#This Row],[Columna4]],BD[[#This Row],[NOMBRE COMPLETO]])</f>
        <v>E003_01_MARIA GABRIELA CASTILLO RODRIGUEZ</v>
      </c>
      <c r="L1055" s="2" t="s">
        <v>724</v>
      </c>
      <c r="M1055" s="2" t="s">
        <v>1211</v>
      </c>
      <c r="N1055" s="2" t="s">
        <v>100</v>
      </c>
      <c r="O1055" s="2" t="s">
        <v>185</v>
      </c>
      <c r="P1055" s="2" t="s">
        <v>626</v>
      </c>
      <c r="Q1055" s="2" t="s">
        <v>351</v>
      </c>
      <c r="R1055" s="2">
        <v>30344</v>
      </c>
      <c r="S1055" s="2">
        <v>30344</v>
      </c>
      <c r="T1055" s="2" t="s">
        <v>627</v>
      </c>
      <c r="U1055" s="2" t="s">
        <v>627</v>
      </c>
      <c r="V1055" s="2" t="s">
        <v>627</v>
      </c>
      <c r="W1055" s="2" t="s">
        <v>627</v>
      </c>
      <c r="X1055" s="2" t="s">
        <v>7029</v>
      </c>
      <c r="Y1055" s="2" t="s">
        <v>7030</v>
      </c>
      <c r="AA1055" s="2">
        <v>86740730</v>
      </c>
      <c r="AB1055" s="2" t="s">
        <v>642</v>
      </c>
      <c r="AC1055" s="2" t="s">
        <v>632</v>
      </c>
      <c r="AD1055" s="2">
        <v>86740730</v>
      </c>
      <c r="AJ1055" s="2">
        <v>86740730</v>
      </c>
      <c r="AK1055" s="2">
        <v>1</v>
      </c>
      <c r="AL1055" s="2" t="s">
        <v>633</v>
      </c>
      <c r="AM1055" s="2">
        <v>0</v>
      </c>
      <c r="AN1055" s="2">
        <v>0</v>
      </c>
      <c r="AO1055" s="2">
        <v>1</v>
      </c>
      <c r="AP1055" s="2">
        <v>0</v>
      </c>
      <c r="AQ1055" s="2">
        <v>0</v>
      </c>
      <c r="AR1055" s="2">
        <v>0</v>
      </c>
      <c r="AS1055" s="2">
        <v>0</v>
      </c>
      <c r="AT1055" s="2">
        <v>0</v>
      </c>
      <c r="BA1055" s="2" t="s">
        <v>7031</v>
      </c>
      <c r="BB1055" s="2" t="str">
        <f>+PROPER(BD[[#This Row],[PRIMER_APELLIDO]])</f>
        <v>Castillo</v>
      </c>
    </row>
    <row r="1056" spans="1:54" x14ac:dyDescent="0.25">
      <c r="A1056" s="2">
        <v>1055</v>
      </c>
      <c r="B1056" s="2">
        <v>32038</v>
      </c>
      <c r="C1056" s="2" t="s">
        <v>619</v>
      </c>
      <c r="D1056" s="2" t="s">
        <v>620</v>
      </c>
      <c r="E1056" s="2" t="s">
        <v>7032</v>
      </c>
      <c r="F1056" s="2">
        <v>21734324</v>
      </c>
      <c r="G1056" s="3">
        <v>39.594520547945208</v>
      </c>
      <c r="H1056" s="2" t="s">
        <v>622</v>
      </c>
      <c r="I1056" s="2" t="s">
        <v>7033</v>
      </c>
      <c r="J1056" s="2" t="str">
        <f>+IF(BD[[#This Row],[DEPARTAMENTO_INSS]]="MANAGUA","_01_","_02_")</f>
        <v>_01_</v>
      </c>
      <c r="K1056" s="2" t="str">
        <f>+CONCATENATE(BD[[#This Row],[Columna3]],BD[[#This Row],[Columna4]],BD[[#This Row],[NOMBRE COMPLETO]])</f>
        <v>E003_01_CLAUDIA MARIA SOLIS SOLANO</v>
      </c>
      <c r="L1056" s="2" t="s">
        <v>1850</v>
      </c>
      <c r="M1056" s="2" t="s">
        <v>724</v>
      </c>
      <c r="N1056" s="2" t="s">
        <v>111</v>
      </c>
      <c r="O1056" s="2" t="s">
        <v>318</v>
      </c>
      <c r="P1056" s="2" t="s">
        <v>626</v>
      </c>
      <c r="Q1056" s="2" t="s">
        <v>351</v>
      </c>
      <c r="R1056" s="2">
        <v>30344</v>
      </c>
      <c r="S1056" s="2">
        <v>30344</v>
      </c>
      <c r="T1056" s="2" t="s">
        <v>627</v>
      </c>
      <c r="U1056" s="2" t="s">
        <v>627</v>
      </c>
      <c r="V1056" s="2" t="s">
        <v>627</v>
      </c>
      <c r="W1056" s="2" t="s">
        <v>627</v>
      </c>
      <c r="X1056" s="2" t="s">
        <v>7034</v>
      </c>
      <c r="Y1056" s="2" t="s">
        <v>7035</v>
      </c>
      <c r="AA1056" s="2">
        <v>89620753</v>
      </c>
      <c r="AB1056" s="2" t="s">
        <v>642</v>
      </c>
      <c r="AC1056" s="2" t="s">
        <v>632</v>
      </c>
      <c r="AD1056" s="2">
        <v>89620753</v>
      </c>
      <c r="AJ1056" s="2">
        <v>89620753</v>
      </c>
      <c r="AK1056" s="2">
        <v>1</v>
      </c>
      <c r="AL1056" s="2" t="s">
        <v>633</v>
      </c>
      <c r="AM1056" s="2">
        <v>0</v>
      </c>
      <c r="AN1056" s="2">
        <v>0</v>
      </c>
      <c r="AO1056" s="2">
        <v>1</v>
      </c>
      <c r="AP1056" s="2">
        <v>0</v>
      </c>
      <c r="AQ1056" s="2">
        <v>0</v>
      </c>
      <c r="AR1056" s="2">
        <v>0</v>
      </c>
      <c r="AS1056" s="2">
        <v>0</v>
      </c>
      <c r="AT1056" s="2">
        <v>0</v>
      </c>
      <c r="BB1056" s="2" t="str">
        <f>+PROPER(BD[[#This Row],[PRIMER_APELLIDO]])</f>
        <v>Solis</v>
      </c>
    </row>
    <row r="1057" spans="1:54" x14ac:dyDescent="0.25">
      <c r="A1057" s="2">
        <v>1056</v>
      </c>
      <c r="B1057" s="2">
        <v>49805</v>
      </c>
      <c r="C1057" s="2" t="s">
        <v>619</v>
      </c>
      <c r="D1057" s="2" t="s">
        <v>620</v>
      </c>
      <c r="E1057" s="2" t="s">
        <v>7036</v>
      </c>
      <c r="F1057" s="2">
        <v>26965556</v>
      </c>
      <c r="G1057" s="3">
        <v>39.594520547945208</v>
      </c>
      <c r="H1057" s="2" t="s">
        <v>622</v>
      </c>
      <c r="I1057" s="2" t="s">
        <v>7037</v>
      </c>
      <c r="J1057" s="2" t="str">
        <f>+IF(BD[[#This Row],[DEPARTAMENTO_INSS]]="MANAGUA","_01_","_02_")</f>
        <v>_02_</v>
      </c>
      <c r="K1057" s="2" t="str">
        <f>+CONCATENATE(BD[[#This Row],[Columna3]],BD[[#This Row],[Columna4]],BD[[#This Row],[NOMBRE COMPLETO]])</f>
        <v>E003_02_ENA MARGARITA MORALES GONZALEZ</v>
      </c>
      <c r="L1057" s="2" t="s">
        <v>7038</v>
      </c>
      <c r="M1057" s="2" t="s">
        <v>937</v>
      </c>
      <c r="N1057" s="2" t="s">
        <v>82</v>
      </c>
      <c r="O1057" s="2" t="s">
        <v>14</v>
      </c>
      <c r="P1057" s="2" t="s">
        <v>626</v>
      </c>
      <c r="Q1057" s="2" t="s">
        <v>351</v>
      </c>
      <c r="R1057" s="2">
        <v>30344</v>
      </c>
      <c r="S1057" s="2">
        <v>30344</v>
      </c>
      <c r="T1057" s="2" t="s">
        <v>186</v>
      </c>
      <c r="U1057" s="2" t="s">
        <v>186</v>
      </c>
      <c r="V1057" s="2" t="s">
        <v>7039</v>
      </c>
      <c r="W1057" s="2" t="s">
        <v>7040</v>
      </c>
      <c r="X1057" s="2" t="s">
        <v>7041</v>
      </c>
      <c r="Y1057" s="2" t="s">
        <v>7042</v>
      </c>
      <c r="Z1057" s="2">
        <v>81044696</v>
      </c>
      <c r="AA1057" s="2">
        <v>81044696</v>
      </c>
      <c r="AB1057" s="2" t="s">
        <v>631</v>
      </c>
      <c r="AC1057" s="2" t="s">
        <v>632</v>
      </c>
      <c r="AD1057" s="2">
        <v>81044696</v>
      </c>
      <c r="AJ1057" s="2">
        <v>81044696</v>
      </c>
      <c r="AK1057" s="2">
        <v>2</v>
      </c>
      <c r="AL1057" s="2" t="s">
        <v>633</v>
      </c>
      <c r="AM1057" s="2">
        <v>0</v>
      </c>
      <c r="AN1057" s="2">
        <v>0</v>
      </c>
      <c r="AO1057" s="2">
        <v>1</v>
      </c>
      <c r="AP1057" s="2">
        <v>0</v>
      </c>
      <c r="AQ1057" s="2">
        <v>0</v>
      </c>
      <c r="AR1057" s="2">
        <v>0</v>
      </c>
      <c r="AS1057" s="2">
        <v>0</v>
      </c>
      <c r="AT1057" s="2">
        <v>0</v>
      </c>
      <c r="AZ1057" s="2" t="s">
        <v>7043</v>
      </c>
      <c r="BB1057" s="2" t="str">
        <f>+PROPER(BD[[#This Row],[PRIMER_APELLIDO]])</f>
        <v>Morales</v>
      </c>
    </row>
    <row r="1058" spans="1:54" x14ac:dyDescent="0.25">
      <c r="A1058" s="2">
        <v>1057</v>
      </c>
      <c r="B1058" s="2">
        <v>32656</v>
      </c>
      <c r="C1058" s="2" t="s">
        <v>619</v>
      </c>
      <c r="D1058" s="2" t="s">
        <v>620</v>
      </c>
      <c r="E1058" s="2" t="s">
        <v>7044</v>
      </c>
      <c r="F1058" s="2">
        <v>23090167</v>
      </c>
      <c r="G1058" s="3">
        <v>39.597260273972601</v>
      </c>
      <c r="H1058" s="2" t="s">
        <v>622</v>
      </c>
      <c r="I1058" s="2" t="s">
        <v>7045</v>
      </c>
      <c r="J1058" s="2" t="str">
        <f>+IF(BD[[#This Row],[DEPARTAMENTO_INSS]]="MANAGUA","_01_","_02_")</f>
        <v>_02_</v>
      </c>
      <c r="K1058" s="2" t="str">
        <f>+CONCATENATE(BD[[#This Row],[Columna3]],BD[[#This Row],[Columna4]],BD[[#This Row],[NOMBRE COMPLETO]])</f>
        <v>E003_02_MARIA CELIA ARANA MAIRENA</v>
      </c>
      <c r="L1058" s="2" t="s">
        <v>724</v>
      </c>
      <c r="M1058" s="2" t="s">
        <v>7046</v>
      </c>
      <c r="N1058" s="2" t="s">
        <v>40</v>
      </c>
      <c r="O1058" s="2" t="s">
        <v>427</v>
      </c>
      <c r="P1058" s="2" t="s">
        <v>626</v>
      </c>
      <c r="Q1058" s="2" t="s">
        <v>351</v>
      </c>
      <c r="R1058" s="2">
        <v>30343</v>
      </c>
      <c r="S1058" s="2">
        <v>30343</v>
      </c>
      <c r="T1058" s="2" t="s">
        <v>659</v>
      </c>
      <c r="U1058" s="2" t="s">
        <v>659</v>
      </c>
      <c r="V1058" s="2" t="s">
        <v>659</v>
      </c>
      <c r="W1058" s="2" t="s">
        <v>659</v>
      </c>
      <c r="X1058" s="2" t="s">
        <v>7047</v>
      </c>
      <c r="Y1058" s="2" t="s">
        <v>7048</v>
      </c>
      <c r="AA1058" s="2" t="s">
        <v>7049</v>
      </c>
      <c r="AB1058" s="2" t="s">
        <v>654</v>
      </c>
      <c r="AC1058" s="2" t="s">
        <v>632</v>
      </c>
      <c r="AE1058" s="2">
        <v>85352064</v>
      </c>
      <c r="AJ1058" s="2">
        <v>85352064</v>
      </c>
      <c r="AK1058" s="2">
        <v>2</v>
      </c>
      <c r="AL1058" s="2" t="s">
        <v>633</v>
      </c>
      <c r="AM1058" s="2">
        <v>0</v>
      </c>
      <c r="AN1058" s="2">
        <v>0</v>
      </c>
      <c r="AO1058" s="2">
        <v>1</v>
      </c>
      <c r="AP1058" s="2">
        <v>0</v>
      </c>
      <c r="AQ1058" s="2">
        <v>0</v>
      </c>
      <c r="AR1058" s="2">
        <v>0</v>
      </c>
      <c r="AS1058" s="2">
        <v>0</v>
      </c>
      <c r="AT1058" s="2">
        <v>0</v>
      </c>
      <c r="BB1058" s="2" t="str">
        <f>+PROPER(BD[[#This Row],[PRIMER_APELLIDO]])</f>
        <v>Arana</v>
      </c>
    </row>
    <row r="1059" spans="1:54" x14ac:dyDescent="0.25">
      <c r="A1059" s="2">
        <v>1058</v>
      </c>
      <c r="B1059" s="2">
        <v>29727</v>
      </c>
      <c r="C1059" s="2" t="s">
        <v>619</v>
      </c>
      <c r="D1059" s="2" t="s">
        <v>620</v>
      </c>
      <c r="E1059" s="2" t="s">
        <v>7050</v>
      </c>
      <c r="F1059" s="2">
        <v>21675142</v>
      </c>
      <c r="G1059" s="3">
        <v>39.605479452054794</v>
      </c>
      <c r="H1059" s="2" t="s">
        <v>622</v>
      </c>
      <c r="I1059" s="2" t="s">
        <v>7051</v>
      </c>
      <c r="J1059" s="2" t="str">
        <f>+IF(BD[[#This Row],[DEPARTAMENTO_INSS]]="MANAGUA","_01_","_02_")</f>
        <v>_01_</v>
      </c>
      <c r="K1059" s="2" t="str">
        <f>+CONCATENATE(BD[[#This Row],[Columna3]],BD[[#This Row],[Columna4]],BD[[#This Row],[NOMBRE COMPLETO]])</f>
        <v>E003_01_JORGE LUIS PORRAS PORTOCARRERO</v>
      </c>
      <c r="L1059" s="2" t="s">
        <v>1076</v>
      </c>
      <c r="M1059" s="2" t="s">
        <v>738</v>
      </c>
      <c r="N1059" s="2" t="s">
        <v>71</v>
      </c>
      <c r="O1059" s="2" t="s">
        <v>7052</v>
      </c>
      <c r="P1059" s="2" t="s">
        <v>649</v>
      </c>
      <c r="Q1059" s="2" t="s">
        <v>351</v>
      </c>
      <c r="R1059" s="2">
        <v>30340</v>
      </c>
      <c r="S1059" s="2">
        <v>30340</v>
      </c>
      <c r="T1059" s="2" t="s">
        <v>627</v>
      </c>
      <c r="U1059" s="2" t="s">
        <v>627</v>
      </c>
      <c r="V1059" s="2" t="s">
        <v>627</v>
      </c>
      <c r="W1059" s="2" t="s">
        <v>627</v>
      </c>
      <c r="X1059" s="2" t="s">
        <v>7053</v>
      </c>
      <c r="Y1059" s="2" t="s">
        <v>7054</v>
      </c>
      <c r="AA1059" s="2">
        <v>22669129</v>
      </c>
      <c r="AB1059" s="2" t="s">
        <v>654</v>
      </c>
      <c r="AC1059" s="2" t="s">
        <v>632</v>
      </c>
      <c r="AK1059" s="2">
        <v>1</v>
      </c>
      <c r="AL1059" s="2" t="s">
        <v>633</v>
      </c>
      <c r="AM1059" s="2">
        <v>0</v>
      </c>
      <c r="AN1059" s="2">
        <v>0</v>
      </c>
      <c r="AO1059" s="2">
        <v>1</v>
      </c>
      <c r="AP1059" s="2">
        <v>0</v>
      </c>
      <c r="AQ1059" s="2">
        <v>0</v>
      </c>
      <c r="AR1059" s="2">
        <v>0</v>
      </c>
      <c r="AS1059" s="2">
        <v>0</v>
      </c>
      <c r="AT1059" s="2">
        <v>0</v>
      </c>
      <c r="BB1059" s="2" t="str">
        <f>+PROPER(BD[[#This Row],[PRIMER_APELLIDO]])</f>
        <v>Porras</v>
      </c>
    </row>
    <row r="1060" spans="1:54" x14ac:dyDescent="0.25">
      <c r="A1060" s="2">
        <v>1059</v>
      </c>
      <c r="B1060" s="2">
        <v>31620</v>
      </c>
      <c r="C1060" s="2" t="s">
        <v>619</v>
      </c>
      <c r="D1060" s="2" t="s">
        <v>620</v>
      </c>
      <c r="E1060" s="2" t="s">
        <v>7055</v>
      </c>
      <c r="F1060" s="2">
        <v>22114598</v>
      </c>
      <c r="G1060" s="3">
        <v>39.605479452054794</v>
      </c>
      <c r="H1060" s="2" t="s">
        <v>622</v>
      </c>
      <c r="I1060" s="2" t="s">
        <v>7056</v>
      </c>
      <c r="J1060" s="2" t="str">
        <f>+IF(BD[[#This Row],[DEPARTAMENTO_INSS]]="MANAGUA","_01_","_02_")</f>
        <v>_02_</v>
      </c>
      <c r="K1060" s="2" t="str">
        <f>+CONCATENATE(BD[[#This Row],[Columna3]],BD[[#This Row],[Columna4]],BD[[#This Row],[NOMBRE COMPLETO]])</f>
        <v>E003_02_MARIA JULIETA ZUNIGA PEÑET</v>
      </c>
      <c r="L1060" s="2" t="s">
        <v>724</v>
      </c>
      <c r="M1060" s="2" t="s">
        <v>7057</v>
      </c>
      <c r="N1060" s="2" t="s">
        <v>110</v>
      </c>
      <c r="O1060" s="2" t="s">
        <v>2503</v>
      </c>
      <c r="P1060" s="2" t="s">
        <v>626</v>
      </c>
      <c r="Q1060" s="2" t="s">
        <v>351</v>
      </c>
      <c r="R1060" s="2">
        <v>30340</v>
      </c>
      <c r="S1060" s="2">
        <v>30340</v>
      </c>
      <c r="T1060" s="2" t="s">
        <v>740</v>
      </c>
      <c r="U1060" s="2" t="s">
        <v>740</v>
      </c>
      <c r="V1060" s="2" t="s">
        <v>1788</v>
      </c>
      <c r="W1060" s="2" t="s">
        <v>1789</v>
      </c>
      <c r="X1060" s="2" t="s">
        <v>7058</v>
      </c>
      <c r="Y1060" s="2" t="s">
        <v>7059</v>
      </c>
      <c r="AA1060" s="2">
        <v>88365922</v>
      </c>
      <c r="AB1060" s="2" t="s">
        <v>642</v>
      </c>
      <c r="AC1060" s="2" t="s">
        <v>632</v>
      </c>
      <c r="AD1060" s="2">
        <v>88365922</v>
      </c>
      <c r="AJ1060" s="2">
        <v>88365922</v>
      </c>
      <c r="AK1060" s="2">
        <v>1</v>
      </c>
      <c r="AL1060" s="2" t="s">
        <v>633</v>
      </c>
      <c r="AM1060" s="2">
        <v>0</v>
      </c>
      <c r="AN1060" s="2">
        <v>0</v>
      </c>
      <c r="AO1060" s="2">
        <v>1</v>
      </c>
      <c r="AP1060" s="2">
        <v>0</v>
      </c>
      <c r="AQ1060" s="2">
        <v>0</v>
      </c>
      <c r="AR1060" s="2">
        <v>0</v>
      </c>
      <c r="AS1060" s="2">
        <v>0</v>
      </c>
      <c r="AT1060" s="2">
        <v>0</v>
      </c>
      <c r="BB1060" s="2" t="str">
        <f>+PROPER(BD[[#This Row],[PRIMER_APELLIDO]])</f>
        <v>Zuniga</v>
      </c>
    </row>
    <row r="1061" spans="1:54" x14ac:dyDescent="0.25">
      <c r="A1061" s="2">
        <v>1060</v>
      </c>
      <c r="B1061" s="2">
        <v>34304</v>
      </c>
      <c r="C1061" s="2" t="s">
        <v>619</v>
      </c>
      <c r="D1061" s="2" t="s">
        <v>620</v>
      </c>
      <c r="E1061" s="2" t="s">
        <v>7060</v>
      </c>
      <c r="F1061" s="2">
        <v>21727335</v>
      </c>
      <c r="G1061" s="3">
        <v>39.610958904109587</v>
      </c>
      <c r="H1061" s="2" t="s">
        <v>622</v>
      </c>
      <c r="I1061" s="2" t="s">
        <v>7061</v>
      </c>
      <c r="J1061" s="2" t="str">
        <f>+IF(BD[[#This Row],[DEPARTAMENTO_INSS]]="MANAGUA","_01_","_02_")</f>
        <v>_02_</v>
      </c>
      <c r="K1061" s="2" t="str">
        <f>+CONCATENATE(BD[[#This Row],[Columna3]],BD[[#This Row],[Columna4]],BD[[#This Row],[NOMBRE COMPLETO]])</f>
        <v>E003_02_CRISTINA JOSEFA LACAYO GUTIERREZ</v>
      </c>
      <c r="L1061" s="2" t="s">
        <v>1795</v>
      </c>
      <c r="M1061" s="2" t="s">
        <v>625</v>
      </c>
      <c r="N1061" s="2" t="s">
        <v>148</v>
      </c>
      <c r="O1061" s="2" t="s">
        <v>171</v>
      </c>
      <c r="P1061" s="2" t="s">
        <v>626</v>
      </c>
      <c r="Q1061" s="2" t="s">
        <v>351</v>
      </c>
      <c r="R1061" s="2">
        <v>30338</v>
      </c>
      <c r="S1061" s="2">
        <v>30338</v>
      </c>
      <c r="T1061" s="2" t="s">
        <v>740</v>
      </c>
      <c r="U1061" s="2" t="s">
        <v>740</v>
      </c>
      <c r="V1061" s="2" t="s">
        <v>740</v>
      </c>
      <c r="W1061" s="2" t="s">
        <v>740</v>
      </c>
      <c r="X1061" s="2" t="s">
        <v>7062</v>
      </c>
      <c r="Y1061" s="2" t="s">
        <v>7063</v>
      </c>
      <c r="Z1061" s="2">
        <v>87967679</v>
      </c>
      <c r="AA1061" s="2">
        <v>87967679</v>
      </c>
      <c r="AB1061" s="2" t="s">
        <v>642</v>
      </c>
      <c r="AC1061" s="2" t="s">
        <v>632</v>
      </c>
      <c r="AD1061" s="2">
        <v>87967679</v>
      </c>
      <c r="AJ1061" s="2">
        <v>87967679</v>
      </c>
      <c r="AK1061" s="2">
        <v>2</v>
      </c>
      <c r="AL1061" s="2" t="s">
        <v>633</v>
      </c>
      <c r="AM1061" s="2">
        <v>0</v>
      </c>
      <c r="AN1061" s="2">
        <v>0</v>
      </c>
      <c r="AO1061" s="2">
        <v>1</v>
      </c>
      <c r="AP1061" s="2">
        <v>0</v>
      </c>
      <c r="AQ1061" s="2">
        <v>0</v>
      </c>
      <c r="AR1061" s="2">
        <v>0</v>
      </c>
      <c r="AS1061" s="2">
        <v>0</v>
      </c>
      <c r="AT1061" s="2">
        <v>0</v>
      </c>
      <c r="BB1061" s="2" t="str">
        <f>+PROPER(BD[[#This Row],[PRIMER_APELLIDO]])</f>
        <v>Lacayo</v>
      </c>
    </row>
    <row r="1062" spans="1:54" x14ac:dyDescent="0.25">
      <c r="A1062" s="2">
        <v>1061</v>
      </c>
      <c r="B1062" s="2">
        <v>47953</v>
      </c>
      <c r="C1062" s="2" t="s">
        <v>619</v>
      </c>
      <c r="D1062" s="2" t="s">
        <v>620</v>
      </c>
      <c r="E1062" s="2" t="s">
        <v>7064</v>
      </c>
      <c r="F1062" s="2">
        <v>25624861</v>
      </c>
      <c r="G1062" s="3">
        <v>39.613698630136987</v>
      </c>
      <c r="H1062" s="2" t="s">
        <v>622</v>
      </c>
      <c r="I1062" s="2" t="s">
        <v>7065</v>
      </c>
      <c r="J1062" s="2" t="str">
        <f>+IF(BD[[#This Row],[DEPARTAMENTO_INSS]]="MANAGUA","_01_","_02_")</f>
        <v>_01_</v>
      </c>
      <c r="K1062" s="2" t="str">
        <f>+CONCATENATE(BD[[#This Row],[Columna3]],BD[[#This Row],[Columna4]],BD[[#This Row],[NOMBRE COMPLETO]])</f>
        <v>E003_01_ZEIDY KARINA ZAPATA MADRIGAL</v>
      </c>
      <c r="L1062" s="2" t="s">
        <v>7066</v>
      </c>
      <c r="M1062" s="2" t="s">
        <v>1614</v>
      </c>
      <c r="N1062" s="2" t="s">
        <v>222</v>
      </c>
      <c r="O1062" s="2" t="s">
        <v>458</v>
      </c>
      <c r="P1062" s="2" t="s">
        <v>626</v>
      </c>
      <c r="Q1062" s="2" t="s">
        <v>351</v>
      </c>
      <c r="R1062" s="2">
        <v>30337</v>
      </c>
      <c r="S1062" s="2">
        <v>30337</v>
      </c>
      <c r="T1062" s="2" t="s">
        <v>627</v>
      </c>
      <c r="U1062" s="2" t="s">
        <v>627</v>
      </c>
      <c r="V1062" s="2" t="s">
        <v>1026</v>
      </c>
      <c r="W1062" s="2" t="s">
        <v>1026</v>
      </c>
      <c r="X1062" s="2" t="s">
        <v>7067</v>
      </c>
      <c r="Y1062" s="2" t="s">
        <v>7068</v>
      </c>
      <c r="AA1062" s="2">
        <v>84203867</v>
      </c>
      <c r="AB1062" s="2" t="s">
        <v>642</v>
      </c>
      <c r="AC1062" s="2" t="s">
        <v>632</v>
      </c>
      <c r="AD1062" s="2">
        <v>84203867</v>
      </c>
      <c r="AJ1062" s="2">
        <v>84203867</v>
      </c>
      <c r="AK1062" s="2">
        <v>1</v>
      </c>
      <c r="AL1062" s="2" t="s">
        <v>633</v>
      </c>
      <c r="AM1062" s="2">
        <v>0</v>
      </c>
      <c r="AN1062" s="2">
        <v>0</v>
      </c>
      <c r="AO1062" s="2">
        <v>1</v>
      </c>
      <c r="AP1062" s="2">
        <v>0</v>
      </c>
      <c r="AQ1062" s="2">
        <v>0</v>
      </c>
      <c r="AR1062" s="2">
        <v>0</v>
      </c>
      <c r="AS1062" s="2">
        <v>0</v>
      </c>
      <c r="AT1062" s="2">
        <v>0</v>
      </c>
      <c r="BB1062" s="2" t="str">
        <f>+PROPER(BD[[#This Row],[PRIMER_APELLIDO]])</f>
        <v>Zapata</v>
      </c>
    </row>
    <row r="1063" spans="1:54" x14ac:dyDescent="0.25">
      <c r="A1063" s="2">
        <v>1062</v>
      </c>
      <c r="B1063" s="2">
        <v>30317</v>
      </c>
      <c r="C1063" s="2" t="s">
        <v>619</v>
      </c>
      <c r="D1063" s="2" t="s">
        <v>620</v>
      </c>
      <c r="E1063" s="2" t="s">
        <v>7069</v>
      </c>
      <c r="G1063" s="3">
        <v>39.61917808219178</v>
      </c>
      <c r="H1063" s="2" t="s">
        <v>622</v>
      </c>
      <c r="I1063" s="2" t="s">
        <v>7070</v>
      </c>
      <c r="J1063" s="2" t="str">
        <f>+IF(BD[[#This Row],[DEPARTAMENTO_INSS]]="MANAGUA","_01_","_02_")</f>
        <v>_02_</v>
      </c>
      <c r="K1063" s="2" t="str">
        <f>+CONCATENATE(BD[[#This Row],[Columna3]],BD[[#This Row],[Columna4]],BD[[#This Row],[NOMBRE COMPLETO]])</f>
        <v>E003_02_MIDALIA SALVADORA MUÑOZ LOPEZ</v>
      </c>
      <c r="L1063" s="2" t="s">
        <v>7071</v>
      </c>
      <c r="M1063" s="2" t="s">
        <v>7072</v>
      </c>
      <c r="N1063" s="2" t="s">
        <v>356</v>
      </c>
      <c r="O1063" s="2" t="s">
        <v>15</v>
      </c>
      <c r="P1063" s="2" t="s">
        <v>626</v>
      </c>
      <c r="Q1063" s="2" t="s">
        <v>351</v>
      </c>
      <c r="R1063" s="2">
        <v>30335</v>
      </c>
      <c r="S1063" s="2">
        <v>30335</v>
      </c>
      <c r="T1063" s="2" t="s">
        <v>740</v>
      </c>
      <c r="U1063" s="2" t="s">
        <v>740</v>
      </c>
      <c r="V1063" s="2" t="s">
        <v>1788</v>
      </c>
      <c r="W1063" s="2" t="s">
        <v>1789</v>
      </c>
      <c r="X1063" s="2" t="s">
        <v>7073</v>
      </c>
      <c r="Y1063" s="2" t="s">
        <v>7074</v>
      </c>
      <c r="Z1063" s="2">
        <v>86128487</v>
      </c>
      <c r="AB1063" s="2" t="s">
        <v>642</v>
      </c>
      <c r="AC1063" s="2" t="s">
        <v>632</v>
      </c>
      <c r="AD1063" s="2">
        <v>86128487</v>
      </c>
      <c r="AJ1063" s="2">
        <v>86128487</v>
      </c>
      <c r="AK1063" s="2">
        <v>1</v>
      </c>
      <c r="AL1063" s="2" t="s">
        <v>633</v>
      </c>
      <c r="AM1063" s="2">
        <v>0</v>
      </c>
      <c r="AN1063" s="2">
        <v>0</v>
      </c>
      <c r="AO1063" s="2">
        <v>1</v>
      </c>
      <c r="AP1063" s="2">
        <v>0</v>
      </c>
      <c r="AQ1063" s="2">
        <v>0</v>
      </c>
      <c r="AR1063" s="2">
        <v>0</v>
      </c>
      <c r="AS1063" s="2">
        <v>0</v>
      </c>
      <c r="AT1063" s="2">
        <v>0</v>
      </c>
      <c r="BB1063" s="2" t="str">
        <f>+PROPER(BD[[#This Row],[PRIMER_APELLIDO]])</f>
        <v>Muñoz</v>
      </c>
    </row>
    <row r="1064" spans="1:54" x14ac:dyDescent="0.25">
      <c r="A1064" s="2">
        <v>1063</v>
      </c>
      <c r="B1064" s="2">
        <v>76259</v>
      </c>
      <c r="C1064" s="2" t="s">
        <v>619</v>
      </c>
      <c r="D1064" s="2" t="s">
        <v>620</v>
      </c>
      <c r="E1064" s="2" t="s">
        <v>7075</v>
      </c>
      <c r="G1064" s="3">
        <v>39.62191780821918</v>
      </c>
      <c r="H1064" s="2" t="s">
        <v>622</v>
      </c>
      <c r="I1064" s="2" t="s">
        <v>7076</v>
      </c>
      <c r="J1064" s="2" t="str">
        <f>+IF(BD[[#This Row],[DEPARTAMENTO_INSS]]="MANAGUA","_01_","_02_")</f>
        <v>_02_</v>
      </c>
      <c r="K1064" s="2" t="str">
        <f>+CONCATENATE(BD[[#This Row],[Columna3]],BD[[#This Row],[Columna4]],BD[[#This Row],[NOMBRE COMPLETO]])</f>
        <v>E003_02_FREDDY FRANCIS MARTINEZ</v>
      </c>
      <c r="L1064" s="2" t="s">
        <v>1765</v>
      </c>
      <c r="N1064" s="2" t="s">
        <v>362</v>
      </c>
      <c r="O1064" s="2" t="s">
        <v>44</v>
      </c>
      <c r="P1064" s="2" t="s">
        <v>649</v>
      </c>
      <c r="Q1064" s="2" t="s">
        <v>351</v>
      </c>
      <c r="R1064" s="2">
        <v>30334</v>
      </c>
      <c r="S1064" s="2">
        <v>30334</v>
      </c>
      <c r="T1064" s="2" t="s">
        <v>1005</v>
      </c>
      <c r="U1064" s="2" t="s">
        <v>1005</v>
      </c>
      <c r="V1064" s="2" t="s">
        <v>1006</v>
      </c>
      <c r="W1064" s="2" t="s">
        <v>1006</v>
      </c>
      <c r="X1064" s="2" t="s">
        <v>7077</v>
      </c>
      <c r="Y1064" s="2" t="s">
        <v>7078</v>
      </c>
      <c r="Z1064" s="2">
        <v>86291198</v>
      </c>
      <c r="AA1064" s="2">
        <v>57082347</v>
      </c>
      <c r="AB1064" s="2" t="s">
        <v>654</v>
      </c>
      <c r="AC1064" s="2" t="s">
        <v>632</v>
      </c>
      <c r="AD1064" s="2">
        <v>86291198</v>
      </c>
      <c r="AF1064" s="2">
        <v>57082347</v>
      </c>
      <c r="AJ1064" s="2">
        <v>86291198</v>
      </c>
      <c r="AK1064" s="2">
        <v>2</v>
      </c>
      <c r="AL1064" s="2" t="s">
        <v>633</v>
      </c>
      <c r="AM1064" s="2">
        <v>0</v>
      </c>
      <c r="AN1064" s="2">
        <v>0</v>
      </c>
      <c r="AO1064" s="2">
        <v>1</v>
      </c>
      <c r="AP1064" s="2">
        <v>0</v>
      </c>
      <c r="AQ1064" s="2">
        <v>0</v>
      </c>
      <c r="AR1064" s="2">
        <v>0</v>
      </c>
      <c r="AS1064" s="2">
        <v>0</v>
      </c>
      <c r="AT1064" s="2">
        <v>0</v>
      </c>
      <c r="AZ1064" s="2" t="s">
        <v>7079</v>
      </c>
      <c r="BA1064" s="2" t="s">
        <v>7079</v>
      </c>
      <c r="BB1064" s="2" t="str">
        <f>+PROPER(BD[[#This Row],[PRIMER_APELLIDO]])</f>
        <v>Francis</v>
      </c>
    </row>
    <row r="1065" spans="1:54" x14ac:dyDescent="0.25">
      <c r="A1065" s="2">
        <v>1064</v>
      </c>
      <c r="B1065" s="2">
        <v>34423</v>
      </c>
      <c r="C1065" s="2" t="s">
        <v>619</v>
      </c>
      <c r="D1065" s="2" t="s">
        <v>620</v>
      </c>
      <c r="E1065" s="2" t="s">
        <v>7080</v>
      </c>
      <c r="G1065" s="3">
        <v>39.624657534246573</v>
      </c>
      <c r="H1065" s="2" t="s">
        <v>622</v>
      </c>
      <c r="I1065" s="2" t="s">
        <v>7081</v>
      </c>
      <c r="J1065" s="2" t="str">
        <f>+IF(BD[[#This Row],[DEPARTAMENTO_INSS]]="MANAGUA","_01_","_02_")</f>
        <v>_02_</v>
      </c>
      <c r="K1065" s="2" t="str">
        <f>+CONCATENATE(BD[[#This Row],[Columna3]],BD[[#This Row],[Columna4]],BD[[#This Row],[NOMBRE COMPLETO]])</f>
        <v>E003_02_YAJAIRA AGUEDA GARCIA CANALE</v>
      </c>
      <c r="L1065" s="2" t="s">
        <v>770</v>
      </c>
      <c r="M1065" s="2" t="s">
        <v>7082</v>
      </c>
      <c r="N1065" s="2" t="s">
        <v>10</v>
      </c>
      <c r="O1065" s="2" t="s">
        <v>7083</v>
      </c>
      <c r="P1065" s="2" t="s">
        <v>626</v>
      </c>
      <c r="Q1065" s="2" t="s">
        <v>351</v>
      </c>
      <c r="R1065" s="2">
        <v>30333</v>
      </c>
      <c r="S1065" s="2">
        <v>30333</v>
      </c>
      <c r="T1065" s="2" t="s">
        <v>176</v>
      </c>
      <c r="U1065" s="2" t="s">
        <v>176</v>
      </c>
      <c r="V1065" s="2" t="s">
        <v>2609</v>
      </c>
      <c r="W1065" s="2" t="s">
        <v>2609</v>
      </c>
      <c r="X1065" s="2" t="s">
        <v>7084</v>
      </c>
      <c r="Y1065" s="2" t="s">
        <v>7085</v>
      </c>
      <c r="Z1065" s="2">
        <v>84682139</v>
      </c>
      <c r="AA1065" s="2">
        <v>84682139</v>
      </c>
      <c r="AB1065" s="2" t="s">
        <v>654</v>
      </c>
      <c r="AC1065" s="2" t="s">
        <v>632</v>
      </c>
      <c r="AD1065" s="2">
        <v>84682139</v>
      </c>
      <c r="AJ1065" s="2">
        <v>84682139</v>
      </c>
      <c r="AK1065" s="2">
        <v>2</v>
      </c>
      <c r="AL1065" s="2" t="s">
        <v>633</v>
      </c>
      <c r="AM1065" s="2">
        <v>0</v>
      </c>
      <c r="AN1065" s="2">
        <v>0</v>
      </c>
      <c r="AO1065" s="2">
        <v>1</v>
      </c>
      <c r="AP1065" s="2">
        <v>0</v>
      </c>
      <c r="AQ1065" s="2">
        <v>0</v>
      </c>
      <c r="AR1065" s="2">
        <v>0</v>
      </c>
      <c r="AS1065" s="2">
        <v>0</v>
      </c>
      <c r="AT1065" s="2">
        <v>0</v>
      </c>
      <c r="BB1065" s="2" t="str">
        <f>+PROPER(BD[[#This Row],[PRIMER_APELLIDO]])</f>
        <v>Garcia</v>
      </c>
    </row>
    <row r="1066" spans="1:54" x14ac:dyDescent="0.25">
      <c r="A1066" s="2">
        <v>1065</v>
      </c>
      <c r="B1066" s="2">
        <v>30108</v>
      </c>
      <c r="C1066" s="2" t="s">
        <v>619</v>
      </c>
      <c r="D1066" s="2" t="s">
        <v>620</v>
      </c>
      <c r="E1066" s="2" t="s">
        <v>7086</v>
      </c>
      <c r="F1066" s="2">
        <v>21658156</v>
      </c>
      <c r="G1066" s="3">
        <v>39.627397260273973</v>
      </c>
      <c r="H1066" s="2" t="s">
        <v>622</v>
      </c>
      <c r="I1066" s="2" t="s">
        <v>7087</v>
      </c>
      <c r="J1066" s="2" t="str">
        <f>+IF(BD[[#This Row],[DEPARTAMENTO_INSS]]="MANAGUA","_01_","_02_")</f>
        <v>_02_</v>
      </c>
      <c r="K1066" s="2" t="str">
        <f>+CONCATENATE(BD[[#This Row],[Columna3]],BD[[#This Row],[Columna4]],BD[[#This Row],[NOMBRE COMPLETO]])</f>
        <v>E003_02_LAZARO JOSE CASTELLON SALINAS</v>
      </c>
      <c r="L1066" s="2" t="s">
        <v>7088</v>
      </c>
      <c r="M1066" s="2" t="s">
        <v>243</v>
      </c>
      <c r="N1066" s="2" t="s">
        <v>22</v>
      </c>
      <c r="O1066" s="2" t="s">
        <v>114</v>
      </c>
      <c r="P1066" s="2" t="s">
        <v>649</v>
      </c>
      <c r="Q1066" s="2" t="s">
        <v>351</v>
      </c>
      <c r="R1066" s="2">
        <v>30332</v>
      </c>
      <c r="S1066" s="2">
        <v>30332</v>
      </c>
      <c r="T1066" s="2" t="s">
        <v>176</v>
      </c>
      <c r="U1066" s="2" t="s">
        <v>176</v>
      </c>
      <c r="V1066" s="2" t="s">
        <v>650</v>
      </c>
      <c r="W1066" s="2" t="s">
        <v>176</v>
      </c>
      <c r="X1066" s="2" t="s">
        <v>7089</v>
      </c>
      <c r="Y1066" s="2" t="s">
        <v>7090</v>
      </c>
      <c r="Z1066" s="2">
        <v>88543255</v>
      </c>
      <c r="AA1066" s="2">
        <v>86941261</v>
      </c>
      <c r="AB1066" s="2" t="s">
        <v>654</v>
      </c>
      <c r="AC1066" s="2" t="s">
        <v>632</v>
      </c>
      <c r="AD1066" s="2">
        <v>88543255</v>
      </c>
      <c r="AF1066" s="2">
        <v>86941261</v>
      </c>
      <c r="AJ1066" s="2">
        <v>88543255</v>
      </c>
      <c r="AK1066" s="2">
        <v>2</v>
      </c>
      <c r="AL1066" s="2" t="s">
        <v>633</v>
      </c>
      <c r="AM1066" s="2">
        <v>0</v>
      </c>
      <c r="AN1066" s="2">
        <v>0</v>
      </c>
      <c r="AO1066" s="2">
        <v>1</v>
      </c>
      <c r="AP1066" s="2">
        <v>0</v>
      </c>
      <c r="AQ1066" s="2">
        <v>0</v>
      </c>
      <c r="AR1066" s="2">
        <v>0</v>
      </c>
      <c r="AS1066" s="2">
        <v>0</v>
      </c>
      <c r="AT1066" s="2">
        <v>0</v>
      </c>
      <c r="AZ1066" s="2" t="s">
        <v>7091</v>
      </c>
      <c r="BB1066" s="2" t="str">
        <f>+PROPER(BD[[#This Row],[PRIMER_APELLIDO]])</f>
        <v>Castellon</v>
      </c>
    </row>
    <row r="1067" spans="1:54" x14ac:dyDescent="0.25">
      <c r="A1067" s="2">
        <v>1066</v>
      </c>
      <c r="B1067" s="2">
        <v>30266</v>
      </c>
      <c r="C1067" s="2" t="s">
        <v>619</v>
      </c>
      <c r="D1067" s="2" t="s">
        <v>620</v>
      </c>
      <c r="E1067" s="2" t="s">
        <v>7092</v>
      </c>
      <c r="F1067" s="2">
        <v>21671009</v>
      </c>
      <c r="G1067" s="3">
        <v>39.635616438356166</v>
      </c>
      <c r="H1067" s="2" t="s">
        <v>622</v>
      </c>
      <c r="I1067" s="2" t="s">
        <v>7093</v>
      </c>
      <c r="J1067" s="2" t="str">
        <f>+IF(BD[[#This Row],[DEPARTAMENTO_INSS]]="MANAGUA","_01_","_02_")</f>
        <v>_01_</v>
      </c>
      <c r="K1067" s="2" t="str">
        <f>+CONCATENATE(BD[[#This Row],[Columna3]],BD[[#This Row],[Columna4]],BD[[#This Row],[NOMBRE COMPLETO]])</f>
        <v>E003_01_ALEJANDRA MARIA PARAMO ZAPATA</v>
      </c>
      <c r="L1067" s="2" t="s">
        <v>1242</v>
      </c>
      <c r="M1067" s="2" t="s">
        <v>724</v>
      </c>
      <c r="N1067" s="2" t="s">
        <v>397</v>
      </c>
      <c r="O1067" s="2" t="s">
        <v>222</v>
      </c>
      <c r="P1067" s="2" t="s">
        <v>626</v>
      </c>
      <c r="Q1067" s="2" t="s">
        <v>351</v>
      </c>
      <c r="R1067" s="2">
        <v>30329</v>
      </c>
      <c r="S1067" s="2">
        <v>30329</v>
      </c>
      <c r="T1067" s="2" t="s">
        <v>627</v>
      </c>
      <c r="U1067" s="2" t="s">
        <v>627</v>
      </c>
      <c r="V1067" s="2" t="s">
        <v>627</v>
      </c>
      <c r="W1067" s="2" t="s">
        <v>627</v>
      </c>
      <c r="X1067" s="2" t="s">
        <v>7094</v>
      </c>
      <c r="Y1067" s="2" t="s">
        <v>7095</v>
      </c>
      <c r="Z1067" s="2">
        <v>87871409</v>
      </c>
      <c r="AB1067" s="2" t="s">
        <v>642</v>
      </c>
      <c r="AC1067" s="2" t="s">
        <v>632</v>
      </c>
      <c r="AD1067" s="2">
        <v>87871409</v>
      </c>
      <c r="AJ1067" s="2">
        <v>87871409</v>
      </c>
      <c r="AK1067" s="2">
        <v>1</v>
      </c>
      <c r="AL1067" s="2" t="s">
        <v>633</v>
      </c>
      <c r="AM1067" s="2">
        <v>0</v>
      </c>
      <c r="AN1067" s="2">
        <v>0</v>
      </c>
      <c r="AO1067" s="2">
        <v>1</v>
      </c>
      <c r="AP1067" s="2">
        <v>0</v>
      </c>
      <c r="AQ1067" s="2">
        <v>0</v>
      </c>
      <c r="AR1067" s="2">
        <v>0</v>
      </c>
      <c r="AS1067" s="2">
        <v>0</v>
      </c>
      <c r="AT1067" s="2">
        <v>0</v>
      </c>
      <c r="AZ1067" s="2" t="s">
        <v>7096</v>
      </c>
      <c r="BB1067" s="2" t="str">
        <f>+PROPER(BD[[#This Row],[PRIMER_APELLIDO]])</f>
        <v>Paramo</v>
      </c>
    </row>
    <row r="1068" spans="1:54" x14ac:dyDescent="0.25">
      <c r="A1068" s="2">
        <v>1067</v>
      </c>
      <c r="B1068" s="2">
        <v>47926</v>
      </c>
      <c r="C1068" s="2" t="s">
        <v>619</v>
      </c>
      <c r="D1068" s="2" t="s">
        <v>620</v>
      </c>
      <c r="E1068" s="2" t="s">
        <v>7097</v>
      </c>
      <c r="F1068" s="2">
        <v>25625062</v>
      </c>
      <c r="G1068" s="3">
        <v>39.635616438356166</v>
      </c>
      <c r="H1068" s="2" t="s">
        <v>622</v>
      </c>
      <c r="I1068" s="2" t="s">
        <v>7098</v>
      </c>
      <c r="J1068" s="2" t="str">
        <f>+IF(BD[[#This Row],[DEPARTAMENTO_INSS]]="MANAGUA","_01_","_02_")</f>
        <v>_02_</v>
      </c>
      <c r="K1068" s="2" t="str">
        <f>+CONCATENATE(BD[[#This Row],[Columna3]],BD[[#This Row],[Columna4]],BD[[#This Row],[NOMBRE COMPLETO]])</f>
        <v>E003_02_MARIA IDANIA GUTIERREZ MALTEZ</v>
      </c>
      <c r="L1068" s="2" t="s">
        <v>724</v>
      </c>
      <c r="M1068" s="2" t="s">
        <v>6042</v>
      </c>
      <c r="N1068" s="2" t="s">
        <v>171</v>
      </c>
      <c r="O1068" s="2" t="s">
        <v>551</v>
      </c>
      <c r="P1068" s="2" t="s">
        <v>626</v>
      </c>
      <c r="Q1068" s="2" t="s">
        <v>351</v>
      </c>
      <c r="R1068" s="2">
        <v>30329</v>
      </c>
      <c r="S1068" s="2">
        <v>30329</v>
      </c>
      <c r="T1068" s="2" t="s">
        <v>627</v>
      </c>
      <c r="U1068" s="2" t="s">
        <v>929</v>
      </c>
      <c r="V1068" s="2" t="s">
        <v>627</v>
      </c>
      <c r="W1068" s="2" t="s">
        <v>1882</v>
      </c>
      <c r="X1068" s="2" t="s">
        <v>7099</v>
      </c>
      <c r="Y1068" s="2" t="s">
        <v>7100</v>
      </c>
      <c r="AA1068" s="2">
        <v>89313480</v>
      </c>
      <c r="AB1068" s="2" t="s">
        <v>642</v>
      </c>
      <c r="AC1068" s="2" t="s">
        <v>632</v>
      </c>
      <c r="AD1068" s="2">
        <v>89313480</v>
      </c>
      <c r="AJ1068" s="2">
        <v>89313480</v>
      </c>
      <c r="AK1068" s="2">
        <v>1</v>
      </c>
      <c r="AL1068" s="2" t="s">
        <v>633</v>
      </c>
      <c r="AM1068" s="2">
        <v>0</v>
      </c>
      <c r="AN1068" s="2">
        <v>0</v>
      </c>
      <c r="AO1068" s="2">
        <v>1</v>
      </c>
      <c r="AP1068" s="2">
        <v>0</v>
      </c>
      <c r="AQ1068" s="2">
        <v>0</v>
      </c>
      <c r="AR1068" s="2">
        <v>0</v>
      </c>
      <c r="AS1068" s="2">
        <v>0</v>
      </c>
      <c r="AT1068" s="2">
        <v>0</v>
      </c>
      <c r="BB1068" s="2" t="str">
        <f>+PROPER(BD[[#This Row],[PRIMER_APELLIDO]])</f>
        <v>Gutierrez</v>
      </c>
    </row>
    <row r="1069" spans="1:54" x14ac:dyDescent="0.25">
      <c r="A1069" s="2">
        <v>1068</v>
      </c>
      <c r="B1069" s="2">
        <v>24906</v>
      </c>
      <c r="C1069" s="2" t="s">
        <v>619</v>
      </c>
      <c r="D1069" s="2" t="s">
        <v>620</v>
      </c>
      <c r="E1069" s="2" t="s">
        <v>7101</v>
      </c>
      <c r="F1069" s="2">
        <v>19099798</v>
      </c>
      <c r="G1069" s="3">
        <v>39.638356164383559</v>
      </c>
      <c r="H1069" s="2" t="s">
        <v>622</v>
      </c>
      <c r="I1069" s="2" t="s">
        <v>7102</v>
      </c>
      <c r="J1069" s="2" t="str">
        <f>+IF(BD[[#This Row],[DEPARTAMENTO_INSS]]="MANAGUA","_01_","_02_")</f>
        <v>_01_</v>
      </c>
      <c r="K1069" s="2" t="str">
        <f>+CONCATENATE(BD[[#This Row],[Columna3]],BD[[#This Row],[Columna4]],BD[[#This Row],[NOMBRE COMPLETO]])</f>
        <v>E003_01_RODOLFO RAMON ABURTO NOGUERA</v>
      </c>
      <c r="L1069" s="2" t="s">
        <v>2511</v>
      </c>
      <c r="M1069" s="2" t="s">
        <v>3218</v>
      </c>
      <c r="N1069" s="2" t="s">
        <v>35</v>
      </c>
      <c r="O1069" s="2" t="s">
        <v>352</v>
      </c>
      <c r="P1069" s="2" t="s">
        <v>649</v>
      </c>
      <c r="Q1069" s="2" t="s">
        <v>6273</v>
      </c>
      <c r="R1069" s="2">
        <v>30328</v>
      </c>
      <c r="S1069" s="2">
        <v>30328</v>
      </c>
      <c r="T1069" s="2" t="s">
        <v>627</v>
      </c>
      <c r="U1069" s="2" t="s">
        <v>627</v>
      </c>
      <c r="V1069" s="2" t="s">
        <v>627</v>
      </c>
      <c r="W1069" s="2" t="s">
        <v>627</v>
      </c>
      <c r="X1069" s="2" t="s">
        <v>7103</v>
      </c>
      <c r="Y1069" s="2" t="s">
        <v>7104</v>
      </c>
      <c r="Z1069" s="2" t="s">
        <v>7105</v>
      </c>
      <c r="AA1069" s="2" t="s">
        <v>7106</v>
      </c>
      <c r="AB1069" s="2" t="s">
        <v>654</v>
      </c>
      <c r="AC1069" s="2" t="s">
        <v>632</v>
      </c>
      <c r="AE1069" s="2">
        <v>88853753</v>
      </c>
      <c r="AH1069" s="2">
        <v>88853753</v>
      </c>
      <c r="AJ1069" s="2">
        <v>88853753</v>
      </c>
      <c r="AK1069" s="2">
        <v>5</v>
      </c>
      <c r="AL1069" s="2" t="s">
        <v>633</v>
      </c>
      <c r="AM1069" s="2">
        <v>0</v>
      </c>
      <c r="AN1069" s="2">
        <v>0</v>
      </c>
      <c r="AO1069" s="2">
        <v>1</v>
      </c>
      <c r="AP1069" s="2">
        <v>0</v>
      </c>
      <c r="AQ1069" s="2">
        <v>0</v>
      </c>
      <c r="AR1069" s="2">
        <v>0</v>
      </c>
      <c r="AS1069" s="2">
        <v>0</v>
      </c>
      <c r="AT1069" s="2">
        <v>0</v>
      </c>
      <c r="AZ1069" s="2" t="s">
        <v>7107</v>
      </c>
      <c r="BA1069" s="2" t="s">
        <v>7108</v>
      </c>
      <c r="BB1069" s="2" t="str">
        <f>+PROPER(BD[[#This Row],[PRIMER_APELLIDO]])</f>
        <v>Aburto</v>
      </c>
    </row>
    <row r="1070" spans="1:54" x14ac:dyDescent="0.25">
      <c r="A1070" s="2">
        <v>1069</v>
      </c>
      <c r="B1070" s="2">
        <v>25593</v>
      </c>
      <c r="C1070" s="2" t="s">
        <v>619</v>
      </c>
      <c r="D1070" s="2" t="s">
        <v>620</v>
      </c>
      <c r="E1070" s="2" t="s">
        <v>7109</v>
      </c>
      <c r="G1070" s="3">
        <v>39.649315068493152</v>
      </c>
      <c r="H1070" s="2" t="s">
        <v>622</v>
      </c>
      <c r="I1070" s="2" t="s">
        <v>7110</v>
      </c>
      <c r="J1070" s="2" t="str">
        <f>+IF(BD[[#This Row],[DEPARTAMENTO_INSS]]="MANAGUA","_01_","_02_")</f>
        <v>_02_</v>
      </c>
      <c r="K1070" s="2" t="str">
        <f>+CONCATENATE(BD[[#This Row],[Columna3]],BD[[#This Row],[Columna4]],BD[[#This Row],[NOMBRE COMPLETO]])</f>
        <v>E003_02_RICARDO JAVIER MENDOZA</v>
      </c>
      <c r="L1070" s="2" t="s">
        <v>4501</v>
      </c>
      <c r="M1070" s="2" t="s">
        <v>975</v>
      </c>
      <c r="N1070" s="2" t="s">
        <v>9</v>
      </c>
      <c r="P1070" s="2" t="s">
        <v>649</v>
      </c>
      <c r="Q1070" s="2" t="s">
        <v>351</v>
      </c>
      <c r="R1070" s="2">
        <v>30324</v>
      </c>
      <c r="S1070" s="2">
        <v>30324</v>
      </c>
      <c r="T1070" s="2" t="s">
        <v>176</v>
      </c>
      <c r="U1070" s="2" t="s">
        <v>176</v>
      </c>
      <c r="V1070" s="2" t="s">
        <v>650</v>
      </c>
      <c r="W1070" s="2" t="s">
        <v>176</v>
      </c>
      <c r="X1070" s="2" t="s">
        <v>7111</v>
      </c>
      <c r="Y1070" s="2" t="s">
        <v>7112</v>
      </c>
      <c r="Z1070" s="2">
        <v>86417729</v>
      </c>
      <c r="AA1070" s="2" t="s">
        <v>7113</v>
      </c>
      <c r="AB1070" s="2" t="s">
        <v>654</v>
      </c>
      <c r="AC1070" s="2" t="s">
        <v>632</v>
      </c>
      <c r="AD1070" s="2">
        <v>86417729</v>
      </c>
      <c r="AE1070" s="2">
        <v>87093039</v>
      </c>
      <c r="AJ1070" s="2">
        <v>86417729</v>
      </c>
      <c r="AK1070" s="2">
        <v>3</v>
      </c>
      <c r="AL1070" s="2" t="s">
        <v>633</v>
      </c>
      <c r="AM1070" s="2">
        <v>0</v>
      </c>
      <c r="AN1070" s="2">
        <v>0</v>
      </c>
      <c r="AO1070" s="2">
        <v>1</v>
      </c>
      <c r="AP1070" s="2">
        <v>0</v>
      </c>
      <c r="AQ1070" s="2">
        <v>0</v>
      </c>
      <c r="AR1070" s="2">
        <v>0</v>
      </c>
      <c r="AS1070" s="2">
        <v>0</v>
      </c>
      <c r="AT1070" s="2">
        <v>0</v>
      </c>
      <c r="AZ1070" s="2" t="s">
        <v>7114</v>
      </c>
      <c r="BB1070" s="2" t="str">
        <f>+PROPER(BD[[#This Row],[PRIMER_APELLIDO]])</f>
        <v>Mendoza</v>
      </c>
    </row>
    <row r="1071" spans="1:54" x14ac:dyDescent="0.25">
      <c r="A1071" s="2">
        <v>1070</v>
      </c>
      <c r="B1071" s="2">
        <v>21257</v>
      </c>
      <c r="C1071" s="2" t="s">
        <v>619</v>
      </c>
      <c r="D1071" s="2" t="s">
        <v>620</v>
      </c>
      <c r="E1071" s="2" t="s">
        <v>7115</v>
      </c>
      <c r="F1071" s="2">
        <v>18331303</v>
      </c>
      <c r="G1071" s="3">
        <v>39.654794520547945</v>
      </c>
      <c r="H1071" s="2" t="s">
        <v>622</v>
      </c>
      <c r="I1071" s="2" t="s">
        <v>7116</v>
      </c>
      <c r="J1071" s="2" t="str">
        <f>+IF(BD[[#This Row],[DEPARTAMENTO_INSS]]="MANAGUA","_01_","_02_")</f>
        <v>_01_</v>
      </c>
      <c r="K1071" s="2" t="str">
        <f>+CONCATENATE(BD[[#This Row],[Columna3]],BD[[#This Row],[Columna4]],BD[[#This Row],[NOMBRE COMPLETO]])</f>
        <v>E003_01_SUSANA PATRICIA TELLEZ PARAJON</v>
      </c>
      <c r="L1071" s="2" t="s">
        <v>3654</v>
      </c>
      <c r="M1071" s="2" t="s">
        <v>747</v>
      </c>
      <c r="N1071" s="2" t="s">
        <v>274</v>
      </c>
      <c r="O1071" s="2" t="s">
        <v>359</v>
      </c>
      <c r="P1071" s="2" t="s">
        <v>626</v>
      </c>
      <c r="Q1071" s="2" t="s">
        <v>351</v>
      </c>
      <c r="R1071" s="2">
        <v>30322</v>
      </c>
      <c r="S1071" s="2">
        <v>30322</v>
      </c>
      <c r="T1071" s="2" t="s">
        <v>627</v>
      </c>
      <c r="U1071" s="2" t="s">
        <v>627</v>
      </c>
      <c r="V1071" s="2" t="s">
        <v>627</v>
      </c>
      <c r="W1071" s="2" t="s">
        <v>627</v>
      </c>
      <c r="X1071" s="2" t="s">
        <v>7117</v>
      </c>
      <c r="Y1071" s="2" t="s">
        <v>7118</v>
      </c>
      <c r="AA1071" s="2">
        <v>83684762</v>
      </c>
      <c r="AB1071" s="2" t="s">
        <v>7119</v>
      </c>
      <c r="AC1071" s="2" t="s">
        <v>632</v>
      </c>
      <c r="AD1071" s="2">
        <v>83684762</v>
      </c>
      <c r="AJ1071" s="2">
        <v>83684762</v>
      </c>
      <c r="AK1071" s="2">
        <v>1</v>
      </c>
      <c r="AL1071" s="2" t="s">
        <v>633</v>
      </c>
      <c r="AM1071" s="2">
        <v>0</v>
      </c>
      <c r="AN1071" s="2">
        <v>0</v>
      </c>
      <c r="AO1071" s="2">
        <v>1</v>
      </c>
      <c r="AP1071" s="2">
        <v>0</v>
      </c>
      <c r="AQ1071" s="2">
        <v>0</v>
      </c>
      <c r="AR1071" s="2">
        <v>0</v>
      </c>
      <c r="AS1071" s="2">
        <v>0</v>
      </c>
      <c r="AT1071" s="2">
        <v>0</v>
      </c>
      <c r="BB1071" s="2" t="str">
        <f>+PROPER(BD[[#This Row],[PRIMER_APELLIDO]])</f>
        <v>Tellez</v>
      </c>
    </row>
    <row r="1072" spans="1:54" x14ac:dyDescent="0.25">
      <c r="A1072" s="2">
        <v>1071</v>
      </c>
      <c r="B1072" s="2">
        <v>36105</v>
      </c>
      <c r="C1072" s="2" t="s">
        <v>619</v>
      </c>
      <c r="D1072" s="2" t="s">
        <v>620</v>
      </c>
      <c r="E1072" s="2" t="s">
        <v>7120</v>
      </c>
      <c r="F1072" s="2">
        <v>21663279</v>
      </c>
      <c r="G1072" s="3">
        <v>39.682191780821917</v>
      </c>
      <c r="H1072" s="2" t="s">
        <v>622</v>
      </c>
      <c r="I1072" s="2" t="s">
        <v>7121</v>
      </c>
      <c r="J1072" s="2" t="str">
        <f>+IF(BD[[#This Row],[DEPARTAMENTO_INSS]]="MANAGUA","_01_","_02_")</f>
        <v>_01_</v>
      </c>
      <c r="K1072" s="2" t="str">
        <f>+CONCATENATE(BD[[#This Row],[Columna3]],BD[[#This Row],[Columna4]],BD[[#This Row],[NOMBRE COMPLETO]])</f>
        <v>E003_01_DARITZA DEL CARMEN PEREZ HUETE</v>
      </c>
      <c r="L1072" s="2" t="s">
        <v>7122</v>
      </c>
      <c r="M1072" s="2" t="s">
        <v>961</v>
      </c>
      <c r="N1072" s="2" t="s">
        <v>24</v>
      </c>
      <c r="O1072" s="2" t="s">
        <v>219</v>
      </c>
      <c r="P1072" s="2" t="s">
        <v>626</v>
      </c>
      <c r="Q1072" s="2" t="s">
        <v>351</v>
      </c>
      <c r="R1072" s="2">
        <v>30312</v>
      </c>
      <c r="S1072" s="2">
        <v>30312</v>
      </c>
      <c r="T1072" s="2" t="s">
        <v>627</v>
      </c>
      <c r="U1072" s="2" t="s">
        <v>627</v>
      </c>
      <c r="V1072" s="2" t="s">
        <v>627</v>
      </c>
      <c r="W1072" s="2" t="s">
        <v>627</v>
      </c>
      <c r="X1072" s="2" t="s">
        <v>7123</v>
      </c>
      <c r="Y1072" s="2" t="s">
        <v>7124</v>
      </c>
      <c r="Z1072" s="2">
        <v>84803419</v>
      </c>
      <c r="AA1072" s="2" t="s">
        <v>7125</v>
      </c>
      <c r="AB1072" s="2" t="s">
        <v>642</v>
      </c>
      <c r="AC1072" s="2" t="s">
        <v>632</v>
      </c>
      <c r="AD1072" s="2">
        <v>84803419</v>
      </c>
      <c r="AH1072" s="2">
        <v>84803419</v>
      </c>
      <c r="AJ1072" s="2">
        <v>84803419</v>
      </c>
      <c r="AK1072" s="2">
        <v>4</v>
      </c>
      <c r="AL1072" s="2" t="s">
        <v>633</v>
      </c>
      <c r="AM1072" s="2">
        <v>0</v>
      </c>
      <c r="AN1072" s="2">
        <v>0</v>
      </c>
      <c r="AO1072" s="2">
        <v>1</v>
      </c>
      <c r="AP1072" s="2">
        <v>0</v>
      </c>
      <c r="AQ1072" s="2">
        <v>0</v>
      </c>
      <c r="AR1072" s="2">
        <v>0</v>
      </c>
      <c r="AS1072" s="2">
        <v>0</v>
      </c>
      <c r="AT1072" s="2">
        <v>0</v>
      </c>
      <c r="AZ1072" s="2" t="s">
        <v>7126</v>
      </c>
      <c r="BB1072" s="2" t="str">
        <f>+PROPER(BD[[#This Row],[PRIMER_APELLIDO]])</f>
        <v>Perez</v>
      </c>
    </row>
    <row r="1073" spans="1:54" x14ac:dyDescent="0.25">
      <c r="A1073" s="2">
        <v>1072</v>
      </c>
      <c r="B1073" s="2">
        <v>26012</v>
      </c>
      <c r="C1073" s="2" t="s">
        <v>619</v>
      </c>
      <c r="D1073" s="2" t="s">
        <v>620</v>
      </c>
      <c r="E1073" s="2" t="s">
        <v>7127</v>
      </c>
      <c r="F1073" s="2">
        <v>22575104</v>
      </c>
      <c r="G1073" s="3">
        <v>39.69041095890411</v>
      </c>
      <c r="H1073" s="2" t="s">
        <v>622</v>
      </c>
      <c r="I1073" s="2" t="s">
        <v>7128</v>
      </c>
      <c r="J1073" s="2" t="str">
        <f>+IF(BD[[#This Row],[DEPARTAMENTO_INSS]]="MANAGUA","_01_","_02_")</f>
        <v>_02_</v>
      </c>
      <c r="K1073" s="2" t="str">
        <f>+CONCATENATE(BD[[#This Row],[Columna3]],BD[[#This Row],[Columna4]],BD[[#This Row],[NOMBRE COMPLETO]])</f>
        <v>E003_02_CARLOS ALBERTO MERLO JIMENEZ</v>
      </c>
      <c r="L1073" s="2" t="s">
        <v>826</v>
      </c>
      <c r="M1073" s="2" t="s">
        <v>1699</v>
      </c>
      <c r="N1073" s="2" t="s">
        <v>167</v>
      </c>
      <c r="O1073" s="2" t="s">
        <v>467</v>
      </c>
      <c r="P1073" s="2" t="s">
        <v>649</v>
      </c>
      <c r="Q1073" s="2" t="s">
        <v>351</v>
      </c>
      <c r="R1073" s="2">
        <v>30309</v>
      </c>
      <c r="S1073" s="2">
        <v>30309</v>
      </c>
      <c r="T1073" s="2" t="s">
        <v>691</v>
      </c>
      <c r="U1073" s="2" t="s">
        <v>691</v>
      </c>
      <c r="V1073" s="2" t="s">
        <v>716</v>
      </c>
      <c r="W1073" s="2" t="s">
        <v>691</v>
      </c>
      <c r="X1073" s="2" t="s">
        <v>7129</v>
      </c>
      <c r="Y1073" s="2" t="s">
        <v>7130</v>
      </c>
      <c r="Z1073" s="2">
        <v>84416218</v>
      </c>
      <c r="AA1073" s="2">
        <v>88337600</v>
      </c>
      <c r="AB1073" s="2" t="s">
        <v>798</v>
      </c>
      <c r="AC1073" s="2" t="s">
        <v>632</v>
      </c>
      <c r="AD1073" s="2">
        <v>84416218</v>
      </c>
      <c r="AF1073" s="2">
        <v>88337600</v>
      </c>
      <c r="AJ1073" s="2">
        <v>84416218</v>
      </c>
      <c r="AK1073" s="2">
        <v>2</v>
      </c>
      <c r="AL1073" s="2" t="s">
        <v>633</v>
      </c>
      <c r="AM1073" s="2">
        <v>0</v>
      </c>
      <c r="AN1073" s="2">
        <v>0</v>
      </c>
      <c r="AO1073" s="2">
        <v>1</v>
      </c>
      <c r="AP1073" s="2">
        <v>0</v>
      </c>
      <c r="AQ1073" s="2">
        <v>0</v>
      </c>
      <c r="AR1073" s="2">
        <v>0</v>
      </c>
      <c r="AS1073" s="2">
        <v>0</v>
      </c>
      <c r="AT1073" s="2">
        <v>0</v>
      </c>
      <c r="BB1073" s="2" t="str">
        <f>+PROPER(BD[[#This Row],[PRIMER_APELLIDO]])</f>
        <v>Merlo</v>
      </c>
    </row>
    <row r="1074" spans="1:54" x14ac:dyDescent="0.25">
      <c r="A1074" s="2">
        <v>1073</v>
      </c>
      <c r="B1074" s="2">
        <v>47606</v>
      </c>
      <c r="C1074" s="2" t="s">
        <v>619</v>
      </c>
      <c r="D1074" s="2" t="s">
        <v>620</v>
      </c>
      <c r="E1074" s="2" t="s">
        <v>7131</v>
      </c>
      <c r="F1074" s="2">
        <v>15950349</v>
      </c>
      <c r="G1074" s="3">
        <v>39.698630136986303</v>
      </c>
      <c r="H1074" s="2" t="s">
        <v>622</v>
      </c>
      <c r="I1074" s="2" t="s">
        <v>7132</v>
      </c>
      <c r="J1074" s="2" t="str">
        <f>+IF(BD[[#This Row],[DEPARTAMENTO_INSS]]="MANAGUA","_01_","_02_")</f>
        <v>_02_</v>
      </c>
      <c r="K1074" s="2" t="str">
        <f>+CONCATENATE(BD[[#This Row],[Columna3]],BD[[#This Row],[Columna4]],BD[[#This Row],[NOMBRE COMPLETO]])</f>
        <v>E003_02_GERARDO MARCIAL MENDOZA SOLIS</v>
      </c>
      <c r="L1074" s="2" t="s">
        <v>647</v>
      </c>
      <c r="M1074" s="2" t="s">
        <v>6866</v>
      </c>
      <c r="N1074" s="2" t="s">
        <v>9</v>
      </c>
      <c r="O1074" s="2" t="s">
        <v>111</v>
      </c>
      <c r="P1074" s="2" t="s">
        <v>649</v>
      </c>
      <c r="Q1074" s="2" t="s">
        <v>351</v>
      </c>
      <c r="R1074" s="2">
        <v>30306</v>
      </c>
      <c r="S1074" s="2">
        <v>30306</v>
      </c>
      <c r="T1074" s="2" t="s">
        <v>186</v>
      </c>
      <c r="U1074" s="2" t="s">
        <v>186</v>
      </c>
      <c r="V1074" s="2" t="s">
        <v>7039</v>
      </c>
      <c r="W1074" s="2" t="s">
        <v>7040</v>
      </c>
      <c r="X1074" s="2" t="s">
        <v>7133</v>
      </c>
      <c r="Y1074" s="2" t="s">
        <v>7134</v>
      </c>
      <c r="Z1074" s="2">
        <v>82578462</v>
      </c>
      <c r="AB1074" s="2" t="s">
        <v>798</v>
      </c>
      <c r="AC1074" s="2" t="s">
        <v>632</v>
      </c>
      <c r="AD1074" s="2">
        <v>82578462</v>
      </c>
      <c r="AJ1074" s="2">
        <v>82578462</v>
      </c>
      <c r="AK1074" s="2">
        <v>1</v>
      </c>
      <c r="AL1074" s="2" t="s">
        <v>633</v>
      </c>
      <c r="AM1074" s="2">
        <v>0</v>
      </c>
      <c r="AN1074" s="2">
        <v>0</v>
      </c>
      <c r="AO1074" s="2">
        <v>1</v>
      </c>
      <c r="AP1074" s="2">
        <v>0</v>
      </c>
      <c r="AQ1074" s="2">
        <v>0</v>
      </c>
      <c r="AR1074" s="2">
        <v>0</v>
      </c>
      <c r="AS1074" s="2">
        <v>0</v>
      </c>
      <c r="AT1074" s="2">
        <v>0</v>
      </c>
      <c r="AZ1074" s="2" t="s">
        <v>7135</v>
      </c>
      <c r="BB1074" s="2" t="str">
        <f>+PROPER(BD[[#This Row],[PRIMER_APELLIDO]])</f>
        <v>Mendoza</v>
      </c>
    </row>
    <row r="1075" spans="1:54" x14ac:dyDescent="0.25">
      <c r="A1075" s="2">
        <v>1074</v>
      </c>
      <c r="B1075" s="2">
        <v>83328</v>
      </c>
      <c r="C1075" s="2" t="s">
        <v>619</v>
      </c>
      <c r="D1075" s="2" t="s">
        <v>620</v>
      </c>
      <c r="E1075" s="2" t="s">
        <v>7136</v>
      </c>
      <c r="G1075" s="3">
        <v>39.704109589041096</v>
      </c>
      <c r="H1075" s="2" t="s">
        <v>622</v>
      </c>
      <c r="I1075" s="2" t="s">
        <v>7137</v>
      </c>
      <c r="J1075" s="2" t="str">
        <f>+IF(BD[[#This Row],[DEPARTAMENTO_INSS]]="MANAGUA","_01_","_02_")</f>
        <v>_01_</v>
      </c>
      <c r="K1075" s="2" t="str">
        <f>+CONCATENATE(BD[[#This Row],[Columna3]],BD[[#This Row],[Columna4]],BD[[#This Row],[NOMBRE COMPLETO]])</f>
        <v>E003_01_ARLEN TAMARA MIRANDA MARTINEZ</v>
      </c>
      <c r="L1075" s="2" t="s">
        <v>624</v>
      </c>
      <c r="M1075" s="2" t="s">
        <v>1405</v>
      </c>
      <c r="N1075" s="2" t="s">
        <v>56</v>
      </c>
      <c r="O1075" s="2" t="s">
        <v>44</v>
      </c>
      <c r="P1075" s="2" t="s">
        <v>626</v>
      </c>
      <c r="Q1075" s="2" t="s">
        <v>351</v>
      </c>
      <c r="R1075" s="2">
        <v>30304</v>
      </c>
      <c r="S1075" s="2">
        <v>30304</v>
      </c>
      <c r="T1075" s="2" t="s">
        <v>705</v>
      </c>
      <c r="U1075" s="2" t="s">
        <v>627</v>
      </c>
      <c r="V1075" s="2" t="s">
        <v>705</v>
      </c>
      <c r="W1075" s="2" t="s">
        <v>627</v>
      </c>
      <c r="X1075" s="2" t="s">
        <v>7138</v>
      </c>
      <c r="Y1075" s="2" t="s">
        <v>7139</v>
      </c>
      <c r="Z1075" s="2">
        <v>85619631</v>
      </c>
      <c r="AA1075" s="2">
        <v>57753435</v>
      </c>
      <c r="AB1075" s="2" t="s">
        <v>642</v>
      </c>
      <c r="AC1075" s="2" t="s">
        <v>632</v>
      </c>
      <c r="AD1075" s="2">
        <v>85619631</v>
      </c>
      <c r="AF1075" s="2">
        <v>57753435</v>
      </c>
      <c r="AJ1075" s="2">
        <v>85619631</v>
      </c>
      <c r="AK1075" s="2">
        <v>2</v>
      </c>
      <c r="AL1075" s="2" t="s">
        <v>633</v>
      </c>
      <c r="AM1075" s="2">
        <v>0</v>
      </c>
      <c r="AN1075" s="2">
        <v>0</v>
      </c>
      <c r="AO1075" s="2">
        <v>1</v>
      </c>
      <c r="AP1075" s="2">
        <v>0</v>
      </c>
      <c r="AQ1075" s="2">
        <v>0</v>
      </c>
      <c r="AR1075" s="2">
        <v>0</v>
      </c>
      <c r="AS1075" s="2">
        <v>0</v>
      </c>
      <c r="AT1075" s="2">
        <v>0</v>
      </c>
      <c r="AZ1075" s="2" t="s">
        <v>7140</v>
      </c>
      <c r="BB1075" s="2" t="str">
        <f>+PROPER(BD[[#This Row],[PRIMER_APELLIDO]])</f>
        <v>Miranda</v>
      </c>
    </row>
    <row r="1076" spans="1:54" x14ac:dyDescent="0.25">
      <c r="A1076" s="2">
        <v>1075</v>
      </c>
      <c r="B1076" s="2">
        <v>77451</v>
      </c>
      <c r="C1076" s="2" t="s">
        <v>619</v>
      </c>
      <c r="D1076" s="2" t="s">
        <v>620</v>
      </c>
      <c r="E1076" s="2" t="s">
        <v>7141</v>
      </c>
      <c r="G1076" s="3">
        <v>39.706849315068496</v>
      </c>
      <c r="H1076" s="2" t="s">
        <v>622</v>
      </c>
      <c r="I1076" s="2" t="s">
        <v>7142</v>
      </c>
      <c r="J1076" s="2" t="str">
        <f>+IF(BD[[#This Row],[DEPARTAMENTO_INSS]]="MANAGUA","_01_","_02_")</f>
        <v>_02_</v>
      </c>
      <c r="K1076" s="2" t="str">
        <f>+CONCATENATE(BD[[#This Row],[Columna3]],BD[[#This Row],[Columna4]],BD[[#This Row],[NOMBRE COMPLETO]])</f>
        <v>E003_02_ANABEL SANCHEZ GONZALEZ</v>
      </c>
      <c r="L1076" s="2" t="s">
        <v>7143</v>
      </c>
      <c r="N1076" s="2" t="s">
        <v>90</v>
      </c>
      <c r="O1076" s="2" t="s">
        <v>14</v>
      </c>
      <c r="P1076" s="2" t="s">
        <v>626</v>
      </c>
      <c r="Q1076" s="2" t="s">
        <v>351</v>
      </c>
      <c r="R1076" s="2">
        <v>30303</v>
      </c>
      <c r="S1076" s="2">
        <v>30303</v>
      </c>
      <c r="T1076" s="2" t="s">
        <v>186</v>
      </c>
      <c r="U1076" s="2" t="s">
        <v>186</v>
      </c>
      <c r="V1076" s="2" t="s">
        <v>186</v>
      </c>
      <c r="W1076" s="2" t="s">
        <v>186</v>
      </c>
      <c r="X1076" s="2" t="s">
        <v>7144</v>
      </c>
      <c r="Y1076" s="2" t="s">
        <v>7145</v>
      </c>
      <c r="Z1076" s="2">
        <v>86421532</v>
      </c>
      <c r="AA1076" s="2">
        <v>86198341</v>
      </c>
      <c r="AB1076" s="2" t="s">
        <v>642</v>
      </c>
      <c r="AC1076" s="2" t="s">
        <v>632</v>
      </c>
      <c r="AD1076" s="2">
        <v>86421532</v>
      </c>
      <c r="AF1076" s="2">
        <v>86198341</v>
      </c>
      <c r="AJ1076" s="2">
        <v>86421532</v>
      </c>
      <c r="AK1076" s="2">
        <v>2</v>
      </c>
      <c r="AL1076" s="2" t="s">
        <v>633</v>
      </c>
      <c r="AM1076" s="2">
        <v>0</v>
      </c>
      <c r="AN1076" s="2">
        <v>0</v>
      </c>
      <c r="AO1076" s="2">
        <v>1</v>
      </c>
      <c r="AP1076" s="2">
        <v>0</v>
      </c>
      <c r="AQ1076" s="2">
        <v>0</v>
      </c>
      <c r="AR1076" s="2">
        <v>0</v>
      </c>
      <c r="AS1076" s="2">
        <v>0</v>
      </c>
      <c r="AT1076" s="2">
        <v>0</v>
      </c>
      <c r="AZ1076" s="2" t="s">
        <v>7146</v>
      </c>
      <c r="BA1076" s="2" t="s">
        <v>7147</v>
      </c>
      <c r="BB1076" s="2" t="str">
        <f>+PROPER(BD[[#This Row],[PRIMER_APELLIDO]])</f>
        <v>Sanchez</v>
      </c>
    </row>
    <row r="1077" spans="1:54" x14ac:dyDescent="0.25">
      <c r="A1077" s="2">
        <v>1076</v>
      </c>
      <c r="B1077" s="2">
        <v>52794</v>
      </c>
      <c r="C1077" s="2" t="s">
        <v>619</v>
      </c>
      <c r="D1077" s="2" t="s">
        <v>620</v>
      </c>
      <c r="E1077" s="2" t="s">
        <v>7148</v>
      </c>
      <c r="F1077" s="2">
        <v>24235396</v>
      </c>
      <c r="G1077" s="3">
        <v>39.709589041095889</v>
      </c>
      <c r="H1077" s="2" t="s">
        <v>622</v>
      </c>
      <c r="I1077" s="2" t="s">
        <v>7149</v>
      </c>
      <c r="J1077" s="2" t="str">
        <f>+IF(BD[[#This Row],[DEPARTAMENTO_INSS]]="MANAGUA","_01_","_02_")</f>
        <v>_02_</v>
      </c>
      <c r="K1077" s="2" t="str">
        <f>+CONCATENATE(BD[[#This Row],[Columna3]],BD[[#This Row],[Columna4]],BD[[#This Row],[NOMBRE COMPLETO]])</f>
        <v>E003_02_MAURICIO JAVIER BARCENAS BERVIS</v>
      </c>
      <c r="L1077" s="2" t="s">
        <v>2324</v>
      </c>
      <c r="M1077" s="2" t="s">
        <v>975</v>
      </c>
      <c r="N1077" s="2" t="s">
        <v>402</v>
      </c>
      <c r="O1077" s="2" t="s">
        <v>7150</v>
      </c>
      <c r="P1077" s="2" t="s">
        <v>649</v>
      </c>
      <c r="Q1077" s="2" t="s">
        <v>351</v>
      </c>
      <c r="R1077" s="2">
        <v>30302</v>
      </c>
      <c r="S1077" s="2">
        <v>30302</v>
      </c>
      <c r="T1077" s="2" t="s">
        <v>176</v>
      </c>
      <c r="U1077" s="2" t="s">
        <v>176</v>
      </c>
      <c r="V1077" s="2" t="s">
        <v>650</v>
      </c>
      <c r="W1077" s="2" t="s">
        <v>176</v>
      </c>
      <c r="X1077" s="2" t="s">
        <v>7151</v>
      </c>
      <c r="Y1077" s="2" t="s">
        <v>7152</v>
      </c>
      <c r="AA1077" s="2">
        <v>88201635</v>
      </c>
      <c r="AB1077" s="2" t="s">
        <v>654</v>
      </c>
      <c r="AC1077" s="2" t="s">
        <v>632</v>
      </c>
      <c r="AD1077" s="2">
        <v>88201635</v>
      </c>
      <c r="AJ1077" s="2">
        <v>88201635</v>
      </c>
      <c r="AK1077" s="2">
        <v>1</v>
      </c>
      <c r="AL1077" s="2" t="s">
        <v>633</v>
      </c>
      <c r="AM1077" s="2">
        <v>0</v>
      </c>
      <c r="AN1077" s="2">
        <v>0</v>
      </c>
      <c r="AO1077" s="2">
        <v>1</v>
      </c>
      <c r="AP1077" s="2">
        <v>0</v>
      </c>
      <c r="AQ1077" s="2">
        <v>0</v>
      </c>
      <c r="AR1077" s="2">
        <v>0</v>
      </c>
      <c r="AS1077" s="2">
        <v>0</v>
      </c>
      <c r="AT1077" s="2">
        <v>0</v>
      </c>
      <c r="BB1077" s="2" t="str">
        <f>+PROPER(BD[[#This Row],[PRIMER_APELLIDO]])</f>
        <v>Barcenas</v>
      </c>
    </row>
    <row r="1078" spans="1:54" x14ac:dyDescent="0.25">
      <c r="A1078" s="2">
        <v>1077</v>
      </c>
      <c r="B1078" s="2">
        <v>23904</v>
      </c>
      <c r="C1078" s="2" t="s">
        <v>619</v>
      </c>
      <c r="D1078" s="2" t="s">
        <v>620</v>
      </c>
      <c r="E1078" s="2" t="s">
        <v>7153</v>
      </c>
      <c r="F1078" s="2">
        <v>30577156</v>
      </c>
      <c r="G1078" s="3">
        <v>39.731506849315068</v>
      </c>
      <c r="H1078" s="2" t="s">
        <v>622</v>
      </c>
      <c r="I1078" s="2" t="s">
        <v>7154</v>
      </c>
      <c r="J1078" s="2" t="str">
        <f>+IF(BD[[#This Row],[DEPARTAMENTO_INSS]]="MANAGUA","_01_","_02_")</f>
        <v>_02_</v>
      </c>
      <c r="K1078" s="2" t="str">
        <f>+CONCATENATE(BD[[#This Row],[Columna3]],BD[[#This Row],[Columna4]],BD[[#This Row],[NOMBRE COMPLETO]])</f>
        <v>E003_02_HERIBERTO ANTONIO SOBALVARRO</v>
      </c>
      <c r="L1078" s="2" t="s">
        <v>7155</v>
      </c>
      <c r="M1078" s="2" t="s">
        <v>904</v>
      </c>
      <c r="N1078" s="2" t="s">
        <v>144</v>
      </c>
      <c r="P1078" s="2" t="s">
        <v>649</v>
      </c>
      <c r="Q1078" s="2" t="s">
        <v>351</v>
      </c>
      <c r="R1078" s="2">
        <v>30294</v>
      </c>
      <c r="S1078" s="2">
        <v>30294</v>
      </c>
      <c r="T1078" s="2" t="s">
        <v>669</v>
      </c>
      <c r="U1078" s="2" t="s">
        <v>669</v>
      </c>
      <c r="V1078" s="2" t="s">
        <v>669</v>
      </c>
      <c r="W1078" s="2" t="s">
        <v>669</v>
      </c>
      <c r="X1078" s="2" t="s">
        <v>7156</v>
      </c>
      <c r="Y1078" s="2" t="s">
        <v>7157</v>
      </c>
      <c r="AA1078" s="2">
        <v>25421234</v>
      </c>
      <c r="AB1078" s="2" t="s">
        <v>654</v>
      </c>
      <c r="AC1078" s="2" t="s">
        <v>632</v>
      </c>
      <c r="AK1078" s="2">
        <v>1</v>
      </c>
      <c r="AL1078" s="2" t="s">
        <v>633</v>
      </c>
      <c r="AM1078" s="2">
        <v>0</v>
      </c>
      <c r="AN1078" s="2">
        <v>0</v>
      </c>
      <c r="AO1078" s="2">
        <v>1</v>
      </c>
      <c r="AP1078" s="2">
        <v>0</v>
      </c>
      <c r="AQ1078" s="2">
        <v>0</v>
      </c>
      <c r="AR1078" s="2">
        <v>0</v>
      </c>
      <c r="AS1078" s="2">
        <v>0</v>
      </c>
      <c r="AT1078" s="2">
        <v>0</v>
      </c>
      <c r="BB1078" s="2" t="str">
        <f>+PROPER(BD[[#This Row],[PRIMER_APELLIDO]])</f>
        <v>Sobalvarro</v>
      </c>
    </row>
    <row r="1079" spans="1:54" x14ac:dyDescent="0.25">
      <c r="A1079" s="2">
        <v>1078</v>
      </c>
      <c r="B1079" s="2">
        <v>35331</v>
      </c>
      <c r="C1079" s="2" t="s">
        <v>619</v>
      </c>
      <c r="D1079" s="2" t="s">
        <v>620</v>
      </c>
      <c r="E1079" s="2" t="s">
        <v>7158</v>
      </c>
      <c r="F1079" s="2">
        <v>22135447</v>
      </c>
      <c r="G1079" s="3">
        <v>39.731506849315068</v>
      </c>
      <c r="H1079" s="2" t="s">
        <v>622</v>
      </c>
      <c r="I1079" s="2" t="s">
        <v>7159</v>
      </c>
      <c r="J1079" s="2" t="str">
        <f>+IF(BD[[#This Row],[DEPARTAMENTO_INSS]]="MANAGUA","_01_","_02_")</f>
        <v>_01_</v>
      </c>
      <c r="K1079" s="2" t="str">
        <f>+CONCATENATE(BD[[#This Row],[Columna3]],BD[[#This Row],[Columna4]],BD[[#This Row],[NOMBRE COMPLETO]])</f>
        <v>E003_01_MANUEL SALVADOR MEDRANO HERNANDEZ</v>
      </c>
      <c r="L1079" s="2" t="s">
        <v>648</v>
      </c>
      <c r="M1079" s="2" t="s">
        <v>1103</v>
      </c>
      <c r="N1079" s="2" t="s">
        <v>45</v>
      </c>
      <c r="O1079" s="2" t="s">
        <v>11</v>
      </c>
      <c r="P1079" s="2" t="s">
        <v>649</v>
      </c>
      <c r="Q1079" s="2" t="s">
        <v>351</v>
      </c>
      <c r="R1079" s="2">
        <v>30294</v>
      </c>
      <c r="S1079" s="2">
        <v>30294</v>
      </c>
      <c r="T1079" s="2" t="s">
        <v>627</v>
      </c>
      <c r="U1079" s="2" t="s">
        <v>627</v>
      </c>
      <c r="V1079" s="2" t="s">
        <v>627</v>
      </c>
      <c r="W1079" s="2" t="s">
        <v>627</v>
      </c>
      <c r="X1079" s="2" t="s">
        <v>7160</v>
      </c>
      <c r="Y1079" s="2" t="s">
        <v>7161</v>
      </c>
      <c r="AA1079" s="2">
        <v>88870313</v>
      </c>
      <c r="AB1079" s="2" t="s">
        <v>654</v>
      </c>
      <c r="AC1079" s="2" t="s">
        <v>632</v>
      </c>
      <c r="AD1079" s="2">
        <v>88870313</v>
      </c>
      <c r="AJ1079" s="2">
        <v>88870313</v>
      </c>
      <c r="AK1079" s="2">
        <v>1</v>
      </c>
      <c r="AL1079" s="2" t="s">
        <v>633</v>
      </c>
      <c r="AM1079" s="2">
        <v>0</v>
      </c>
      <c r="AN1079" s="2">
        <v>0</v>
      </c>
      <c r="AO1079" s="2">
        <v>1</v>
      </c>
      <c r="AP1079" s="2">
        <v>0</v>
      </c>
      <c r="AQ1079" s="2">
        <v>0</v>
      </c>
      <c r="AR1079" s="2">
        <v>0</v>
      </c>
      <c r="AS1079" s="2">
        <v>0</v>
      </c>
      <c r="AT1079" s="2">
        <v>0</v>
      </c>
      <c r="BB1079" s="2" t="str">
        <f>+PROPER(BD[[#This Row],[PRIMER_APELLIDO]])</f>
        <v>Medrano</v>
      </c>
    </row>
    <row r="1080" spans="1:54" x14ac:dyDescent="0.25">
      <c r="A1080" s="2">
        <v>1079</v>
      </c>
      <c r="B1080" s="2">
        <v>52674</v>
      </c>
      <c r="C1080" s="2" t="s">
        <v>619</v>
      </c>
      <c r="D1080" s="2" t="s">
        <v>620</v>
      </c>
      <c r="E1080" s="2" t="s">
        <v>7162</v>
      </c>
      <c r="F1080" s="2">
        <v>27182183</v>
      </c>
      <c r="G1080" s="3">
        <v>39.731506849315068</v>
      </c>
      <c r="H1080" s="2" t="s">
        <v>622</v>
      </c>
      <c r="I1080" s="2" t="s">
        <v>7163</v>
      </c>
      <c r="J1080" s="2" t="str">
        <f>+IF(BD[[#This Row],[DEPARTAMENTO_INSS]]="MANAGUA","_01_","_02_")</f>
        <v>_01_</v>
      </c>
      <c r="K1080" s="2" t="str">
        <f>+CONCATENATE(BD[[#This Row],[Columna3]],BD[[#This Row],[Columna4]],BD[[#This Row],[NOMBRE COMPLETO]])</f>
        <v>E003_01_JAVIER ANTONIO ORTEGA SOLANO</v>
      </c>
      <c r="L1080" s="2" t="s">
        <v>975</v>
      </c>
      <c r="M1080" s="2" t="s">
        <v>904</v>
      </c>
      <c r="N1080" s="2" t="s">
        <v>29</v>
      </c>
      <c r="O1080" s="2" t="s">
        <v>318</v>
      </c>
      <c r="P1080" s="2" t="s">
        <v>649</v>
      </c>
      <c r="Q1080" s="2" t="s">
        <v>351</v>
      </c>
      <c r="R1080" s="2">
        <v>30294</v>
      </c>
      <c r="S1080" s="2">
        <v>30294</v>
      </c>
      <c r="T1080" s="2" t="s">
        <v>627</v>
      </c>
      <c r="U1080" s="2" t="s">
        <v>627</v>
      </c>
      <c r="V1080" s="2" t="s">
        <v>627</v>
      </c>
      <c r="W1080" s="2" t="s">
        <v>627</v>
      </c>
      <c r="X1080" s="2" t="s">
        <v>7164</v>
      </c>
      <c r="Y1080" s="2" t="s">
        <v>7165</v>
      </c>
      <c r="AA1080" s="2">
        <v>86731568</v>
      </c>
      <c r="AB1080" s="2" t="s">
        <v>654</v>
      </c>
      <c r="AC1080" s="2" t="s">
        <v>632</v>
      </c>
      <c r="AD1080" s="2">
        <v>86731568</v>
      </c>
      <c r="AJ1080" s="2">
        <v>86731568</v>
      </c>
      <c r="AK1080" s="2">
        <v>1</v>
      </c>
      <c r="AL1080" s="2" t="s">
        <v>633</v>
      </c>
      <c r="AM1080" s="2">
        <v>0</v>
      </c>
      <c r="AN1080" s="2">
        <v>0</v>
      </c>
      <c r="AO1080" s="2">
        <v>1</v>
      </c>
      <c r="AP1080" s="2">
        <v>0</v>
      </c>
      <c r="AQ1080" s="2">
        <v>0</v>
      </c>
      <c r="AR1080" s="2">
        <v>0</v>
      </c>
      <c r="AS1080" s="2">
        <v>0</v>
      </c>
      <c r="AT1080" s="2">
        <v>0</v>
      </c>
      <c r="BB1080" s="2" t="str">
        <f>+PROPER(BD[[#This Row],[PRIMER_APELLIDO]])</f>
        <v>Ortega</v>
      </c>
    </row>
    <row r="1081" spans="1:54" x14ac:dyDescent="0.25">
      <c r="A1081" s="2">
        <v>1080</v>
      </c>
      <c r="B1081" s="2">
        <v>51635</v>
      </c>
      <c r="C1081" s="2" t="s">
        <v>619</v>
      </c>
      <c r="D1081" s="2" t="s">
        <v>620</v>
      </c>
      <c r="E1081" s="2" t="s">
        <v>7166</v>
      </c>
      <c r="F1081" s="2">
        <v>26961596</v>
      </c>
      <c r="G1081" s="3">
        <v>39.734246575342468</v>
      </c>
      <c r="H1081" s="2" t="s">
        <v>622</v>
      </c>
      <c r="I1081" s="2" t="s">
        <v>7167</v>
      </c>
      <c r="J1081" s="2" t="str">
        <f>+IF(BD[[#This Row],[DEPARTAMENTO_INSS]]="MANAGUA","_01_","_02_")</f>
        <v>_02_</v>
      </c>
      <c r="K1081" s="2" t="str">
        <f>+CONCATENATE(BD[[#This Row],[Columna3]],BD[[#This Row],[Columna4]],BD[[#This Row],[NOMBRE COMPLETO]])</f>
        <v>E003_02_CONSEPCION DE MARIA RIVERA VEGA</v>
      </c>
      <c r="L1081" s="2" t="s">
        <v>7168</v>
      </c>
      <c r="M1081" s="2" t="s">
        <v>1518</v>
      </c>
      <c r="N1081" s="2" t="s">
        <v>198</v>
      </c>
      <c r="O1081" s="2" t="s">
        <v>140</v>
      </c>
      <c r="P1081" s="2" t="s">
        <v>626</v>
      </c>
      <c r="Q1081" s="2" t="s">
        <v>351</v>
      </c>
      <c r="R1081" s="2">
        <v>30293</v>
      </c>
      <c r="S1081" s="2">
        <v>30293</v>
      </c>
      <c r="T1081" s="2" t="s">
        <v>1104</v>
      </c>
      <c r="U1081" s="2" t="s">
        <v>176</v>
      </c>
      <c r="V1081" s="2" t="s">
        <v>2858</v>
      </c>
      <c r="W1081" s="2" t="s">
        <v>1796</v>
      </c>
      <c r="X1081" s="2" t="s">
        <v>7169</v>
      </c>
      <c r="Y1081" s="2" t="s">
        <v>7170</v>
      </c>
      <c r="AA1081" s="2">
        <v>84907266</v>
      </c>
      <c r="AB1081" s="2" t="s">
        <v>631</v>
      </c>
      <c r="AC1081" s="2" t="s">
        <v>632</v>
      </c>
      <c r="AD1081" s="2">
        <v>84907266</v>
      </c>
      <c r="AJ1081" s="2">
        <v>84907266</v>
      </c>
      <c r="AK1081" s="2">
        <v>1</v>
      </c>
      <c r="AL1081" s="2" t="s">
        <v>633</v>
      </c>
      <c r="AM1081" s="2">
        <v>0</v>
      </c>
      <c r="AN1081" s="2">
        <v>0</v>
      </c>
      <c r="AO1081" s="2">
        <v>1</v>
      </c>
      <c r="AP1081" s="2">
        <v>0</v>
      </c>
      <c r="AQ1081" s="2">
        <v>0</v>
      </c>
      <c r="AR1081" s="2">
        <v>0</v>
      </c>
      <c r="AS1081" s="2">
        <v>0</v>
      </c>
      <c r="AT1081" s="2">
        <v>0</v>
      </c>
      <c r="BB1081" s="2" t="str">
        <f>+PROPER(BD[[#This Row],[PRIMER_APELLIDO]])</f>
        <v>Rivera</v>
      </c>
    </row>
    <row r="1082" spans="1:54" x14ac:dyDescent="0.25">
      <c r="A1082" s="2">
        <v>1081</v>
      </c>
      <c r="B1082" s="2">
        <v>79553</v>
      </c>
      <c r="C1082" s="2" t="s">
        <v>619</v>
      </c>
      <c r="D1082" s="2" t="s">
        <v>620</v>
      </c>
      <c r="E1082" s="2" t="s">
        <v>7171</v>
      </c>
      <c r="G1082" s="3">
        <v>39.734246575342468</v>
      </c>
      <c r="H1082" s="2" t="s">
        <v>622</v>
      </c>
      <c r="I1082" s="2" t="s">
        <v>7172</v>
      </c>
      <c r="J1082" s="2" t="str">
        <f>+IF(BD[[#This Row],[DEPARTAMENTO_INSS]]="MANAGUA","_01_","_02_")</f>
        <v>_02_</v>
      </c>
      <c r="K1082" s="2" t="str">
        <f>+CONCATENATE(BD[[#This Row],[Columna3]],BD[[#This Row],[Columna4]],BD[[#This Row],[NOMBRE COMPLETO]])</f>
        <v>E003_02_JUSTO PASTOR ABELLA RIVAS</v>
      </c>
      <c r="L1082" s="2" t="s">
        <v>697</v>
      </c>
      <c r="M1082" s="2" t="s">
        <v>7173</v>
      </c>
      <c r="N1082" s="2" t="s">
        <v>333</v>
      </c>
      <c r="O1082" s="2" t="s">
        <v>186</v>
      </c>
      <c r="P1082" s="2" t="s">
        <v>649</v>
      </c>
      <c r="Q1082" s="2" t="s">
        <v>351</v>
      </c>
      <c r="R1082" s="2">
        <v>30293</v>
      </c>
      <c r="S1082" s="2">
        <v>30293</v>
      </c>
      <c r="T1082" s="2" t="s">
        <v>780</v>
      </c>
      <c r="U1082" s="2" t="s">
        <v>780</v>
      </c>
      <c r="V1082" s="2" t="s">
        <v>781</v>
      </c>
      <c r="W1082" s="2" t="s">
        <v>781</v>
      </c>
      <c r="X1082" s="2" t="s">
        <v>7174</v>
      </c>
      <c r="Y1082" s="2" t="s">
        <v>7175</v>
      </c>
      <c r="Z1082" s="2">
        <v>85374419</v>
      </c>
      <c r="AA1082" s="2">
        <v>85374419</v>
      </c>
      <c r="AB1082" s="2" t="s">
        <v>642</v>
      </c>
      <c r="AC1082" s="2" t="s">
        <v>632</v>
      </c>
      <c r="AD1082" s="2">
        <v>85374419</v>
      </c>
      <c r="AJ1082" s="2">
        <v>85374419</v>
      </c>
      <c r="AK1082" s="2">
        <v>2</v>
      </c>
      <c r="AL1082" s="2" t="s">
        <v>633</v>
      </c>
      <c r="AM1082" s="2">
        <v>0</v>
      </c>
      <c r="AN1082" s="2">
        <v>0</v>
      </c>
      <c r="AO1082" s="2">
        <v>1</v>
      </c>
      <c r="AP1082" s="2">
        <v>0</v>
      </c>
      <c r="AQ1082" s="2">
        <v>0</v>
      </c>
      <c r="AR1082" s="2">
        <v>0</v>
      </c>
      <c r="AS1082" s="2">
        <v>0</v>
      </c>
      <c r="AT1082" s="2">
        <v>0</v>
      </c>
      <c r="AZ1082" s="2" t="s">
        <v>7176</v>
      </c>
      <c r="BA1082" s="2" t="s">
        <v>7177</v>
      </c>
      <c r="BB1082" s="2" t="str">
        <f>+PROPER(BD[[#This Row],[PRIMER_APELLIDO]])</f>
        <v>Abella</v>
      </c>
    </row>
    <row r="1083" spans="1:54" x14ac:dyDescent="0.25">
      <c r="A1083" s="2">
        <v>1082</v>
      </c>
      <c r="B1083" s="2">
        <v>57088</v>
      </c>
      <c r="C1083" s="2" t="s">
        <v>619</v>
      </c>
      <c r="D1083" s="2" t="s">
        <v>620</v>
      </c>
      <c r="E1083" s="2" t="s">
        <v>7178</v>
      </c>
      <c r="G1083" s="3">
        <v>39.736986301369861</v>
      </c>
      <c r="H1083" s="2" t="s">
        <v>622</v>
      </c>
      <c r="I1083" s="2" t="s">
        <v>7179</v>
      </c>
      <c r="J1083" s="2" t="str">
        <f>+IF(BD[[#This Row],[DEPARTAMENTO_INSS]]="MANAGUA","_01_","_02_")</f>
        <v>_02_</v>
      </c>
      <c r="K1083" s="2" t="str">
        <f>+CONCATENATE(BD[[#This Row],[Columna3]],BD[[#This Row],[Columna4]],BD[[#This Row],[NOMBRE COMPLETO]])</f>
        <v>E003_02_ODIL ISAVETH MARTINEZ URBINA</v>
      </c>
      <c r="L1083" s="2" t="s">
        <v>7180</v>
      </c>
      <c r="M1083" s="2" t="s">
        <v>7181</v>
      </c>
      <c r="N1083" s="2" t="s">
        <v>44</v>
      </c>
      <c r="O1083" s="2" t="s">
        <v>86</v>
      </c>
      <c r="P1083" s="2" t="s">
        <v>626</v>
      </c>
      <c r="Q1083" s="2" t="s">
        <v>351</v>
      </c>
      <c r="R1083" s="2">
        <v>30292</v>
      </c>
      <c r="S1083" s="2">
        <v>30292</v>
      </c>
      <c r="T1083" s="2" t="s">
        <v>740</v>
      </c>
      <c r="U1083" s="2" t="s">
        <v>740</v>
      </c>
      <c r="V1083" s="2" t="s">
        <v>740</v>
      </c>
      <c r="W1083" s="2" t="s">
        <v>740</v>
      </c>
      <c r="X1083" s="2" t="s">
        <v>7182</v>
      </c>
      <c r="Y1083" s="2" t="s">
        <v>7183</v>
      </c>
      <c r="Z1083" s="2">
        <v>86329474</v>
      </c>
      <c r="AB1083" s="2" t="s">
        <v>642</v>
      </c>
      <c r="AC1083" s="2" t="s">
        <v>632</v>
      </c>
      <c r="AD1083" s="2">
        <v>86329474</v>
      </c>
      <c r="AJ1083" s="2">
        <v>86329474</v>
      </c>
      <c r="AK1083" s="2">
        <v>1</v>
      </c>
      <c r="AL1083" s="2" t="s">
        <v>633</v>
      </c>
      <c r="AM1083" s="2">
        <v>0</v>
      </c>
      <c r="AN1083" s="2">
        <v>0</v>
      </c>
      <c r="AO1083" s="2">
        <v>1</v>
      </c>
      <c r="AP1083" s="2">
        <v>0</v>
      </c>
      <c r="AQ1083" s="2">
        <v>0</v>
      </c>
      <c r="AR1083" s="2">
        <v>0</v>
      </c>
      <c r="AS1083" s="2">
        <v>0</v>
      </c>
      <c r="AT1083" s="2">
        <v>0</v>
      </c>
      <c r="BB1083" s="2" t="str">
        <f>+PROPER(BD[[#This Row],[PRIMER_APELLIDO]])</f>
        <v>Martinez</v>
      </c>
    </row>
    <row r="1084" spans="1:54" x14ac:dyDescent="0.25">
      <c r="A1084" s="2">
        <v>1083</v>
      </c>
      <c r="B1084" s="2">
        <v>33525</v>
      </c>
      <c r="C1084" s="2" t="s">
        <v>619</v>
      </c>
      <c r="D1084" s="2" t="s">
        <v>620</v>
      </c>
      <c r="E1084" s="2" t="s">
        <v>7184</v>
      </c>
      <c r="F1084" s="2">
        <v>21669835</v>
      </c>
      <c r="G1084" s="3">
        <v>39.753424657534246</v>
      </c>
      <c r="H1084" s="2" t="s">
        <v>622</v>
      </c>
      <c r="I1084" s="2" t="s">
        <v>7185</v>
      </c>
      <c r="J1084" s="2" t="str">
        <f>+IF(BD[[#This Row],[DEPARTAMENTO_INSS]]="MANAGUA","_01_","_02_")</f>
        <v>_02_</v>
      </c>
      <c r="K1084" s="2" t="str">
        <f>+CONCATENATE(BD[[#This Row],[Columna3]],BD[[#This Row],[Columna4]],BD[[#This Row],[NOMBRE COMPLETO]])</f>
        <v>E003_02_INGRID SUJEY FLORES GARCIA</v>
      </c>
      <c r="L1084" s="2" t="s">
        <v>2029</v>
      </c>
      <c r="M1084" s="2" t="s">
        <v>1811</v>
      </c>
      <c r="N1084" s="2" t="s">
        <v>58</v>
      </c>
      <c r="O1084" s="2" t="s">
        <v>10</v>
      </c>
      <c r="P1084" s="2" t="s">
        <v>626</v>
      </c>
      <c r="Q1084" s="2" t="s">
        <v>351</v>
      </c>
      <c r="R1084" s="2">
        <v>30286</v>
      </c>
      <c r="S1084" s="2">
        <v>30286</v>
      </c>
      <c r="T1084" s="2" t="s">
        <v>705</v>
      </c>
      <c r="U1084" s="2" t="s">
        <v>705</v>
      </c>
      <c r="V1084" s="2" t="s">
        <v>705</v>
      </c>
      <c r="W1084" s="2" t="s">
        <v>1014</v>
      </c>
      <c r="X1084" s="2" t="s">
        <v>7186</v>
      </c>
      <c r="Y1084" s="2" t="s">
        <v>7187</v>
      </c>
      <c r="AA1084" s="2">
        <v>23430153</v>
      </c>
      <c r="AB1084" s="2" t="s">
        <v>654</v>
      </c>
      <c r="AC1084" s="2" t="s">
        <v>632</v>
      </c>
      <c r="AK1084" s="2">
        <v>1</v>
      </c>
      <c r="AL1084" s="2" t="s">
        <v>633</v>
      </c>
      <c r="AM1084" s="2">
        <v>0</v>
      </c>
      <c r="AN1084" s="2">
        <v>0</v>
      </c>
      <c r="AO1084" s="2">
        <v>1</v>
      </c>
      <c r="AP1084" s="2">
        <v>0</v>
      </c>
      <c r="AQ1084" s="2">
        <v>0</v>
      </c>
      <c r="AR1084" s="2">
        <v>0</v>
      </c>
      <c r="AS1084" s="2">
        <v>0</v>
      </c>
      <c r="AT1084" s="2">
        <v>0</v>
      </c>
      <c r="BB1084" s="2" t="str">
        <f>+PROPER(BD[[#This Row],[PRIMER_APELLIDO]])</f>
        <v>Flores</v>
      </c>
    </row>
    <row r="1085" spans="1:54" x14ac:dyDescent="0.25">
      <c r="A1085" s="2">
        <v>1084</v>
      </c>
      <c r="B1085" s="2">
        <v>21295</v>
      </c>
      <c r="C1085" s="2" t="s">
        <v>619</v>
      </c>
      <c r="D1085" s="2" t="s">
        <v>620</v>
      </c>
      <c r="E1085" s="2" t="s">
        <v>7188</v>
      </c>
      <c r="F1085" s="2">
        <v>17745039</v>
      </c>
      <c r="G1085" s="3">
        <v>39.764383561643832</v>
      </c>
      <c r="H1085" s="2" t="s">
        <v>622</v>
      </c>
      <c r="I1085" s="2" t="s">
        <v>7189</v>
      </c>
      <c r="J1085" s="2" t="str">
        <f>+IF(BD[[#This Row],[DEPARTAMENTO_INSS]]="MANAGUA","_01_","_02_")</f>
        <v>_02_</v>
      </c>
      <c r="K1085" s="2" t="str">
        <f>+CONCATENATE(BD[[#This Row],[Columna3]],BD[[#This Row],[Columna4]],BD[[#This Row],[NOMBRE COMPLETO]])</f>
        <v>E003_02_ALVARO ENRIQUE MENDOZA LOPEZ</v>
      </c>
      <c r="L1085" s="2" t="s">
        <v>1156</v>
      </c>
      <c r="M1085" s="2" t="s">
        <v>1480</v>
      </c>
      <c r="N1085" s="2" t="s">
        <v>9</v>
      </c>
      <c r="O1085" s="2" t="s">
        <v>15</v>
      </c>
      <c r="P1085" s="2" t="s">
        <v>649</v>
      </c>
      <c r="Q1085" s="2" t="s">
        <v>351</v>
      </c>
      <c r="R1085" s="2">
        <v>30282</v>
      </c>
      <c r="S1085" s="2">
        <v>30282</v>
      </c>
      <c r="T1085" s="2" t="s">
        <v>732</v>
      </c>
      <c r="U1085" s="2" t="s">
        <v>732</v>
      </c>
      <c r="V1085" s="2" t="s">
        <v>962</v>
      </c>
      <c r="W1085" s="2" t="s">
        <v>848</v>
      </c>
      <c r="X1085" s="2" t="s">
        <v>7190</v>
      </c>
      <c r="Y1085" s="2" t="s">
        <v>7191</v>
      </c>
      <c r="Z1085" s="2">
        <v>84523980</v>
      </c>
      <c r="AA1085" s="2" t="s">
        <v>7192</v>
      </c>
      <c r="AB1085" s="2" t="s">
        <v>654</v>
      </c>
      <c r="AC1085" s="2" t="s">
        <v>632</v>
      </c>
      <c r="AD1085" s="2">
        <v>84523980</v>
      </c>
      <c r="AJ1085" s="2">
        <v>84523980</v>
      </c>
      <c r="AK1085" s="2">
        <v>3</v>
      </c>
      <c r="AL1085" s="2" t="s">
        <v>633</v>
      </c>
      <c r="AM1085" s="2">
        <v>0</v>
      </c>
      <c r="AN1085" s="2">
        <v>0</v>
      </c>
      <c r="AO1085" s="2">
        <v>1</v>
      </c>
      <c r="AP1085" s="2">
        <v>0</v>
      </c>
      <c r="AQ1085" s="2">
        <v>0</v>
      </c>
      <c r="AR1085" s="2">
        <v>0</v>
      </c>
      <c r="AS1085" s="2">
        <v>0</v>
      </c>
      <c r="AT1085" s="2">
        <v>0</v>
      </c>
      <c r="AZ1085" s="2" t="s">
        <v>7193</v>
      </c>
      <c r="BB1085" s="2" t="str">
        <f>+PROPER(BD[[#This Row],[PRIMER_APELLIDO]])</f>
        <v>Mendoza</v>
      </c>
    </row>
    <row r="1086" spans="1:54" x14ac:dyDescent="0.25">
      <c r="A1086" s="2">
        <v>1085</v>
      </c>
      <c r="B1086" s="2">
        <v>33788</v>
      </c>
      <c r="C1086" s="2" t="s">
        <v>619</v>
      </c>
      <c r="D1086" s="2" t="s">
        <v>620</v>
      </c>
      <c r="E1086" s="2" t="s">
        <v>7194</v>
      </c>
      <c r="F1086" s="2">
        <v>24509899</v>
      </c>
      <c r="G1086" s="3">
        <v>39.772602739726025</v>
      </c>
      <c r="H1086" s="2" t="s">
        <v>622</v>
      </c>
      <c r="I1086" s="2" t="s">
        <v>7195</v>
      </c>
      <c r="J1086" s="2" t="str">
        <f>+IF(BD[[#This Row],[DEPARTAMENTO_INSS]]="MANAGUA","_01_","_02_")</f>
        <v>_02_</v>
      </c>
      <c r="K1086" s="2" t="str">
        <f>+CONCATENATE(BD[[#This Row],[Columna3]],BD[[#This Row],[Columna4]],BD[[#This Row],[NOMBRE COMPLETO]])</f>
        <v>E003_02_TAMARA JAVIERA OBANDO FRIAS</v>
      </c>
      <c r="L1086" s="2" t="s">
        <v>1405</v>
      </c>
      <c r="M1086" s="2" t="s">
        <v>2253</v>
      </c>
      <c r="N1086" s="2" t="s">
        <v>79</v>
      </c>
      <c r="O1086" s="2" t="s">
        <v>7196</v>
      </c>
      <c r="P1086" s="2" t="s">
        <v>626</v>
      </c>
      <c r="Q1086" s="2" t="s">
        <v>351</v>
      </c>
      <c r="R1086" s="2">
        <v>30279</v>
      </c>
      <c r="S1086" s="2">
        <v>30279</v>
      </c>
      <c r="U1086" s="2" t="s">
        <v>732</v>
      </c>
      <c r="W1086" s="2" t="s">
        <v>848</v>
      </c>
      <c r="X1086" s="2" t="s">
        <v>7197</v>
      </c>
      <c r="Y1086" s="2" t="s">
        <v>7198</v>
      </c>
      <c r="AA1086" s="2">
        <v>22762994</v>
      </c>
      <c r="AB1086" s="2" t="s">
        <v>631</v>
      </c>
      <c r="AC1086" s="2" t="s">
        <v>632</v>
      </c>
      <c r="AK1086" s="2">
        <v>1</v>
      </c>
      <c r="AL1086" s="2" t="s">
        <v>633</v>
      </c>
      <c r="AM1086" s="2">
        <v>0</v>
      </c>
      <c r="AN1086" s="2">
        <v>0</v>
      </c>
      <c r="AO1086" s="2">
        <v>1</v>
      </c>
      <c r="AP1086" s="2">
        <v>0</v>
      </c>
      <c r="AQ1086" s="2">
        <v>0</v>
      </c>
      <c r="AR1086" s="2">
        <v>0</v>
      </c>
      <c r="AS1086" s="2">
        <v>0</v>
      </c>
      <c r="AT1086" s="2">
        <v>0</v>
      </c>
      <c r="BB1086" s="2" t="str">
        <f>+PROPER(BD[[#This Row],[PRIMER_APELLIDO]])</f>
        <v>Obando</v>
      </c>
    </row>
    <row r="1087" spans="1:54" x14ac:dyDescent="0.25">
      <c r="A1087" s="2">
        <v>1086</v>
      </c>
      <c r="B1087" s="2">
        <v>66875</v>
      </c>
      <c r="C1087" s="2" t="s">
        <v>619</v>
      </c>
      <c r="D1087" s="2" t="s">
        <v>620</v>
      </c>
      <c r="E1087" s="2" t="s">
        <v>7199</v>
      </c>
      <c r="G1087" s="3">
        <v>39.780821917808218</v>
      </c>
      <c r="H1087" s="2" t="s">
        <v>622</v>
      </c>
      <c r="I1087" s="2" t="s">
        <v>7200</v>
      </c>
      <c r="J1087" s="2" t="str">
        <f>+IF(BD[[#This Row],[DEPARTAMENTO_INSS]]="MANAGUA","_01_","_02_")</f>
        <v>_02_</v>
      </c>
      <c r="K1087" s="2" t="str">
        <f>+CONCATENATE(BD[[#This Row],[Columna3]],BD[[#This Row],[Columna4]],BD[[#This Row],[NOMBRE COMPLETO]])</f>
        <v>E003_02_RUTH ELIZABETH SCOTT FRANCISCO</v>
      </c>
      <c r="L1087" s="2" t="s">
        <v>2825</v>
      </c>
      <c r="M1087" s="2" t="s">
        <v>1881</v>
      </c>
      <c r="N1087" s="2" t="s">
        <v>425</v>
      </c>
      <c r="O1087" s="2" t="s">
        <v>1692</v>
      </c>
      <c r="P1087" s="2" t="s">
        <v>626</v>
      </c>
      <c r="Q1087" s="2" t="s">
        <v>351</v>
      </c>
      <c r="R1087" s="2">
        <v>30276</v>
      </c>
      <c r="S1087" s="2">
        <v>30276</v>
      </c>
      <c r="T1087" s="2" t="s">
        <v>1005</v>
      </c>
      <c r="U1087" s="2" t="s">
        <v>1005</v>
      </c>
      <c r="V1087" s="2" t="s">
        <v>1006</v>
      </c>
      <c r="W1087" s="2" t="s">
        <v>1006</v>
      </c>
      <c r="X1087" s="2" t="s">
        <v>7201</v>
      </c>
      <c r="Y1087" s="2" t="s">
        <v>7202</v>
      </c>
      <c r="Z1087" s="2">
        <v>88989489</v>
      </c>
      <c r="AA1087" s="2">
        <v>89490084</v>
      </c>
      <c r="AB1087" s="2" t="s">
        <v>7203</v>
      </c>
      <c r="AC1087" s="2" t="s">
        <v>632</v>
      </c>
      <c r="AD1087" s="2">
        <v>88989489</v>
      </c>
      <c r="AF1087" s="2">
        <v>89490084</v>
      </c>
      <c r="AJ1087" s="2">
        <v>88989489</v>
      </c>
      <c r="AK1087" s="2">
        <v>2</v>
      </c>
      <c r="AL1087" s="2" t="s">
        <v>633</v>
      </c>
      <c r="AM1087" s="2">
        <v>0</v>
      </c>
      <c r="AN1087" s="2">
        <v>0</v>
      </c>
      <c r="AO1087" s="2">
        <v>1</v>
      </c>
      <c r="AP1087" s="2">
        <v>0</v>
      </c>
      <c r="AQ1087" s="2">
        <v>0</v>
      </c>
      <c r="AR1087" s="2">
        <v>0</v>
      </c>
      <c r="AS1087" s="2">
        <v>0</v>
      </c>
      <c r="AT1087" s="2">
        <v>0</v>
      </c>
      <c r="AZ1087" s="2" t="s">
        <v>7204</v>
      </c>
      <c r="BA1087" s="2" t="s">
        <v>7205</v>
      </c>
      <c r="BB1087" s="2" t="str">
        <f>+PROPER(BD[[#This Row],[PRIMER_APELLIDO]])</f>
        <v>Scott</v>
      </c>
    </row>
    <row r="1088" spans="1:54" x14ac:dyDescent="0.25">
      <c r="A1088" s="2">
        <v>1087</v>
      </c>
      <c r="B1088" s="2">
        <v>34328</v>
      </c>
      <c r="C1088" s="2" t="s">
        <v>619</v>
      </c>
      <c r="D1088" s="2" t="s">
        <v>620</v>
      </c>
      <c r="E1088" s="2" t="s">
        <v>7206</v>
      </c>
      <c r="F1088" s="2">
        <v>21704572</v>
      </c>
      <c r="G1088" s="3">
        <v>39.797260273972604</v>
      </c>
      <c r="H1088" s="2" t="s">
        <v>622</v>
      </c>
      <c r="I1088" s="2" t="s">
        <v>7207</v>
      </c>
      <c r="J1088" s="2" t="str">
        <f>+IF(BD[[#This Row],[DEPARTAMENTO_INSS]]="MANAGUA","_01_","_02_")</f>
        <v>_02_</v>
      </c>
      <c r="K1088" s="2" t="str">
        <f>+CONCATENATE(BD[[#This Row],[Columna3]],BD[[#This Row],[Columna4]],BD[[#This Row],[NOMBRE COMPLETO]])</f>
        <v>E003_02_IDANIA ISABEL VANEGAS PEREZ</v>
      </c>
      <c r="L1088" s="2" t="s">
        <v>6042</v>
      </c>
      <c r="M1088" s="2" t="s">
        <v>3736</v>
      </c>
      <c r="N1088" s="2" t="s">
        <v>75</v>
      </c>
      <c r="O1088" s="2" t="s">
        <v>24</v>
      </c>
      <c r="P1088" s="2" t="s">
        <v>626</v>
      </c>
      <c r="Q1088" s="2" t="s">
        <v>351</v>
      </c>
      <c r="R1088" s="2">
        <v>30270</v>
      </c>
      <c r="S1088" s="2">
        <v>30270</v>
      </c>
      <c r="T1088" s="2" t="s">
        <v>176</v>
      </c>
      <c r="U1088" s="2" t="s">
        <v>176</v>
      </c>
      <c r="V1088" s="2" t="s">
        <v>650</v>
      </c>
      <c r="W1088" s="2" t="s">
        <v>176</v>
      </c>
      <c r="X1088" s="2" t="s">
        <v>7208</v>
      </c>
      <c r="Y1088" s="2" t="s">
        <v>7209</v>
      </c>
      <c r="AA1088" s="2" t="s">
        <v>7210</v>
      </c>
      <c r="AB1088" s="2" t="s">
        <v>654</v>
      </c>
      <c r="AC1088" s="2" t="s">
        <v>632</v>
      </c>
      <c r="AE1088" s="2">
        <v>88282006</v>
      </c>
      <c r="AJ1088" s="2">
        <v>88282006</v>
      </c>
      <c r="AK1088" s="2">
        <v>2</v>
      </c>
      <c r="AL1088" s="2" t="s">
        <v>633</v>
      </c>
      <c r="AM1088" s="2">
        <v>0</v>
      </c>
      <c r="AN1088" s="2">
        <v>0</v>
      </c>
      <c r="AO1088" s="2">
        <v>1</v>
      </c>
      <c r="AP1088" s="2">
        <v>0</v>
      </c>
      <c r="AQ1088" s="2">
        <v>0</v>
      </c>
      <c r="AR1088" s="2">
        <v>0</v>
      </c>
      <c r="AS1088" s="2">
        <v>0</v>
      </c>
      <c r="AT1088" s="2">
        <v>0</v>
      </c>
      <c r="BB1088" s="2" t="str">
        <f>+PROPER(BD[[#This Row],[PRIMER_APELLIDO]])</f>
        <v>Vanegas</v>
      </c>
    </row>
    <row r="1089" spans="1:54" x14ac:dyDescent="0.25">
      <c r="A1089" s="2">
        <v>1088</v>
      </c>
      <c r="B1089" s="2">
        <v>23220</v>
      </c>
      <c r="C1089" s="2" t="s">
        <v>619</v>
      </c>
      <c r="D1089" s="2" t="s">
        <v>5709</v>
      </c>
      <c r="E1089" s="2" t="s">
        <v>7211</v>
      </c>
      <c r="G1089" s="3">
        <v>39.81095890410959</v>
      </c>
      <c r="H1089" s="2" t="s">
        <v>622</v>
      </c>
      <c r="I1089" s="2" t="s">
        <v>7212</v>
      </c>
      <c r="J1089" s="2" t="str">
        <f>+IF(BD[[#This Row],[DEPARTAMENTO_INSS]]="MANAGUA","_01_","_02_")</f>
        <v>_02_</v>
      </c>
      <c r="K1089" s="2" t="str">
        <f>+CONCATENATE(BD[[#This Row],[Columna3]],BD[[#This Row],[Columna4]],BD[[#This Row],[NOMBRE COMPLETO]])</f>
        <v>E003_02_MIRTA LIGIA GARCIA HUETE</v>
      </c>
      <c r="L1089" s="2" t="s">
        <v>7213</v>
      </c>
      <c r="M1089" s="2" t="s">
        <v>3559</v>
      </c>
      <c r="N1089" s="2" t="s">
        <v>10</v>
      </c>
      <c r="O1089" s="2" t="s">
        <v>219</v>
      </c>
      <c r="P1089" s="2" t="s">
        <v>626</v>
      </c>
      <c r="Q1089" s="2" t="s">
        <v>351</v>
      </c>
      <c r="R1089" s="2">
        <v>30265</v>
      </c>
      <c r="S1089" s="2">
        <v>30265</v>
      </c>
      <c r="T1089" s="2" t="s">
        <v>669</v>
      </c>
      <c r="U1089" s="2" t="s">
        <v>669</v>
      </c>
      <c r="V1089" s="2" t="s">
        <v>670</v>
      </c>
      <c r="W1089" s="2" t="s">
        <v>670</v>
      </c>
      <c r="X1089" s="2" t="s">
        <v>7214</v>
      </c>
      <c r="Y1089" s="2" t="s">
        <v>7215</v>
      </c>
      <c r="Z1089" s="2">
        <v>25494077</v>
      </c>
      <c r="AA1089" s="2">
        <v>84135446</v>
      </c>
      <c r="AB1089" s="2" t="s">
        <v>642</v>
      </c>
      <c r="AC1089" s="2" t="s">
        <v>632</v>
      </c>
      <c r="AE1089" s="2">
        <v>84135446</v>
      </c>
      <c r="AJ1089" s="2">
        <v>84135446</v>
      </c>
      <c r="AK1089" s="2">
        <v>2</v>
      </c>
      <c r="AL1089" s="2" t="s">
        <v>633</v>
      </c>
      <c r="AM1089" s="2">
        <v>0</v>
      </c>
      <c r="AN1089" s="2">
        <v>0</v>
      </c>
      <c r="AO1089" s="2">
        <v>1</v>
      </c>
      <c r="AP1089" s="2">
        <v>0</v>
      </c>
      <c r="AQ1089" s="2">
        <v>0</v>
      </c>
      <c r="AR1089" s="2">
        <v>0</v>
      </c>
      <c r="AS1089" s="2">
        <v>0</v>
      </c>
      <c r="AT1089" s="2">
        <v>0</v>
      </c>
      <c r="AZ1089" s="2" t="s">
        <v>7216</v>
      </c>
      <c r="BB1089" s="2" t="str">
        <f>+PROPER(BD[[#This Row],[PRIMER_APELLIDO]])</f>
        <v>Garcia</v>
      </c>
    </row>
    <row r="1090" spans="1:54" x14ac:dyDescent="0.25">
      <c r="A1090" s="2">
        <v>1089</v>
      </c>
      <c r="B1090" s="2">
        <v>47068</v>
      </c>
      <c r="C1090" s="2" t="s">
        <v>619</v>
      </c>
      <c r="D1090" s="2" t="s">
        <v>620</v>
      </c>
      <c r="E1090" s="2" t="s">
        <v>7217</v>
      </c>
      <c r="F1090" s="2">
        <v>13765938</v>
      </c>
      <c r="G1090" s="3">
        <v>39.81095890410959</v>
      </c>
      <c r="H1090" s="2" t="s">
        <v>622</v>
      </c>
      <c r="I1090" s="2" t="s">
        <v>7218</v>
      </c>
      <c r="J1090" s="2" t="str">
        <f>+IF(BD[[#This Row],[DEPARTAMENTO_INSS]]="MANAGUA","_01_","_02_")</f>
        <v>_02_</v>
      </c>
      <c r="K1090" s="2" t="str">
        <f>+CONCATENATE(BD[[#This Row],[Columna3]],BD[[#This Row],[Columna4]],BD[[#This Row],[NOMBRE COMPLETO]])</f>
        <v>E003_02_SONIA JANITCIA MONTOYA MORENO</v>
      </c>
      <c r="L1090" s="2" t="s">
        <v>4632</v>
      </c>
      <c r="M1090" s="2" t="s">
        <v>7219</v>
      </c>
      <c r="N1090" s="2" t="s">
        <v>257</v>
      </c>
      <c r="O1090" s="2" t="s">
        <v>430</v>
      </c>
      <c r="P1090" s="2" t="s">
        <v>626</v>
      </c>
      <c r="Q1090" s="2" t="s">
        <v>351</v>
      </c>
      <c r="R1090" s="2">
        <v>30265</v>
      </c>
      <c r="S1090" s="2">
        <v>30265</v>
      </c>
      <c r="T1090" s="2" t="s">
        <v>691</v>
      </c>
      <c r="U1090" s="2" t="s">
        <v>691</v>
      </c>
      <c r="V1090" s="2" t="s">
        <v>2467</v>
      </c>
      <c r="W1090" s="2" t="s">
        <v>2467</v>
      </c>
      <c r="X1090" s="2" t="s">
        <v>7220</v>
      </c>
      <c r="Y1090" s="2" t="s">
        <v>7221</v>
      </c>
      <c r="Z1090" s="2">
        <v>82386988</v>
      </c>
      <c r="AA1090" s="2">
        <v>27152048</v>
      </c>
      <c r="AB1090" s="2" t="s">
        <v>631</v>
      </c>
      <c r="AC1090" s="2" t="s">
        <v>632</v>
      </c>
      <c r="AD1090" s="2">
        <v>82386988</v>
      </c>
      <c r="AJ1090" s="2">
        <v>82386988</v>
      </c>
      <c r="AK1090" s="2">
        <v>2</v>
      </c>
      <c r="AL1090" s="2" t="s">
        <v>633</v>
      </c>
      <c r="AM1090" s="2">
        <v>0</v>
      </c>
      <c r="AN1090" s="2">
        <v>0</v>
      </c>
      <c r="AO1090" s="2">
        <v>1</v>
      </c>
      <c r="AP1090" s="2">
        <v>0</v>
      </c>
      <c r="AQ1090" s="2">
        <v>0</v>
      </c>
      <c r="AR1090" s="2">
        <v>0</v>
      </c>
      <c r="AS1090" s="2">
        <v>0</v>
      </c>
      <c r="AT1090" s="2">
        <v>0</v>
      </c>
      <c r="AZ1090" s="2" t="s">
        <v>7222</v>
      </c>
      <c r="BB1090" s="2" t="str">
        <f>+PROPER(BD[[#This Row],[PRIMER_APELLIDO]])</f>
        <v>Montoya</v>
      </c>
    </row>
    <row r="1091" spans="1:54" x14ac:dyDescent="0.25">
      <c r="A1091" s="2">
        <v>1090</v>
      </c>
      <c r="B1091" s="2">
        <v>26224</v>
      </c>
      <c r="C1091" s="2" t="s">
        <v>619</v>
      </c>
      <c r="D1091" s="2" t="s">
        <v>620</v>
      </c>
      <c r="E1091" s="2" t="s">
        <v>7223</v>
      </c>
      <c r="F1091" s="2">
        <v>21796067</v>
      </c>
      <c r="G1091" s="3">
        <v>39.813698630136983</v>
      </c>
      <c r="H1091" s="2" t="s">
        <v>622</v>
      </c>
      <c r="I1091" s="2" t="s">
        <v>7224</v>
      </c>
      <c r="J1091" s="2" t="str">
        <f>+IF(BD[[#This Row],[DEPARTAMENTO_INSS]]="MANAGUA","_01_","_02_")</f>
        <v>_01_</v>
      </c>
      <c r="K1091" s="2" t="str">
        <f>+CONCATENATE(BD[[#This Row],[Columna3]],BD[[#This Row],[Columna4]],BD[[#This Row],[NOMBRE COMPLETO]])</f>
        <v>E003_01_MOISES SALVADOR ALVARADO SALDOVAL</v>
      </c>
      <c r="L1091" s="2" t="s">
        <v>1512</v>
      </c>
      <c r="M1091" s="2" t="s">
        <v>1103</v>
      </c>
      <c r="N1091" s="2" t="s">
        <v>18</v>
      </c>
      <c r="O1091" s="2" t="s">
        <v>7225</v>
      </c>
      <c r="P1091" s="2" t="s">
        <v>649</v>
      </c>
      <c r="Q1091" s="2" t="s">
        <v>351</v>
      </c>
      <c r="R1091" s="2">
        <v>30264</v>
      </c>
      <c r="S1091" s="2">
        <v>30264</v>
      </c>
      <c r="U1091" s="2" t="s">
        <v>627</v>
      </c>
      <c r="W1091" s="2" t="s">
        <v>627</v>
      </c>
      <c r="X1091" s="2" t="s">
        <v>7226</v>
      </c>
      <c r="Y1091" s="2" t="s">
        <v>7227</v>
      </c>
      <c r="AA1091" s="2" t="s">
        <v>7228</v>
      </c>
      <c r="AB1091" s="2" t="s">
        <v>654</v>
      </c>
      <c r="AC1091" s="2" t="s">
        <v>632</v>
      </c>
      <c r="AE1091" s="2">
        <v>84280704</v>
      </c>
      <c r="AJ1091" s="2">
        <v>84280704</v>
      </c>
      <c r="AK1091" s="2">
        <v>2</v>
      </c>
      <c r="AL1091" s="2" t="s">
        <v>633</v>
      </c>
      <c r="AM1091" s="2">
        <v>0</v>
      </c>
      <c r="AN1091" s="2">
        <v>0</v>
      </c>
      <c r="AO1091" s="2">
        <v>1</v>
      </c>
      <c r="AP1091" s="2">
        <v>0</v>
      </c>
      <c r="AQ1091" s="2">
        <v>0</v>
      </c>
      <c r="AR1091" s="2">
        <v>0</v>
      </c>
      <c r="AS1091" s="2">
        <v>0</v>
      </c>
      <c r="AT1091" s="2">
        <v>0</v>
      </c>
      <c r="BB1091" s="2" t="str">
        <f>+PROPER(BD[[#This Row],[PRIMER_APELLIDO]])</f>
        <v>Alvarado</v>
      </c>
    </row>
    <row r="1092" spans="1:54" x14ac:dyDescent="0.25">
      <c r="A1092" s="2">
        <v>1091</v>
      </c>
      <c r="B1092" s="2">
        <v>36660</v>
      </c>
      <c r="C1092" s="2" t="s">
        <v>619</v>
      </c>
      <c r="D1092" s="2" t="s">
        <v>620</v>
      </c>
      <c r="E1092" s="2" t="s">
        <v>7229</v>
      </c>
      <c r="F1092" s="2">
        <v>21675173</v>
      </c>
      <c r="G1092" s="3">
        <v>39.830136986301369</v>
      </c>
      <c r="H1092" s="2" t="s">
        <v>622</v>
      </c>
      <c r="I1092" s="2" t="s">
        <v>7230</v>
      </c>
      <c r="J1092" s="2" t="str">
        <f>+IF(BD[[#This Row],[DEPARTAMENTO_INSS]]="MANAGUA","_01_","_02_")</f>
        <v>_02_</v>
      </c>
      <c r="K1092" s="2" t="str">
        <f>+CONCATENATE(BD[[#This Row],[Columna3]],BD[[#This Row],[Columna4]],BD[[#This Row],[NOMBRE COMPLETO]])</f>
        <v>E003_02_ADRIANA DEL CARMEN PONCE GUZMAN</v>
      </c>
      <c r="L1092" s="2" t="s">
        <v>6556</v>
      </c>
      <c r="M1092" s="2" t="s">
        <v>961</v>
      </c>
      <c r="N1092" s="2" t="s">
        <v>226</v>
      </c>
      <c r="O1092" s="2" t="s">
        <v>3647</v>
      </c>
      <c r="P1092" s="2" t="s">
        <v>626</v>
      </c>
      <c r="Q1092" s="2" t="s">
        <v>351</v>
      </c>
      <c r="R1092" s="2">
        <v>30258</v>
      </c>
      <c r="S1092" s="2">
        <v>30258</v>
      </c>
      <c r="T1092" s="2" t="s">
        <v>705</v>
      </c>
      <c r="U1092" s="2" t="s">
        <v>732</v>
      </c>
      <c r="V1092" s="2" t="s">
        <v>1014</v>
      </c>
      <c r="W1092" s="2" t="s">
        <v>732</v>
      </c>
      <c r="X1092" s="2" t="s">
        <v>7231</v>
      </c>
      <c r="Y1092" s="2" t="s">
        <v>7232</v>
      </c>
      <c r="AA1092" s="2">
        <v>77337913</v>
      </c>
      <c r="AB1092" s="2" t="s">
        <v>654</v>
      </c>
      <c r="AC1092" s="2" t="s">
        <v>632</v>
      </c>
      <c r="AD1092" s="2">
        <v>77337913</v>
      </c>
      <c r="AJ1092" s="2">
        <v>77337913</v>
      </c>
      <c r="AK1092" s="2">
        <v>1</v>
      </c>
      <c r="AL1092" s="2" t="s">
        <v>633</v>
      </c>
      <c r="AM1092" s="2">
        <v>0</v>
      </c>
      <c r="AN1092" s="2">
        <v>0</v>
      </c>
      <c r="AO1092" s="2">
        <v>1</v>
      </c>
      <c r="AP1092" s="2">
        <v>0</v>
      </c>
      <c r="AQ1092" s="2">
        <v>0</v>
      </c>
      <c r="AR1092" s="2">
        <v>0</v>
      </c>
      <c r="AS1092" s="2">
        <v>0</v>
      </c>
      <c r="AT1092" s="2">
        <v>0</v>
      </c>
      <c r="BB1092" s="2" t="str">
        <f>+PROPER(BD[[#This Row],[PRIMER_APELLIDO]])</f>
        <v>Ponce</v>
      </c>
    </row>
    <row r="1093" spans="1:54" x14ac:dyDescent="0.25">
      <c r="A1093" s="2">
        <v>1092</v>
      </c>
      <c r="B1093" s="2">
        <v>48516</v>
      </c>
      <c r="C1093" s="2" t="s">
        <v>619</v>
      </c>
      <c r="D1093" s="2" t="s">
        <v>620</v>
      </c>
      <c r="E1093" s="2" t="s">
        <v>7233</v>
      </c>
      <c r="F1093" s="2">
        <v>25022360</v>
      </c>
      <c r="G1093" s="3">
        <v>39.841095890410962</v>
      </c>
      <c r="H1093" s="2" t="s">
        <v>622</v>
      </c>
      <c r="I1093" s="2" t="s">
        <v>7234</v>
      </c>
      <c r="J1093" s="2" t="str">
        <f>+IF(BD[[#This Row],[DEPARTAMENTO_INSS]]="MANAGUA","_01_","_02_")</f>
        <v>_02_</v>
      </c>
      <c r="K1093" s="2" t="str">
        <f>+CONCATENATE(BD[[#This Row],[Columna3]],BD[[#This Row],[Columna4]],BD[[#This Row],[NOMBRE COMPLETO]])</f>
        <v>E003_02_MARIA JOSE BUSTAMANTE HENRIQUEZ</v>
      </c>
      <c r="L1093" s="2" t="s">
        <v>724</v>
      </c>
      <c r="M1093" s="2" t="s">
        <v>243</v>
      </c>
      <c r="N1093" s="2" t="s">
        <v>289</v>
      </c>
      <c r="O1093" s="2" t="s">
        <v>366</v>
      </c>
      <c r="P1093" s="2" t="s">
        <v>626</v>
      </c>
      <c r="Q1093" s="2" t="s">
        <v>351</v>
      </c>
      <c r="R1093" s="2">
        <v>30254</v>
      </c>
      <c r="S1093" s="2">
        <v>30254</v>
      </c>
      <c r="T1093" s="2" t="s">
        <v>176</v>
      </c>
      <c r="U1093" s="2" t="s">
        <v>176</v>
      </c>
      <c r="V1093" s="2" t="s">
        <v>1796</v>
      </c>
      <c r="W1093" s="2" t="s">
        <v>1796</v>
      </c>
      <c r="X1093" s="2" t="s">
        <v>7235</v>
      </c>
      <c r="Y1093" s="2" t="s">
        <v>7236</v>
      </c>
      <c r="Z1093" s="2">
        <v>85012989</v>
      </c>
      <c r="AA1093" s="2">
        <v>85012989</v>
      </c>
      <c r="AB1093" s="2" t="s">
        <v>631</v>
      </c>
      <c r="AC1093" s="2" t="s">
        <v>632</v>
      </c>
      <c r="AD1093" s="2">
        <v>85012989</v>
      </c>
      <c r="AJ1093" s="2">
        <v>85012989</v>
      </c>
      <c r="AK1093" s="2">
        <v>2</v>
      </c>
      <c r="AL1093" s="2" t="s">
        <v>633</v>
      </c>
      <c r="AM1093" s="2">
        <v>0</v>
      </c>
      <c r="AN1093" s="2">
        <v>0</v>
      </c>
      <c r="AO1093" s="2">
        <v>1</v>
      </c>
      <c r="AP1093" s="2">
        <v>0</v>
      </c>
      <c r="AQ1093" s="2">
        <v>0</v>
      </c>
      <c r="AR1093" s="2">
        <v>0</v>
      </c>
      <c r="AS1093" s="2">
        <v>0</v>
      </c>
      <c r="AT1093" s="2">
        <v>0</v>
      </c>
      <c r="AZ1093" s="2" t="s">
        <v>7237</v>
      </c>
      <c r="BB1093" s="2" t="str">
        <f>+PROPER(BD[[#This Row],[PRIMER_APELLIDO]])</f>
        <v>Bustamante</v>
      </c>
    </row>
    <row r="1094" spans="1:54" x14ac:dyDescent="0.25">
      <c r="A1094" s="2">
        <v>1093</v>
      </c>
      <c r="B1094" s="2">
        <v>73865</v>
      </c>
      <c r="C1094" s="2" t="s">
        <v>619</v>
      </c>
      <c r="D1094" s="2" t="s">
        <v>620</v>
      </c>
      <c r="E1094" s="2" t="s">
        <v>7238</v>
      </c>
      <c r="G1094" s="3">
        <v>39.841095890410962</v>
      </c>
      <c r="H1094" s="2" t="s">
        <v>622</v>
      </c>
      <c r="I1094" s="2" t="s">
        <v>7239</v>
      </c>
      <c r="J1094" s="2" t="str">
        <f>+IF(BD[[#This Row],[DEPARTAMENTO_INSS]]="MANAGUA","_01_","_02_")</f>
        <v>_01_</v>
      </c>
      <c r="K1094" s="2" t="str">
        <f>+CONCATENATE(BD[[#This Row],[Columna3]],BD[[#This Row],[Columna4]],BD[[#This Row],[NOMBRE COMPLETO]])</f>
        <v>E003_01_SHIRLEY ANTONIETADELASNIEVES PADILLA LUPIAC</v>
      </c>
      <c r="L1094" s="2" t="s">
        <v>7240</v>
      </c>
      <c r="M1094" s="2" t="s">
        <v>7241</v>
      </c>
      <c r="N1094" s="2" t="s">
        <v>262</v>
      </c>
      <c r="O1094" s="2" t="s">
        <v>7242</v>
      </c>
      <c r="P1094" s="2" t="s">
        <v>626</v>
      </c>
      <c r="Q1094" s="2" t="s">
        <v>351</v>
      </c>
      <c r="R1094" s="2">
        <v>30254</v>
      </c>
      <c r="S1094" s="2">
        <v>30254</v>
      </c>
      <c r="T1094" s="2" t="s">
        <v>627</v>
      </c>
      <c r="U1094" s="2" t="s">
        <v>627</v>
      </c>
      <c r="V1094" s="2" t="s">
        <v>627</v>
      </c>
      <c r="W1094" s="2" t="s">
        <v>627</v>
      </c>
      <c r="X1094" s="2" t="s">
        <v>7243</v>
      </c>
      <c r="Y1094" s="2" t="s">
        <v>7244</v>
      </c>
      <c r="Z1094" s="2">
        <v>87555526</v>
      </c>
      <c r="AA1094" s="2" t="s">
        <v>7245</v>
      </c>
      <c r="AB1094" s="2" t="s">
        <v>642</v>
      </c>
      <c r="AC1094" s="2" t="s">
        <v>632</v>
      </c>
      <c r="AD1094" s="2">
        <v>87555526</v>
      </c>
      <c r="AJ1094" s="2">
        <v>87555526</v>
      </c>
      <c r="AK1094" s="2">
        <v>3</v>
      </c>
      <c r="AL1094" s="2" t="s">
        <v>633</v>
      </c>
      <c r="AM1094" s="2">
        <v>0</v>
      </c>
      <c r="AN1094" s="2">
        <v>0</v>
      </c>
      <c r="AO1094" s="2">
        <v>1</v>
      </c>
      <c r="AP1094" s="2">
        <v>0</v>
      </c>
      <c r="AQ1094" s="2">
        <v>0</v>
      </c>
      <c r="AR1094" s="2">
        <v>0</v>
      </c>
      <c r="AS1094" s="2">
        <v>0</v>
      </c>
      <c r="AT1094" s="2">
        <v>0</v>
      </c>
      <c r="AZ1094" s="2" t="s">
        <v>7246</v>
      </c>
      <c r="BB1094" s="2" t="str">
        <f>+PROPER(BD[[#This Row],[PRIMER_APELLIDO]])</f>
        <v>Padilla</v>
      </c>
    </row>
    <row r="1095" spans="1:54" x14ac:dyDescent="0.25">
      <c r="A1095" s="2">
        <v>1094</v>
      </c>
      <c r="B1095" s="2">
        <v>26252</v>
      </c>
      <c r="C1095" s="2" t="s">
        <v>619</v>
      </c>
      <c r="D1095" s="2" t="s">
        <v>620</v>
      </c>
      <c r="E1095" s="2" t="s">
        <v>7247</v>
      </c>
      <c r="F1095" s="2">
        <v>20866699</v>
      </c>
      <c r="G1095" s="3">
        <v>39.846575342465755</v>
      </c>
      <c r="H1095" s="2" t="s">
        <v>622</v>
      </c>
      <c r="I1095" s="2" t="s">
        <v>7248</v>
      </c>
      <c r="J1095" s="2" t="str">
        <f>+IF(BD[[#This Row],[DEPARTAMENTO_INSS]]="MANAGUA","_01_","_02_")</f>
        <v>_02_</v>
      </c>
      <c r="K1095" s="2" t="str">
        <f>+CONCATENATE(BD[[#This Row],[Columna3]],BD[[#This Row],[Columna4]],BD[[#This Row],[NOMBRE COMPLETO]])</f>
        <v>E003_02_ALFONSO GONZALEZ MEDINA</v>
      </c>
      <c r="L1095" s="2" t="s">
        <v>2057</v>
      </c>
      <c r="N1095" s="2" t="s">
        <v>14</v>
      </c>
      <c r="O1095" s="2" t="s">
        <v>104</v>
      </c>
      <c r="P1095" s="2" t="s">
        <v>649</v>
      </c>
      <c r="Q1095" s="2" t="s">
        <v>351</v>
      </c>
      <c r="R1095" s="2">
        <v>30252</v>
      </c>
      <c r="S1095" s="2">
        <v>30252</v>
      </c>
      <c r="T1095" s="2" t="s">
        <v>732</v>
      </c>
      <c r="U1095" s="2" t="s">
        <v>732</v>
      </c>
      <c r="V1095" s="2" t="s">
        <v>2793</v>
      </c>
      <c r="W1095" s="2" t="s">
        <v>2793</v>
      </c>
      <c r="X1095" s="2" t="s">
        <v>7249</v>
      </c>
      <c r="Y1095" s="2" t="s">
        <v>7250</v>
      </c>
      <c r="Z1095" s="2">
        <v>81029165</v>
      </c>
      <c r="AA1095" s="2">
        <v>81029165</v>
      </c>
      <c r="AB1095" s="2" t="s">
        <v>654</v>
      </c>
      <c r="AC1095" s="2" t="s">
        <v>632</v>
      </c>
      <c r="AD1095" s="2">
        <v>81029165</v>
      </c>
      <c r="AJ1095" s="2">
        <v>81029165</v>
      </c>
      <c r="AK1095" s="2">
        <v>2</v>
      </c>
      <c r="AL1095" s="2" t="s">
        <v>633</v>
      </c>
      <c r="AM1095" s="2">
        <v>0</v>
      </c>
      <c r="AN1095" s="2">
        <v>0</v>
      </c>
      <c r="AO1095" s="2">
        <v>1</v>
      </c>
      <c r="AP1095" s="2">
        <v>0</v>
      </c>
      <c r="AQ1095" s="2">
        <v>0</v>
      </c>
      <c r="AR1095" s="2">
        <v>0</v>
      </c>
      <c r="AS1095" s="2">
        <v>0</v>
      </c>
      <c r="AT1095" s="2">
        <v>0</v>
      </c>
      <c r="AZ1095" s="2" t="s">
        <v>7251</v>
      </c>
      <c r="BB1095" s="2" t="str">
        <f>+PROPER(BD[[#This Row],[PRIMER_APELLIDO]])</f>
        <v>Gonzalez</v>
      </c>
    </row>
    <row r="1096" spans="1:54" x14ac:dyDescent="0.25">
      <c r="A1096" s="2">
        <v>1095</v>
      </c>
      <c r="B1096" s="2">
        <v>35574</v>
      </c>
      <c r="C1096" s="2" t="s">
        <v>619</v>
      </c>
      <c r="D1096" s="2" t="s">
        <v>620</v>
      </c>
      <c r="E1096" s="2" t="s">
        <v>7252</v>
      </c>
      <c r="F1096" s="2">
        <v>21720938</v>
      </c>
      <c r="G1096" s="3">
        <v>39.863013698630134</v>
      </c>
      <c r="H1096" s="2" t="s">
        <v>622</v>
      </c>
      <c r="I1096" s="2" t="s">
        <v>7253</v>
      </c>
      <c r="J1096" s="2" t="str">
        <f>+IF(BD[[#This Row],[DEPARTAMENTO_INSS]]="MANAGUA","_01_","_02_")</f>
        <v>_02_</v>
      </c>
      <c r="K1096" s="2" t="str">
        <f>+CONCATENATE(BD[[#This Row],[Columna3]],BD[[#This Row],[Columna4]],BD[[#This Row],[NOMBRE COMPLETO]])</f>
        <v>E003_02_OSCAR JOSE LANUZA VILLANUEVA</v>
      </c>
      <c r="L1096" s="2" t="s">
        <v>2539</v>
      </c>
      <c r="M1096" s="2" t="s">
        <v>243</v>
      </c>
      <c r="N1096" s="2" t="s">
        <v>131</v>
      </c>
      <c r="O1096" s="2" t="s">
        <v>1308</v>
      </c>
      <c r="P1096" s="2" t="s">
        <v>649</v>
      </c>
      <c r="Q1096" s="2" t="s">
        <v>351</v>
      </c>
      <c r="R1096" s="2">
        <v>30246</v>
      </c>
      <c r="S1096" s="2">
        <v>30246</v>
      </c>
      <c r="T1096" s="2" t="s">
        <v>444</v>
      </c>
      <c r="U1096" s="2" t="s">
        <v>669</v>
      </c>
      <c r="V1096" s="2" t="s">
        <v>7254</v>
      </c>
      <c r="W1096" s="2" t="s">
        <v>670</v>
      </c>
      <c r="X1096" s="2" t="s">
        <v>7255</v>
      </c>
      <c r="Y1096" s="2" t="s">
        <v>7256</v>
      </c>
      <c r="Z1096" s="2">
        <v>88241529</v>
      </c>
      <c r="AA1096" s="2">
        <v>86617680</v>
      </c>
      <c r="AB1096" s="2" t="s">
        <v>654</v>
      </c>
      <c r="AC1096" s="2" t="s">
        <v>632</v>
      </c>
      <c r="AD1096" s="2">
        <v>88241529</v>
      </c>
      <c r="AF1096" s="2">
        <v>86617680</v>
      </c>
      <c r="AJ1096" s="2">
        <v>88241529</v>
      </c>
      <c r="AK1096" s="2">
        <v>2</v>
      </c>
      <c r="AL1096" s="2" t="s">
        <v>633</v>
      </c>
      <c r="AM1096" s="2">
        <v>0</v>
      </c>
      <c r="AN1096" s="2">
        <v>0</v>
      </c>
      <c r="AO1096" s="2">
        <v>1</v>
      </c>
      <c r="AP1096" s="2">
        <v>0</v>
      </c>
      <c r="AQ1096" s="2">
        <v>0</v>
      </c>
      <c r="AR1096" s="2">
        <v>0</v>
      </c>
      <c r="AS1096" s="2">
        <v>0</v>
      </c>
      <c r="AT1096" s="2">
        <v>0</v>
      </c>
      <c r="BB1096" s="2" t="str">
        <f>+PROPER(BD[[#This Row],[PRIMER_APELLIDO]])</f>
        <v>Lanuza</v>
      </c>
    </row>
    <row r="1097" spans="1:54" x14ac:dyDescent="0.25">
      <c r="A1097" s="2">
        <v>1096</v>
      </c>
      <c r="B1097" s="2">
        <v>25508</v>
      </c>
      <c r="C1097" s="2" t="s">
        <v>619</v>
      </c>
      <c r="D1097" s="2" t="s">
        <v>620</v>
      </c>
      <c r="E1097" s="2" t="s">
        <v>7257</v>
      </c>
      <c r="F1097" s="2">
        <v>21204702</v>
      </c>
      <c r="G1097" s="3">
        <v>39.871232876712327</v>
      </c>
      <c r="H1097" s="2" t="s">
        <v>622</v>
      </c>
      <c r="I1097" s="2" t="s">
        <v>7258</v>
      </c>
      <c r="J1097" s="2" t="str">
        <f>+IF(BD[[#This Row],[DEPARTAMENTO_INSS]]="MANAGUA","_01_","_02_")</f>
        <v>_01_</v>
      </c>
      <c r="K1097" s="2" t="str">
        <f>+CONCATENATE(BD[[#This Row],[Columna3]],BD[[#This Row],[Columna4]],BD[[#This Row],[NOMBRE COMPLETO]])</f>
        <v>E003_01_HEYDI DEL PILAR TRUJILLO ARAUZ</v>
      </c>
      <c r="L1097" s="2" t="s">
        <v>7259</v>
      </c>
      <c r="M1097" s="2" t="s">
        <v>7260</v>
      </c>
      <c r="N1097" s="2" t="s">
        <v>236</v>
      </c>
      <c r="O1097" s="2" t="s">
        <v>174</v>
      </c>
      <c r="P1097" s="2" t="s">
        <v>626</v>
      </c>
      <c r="Q1097" s="2" t="s">
        <v>351</v>
      </c>
      <c r="R1097" s="2">
        <v>30243</v>
      </c>
      <c r="S1097" s="2">
        <v>30243</v>
      </c>
      <c r="U1097" s="2" t="s">
        <v>627</v>
      </c>
      <c r="W1097" s="2" t="s">
        <v>627</v>
      </c>
      <c r="X1097" s="2" t="s">
        <v>7261</v>
      </c>
      <c r="Y1097" s="2" t="s">
        <v>7262</v>
      </c>
      <c r="AA1097" s="2">
        <v>81007429</v>
      </c>
      <c r="AB1097" s="2" t="s">
        <v>654</v>
      </c>
      <c r="AC1097" s="2" t="s">
        <v>632</v>
      </c>
      <c r="AD1097" s="2">
        <v>81007429</v>
      </c>
      <c r="AJ1097" s="2">
        <v>81007429</v>
      </c>
      <c r="AK1097" s="2">
        <v>1</v>
      </c>
      <c r="AL1097" s="2" t="s">
        <v>633</v>
      </c>
      <c r="AM1097" s="2">
        <v>0</v>
      </c>
      <c r="AN1097" s="2">
        <v>0</v>
      </c>
      <c r="AO1097" s="2">
        <v>1</v>
      </c>
      <c r="AP1097" s="2">
        <v>0</v>
      </c>
      <c r="AQ1097" s="2">
        <v>0</v>
      </c>
      <c r="AR1097" s="2">
        <v>0</v>
      </c>
      <c r="AS1097" s="2">
        <v>0</v>
      </c>
      <c r="AT1097" s="2">
        <v>0</v>
      </c>
      <c r="BB1097" s="2" t="str">
        <f>+PROPER(BD[[#This Row],[PRIMER_APELLIDO]])</f>
        <v>Trujillo</v>
      </c>
    </row>
    <row r="1098" spans="1:54" x14ac:dyDescent="0.25">
      <c r="A1098" s="2">
        <v>1097</v>
      </c>
      <c r="B1098" s="2">
        <v>26212</v>
      </c>
      <c r="C1098" s="2" t="s">
        <v>619</v>
      </c>
      <c r="D1098" s="2" t="s">
        <v>620</v>
      </c>
      <c r="E1098" s="2" t="s">
        <v>7263</v>
      </c>
      <c r="F1098" s="2">
        <v>22114439</v>
      </c>
      <c r="G1098" s="3">
        <v>39.884931506849313</v>
      </c>
      <c r="H1098" s="2" t="s">
        <v>622</v>
      </c>
      <c r="I1098" s="2" t="s">
        <v>7264</v>
      </c>
      <c r="J1098" s="2" t="str">
        <f>+IF(BD[[#This Row],[DEPARTAMENTO_INSS]]="MANAGUA","_01_","_02_")</f>
        <v>_02_</v>
      </c>
      <c r="K1098" s="2" t="str">
        <f>+CONCATENATE(BD[[#This Row],[Columna3]],BD[[#This Row],[Columna4]],BD[[#This Row],[NOMBRE COMPLETO]])</f>
        <v>E003_02_MARBELL BEYANIRA ANTON MUÑOZ</v>
      </c>
      <c r="L1098" s="2" t="s">
        <v>7265</v>
      </c>
      <c r="M1098" s="2" t="s">
        <v>7266</v>
      </c>
      <c r="N1098" s="2" t="s">
        <v>210</v>
      </c>
      <c r="O1098" s="2" t="s">
        <v>356</v>
      </c>
      <c r="P1098" s="2" t="s">
        <v>626</v>
      </c>
      <c r="Q1098" s="2" t="s">
        <v>351</v>
      </c>
      <c r="R1098" s="2">
        <v>30238</v>
      </c>
      <c r="S1098" s="2">
        <v>30238</v>
      </c>
      <c r="T1098" s="2" t="s">
        <v>176</v>
      </c>
      <c r="U1098" s="2" t="s">
        <v>176</v>
      </c>
      <c r="V1098" s="2" t="s">
        <v>650</v>
      </c>
      <c r="W1098" s="2" t="s">
        <v>176</v>
      </c>
      <c r="X1098" s="2" t="s">
        <v>7267</v>
      </c>
      <c r="Y1098" s="2" t="s">
        <v>7268</v>
      </c>
      <c r="Z1098" s="2">
        <v>75300431</v>
      </c>
      <c r="AA1098" s="2" t="s">
        <v>7269</v>
      </c>
      <c r="AB1098" s="2" t="s">
        <v>642</v>
      </c>
      <c r="AC1098" s="2" t="s">
        <v>632</v>
      </c>
      <c r="AD1098" s="2">
        <v>75300431</v>
      </c>
      <c r="AJ1098" s="2">
        <v>75300431</v>
      </c>
      <c r="AK1098" s="2">
        <v>3</v>
      </c>
      <c r="AL1098" s="2" t="s">
        <v>633</v>
      </c>
      <c r="AM1098" s="2">
        <v>0</v>
      </c>
      <c r="AN1098" s="2">
        <v>0</v>
      </c>
      <c r="AO1098" s="2">
        <v>1</v>
      </c>
      <c r="AP1098" s="2">
        <v>0</v>
      </c>
      <c r="AQ1098" s="2">
        <v>0</v>
      </c>
      <c r="AR1098" s="2">
        <v>0</v>
      </c>
      <c r="AS1098" s="2">
        <v>0</v>
      </c>
      <c r="AT1098" s="2">
        <v>0</v>
      </c>
      <c r="AZ1098" s="2" t="s">
        <v>7270</v>
      </c>
      <c r="BB1098" s="2" t="str">
        <f>+PROPER(BD[[#This Row],[PRIMER_APELLIDO]])</f>
        <v>Anton</v>
      </c>
    </row>
    <row r="1099" spans="1:54" x14ac:dyDescent="0.25">
      <c r="A1099" s="2">
        <v>1098</v>
      </c>
      <c r="B1099" s="2">
        <v>25137</v>
      </c>
      <c r="C1099" s="2" t="s">
        <v>619</v>
      </c>
      <c r="D1099" s="2" t="s">
        <v>620</v>
      </c>
      <c r="E1099" s="2" t="s">
        <v>7271</v>
      </c>
      <c r="F1099" s="2">
        <v>20947699</v>
      </c>
      <c r="G1099" s="3">
        <v>39.895890410958906</v>
      </c>
      <c r="H1099" s="2" t="s">
        <v>622</v>
      </c>
      <c r="I1099" s="2" t="s">
        <v>7272</v>
      </c>
      <c r="J1099" s="2" t="str">
        <f>+IF(BD[[#This Row],[DEPARTAMENTO_INSS]]="MANAGUA","_01_","_02_")</f>
        <v>_01_</v>
      </c>
      <c r="K1099" s="2" t="str">
        <f>+CONCATENATE(BD[[#This Row],[Columna3]],BD[[#This Row],[Columna4]],BD[[#This Row],[NOMBRE COMPLETO]])</f>
        <v>E003_01_NIMROD FLORES SANCHEZ</v>
      </c>
      <c r="L1099" s="2" t="s">
        <v>7273</v>
      </c>
      <c r="N1099" s="2" t="s">
        <v>58</v>
      </c>
      <c r="O1099" s="2" t="s">
        <v>90</v>
      </c>
      <c r="P1099" s="2" t="s">
        <v>649</v>
      </c>
      <c r="Q1099" s="2" t="s">
        <v>351</v>
      </c>
      <c r="R1099" s="2">
        <v>30234</v>
      </c>
      <c r="S1099" s="2">
        <v>30234</v>
      </c>
      <c r="U1099" s="2" t="s">
        <v>627</v>
      </c>
      <c r="W1099" s="2" t="s">
        <v>2915</v>
      </c>
      <c r="X1099" s="2" t="s">
        <v>7274</v>
      </c>
      <c r="Y1099" s="2" t="s">
        <v>7275</v>
      </c>
      <c r="AA1099" s="2" t="s">
        <v>7276</v>
      </c>
      <c r="AB1099" s="2" t="s">
        <v>654</v>
      </c>
      <c r="AC1099" s="2" t="s">
        <v>632</v>
      </c>
      <c r="AE1099" s="2">
        <v>88710189</v>
      </c>
      <c r="AJ1099" s="2">
        <v>88710189</v>
      </c>
      <c r="AK1099" s="2">
        <v>2</v>
      </c>
      <c r="AL1099" s="2" t="s">
        <v>633</v>
      </c>
      <c r="AM1099" s="2">
        <v>0</v>
      </c>
      <c r="AN1099" s="2">
        <v>0</v>
      </c>
      <c r="AO1099" s="2">
        <v>1</v>
      </c>
      <c r="AP1099" s="2">
        <v>0</v>
      </c>
      <c r="AQ1099" s="2">
        <v>0</v>
      </c>
      <c r="AR1099" s="2">
        <v>0</v>
      </c>
      <c r="AS1099" s="2">
        <v>0</v>
      </c>
      <c r="AT1099" s="2">
        <v>0</v>
      </c>
      <c r="BA1099" s="2" t="s">
        <v>7277</v>
      </c>
      <c r="BB1099" s="2" t="str">
        <f>+PROPER(BD[[#This Row],[PRIMER_APELLIDO]])</f>
        <v>Flores</v>
      </c>
    </row>
    <row r="1100" spans="1:54" x14ac:dyDescent="0.25">
      <c r="A1100" s="2">
        <v>1099</v>
      </c>
      <c r="B1100" s="2">
        <v>35594</v>
      </c>
      <c r="C1100" s="2" t="s">
        <v>619</v>
      </c>
      <c r="D1100" s="2" t="s">
        <v>620</v>
      </c>
      <c r="E1100" s="2" t="s">
        <v>7278</v>
      </c>
      <c r="F1100" s="2">
        <v>22184182</v>
      </c>
      <c r="G1100" s="3">
        <v>39.898630136986299</v>
      </c>
      <c r="H1100" s="2" t="s">
        <v>622</v>
      </c>
      <c r="I1100" s="2" t="s">
        <v>7279</v>
      </c>
      <c r="J1100" s="2" t="str">
        <f>+IF(BD[[#This Row],[DEPARTAMENTO_INSS]]="MANAGUA","_01_","_02_")</f>
        <v>_01_</v>
      </c>
      <c r="K1100" s="2" t="str">
        <f>+CONCATENATE(BD[[#This Row],[Columna3]],BD[[#This Row],[Columna4]],BD[[#This Row],[NOMBRE COMPLETO]])</f>
        <v>E003_01_ROBERTO DE JESUS VELASQUEZ GALEANO</v>
      </c>
      <c r="L1100" s="2" t="s">
        <v>1057</v>
      </c>
      <c r="M1100" s="2" t="s">
        <v>2551</v>
      </c>
      <c r="N1100" s="2" t="s">
        <v>48</v>
      </c>
      <c r="O1100" s="2" t="s">
        <v>70</v>
      </c>
      <c r="P1100" s="2" t="s">
        <v>649</v>
      </c>
      <c r="Q1100" s="2" t="s">
        <v>351</v>
      </c>
      <c r="R1100" s="2">
        <v>30233</v>
      </c>
      <c r="S1100" s="2">
        <v>30233</v>
      </c>
      <c r="T1100" s="2" t="s">
        <v>627</v>
      </c>
      <c r="U1100" s="2" t="s">
        <v>627</v>
      </c>
      <c r="V1100" s="2" t="s">
        <v>627</v>
      </c>
      <c r="W1100" s="2" t="s">
        <v>627</v>
      </c>
      <c r="X1100" s="2" t="s">
        <v>7280</v>
      </c>
      <c r="Y1100" s="2" t="s">
        <v>7281</v>
      </c>
      <c r="AA1100" s="2" t="s">
        <v>7282</v>
      </c>
      <c r="AB1100" s="2" t="s">
        <v>654</v>
      </c>
      <c r="AC1100" s="2" t="s">
        <v>632</v>
      </c>
      <c r="AD1100" s="2">
        <v>89349318</v>
      </c>
      <c r="AJ1100" s="2">
        <v>89349318</v>
      </c>
      <c r="AK1100" s="2">
        <v>2</v>
      </c>
      <c r="AL1100" s="2" t="s">
        <v>633</v>
      </c>
      <c r="AM1100" s="2">
        <v>0</v>
      </c>
      <c r="AN1100" s="2">
        <v>0</v>
      </c>
      <c r="AO1100" s="2">
        <v>1</v>
      </c>
      <c r="AP1100" s="2">
        <v>0</v>
      </c>
      <c r="AQ1100" s="2">
        <v>0</v>
      </c>
      <c r="AR1100" s="2">
        <v>0</v>
      </c>
      <c r="AS1100" s="2">
        <v>0</v>
      </c>
      <c r="AT1100" s="2">
        <v>0</v>
      </c>
      <c r="BA1100" s="2" t="s">
        <v>7283</v>
      </c>
      <c r="BB1100" s="2" t="str">
        <f>+PROPER(BD[[#This Row],[PRIMER_APELLIDO]])</f>
        <v>Velasquez</v>
      </c>
    </row>
    <row r="1101" spans="1:54" x14ac:dyDescent="0.25">
      <c r="A1101" s="2">
        <v>1100</v>
      </c>
      <c r="B1101" s="2">
        <v>18007</v>
      </c>
      <c r="C1101" s="2" t="s">
        <v>619</v>
      </c>
      <c r="D1101" s="2" t="s">
        <v>620</v>
      </c>
      <c r="E1101" s="2" t="s">
        <v>7284</v>
      </c>
      <c r="F1101" s="2">
        <v>15092625</v>
      </c>
      <c r="G1101" s="3">
        <v>39.901369863013699</v>
      </c>
      <c r="H1101" s="2" t="s">
        <v>622</v>
      </c>
      <c r="I1101" s="2" t="s">
        <v>7285</v>
      </c>
      <c r="J1101" s="2" t="str">
        <f>+IF(BD[[#This Row],[DEPARTAMENTO_INSS]]="MANAGUA","_01_","_02_")</f>
        <v>_02_</v>
      </c>
      <c r="K1101" s="2" t="str">
        <f>+CONCATENATE(BD[[#This Row],[Columna3]],BD[[#This Row],[Columna4]],BD[[#This Row],[NOMBRE COMPLETO]])</f>
        <v>E003_02_MARGY MARIA IXCHEL BUSTOS BERMUDEZ</v>
      </c>
      <c r="L1101" s="2" t="s">
        <v>7286</v>
      </c>
      <c r="M1101" s="2" t="s">
        <v>7287</v>
      </c>
      <c r="N1101" s="2" t="s">
        <v>246</v>
      </c>
      <c r="O1101" s="2" t="s">
        <v>315</v>
      </c>
      <c r="P1101" s="2" t="s">
        <v>626</v>
      </c>
      <c r="Q1101" s="2" t="s">
        <v>351</v>
      </c>
      <c r="R1101" s="2">
        <v>30232</v>
      </c>
      <c r="S1101" s="2">
        <v>30232</v>
      </c>
      <c r="T1101" s="2" t="s">
        <v>732</v>
      </c>
      <c r="U1101" s="2" t="s">
        <v>732</v>
      </c>
      <c r="V1101" s="2" t="s">
        <v>2793</v>
      </c>
      <c r="W1101" s="2" t="s">
        <v>2793</v>
      </c>
      <c r="X1101" s="2" t="s">
        <v>7288</v>
      </c>
      <c r="Y1101" s="2" t="s">
        <v>7289</v>
      </c>
      <c r="Z1101" s="2">
        <v>82074364</v>
      </c>
      <c r="AA1101" s="2">
        <v>82074364</v>
      </c>
      <c r="AB1101" s="2" t="s">
        <v>642</v>
      </c>
      <c r="AC1101" s="2" t="s">
        <v>632</v>
      </c>
      <c r="AD1101" s="2">
        <v>82074364</v>
      </c>
      <c r="AJ1101" s="2">
        <v>82074364</v>
      </c>
      <c r="AK1101" s="2">
        <v>2</v>
      </c>
      <c r="AL1101" s="2" t="s">
        <v>633</v>
      </c>
      <c r="AM1101" s="2">
        <v>0</v>
      </c>
      <c r="AN1101" s="2">
        <v>0</v>
      </c>
      <c r="AO1101" s="2">
        <v>1</v>
      </c>
      <c r="AP1101" s="2">
        <v>0</v>
      </c>
      <c r="AQ1101" s="2">
        <v>0</v>
      </c>
      <c r="AR1101" s="2">
        <v>0</v>
      </c>
      <c r="AS1101" s="2">
        <v>0</v>
      </c>
      <c r="AT1101" s="2">
        <v>0</v>
      </c>
      <c r="AZ1101" s="2" t="s">
        <v>7290</v>
      </c>
      <c r="BB1101" s="2" t="str">
        <f>+PROPER(BD[[#This Row],[PRIMER_APELLIDO]])</f>
        <v>Bustos</v>
      </c>
    </row>
    <row r="1102" spans="1:54" x14ac:dyDescent="0.25">
      <c r="A1102" s="2">
        <v>1101</v>
      </c>
      <c r="B1102" s="2">
        <v>22077</v>
      </c>
      <c r="C1102" s="2" t="s">
        <v>619</v>
      </c>
      <c r="D1102" s="2" t="s">
        <v>620</v>
      </c>
      <c r="E1102" s="2" t="s">
        <v>7291</v>
      </c>
      <c r="G1102" s="3">
        <v>39.906849315068492</v>
      </c>
      <c r="H1102" s="2" t="s">
        <v>622</v>
      </c>
      <c r="I1102" s="2" t="s">
        <v>7292</v>
      </c>
      <c r="J1102" s="2" t="str">
        <f>+IF(BD[[#This Row],[DEPARTAMENTO_INSS]]="MANAGUA","_01_","_02_")</f>
        <v>_02_</v>
      </c>
      <c r="K1102" s="2" t="str">
        <f>+CONCATENATE(BD[[#This Row],[Columna3]],BD[[#This Row],[Columna4]],BD[[#This Row],[NOMBRE COMPLETO]])</f>
        <v>E003_02_ISAURA ISABEL AYERDIS OROZCO</v>
      </c>
      <c r="L1102" s="2" t="s">
        <v>7293</v>
      </c>
      <c r="M1102" s="2" t="s">
        <v>3736</v>
      </c>
      <c r="N1102" s="2" t="s">
        <v>304</v>
      </c>
      <c r="O1102" s="2" t="s">
        <v>254</v>
      </c>
      <c r="P1102" s="2" t="s">
        <v>626</v>
      </c>
      <c r="Q1102" s="2" t="s">
        <v>351</v>
      </c>
      <c r="R1102" s="2">
        <v>30230</v>
      </c>
      <c r="S1102" s="2">
        <v>30230</v>
      </c>
      <c r="T1102" s="2" t="s">
        <v>780</v>
      </c>
      <c r="U1102" s="2" t="s">
        <v>929</v>
      </c>
      <c r="V1102" s="2" t="s">
        <v>1143</v>
      </c>
      <c r="W1102" s="2" t="s">
        <v>1653</v>
      </c>
      <c r="X1102" s="2" t="s">
        <v>7294</v>
      </c>
      <c r="Y1102" s="2" t="s">
        <v>7295</v>
      </c>
      <c r="Z1102" s="2">
        <v>84416490</v>
      </c>
      <c r="AA1102" s="2">
        <v>86460925</v>
      </c>
      <c r="AB1102" s="2" t="s">
        <v>642</v>
      </c>
      <c r="AC1102" s="2" t="s">
        <v>632</v>
      </c>
      <c r="AD1102" s="2">
        <v>84416490</v>
      </c>
      <c r="AF1102" s="2">
        <v>86460925</v>
      </c>
      <c r="AJ1102" s="2">
        <v>84416490</v>
      </c>
      <c r="AK1102" s="2">
        <v>2</v>
      </c>
      <c r="AL1102" s="2" t="s">
        <v>633</v>
      </c>
      <c r="AM1102" s="2">
        <v>0</v>
      </c>
      <c r="AN1102" s="2">
        <v>0</v>
      </c>
      <c r="AO1102" s="2">
        <v>1</v>
      </c>
      <c r="AP1102" s="2">
        <v>0</v>
      </c>
      <c r="AQ1102" s="2">
        <v>0</v>
      </c>
      <c r="AR1102" s="2">
        <v>0</v>
      </c>
      <c r="AS1102" s="2">
        <v>0</v>
      </c>
      <c r="AT1102" s="2">
        <v>0</v>
      </c>
      <c r="AZ1102" s="2" t="s">
        <v>7296</v>
      </c>
      <c r="BB1102" s="2" t="str">
        <f>+PROPER(BD[[#This Row],[PRIMER_APELLIDO]])</f>
        <v>Ayerdis</v>
      </c>
    </row>
    <row r="1103" spans="1:54" x14ac:dyDescent="0.25">
      <c r="A1103" s="2">
        <v>1102</v>
      </c>
      <c r="B1103" s="2">
        <v>27472</v>
      </c>
      <c r="C1103" s="2" t="s">
        <v>619</v>
      </c>
      <c r="D1103" s="2" t="s">
        <v>620</v>
      </c>
      <c r="E1103" s="2" t="s">
        <v>7297</v>
      </c>
      <c r="F1103" s="2">
        <v>21443866</v>
      </c>
      <c r="G1103" s="3">
        <v>39.909589041095892</v>
      </c>
      <c r="H1103" s="2" t="s">
        <v>622</v>
      </c>
      <c r="I1103" s="2" t="s">
        <v>7298</v>
      </c>
      <c r="J1103" s="2" t="str">
        <f>+IF(BD[[#This Row],[DEPARTAMENTO_INSS]]="MANAGUA","_01_","_02_")</f>
        <v>_02_</v>
      </c>
      <c r="K1103" s="2" t="str">
        <f>+CONCATENATE(BD[[#This Row],[Columna3]],BD[[#This Row],[Columna4]],BD[[#This Row],[NOMBRE COMPLETO]])</f>
        <v>E003_02_NOE FRANCISCO MARTINEZ OLIVAS</v>
      </c>
      <c r="L1103" s="2" t="s">
        <v>7299</v>
      </c>
      <c r="M1103" s="2" t="s">
        <v>1692</v>
      </c>
      <c r="N1103" s="2" t="s">
        <v>44</v>
      </c>
      <c r="O1103" s="2" t="s">
        <v>322</v>
      </c>
      <c r="P1103" s="2" t="s">
        <v>649</v>
      </c>
      <c r="Q1103" s="2" t="s">
        <v>351</v>
      </c>
      <c r="R1103" s="2">
        <v>30229</v>
      </c>
      <c r="S1103" s="2">
        <v>30229</v>
      </c>
      <c r="T1103" s="2" t="s">
        <v>705</v>
      </c>
      <c r="U1103" s="2" t="s">
        <v>705</v>
      </c>
      <c r="V1103" s="2" t="s">
        <v>705</v>
      </c>
      <c r="W1103" s="2" t="s">
        <v>705</v>
      </c>
      <c r="X1103" s="2" t="s">
        <v>7300</v>
      </c>
      <c r="Y1103" s="2" t="s">
        <v>7301</v>
      </c>
      <c r="Z1103" s="2">
        <v>89551191</v>
      </c>
      <c r="AA1103" s="2">
        <v>89551191</v>
      </c>
      <c r="AB1103" s="2" t="s">
        <v>654</v>
      </c>
      <c r="AC1103" s="2" t="s">
        <v>632</v>
      </c>
      <c r="AD1103" s="2">
        <v>89551191</v>
      </c>
      <c r="AJ1103" s="2">
        <v>89551191</v>
      </c>
      <c r="AK1103" s="2">
        <v>2</v>
      </c>
      <c r="AL1103" s="2" t="s">
        <v>633</v>
      </c>
      <c r="AM1103" s="2">
        <v>0</v>
      </c>
      <c r="AN1103" s="2">
        <v>0</v>
      </c>
      <c r="AO1103" s="2">
        <v>1</v>
      </c>
      <c r="AP1103" s="2">
        <v>0</v>
      </c>
      <c r="AQ1103" s="2">
        <v>0</v>
      </c>
      <c r="AR1103" s="2">
        <v>0</v>
      </c>
      <c r="AS1103" s="2">
        <v>0</v>
      </c>
      <c r="AT1103" s="2">
        <v>0</v>
      </c>
      <c r="AZ1103" s="2" t="s">
        <v>7302</v>
      </c>
      <c r="BB1103" s="2" t="str">
        <f>+PROPER(BD[[#This Row],[PRIMER_APELLIDO]])</f>
        <v>Martinez</v>
      </c>
    </row>
    <row r="1104" spans="1:54" x14ac:dyDescent="0.25">
      <c r="A1104" s="2">
        <v>1103</v>
      </c>
      <c r="B1104" s="2">
        <v>31841</v>
      </c>
      <c r="C1104" s="2" t="s">
        <v>619</v>
      </c>
      <c r="D1104" s="2" t="s">
        <v>620</v>
      </c>
      <c r="E1104" s="2" t="s">
        <v>7303</v>
      </c>
      <c r="F1104" s="2">
        <v>21663615</v>
      </c>
      <c r="G1104" s="3">
        <v>39.917808219178085</v>
      </c>
      <c r="H1104" s="2" t="s">
        <v>622</v>
      </c>
      <c r="I1104" s="2" t="s">
        <v>7304</v>
      </c>
      <c r="J1104" s="2" t="str">
        <f>+IF(BD[[#This Row],[DEPARTAMENTO_INSS]]="MANAGUA","_01_","_02_")</f>
        <v>_02_</v>
      </c>
      <c r="K1104" s="2" t="str">
        <f>+CONCATENATE(BD[[#This Row],[Columna3]],BD[[#This Row],[Columna4]],BD[[#This Row],[NOMBRE COMPLETO]])</f>
        <v>E003_02_REBECA RAFAELA LIRA NAVARRO</v>
      </c>
      <c r="L1104" s="2" t="s">
        <v>1257</v>
      </c>
      <c r="M1104" s="2" t="s">
        <v>1645</v>
      </c>
      <c r="N1104" s="2" t="s">
        <v>404</v>
      </c>
      <c r="O1104" s="2" t="s">
        <v>115</v>
      </c>
      <c r="P1104" s="2" t="s">
        <v>626</v>
      </c>
      <c r="Q1104" s="2" t="s">
        <v>351</v>
      </c>
      <c r="R1104" s="2">
        <v>30226</v>
      </c>
      <c r="S1104" s="2">
        <v>30226</v>
      </c>
      <c r="T1104" s="2" t="s">
        <v>669</v>
      </c>
      <c r="U1104" s="2" t="s">
        <v>669</v>
      </c>
      <c r="V1104" s="2" t="s">
        <v>669</v>
      </c>
      <c r="W1104" s="2" t="s">
        <v>669</v>
      </c>
      <c r="X1104" s="2" t="s">
        <v>7305</v>
      </c>
      <c r="Y1104" s="2" t="s">
        <v>7306</v>
      </c>
      <c r="Z1104" s="2">
        <v>88258385</v>
      </c>
      <c r="AA1104" s="2">
        <v>25421593</v>
      </c>
      <c r="AB1104" s="2" t="s">
        <v>642</v>
      </c>
      <c r="AC1104" s="2" t="s">
        <v>632</v>
      </c>
      <c r="AD1104" s="2">
        <v>88258385</v>
      </c>
      <c r="AJ1104" s="2">
        <v>88258385</v>
      </c>
      <c r="AK1104" s="2">
        <v>2</v>
      </c>
      <c r="AL1104" s="2" t="s">
        <v>633</v>
      </c>
      <c r="AM1104" s="2">
        <v>0</v>
      </c>
      <c r="AN1104" s="2">
        <v>0</v>
      </c>
      <c r="AO1104" s="2">
        <v>1</v>
      </c>
      <c r="AP1104" s="2">
        <v>0</v>
      </c>
      <c r="AQ1104" s="2">
        <v>0</v>
      </c>
      <c r="AR1104" s="2">
        <v>0</v>
      </c>
      <c r="AS1104" s="2">
        <v>0</v>
      </c>
      <c r="AT1104" s="2">
        <v>0</v>
      </c>
      <c r="AZ1104" s="2" t="s">
        <v>7307</v>
      </c>
      <c r="BB1104" s="2" t="str">
        <f>+PROPER(BD[[#This Row],[PRIMER_APELLIDO]])</f>
        <v>Lira</v>
      </c>
    </row>
    <row r="1105" spans="1:54" x14ac:dyDescent="0.25">
      <c r="A1105" s="2">
        <v>1104</v>
      </c>
      <c r="B1105" s="2">
        <v>36758</v>
      </c>
      <c r="C1105" s="2" t="s">
        <v>619</v>
      </c>
      <c r="D1105" s="2" t="s">
        <v>620</v>
      </c>
      <c r="E1105" s="2" t="s">
        <v>7308</v>
      </c>
      <c r="F1105" s="2">
        <v>18528714</v>
      </c>
      <c r="G1105" s="3">
        <v>39.917808219178085</v>
      </c>
      <c r="H1105" s="2" t="s">
        <v>622</v>
      </c>
      <c r="I1105" s="2" t="s">
        <v>7309</v>
      </c>
      <c r="J1105" s="2" t="str">
        <f>+IF(BD[[#This Row],[DEPARTAMENTO_INSS]]="MANAGUA","_01_","_02_")</f>
        <v>_02_</v>
      </c>
      <c r="K1105" s="2" t="str">
        <f>+CONCATENATE(BD[[#This Row],[Columna3]],BD[[#This Row],[Columna4]],BD[[#This Row],[NOMBRE COMPLETO]])</f>
        <v>E003_02_JUAN CARLOS MARENCO ARCIA</v>
      </c>
      <c r="L1105" s="2" t="s">
        <v>825</v>
      </c>
      <c r="M1105" s="2" t="s">
        <v>826</v>
      </c>
      <c r="N1105" s="2" t="s">
        <v>327</v>
      </c>
      <c r="O1105" s="2" t="s">
        <v>448</v>
      </c>
      <c r="P1105" s="2" t="s">
        <v>649</v>
      </c>
      <c r="Q1105" s="2" t="s">
        <v>351</v>
      </c>
      <c r="R1105" s="2">
        <v>30226</v>
      </c>
      <c r="S1105" s="2">
        <v>30226</v>
      </c>
      <c r="T1105" s="2" t="s">
        <v>740</v>
      </c>
      <c r="U1105" s="2" t="s">
        <v>740</v>
      </c>
      <c r="V1105" s="2" t="s">
        <v>740</v>
      </c>
      <c r="W1105" s="2" t="s">
        <v>740</v>
      </c>
      <c r="X1105" s="2" t="s">
        <v>7310</v>
      </c>
      <c r="Y1105" s="2" t="s">
        <v>7311</v>
      </c>
      <c r="Z1105" s="2">
        <v>85098390</v>
      </c>
      <c r="AA1105" s="2">
        <v>77057911</v>
      </c>
      <c r="AB1105" s="2" t="s">
        <v>7312</v>
      </c>
      <c r="AC1105" s="2" t="s">
        <v>632</v>
      </c>
      <c r="AD1105" s="2">
        <v>85098390</v>
      </c>
      <c r="AF1105" s="2">
        <v>77057911</v>
      </c>
      <c r="AJ1105" s="2">
        <v>85098390</v>
      </c>
      <c r="AK1105" s="2">
        <v>2</v>
      </c>
      <c r="AL1105" s="2" t="s">
        <v>633</v>
      </c>
      <c r="AM1105" s="2">
        <v>0</v>
      </c>
      <c r="AN1105" s="2">
        <v>0</v>
      </c>
      <c r="AO1105" s="2">
        <v>1</v>
      </c>
      <c r="AP1105" s="2">
        <v>0</v>
      </c>
      <c r="AQ1105" s="2">
        <v>0</v>
      </c>
      <c r="AR1105" s="2">
        <v>0</v>
      </c>
      <c r="AS1105" s="2">
        <v>0</v>
      </c>
      <c r="AT1105" s="2">
        <v>0</v>
      </c>
      <c r="AZ1105" s="2" t="s">
        <v>7313</v>
      </c>
      <c r="BB1105" s="2" t="str">
        <f>+PROPER(BD[[#This Row],[PRIMER_APELLIDO]])</f>
        <v>Marenco</v>
      </c>
    </row>
    <row r="1106" spans="1:54" x14ac:dyDescent="0.25">
      <c r="A1106" s="2">
        <v>1105</v>
      </c>
      <c r="B1106" s="2">
        <v>81999</v>
      </c>
      <c r="C1106" s="2" t="s">
        <v>619</v>
      </c>
      <c r="D1106" s="2" t="s">
        <v>620</v>
      </c>
      <c r="E1106" s="2" t="s">
        <v>7314</v>
      </c>
      <c r="G1106" s="3">
        <v>39.917808219178085</v>
      </c>
      <c r="H1106" s="2" t="s">
        <v>622</v>
      </c>
      <c r="I1106" s="2" t="s">
        <v>7315</v>
      </c>
      <c r="J1106" s="2" t="str">
        <f>+IF(BD[[#This Row],[DEPARTAMENTO_INSS]]="MANAGUA","_01_","_02_")</f>
        <v>_01_</v>
      </c>
      <c r="K1106" s="2" t="str">
        <f>+CONCATENATE(BD[[#This Row],[Columna3]],BD[[#This Row],[Columna4]],BD[[#This Row],[NOMBRE COMPLETO]])</f>
        <v>E003_01_ERNESTO ODILON CORDONERO MARTINEZ</v>
      </c>
      <c r="L1106" s="2" t="s">
        <v>4779</v>
      </c>
      <c r="M1106" s="2" t="s">
        <v>7316</v>
      </c>
      <c r="N1106" s="2" t="s">
        <v>399</v>
      </c>
      <c r="O1106" s="2" t="s">
        <v>44</v>
      </c>
      <c r="P1106" s="2" t="s">
        <v>649</v>
      </c>
      <c r="Q1106" s="2" t="s">
        <v>351</v>
      </c>
      <c r="R1106" s="2">
        <v>30226</v>
      </c>
      <c r="S1106" s="2">
        <v>30226</v>
      </c>
      <c r="T1106" s="2" t="s">
        <v>627</v>
      </c>
      <c r="U1106" s="2" t="s">
        <v>627</v>
      </c>
      <c r="V1106" s="2" t="s">
        <v>1026</v>
      </c>
      <c r="W1106" s="2" t="s">
        <v>1026</v>
      </c>
      <c r="X1106" s="2" t="s">
        <v>7317</v>
      </c>
      <c r="Y1106" s="2" t="s">
        <v>7318</v>
      </c>
      <c r="Z1106" s="2">
        <v>88052855</v>
      </c>
      <c r="AA1106" s="2">
        <v>89799832</v>
      </c>
      <c r="AB1106" s="2" t="s">
        <v>2629</v>
      </c>
      <c r="AC1106" s="2" t="s">
        <v>632</v>
      </c>
      <c r="AD1106" s="2">
        <v>88052855</v>
      </c>
      <c r="AF1106" s="2">
        <v>89799832</v>
      </c>
      <c r="AJ1106" s="2">
        <v>88052855</v>
      </c>
      <c r="AK1106" s="2">
        <v>2</v>
      </c>
      <c r="AL1106" s="2" t="s">
        <v>633</v>
      </c>
      <c r="AM1106" s="2">
        <v>0</v>
      </c>
      <c r="AN1106" s="2">
        <v>0</v>
      </c>
      <c r="AO1106" s="2">
        <v>1</v>
      </c>
      <c r="AP1106" s="2">
        <v>0</v>
      </c>
      <c r="AQ1106" s="2">
        <v>0</v>
      </c>
      <c r="AR1106" s="2">
        <v>0</v>
      </c>
      <c r="AS1106" s="2">
        <v>0</v>
      </c>
      <c r="AT1106" s="2">
        <v>0</v>
      </c>
      <c r="AZ1106" s="2" t="s">
        <v>7319</v>
      </c>
      <c r="BB1106" s="2" t="str">
        <f>+PROPER(BD[[#This Row],[PRIMER_APELLIDO]])</f>
        <v>Cordonero</v>
      </c>
    </row>
    <row r="1107" spans="1:54" x14ac:dyDescent="0.25">
      <c r="A1107" s="2">
        <v>1106</v>
      </c>
      <c r="B1107" s="2">
        <v>25061</v>
      </c>
      <c r="C1107" s="2" t="s">
        <v>619</v>
      </c>
      <c r="D1107" s="2" t="s">
        <v>620</v>
      </c>
      <c r="E1107" s="2" t="s">
        <v>7320</v>
      </c>
      <c r="F1107" s="2">
        <v>19367569</v>
      </c>
      <c r="G1107" s="3">
        <v>39.92876712328767</v>
      </c>
      <c r="H1107" s="2" t="s">
        <v>622</v>
      </c>
      <c r="I1107" s="2" t="s">
        <v>7321</v>
      </c>
      <c r="J1107" s="2" t="str">
        <f>+IF(BD[[#This Row],[DEPARTAMENTO_INSS]]="MANAGUA","_01_","_02_")</f>
        <v>_02_</v>
      </c>
      <c r="K1107" s="2" t="str">
        <f>+CONCATENATE(BD[[#This Row],[Columna3]],BD[[#This Row],[Columna4]],BD[[#This Row],[NOMBRE COMPLETO]])</f>
        <v>E003_02_VERONICA DE LOS ANGELES CARRILLO GONZALEZ</v>
      </c>
      <c r="L1107" s="2" t="s">
        <v>1464</v>
      </c>
      <c r="M1107" s="2" t="s">
        <v>683</v>
      </c>
      <c r="N1107" s="2" t="s">
        <v>314</v>
      </c>
      <c r="O1107" s="2" t="s">
        <v>14</v>
      </c>
      <c r="P1107" s="2" t="s">
        <v>626</v>
      </c>
      <c r="Q1107" s="2" t="s">
        <v>351</v>
      </c>
      <c r="R1107" s="2">
        <v>30222</v>
      </c>
      <c r="S1107" s="2">
        <v>30222</v>
      </c>
      <c r="T1107" s="2" t="s">
        <v>705</v>
      </c>
      <c r="U1107" s="2" t="s">
        <v>705</v>
      </c>
      <c r="V1107" s="2" t="s">
        <v>725</v>
      </c>
      <c r="W1107" s="2" t="s">
        <v>725</v>
      </c>
      <c r="X1107" s="2" t="s">
        <v>7322</v>
      </c>
      <c r="Y1107" s="2" t="s">
        <v>7323</v>
      </c>
      <c r="Z1107" s="2">
        <v>84805164</v>
      </c>
      <c r="AA1107" s="2" t="s">
        <v>7324</v>
      </c>
      <c r="AB1107" s="2" t="s">
        <v>642</v>
      </c>
      <c r="AC1107" s="2" t="s">
        <v>632</v>
      </c>
      <c r="AD1107" s="2">
        <v>84805164</v>
      </c>
      <c r="AE1107" s="2">
        <v>88303625</v>
      </c>
      <c r="AJ1107" s="2">
        <v>84805164</v>
      </c>
      <c r="AK1107" s="2">
        <v>3</v>
      </c>
      <c r="AL1107" s="2" t="s">
        <v>633</v>
      </c>
      <c r="AM1107" s="2">
        <v>0</v>
      </c>
      <c r="AN1107" s="2">
        <v>0</v>
      </c>
      <c r="AO1107" s="2">
        <v>1</v>
      </c>
      <c r="AP1107" s="2">
        <v>0</v>
      </c>
      <c r="AQ1107" s="2">
        <v>0</v>
      </c>
      <c r="AR1107" s="2">
        <v>0</v>
      </c>
      <c r="AS1107" s="2">
        <v>0</v>
      </c>
      <c r="AT1107" s="2">
        <v>0</v>
      </c>
      <c r="AZ1107" s="2" t="s">
        <v>7325</v>
      </c>
      <c r="BB1107" s="2" t="str">
        <f>+PROPER(BD[[#This Row],[PRIMER_APELLIDO]])</f>
        <v>Carrillo</v>
      </c>
    </row>
    <row r="1108" spans="1:54" x14ac:dyDescent="0.25">
      <c r="A1108" s="2">
        <v>1107</v>
      </c>
      <c r="B1108" s="2">
        <v>26981</v>
      </c>
      <c r="C1108" s="2" t="s">
        <v>619</v>
      </c>
      <c r="D1108" s="2" t="s">
        <v>620</v>
      </c>
      <c r="E1108" s="2" t="s">
        <v>7326</v>
      </c>
      <c r="G1108" s="3">
        <v>39.939726027397263</v>
      </c>
      <c r="H1108" s="2" t="s">
        <v>622</v>
      </c>
      <c r="I1108" s="2" t="s">
        <v>7327</v>
      </c>
      <c r="J1108" s="2" t="str">
        <f>+IF(BD[[#This Row],[DEPARTAMENTO_INSS]]="MANAGUA","_01_","_02_")</f>
        <v>_02_</v>
      </c>
      <c r="K1108" s="2" t="str">
        <f>+CONCATENATE(BD[[#This Row],[Columna3]],BD[[#This Row],[Columna4]],BD[[#This Row],[NOMBRE COMPLETO]])</f>
        <v>E003_02_JULISSA MERCEDES MONTENEGRO GONZALEZ</v>
      </c>
      <c r="L1108" s="2" t="s">
        <v>1908</v>
      </c>
      <c r="M1108" s="2" t="s">
        <v>769</v>
      </c>
      <c r="N1108" s="2" t="s">
        <v>282</v>
      </c>
      <c r="O1108" s="2" t="s">
        <v>14</v>
      </c>
      <c r="P1108" s="2" t="s">
        <v>626</v>
      </c>
      <c r="Q1108" s="2" t="s">
        <v>351</v>
      </c>
      <c r="R1108" s="2">
        <v>30218</v>
      </c>
      <c r="S1108" s="2">
        <v>30218</v>
      </c>
      <c r="T1108" s="2" t="s">
        <v>176</v>
      </c>
      <c r="U1108" s="2" t="s">
        <v>176</v>
      </c>
      <c r="V1108" s="2" t="s">
        <v>650</v>
      </c>
      <c r="W1108" s="2" t="s">
        <v>176</v>
      </c>
      <c r="X1108" s="2" t="s">
        <v>7328</v>
      </c>
      <c r="Y1108" s="2" t="s">
        <v>7329</v>
      </c>
      <c r="Z1108" s="2">
        <v>83964785</v>
      </c>
      <c r="AA1108" s="2" t="s">
        <v>7330</v>
      </c>
      <c r="AB1108" s="2" t="s">
        <v>642</v>
      </c>
      <c r="AC1108" s="2" t="s">
        <v>632</v>
      </c>
      <c r="AD1108" s="2">
        <v>83964785</v>
      </c>
      <c r="AE1108" s="2">
        <v>89331815</v>
      </c>
      <c r="AJ1108" s="2">
        <v>83964785</v>
      </c>
      <c r="AK1108" s="2">
        <v>3</v>
      </c>
      <c r="AL1108" s="2" t="s">
        <v>633</v>
      </c>
      <c r="AM1108" s="2">
        <v>0</v>
      </c>
      <c r="AN1108" s="2">
        <v>0</v>
      </c>
      <c r="AO1108" s="2">
        <v>1</v>
      </c>
      <c r="AP1108" s="2">
        <v>0</v>
      </c>
      <c r="AQ1108" s="2">
        <v>0</v>
      </c>
      <c r="AR1108" s="2">
        <v>0</v>
      </c>
      <c r="AS1108" s="2">
        <v>0</v>
      </c>
      <c r="AT1108" s="2">
        <v>0</v>
      </c>
      <c r="BB1108" s="2" t="str">
        <f>+PROPER(BD[[#This Row],[PRIMER_APELLIDO]])</f>
        <v>Montenegro</v>
      </c>
    </row>
    <row r="1109" spans="1:54" x14ac:dyDescent="0.25">
      <c r="A1109" s="2">
        <v>1108</v>
      </c>
      <c r="B1109" s="2">
        <v>30569</v>
      </c>
      <c r="C1109" s="2" t="s">
        <v>619</v>
      </c>
      <c r="D1109" s="2" t="s">
        <v>620</v>
      </c>
      <c r="E1109" s="2" t="s">
        <v>7331</v>
      </c>
      <c r="F1109" s="2">
        <v>21727380</v>
      </c>
      <c r="G1109" s="3">
        <v>39.942465753424656</v>
      </c>
      <c r="H1109" s="2" t="s">
        <v>622</v>
      </c>
      <c r="I1109" s="2" t="s">
        <v>7332</v>
      </c>
      <c r="J1109" s="2" t="str">
        <f>+IF(BD[[#This Row],[DEPARTAMENTO_INSS]]="MANAGUA","_01_","_02_")</f>
        <v>_02_</v>
      </c>
      <c r="K1109" s="2" t="str">
        <f>+CONCATENATE(BD[[#This Row],[Columna3]],BD[[#This Row],[Columna4]],BD[[#This Row],[NOMBRE COMPLETO]])</f>
        <v>E003_02_KATHLEEN ORA PATTERSON TUCKER</v>
      </c>
      <c r="L1109" s="2" t="s">
        <v>7333</v>
      </c>
      <c r="M1109" s="2" t="s">
        <v>7334</v>
      </c>
      <c r="N1109" s="2" t="s">
        <v>283</v>
      </c>
      <c r="O1109" s="2" t="s">
        <v>7335</v>
      </c>
      <c r="P1109" s="2" t="s">
        <v>626</v>
      </c>
      <c r="Q1109" s="2" t="s">
        <v>351</v>
      </c>
      <c r="R1109" s="2">
        <v>30217</v>
      </c>
      <c r="S1109" s="2">
        <v>30217</v>
      </c>
      <c r="T1109" s="2" t="s">
        <v>780</v>
      </c>
      <c r="U1109" s="2" t="s">
        <v>691</v>
      </c>
      <c r="V1109" s="2" t="s">
        <v>781</v>
      </c>
      <c r="W1109" s="2" t="s">
        <v>691</v>
      </c>
      <c r="X1109" s="2" t="s">
        <v>7336</v>
      </c>
      <c r="Y1109" s="2" t="s">
        <v>7337</v>
      </c>
      <c r="AA1109" s="2">
        <v>83987486</v>
      </c>
      <c r="AB1109" s="2" t="s">
        <v>654</v>
      </c>
      <c r="AC1109" s="2" t="s">
        <v>632</v>
      </c>
      <c r="AD1109" s="2">
        <v>83987486</v>
      </c>
      <c r="AJ1109" s="2">
        <v>83987486</v>
      </c>
      <c r="AK1109" s="2">
        <v>1</v>
      </c>
      <c r="AL1109" s="2" t="s">
        <v>633</v>
      </c>
      <c r="AM1109" s="2">
        <v>0</v>
      </c>
      <c r="AN1109" s="2">
        <v>0</v>
      </c>
      <c r="AO1109" s="2">
        <v>1</v>
      </c>
      <c r="AP1109" s="2">
        <v>0</v>
      </c>
      <c r="AQ1109" s="2">
        <v>0</v>
      </c>
      <c r="AR1109" s="2">
        <v>0</v>
      </c>
      <c r="AS1109" s="2">
        <v>0</v>
      </c>
      <c r="AT1109" s="2">
        <v>0</v>
      </c>
      <c r="BB1109" s="2" t="str">
        <f>+PROPER(BD[[#This Row],[PRIMER_APELLIDO]])</f>
        <v>Patterson</v>
      </c>
    </row>
    <row r="1110" spans="1:54" x14ac:dyDescent="0.25">
      <c r="A1110" s="2">
        <v>1109</v>
      </c>
      <c r="B1110" s="2">
        <v>35544</v>
      </c>
      <c r="C1110" s="2" t="s">
        <v>619</v>
      </c>
      <c r="D1110" s="2" t="s">
        <v>620</v>
      </c>
      <c r="E1110" s="2" t="s">
        <v>7338</v>
      </c>
      <c r="F1110" s="2">
        <v>22063551</v>
      </c>
      <c r="G1110" s="3">
        <v>39.945205479452056</v>
      </c>
      <c r="H1110" s="2" t="s">
        <v>622</v>
      </c>
      <c r="I1110" s="2" t="s">
        <v>7339</v>
      </c>
      <c r="J1110" s="2" t="str">
        <f>+IF(BD[[#This Row],[DEPARTAMENTO_INSS]]="MANAGUA","_01_","_02_")</f>
        <v>_01_</v>
      </c>
      <c r="K1110" s="2" t="str">
        <f>+CONCATENATE(BD[[#This Row],[Columna3]],BD[[#This Row],[Columna4]],BD[[#This Row],[NOMBRE COMPLETO]])</f>
        <v>E003_01_JOSE DANNELL GUERRERO HIDALGO</v>
      </c>
      <c r="L1110" s="2" t="s">
        <v>243</v>
      </c>
      <c r="M1110" s="2" t="s">
        <v>7340</v>
      </c>
      <c r="N1110" s="2" t="s">
        <v>275</v>
      </c>
      <c r="O1110" s="2" t="s">
        <v>7341</v>
      </c>
      <c r="P1110" s="2" t="s">
        <v>649</v>
      </c>
      <c r="Q1110" s="2" t="s">
        <v>351</v>
      </c>
      <c r="R1110" s="2">
        <v>30216</v>
      </c>
      <c r="S1110" s="2">
        <v>30216</v>
      </c>
      <c r="T1110" s="2" t="s">
        <v>627</v>
      </c>
      <c r="U1110" s="2" t="s">
        <v>627</v>
      </c>
      <c r="V1110" s="2" t="s">
        <v>627</v>
      </c>
      <c r="W1110" s="2" t="s">
        <v>627</v>
      </c>
      <c r="X1110" s="2" t="s">
        <v>7342</v>
      </c>
      <c r="Y1110" s="2" t="s">
        <v>7343</v>
      </c>
      <c r="AA1110" s="2">
        <v>83713003</v>
      </c>
      <c r="AB1110" s="2" t="s">
        <v>654</v>
      </c>
      <c r="AC1110" s="2" t="s">
        <v>632</v>
      </c>
      <c r="AD1110" s="2">
        <v>83713003</v>
      </c>
      <c r="AJ1110" s="2">
        <v>83713003</v>
      </c>
      <c r="AK1110" s="2">
        <v>1</v>
      </c>
      <c r="AL1110" s="2" t="s">
        <v>633</v>
      </c>
      <c r="AM1110" s="2">
        <v>0</v>
      </c>
      <c r="AN1110" s="2">
        <v>0</v>
      </c>
      <c r="AO1110" s="2">
        <v>1</v>
      </c>
      <c r="AP1110" s="2">
        <v>0</v>
      </c>
      <c r="AQ1110" s="2">
        <v>0</v>
      </c>
      <c r="AR1110" s="2">
        <v>0</v>
      </c>
      <c r="AS1110" s="2">
        <v>0</v>
      </c>
      <c r="AT1110" s="2">
        <v>0</v>
      </c>
      <c r="BB1110" s="2" t="str">
        <f>+PROPER(BD[[#This Row],[PRIMER_APELLIDO]])</f>
        <v>Guerrero</v>
      </c>
    </row>
    <row r="1111" spans="1:54" x14ac:dyDescent="0.25">
      <c r="A1111" s="2">
        <v>1110</v>
      </c>
      <c r="B1111" s="2">
        <v>36321</v>
      </c>
      <c r="C1111" s="2" t="s">
        <v>619</v>
      </c>
      <c r="D1111" s="2" t="s">
        <v>620</v>
      </c>
      <c r="E1111" s="2" t="s">
        <v>7344</v>
      </c>
      <c r="F1111" s="2">
        <v>21675197</v>
      </c>
      <c r="G1111" s="3">
        <v>39.956164383561642</v>
      </c>
      <c r="H1111" s="2" t="s">
        <v>622</v>
      </c>
      <c r="I1111" s="2" t="s">
        <v>7345</v>
      </c>
      <c r="J1111" s="2" t="str">
        <f>+IF(BD[[#This Row],[DEPARTAMENTO_INSS]]="MANAGUA","_01_","_02_")</f>
        <v>_01_</v>
      </c>
      <c r="K1111" s="2" t="str">
        <f>+CONCATENATE(BD[[#This Row],[Columna3]],BD[[#This Row],[Columna4]],BD[[#This Row],[NOMBRE COMPLETO]])</f>
        <v>E003_01_KARLA VANESSA PEREZ SEVILLA</v>
      </c>
      <c r="L1111" s="2" t="s">
        <v>746</v>
      </c>
      <c r="M1111" s="2" t="s">
        <v>1163</v>
      </c>
      <c r="N1111" s="2" t="s">
        <v>24</v>
      </c>
      <c r="O1111" s="2" t="s">
        <v>280</v>
      </c>
      <c r="P1111" s="2" t="s">
        <v>626</v>
      </c>
      <c r="Q1111" s="2" t="s">
        <v>351</v>
      </c>
      <c r="R1111" s="2">
        <v>30212</v>
      </c>
      <c r="S1111" s="2">
        <v>30212</v>
      </c>
      <c r="T1111" s="2" t="s">
        <v>627</v>
      </c>
      <c r="U1111" s="2" t="s">
        <v>627</v>
      </c>
      <c r="V1111" s="2" t="s">
        <v>627</v>
      </c>
      <c r="W1111" s="2" t="s">
        <v>627</v>
      </c>
      <c r="X1111" s="2" t="s">
        <v>7346</v>
      </c>
      <c r="Y1111" s="2" t="s">
        <v>7347</v>
      </c>
      <c r="AA1111" s="2">
        <v>83812900</v>
      </c>
      <c r="AB1111" s="2" t="s">
        <v>654</v>
      </c>
      <c r="AC1111" s="2" t="s">
        <v>632</v>
      </c>
      <c r="AD1111" s="2">
        <v>83812900</v>
      </c>
      <c r="AJ1111" s="2">
        <v>83812900</v>
      </c>
      <c r="AK1111" s="2">
        <v>1</v>
      </c>
      <c r="AL1111" s="2" t="s">
        <v>633</v>
      </c>
      <c r="AM1111" s="2">
        <v>0</v>
      </c>
      <c r="AN1111" s="2">
        <v>0</v>
      </c>
      <c r="AO1111" s="2">
        <v>1</v>
      </c>
      <c r="AP1111" s="2">
        <v>0</v>
      </c>
      <c r="AQ1111" s="2">
        <v>0</v>
      </c>
      <c r="AR1111" s="2">
        <v>0</v>
      </c>
      <c r="AS1111" s="2">
        <v>0</v>
      </c>
      <c r="AT1111" s="2">
        <v>0</v>
      </c>
      <c r="BA1111" s="2" t="s">
        <v>7348</v>
      </c>
      <c r="BB1111" s="2" t="str">
        <f>+PROPER(BD[[#This Row],[PRIMER_APELLIDO]])</f>
        <v>Perez</v>
      </c>
    </row>
    <row r="1112" spans="1:54" x14ac:dyDescent="0.25">
      <c r="A1112" s="2">
        <v>1111</v>
      </c>
      <c r="B1112" s="2">
        <v>48317</v>
      </c>
      <c r="C1112" s="2" t="s">
        <v>619</v>
      </c>
      <c r="D1112" s="2" t="s">
        <v>620</v>
      </c>
      <c r="E1112" s="2" t="s">
        <v>7349</v>
      </c>
      <c r="F1112" s="2">
        <v>26962825</v>
      </c>
      <c r="G1112" s="3">
        <v>39.961643835616435</v>
      </c>
      <c r="H1112" s="2" t="s">
        <v>622</v>
      </c>
      <c r="I1112" s="2" t="s">
        <v>7350</v>
      </c>
      <c r="J1112" s="2" t="str">
        <f>+IF(BD[[#This Row],[DEPARTAMENTO_INSS]]="MANAGUA","_01_","_02_")</f>
        <v>_02_</v>
      </c>
      <c r="K1112" s="2" t="str">
        <f>+CONCATENATE(BD[[#This Row],[Columna3]],BD[[#This Row],[Columna4]],BD[[#This Row],[NOMBRE COMPLETO]])</f>
        <v>E003_02_DOUGLAS PADILLA MARTINEZ</v>
      </c>
      <c r="L1112" s="2" t="s">
        <v>1603</v>
      </c>
      <c r="N1112" s="2" t="s">
        <v>262</v>
      </c>
      <c r="O1112" s="2" t="s">
        <v>44</v>
      </c>
      <c r="P1112" s="2" t="s">
        <v>649</v>
      </c>
      <c r="Q1112" s="2" t="s">
        <v>351</v>
      </c>
      <c r="R1112" s="2">
        <v>30210</v>
      </c>
      <c r="S1112" s="2">
        <v>30210</v>
      </c>
      <c r="T1112" s="2" t="s">
        <v>176</v>
      </c>
      <c r="U1112" s="2" t="s">
        <v>1191</v>
      </c>
      <c r="V1112" s="2" t="s">
        <v>2967</v>
      </c>
      <c r="W1112" s="2" t="s">
        <v>1300</v>
      </c>
      <c r="X1112" s="2" t="s">
        <v>7351</v>
      </c>
      <c r="Y1112" s="2" t="s">
        <v>7352</v>
      </c>
      <c r="Z1112" s="2">
        <v>82757186</v>
      </c>
      <c r="AB1112" s="2" t="s">
        <v>798</v>
      </c>
      <c r="AC1112" s="2" t="s">
        <v>632</v>
      </c>
      <c r="AD1112" s="2">
        <v>82757186</v>
      </c>
      <c r="AJ1112" s="2">
        <v>82757186</v>
      </c>
      <c r="AK1112" s="2">
        <v>1</v>
      </c>
      <c r="AL1112" s="2" t="s">
        <v>633</v>
      </c>
      <c r="AM1112" s="2">
        <v>0</v>
      </c>
      <c r="AN1112" s="2">
        <v>0</v>
      </c>
      <c r="AO1112" s="2">
        <v>1</v>
      </c>
      <c r="AP1112" s="2">
        <v>0</v>
      </c>
      <c r="AQ1112" s="2">
        <v>0</v>
      </c>
      <c r="AR1112" s="2">
        <v>0</v>
      </c>
      <c r="AS1112" s="2">
        <v>0</v>
      </c>
      <c r="AT1112" s="2">
        <v>0</v>
      </c>
      <c r="BB1112" s="2" t="str">
        <f>+PROPER(BD[[#This Row],[PRIMER_APELLIDO]])</f>
        <v>Padilla</v>
      </c>
    </row>
    <row r="1113" spans="1:54" x14ac:dyDescent="0.25">
      <c r="A1113" s="2">
        <v>1112</v>
      </c>
      <c r="B1113" s="2">
        <v>36671</v>
      </c>
      <c r="C1113" s="2" t="s">
        <v>619</v>
      </c>
      <c r="D1113" s="2" t="s">
        <v>620</v>
      </c>
      <c r="E1113" s="2" t="s">
        <v>7353</v>
      </c>
      <c r="F1113" s="2">
        <v>23348664</v>
      </c>
      <c r="G1113" s="3">
        <v>39.972602739726028</v>
      </c>
      <c r="H1113" s="2" t="s">
        <v>622</v>
      </c>
      <c r="I1113" s="2" t="s">
        <v>7354</v>
      </c>
      <c r="J1113" s="2" t="str">
        <f>+IF(BD[[#This Row],[DEPARTAMENTO_INSS]]="MANAGUA","_01_","_02_")</f>
        <v>_02_</v>
      </c>
      <c r="K1113" s="2" t="str">
        <f>+CONCATENATE(BD[[#This Row],[Columna3]],BD[[#This Row],[Columna4]],BD[[#This Row],[NOMBRE COMPLETO]])</f>
        <v>E003_02_TANIA ELIZABETH FLORES MAIRENA</v>
      </c>
      <c r="L1113" s="2" t="s">
        <v>2305</v>
      </c>
      <c r="M1113" s="2" t="s">
        <v>1881</v>
      </c>
      <c r="N1113" s="2" t="s">
        <v>58</v>
      </c>
      <c r="O1113" s="2" t="s">
        <v>427</v>
      </c>
      <c r="P1113" s="2" t="s">
        <v>626</v>
      </c>
      <c r="Q1113" s="2" t="s">
        <v>351</v>
      </c>
      <c r="R1113" s="2">
        <v>30206</v>
      </c>
      <c r="S1113" s="2">
        <v>30206</v>
      </c>
      <c r="T1113" s="2" t="s">
        <v>1104</v>
      </c>
      <c r="U1113" s="2" t="s">
        <v>1104</v>
      </c>
      <c r="V1113" s="2" t="s">
        <v>1104</v>
      </c>
      <c r="W1113" s="2" t="s">
        <v>1739</v>
      </c>
      <c r="X1113" s="2" t="s">
        <v>7355</v>
      </c>
      <c r="Y1113" s="2" t="s">
        <v>7356</v>
      </c>
      <c r="AA1113" s="2">
        <v>82086004</v>
      </c>
      <c r="AB1113" s="2" t="s">
        <v>631</v>
      </c>
      <c r="AC1113" s="2" t="s">
        <v>632</v>
      </c>
      <c r="AD1113" s="2">
        <v>82086004</v>
      </c>
      <c r="AJ1113" s="2">
        <v>82086004</v>
      </c>
      <c r="AK1113" s="2">
        <v>1</v>
      </c>
      <c r="AL1113" s="2" t="s">
        <v>633</v>
      </c>
      <c r="AM1113" s="2">
        <v>0</v>
      </c>
      <c r="AN1113" s="2">
        <v>0</v>
      </c>
      <c r="AO1113" s="2">
        <v>1</v>
      </c>
      <c r="AP1113" s="2">
        <v>0</v>
      </c>
      <c r="AQ1113" s="2">
        <v>0</v>
      </c>
      <c r="AR1113" s="2">
        <v>0</v>
      </c>
      <c r="AS1113" s="2">
        <v>0</v>
      </c>
      <c r="AT1113" s="2">
        <v>0</v>
      </c>
      <c r="BB1113" s="2" t="str">
        <f>+PROPER(BD[[#This Row],[PRIMER_APELLIDO]])</f>
        <v>Flores</v>
      </c>
    </row>
    <row r="1114" spans="1:54" x14ac:dyDescent="0.25">
      <c r="A1114" s="2">
        <v>1113</v>
      </c>
      <c r="B1114" s="2">
        <v>35497</v>
      </c>
      <c r="C1114" s="2" t="s">
        <v>619</v>
      </c>
      <c r="D1114" s="2" t="s">
        <v>620</v>
      </c>
      <c r="E1114" s="2" t="s">
        <v>7357</v>
      </c>
      <c r="F1114" s="2">
        <v>22048486</v>
      </c>
      <c r="G1114" s="3">
        <v>39.975342465753428</v>
      </c>
      <c r="H1114" s="2" t="s">
        <v>622</v>
      </c>
      <c r="I1114" s="2" t="s">
        <v>7358</v>
      </c>
      <c r="J1114" s="2" t="str">
        <f>+IF(BD[[#This Row],[DEPARTAMENTO_INSS]]="MANAGUA","_01_","_02_")</f>
        <v>_01_</v>
      </c>
      <c r="K1114" s="2" t="str">
        <f>+CONCATENATE(BD[[#This Row],[Columna3]],BD[[#This Row],[Columna4]],BD[[#This Row],[NOMBRE COMPLETO]])</f>
        <v>E003_01_DUNIA DEL CARMEN WHITFORD MENDEZ</v>
      </c>
      <c r="L1114" s="2" t="s">
        <v>7359</v>
      </c>
      <c r="M1114" s="2" t="s">
        <v>961</v>
      </c>
      <c r="N1114" s="2" t="s">
        <v>312</v>
      </c>
      <c r="O1114" s="2" t="s">
        <v>203</v>
      </c>
      <c r="P1114" s="2" t="s">
        <v>626</v>
      </c>
      <c r="Q1114" s="2" t="s">
        <v>351</v>
      </c>
      <c r="R1114" s="2">
        <v>30205</v>
      </c>
      <c r="S1114" s="2">
        <v>30205</v>
      </c>
      <c r="T1114" s="2" t="s">
        <v>627</v>
      </c>
      <c r="U1114" s="2" t="s">
        <v>627</v>
      </c>
      <c r="V1114" s="2" t="s">
        <v>627</v>
      </c>
      <c r="W1114" s="2" t="s">
        <v>627</v>
      </c>
      <c r="X1114" s="2" t="s">
        <v>7360</v>
      </c>
      <c r="Y1114" s="2" t="s">
        <v>7361</v>
      </c>
      <c r="AA1114" s="2">
        <v>84513361</v>
      </c>
      <c r="AB1114" s="2" t="s">
        <v>642</v>
      </c>
      <c r="AC1114" s="2" t="s">
        <v>632</v>
      </c>
      <c r="AD1114" s="2">
        <v>84513361</v>
      </c>
      <c r="AJ1114" s="2">
        <v>84513361</v>
      </c>
      <c r="AK1114" s="2">
        <v>1</v>
      </c>
      <c r="AL1114" s="2" t="s">
        <v>633</v>
      </c>
      <c r="AM1114" s="2">
        <v>0</v>
      </c>
      <c r="AN1114" s="2">
        <v>0</v>
      </c>
      <c r="AO1114" s="2">
        <v>1</v>
      </c>
      <c r="AP1114" s="2">
        <v>0</v>
      </c>
      <c r="AQ1114" s="2">
        <v>0</v>
      </c>
      <c r="AR1114" s="2">
        <v>0</v>
      </c>
      <c r="AS1114" s="2">
        <v>0</v>
      </c>
      <c r="AT1114" s="2">
        <v>0</v>
      </c>
      <c r="BA1114" s="2" t="s">
        <v>7362</v>
      </c>
      <c r="BB1114" s="2" t="str">
        <f>+PROPER(BD[[#This Row],[PRIMER_APELLIDO]])</f>
        <v>Whitford</v>
      </c>
    </row>
    <row r="1115" spans="1:54" x14ac:dyDescent="0.25">
      <c r="A1115" s="2">
        <v>1114</v>
      </c>
      <c r="B1115" s="2">
        <v>73453</v>
      </c>
      <c r="C1115" s="2" t="s">
        <v>619</v>
      </c>
      <c r="D1115" s="2" t="s">
        <v>620</v>
      </c>
      <c r="E1115" s="2" t="s">
        <v>7363</v>
      </c>
      <c r="G1115" s="3">
        <v>39.986301369863014</v>
      </c>
      <c r="H1115" s="2" t="s">
        <v>622</v>
      </c>
      <c r="I1115" s="2" t="s">
        <v>7364</v>
      </c>
      <c r="J1115" s="2" t="str">
        <f>+IF(BD[[#This Row],[DEPARTAMENTO_INSS]]="MANAGUA","_01_","_02_")</f>
        <v>_02_</v>
      </c>
      <c r="K1115" s="2" t="str">
        <f>+CONCATENATE(BD[[#This Row],[Columna3]],BD[[#This Row],[Columna4]],BD[[#This Row],[NOMBRE COMPLETO]])</f>
        <v>E003_02_MARLON LENIN RUEDA GARCIA</v>
      </c>
      <c r="L1115" s="2" t="s">
        <v>793</v>
      </c>
      <c r="M1115" s="2" t="s">
        <v>3384</v>
      </c>
      <c r="N1115" s="2" t="s">
        <v>191</v>
      </c>
      <c r="O1115" s="2" t="s">
        <v>10</v>
      </c>
      <c r="P1115" s="2" t="s">
        <v>649</v>
      </c>
      <c r="Q1115" s="2" t="s">
        <v>351</v>
      </c>
      <c r="R1115" s="2">
        <v>30201</v>
      </c>
      <c r="S1115" s="2">
        <v>30201</v>
      </c>
      <c r="T1115" s="2" t="s">
        <v>627</v>
      </c>
      <c r="U1115" s="2" t="s">
        <v>133</v>
      </c>
      <c r="V1115" s="2" t="s">
        <v>627</v>
      </c>
      <c r="W1115" s="2" t="s">
        <v>869</v>
      </c>
      <c r="X1115" s="2" t="s">
        <v>7365</v>
      </c>
      <c r="Y1115" s="2" t="s">
        <v>7366</v>
      </c>
      <c r="Z1115" s="2">
        <v>58321557</v>
      </c>
      <c r="AB1115" s="2" t="s">
        <v>654</v>
      </c>
      <c r="AC1115" s="2" t="s">
        <v>632</v>
      </c>
      <c r="AD1115" s="2">
        <v>58321557</v>
      </c>
      <c r="AJ1115" s="2">
        <v>58321557</v>
      </c>
      <c r="AK1115" s="2">
        <v>1</v>
      </c>
      <c r="AL1115" s="2" t="s">
        <v>633</v>
      </c>
      <c r="AM1115" s="2">
        <v>0</v>
      </c>
      <c r="AN1115" s="2">
        <v>0</v>
      </c>
      <c r="AO1115" s="2">
        <v>1</v>
      </c>
      <c r="AP1115" s="2">
        <v>0</v>
      </c>
      <c r="AQ1115" s="2">
        <v>0</v>
      </c>
      <c r="AR1115" s="2">
        <v>0</v>
      </c>
      <c r="AS1115" s="2">
        <v>0</v>
      </c>
      <c r="AT1115" s="2">
        <v>0</v>
      </c>
      <c r="AZ1115" s="2" t="s">
        <v>7367</v>
      </c>
      <c r="BB1115" s="2" t="str">
        <f>+PROPER(BD[[#This Row],[PRIMER_APELLIDO]])</f>
        <v>Rueda</v>
      </c>
    </row>
    <row r="1116" spans="1:54" x14ac:dyDescent="0.25">
      <c r="A1116" s="2">
        <v>1115</v>
      </c>
      <c r="B1116" s="2">
        <v>35739</v>
      </c>
      <c r="C1116" s="2" t="s">
        <v>619</v>
      </c>
      <c r="D1116" s="2" t="s">
        <v>620</v>
      </c>
      <c r="E1116" s="2" t="s">
        <v>7368</v>
      </c>
      <c r="F1116" s="2">
        <v>18420434</v>
      </c>
      <c r="G1116" s="3">
        <v>39.9972602739726</v>
      </c>
      <c r="H1116" s="2" t="s">
        <v>622</v>
      </c>
      <c r="I1116" s="2" t="s">
        <v>7369</v>
      </c>
      <c r="J1116" s="2" t="str">
        <f>+IF(BD[[#This Row],[DEPARTAMENTO_INSS]]="MANAGUA","_01_","_02_")</f>
        <v>_01_</v>
      </c>
      <c r="K1116" s="2" t="str">
        <f>+CONCATENATE(BD[[#This Row],[Columna3]],BD[[#This Row],[Columna4]],BD[[#This Row],[NOMBRE COMPLETO]])</f>
        <v>E003_01_JUAN CARLOS ALVARADO REYES</v>
      </c>
      <c r="L1116" s="2" t="s">
        <v>825</v>
      </c>
      <c r="M1116" s="2" t="s">
        <v>826</v>
      </c>
      <c r="N1116" s="2" t="s">
        <v>18</v>
      </c>
      <c r="O1116" s="2" t="s">
        <v>74</v>
      </c>
      <c r="P1116" s="2" t="s">
        <v>649</v>
      </c>
      <c r="Q1116" s="2" t="s">
        <v>351</v>
      </c>
      <c r="R1116" s="2">
        <v>30197</v>
      </c>
      <c r="S1116" s="2">
        <v>30197</v>
      </c>
      <c r="T1116" s="2" t="s">
        <v>627</v>
      </c>
      <c r="U1116" s="2" t="s">
        <v>627</v>
      </c>
      <c r="V1116" s="2" t="s">
        <v>627</v>
      </c>
      <c r="W1116" s="2" t="s">
        <v>627</v>
      </c>
      <c r="X1116" s="2" t="s">
        <v>7370</v>
      </c>
      <c r="Y1116" s="2" t="s">
        <v>7371</v>
      </c>
      <c r="Z1116" s="2">
        <v>89531889</v>
      </c>
      <c r="AA1116" s="2" t="s">
        <v>7372</v>
      </c>
      <c r="AB1116" s="2" t="s">
        <v>654</v>
      </c>
      <c r="AC1116" s="2" t="s">
        <v>632</v>
      </c>
      <c r="AD1116" s="2">
        <v>89531889</v>
      </c>
      <c r="AJ1116" s="2">
        <v>89531889</v>
      </c>
      <c r="AK1116" s="2">
        <v>3</v>
      </c>
      <c r="AL1116" s="2" t="s">
        <v>633</v>
      </c>
      <c r="AM1116" s="2">
        <v>0</v>
      </c>
      <c r="AN1116" s="2">
        <v>0</v>
      </c>
      <c r="AO1116" s="2">
        <v>1</v>
      </c>
      <c r="AP1116" s="2">
        <v>0</v>
      </c>
      <c r="AQ1116" s="2">
        <v>0</v>
      </c>
      <c r="AR1116" s="2">
        <v>0</v>
      </c>
      <c r="AS1116" s="2">
        <v>0</v>
      </c>
      <c r="AT1116" s="2">
        <v>0</v>
      </c>
      <c r="BB1116" s="2" t="str">
        <f>+PROPER(BD[[#This Row],[PRIMER_APELLIDO]])</f>
        <v>Alvarado</v>
      </c>
    </row>
    <row r="1117" spans="1:54" x14ac:dyDescent="0.25">
      <c r="A1117" s="2">
        <v>1116</v>
      </c>
      <c r="B1117" s="2">
        <v>31468</v>
      </c>
      <c r="C1117" s="5" t="s">
        <v>619</v>
      </c>
      <c r="D1117" s="2" t="s">
        <v>620</v>
      </c>
      <c r="E1117" s="6" t="s">
        <v>7373</v>
      </c>
      <c r="F1117" s="6">
        <v>21797220</v>
      </c>
      <c r="G1117" s="3">
        <v>39.9972602739726</v>
      </c>
      <c r="I1117" s="7"/>
      <c r="J1117" s="7"/>
      <c r="K1117" s="8">
        <v>40</v>
      </c>
      <c r="L1117" s="2" t="s">
        <v>1517</v>
      </c>
      <c r="M1117" s="2" t="s">
        <v>7374</v>
      </c>
      <c r="N1117" s="2" t="s">
        <v>470</v>
      </c>
      <c r="O1117" s="2" t="s">
        <v>29</v>
      </c>
      <c r="P1117" s="2" t="s">
        <v>626</v>
      </c>
      <c r="Q1117" s="2" t="s">
        <v>351</v>
      </c>
      <c r="R1117" s="9">
        <v>30196</v>
      </c>
      <c r="S1117" s="9">
        <v>30196</v>
      </c>
      <c r="T1117" s="2" t="s">
        <v>627</v>
      </c>
      <c r="U1117" s="2" t="s">
        <v>627</v>
      </c>
      <c r="V1117" s="2" t="s">
        <v>627</v>
      </c>
      <c r="W1117" s="2" t="s">
        <v>627</v>
      </c>
      <c r="X1117" s="2" t="s">
        <v>7375</v>
      </c>
      <c r="Y1117" s="2" t="s">
        <v>7376</v>
      </c>
      <c r="Z1117" s="6">
        <v>22250051</v>
      </c>
      <c r="AA1117" s="2">
        <v>25721771</v>
      </c>
      <c r="AB1117" s="2" t="s">
        <v>654</v>
      </c>
      <c r="AC1117" s="2" t="s">
        <v>632</v>
      </c>
      <c r="AD1117" s="10"/>
      <c r="AE1117" s="11"/>
      <c r="AF1117" s="11"/>
      <c r="AG1117" s="11"/>
      <c r="AH1117" s="11"/>
      <c r="AI1117" s="11"/>
      <c r="AJ1117" s="11"/>
      <c r="AK1117" s="12">
        <v>2</v>
      </c>
      <c r="AL1117" s="12" t="s">
        <v>7377</v>
      </c>
      <c r="AM1117" s="2">
        <v>0</v>
      </c>
      <c r="AN1117" s="2">
        <v>0</v>
      </c>
      <c r="AO1117" s="2">
        <v>0</v>
      </c>
      <c r="AP1117" s="2">
        <v>1</v>
      </c>
      <c r="AQ1117" s="2">
        <v>0</v>
      </c>
      <c r="AR1117" s="2">
        <v>0</v>
      </c>
      <c r="AS1117" s="2">
        <v>0</v>
      </c>
      <c r="AT1117" s="2">
        <v>0</v>
      </c>
      <c r="AU1117" s="2">
        <v>0</v>
      </c>
      <c r="AV1117" s="2">
        <v>0</v>
      </c>
      <c r="AW1117" s="2">
        <v>0</v>
      </c>
      <c r="AX1117" s="2">
        <v>0</v>
      </c>
      <c r="AY1117" s="2">
        <v>117</v>
      </c>
      <c r="AZ1117" s="2" t="s">
        <v>7378</v>
      </c>
      <c r="BB1117" s="2" t="str">
        <f>+PROPER(BD[[#This Row],[PRIMER_APELLIDO]])</f>
        <v>Pantoja</v>
      </c>
    </row>
    <row r="1118" spans="1:54" x14ac:dyDescent="0.25">
      <c r="A1118" s="2">
        <v>1117</v>
      </c>
      <c r="B1118" s="2">
        <v>43537</v>
      </c>
      <c r="C1118" s="5" t="s">
        <v>619</v>
      </c>
      <c r="D1118" s="2" t="s">
        <v>620</v>
      </c>
      <c r="E1118" s="6" t="s">
        <v>7379</v>
      </c>
      <c r="F1118" s="6">
        <v>23179495</v>
      </c>
      <c r="G1118" s="3">
        <v>39.9972602739726</v>
      </c>
      <c r="I1118" s="7"/>
      <c r="J1118" s="7"/>
      <c r="K1118" s="8">
        <v>40</v>
      </c>
      <c r="L1118" s="2" t="s">
        <v>7380</v>
      </c>
      <c r="M1118" s="2" t="s">
        <v>961</v>
      </c>
      <c r="N1118" s="2" t="s">
        <v>198</v>
      </c>
      <c r="O1118" s="2" t="s">
        <v>44</v>
      </c>
      <c r="P1118" s="2" t="s">
        <v>626</v>
      </c>
      <c r="Q1118" s="2" t="s">
        <v>351</v>
      </c>
      <c r="R1118" s="9">
        <v>30196</v>
      </c>
      <c r="S1118" s="9">
        <v>30196</v>
      </c>
      <c r="T1118" s="2" t="s">
        <v>705</v>
      </c>
      <c r="U1118" s="2" t="s">
        <v>705</v>
      </c>
      <c r="V1118" s="2" t="s">
        <v>1014</v>
      </c>
      <c r="W1118" s="2" t="s">
        <v>1014</v>
      </c>
      <c r="X1118" s="2" t="s">
        <v>7381</v>
      </c>
      <c r="Y1118" s="2" t="s">
        <v>7382</v>
      </c>
      <c r="Z1118" s="6">
        <v>78871336</v>
      </c>
      <c r="AA1118" s="2">
        <v>77518961</v>
      </c>
      <c r="AB1118" s="2" t="s">
        <v>642</v>
      </c>
      <c r="AC1118" s="2" t="s">
        <v>632</v>
      </c>
      <c r="AD1118" s="10">
        <v>78871336</v>
      </c>
      <c r="AE1118" s="11"/>
      <c r="AF1118" s="11">
        <v>77518961</v>
      </c>
      <c r="AG1118" s="11"/>
      <c r="AH1118" s="11"/>
      <c r="AI1118" s="11"/>
      <c r="AJ1118" s="11">
        <v>78871336</v>
      </c>
      <c r="AK1118" s="12">
        <v>2</v>
      </c>
      <c r="AL1118" s="12" t="s">
        <v>7377</v>
      </c>
      <c r="AM1118" s="2">
        <v>0</v>
      </c>
      <c r="AN1118" s="2">
        <v>0</v>
      </c>
      <c r="AO1118" s="2">
        <v>0</v>
      </c>
      <c r="AP1118" s="2">
        <v>1</v>
      </c>
      <c r="AQ1118" s="2">
        <v>0</v>
      </c>
      <c r="AR1118" s="2">
        <v>0</v>
      </c>
      <c r="AS1118" s="2">
        <v>0</v>
      </c>
      <c r="AT1118" s="2">
        <v>0</v>
      </c>
      <c r="AZ1118" s="2" t="s">
        <v>7383</v>
      </c>
      <c r="BB1118" s="2" t="str">
        <f>+PROPER(BD[[#This Row],[PRIMER_APELLIDO]])</f>
        <v>Rivera</v>
      </c>
    </row>
    <row r="1119" spans="1:54" x14ac:dyDescent="0.25">
      <c r="A1119" s="2">
        <v>1118</v>
      </c>
      <c r="B1119" s="2">
        <v>60927</v>
      </c>
      <c r="C1119" s="5" t="s">
        <v>619</v>
      </c>
      <c r="D1119" s="2" t="s">
        <v>620</v>
      </c>
      <c r="E1119" s="6" t="s">
        <v>7384</v>
      </c>
      <c r="F1119" s="6"/>
      <c r="G1119" s="3">
        <v>39.9972602739726</v>
      </c>
      <c r="I1119" s="7"/>
      <c r="J1119" s="7"/>
      <c r="K1119" s="8">
        <v>40.005479452054793</v>
      </c>
      <c r="L1119" s="2" t="s">
        <v>7385</v>
      </c>
      <c r="M1119" s="2" t="s">
        <v>3218</v>
      </c>
      <c r="N1119" s="2" t="s">
        <v>198</v>
      </c>
      <c r="O1119" s="2" t="s">
        <v>22</v>
      </c>
      <c r="P1119" s="2" t="s">
        <v>649</v>
      </c>
      <c r="Q1119" s="2" t="s">
        <v>351</v>
      </c>
      <c r="R1119" s="9">
        <v>30194</v>
      </c>
      <c r="S1119" s="9">
        <v>30194</v>
      </c>
      <c r="T1119" s="2" t="s">
        <v>176</v>
      </c>
      <c r="U1119" s="2" t="s">
        <v>1005</v>
      </c>
      <c r="V1119" s="2" t="s">
        <v>897</v>
      </c>
      <c r="W1119" s="2" t="s">
        <v>1006</v>
      </c>
      <c r="X1119" s="2" t="s">
        <v>7386</v>
      </c>
      <c r="Y1119" s="2" t="s">
        <v>7387</v>
      </c>
      <c r="Z1119" s="6"/>
      <c r="AA1119" s="2">
        <v>86062451</v>
      </c>
      <c r="AB1119" s="2" t="s">
        <v>654</v>
      </c>
      <c r="AC1119" s="2" t="s">
        <v>632</v>
      </c>
      <c r="AD1119" s="10"/>
      <c r="AE1119" s="11"/>
      <c r="AF1119" s="11">
        <v>86062451</v>
      </c>
      <c r="AG1119" s="11"/>
      <c r="AH1119" s="11"/>
      <c r="AI1119" s="11"/>
      <c r="AJ1119" s="11">
        <v>86062451</v>
      </c>
      <c r="AK1119" s="12">
        <v>1</v>
      </c>
      <c r="AL1119" s="12" t="s">
        <v>7377</v>
      </c>
      <c r="AM1119" s="2">
        <v>0</v>
      </c>
      <c r="AN1119" s="2">
        <v>0</v>
      </c>
      <c r="AO1119" s="2">
        <v>0</v>
      </c>
      <c r="AP1119" s="2">
        <v>1</v>
      </c>
      <c r="AQ1119" s="2">
        <v>0</v>
      </c>
      <c r="AR1119" s="2">
        <v>0</v>
      </c>
      <c r="AS1119" s="2">
        <v>0</v>
      </c>
      <c r="AT1119" s="2">
        <v>0</v>
      </c>
      <c r="BB1119" s="2" t="str">
        <f>+PROPER(BD[[#This Row],[PRIMER_APELLIDO]])</f>
        <v>Rivera</v>
      </c>
    </row>
    <row r="1120" spans="1:54" x14ac:dyDescent="0.25">
      <c r="A1120" s="2">
        <v>1119</v>
      </c>
      <c r="B1120" s="2">
        <v>25062</v>
      </c>
      <c r="C1120" s="5" t="s">
        <v>619</v>
      </c>
      <c r="D1120" s="2" t="s">
        <v>620</v>
      </c>
      <c r="E1120" s="6" t="s">
        <v>7388</v>
      </c>
      <c r="F1120" s="6">
        <v>20893893</v>
      </c>
      <c r="G1120" s="3">
        <v>39.9972602739726</v>
      </c>
      <c r="I1120" s="7"/>
      <c r="J1120" s="7"/>
      <c r="K1120" s="8">
        <v>40.008219178082193</v>
      </c>
      <c r="L1120" s="2" t="s">
        <v>7389</v>
      </c>
      <c r="N1120" s="2" t="s">
        <v>14</v>
      </c>
      <c r="O1120" s="2" t="s">
        <v>414</v>
      </c>
      <c r="P1120" s="2" t="s">
        <v>626</v>
      </c>
      <c r="Q1120" s="2" t="s">
        <v>351</v>
      </c>
      <c r="R1120" s="9">
        <v>30193</v>
      </c>
      <c r="S1120" s="9">
        <v>30193</v>
      </c>
      <c r="U1120" s="2" t="s">
        <v>705</v>
      </c>
      <c r="W1120" s="2" t="s">
        <v>705</v>
      </c>
      <c r="Y1120" s="2" t="s">
        <v>7390</v>
      </c>
      <c r="Z1120" s="6"/>
      <c r="AA1120" s="2" t="s">
        <v>7391</v>
      </c>
      <c r="AB1120" s="2" t="s">
        <v>642</v>
      </c>
      <c r="AC1120" s="2" t="s">
        <v>632</v>
      </c>
      <c r="AD1120" s="10"/>
      <c r="AE1120" s="11"/>
      <c r="AF1120" s="11"/>
      <c r="AG1120" s="11">
        <v>84123265</v>
      </c>
      <c r="AH1120" s="11"/>
      <c r="AI1120" s="11"/>
      <c r="AJ1120" s="11">
        <v>84123265</v>
      </c>
      <c r="AK1120" s="12">
        <v>2</v>
      </c>
      <c r="AL1120" s="12" t="s">
        <v>7377</v>
      </c>
      <c r="AM1120" s="2">
        <v>0</v>
      </c>
      <c r="AN1120" s="2">
        <v>0</v>
      </c>
      <c r="AO1120" s="2">
        <v>0</v>
      </c>
      <c r="AP1120" s="2">
        <v>1</v>
      </c>
      <c r="AQ1120" s="2">
        <v>0</v>
      </c>
      <c r="AR1120" s="2">
        <v>0</v>
      </c>
      <c r="AS1120" s="2">
        <v>0</v>
      </c>
      <c r="AT1120" s="2">
        <v>0</v>
      </c>
      <c r="BB1120" s="2" t="str">
        <f>+PROPER(BD[[#This Row],[PRIMER_APELLIDO]])</f>
        <v>Gonzalez</v>
      </c>
    </row>
    <row r="1121" spans="1:54" x14ac:dyDescent="0.25">
      <c r="A1121" s="2">
        <v>1120</v>
      </c>
      <c r="B1121" s="2">
        <v>63362</v>
      </c>
      <c r="C1121" s="5" t="s">
        <v>619</v>
      </c>
      <c r="D1121" s="2" t="s">
        <v>620</v>
      </c>
      <c r="E1121" s="6"/>
      <c r="F1121" s="6"/>
      <c r="G1121" s="3">
        <v>39.9972602739726</v>
      </c>
      <c r="I1121" s="7"/>
      <c r="J1121" s="7"/>
      <c r="K1121" s="8">
        <v>40.016438356164386</v>
      </c>
      <c r="L1121" s="2" t="s">
        <v>1169</v>
      </c>
      <c r="M1121" s="2" t="s">
        <v>667</v>
      </c>
      <c r="N1121" s="2" t="s">
        <v>132</v>
      </c>
      <c r="O1121" s="2" t="s">
        <v>221</v>
      </c>
      <c r="P1121" s="2" t="s">
        <v>626</v>
      </c>
      <c r="Q1121" s="2" t="s">
        <v>351</v>
      </c>
      <c r="R1121" s="9">
        <v>30190</v>
      </c>
      <c r="T1121" s="2" t="s">
        <v>1104</v>
      </c>
      <c r="V1121" s="2" t="s">
        <v>2093</v>
      </c>
      <c r="X1121" s="2" t="s">
        <v>7392</v>
      </c>
      <c r="Z1121" s="6">
        <v>87246766</v>
      </c>
      <c r="AB1121" s="2" t="s">
        <v>631</v>
      </c>
      <c r="AC1121" s="2" t="s">
        <v>632</v>
      </c>
      <c r="AD1121" s="10">
        <v>87246766</v>
      </c>
      <c r="AE1121" s="11"/>
      <c r="AF1121" s="11"/>
      <c r="AG1121" s="11"/>
      <c r="AH1121" s="11"/>
      <c r="AI1121" s="11"/>
      <c r="AJ1121" s="11">
        <v>87246766</v>
      </c>
      <c r="AK1121" s="12">
        <v>1</v>
      </c>
      <c r="AL1121" s="12" t="s">
        <v>7377</v>
      </c>
      <c r="AM1121" s="2">
        <v>0</v>
      </c>
      <c r="AN1121" s="2">
        <v>0</v>
      </c>
      <c r="AO1121" s="2">
        <v>0</v>
      </c>
      <c r="AP1121" s="2">
        <v>1</v>
      </c>
      <c r="AQ1121" s="2">
        <v>0</v>
      </c>
      <c r="AR1121" s="2">
        <v>0</v>
      </c>
      <c r="AS1121" s="2">
        <v>0</v>
      </c>
      <c r="AT1121" s="2">
        <v>0</v>
      </c>
      <c r="BB1121" s="2" t="str">
        <f>+PROPER(BD[[#This Row],[PRIMER_APELLIDO]])</f>
        <v>Torres</v>
      </c>
    </row>
    <row r="1122" spans="1:54" x14ac:dyDescent="0.25">
      <c r="A1122" s="2">
        <v>1121</v>
      </c>
      <c r="B1122" s="2">
        <v>25303</v>
      </c>
      <c r="C1122" s="5" t="s">
        <v>619</v>
      </c>
      <c r="D1122" s="2" t="s">
        <v>620</v>
      </c>
      <c r="E1122" s="6" t="s">
        <v>7393</v>
      </c>
      <c r="F1122" s="6">
        <v>21025349</v>
      </c>
      <c r="G1122" s="3">
        <v>39.9972602739726</v>
      </c>
      <c r="I1122" s="7"/>
      <c r="J1122" s="7"/>
      <c r="K1122" s="8">
        <v>40.019178082191779</v>
      </c>
      <c r="L1122" s="2" t="s">
        <v>7394</v>
      </c>
      <c r="M1122" s="2" t="s">
        <v>5873</v>
      </c>
      <c r="N1122" s="2" t="s">
        <v>72</v>
      </c>
      <c r="O1122" s="2" t="s">
        <v>100</v>
      </c>
      <c r="P1122" s="2" t="s">
        <v>626</v>
      </c>
      <c r="Q1122" s="2" t="s">
        <v>351</v>
      </c>
      <c r="R1122" s="9">
        <v>30189</v>
      </c>
      <c r="S1122" s="9">
        <v>30189</v>
      </c>
      <c r="T1122" s="2" t="s">
        <v>669</v>
      </c>
      <c r="U1122" s="2" t="s">
        <v>669</v>
      </c>
      <c r="V1122" s="2" t="s">
        <v>669</v>
      </c>
      <c r="W1122" s="2" t="s">
        <v>669</v>
      </c>
      <c r="X1122" s="2" t="s">
        <v>7395</v>
      </c>
      <c r="Y1122" s="2" t="s">
        <v>7396</v>
      </c>
      <c r="Z1122" s="6"/>
      <c r="AA1122" s="2" t="s">
        <v>7397</v>
      </c>
      <c r="AB1122" s="2" t="s">
        <v>642</v>
      </c>
      <c r="AC1122" s="2" t="s">
        <v>632</v>
      </c>
      <c r="AD1122" s="10"/>
      <c r="AE1122" s="11"/>
      <c r="AF1122" s="11">
        <v>84209006</v>
      </c>
      <c r="AG1122" s="11">
        <v>89140420</v>
      </c>
      <c r="AH1122" s="11"/>
      <c r="AI1122" s="11"/>
      <c r="AJ1122" s="11">
        <v>84209006</v>
      </c>
      <c r="AK1122" s="12">
        <v>2</v>
      </c>
      <c r="AL1122" s="12" t="s">
        <v>7377</v>
      </c>
      <c r="AM1122" s="2">
        <v>0</v>
      </c>
      <c r="AN1122" s="2">
        <v>0</v>
      </c>
      <c r="AO1122" s="2">
        <v>0</v>
      </c>
      <c r="AP1122" s="2">
        <v>1</v>
      </c>
      <c r="AQ1122" s="2">
        <v>0</v>
      </c>
      <c r="AR1122" s="2">
        <v>0</v>
      </c>
      <c r="AS1122" s="2">
        <v>0</v>
      </c>
      <c r="AT1122" s="2">
        <v>0</v>
      </c>
      <c r="BA1122" s="2" t="s">
        <v>7398</v>
      </c>
      <c r="BB1122" s="2" t="str">
        <f>+PROPER(BD[[#This Row],[PRIMER_APELLIDO]])</f>
        <v>Zelaya</v>
      </c>
    </row>
    <row r="1123" spans="1:54" x14ac:dyDescent="0.25">
      <c r="A1123" s="2">
        <v>1122</v>
      </c>
      <c r="B1123" s="2">
        <v>29774</v>
      </c>
      <c r="C1123" s="5" t="s">
        <v>619</v>
      </c>
      <c r="D1123" s="2" t="s">
        <v>620</v>
      </c>
      <c r="E1123" s="6" t="s">
        <v>7399</v>
      </c>
      <c r="F1123" s="6">
        <v>21739516</v>
      </c>
      <c r="G1123" s="3">
        <v>39.9972602739726</v>
      </c>
      <c r="I1123" s="7"/>
      <c r="J1123" s="7"/>
      <c r="K1123" s="8">
        <v>40.019178082191779</v>
      </c>
      <c r="L1123" s="2" t="s">
        <v>7400</v>
      </c>
      <c r="M1123" s="2" t="s">
        <v>724</v>
      </c>
      <c r="N1123" s="2" t="s">
        <v>428</v>
      </c>
      <c r="O1123" s="2" t="s">
        <v>9</v>
      </c>
      <c r="P1123" s="2" t="s">
        <v>626</v>
      </c>
      <c r="Q1123" s="2" t="s">
        <v>351</v>
      </c>
      <c r="R1123" s="9">
        <v>30189</v>
      </c>
      <c r="S1123" s="9">
        <v>30189</v>
      </c>
      <c r="T1123" s="2" t="s">
        <v>627</v>
      </c>
      <c r="U1123" s="2" t="s">
        <v>627</v>
      </c>
      <c r="V1123" s="2" t="s">
        <v>627</v>
      </c>
      <c r="W1123" s="2" t="s">
        <v>627</v>
      </c>
      <c r="X1123" s="2" t="s">
        <v>7401</v>
      </c>
      <c r="Y1123" s="2" t="s">
        <v>7402</v>
      </c>
      <c r="Z1123" s="6">
        <v>86850869</v>
      </c>
      <c r="AA1123" s="2" t="s">
        <v>7403</v>
      </c>
      <c r="AB1123" s="2" t="s">
        <v>654</v>
      </c>
      <c r="AC1123" s="2" t="s">
        <v>632</v>
      </c>
      <c r="AD1123" s="10">
        <v>86850869</v>
      </c>
      <c r="AE1123" s="11"/>
      <c r="AF1123" s="11"/>
      <c r="AG1123" s="11">
        <v>86850869</v>
      </c>
      <c r="AH1123" s="11"/>
      <c r="AI1123" s="11"/>
      <c r="AJ1123" s="11">
        <v>86850869</v>
      </c>
      <c r="AK1123" s="12">
        <v>3</v>
      </c>
      <c r="AL1123" s="12" t="s">
        <v>7377</v>
      </c>
      <c r="AM1123" s="2">
        <v>0</v>
      </c>
      <c r="AN1123" s="2">
        <v>0</v>
      </c>
      <c r="AO1123" s="2">
        <v>0</v>
      </c>
      <c r="AP1123" s="2">
        <v>1</v>
      </c>
      <c r="AQ1123" s="2">
        <v>0</v>
      </c>
      <c r="AR1123" s="2">
        <v>0</v>
      </c>
      <c r="AS1123" s="2">
        <v>0</v>
      </c>
      <c r="AT1123" s="2">
        <v>0</v>
      </c>
      <c r="AZ1123" s="2" t="s">
        <v>7404</v>
      </c>
      <c r="BB1123" s="2" t="str">
        <f>+PROPER(BD[[#This Row],[PRIMER_APELLIDO]])</f>
        <v>Fonseca</v>
      </c>
    </row>
    <row r="1124" spans="1:54" x14ac:dyDescent="0.25">
      <c r="A1124" s="2">
        <v>1123</v>
      </c>
      <c r="B1124" s="2">
        <v>32758</v>
      </c>
      <c r="C1124" s="5" t="s">
        <v>619</v>
      </c>
      <c r="D1124" s="2" t="s">
        <v>620</v>
      </c>
      <c r="E1124" s="6" t="s">
        <v>7405</v>
      </c>
      <c r="F1124" s="6">
        <v>21669451</v>
      </c>
      <c r="G1124" s="3">
        <v>39.9972602739726</v>
      </c>
      <c r="I1124" s="7"/>
      <c r="J1124" s="7"/>
      <c r="K1124" s="8">
        <v>40.043835616438358</v>
      </c>
      <c r="L1124" s="2" t="s">
        <v>7406</v>
      </c>
      <c r="M1124" s="2" t="s">
        <v>724</v>
      </c>
      <c r="N1124" s="2" t="s">
        <v>482</v>
      </c>
      <c r="O1124" s="2" t="s">
        <v>82</v>
      </c>
      <c r="P1124" s="2" t="s">
        <v>626</v>
      </c>
      <c r="Q1124" s="2" t="s">
        <v>351</v>
      </c>
      <c r="R1124" s="9">
        <v>30180</v>
      </c>
      <c r="S1124" s="9">
        <v>30180</v>
      </c>
      <c r="T1124" s="2" t="s">
        <v>705</v>
      </c>
      <c r="U1124" s="2" t="s">
        <v>705</v>
      </c>
      <c r="V1124" s="2" t="s">
        <v>705</v>
      </c>
      <c r="W1124" s="2" t="s">
        <v>705</v>
      </c>
      <c r="X1124" s="2" t="s">
        <v>7407</v>
      </c>
      <c r="Y1124" s="2" t="s">
        <v>7408</v>
      </c>
      <c r="Z1124" s="6"/>
      <c r="AA1124" s="2" t="s">
        <v>7409</v>
      </c>
      <c r="AB1124" s="2" t="s">
        <v>654</v>
      </c>
      <c r="AC1124" s="2" t="s">
        <v>632</v>
      </c>
      <c r="AD1124" s="10"/>
      <c r="AE1124" s="11"/>
      <c r="AF1124" s="11">
        <v>87378992</v>
      </c>
      <c r="AG1124" s="11">
        <v>89633682</v>
      </c>
      <c r="AH1124" s="11"/>
      <c r="AI1124" s="11"/>
      <c r="AJ1124" s="11">
        <v>87378992</v>
      </c>
      <c r="AK1124" s="12">
        <v>2</v>
      </c>
      <c r="AL1124" s="12" t="s">
        <v>7377</v>
      </c>
      <c r="AM1124" s="2">
        <v>0</v>
      </c>
      <c r="AN1124" s="2">
        <v>0</v>
      </c>
      <c r="AO1124" s="2">
        <v>0</v>
      </c>
      <c r="AP1124" s="2">
        <v>1</v>
      </c>
      <c r="AQ1124" s="2">
        <v>0</v>
      </c>
      <c r="AR1124" s="2">
        <v>0</v>
      </c>
      <c r="AS1124" s="2">
        <v>0</v>
      </c>
      <c r="AT1124" s="2">
        <v>0</v>
      </c>
      <c r="BB1124" s="2" t="str">
        <f>+PROPER(BD[[#This Row],[PRIMER_APELLIDO]])</f>
        <v>Maradiaga</v>
      </c>
    </row>
    <row r="1125" spans="1:54" x14ac:dyDescent="0.25">
      <c r="A1125" s="2">
        <v>1124</v>
      </c>
      <c r="B1125" s="2">
        <v>32275</v>
      </c>
      <c r="C1125" s="5" t="s">
        <v>619</v>
      </c>
      <c r="D1125" s="2" t="s">
        <v>620</v>
      </c>
      <c r="E1125" s="6" t="s">
        <v>7410</v>
      </c>
      <c r="F1125" s="6">
        <v>21713932</v>
      </c>
      <c r="G1125" s="3">
        <v>39.9972602739726</v>
      </c>
      <c r="I1125" s="7"/>
      <c r="J1125" s="7"/>
      <c r="K1125" s="8">
        <v>40.065753424657537</v>
      </c>
      <c r="L1125" s="2" t="s">
        <v>3255</v>
      </c>
      <c r="M1125" s="2" t="s">
        <v>243</v>
      </c>
      <c r="N1125" s="2" t="s">
        <v>100</v>
      </c>
      <c r="O1125" s="2" t="s">
        <v>129</v>
      </c>
      <c r="P1125" s="2" t="s">
        <v>649</v>
      </c>
      <c r="Q1125" s="2" t="s">
        <v>351</v>
      </c>
      <c r="R1125" s="9">
        <v>30172</v>
      </c>
      <c r="S1125" s="9">
        <v>30172</v>
      </c>
      <c r="T1125" s="2" t="s">
        <v>1104</v>
      </c>
      <c r="U1125" s="2" t="s">
        <v>659</v>
      </c>
      <c r="V1125" s="2" t="s">
        <v>1104</v>
      </c>
      <c r="W1125" s="2" t="s">
        <v>7411</v>
      </c>
      <c r="X1125" s="2" t="s">
        <v>7412</v>
      </c>
      <c r="Y1125" s="2" t="s">
        <v>7413</v>
      </c>
      <c r="Z1125" s="6"/>
      <c r="AA1125" s="2">
        <v>89236465</v>
      </c>
      <c r="AB1125" s="2" t="s">
        <v>654</v>
      </c>
      <c r="AC1125" s="2" t="s">
        <v>632</v>
      </c>
      <c r="AD1125" s="10"/>
      <c r="AE1125" s="11"/>
      <c r="AF1125" s="11">
        <v>89236465</v>
      </c>
      <c r="AG1125" s="11"/>
      <c r="AH1125" s="11"/>
      <c r="AI1125" s="11"/>
      <c r="AJ1125" s="11">
        <v>89236465</v>
      </c>
      <c r="AK1125" s="12">
        <v>1</v>
      </c>
      <c r="AL1125" s="12" t="s">
        <v>7377</v>
      </c>
      <c r="AM1125" s="2">
        <v>0</v>
      </c>
      <c r="AN1125" s="2">
        <v>0</v>
      </c>
      <c r="AO1125" s="2">
        <v>0</v>
      </c>
      <c r="AP1125" s="2">
        <v>1</v>
      </c>
      <c r="AQ1125" s="2">
        <v>0</v>
      </c>
      <c r="AR1125" s="2">
        <v>0</v>
      </c>
      <c r="AS1125" s="2">
        <v>0</v>
      </c>
      <c r="AT1125" s="2">
        <v>0</v>
      </c>
      <c r="BB1125" s="2" t="str">
        <f>+PROPER(BD[[#This Row],[PRIMER_APELLIDO]])</f>
        <v>Castillo</v>
      </c>
    </row>
    <row r="1126" spans="1:54" x14ac:dyDescent="0.25">
      <c r="A1126" s="2">
        <v>1125</v>
      </c>
      <c r="B1126" s="2">
        <v>26242</v>
      </c>
      <c r="C1126" s="5" t="s">
        <v>619</v>
      </c>
      <c r="D1126" s="2" t="s">
        <v>620</v>
      </c>
      <c r="E1126" s="6" t="s">
        <v>7414</v>
      </c>
      <c r="F1126" s="6">
        <v>20893796</v>
      </c>
      <c r="G1126" s="3">
        <v>39.9972602739726</v>
      </c>
      <c r="I1126" s="7"/>
      <c r="J1126" s="7"/>
      <c r="K1126" s="8">
        <v>40.07123287671233</v>
      </c>
      <c r="L1126" s="2" t="s">
        <v>1386</v>
      </c>
      <c r="M1126" s="2" t="s">
        <v>724</v>
      </c>
      <c r="N1126" s="2" t="s">
        <v>44</v>
      </c>
      <c r="O1126" s="2" t="s">
        <v>15</v>
      </c>
      <c r="P1126" s="2" t="s">
        <v>626</v>
      </c>
      <c r="Q1126" s="2" t="s">
        <v>351</v>
      </c>
      <c r="R1126" s="9">
        <v>30170</v>
      </c>
      <c r="S1126" s="9">
        <v>30170</v>
      </c>
      <c r="T1126" s="2" t="s">
        <v>176</v>
      </c>
      <c r="U1126" s="2" t="s">
        <v>176</v>
      </c>
      <c r="V1126" s="2" t="s">
        <v>650</v>
      </c>
      <c r="W1126" s="2" t="s">
        <v>176</v>
      </c>
      <c r="X1126" s="2" t="s">
        <v>7415</v>
      </c>
      <c r="Y1126" s="2" t="s">
        <v>7416</v>
      </c>
      <c r="Z1126" s="6">
        <v>86083079</v>
      </c>
      <c r="AA1126" s="2">
        <v>86083079</v>
      </c>
      <c r="AB1126" s="2" t="s">
        <v>654</v>
      </c>
      <c r="AC1126" s="2" t="s">
        <v>632</v>
      </c>
      <c r="AD1126" s="10">
        <v>86083079</v>
      </c>
      <c r="AE1126" s="11"/>
      <c r="AF1126" s="11">
        <v>86083079</v>
      </c>
      <c r="AG1126" s="11"/>
      <c r="AH1126" s="11"/>
      <c r="AI1126" s="11"/>
      <c r="AJ1126" s="11">
        <v>86083079</v>
      </c>
      <c r="AK1126" s="12">
        <v>2</v>
      </c>
      <c r="AL1126" s="12" t="s">
        <v>7377</v>
      </c>
      <c r="AM1126" s="2">
        <v>0</v>
      </c>
      <c r="AN1126" s="2">
        <v>0</v>
      </c>
      <c r="AO1126" s="2">
        <v>0</v>
      </c>
      <c r="AP1126" s="2">
        <v>1</v>
      </c>
      <c r="AQ1126" s="2">
        <v>0</v>
      </c>
      <c r="AR1126" s="2">
        <v>0</v>
      </c>
      <c r="AS1126" s="2">
        <v>0</v>
      </c>
      <c r="AT1126" s="2">
        <v>0</v>
      </c>
      <c r="AZ1126" s="2" t="s">
        <v>7417</v>
      </c>
      <c r="BB1126" s="2" t="str">
        <f>+PROPER(BD[[#This Row],[PRIMER_APELLIDO]])</f>
        <v>Martinez</v>
      </c>
    </row>
    <row r="1127" spans="1:54" x14ac:dyDescent="0.25">
      <c r="A1127" s="2">
        <v>1126</v>
      </c>
      <c r="B1127" s="2">
        <v>30280</v>
      </c>
      <c r="C1127" s="5" t="s">
        <v>619</v>
      </c>
      <c r="D1127" s="2" t="s">
        <v>620</v>
      </c>
      <c r="E1127" s="6" t="s">
        <v>7418</v>
      </c>
      <c r="F1127" s="6"/>
      <c r="G1127" s="3">
        <v>39.9972602739726</v>
      </c>
      <c r="I1127" s="7"/>
      <c r="J1127" s="7"/>
      <c r="K1127" s="8">
        <v>40.076712328767123</v>
      </c>
      <c r="L1127" s="2" t="s">
        <v>697</v>
      </c>
      <c r="M1127" s="2" t="s">
        <v>739</v>
      </c>
      <c r="N1127" s="2" t="s">
        <v>120</v>
      </c>
      <c r="O1127" s="2" t="s">
        <v>230</v>
      </c>
      <c r="P1127" s="2" t="s">
        <v>649</v>
      </c>
      <c r="Q1127" s="2" t="s">
        <v>351</v>
      </c>
      <c r="R1127" s="9">
        <v>30168</v>
      </c>
      <c r="S1127" s="9">
        <v>30168</v>
      </c>
      <c r="T1127" s="2" t="s">
        <v>176</v>
      </c>
      <c r="U1127" s="2" t="s">
        <v>176</v>
      </c>
      <c r="V1127" s="2" t="s">
        <v>650</v>
      </c>
      <c r="W1127" s="2" t="s">
        <v>176</v>
      </c>
      <c r="X1127" s="2" t="s">
        <v>7419</v>
      </c>
      <c r="Y1127" s="2" t="s">
        <v>7420</v>
      </c>
      <c r="Z1127" s="6">
        <v>87000583</v>
      </c>
      <c r="AA1127" s="2">
        <v>81891125</v>
      </c>
      <c r="AB1127" s="2" t="s">
        <v>654</v>
      </c>
      <c r="AC1127" s="2" t="s">
        <v>632</v>
      </c>
      <c r="AD1127" s="10">
        <v>87000583</v>
      </c>
      <c r="AE1127" s="11"/>
      <c r="AF1127" s="11">
        <v>81891125</v>
      </c>
      <c r="AG1127" s="11"/>
      <c r="AH1127" s="11"/>
      <c r="AI1127" s="11"/>
      <c r="AJ1127" s="11">
        <v>87000583</v>
      </c>
      <c r="AK1127" s="12">
        <v>2</v>
      </c>
      <c r="AL1127" s="12" t="s">
        <v>7377</v>
      </c>
      <c r="AM1127" s="2">
        <v>0</v>
      </c>
      <c r="AN1127" s="2">
        <v>0</v>
      </c>
      <c r="AO1127" s="2">
        <v>0</v>
      </c>
      <c r="AP1127" s="2">
        <v>1</v>
      </c>
      <c r="AQ1127" s="2">
        <v>0</v>
      </c>
      <c r="AR1127" s="2">
        <v>0</v>
      </c>
      <c r="AS1127" s="2">
        <v>0</v>
      </c>
      <c r="AT1127" s="2">
        <v>0</v>
      </c>
      <c r="AZ1127" s="2" t="s">
        <v>7421</v>
      </c>
      <c r="BB1127" s="2" t="str">
        <f>+PROPER(BD[[#This Row],[PRIMER_APELLIDO]])</f>
        <v>Baldizon</v>
      </c>
    </row>
    <row r="1128" spans="1:54" x14ac:dyDescent="0.25">
      <c r="A1128" s="2">
        <v>1127</v>
      </c>
      <c r="B1128" s="2">
        <v>36914</v>
      </c>
      <c r="C1128" s="5" t="s">
        <v>619</v>
      </c>
      <c r="D1128" s="2" t="s">
        <v>620</v>
      </c>
      <c r="E1128" s="6" t="s">
        <v>7422</v>
      </c>
      <c r="F1128" s="6">
        <v>26565714</v>
      </c>
      <c r="G1128" s="3">
        <v>39.9972602739726</v>
      </c>
      <c r="I1128" s="7"/>
      <c r="J1128" s="7"/>
      <c r="K1128" s="8">
        <v>40.087671232876716</v>
      </c>
      <c r="L1128" s="2" t="s">
        <v>825</v>
      </c>
      <c r="M1128" s="2" t="s">
        <v>826</v>
      </c>
      <c r="N1128" s="2" t="s">
        <v>483</v>
      </c>
      <c r="O1128" s="2" t="s">
        <v>117</v>
      </c>
      <c r="P1128" s="2" t="s">
        <v>649</v>
      </c>
      <c r="Q1128" s="2" t="s">
        <v>351</v>
      </c>
      <c r="R1128" s="9">
        <v>30164</v>
      </c>
      <c r="S1128" s="9">
        <v>30164</v>
      </c>
      <c r="T1128" s="2" t="s">
        <v>732</v>
      </c>
      <c r="U1128" s="2" t="s">
        <v>732</v>
      </c>
      <c r="V1128" s="2" t="s">
        <v>732</v>
      </c>
      <c r="W1128" s="2" t="s">
        <v>732</v>
      </c>
      <c r="X1128" s="2" t="s">
        <v>7423</v>
      </c>
      <c r="Y1128" s="2" t="s">
        <v>7424</v>
      </c>
      <c r="Z1128" s="6"/>
      <c r="AA1128" s="2">
        <v>84103595</v>
      </c>
      <c r="AB1128" s="2" t="s">
        <v>798</v>
      </c>
      <c r="AC1128" s="2" t="s">
        <v>632</v>
      </c>
      <c r="AD1128" s="10"/>
      <c r="AE1128" s="11"/>
      <c r="AF1128" s="11">
        <v>84103595</v>
      </c>
      <c r="AG1128" s="11"/>
      <c r="AH1128" s="11"/>
      <c r="AI1128" s="11"/>
      <c r="AJ1128" s="11">
        <v>84103595</v>
      </c>
      <c r="AK1128" s="12">
        <v>1</v>
      </c>
      <c r="AL1128" s="12" t="s">
        <v>7377</v>
      </c>
      <c r="AM1128" s="2">
        <v>0</v>
      </c>
      <c r="AN1128" s="2">
        <v>0</v>
      </c>
      <c r="AO1128" s="2">
        <v>0</v>
      </c>
      <c r="AP1128" s="2">
        <v>1</v>
      </c>
      <c r="AQ1128" s="2">
        <v>0</v>
      </c>
      <c r="AR1128" s="2">
        <v>0</v>
      </c>
      <c r="AS1128" s="2">
        <v>0</v>
      </c>
      <c r="AT1128" s="2">
        <v>0</v>
      </c>
      <c r="BB1128" s="2" t="str">
        <f>+PROPER(BD[[#This Row],[PRIMER_APELLIDO]])</f>
        <v>Ventura</v>
      </c>
    </row>
    <row r="1129" spans="1:54" x14ac:dyDescent="0.25">
      <c r="A1129" s="2">
        <v>1128</v>
      </c>
      <c r="B1129" s="2">
        <v>32924</v>
      </c>
      <c r="C1129" s="5" t="s">
        <v>619</v>
      </c>
      <c r="D1129" s="2" t="s">
        <v>620</v>
      </c>
      <c r="E1129" s="6" t="s">
        <v>7425</v>
      </c>
      <c r="F1129" s="6">
        <v>22134011</v>
      </c>
      <c r="G1129" s="3">
        <v>39.9972602739726</v>
      </c>
      <c r="I1129" s="7"/>
      <c r="J1129" s="7"/>
      <c r="K1129" s="8">
        <v>40.093150684931508</v>
      </c>
      <c r="L1129" s="2" t="s">
        <v>2650</v>
      </c>
      <c r="N1129" s="2" t="s">
        <v>115</v>
      </c>
      <c r="O1129" s="2" t="s">
        <v>132</v>
      </c>
      <c r="P1129" s="2" t="s">
        <v>626</v>
      </c>
      <c r="Q1129" s="2" t="s">
        <v>351</v>
      </c>
      <c r="R1129" s="9">
        <v>30162</v>
      </c>
      <c r="S1129" s="9">
        <v>30162</v>
      </c>
      <c r="T1129" s="2" t="s">
        <v>691</v>
      </c>
      <c r="U1129" s="2" t="s">
        <v>691</v>
      </c>
      <c r="V1129" s="2" t="s">
        <v>716</v>
      </c>
      <c r="W1129" s="2" t="s">
        <v>691</v>
      </c>
      <c r="X1129" s="2" t="s">
        <v>7426</v>
      </c>
      <c r="Y1129" s="2" t="s">
        <v>7427</v>
      </c>
      <c r="Z1129" s="6">
        <v>58725513</v>
      </c>
      <c r="AA1129" s="2">
        <v>85461615</v>
      </c>
      <c r="AB1129" s="2" t="s">
        <v>654</v>
      </c>
      <c r="AC1129" s="2" t="s">
        <v>632</v>
      </c>
      <c r="AD1129" s="10">
        <v>58725513</v>
      </c>
      <c r="AE1129" s="11"/>
      <c r="AF1129" s="11">
        <v>85461615</v>
      </c>
      <c r="AG1129" s="11"/>
      <c r="AH1129" s="11"/>
      <c r="AI1129" s="11"/>
      <c r="AJ1129" s="11">
        <v>58725513</v>
      </c>
      <c r="AK1129" s="12">
        <v>2</v>
      </c>
      <c r="AL1129" s="12" t="s">
        <v>7377</v>
      </c>
      <c r="AM1129" s="2">
        <v>0</v>
      </c>
      <c r="AN1129" s="2">
        <v>0</v>
      </c>
      <c r="AO1129" s="2">
        <v>0</v>
      </c>
      <c r="AP1129" s="2">
        <v>1</v>
      </c>
      <c r="AQ1129" s="2">
        <v>0</v>
      </c>
      <c r="AR1129" s="2">
        <v>0</v>
      </c>
      <c r="AS1129" s="2">
        <v>0</v>
      </c>
      <c r="AT1129" s="2">
        <v>0</v>
      </c>
      <c r="AZ1129" s="2" t="s">
        <v>7428</v>
      </c>
      <c r="BB1129" s="2" t="str">
        <f>+PROPER(BD[[#This Row],[PRIMER_APELLIDO]])</f>
        <v>Navarro</v>
      </c>
    </row>
    <row r="1130" spans="1:54" x14ac:dyDescent="0.25">
      <c r="A1130" s="2">
        <v>1129</v>
      </c>
      <c r="B1130" s="2">
        <v>24976</v>
      </c>
      <c r="C1130" s="5" t="s">
        <v>619</v>
      </c>
      <c r="D1130" s="2" t="s">
        <v>620</v>
      </c>
      <c r="E1130" s="6" t="s">
        <v>7429</v>
      </c>
      <c r="F1130" s="6">
        <v>20964502</v>
      </c>
      <c r="G1130" s="3">
        <v>39.9972602739726</v>
      </c>
      <c r="I1130" s="7"/>
      <c r="J1130" s="7"/>
      <c r="K1130" s="8">
        <v>40.104109589041094</v>
      </c>
      <c r="L1130" s="2" t="s">
        <v>860</v>
      </c>
      <c r="M1130" s="2" t="s">
        <v>2080</v>
      </c>
      <c r="N1130" s="2" t="s">
        <v>75</v>
      </c>
      <c r="O1130" s="2" t="s">
        <v>385</v>
      </c>
      <c r="P1130" s="2" t="s">
        <v>626</v>
      </c>
      <c r="Q1130" s="2" t="s">
        <v>351</v>
      </c>
      <c r="R1130" s="9">
        <v>30158</v>
      </c>
      <c r="S1130" s="9">
        <v>30158</v>
      </c>
      <c r="U1130" s="2" t="s">
        <v>732</v>
      </c>
      <c r="W1130" s="2" t="s">
        <v>848</v>
      </c>
      <c r="X1130" s="2" t="s">
        <v>7430</v>
      </c>
      <c r="Y1130" s="2" t="s">
        <v>7431</v>
      </c>
      <c r="Z1130" s="6"/>
      <c r="AA1130" s="2" t="s">
        <v>7432</v>
      </c>
      <c r="AB1130" s="2" t="s">
        <v>642</v>
      </c>
      <c r="AC1130" s="2" t="s">
        <v>632</v>
      </c>
      <c r="AD1130" s="10"/>
      <c r="AE1130" s="11"/>
      <c r="AF1130" s="11"/>
      <c r="AG1130" s="11"/>
      <c r="AH1130" s="11">
        <v>88535066</v>
      </c>
      <c r="AI1130" s="11"/>
      <c r="AJ1130" s="11"/>
      <c r="AK1130" s="12">
        <v>3</v>
      </c>
      <c r="AL1130" s="12" t="s">
        <v>7377</v>
      </c>
      <c r="AM1130" s="2">
        <v>0</v>
      </c>
      <c r="AN1130" s="2">
        <v>0</v>
      </c>
      <c r="AO1130" s="2">
        <v>0</v>
      </c>
      <c r="AP1130" s="2">
        <v>1</v>
      </c>
      <c r="AQ1130" s="2">
        <v>0</v>
      </c>
      <c r="AR1130" s="2">
        <v>0</v>
      </c>
      <c r="AS1130" s="2">
        <v>0</v>
      </c>
      <c r="AT1130" s="2">
        <v>0</v>
      </c>
      <c r="BA1130" s="2" t="s">
        <v>7433</v>
      </c>
      <c r="BB1130" s="2" t="str">
        <f>+PROPER(BD[[#This Row],[PRIMER_APELLIDO]])</f>
        <v>Vanegas</v>
      </c>
    </row>
    <row r="1131" spans="1:54" x14ac:dyDescent="0.25">
      <c r="A1131" s="2">
        <v>1130</v>
      </c>
      <c r="B1131" s="2">
        <v>29003</v>
      </c>
      <c r="C1131" s="5" t="s">
        <v>619</v>
      </c>
      <c r="D1131" s="2" t="s">
        <v>620</v>
      </c>
      <c r="E1131" s="6" t="s">
        <v>7434</v>
      </c>
      <c r="F1131" s="6">
        <v>20884402</v>
      </c>
      <c r="G1131" s="3">
        <v>39.9972602739726</v>
      </c>
      <c r="I1131" s="7"/>
      <c r="J1131" s="7"/>
      <c r="K1131" s="8">
        <v>40.109589041095887</v>
      </c>
      <c r="L1131" s="2" t="s">
        <v>4031</v>
      </c>
      <c r="M1131" s="2" t="s">
        <v>7435</v>
      </c>
      <c r="N1131" s="2" t="s">
        <v>484</v>
      </c>
      <c r="O1131" s="2" t="s">
        <v>100</v>
      </c>
      <c r="P1131" s="2" t="s">
        <v>626</v>
      </c>
      <c r="Q1131" s="2" t="s">
        <v>351</v>
      </c>
      <c r="R1131" s="9">
        <v>30156</v>
      </c>
      <c r="S1131" s="9">
        <v>30156</v>
      </c>
      <c r="T1131" s="2" t="s">
        <v>627</v>
      </c>
      <c r="U1131" s="2" t="s">
        <v>627</v>
      </c>
      <c r="V1131" s="2" t="s">
        <v>627</v>
      </c>
      <c r="W1131" s="2" t="s">
        <v>627</v>
      </c>
      <c r="X1131" s="2" t="s">
        <v>7436</v>
      </c>
      <c r="Y1131" s="2" t="s">
        <v>7437</v>
      </c>
      <c r="Z1131" s="6">
        <v>84050057</v>
      </c>
      <c r="AA1131" s="2" t="s">
        <v>7438</v>
      </c>
      <c r="AB1131" s="2" t="s">
        <v>642</v>
      </c>
      <c r="AC1131" s="2" t="s">
        <v>632</v>
      </c>
      <c r="AD1131" s="10">
        <v>84050057</v>
      </c>
      <c r="AE1131" s="11"/>
      <c r="AF1131" s="11">
        <v>84050057</v>
      </c>
      <c r="AG1131" s="11">
        <v>77946761</v>
      </c>
      <c r="AH1131" s="11"/>
      <c r="AI1131" s="11"/>
      <c r="AJ1131" s="11">
        <v>84050057</v>
      </c>
      <c r="AK1131" s="12">
        <v>3</v>
      </c>
      <c r="AL1131" s="12" t="s">
        <v>7377</v>
      </c>
      <c r="AM1131" s="2">
        <v>0</v>
      </c>
      <c r="AN1131" s="2">
        <v>0</v>
      </c>
      <c r="AO1131" s="2">
        <v>0</v>
      </c>
      <c r="AP1131" s="2">
        <v>1</v>
      </c>
      <c r="AQ1131" s="2">
        <v>0</v>
      </c>
      <c r="AR1131" s="2">
        <v>0</v>
      </c>
      <c r="AS1131" s="2">
        <v>0</v>
      </c>
      <c r="AT1131" s="2">
        <v>0</v>
      </c>
      <c r="AZ1131" s="2" t="s">
        <v>7439</v>
      </c>
      <c r="BB1131" s="2" t="str">
        <f>+PROPER(BD[[#This Row],[PRIMER_APELLIDO]])</f>
        <v>Robelo</v>
      </c>
    </row>
    <row r="1132" spans="1:54" x14ac:dyDescent="0.25">
      <c r="A1132" s="2">
        <v>1131</v>
      </c>
      <c r="B1132" s="2">
        <v>57017</v>
      </c>
      <c r="C1132" s="5" t="s">
        <v>619</v>
      </c>
      <c r="D1132" s="2" t="s">
        <v>620</v>
      </c>
      <c r="E1132" s="6" t="s">
        <v>7440</v>
      </c>
      <c r="F1132" s="6"/>
      <c r="G1132" s="3">
        <v>39.9972602739726</v>
      </c>
      <c r="I1132" s="7"/>
      <c r="J1132" s="7"/>
      <c r="K1132" s="8">
        <v>40.11780821917808</v>
      </c>
      <c r="L1132" s="2" t="s">
        <v>7441</v>
      </c>
      <c r="M1132" s="2" t="s">
        <v>904</v>
      </c>
      <c r="N1132" s="2" t="s">
        <v>84</v>
      </c>
      <c r="O1132" s="2" t="s">
        <v>3906</v>
      </c>
      <c r="P1132" s="2" t="s">
        <v>649</v>
      </c>
      <c r="Q1132" s="2" t="s">
        <v>351</v>
      </c>
      <c r="R1132" s="9">
        <v>30153</v>
      </c>
      <c r="S1132" s="9">
        <v>30153</v>
      </c>
      <c r="T1132" s="2" t="s">
        <v>705</v>
      </c>
      <c r="U1132" s="2" t="s">
        <v>176</v>
      </c>
      <c r="V1132" s="2" t="s">
        <v>1538</v>
      </c>
      <c r="W1132" s="2" t="s">
        <v>176</v>
      </c>
      <c r="X1132" s="2" t="s">
        <v>7442</v>
      </c>
      <c r="Y1132" s="2" t="s">
        <v>7443</v>
      </c>
      <c r="Z1132" s="6">
        <v>82773669</v>
      </c>
      <c r="AA1132" s="2">
        <v>82773669</v>
      </c>
      <c r="AB1132" s="2" t="s">
        <v>798</v>
      </c>
      <c r="AC1132" s="2" t="s">
        <v>632</v>
      </c>
      <c r="AD1132" s="10">
        <v>82773669</v>
      </c>
      <c r="AE1132" s="11"/>
      <c r="AF1132" s="11">
        <v>82773669</v>
      </c>
      <c r="AG1132" s="11"/>
      <c r="AH1132" s="11"/>
      <c r="AI1132" s="11"/>
      <c r="AJ1132" s="11">
        <v>82773669</v>
      </c>
      <c r="AK1132" s="12">
        <v>2</v>
      </c>
      <c r="AL1132" s="12" t="s">
        <v>7377</v>
      </c>
      <c r="AM1132" s="2">
        <v>0</v>
      </c>
      <c r="AN1132" s="2">
        <v>0</v>
      </c>
      <c r="AO1132" s="2">
        <v>0</v>
      </c>
      <c r="AP1132" s="2">
        <v>1</v>
      </c>
      <c r="AQ1132" s="2">
        <v>0</v>
      </c>
      <c r="AR1132" s="2">
        <v>0</v>
      </c>
      <c r="AS1132" s="2">
        <v>0</v>
      </c>
      <c r="AT1132" s="2">
        <v>0</v>
      </c>
      <c r="AZ1132" s="2" t="s">
        <v>7444</v>
      </c>
      <c r="BB1132" s="2" t="str">
        <f>+PROPER(BD[[#This Row],[PRIMER_APELLIDO]])</f>
        <v>Ruiz</v>
      </c>
    </row>
    <row r="1133" spans="1:54" x14ac:dyDescent="0.25">
      <c r="A1133" s="2">
        <v>1132</v>
      </c>
      <c r="B1133" s="2">
        <v>40935</v>
      </c>
      <c r="C1133" s="5" t="s">
        <v>619</v>
      </c>
      <c r="D1133" s="2" t="s">
        <v>620</v>
      </c>
      <c r="E1133" s="6" t="s">
        <v>7445</v>
      </c>
      <c r="F1133" s="6">
        <v>12915895</v>
      </c>
      <c r="G1133" s="3">
        <v>39.9972602739726</v>
      </c>
      <c r="I1133" s="7"/>
      <c r="J1133" s="7"/>
      <c r="K1133" s="8">
        <v>40.126027397260273</v>
      </c>
      <c r="L1133" s="2" t="s">
        <v>7446</v>
      </c>
      <c r="M1133" s="2" t="s">
        <v>1692</v>
      </c>
      <c r="N1133" s="2" t="s">
        <v>56</v>
      </c>
      <c r="O1133" s="2" t="s">
        <v>164</v>
      </c>
      <c r="P1133" s="2" t="s">
        <v>649</v>
      </c>
      <c r="Q1133" s="2" t="s">
        <v>351</v>
      </c>
      <c r="R1133" s="9">
        <v>30150</v>
      </c>
      <c r="S1133" s="9">
        <v>30150</v>
      </c>
      <c r="T1133" s="2" t="s">
        <v>705</v>
      </c>
      <c r="U1133" s="2" t="s">
        <v>705</v>
      </c>
      <c r="V1133" s="2" t="s">
        <v>705</v>
      </c>
      <c r="W1133" s="2" t="s">
        <v>705</v>
      </c>
      <c r="X1133" s="2" t="s">
        <v>7447</v>
      </c>
      <c r="Y1133" s="2" t="s">
        <v>7448</v>
      </c>
      <c r="Z1133" s="6">
        <v>83204193</v>
      </c>
      <c r="AA1133" s="2">
        <v>83204193</v>
      </c>
      <c r="AB1133" s="2" t="s">
        <v>654</v>
      </c>
      <c r="AC1133" s="2" t="s">
        <v>632</v>
      </c>
      <c r="AD1133" s="10">
        <v>83204193</v>
      </c>
      <c r="AE1133" s="11"/>
      <c r="AF1133" s="11">
        <v>83204193</v>
      </c>
      <c r="AG1133" s="11"/>
      <c r="AH1133" s="11"/>
      <c r="AI1133" s="11"/>
      <c r="AJ1133" s="11">
        <v>83204193</v>
      </c>
      <c r="AK1133" s="12">
        <v>2</v>
      </c>
      <c r="AL1133" s="12" t="s">
        <v>7377</v>
      </c>
      <c r="AM1133" s="2">
        <v>0</v>
      </c>
      <c r="AN1133" s="2">
        <v>0</v>
      </c>
      <c r="AO1133" s="2">
        <v>0</v>
      </c>
      <c r="AP1133" s="2">
        <v>1</v>
      </c>
      <c r="AQ1133" s="2">
        <v>0</v>
      </c>
      <c r="AR1133" s="2">
        <v>0</v>
      </c>
      <c r="AS1133" s="2">
        <v>0</v>
      </c>
      <c r="AT1133" s="2">
        <v>0</v>
      </c>
      <c r="AZ1133" s="2" t="s">
        <v>7449</v>
      </c>
      <c r="BB1133" s="2" t="str">
        <f>+PROPER(BD[[#This Row],[PRIMER_APELLIDO]])</f>
        <v>Miranda</v>
      </c>
    </row>
    <row r="1134" spans="1:54" x14ac:dyDescent="0.25">
      <c r="A1134" s="2">
        <v>1133</v>
      </c>
      <c r="B1134" s="2">
        <v>31519</v>
      </c>
      <c r="C1134" s="5" t="s">
        <v>619</v>
      </c>
      <c r="D1134" s="2" t="s">
        <v>620</v>
      </c>
      <c r="E1134" s="6" t="s">
        <v>7450</v>
      </c>
      <c r="F1134" s="6">
        <v>24327442</v>
      </c>
      <c r="G1134" s="3">
        <v>39.9972602739726</v>
      </c>
      <c r="I1134" s="7"/>
      <c r="J1134" s="7"/>
      <c r="K1134" s="8">
        <v>40.128767123287673</v>
      </c>
      <c r="L1134" s="2" t="s">
        <v>7451</v>
      </c>
      <c r="M1134" s="2" t="s">
        <v>1372</v>
      </c>
      <c r="N1134" s="2" t="s">
        <v>222</v>
      </c>
      <c r="O1134" s="2" t="s">
        <v>7452</v>
      </c>
      <c r="P1134" s="2" t="s">
        <v>626</v>
      </c>
      <c r="Q1134" s="2" t="s">
        <v>351</v>
      </c>
      <c r="R1134" s="9">
        <v>30149</v>
      </c>
      <c r="S1134" s="9">
        <v>30149</v>
      </c>
      <c r="T1134" s="2" t="s">
        <v>176</v>
      </c>
      <c r="U1134" s="2" t="s">
        <v>732</v>
      </c>
      <c r="V1134" s="2" t="s">
        <v>748</v>
      </c>
      <c r="W1134" s="2" t="s">
        <v>732</v>
      </c>
      <c r="X1134" s="2" t="s">
        <v>7453</v>
      </c>
      <c r="Y1134" s="2" t="s">
        <v>7454</v>
      </c>
      <c r="Z1134" s="6">
        <v>87030625</v>
      </c>
      <c r="AA1134" s="2" t="s">
        <v>7455</v>
      </c>
      <c r="AB1134" s="2" t="s">
        <v>631</v>
      </c>
      <c r="AC1134" s="2" t="s">
        <v>632</v>
      </c>
      <c r="AD1134" s="10">
        <v>87030625</v>
      </c>
      <c r="AE1134" s="11"/>
      <c r="AF1134" s="11"/>
      <c r="AG1134" s="11">
        <v>87030625</v>
      </c>
      <c r="AH1134" s="11">
        <v>85607250</v>
      </c>
      <c r="AI1134" s="11"/>
      <c r="AJ1134" s="11">
        <v>87030625</v>
      </c>
      <c r="AK1134" s="12">
        <v>4</v>
      </c>
      <c r="AL1134" s="12" t="s">
        <v>7377</v>
      </c>
      <c r="AM1134" s="2">
        <v>0</v>
      </c>
      <c r="AN1134" s="2">
        <v>0</v>
      </c>
      <c r="AO1134" s="2">
        <v>0</v>
      </c>
      <c r="AP1134" s="2">
        <v>1</v>
      </c>
      <c r="AQ1134" s="2">
        <v>0</v>
      </c>
      <c r="AR1134" s="2">
        <v>0</v>
      </c>
      <c r="AS1134" s="2">
        <v>0</v>
      </c>
      <c r="AT1134" s="2">
        <v>0</v>
      </c>
      <c r="AZ1134" s="2" t="s">
        <v>7456</v>
      </c>
      <c r="BB1134" s="2" t="str">
        <f>+PROPER(BD[[#This Row],[PRIMER_APELLIDO]])</f>
        <v>Zapata</v>
      </c>
    </row>
    <row r="1135" spans="1:54" x14ac:dyDescent="0.25">
      <c r="A1135" s="2">
        <v>1134</v>
      </c>
      <c r="B1135" s="2">
        <v>26921</v>
      </c>
      <c r="C1135" s="5" t="s">
        <v>619</v>
      </c>
      <c r="D1135" s="2" t="s">
        <v>620</v>
      </c>
      <c r="E1135" s="6" t="s">
        <v>7457</v>
      </c>
      <c r="F1135" s="6">
        <v>22117748</v>
      </c>
      <c r="G1135" s="3">
        <v>39.9972602739726</v>
      </c>
      <c r="I1135" s="7"/>
      <c r="J1135" s="7"/>
      <c r="K1135" s="8">
        <v>40.131506849315066</v>
      </c>
      <c r="L1135" s="2" t="s">
        <v>7458</v>
      </c>
      <c r="M1135" s="2" t="s">
        <v>243</v>
      </c>
      <c r="N1135" s="2" t="s">
        <v>281</v>
      </c>
      <c r="O1135" s="2" t="s">
        <v>235</v>
      </c>
      <c r="P1135" s="2" t="s">
        <v>649</v>
      </c>
      <c r="Q1135" s="2" t="s">
        <v>351</v>
      </c>
      <c r="R1135" s="9">
        <v>30148</v>
      </c>
      <c r="S1135" s="9">
        <v>30148</v>
      </c>
      <c r="U1135" s="2" t="s">
        <v>176</v>
      </c>
      <c r="W1135" s="2" t="s">
        <v>176</v>
      </c>
      <c r="X1135" s="2" t="s">
        <v>7459</v>
      </c>
      <c r="Y1135" s="2" t="s">
        <v>7460</v>
      </c>
      <c r="Z1135" s="6"/>
      <c r="AA1135" s="2" t="s">
        <v>7461</v>
      </c>
      <c r="AB1135" s="2" t="s">
        <v>654</v>
      </c>
      <c r="AC1135" s="2" t="s">
        <v>632</v>
      </c>
      <c r="AD1135" s="10"/>
      <c r="AE1135" s="11"/>
      <c r="AF1135" s="11"/>
      <c r="AG1135" s="11"/>
      <c r="AH1135" s="11"/>
      <c r="AI1135" s="11"/>
      <c r="AJ1135" s="11"/>
      <c r="AK1135" s="12">
        <v>2</v>
      </c>
      <c r="AL1135" s="12" t="s">
        <v>7377</v>
      </c>
      <c r="AM1135" s="2">
        <v>0</v>
      </c>
      <c r="AN1135" s="2">
        <v>0</v>
      </c>
      <c r="AO1135" s="2">
        <v>0</v>
      </c>
      <c r="AP1135" s="2">
        <v>1</v>
      </c>
      <c r="AQ1135" s="2">
        <v>0</v>
      </c>
      <c r="AR1135" s="2">
        <v>0</v>
      </c>
      <c r="AS1135" s="2">
        <v>0</v>
      </c>
      <c r="AT1135" s="2">
        <v>0</v>
      </c>
      <c r="BB1135" s="2" t="str">
        <f>+PROPER(BD[[#This Row],[PRIMER_APELLIDO]])</f>
        <v>Amador</v>
      </c>
    </row>
    <row r="1136" spans="1:54" x14ac:dyDescent="0.25">
      <c r="A1136" s="2">
        <v>1135</v>
      </c>
      <c r="B1136" s="2">
        <v>28497</v>
      </c>
      <c r="C1136" s="5" t="s">
        <v>619</v>
      </c>
      <c r="D1136" s="2" t="s">
        <v>620</v>
      </c>
      <c r="E1136" s="6" t="s">
        <v>7462</v>
      </c>
      <c r="F1136" s="6">
        <v>21846768</v>
      </c>
      <c r="G1136" s="3">
        <v>39.9972602739726</v>
      </c>
      <c r="I1136" s="7"/>
      <c r="J1136" s="7"/>
      <c r="K1136" s="8">
        <v>40.134246575342466</v>
      </c>
      <c r="L1136" s="2" t="s">
        <v>1686</v>
      </c>
      <c r="M1136" s="2" t="s">
        <v>1699</v>
      </c>
      <c r="N1136" s="2" t="s">
        <v>138</v>
      </c>
      <c r="O1136" s="2" t="s">
        <v>218</v>
      </c>
      <c r="P1136" s="2" t="s">
        <v>649</v>
      </c>
      <c r="Q1136" s="2" t="s">
        <v>351</v>
      </c>
      <c r="R1136" s="9">
        <v>30147</v>
      </c>
      <c r="S1136" s="9">
        <v>30147</v>
      </c>
      <c r="T1136" s="2" t="s">
        <v>705</v>
      </c>
      <c r="U1136" s="2" t="s">
        <v>705</v>
      </c>
      <c r="V1136" s="2" t="s">
        <v>705</v>
      </c>
      <c r="W1136" s="2" t="s">
        <v>705</v>
      </c>
      <c r="X1136" s="2" t="s">
        <v>7463</v>
      </c>
      <c r="Y1136" s="2" t="s">
        <v>7464</v>
      </c>
      <c r="Z1136" s="6">
        <v>58388700</v>
      </c>
      <c r="AB1136" s="2" t="s">
        <v>654</v>
      </c>
      <c r="AC1136" s="2" t="s">
        <v>632</v>
      </c>
      <c r="AD1136" s="10">
        <v>58388700</v>
      </c>
      <c r="AE1136" s="11"/>
      <c r="AF1136" s="11"/>
      <c r="AG1136" s="11"/>
      <c r="AH1136" s="11"/>
      <c r="AI1136" s="11"/>
      <c r="AJ1136" s="11">
        <v>58388700</v>
      </c>
      <c r="AK1136" s="12">
        <v>1</v>
      </c>
      <c r="AL1136" s="12" t="s">
        <v>7377</v>
      </c>
      <c r="AM1136" s="2">
        <v>0</v>
      </c>
      <c r="AN1136" s="2">
        <v>0</v>
      </c>
      <c r="AO1136" s="2">
        <v>0</v>
      </c>
      <c r="AP1136" s="2">
        <v>1</v>
      </c>
      <c r="AQ1136" s="2">
        <v>0</v>
      </c>
      <c r="AR1136" s="2">
        <v>0</v>
      </c>
      <c r="AS1136" s="2">
        <v>0</v>
      </c>
      <c r="AT1136" s="2">
        <v>0</v>
      </c>
      <c r="AZ1136" s="2" t="s">
        <v>7465</v>
      </c>
      <c r="BB1136" s="2" t="str">
        <f>+PROPER(BD[[#This Row],[PRIMER_APELLIDO]])</f>
        <v>Vivas</v>
      </c>
    </row>
    <row r="1137" spans="1:54" x14ac:dyDescent="0.25">
      <c r="A1137" s="2">
        <v>1136</v>
      </c>
      <c r="B1137" s="2">
        <v>36606</v>
      </c>
      <c r="C1137" s="5" t="s">
        <v>619</v>
      </c>
      <c r="D1137" s="2" t="s">
        <v>620</v>
      </c>
      <c r="E1137" s="6" t="s">
        <v>7466</v>
      </c>
      <c r="F1137" s="6">
        <v>22920621</v>
      </c>
      <c r="G1137" s="3">
        <v>39.9972602739726</v>
      </c>
      <c r="I1137" s="7"/>
      <c r="J1137" s="7"/>
      <c r="K1137" s="8">
        <v>40.134246575342466</v>
      </c>
      <c r="L1137" s="2" t="s">
        <v>7467</v>
      </c>
      <c r="M1137" s="2" t="s">
        <v>961</v>
      </c>
      <c r="N1137" s="2" t="s">
        <v>38</v>
      </c>
      <c r="O1137" s="2" t="s">
        <v>142</v>
      </c>
      <c r="P1137" s="2" t="s">
        <v>626</v>
      </c>
      <c r="Q1137" s="2" t="s">
        <v>351</v>
      </c>
      <c r="R1137" s="9">
        <v>30147</v>
      </c>
      <c r="S1137" s="9">
        <v>30147</v>
      </c>
      <c r="T1137" s="2" t="s">
        <v>732</v>
      </c>
      <c r="U1137" s="2" t="s">
        <v>732</v>
      </c>
      <c r="V1137" s="2" t="s">
        <v>962</v>
      </c>
      <c r="W1137" s="2" t="s">
        <v>848</v>
      </c>
      <c r="X1137" s="2" t="s">
        <v>7468</v>
      </c>
      <c r="Y1137" s="2" t="s">
        <v>7469</v>
      </c>
      <c r="Z1137" s="6">
        <v>58483443</v>
      </c>
      <c r="AA1137" s="2" t="s">
        <v>7470</v>
      </c>
      <c r="AB1137" s="2" t="s">
        <v>631</v>
      </c>
      <c r="AC1137" s="2" t="s">
        <v>632</v>
      </c>
      <c r="AD1137" s="10">
        <v>58483443</v>
      </c>
      <c r="AE1137" s="11"/>
      <c r="AF1137" s="11">
        <v>85035988</v>
      </c>
      <c r="AG1137" s="11"/>
      <c r="AH1137" s="11"/>
      <c r="AI1137" s="11"/>
      <c r="AJ1137" s="11">
        <v>58483443</v>
      </c>
      <c r="AK1137" s="12">
        <v>3</v>
      </c>
      <c r="AL1137" s="12" t="s">
        <v>7377</v>
      </c>
      <c r="AM1137" s="2">
        <v>0</v>
      </c>
      <c r="AN1137" s="2">
        <v>0</v>
      </c>
      <c r="AO1137" s="2">
        <v>0</v>
      </c>
      <c r="AP1137" s="2">
        <v>1</v>
      </c>
      <c r="AQ1137" s="2">
        <v>0</v>
      </c>
      <c r="AR1137" s="2">
        <v>0</v>
      </c>
      <c r="AS1137" s="2">
        <v>0</v>
      </c>
      <c r="AT1137" s="2">
        <v>0</v>
      </c>
      <c r="AZ1137" s="2" t="s">
        <v>7471</v>
      </c>
      <c r="BA1137" s="2" t="s">
        <v>7471</v>
      </c>
      <c r="BB1137" s="2" t="str">
        <f>+PROPER(BD[[#This Row],[PRIMER_APELLIDO]])</f>
        <v>Ramirez</v>
      </c>
    </row>
    <row r="1138" spans="1:54" x14ac:dyDescent="0.25">
      <c r="A1138" s="2">
        <v>1137</v>
      </c>
      <c r="B1138" s="2">
        <v>43964</v>
      </c>
      <c r="C1138" s="5" t="s">
        <v>619</v>
      </c>
      <c r="D1138" s="2" t="s">
        <v>620</v>
      </c>
      <c r="E1138" s="6" t="s">
        <v>7472</v>
      </c>
      <c r="F1138" s="6">
        <v>22389015</v>
      </c>
      <c r="G1138" s="3">
        <v>39.9972602739726</v>
      </c>
      <c r="I1138" s="7"/>
      <c r="J1138" s="7"/>
      <c r="K1138" s="8">
        <v>40.139726027397259</v>
      </c>
      <c r="L1138" s="2" t="s">
        <v>1405</v>
      </c>
      <c r="M1138" s="2" t="s">
        <v>7473</v>
      </c>
      <c r="N1138" s="2" t="s">
        <v>90</v>
      </c>
      <c r="O1138" s="2" t="s">
        <v>443</v>
      </c>
      <c r="P1138" s="2" t="s">
        <v>626</v>
      </c>
      <c r="Q1138" s="2" t="s">
        <v>351</v>
      </c>
      <c r="R1138" s="9">
        <v>30145</v>
      </c>
      <c r="S1138" s="9">
        <v>30145</v>
      </c>
      <c r="T1138" s="2" t="s">
        <v>176</v>
      </c>
      <c r="U1138" s="2" t="s">
        <v>176</v>
      </c>
      <c r="V1138" s="2" t="s">
        <v>650</v>
      </c>
      <c r="W1138" s="2" t="s">
        <v>176</v>
      </c>
      <c r="X1138" s="2" t="s">
        <v>7474</v>
      </c>
      <c r="Y1138" s="2" t="s">
        <v>7475</v>
      </c>
      <c r="Z1138" s="6"/>
      <c r="AA1138" s="2">
        <v>89863449</v>
      </c>
      <c r="AB1138" s="2" t="s">
        <v>654</v>
      </c>
      <c r="AC1138" s="2" t="s">
        <v>632</v>
      </c>
      <c r="AD1138" s="10"/>
      <c r="AE1138" s="11"/>
      <c r="AF1138" s="11">
        <v>89863449</v>
      </c>
      <c r="AG1138" s="11"/>
      <c r="AH1138" s="11"/>
      <c r="AI1138" s="11"/>
      <c r="AJ1138" s="11">
        <v>89863449</v>
      </c>
      <c r="AK1138" s="12">
        <v>1</v>
      </c>
      <c r="AL1138" s="12" t="s">
        <v>7377</v>
      </c>
      <c r="AM1138" s="2">
        <v>0</v>
      </c>
      <c r="AN1138" s="2">
        <v>0</v>
      </c>
      <c r="AO1138" s="2">
        <v>0</v>
      </c>
      <c r="AP1138" s="2">
        <v>1</v>
      </c>
      <c r="AQ1138" s="2">
        <v>0</v>
      </c>
      <c r="AR1138" s="2">
        <v>0</v>
      </c>
      <c r="AS1138" s="2">
        <v>0</v>
      </c>
      <c r="AT1138" s="2">
        <v>0</v>
      </c>
      <c r="BB1138" s="2" t="str">
        <f>+PROPER(BD[[#This Row],[PRIMER_APELLIDO]])</f>
        <v>Sanchez</v>
      </c>
    </row>
    <row r="1139" spans="1:54" x14ac:dyDescent="0.25">
      <c r="A1139" s="2">
        <v>1138</v>
      </c>
      <c r="B1139" s="2">
        <v>34911</v>
      </c>
      <c r="C1139" s="5" t="s">
        <v>619</v>
      </c>
      <c r="D1139" s="2" t="s">
        <v>620</v>
      </c>
      <c r="E1139" s="6" t="s">
        <v>7476</v>
      </c>
      <c r="F1139" s="6">
        <v>19162366</v>
      </c>
      <c r="G1139" s="3">
        <v>39.9972602739726</v>
      </c>
      <c r="I1139" s="7"/>
      <c r="J1139" s="7"/>
      <c r="K1139" s="8">
        <v>40.142465753424659</v>
      </c>
      <c r="L1139" s="2" t="s">
        <v>786</v>
      </c>
      <c r="M1139" s="2" t="s">
        <v>4784</v>
      </c>
      <c r="N1139" s="2" t="s">
        <v>165</v>
      </c>
      <c r="O1139" s="2" t="s">
        <v>185</v>
      </c>
      <c r="P1139" s="2" t="s">
        <v>626</v>
      </c>
      <c r="Q1139" s="2" t="s">
        <v>351</v>
      </c>
      <c r="R1139" s="9">
        <v>30144</v>
      </c>
      <c r="S1139" s="9">
        <v>30144</v>
      </c>
      <c r="T1139" s="2" t="s">
        <v>705</v>
      </c>
      <c r="U1139" s="2" t="s">
        <v>705</v>
      </c>
      <c r="V1139" s="2" t="s">
        <v>1014</v>
      </c>
      <c r="W1139" s="2" t="s">
        <v>1014</v>
      </c>
      <c r="X1139" s="2" t="s">
        <v>7477</v>
      </c>
      <c r="Y1139" s="2" t="s">
        <v>7478</v>
      </c>
      <c r="Z1139" s="6">
        <v>83879108</v>
      </c>
      <c r="AA1139" s="2">
        <v>83879108</v>
      </c>
      <c r="AB1139" s="2" t="s">
        <v>642</v>
      </c>
      <c r="AC1139" s="2" t="s">
        <v>632</v>
      </c>
      <c r="AD1139" s="10">
        <v>83879108</v>
      </c>
      <c r="AE1139" s="11"/>
      <c r="AF1139" s="11">
        <v>83879108</v>
      </c>
      <c r="AG1139" s="11"/>
      <c r="AH1139" s="11"/>
      <c r="AI1139" s="11"/>
      <c r="AJ1139" s="11">
        <v>83879108</v>
      </c>
      <c r="AK1139" s="12">
        <v>2</v>
      </c>
      <c r="AL1139" s="12" t="s">
        <v>7377</v>
      </c>
      <c r="AM1139" s="2">
        <v>0</v>
      </c>
      <c r="AN1139" s="2">
        <v>0</v>
      </c>
      <c r="AO1139" s="2">
        <v>0</v>
      </c>
      <c r="AP1139" s="2">
        <v>1</v>
      </c>
      <c r="AQ1139" s="2">
        <v>0</v>
      </c>
      <c r="AR1139" s="2">
        <v>0</v>
      </c>
      <c r="AS1139" s="2">
        <v>0</v>
      </c>
      <c r="AT1139" s="2">
        <v>0</v>
      </c>
      <c r="AZ1139" s="2" t="s">
        <v>7479</v>
      </c>
      <c r="BB1139" s="2" t="str">
        <f>+PROPER(BD[[#This Row],[PRIMER_APELLIDO]])</f>
        <v>Salazar</v>
      </c>
    </row>
    <row r="1140" spans="1:54" x14ac:dyDescent="0.25">
      <c r="A1140" s="2">
        <v>1139</v>
      </c>
      <c r="B1140" s="2">
        <v>30879</v>
      </c>
      <c r="C1140" s="5" t="s">
        <v>619</v>
      </c>
      <c r="D1140" s="2" t="s">
        <v>620</v>
      </c>
      <c r="E1140" s="6" t="s">
        <v>7480</v>
      </c>
      <c r="F1140" s="6">
        <v>23596465</v>
      </c>
      <c r="G1140" s="3">
        <v>39.9972602739726</v>
      </c>
      <c r="I1140" s="7"/>
      <c r="J1140" s="7"/>
      <c r="K1140" s="8">
        <v>40.147945205479452</v>
      </c>
      <c r="L1140" s="2" t="s">
        <v>1378</v>
      </c>
      <c r="M1140" s="2" t="s">
        <v>7481</v>
      </c>
      <c r="N1140" s="2" t="s">
        <v>69</v>
      </c>
      <c r="O1140" s="2" t="s">
        <v>348</v>
      </c>
      <c r="P1140" s="2" t="s">
        <v>626</v>
      </c>
      <c r="Q1140" s="2" t="s">
        <v>351</v>
      </c>
      <c r="R1140" s="9">
        <v>30142</v>
      </c>
      <c r="S1140" s="9">
        <v>30142</v>
      </c>
      <c r="T1140" s="2" t="s">
        <v>176</v>
      </c>
      <c r="U1140" s="2" t="s">
        <v>176</v>
      </c>
      <c r="V1140" s="2" t="s">
        <v>650</v>
      </c>
      <c r="W1140" s="2" t="s">
        <v>176</v>
      </c>
      <c r="X1140" s="2" t="s">
        <v>7482</v>
      </c>
      <c r="Y1140" s="2" t="s">
        <v>7483</v>
      </c>
      <c r="Z1140" s="6"/>
      <c r="AA1140" s="2">
        <v>82438492</v>
      </c>
      <c r="AB1140" s="2" t="s">
        <v>654</v>
      </c>
      <c r="AC1140" s="2" t="s">
        <v>632</v>
      </c>
      <c r="AD1140" s="10"/>
      <c r="AE1140" s="11"/>
      <c r="AF1140" s="11">
        <v>82438492</v>
      </c>
      <c r="AG1140" s="11"/>
      <c r="AH1140" s="11"/>
      <c r="AI1140" s="11"/>
      <c r="AJ1140" s="11">
        <v>82438492</v>
      </c>
      <c r="AK1140" s="12">
        <v>1</v>
      </c>
      <c r="AL1140" s="12" t="s">
        <v>7377</v>
      </c>
      <c r="AM1140" s="2">
        <v>0</v>
      </c>
      <c r="AN1140" s="2">
        <v>0</v>
      </c>
      <c r="AO1140" s="2">
        <v>0</v>
      </c>
      <c r="AP1140" s="2">
        <v>1</v>
      </c>
      <c r="AQ1140" s="2">
        <v>0</v>
      </c>
      <c r="AR1140" s="2">
        <v>0</v>
      </c>
      <c r="AS1140" s="2">
        <v>0</v>
      </c>
      <c r="AT1140" s="2">
        <v>0</v>
      </c>
      <c r="BA1140" s="2" t="s">
        <v>7484</v>
      </c>
      <c r="BB1140" s="2" t="str">
        <f>+PROPER(BD[[#This Row],[PRIMER_APELLIDO]])</f>
        <v>Valladares</v>
      </c>
    </row>
    <row r="1141" spans="1:54" x14ac:dyDescent="0.25">
      <c r="A1141" s="2">
        <v>1140</v>
      </c>
      <c r="B1141" s="2">
        <v>49048</v>
      </c>
      <c r="C1141" s="5" t="s">
        <v>619</v>
      </c>
      <c r="D1141" s="2" t="s">
        <v>620</v>
      </c>
      <c r="E1141" s="6" t="s">
        <v>7485</v>
      </c>
      <c r="F1141" s="6">
        <v>16750906</v>
      </c>
      <c r="G1141" s="3">
        <v>39.9972602739726</v>
      </c>
      <c r="I1141" s="7"/>
      <c r="J1141" s="7"/>
      <c r="K1141" s="8">
        <v>40.167123287671231</v>
      </c>
      <c r="L1141" s="2" t="s">
        <v>7486</v>
      </c>
      <c r="M1141" s="2" t="s">
        <v>2545</v>
      </c>
      <c r="N1141" s="2" t="s">
        <v>115</v>
      </c>
      <c r="O1141" s="2" t="s">
        <v>381</v>
      </c>
      <c r="P1141" s="2" t="s">
        <v>626</v>
      </c>
      <c r="Q1141" s="2" t="s">
        <v>351</v>
      </c>
      <c r="R1141" s="9">
        <v>30135</v>
      </c>
      <c r="S1141" s="9">
        <v>30135</v>
      </c>
      <c r="T1141" s="2" t="s">
        <v>627</v>
      </c>
      <c r="U1141" s="2" t="s">
        <v>176</v>
      </c>
      <c r="V1141" s="2" t="s">
        <v>627</v>
      </c>
      <c r="W1141" s="2" t="s">
        <v>1796</v>
      </c>
      <c r="X1141" s="2" t="s">
        <v>7487</v>
      </c>
      <c r="Y1141" s="2" t="s">
        <v>7488</v>
      </c>
      <c r="Z1141" s="6"/>
      <c r="AA1141" s="2" t="s">
        <v>7489</v>
      </c>
      <c r="AB1141" s="2" t="s">
        <v>631</v>
      </c>
      <c r="AC1141" s="2" t="s">
        <v>632</v>
      </c>
      <c r="AD1141" s="10"/>
      <c r="AE1141" s="11"/>
      <c r="AF1141" s="11"/>
      <c r="AG1141" s="11">
        <v>87938660</v>
      </c>
      <c r="AH1141" s="11"/>
      <c r="AI1141" s="11"/>
      <c r="AJ1141" s="11">
        <v>87938660</v>
      </c>
      <c r="AK1141" s="12">
        <v>2</v>
      </c>
      <c r="AL1141" s="12" t="s">
        <v>7377</v>
      </c>
      <c r="AM1141" s="2">
        <v>0</v>
      </c>
      <c r="AN1141" s="2">
        <v>0</v>
      </c>
      <c r="AO1141" s="2">
        <v>0</v>
      </c>
      <c r="AP1141" s="2">
        <v>1</v>
      </c>
      <c r="AQ1141" s="2">
        <v>0</v>
      </c>
      <c r="AR1141" s="2">
        <v>0</v>
      </c>
      <c r="AS1141" s="2">
        <v>0</v>
      </c>
      <c r="AT1141" s="2">
        <v>0</v>
      </c>
      <c r="BB1141" s="2" t="str">
        <f>+PROPER(BD[[#This Row],[PRIMER_APELLIDO]])</f>
        <v>Navarro</v>
      </c>
    </row>
    <row r="1142" spans="1:54" x14ac:dyDescent="0.25">
      <c r="A1142" s="2">
        <v>1141</v>
      </c>
      <c r="B1142" s="2">
        <v>55192</v>
      </c>
      <c r="C1142" s="5" t="s">
        <v>619</v>
      </c>
      <c r="D1142" s="2" t="s">
        <v>620</v>
      </c>
      <c r="E1142" s="6" t="s">
        <v>7490</v>
      </c>
      <c r="F1142" s="6"/>
      <c r="G1142" s="3">
        <v>39.9972602739726</v>
      </c>
      <c r="I1142" s="7"/>
      <c r="J1142" s="7"/>
      <c r="K1142" s="8">
        <v>40.169863013698631</v>
      </c>
      <c r="L1142" s="2" t="s">
        <v>3007</v>
      </c>
      <c r="M1142" s="2" t="s">
        <v>916</v>
      </c>
      <c r="N1142" s="2" t="s">
        <v>485</v>
      </c>
      <c r="O1142" s="2" t="s">
        <v>255</v>
      </c>
      <c r="P1142" s="2" t="s">
        <v>649</v>
      </c>
      <c r="Q1142" s="2" t="s">
        <v>351</v>
      </c>
      <c r="R1142" s="9">
        <v>30134</v>
      </c>
      <c r="S1142" s="9">
        <v>30134</v>
      </c>
      <c r="T1142" s="2" t="s">
        <v>705</v>
      </c>
      <c r="U1142" s="2" t="s">
        <v>705</v>
      </c>
      <c r="V1142" s="2" t="s">
        <v>705</v>
      </c>
      <c r="W1142" s="2" t="s">
        <v>705</v>
      </c>
      <c r="X1142" s="2" t="s">
        <v>7491</v>
      </c>
      <c r="Y1142" s="2" t="s">
        <v>7492</v>
      </c>
      <c r="Z1142" s="6"/>
      <c r="AA1142" s="2">
        <v>78739499</v>
      </c>
      <c r="AB1142" s="2" t="s">
        <v>798</v>
      </c>
      <c r="AC1142" s="2" t="s">
        <v>632</v>
      </c>
      <c r="AD1142" s="10"/>
      <c r="AE1142" s="11"/>
      <c r="AF1142" s="11">
        <v>78739499</v>
      </c>
      <c r="AG1142" s="11"/>
      <c r="AH1142" s="11"/>
      <c r="AI1142" s="11"/>
      <c r="AJ1142" s="11">
        <v>78739499</v>
      </c>
      <c r="AK1142" s="12">
        <v>1</v>
      </c>
      <c r="AL1142" s="12" t="s">
        <v>7377</v>
      </c>
      <c r="AM1142" s="2">
        <v>0</v>
      </c>
      <c r="AN1142" s="2">
        <v>0</v>
      </c>
      <c r="AO1142" s="2">
        <v>0</v>
      </c>
      <c r="AP1142" s="2">
        <v>1</v>
      </c>
      <c r="AQ1142" s="2">
        <v>0</v>
      </c>
      <c r="AR1142" s="2">
        <v>0</v>
      </c>
      <c r="AS1142" s="2">
        <v>0</v>
      </c>
      <c r="AT1142" s="2">
        <v>0</v>
      </c>
      <c r="BB1142" s="2" t="str">
        <f>+PROPER(BD[[#This Row],[PRIMER_APELLIDO]])</f>
        <v>Escalante</v>
      </c>
    </row>
    <row r="1143" spans="1:54" x14ac:dyDescent="0.25">
      <c r="A1143" s="2">
        <v>1142</v>
      </c>
      <c r="B1143" s="2">
        <v>48700</v>
      </c>
      <c r="C1143" s="5" t="s">
        <v>619</v>
      </c>
      <c r="D1143" s="2" t="s">
        <v>620</v>
      </c>
      <c r="E1143" s="6" t="s">
        <v>7493</v>
      </c>
      <c r="F1143" s="6">
        <v>13983240</v>
      </c>
      <c r="G1143" s="3">
        <v>39.9972602739726</v>
      </c>
      <c r="I1143" s="7"/>
      <c r="J1143" s="7"/>
      <c r="K1143" s="8">
        <v>40.172602739726024</v>
      </c>
      <c r="L1143" s="2" t="s">
        <v>1082</v>
      </c>
      <c r="M1143" s="2" t="s">
        <v>2740</v>
      </c>
      <c r="N1143" s="2" t="s">
        <v>207</v>
      </c>
      <c r="O1143" s="2" t="s">
        <v>24</v>
      </c>
      <c r="P1143" s="2" t="s">
        <v>649</v>
      </c>
      <c r="Q1143" s="2" t="s">
        <v>351</v>
      </c>
      <c r="R1143" s="9">
        <v>30133</v>
      </c>
      <c r="S1143" s="9">
        <v>30133</v>
      </c>
      <c r="T1143" s="2" t="s">
        <v>705</v>
      </c>
      <c r="U1143" s="2" t="s">
        <v>705</v>
      </c>
      <c r="V1143" s="2" t="s">
        <v>4722</v>
      </c>
      <c r="W1143" s="2" t="s">
        <v>4722</v>
      </c>
      <c r="X1143" s="2" t="s">
        <v>7494</v>
      </c>
      <c r="Y1143" s="2" t="s">
        <v>7495</v>
      </c>
      <c r="Z1143" s="6">
        <v>55026348</v>
      </c>
      <c r="AB1143" s="2" t="s">
        <v>798</v>
      </c>
      <c r="AC1143" s="2" t="s">
        <v>632</v>
      </c>
      <c r="AD1143" s="10">
        <v>55026348</v>
      </c>
      <c r="AE1143" s="11"/>
      <c r="AF1143" s="11"/>
      <c r="AG1143" s="11"/>
      <c r="AH1143" s="11"/>
      <c r="AI1143" s="11"/>
      <c r="AJ1143" s="11">
        <v>55026348</v>
      </c>
      <c r="AK1143" s="12">
        <v>1</v>
      </c>
      <c r="AL1143" s="12" t="s">
        <v>7377</v>
      </c>
      <c r="AM1143" s="2">
        <v>0</v>
      </c>
      <c r="AN1143" s="2">
        <v>0</v>
      </c>
      <c r="AO1143" s="2">
        <v>0</v>
      </c>
      <c r="AP1143" s="2">
        <v>1</v>
      </c>
      <c r="AQ1143" s="2">
        <v>0</v>
      </c>
      <c r="AR1143" s="2">
        <v>0</v>
      </c>
      <c r="AS1143" s="2">
        <v>0</v>
      </c>
      <c r="AT1143" s="2">
        <v>0</v>
      </c>
      <c r="AZ1143" s="2" t="s">
        <v>7496</v>
      </c>
      <c r="BB1143" s="2" t="str">
        <f>+PROPER(BD[[#This Row],[PRIMER_APELLIDO]])</f>
        <v>Chavez</v>
      </c>
    </row>
    <row r="1144" spans="1:54" x14ac:dyDescent="0.25">
      <c r="A1144" s="2">
        <v>1143</v>
      </c>
      <c r="B1144" s="2">
        <v>25196</v>
      </c>
      <c r="C1144" s="5" t="s">
        <v>619</v>
      </c>
      <c r="D1144" s="2" t="s">
        <v>620</v>
      </c>
      <c r="E1144" s="6" t="s">
        <v>7497</v>
      </c>
      <c r="F1144" s="6">
        <v>21337057</v>
      </c>
      <c r="G1144" s="3">
        <v>39.9972602739726</v>
      </c>
      <c r="I1144" s="7"/>
      <c r="J1144" s="7"/>
      <c r="K1144" s="8">
        <v>40.180821917808217</v>
      </c>
      <c r="L1144" s="2" t="s">
        <v>7498</v>
      </c>
      <c r="M1144" s="2" t="s">
        <v>243</v>
      </c>
      <c r="N1144" s="2" t="s">
        <v>15</v>
      </c>
      <c r="O1144" s="2" t="s">
        <v>90</v>
      </c>
      <c r="P1144" s="2" t="s">
        <v>649</v>
      </c>
      <c r="Q1144" s="2" t="s">
        <v>351</v>
      </c>
      <c r="R1144" s="9">
        <v>30130</v>
      </c>
      <c r="S1144" s="9">
        <v>30130</v>
      </c>
      <c r="T1144" s="2" t="s">
        <v>732</v>
      </c>
      <c r="U1144" s="2" t="s">
        <v>732</v>
      </c>
      <c r="V1144" s="2" t="s">
        <v>732</v>
      </c>
      <c r="W1144" s="2" t="s">
        <v>732</v>
      </c>
      <c r="X1144" s="2" t="s">
        <v>7499</v>
      </c>
      <c r="Y1144" s="2" t="s">
        <v>7500</v>
      </c>
      <c r="Z1144" s="6"/>
      <c r="AA1144" s="2">
        <v>84031101</v>
      </c>
      <c r="AB1144" s="2" t="s">
        <v>654</v>
      </c>
      <c r="AC1144" s="2" t="s">
        <v>632</v>
      </c>
      <c r="AD1144" s="10"/>
      <c r="AE1144" s="11"/>
      <c r="AF1144" s="11">
        <v>84031101</v>
      </c>
      <c r="AG1144" s="11"/>
      <c r="AH1144" s="11"/>
      <c r="AI1144" s="11"/>
      <c r="AJ1144" s="11">
        <v>84031101</v>
      </c>
      <c r="AK1144" s="12">
        <v>1</v>
      </c>
      <c r="AL1144" s="12" t="s">
        <v>7377</v>
      </c>
      <c r="AM1144" s="2">
        <v>0</v>
      </c>
      <c r="AN1144" s="2">
        <v>0</v>
      </c>
      <c r="AO1144" s="2">
        <v>0</v>
      </c>
      <c r="AP1144" s="2">
        <v>1</v>
      </c>
      <c r="AQ1144" s="2">
        <v>0</v>
      </c>
      <c r="AR1144" s="2">
        <v>0</v>
      </c>
      <c r="AS1144" s="2">
        <v>0</v>
      </c>
      <c r="AT1144" s="2">
        <v>0</v>
      </c>
      <c r="BB1144" s="2" t="str">
        <f>+PROPER(BD[[#This Row],[PRIMER_APELLIDO]])</f>
        <v>Lopez</v>
      </c>
    </row>
    <row r="1145" spans="1:54" x14ac:dyDescent="0.25">
      <c r="A1145" s="2">
        <v>1144</v>
      </c>
      <c r="B1145" s="2">
        <v>36383</v>
      </c>
      <c r="C1145" s="5" t="s">
        <v>619</v>
      </c>
      <c r="D1145" s="2" t="s">
        <v>620</v>
      </c>
      <c r="E1145" s="6" t="s">
        <v>7501</v>
      </c>
      <c r="F1145" s="6">
        <v>21672992</v>
      </c>
      <c r="G1145" s="3">
        <v>39.9972602739726</v>
      </c>
      <c r="I1145" s="7"/>
      <c r="J1145" s="7"/>
      <c r="K1145" s="8">
        <v>40.180821917808217</v>
      </c>
      <c r="L1145" s="2" t="s">
        <v>7502</v>
      </c>
      <c r="M1145" s="2" t="s">
        <v>738</v>
      </c>
      <c r="N1145" s="2" t="s">
        <v>31</v>
      </c>
      <c r="O1145" s="2" t="s">
        <v>152</v>
      </c>
      <c r="P1145" s="2" t="s">
        <v>649</v>
      </c>
      <c r="Q1145" s="2" t="s">
        <v>351</v>
      </c>
      <c r="R1145" s="9">
        <v>30130</v>
      </c>
      <c r="S1145" s="9">
        <v>30130</v>
      </c>
      <c r="T1145" s="2" t="s">
        <v>627</v>
      </c>
      <c r="U1145" s="2" t="s">
        <v>1005</v>
      </c>
      <c r="V1145" s="2" t="s">
        <v>692</v>
      </c>
      <c r="W1145" s="2" t="s">
        <v>1184</v>
      </c>
      <c r="X1145" s="2" t="s">
        <v>7503</v>
      </c>
      <c r="Y1145" s="2" t="s">
        <v>7504</v>
      </c>
      <c r="Z1145" s="6">
        <v>84302190</v>
      </c>
      <c r="AB1145" s="2" t="s">
        <v>654</v>
      </c>
      <c r="AC1145" s="2" t="s">
        <v>632</v>
      </c>
      <c r="AD1145" s="10">
        <v>84302190</v>
      </c>
      <c r="AE1145" s="11"/>
      <c r="AF1145" s="11"/>
      <c r="AG1145" s="11"/>
      <c r="AH1145" s="11"/>
      <c r="AI1145" s="11"/>
      <c r="AJ1145" s="11">
        <v>84302190</v>
      </c>
      <c r="AK1145" s="12">
        <v>1</v>
      </c>
      <c r="AL1145" s="12" t="s">
        <v>7377</v>
      </c>
      <c r="AM1145" s="2">
        <v>0</v>
      </c>
      <c r="AN1145" s="2">
        <v>0</v>
      </c>
      <c r="AO1145" s="2">
        <v>0</v>
      </c>
      <c r="AP1145" s="2">
        <v>1</v>
      </c>
      <c r="AQ1145" s="2">
        <v>0</v>
      </c>
      <c r="AR1145" s="2">
        <v>0</v>
      </c>
      <c r="AS1145" s="2">
        <v>0</v>
      </c>
      <c r="AT1145" s="2">
        <v>0</v>
      </c>
      <c r="AZ1145" s="2" t="s">
        <v>7505</v>
      </c>
      <c r="BB1145" s="2" t="str">
        <f>+PROPER(BD[[#This Row],[PRIMER_APELLIDO]])</f>
        <v>Talavera</v>
      </c>
    </row>
    <row r="1146" spans="1:54" x14ac:dyDescent="0.25">
      <c r="A1146" s="2">
        <v>1145</v>
      </c>
      <c r="B1146" s="2">
        <v>27231</v>
      </c>
      <c r="C1146" s="5" t="s">
        <v>619</v>
      </c>
      <c r="D1146" s="2" t="s">
        <v>620</v>
      </c>
      <c r="E1146" s="6" t="s">
        <v>7506</v>
      </c>
      <c r="F1146" s="6">
        <v>20928962</v>
      </c>
      <c r="G1146" s="3">
        <v>39.9972602739726</v>
      </c>
      <c r="I1146" s="7"/>
      <c r="J1146" s="7"/>
      <c r="K1146" s="8">
        <v>40.18904109589041</v>
      </c>
      <c r="L1146" s="2" t="s">
        <v>724</v>
      </c>
      <c r="M1146" s="2" t="s">
        <v>2131</v>
      </c>
      <c r="N1146" s="2" t="s">
        <v>466</v>
      </c>
      <c r="O1146" s="2" t="s">
        <v>471</v>
      </c>
      <c r="P1146" s="2" t="s">
        <v>626</v>
      </c>
      <c r="Q1146" s="2" t="s">
        <v>351</v>
      </c>
      <c r="R1146" s="9">
        <v>30127</v>
      </c>
      <c r="S1146" s="9">
        <v>30127</v>
      </c>
      <c r="U1146" s="2" t="s">
        <v>176</v>
      </c>
      <c r="W1146" s="2" t="s">
        <v>176</v>
      </c>
      <c r="X1146" s="2" t="s">
        <v>7507</v>
      </c>
      <c r="Y1146" s="2" t="s">
        <v>7508</v>
      </c>
      <c r="Z1146" s="6"/>
      <c r="AA1146" s="2" t="s">
        <v>7509</v>
      </c>
      <c r="AB1146" s="2" t="s">
        <v>654</v>
      </c>
      <c r="AC1146" s="2" t="s">
        <v>632</v>
      </c>
      <c r="AD1146" s="10"/>
      <c r="AE1146" s="11"/>
      <c r="AF1146" s="11"/>
      <c r="AG1146" s="11">
        <v>86546145</v>
      </c>
      <c r="AH1146" s="11">
        <v>88168656</v>
      </c>
      <c r="AI1146" s="11"/>
      <c r="AJ1146" s="11">
        <v>86546145</v>
      </c>
      <c r="AK1146" s="12">
        <v>3</v>
      </c>
      <c r="AL1146" s="12" t="s">
        <v>7377</v>
      </c>
      <c r="AM1146" s="2">
        <v>0</v>
      </c>
      <c r="AN1146" s="2">
        <v>0</v>
      </c>
      <c r="AO1146" s="2">
        <v>0</v>
      </c>
      <c r="AP1146" s="2">
        <v>1</v>
      </c>
      <c r="AQ1146" s="2">
        <v>0</v>
      </c>
      <c r="AR1146" s="2">
        <v>0</v>
      </c>
      <c r="AS1146" s="2">
        <v>0</v>
      </c>
      <c r="AT1146" s="2">
        <v>0</v>
      </c>
      <c r="BB1146" s="2" t="str">
        <f>+PROPER(BD[[#This Row],[PRIMER_APELLIDO]])</f>
        <v>Solorzano</v>
      </c>
    </row>
    <row r="1147" spans="1:54" x14ac:dyDescent="0.25">
      <c r="A1147" s="2">
        <v>1146</v>
      </c>
      <c r="B1147" s="2">
        <v>42167</v>
      </c>
      <c r="C1147" s="5" t="s">
        <v>619</v>
      </c>
      <c r="D1147" s="2" t="s">
        <v>620</v>
      </c>
      <c r="E1147" s="6" t="s">
        <v>7510</v>
      </c>
      <c r="F1147" s="6">
        <v>28876775</v>
      </c>
      <c r="G1147" s="3">
        <v>39.9972602739726</v>
      </c>
      <c r="I1147" s="7"/>
      <c r="J1147" s="7"/>
      <c r="K1147" s="8">
        <v>40.197260273972603</v>
      </c>
      <c r="L1147" s="2" t="s">
        <v>7511</v>
      </c>
      <c r="M1147" s="2" t="s">
        <v>787</v>
      </c>
      <c r="N1147" s="2" t="s">
        <v>11</v>
      </c>
      <c r="O1147" s="2" t="s">
        <v>29</v>
      </c>
      <c r="P1147" s="2" t="s">
        <v>626</v>
      </c>
      <c r="Q1147" s="2" t="s">
        <v>351</v>
      </c>
      <c r="R1147" s="9">
        <v>30124</v>
      </c>
      <c r="S1147" s="9">
        <v>30124</v>
      </c>
      <c r="T1147" s="2" t="s">
        <v>176</v>
      </c>
      <c r="U1147" s="2" t="s">
        <v>627</v>
      </c>
      <c r="V1147" s="2" t="s">
        <v>3701</v>
      </c>
      <c r="W1147" s="2" t="s">
        <v>627</v>
      </c>
      <c r="X1147" s="2" t="s">
        <v>7512</v>
      </c>
      <c r="Y1147" s="2" t="s">
        <v>7513</v>
      </c>
      <c r="Z1147" s="6"/>
      <c r="AA1147" s="2">
        <v>89922009</v>
      </c>
      <c r="AB1147" s="2" t="s">
        <v>642</v>
      </c>
      <c r="AC1147" s="2" t="s">
        <v>632</v>
      </c>
      <c r="AD1147" s="10"/>
      <c r="AE1147" s="11"/>
      <c r="AF1147" s="11">
        <v>89922009</v>
      </c>
      <c r="AG1147" s="11"/>
      <c r="AH1147" s="11"/>
      <c r="AI1147" s="11"/>
      <c r="AJ1147" s="11">
        <v>89922009</v>
      </c>
      <c r="AK1147" s="12">
        <v>1</v>
      </c>
      <c r="AL1147" s="12" t="s">
        <v>7377</v>
      </c>
      <c r="AM1147" s="2">
        <v>0</v>
      </c>
      <c r="AN1147" s="2">
        <v>0</v>
      </c>
      <c r="AO1147" s="2">
        <v>0</v>
      </c>
      <c r="AP1147" s="2">
        <v>1</v>
      </c>
      <c r="AQ1147" s="2">
        <v>0</v>
      </c>
      <c r="AR1147" s="2">
        <v>0</v>
      </c>
      <c r="AS1147" s="2">
        <v>0</v>
      </c>
      <c r="AT1147" s="2">
        <v>0</v>
      </c>
      <c r="BB1147" s="2" t="str">
        <f>+PROPER(BD[[#This Row],[PRIMER_APELLIDO]])</f>
        <v>Hernandez</v>
      </c>
    </row>
    <row r="1148" spans="1:54" x14ac:dyDescent="0.25">
      <c r="A1148" s="2">
        <v>1147</v>
      </c>
      <c r="B1148" s="2">
        <v>21532</v>
      </c>
      <c r="C1148" s="5" t="s">
        <v>619</v>
      </c>
      <c r="D1148" s="2" t="s">
        <v>620</v>
      </c>
      <c r="E1148" s="6" t="s">
        <v>7514</v>
      </c>
      <c r="F1148" s="6"/>
      <c r="G1148" s="3">
        <v>39.9972602739726</v>
      </c>
      <c r="I1148" s="7"/>
      <c r="J1148" s="7"/>
      <c r="K1148" s="8">
        <v>40.202739726027396</v>
      </c>
      <c r="L1148" s="2" t="s">
        <v>7515</v>
      </c>
      <c r="M1148" s="2" t="s">
        <v>243</v>
      </c>
      <c r="N1148" s="2" t="s">
        <v>207</v>
      </c>
      <c r="O1148" s="2" t="s">
        <v>7516</v>
      </c>
      <c r="P1148" s="2" t="s">
        <v>649</v>
      </c>
      <c r="Q1148" s="2" t="s">
        <v>351</v>
      </c>
      <c r="R1148" s="9">
        <v>30122</v>
      </c>
      <c r="S1148" s="9">
        <v>30122</v>
      </c>
      <c r="T1148" s="2" t="s">
        <v>740</v>
      </c>
      <c r="U1148" s="2" t="s">
        <v>740</v>
      </c>
      <c r="V1148" s="2" t="s">
        <v>5278</v>
      </c>
      <c r="W1148" s="2" t="s">
        <v>5278</v>
      </c>
      <c r="X1148" s="2" t="s">
        <v>7517</v>
      </c>
      <c r="Y1148" s="2" t="s">
        <v>7518</v>
      </c>
      <c r="Z1148" s="6">
        <v>89900385</v>
      </c>
      <c r="AA1148" s="2">
        <v>89900385</v>
      </c>
      <c r="AB1148" s="2" t="s">
        <v>654</v>
      </c>
      <c r="AC1148" s="2" t="s">
        <v>632</v>
      </c>
      <c r="AD1148" s="10">
        <v>89900385</v>
      </c>
      <c r="AE1148" s="11"/>
      <c r="AF1148" s="11">
        <v>89900385</v>
      </c>
      <c r="AG1148" s="11"/>
      <c r="AH1148" s="11"/>
      <c r="AI1148" s="11"/>
      <c r="AJ1148" s="11">
        <v>89900385</v>
      </c>
      <c r="AK1148" s="12">
        <v>2</v>
      </c>
      <c r="AL1148" s="12" t="s">
        <v>7377</v>
      </c>
      <c r="AM1148" s="2">
        <v>0</v>
      </c>
      <c r="AN1148" s="2">
        <v>0</v>
      </c>
      <c r="AO1148" s="2">
        <v>0</v>
      </c>
      <c r="AP1148" s="2">
        <v>1</v>
      </c>
      <c r="AQ1148" s="2">
        <v>0</v>
      </c>
      <c r="AR1148" s="2">
        <v>0</v>
      </c>
      <c r="AS1148" s="2">
        <v>0</v>
      </c>
      <c r="AT1148" s="2">
        <v>0</v>
      </c>
      <c r="BB1148" s="2" t="str">
        <f>+PROPER(BD[[#This Row],[PRIMER_APELLIDO]])</f>
        <v>Chavez</v>
      </c>
    </row>
    <row r="1149" spans="1:54" x14ac:dyDescent="0.25">
      <c r="A1149" s="2">
        <v>1148</v>
      </c>
      <c r="B1149" s="2">
        <v>26397</v>
      </c>
      <c r="C1149" s="5" t="s">
        <v>619</v>
      </c>
      <c r="D1149" s="2" t="s">
        <v>620</v>
      </c>
      <c r="E1149" s="6" t="s">
        <v>7519</v>
      </c>
      <c r="F1149" s="6">
        <v>20907110</v>
      </c>
      <c r="G1149" s="3">
        <v>39.9972602739726</v>
      </c>
      <c r="I1149" s="7"/>
      <c r="J1149" s="7"/>
      <c r="K1149" s="8">
        <v>40.202739726027396</v>
      </c>
      <c r="L1149" s="2" t="s">
        <v>1162</v>
      </c>
      <c r="M1149" s="2" t="s">
        <v>1176</v>
      </c>
      <c r="N1149" s="2" t="s">
        <v>222</v>
      </c>
      <c r="O1149" s="2" t="s">
        <v>105</v>
      </c>
      <c r="P1149" s="2" t="s">
        <v>626</v>
      </c>
      <c r="Q1149" s="2" t="s">
        <v>351</v>
      </c>
      <c r="R1149" s="9">
        <v>30122</v>
      </c>
      <c r="S1149" s="9">
        <v>30122</v>
      </c>
      <c r="T1149" s="2" t="s">
        <v>627</v>
      </c>
      <c r="U1149" s="2" t="s">
        <v>1044</v>
      </c>
      <c r="V1149" s="2" t="s">
        <v>627</v>
      </c>
      <c r="W1149" s="2" t="s">
        <v>1838</v>
      </c>
      <c r="X1149" s="2" t="s">
        <v>7520</v>
      </c>
      <c r="Y1149" s="2" t="s">
        <v>7521</v>
      </c>
      <c r="Z1149" s="6">
        <v>84160882</v>
      </c>
      <c r="AA1149" s="2">
        <v>84160882</v>
      </c>
      <c r="AB1149" s="2" t="s">
        <v>631</v>
      </c>
      <c r="AC1149" s="2" t="s">
        <v>632</v>
      </c>
      <c r="AD1149" s="10">
        <v>84160882</v>
      </c>
      <c r="AE1149" s="11"/>
      <c r="AF1149" s="11">
        <v>84160882</v>
      </c>
      <c r="AG1149" s="11"/>
      <c r="AH1149" s="11"/>
      <c r="AI1149" s="11"/>
      <c r="AJ1149" s="11">
        <v>84160882</v>
      </c>
      <c r="AK1149" s="12">
        <v>2</v>
      </c>
      <c r="AL1149" s="12" t="s">
        <v>7377</v>
      </c>
      <c r="AM1149" s="2">
        <v>0</v>
      </c>
      <c r="AN1149" s="2">
        <v>0</v>
      </c>
      <c r="AO1149" s="2">
        <v>0</v>
      </c>
      <c r="AP1149" s="2">
        <v>1</v>
      </c>
      <c r="AQ1149" s="2">
        <v>0</v>
      </c>
      <c r="AR1149" s="2">
        <v>0</v>
      </c>
      <c r="AS1149" s="2">
        <v>0</v>
      </c>
      <c r="AT1149" s="2">
        <v>0</v>
      </c>
      <c r="AZ1149" s="2" t="s">
        <v>7522</v>
      </c>
      <c r="BB1149" s="2" t="str">
        <f>+PROPER(BD[[#This Row],[PRIMER_APELLIDO]])</f>
        <v>Zapata</v>
      </c>
    </row>
    <row r="1150" spans="1:54" x14ac:dyDescent="0.25">
      <c r="A1150" s="2">
        <v>1149</v>
      </c>
      <c r="B1150" s="2">
        <v>38753</v>
      </c>
      <c r="C1150" s="5" t="s">
        <v>619</v>
      </c>
      <c r="D1150" s="2" t="s">
        <v>620</v>
      </c>
      <c r="E1150" s="6" t="s">
        <v>7523</v>
      </c>
      <c r="F1150" s="6">
        <v>20843632</v>
      </c>
      <c r="G1150" s="3">
        <v>39.9972602739726</v>
      </c>
      <c r="I1150" s="7"/>
      <c r="J1150" s="7"/>
      <c r="K1150" s="8">
        <v>40.224657534246575</v>
      </c>
      <c r="L1150" s="2" t="s">
        <v>6509</v>
      </c>
      <c r="M1150" s="2" t="s">
        <v>7524</v>
      </c>
      <c r="N1150" s="2" t="s">
        <v>15</v>
      </c>
      <c r="O1150" s="2" t="s">
        <v>165</v>
      </c>
      <c r="P1150" s="2" t="s">
        <v>626</v>
      </c>
      <c r="Q1150" s="2" t="s">
        <v>351</v>
      </c>
      <c r="R1150" s="9">
        <v>30114</v>
      </c>
      <c r="S1150" s="9">
        <v>30114</v>
      </c>
      <c r="T1150" s="2" t="s">
        <v>627</v>
      </c>
      <c r="U1150" s="2" t="s">
        <v>659</v>
      </c>
      <c r="V1150" s="2" t="s">
        <v>627</v>
      </c>
      <c r="W1150" s="2" t="s">
        <v>5168</v>
      </c>
      <c r="X1150" s="2" t="s">
        <v>7525</v>
      </c>
      <c r="Y1150" s="2" t="s">
        <v>7526</v>
      </c>
      <c r="Z1150" s="6">
        <v>88220358</v>
      </c>
      <c r="AA1150" s="2" t="s">
        <v>7527</v>
      </c>
      <c r="AB1150" s="2" t="s">
        <v>642</v>
      </c>
      <c r="AC1150" s="2" t="s">
        <v>632</v>
      </c>
      <c r="AD1150" s="10">
        <v>88220358</v>
      </c>
      <c r="AE1150" s="11"/>
      <c r="AF1150" s="11"/>
      <c r="AG1150" s="11">
        <v>88220358</v>
      </c>
      <c r="AH1150" s="11"/>
      <c r="AI1150" s="11"/>
      <c r="AJ1150" s="11">
        <v>88220358</v>
      </c>
      <c r="AK1150" s="12">
        <v>3</v>
      </c>
      <c r="AL1150" s="12" t="s">
        <v>7377</v>
      </c>
      <c r="AM1150" s="2">
        <v>0</v>
      </c>
      <c r="AN1150" s="2">
        <v>0</v>
      </c>
      <c r="AO1150" s="2">
        <v>0</v>
      </c>
      <c r="AP1150" s="2">
        <v>1</v>
      </c>
      <c r="AQ1150" s="2">
        <v>0</v>
      </c>
      <c r="AR1150" s="2">
        <v>0</v>
      </c>
      <c r="AS1150" s="2">
        <v>0</v>
      </c>
      <c r="AT1150" s="2">
        <v>0</v>
      </c>
      <c r="AZ1150" s="2" t="s">
        <v>7528</v>
      </c>
      <c r="BB1150" s="2" t="str">
        <f>+PROPER(BD[[#This Row],[PRIMER_APELLIDO]])</f>
        <v>Lopez</v>
      </c>
    </row>
    <row r="1151" spans="1:54" x14ac:dyDescent="0.25">
      <c r="A1151" s="2">
        <v>1150</v>
      </c>
      <c r="B1151" s="2">
        <v>50056</v>
      </c>
      <c r="C1151" s="5" t="s">
        <v>619</v>
      </c>
      <c r="D1151" s="2" t="s">
        <v>620</v>
      </c>
      <c r="E1151" s="6" t="s">
        <v>7529</v>
      </c>
      <c r="F1151" s="6">
        <v>25026399</v>
      </c>
      <c r="G1151" s="3">
        <v>39.9972602739726</v>
      </c>
      <c r="I1151" s="7"/>
      <c r="J1151" s="7"/>
      <c r="K1151" s="8">
        <v>40.227397260273975</v>
      </c>
      <c r="L1151" s="2" t="s">
        <v>1156</v>
      </c>
      <c r="M1151" s="2" t="s">
        <v>243</v>
      </c>
      <c r="N1151" s="2" t="s">
        <v>159</v>
      </c>
      <c r="O1151" s="2" t="s">
        <v>198</v>
      </c>
      <c r="P1151" s="2" t="s">
        <v>649</v>
      </c>
      <c r="Q1151" s="2" t="s">
        <v>351</v>
      </c>
      <c r="R1151" s="9">
        <v>30113</v>
      </c>
      <c r="S1151" s="9">
        <v>30113</v>
      </c>
      <c r="T1151" s="2" t="s">
        <v>780</v>
      </c>
      <c r="U1151" s="2" t="s">
        <v>929</v>
      </c>
      <c r="V1151" s="2" t="s">
        <v>781</v>
      </c>
      <c r="W1151" s="2" t="s">
        <v>1882</v>
      </c>
      <c r="X1151" s="2" t="s">
        <v>7530</v>
      </c>
      <c r="Y1151" s="2" t="s">
        <v>7531</v>
      </c>
      <c r="Z1151" s="6"/>
      <c r="AA1151" s="2">
        <v>87367954</v>
      </c>
      <c r="AB1151" s="2" t="s">
        <v>798</v>
      </c>
      <c r="AC1151" s="2" t="s">
        <v>632</v>
      </c>
      <c r="AD1151" s="10"/>
      <c r="AE1151" s="11"/>
      <c r="AF1151" s="11">
        <v>87367954</v>
      </c>
      <c r="AG1151" s="11"/>
      <c r="AH1151" s="11"/>
      <c r="AI1151" s="11"/>
      <c r="AJ1151" s="11">
        <v>87367954</v>
      </c>
      <c r="AK1151" s="12">
        <v>1</v>
      </c>
      <c r="AL1151" s="12" t="s">
        <v>7377</v>
      </c>
      <c r="AM1151" s="2">
        <v>0</v>
      </c>
      <c r="AN1151" s="2">
        <v>0</v>
      </c>
      <c r="AO1151" s="2">
        <v>0</v>
      </c>
      <c r="AP1151" s="2">
        <v>1</v>
      </c>
      <c r="AQ1151" s="2">
        <v>0</v>
      </c>
      <c r="AR1151" s="2">
        <v>0</v>
      </c>
      <c r="AS1151" s="2">
        <v>0</v>
      </c>
      <c r="AT1151" s="2">
        <v>0</v>
      </c>
      <c r="BB1151" s="2" t="str">
        <f>+PROPER(BD[[#This Row],[PRIMER_APELLIDO]])</f>
        <v>Blandon</v>
      </c>
    </row>
    <row r="1152" spans="1:54" x14ac:dyDescent="0.25">
      <c r="A1152" s="2">
        <v>1151</v>
      </c>
      <c r="B1152" s="2">
        <v>28587</v>
      </c>
      <c r="C1152" s="5" t="s">
        <v>619</v>
      </c>
      <c r="D1152" s="2" t="s">
        <v>620</v>
      </c>
      <c r="E1152" s="6" t="s">
        <v>7532</v>
      </c>
      <c r="F1152" s="6">
        <v>21589043</v>
      </c>
      <c r="G1152" s="3">
        <v>39.9972602739726</v>
      </c>
      <c r="I1152" s="7"/>
      <c r="J1152" s="7"/>
      <c r="K1152" s="8">
        <v>40.230136986301368</v>
      </c>
      <c r="L1152" s="2" t="s">
        <v>7533</v>
      </c>
      <c r="M1152" s="2" t="s">
        <v>7534</v>
      </c>
      <c r="N1152" s="2" t="s">
        <v>116</v>
      </c>
      <c r="O1152" s="2" t="s">
        <v>441</v>
      </c>
      <c r="P1152" s="2" t="s">
        <v>626</v>
      </c>
      <c r="Q1152" s="2" t="s">
        <v>351</v>
      </c>
      <c r="R1152" s="9">
        <v>30112</v>
      </c>
      <c r="S1152" s="9">
        <v>30112</v>
      </c>
      <c r="T1152" s="2" t="s">
        <v>1104</v>
      </c>
      <c r="U1152" s="2" t="s">
        <v>1104</v>
      </c>
      <c r="V1152" s="2" t="s">
        <v>1104</v>
      </c>
      <c r="W1152" s="2" t="s">
        <v>1104</v>
      </c>
      <c r="X1152" s="2" t="s">
        <v>7535</v>
      </c>
      <c r="Y1152" s="2" t="s">
        <v>7536</v>
      </c>
      <c r="Z1152" s="6"/>
      <c r="AA1152" s="2">
        <v>86590074</v>
      </c>
      <c r="AB1152" s="2" t="s">
        <v>642</v>
      </c>
      <c r="AC1152" s="2" t="s">
        <v>632</v>
      </c>
      <c r="AD1152" s="10"/>
      <c r="AE1152" s="11"/>
      <c r="AF1152" s="11">
        <v>86590074</v>
      </c>
      <c r="AG1152" s="11"/>
      <c r="AH1152" s="11"/>
      <c r="AI1152" s="11"/>
      <c r="AJ1152" s="11">
        <v>86590074</v>
      </c>
      <c r="AK1152" s="12">
        <v>1</v>
      </c>
      <c r="AL1152" s="12" t="s">
        <v>7377</v>
      </c>
      <c r="AM1152" s="2">
        <v>0</v>
      </c>
      <c r="AN1152" s="2">
        <v>0</v>
      </c>
      <c r="AO1152" s="2">
        <v>0</v>
      </c>
      <c r="AP1152" s="2">
        <v>1</v>
      </c>
      <c r="AQ1152" s="2">
        <v>0</v>
      </c>
      <c r="AR1152" s="2">
        <v>0</v>
      </c>
      <c r="AS1152" s="2">
        <v>0</v>
      </c>
      <c r="AT1152" s="2">
        <v>0</v>
      </c>
      <c r="BB1152" s="2" t="str">
        <f>+PROPER(BD[[#This Row],[PRIMER_APELLIDO]])</f>
        <v>Centeno</v>
      </c>
    </row>
    <row r="1153" spans="1:54" x14ac:dyDescent="0.25">
      <c r="A1153" s="2">
        <v>1152</v>
      </c>
      <c r="B1153" s="2">
        <v>27097</v>
      </c>
      <c r="C1153" s="5" t="s">
        <v>619</v>
      </c>
      <c r="D1153" s="2" t="s">
        <v>620</v>
      </c>
      <c r="E1153" s="6" t="s">
        <v>7537</v>
      </c>
      <c r="F1153" s="6">
        <v>20943916</v>
      </c>
      <c r="G1153" s="3">
        <v>39.9972602739726</v>
      </c>
      <c r="I1153" s="7"/>
      <c r="J1153" s="7"/>
      <c r="K1153" s="8">
        <v>40.232876712328768</v>
      </c>
      <c r="L1153" s="2" t="s">
        <v>1464</v>
      </c>
      <c r="M1153" s="2" t="s">
        <v>7538</v>
      </c>
      <c r="N1153" s="2" t="s">
        <v>199</v>
      </c>
      <c r="O1153" s="2" t="s">
        <v>101</v>
      </c>
      <c r="P1153" s="2" t="s">
        <v>626</v>
      </c>
      <c r="Q1153" s="2" t="s">
        <v>351</v>
      </c>
      <c r="R1153" s="9">
        <v>30111</v>
      </c>
      <c r="S1153" s="9">
        <v>30111</v>
      </c>
      <c r="T1153" s="2" t="s">
        <v>176</v>
      </c>
      <c r="U1153" s="2" t="s">
        <v>1104</v>
      </c>
      <c r="V1153" s="2" t="s">
        <v>748</v>
      </c>
      <c r="W1153" s="2" t="s">
        <v>1739</v>
      </c>
      <c r="X1153" s="2" t="s">
        <v>7539</v>
      </c>
      <c r="Y1153" s="2" t="s">
        <v>7540</v>
      </c>
      <c r="Z1153" s="6">
        <v>86154834</v>
      </c>
      <c r="AA1153" s="2">
        <v>86154834</v>
      </c>
      <c r="AB1153" s="2" t="s">
        <v>654</v>
      </c>
      <c r="AC1153" s="2" t="s">
        <v>632</v>
      </c>
      <c r="AD1153" s="10">
        <v>86154834</v>
      </c>
      <c r="AE1153" s="11"/>
      <c r="AF1153" s="11">
        <v>86154834</v>
      </c>
      <c r="AG1153" s="11"/>
      <c r="AH1153" s="11"/>
      <c r="AI1153" s="11"/>
      <c r="AJ1153" s="11">
        <v>86154834</v>
      </c>
      <c r="AK1153" s="12">
        <v>2</v>
      </c>
      <c r="AL1153" s="12" t="s">
        <v>7377</v>
      </c>
      <c r="AM1153" s="2">
        <v>0</v>
      </c>
      <c r="AN1153" s="2">
        <v>0</v>
      </c>
      <c r="AO1153" s="2">
        <v>0</v>
      </c>
      <c r="AP1153" s="2">
        <v>1</v>
      </c>
      <c r="AQ1153" s="2">
        <v>0</v>
      </c>
      <c r="AR1153" s="2">
        <v>0</v>
      </c>
      <c r="AS1153" s="2">
        <v>0</v>
      </c>
      <c r="AT1153" s="2">
        <v>0</v>
      </c>
      <c r="AZ1153" s="2" t="s">
        <v>7541</v>
      </c>
      <c r="BB1153" s="2" t="str">
        <f>+PROPER(BD[[#This Row],[PRIMER_APELLIDO]])</f>
        <v>Chevez</v>
      </c>
    </row>
    <row r="1154" spans="1:54" x14ac:dyDescent="0.25">
      <c r="A1154" s="2">
        <v>1153</v>
      </c>
      <c r="B1154" s="2">
        <v>29884</v>
      </c>
      <c r="C1154" s="5" t="s">
        <v>619</v>
      </c>
      <c r="D1154" s="2" t="s">
        <v>620</v>
      </c>
      <c r="E1154" s="6" t="s">
        <v>7542</v>
      </c>
      <c r="F1154" s="6">
        <v>21721018</v>
      </c>
      <c r="G1154" s="3">
        <v>39.9972602739726</v>
      </c>
      <c r="I1154" s="7"/>
      <c r="J1154" s="7"/>
      <c r="K1154" s="8">
        <v>40.241095890410961</v>
      </c>
      <c r="L1154" s="2" t="s">
        <v>7543</v>
      </c>
      <c r="M1154" s="2" t="s">
        <v>724</v>
      </c>
      <c r="N1154" s="2" t="s">
        <v>486</v>
      </c>
      <c r="P1154" s="2" t="s">
        <v>626</v>
      </c>
      <c r="Q1154" s="2" t="s">
        <v>351</v>
      </c>
      <c r="R1154" s="9">
        <v>30108</v>
      </c>
      <c r="S1154" s="9">
        <v>30108</v>
      </c>
      <c r="T1154" s="2" t="s">
        <v>176</v>
      </c>
      <c r="U1154" s="2" t="s">
        <v>444</v>
      </c>
      <c r="V1154" s="2" t="s">
        <v>650</v>
      </c>
      <c r="W1154" s="2" t="s">
        <v>764</v>
      </c>
      <c r="X1154" s="2" t="s">
        <v>7544</v>
      </c>
      <c r="Y1154" s="2" t="s">
        <v>7545</v>
      </c>
      <c r="Z1154" s="6">
        <v>86327256</v>
      </c>
      <c r="AA1154" s="2" t="s">
        <v>7546</v>
      </c>
      <c r="AB1154" s="2" t="s">
        <v>654</v>
      </c>
      <c r="AC1154" s="2" t="s">
        <v>632</v>
      </c>
      <c r="AD1154" s="10">
        <v>86327256</v>
      </c>
      <c r="AE1154" s="11"/>
      <c r="AF1154" s="11"/>
      <c r="AG1154" s="11">
        <v>86327256</v>
      </c>
      <c r="AH1154" s="11"/>
      <c r="AI1154" s="11"/>
      <c r="AJ1154" s="11">
        <v>86327256</v>
      </c>
      <c r="AK1154" s="12">
        <v>3</v>
      </c>
      <c r="AL1154" s="12" t="s">
        <v>7377</v>
      </c>
      <c r="AM1154" s="2">
        <v>0</v>
      </c>
      <c r="AN1154" s="2">
        <v>0</v>
      </c>
      <c r="AO1154" s="2">
        <v>0</v>
      </c>
      <c r="AP1154" s="2">
        <v>1</v>
      </c>
      <c r="AQ1154" s="2">
        <v>0</v>
      </c>
      <c r="AR1154" s="2">
        <v>0</v>
      </c>
      <c r="AS1154" s="2">
        <v>0</v>
      </c>
      <c r="AT1154" s="2">
        <v>0</v>
      </c>
      <c r="AZ1154" s="2" t="s">
        <v>7547</v>
      </c>
      <c r="BB1154" s="2" t="str">
        <f>+PROPER(BD[[#This Row],[PRIMER_APELLIDO]])</f>
        <v>Piura</v>
      </c>
    </row>
    <row r="1155" spans="1:54" x14ac:dyDescent="0.25">
      <c r="A1155" s="2">
        <v>1154</v>
      </c>
      <c r="B1155" s="2">
        <v>37500</v>
      </c>
      <c r="C1155" s="5" t="s">
        <v>619</v>
      </c>
      <c r="D1155" s="2" t="s">
        <v>620</v>
      </c>
      <c r="E1155" s="6" t="s">
        <v>7548</v>
      </c>
      <c r="F1155" s="6">
        <v>22736242</v>
      </c>
      <c r="G1155" s="3">
        <v>39.9972602739726</v>
      </c>
      <c r="I1155" s="7"/>
      <c r="J1155" s="7"/>
      <c r="K1155" s="8">
        <v>40.241095890410961</v>
      </c>
      <c r="L1155" s="2" t="s">
        <v>4529</v>
      </c>
      <c r="M1155" s="2" t="s">
        <v>787</v>
      </c>
      <c r="N1155" s="2" t="s">
        <v>255</v>
      </c>
      <c r="O1155" s="2" t="s">
        <v>139</v>
      </c>
      <c r="P1155" s="2" t="s">
        <v>626</v>
      </c>
      <c r="Q1155" s="2" t="s">
        <v>351</v>
      </c>
      <c r="R1155" s="9">
        <v>30108</v>
      </c>
      <c r="S1155" s="9">
        <v>30108</v>
      </c>
      <c r="T1155" s="2" t="s">
        <v>732</v>
      </c>
      <c r="U1155" s="2" t="s">
        <v>732</v>
      </c>
      <c r="V1155" s="2" t="s">
        <v>4341</v>
      </c>
      <c r="W1155" s="2" t="s">
        <v>4341</v>
      </c>
      <c r="X1155" s="2" t="s">
        <v>7549</v>
      </c>
      <c r="Y1155" s="2" t="s">
        <v>7550</v>
      </c>
      <c r="Z1155" s="6">
        <v>87063712</v>
      </c>
      <c r="AA1155" s="2">
        <v>84143723</v>
      </c>
      <c r="AB1155" s="2" t="s">
        <v>631</v>
      </c>
      <c r="AC1155" s="2" t="s">
        <v>632</v>
      </c>
      <c r="AD1155" s="10">
        <v>87063712</v>
      </c>
      <c r="AE1155" s="11"/>
      <c r="AF1155" s="11">
        <v>84143723</v>
      </c>
      <c r="AG1155" s="11"/>
      <c r="AH1155" s="11"/>
      <c r="AI1155" s="11"/>
      <c r="AJ1155" s="11">
        <v>87063712</v>
      </c>
      <c r="AK1155" s="12">
        <v>2</v>
      </c>
      <c r="AL1155" s="12" t="s">
        <v>7377</v>
      </c>
      <c r="AM1155" s="2">
        <v>0</v>
      </c>
      <c r="AN1155" s="2">
        <v>0</v>
      </c>
      <c r="AO1155" s="2">
        <v>0</v>
      </c>
      <c r="AP1155" s="2">
        <v>1</v>
      </c>
      <c r="AQ1155" s="2">
        <v>0</v>
      </c>
      <c r="AR1155" s="2">
        <v>0</v>
      </c>
      <c r="AS1155" s="2">
        <v>0</v>
      </c>
      <c r="AT1155" s="2">
        <v>0</v>
      </c>
      <c r="BB1155" s="2" t="str">
        <f>+PROPER(BD[[#This Row],[PRIMER_APELLIDO]])</f>
        <v>Aguirre</v>
      </c>
    </row>
    <row r="1156" spans="1:54" x14ac:dyDescent="0.25">
      <c r="A1156" s="2">
        <v>1155</v>
      </c>
      <c r="B1156" s="2">
        <v>32051</v>
      </c>
      <c r="C1156" s="5" t="s">
        <v>619</v>
      </c>
      <c r="D1156" s="2" t="s">
        <v>620</v>
      </c>
      <c r="E1156" s="6" t="s">
        <v>7551</v>
      </c>
      <c r="F1156" s="6">
        <v>21704503</v>
      </c>
      <c r="G1156" s="3">
        <v>39.9972602739726</v>
      </c>
      <c r="I1156" s="7"/>
      <c r="J1156" s="7"/>
      <c r="K1156" s="8">
        <v>40.271232876712325</v>
      </c>
      <c r="L1156" s="2" t="s">
        <v>5455</v>
      </c>
      <c r="M1156" s="2" t="s">
        <v>787</v>
      </c>
      <c r="N1156" s="2" t="s">
        <v>41</v>
      </c>
      <c r="O1156" s="2" t="s">
        <v>319</v>
      </c>
      <c r="P1156" s="2" t="s">
        <v>626</v>
      </c>
      <c r="Q1156" s="2" t="s">
        <v>351</v>
      </c>
      <c r="R1156" s="9">
        <v>30097</v>
      </c>
      <c r="S1156" s="9">
        <v>30097</v>
      </c>
      <c r="T1156" s="2" t="s">
        <v>740</v>
      </c>
      <c r="U1156" s="2" t="s">
        <v>740</v>
      </c>
      <c r="V1156" s="2" t="s">
        <v>5278</v>
      </c>
      <c r="W1156" s="2" t="s">
        <v>5278</v>
      </c>
      <c r="X1156" s="2" t="s">
        <v>7552</v>
      </c>
      <c r="Y1156" s="2" t="s">
        <v>7553</v>
      </c>
      <c r="Z1156" s="6">
        <v>82332609</v>
      </c>
      <c r="AA1156" s="2">
        <v>82332609</v>
      </c>
      <c r="AB1156" s="2" t="s">
        <v>642</v>
      </c>
      <c r="AC1156" s="2" t="s">
        <v>632</v>
      </c>
      <c r="AD1156" s="10">
        <v>82332609</v>
      </c>
      <c r="AE1156" s="11"/>
      <c r="AF1156" s="11">
        <v>82332609</v>
      </c>
      <c r="AG1156" s="11"/>
      <c r="AH1156" s="11"/>
      <c r="AI1156" s="11"/>
      <c r="AJ1156" s="11">
        <v>82332609</v>
      </c>
      <c r="AK1156" s="12">
        <v>2</v>
      </c>
      <c r="AL1156" s="12" t="s">
        <v>7377</v>
      </c>
      <c r="AM1156" s="2">
        <v>0</v>
      </c>
      <c r="AN1156" s="2">
        <v>0</v>
      </c>
      <c r="AO1156" s="2">
        <v>0</v>
      </c>
      <c r="AP1156" s="2">
        <v>1</v>
      </c>
      <c r="AQ1156" s="2">
        <v>0</v>
      </c>
      <c r="AR1156" s="2">
        <v>0</v>
      </c>
      <c r="AS1156" s="2">
        <v>0</v>
      </c>
      <c r="AT1156" s="2">
        <v>0</v>
      </c>
      <c r="AZ1156" s="2" t="s">
        <v>7554</v>
      </c>
      <c r="BB1156" s="2" t="str">
        <f>+PROPER(BD[[#This Row],[PRIMER_APELLIDO]])</f>
        <v>Romero</v>
      </c>
    </row>
    <row r="1157" spans="1:54" x14ac:dyDescent="0.25">
      <c r="A1157" s="2">
        <v>1156</v>
      </c>
      <c r="B1157" s="2">
        <v>35390</v>
      </c>
      <c r="C1157" s="5" t="s">
        <v>619</v>
      </c>
      <c r="D1157" s="2" t="s">
        <v>620</v>
      </c>
      <c r="E1157" s="6" t="s">
        <v>7555</v>
      </c>
      <c r="F1157" s="6">
        <v>22163475</v>
      </c>
      <c r="G1157" s="3">
        <v>39.9972602739726</v>
      </c>
      <c r="I1157" s="7"/>
      <c r="J1157" s="7"/>
      <c r="K1157" s="8">
        <v>40.279452054794518</v>
      </c>
      <c r="L1157" s="2" t="s">
        <v>1058</v>
      </c>
      <c r="M1157" s="2" t="s">
        <v>3929</v>
      </c>
      <c r="N1157" s="2" t="s">
        <v>24</v>
      </c>
      <c r="O1157" s="2" t="s">
        <v>7556</v>
      </c>
      <c r="P1157" s="2" t="s">
        <v>649</v>
      </c>
      <c r="Q1157" s="2" t="s">
        <v>351</v>
      </c>
      <c r="R1157" s="9">
        <v>30094</v>
      </c>
      <c r="S1157" s="9">
        <v>30094</v>
      </c>
      <c r="T1157" s="2" t="s">
        <v>740</v>
      </c>
      <c r="U1157" s="2" t="s">
        <v>627</v>
      </c>
      <c r="V1157" s="2" t="s">
        <v>1334</v>
      </c>
      <c r="W1157" s="2" t="s">
        <v>627</v>
      </c>
      <c r="X1157" s="2" t="s">
        <v>7557</v>
      </c>
      <c r="Y1157" s="2" t="s">
        <v>7558</v>
      </c>
      <c r="Z1157" s="6">
        <v>88791920</v>
      </c>
      <c r="AA1157" s="2">
        <v>88791920</v>
      </c>
      <c r="AB1157" s="2" t="s">
        <v>654</v>
      </c>
      <c r="AC1157" s="2" t="s">
        <v>632</v>
      </c>
      <c r="AD1157" s="10">
        <v>88791920</v>
      </c>
      <c r="AE1157" s="11"/>
      <c r="AF1157" s="11">
        <v>88791920</v>
      </c>
      <c r="AG1157" s="11"/>
      <c r="AH1157" s="11"/>
      <c r="AI1157" s="11"/>
      <c r="AJ1157" s="11">
        <v>88791920</v>
      </c>
      <c r="AK1157" s="12">
        <v>2</v>
      </c>
      <c r="AL1157" s="12" t="s">
        <v>7377</v>
      </c>
      <c r="AM1157" s="2">
        <v>0</v>
      </c>
      <c r="AN1157" s="2">
        <v>0</v>
      </c>
      <c r="AO1157" s="2">
        <v>0</v>
      </c>
      <c r="AP1157" s="2">
        <v>1</v>
      </c>
      <c r="AQ1157" s="2">
        <v>0</v>
      </c>
      <c r="AR1157" s="2">
        <v>0</v>
      </c>
      <c r="AS1157" s="2">
        <v>0</v>
      </c>
      <c r="AT1157" s="2">
        <v>0</v>
      </c>
      <c r="AZ1157" s="2" t="s">
        <v>7559</v>
      </c>
      <c r="BB1157" s="2" t="str">
        <f>+PROPER(BD[[#This Row],[PRIMER_APELLIDO]])</f>
        <v>Perez</v>
      </c>
    </row>
    <row r="1158" spans="1:54" x14ac:dyDescent="0.25">
      <c r="A1158" s="2">
        <v>1157</v>
      </c>
      <c r="B1158" s="2">
        <v>82029</v>
      </c>
      <c r="C1158" s="5" t="s">
        <v>619</v>
      </c>
      <c r="D1158" s="2" t="s">
        <v>620</v>
      </c>
      <c r="E1158" s="6" t="s">
        <v>7560</v>
      </c>
      <c r="F1158" s="6"/>
      <c r="G1158" s="3">
        <v>39.9972602739726</v>
      </c>
      <c r="I1158" s="7"/>
      <c r="J1158" s="7"/>
      <c r="K1158" s="8">
        <v>40.284931506849318</v>
      </c>
      <c r="L1158" s="2" t="s">
        <v>4057</v>
      </c>
      <c r="M1158" s="2" t="s">
        <v>975</v>
      </c>
      <c r="N1158" s="2" t="s">
        <v>117</v>
      </c>
      <c r="O1158" s="2" t="s">
        <v>113</v>
      </c>
      <c r="P1158" s="2" t="s">
        <v>649</v>
      </c>
      <c r="Q1158" s="2" t="s">
        <v>351</v>
      </c>
      <c r="R1158" s="9">
        <v>30092</v>
      </c>
      <c r="S1158" s="9">
        <v>30092</v>
      </c>
      <c r="T1158" s="2" t="s">
        <v>627</v>
      </c>
      <c r="U1158" s="2" t="s">
        <v>1005</v>
      </c>
      <c r="V1158" s="2" t="s">
        <v>1406</v>
      </c>
      <c r="W1158" s="2" t="s">
        <v>1006</v>
      </c>
      <c r="X1158" s="2" t="s">
        <v>7561</v>
      </c>
      <c r="Y1158" s="2" t="s">
        <v>7562</v>
      </c>
      <c r="Z1158" s="6">
        <v>88494510</v>
      </c>
      <c r="AA1158" s="2">
        <v>88494510</v>
      </c>
      <c r="AB1158" s="2" t="s">
        <v>654</v>
      </c>
      <c r="AC1158" s="2" t="s">
        <v>632</v>
      </c>
      <c r="AD1158" s="10">
        <v>88494510</v>
      </c>
      <c r="AE1158" s="11"/>
      <c r="AF1158" s="11">
        <v>88494510</v>
      </c>
      <c r="AG1158" s="11"/>
      <c r="AH1158" s="11"/>
      <c r="AI1158" s="11"/>
      <c r="AJ1158" s="11">
        <v>88494510</v>
      </c>
      <c r="AK1158" s="12">
        <v>2</v>
      </c>
      <c r="AL1158" s="12" t="s">
        <v>7377</v>
      </c>
      <c r="AM1158" s="2">
        <v>0</v>
      </c>
      <c r="AN1158" s="2">
        <v>0</v>
      </c>
      <c r="AO1158" s="2">
        <v>0</v>
      </c>
      <c r="AP1158" s="2">
        <v>1</v>
      </c>
      <c r="AQ1158" s="2">
        <v>0</v>
      </c>
      <c r="AR1158" s="2">
        <v>0</v>
      </c>
      <c r="AS1158" s="2">
        <v>0</v>
      </c>
      <c r="AT1158" s="2">
        <v>0</v>
      </c>
      <c r="AZ1158" s="2" t="s">
        <v>7563</v>
      </c>
      <c r="BB1158" s="2" t="str">
        <f>+PROPER(BD[[#This Row],[PRIMER_APELLIDO]])</f>
        <v>Duarte</v>
      </c>
    </row>
    <row r="1159" spans="1:54" x14ac:dyDescent="0.25">
      <c r="A1159" s="2">
        <v>1158</v>
      </c>
      <c r="B1159" s="2">
        <v>24946</v>
      </c>
      <c r="C1159" s="5" t="s">
        <v>619</v>
      </c>
      <c r="D1159" s="2" t="s">
        <v>620</v>
      </c>
      <c r="E1159" s="6" t="s">
        <v>7564</v>
      </c>
      <c r="F1159" s="6">
        <v>21036042</v>
      </c>
      <c r="G1159" s="3">
        <v>39.9972602739726</v>
      </c>
      <c r="I1159" s="7"/>
      <c r="J1159" s="7"/>
      <c r="K1159" s="8">
        <v>40.290410958904111</v>
      </c>
      <c r="L1159" s="2" t="s">
        <v>724</v>
      </c>
      <c r="M1159" s="2" t="s">
        <v>970</v>
      </c>
      <c r="N1159" s="2" t="s">
        <v>487</v>
      </c>
      <c r="O1159" s="2" t="s">
        <v>141</v>
      </c>
      <c r="P1159" s="2" t="s">
        <v>626</v>
      </c>
      <c r="Q1159" s="2" t="s">
        <v>351</v>
      </c>
      <c r="R1159" s="9">
        <v>30090</v>
      </c>
      <c r="S1159" s="9">
        <v>30090</v>
      </c>
      <c r="T1159" s="2" t="s">
        <v>740</v>
      </c>
      <c r="U1159" s="2" t="s">
        <v>627</v>
      </c>
      <c r="V1159" s="2" t="s">
        <v>5278</v>
      </c>
      <c r="W1159" s="2" t="s">
        <v>1026</v>
      </c>
      <c r="X1159" s="2" t="s">
        <v>7565</v>
      </c>
      <c r="Y1159" s="2" t="s">
        <v>7566</v>
      </c>
      <c r="Z1159" s="6"/>
      <c r="AA1159" s="2">
        <v>81279522</v>
      </c>
      <c r="AB1159" s="2" t="s">
        <v>654</v>
      </c>
      <c r="AC1159" s="2" t="s">
        <v>632</v>
      </c>
      <c r="AD1159" s="10"/>
      <c r="AE1159" s="11"/>
      <c r="AF1159" s="11">
        <v>81279522</v>
      </c>
      <c r="AG1159" s="11"/>
      <c r="AH1159" s="11"/>
      <c r="AI1159" s="11"/>
      <c r="AJ1159" s="11">
        <v>81279522</v>
      </c>
      <c r="AK1159" s="12">
        <v>1</v>
      </c>
      <c r="AL1159" s="12" t="s">
        <v>7377</v>
      </c>
      <c r="AM1159" s="2">
        <v>0</v>
      </c>
      <c r="AN1159" s="2">
        <v>0</v>
      </c>
      <c r="AO1159" s="2">
        <v>0</v>
      </c>
      <c r="AP1159" s="2">
        <v>1</v>
      </c>
      <c r="AQ1159" s="2">
        <v>0</v>
      </c>
      <c r="AR1159" s="2">
        <v>0</v>
      </c>
      <c r="AS1159" s="2">
        <v>0</v>
      </c>
      <c r="AT1159" s="2">
        <v>0</v>
      </c>
      <c r="BB1159" s="2" t="str">
        <f>+PROPER(BD[[#This Row],[PRIMER_APELLIDO]])</f>
        <v>Urroz</v>
      </c>
    </row>
    <row r="1160" spans="1:54" x14ac:dyDescent="0.25">
      <c r="A1160" s="2">
        <v>1159</v>
      </c>
      <c r="B1160" s="2">
        <v>24805</v>
      </c>
      <c r="C1160" s="5" t="s">
        <v>619</v>
      </c>
      <c r="D1160" s="2" t="s">
        <v>620</v>
      </c>
      <c r="E1160" s="6" t="s">
        <v>7567</v>
      </c>
      <c r="F1160" s="6">
        <v>20711135</v>
      </c>
      <c r="G1160" s="3">
        <v>39.9972602739726</v>
      </c>
      <c r="I1160" s="7"/>
      <c r="J1160" s="7"/>
      <c r="K1160" s="8">
        <v>40.295890410958904</v>
      </c>
      <c r="L1160" s="2" t="s">
        <v>2701</v>
      </c>
      <c r="M1160" s="2" t="s">
        <v>3384</v>
      </c>
      <c r="N1160" s="2" t="s">
        <v>73</v>
      </c>
      <c r="O1160" s="2" t="s">
        <v>100</v>
      </c>
      <c r="P1160" s="2" t="s">
        <v>649</v>
      </c>
      <c r="Q1160" s="2" t="s">
        <v>351</v>
      </c>
      <c r="R1160" s="9">
        <v>30088</v>
      </c>
      <c r="S1160" s="9">
        <v>30088</v>
      </c>
      <c r="T1160" s="2" t="s">
        <v>627</v>
      </c>
      <c r="U1160" s="2" t="s">
        <v>627</v>
      </c>
      <c r="V1160" s="2" t="s">
        <v>627</v>
      </c>
      <c r="W1160" s="2" t="s">
        <v>627</v>
      </c>
      <c r="X1160" s="2" t="s">
        <v>7568</v>
      </c>
      <c r="Y1160" s="2" t="s">
        <v>7569</v>
      </c>
      <c r="Z1160" s="6">
        <v>88531268</v>
      </c>
      <c r="AA1160" s="2" t="s">
        <v>7570</v>
      </c>
      <c r="AB1160" s="2" t="s">
        <v>654</v>
      </c>
      <c r="AC1160" s="2" t="s">
        <v>632</v>
      </c>
      <c r="AD1160" s="10">
        <v>88531268</v>
      </c>
      <c r="AE1160" s="11"/>
      <c r="AF1160" s="11"/>
      <c r="AG1160" s="11">
        <v>88531268</v>
      </c>
      <c r="AH1160" s="11"/>
      <c r="AI1160" s="11"/>
      <c r="AJ1160" s="11">
        <v>88531268</v>
      </c>
      <c r="AK1160" s="12">
        <v>3</v>
      </c>
      <c r="AL1160" s="12" t="s">
        <v>7377</v>
      </c>
      <c r="AM1160" s="2">
        <v>0</v>
      </c>
      <c r="AN1160" s="2">
        <v>0</v>
      </c>
      <c r="AO1160" s="2">
        <v>0</v>
      </c>
      <c r="AP1160" s="2">
        <v>1</v>
      </c>
      <c r="AQ1160" s="2">
        <v>0</v>
      </c>
      <c r="AR1160" s="2">
        <v>0</v>
      </c>
      <c r="AS1160" s="2">
        <v>0</v>
      </c>
      <c r="AT1160" s="2">
        <v>0</v>
      </c>
      <c r="AZ1160" s="2" t="s">
        <v>7571</v>
      </c>
      <c r="BB1160" s="2" t="str">
        <f>+PROPER(BD[[#This Row],[PRIMER_APELLIDO]])</f>
        <v>Altamirano</v>
      </c>
    </row>
    <row r="1161" spans="1:54" x14ac:dyDescent="0.25">
      <c r="A1161" s="2">
        <v>1160</v>
      </c>
      <c r="B1161" s="2">
        <v>25435</v>
      </c>
      <c r="C1161" s="5" t="s">
        <v>619</v>
      </c>
      <c r="D1161" s="2" t="s">
        <v>620</v>
      </c>
      <c r="E1161" s="6" t="s">
        <v>7572</v>
      </c>
      <c r="F1161" s="6">
        <v>20934255</v>
      </c>
      <c r="G1161" s="3">
        <v>39.9972602739726</v>
      </c>
      <c r="I1161" s="7"/>
      <c r="J1161" s="7"/>
      <c r="K1161" s="8">
        <v>40.301369863013697</v>
      </c>
      <c r="L1161" s="2" t="s">
        <v>3527</v>
      </c>
      <c r="M1161" s="2" t="s">
        <v>1480</v>
      </c>
      <c r="N1161" s="2" t="s">
        <v>11</v>
      </c>
      <c r="P1161" s="2" t="s">
        <v>649</v>
      </c>
      <c r="Q1161" s="2" t="s">
        <v>351</v>
      </c>
      <c r="R1161" s="9">
        <v>30086</v>
      </c>
      <c r="S1161" s="9">
        <v>30086</v>
      </c>
      <c r="T1161" s="2" t="s">
        <v>176</v>
      </c>
      <c r="U1161" s="2" t="s">
        <v>780</v>
      </c>
      <c r="V1161" s="2" t="s">
        <v>650</v>
      </c>
      <c r="W1161" s="2" t="s">
        <v>2868</v>
      </c>
      <c r="X1161" s="2" t="s">
        <v>7573</v>
      </c>
      <c r="Y1161" s="2" t="s">
        <v>7574</v>
      </c>
      <c r="Z1161" s="6"/>
      <c r="AA1161" s="2">
        <v>83545692</v>
      </c>
      <c r="AB1161" s="2" t="s">
        <v>654</v>
      </c>
      <c r="AC1161" s="2" t="s">
        <v>632</v>
      </c>
      <c r="AD1161" s="10"/>
      <c r="AE1161" s="11"/>
      <c r="AF1161" s="11">
        <v>83545692</v>
      </c>
      <c r="AG1161" s="11"/>
      <c r="AH1161" s="11"/>
      <c r="AI1161" s="11"/>
      <c r="AJ1161" s="11">
        <v>83545692</v>
      </c>
      <c r="AK1161" s="12">
        <v>1</v>
      </c>
      <c r="AL1161" s="12" t="s">
        <v>7377</v>
      </c>
      <c r="AM1161" s="2">
        <v>0</v>
      </c>
      <c r="AN1161" s="2">
        <v>0</v>
      </c>
      <c r="AO1161" s="2">
        <v>0</v>
      </c>
      <c r="AP1161" s="2">
        <v>1</v>
      </c>
      <c r="AQ1161" s="2">
        <v>0</v>
      </c>
      <c r="AR1161" s="2">
        <v>0</v>
      </c>
      <c r="AS1161" s="2">
        <v>0</v>
      </c>
      <c r="AT1161" s="2">
        <v>0</v>
      </c>
      <c r="BB1161" s="2" t="str">
        <f>+PROPER(BD[[#This Row],[PRIMER_APELLIDO]])</f>
        <v>Hernandez</v>
      </c>
    </row>
    <row r="1162" spans="1:54" x14ac:dyDescent="0.25">
      <c r="A1162" s="2">
        <v>1161</v>
      </c>
      <c r="B1162" s="2">
        <v>39058</v>
      </c>
      <c r="C1162" s="5" t="s">
        <v>619</v>
      </c>
      <c r="D1162" s="2" t="s">
        <v>620</v>
      </c>
      <c r="E1162" s="6" t="s">
        <v>7575</v>
      </c>
      <c r="F1162" s="6">
        <v>11336240</v>
      </c>
      <c r="G1162" s="3">
        <v>39.9972602739726</v>
      </c>
      <c r="I1162" s="7"/>
      <c r="J1162" s="7"/>
      <c r="K1162" s="8">
        <v>40.30684931506849</v>
      </c>
      <c r="L1162" s="2" t="s">
        <v>2149</v>
      </c>
      <c r="M1162" s="2" t="s">
        <v>683</v>
      </c>
      <c r="N1162" s="2" t="s">
        <v>467</v>
      </c>
      <c r="O1162" s="2" t="s">
        <v>53</v>
      </c>
      <c r="P1162" s="2" t="s">
        <v>626</v>
      </c>
      <c r="Q1162" s="2" t="s">
        <v>351</v>
      </c>
      <c r="R1162" s="9">
        <v>30084</v>
      </c>
      <c r="S1162" s="9">
        <v>30084</v>
      </c>
      <c r="T1162" s="2" t="s">
        <v>627</v>
      </c>
      <c r="U1162" s="2" t="s">
        <v>627</v>
      </c>
      <c r="V1162" s="2" t="s">
        <v>627</v>
      </c>
      <c r="W1162" s="2" t="s">
        <v>627</v>
      </c>
      <c r="X1162" s="2" t="s">
        <v>7576</v>
      </c>
      <c r="Y1162" s="2" t="s">
        <v>7577</v>
      </c>
      <c r="Z1162" s="6">
        <v>89532884</v>
      </c>
      <c r="AA1162" s="2" t="s">
        <v>7578</v>
      </c>
      <c r="AB1162" s="2" t="s">
        <v>642</v>
      </c>
      <c r="AC1162" s="2" t="s">
        <v>632</v>
      </c>
      <c r="AD1162" s="10">
        <v>89532884</v>
      </c>
      <c r="AE1162" s="11"/>
      <c r="AF1162" s="11"/>
      <c r="AG1162" s="11">
        <v>89522884</v>
      </c>
      <c r="AH1162" s="11"/>
      <c r="AI1162" s="11"/>
      <c r="AJ1162" s="11">
        <v>89532884</v>
      </c>
      <c r="AK1162" s="12">
        <v>3</v>
      </c>
      <c r="AL1162" s="12" t="s">
        <v>7377</v>
      </c>
      <c r="AM1162" s="2">
        <v>0</v>
      </c>
      <c r="AN1162" s="2">
        <v>0</v>
      </c>
      <c r="AO1162" s="2">
        <v>0</v>
      </c>
      <c r="AP1162" s="2">
        <v>1</v>
      </c>
      <c r="AQ1162" s="2">
        <v>0</v>
      </c>
      <c r="AR1162" s="2">
        <v>0</v>
      </c>
      <c r="AS1162" s="2">
        <v>0</v>
      </c>
      <c r="AT1162" s="2">
        <v>0</v>
      </c>
      <c r="AZ1162" s="2" t="s">
        <v>7579</v>
      </c>
      <c r="BB1162" s="2" t="str">
        <f>+PROPER(BD[[#This Row],[PRIMER_APELLIDO]])</f>
        <v>Jimenez</v>
      </c>
    </row>
    <row r="1163" spans="1:54" x14ac:dyDescent="0.25">
      <c r="A1163" s="2">
        <v>1162</v>
      </c>
      <c r="B1163" s="2">
        <v>55754</v>
      </c>
      <c r="C1163" s="5" t="s">
        <v>619</v>
      </c>
      <c r="D1163" s="2" t="s">
        <v>620</v>
      </c>
      <c r="E1163" s="6" t="s">
        <v>7580</v>
      </c>
      <c r="F1163" s="6"/>
      <c r="G1163" s="3">
        <v>39.9972602739726</v>
      </c>
      <c r="I1163" s="7"/>
      <c r="J1163" s="7"/>
      <c r="K1163" s="8">
        <v>40.317808219178083</v>
      </c>
      <c r="L1163" s="2" t="s">
        <v>7581</v>
      </c>
      <c r="M1163" s="2" t="s">
        <v>3757</v>
      </c>
      <c r="N1163" s="2" t="s">
        <v>211</v>
      </c>
      <c r="O1163" s="2" t="s">
        <v>163</v>
      </c>
      <c r="P1163" s="2" t="s">
        <v>649</v>
      </c>
      <c r="Q1163" s="2" t="s">
        <v>351</v>
      </c>
      <c r="R1163" s="9">
        <v>30080</v>
      </c>
      <c r="S1163" s="9">
        <v>30080</v>
      </c>
      <c r="T1163" s="2" t="s">
        <v>627</v>
      </c>
      <c r="U1163" s="2" t="s">
        <v>627</v>
      </c>
      <c r="V1163" s="2" t="s">
        <v>627</v>
      </c>
      <c r="W1163" s="2" t="s">
        <v>627</v>
      </c>
      <c r="X1163" s="2" t="s">
        <v>7582</v>
      </c>
      <c r="Y1163" s="2" t="s">
        <v>7583</v>
      </c>
      <c r="Z1163" s="6">
        <v>83829835</v>
      </c>
      <c r="AA1163" s="2">
        <v>83829835</v>
      </c>
      <c r="AB1163" s="2" t="s">
        <v>7584</v>
      </c>
      <c r="AC1163" s="2" t="s">
        <v>632</v>
      </c>
      <c r="AD1163" s="10">
        <v>83829835</v>
      </c>
      <c r="AE1163" s="11"/>
      <c r="AF1163" s="11">
        <v>83829835</v>
      </c>
      <c r="AG1163" s="11"/>
      <c r="AH1163" s="11"/>
      <c r="AI1163" s="11"/>
      <c r="AJ1163" s="11">
        <v>83829835</v>
      </c>
      <c r="AK1163" s="12">
        <v>2</v>
      </c>
      <c r="AL1163" s="12" t="s">
        <v>7377</v>
      </c>
      <c r="AM1163" s="2">
        <v>0</v>
      </c>
      <c r="AN1163" s="2">
        <v>0</v>
      </c>
      <c r="AO1163" s="2">
        <v>0</v>
      </c>
      <c r="AP1163" s="2">
        <v>1</v>
      </c>
      <c r="AQ1163" s="2">
        <v>0</v>
      </c>
      <c r="AR1163" s="2">
        <v>0</v>
      </c>
      <c r="AS1163" s="2">
        <v>0</v>
      </c>
      <c r="AT1163" s="2">
        <v>0</v>
      </c>
      <c r="BA1163" s="2" t="s">
        <v>7585</v>
      </c>
      <c r="BB1163" s="2" t="str">
        <f>+PROPER(BD[[#This Row],[PRIMER_APELLIDO]])</f>
        <v>Soza</v>
      </c>
    </row>
    <row r="1164" spans="1:54" x14ac:dyDescent="0.25">
      <c r="A1164" s="2">
        <v>1163</v>
      </c>
      <c r="B1164" s="2">
        <v>43280</v>
      </c>
      <c r="C1164" s="5" t="s">
        <v>619</v>
      </c>
      <c r="D1164" s="2" t="s">
        <v>620</v>
      </c>
      <c r="E1164" s="6" t="s">
        <v>7586</v>
      </c>
      <c r="F1164" s="6">
        <v>24237255</v>
      </c>
      <c r="G1164" s="3">
        <v>39.9972602739726</v>
      </c>
      <c r="I1164" s="7"/>
      <c r="J1164" s="7"/>
      <c r="K1164" s="8">
        <v>40.323287671232876</v>
      </c>
      <c r="L1164" s="2" t="s">
        <v>1818</v>
      </c>
      <c r="M1164" s="2" t="s">
        <v>1699</v>
      </c>
      <c r="N1164" s="2" t="s">
        <v>10</v>
      </c>
      <c r="O1164" s="2" t="s">
        <v>15</v>
      </c>
      <c r="P1164" s="2" t="s">
        <v>649</v>
      </c>
      <c r="Q1164" s="2" t="s">
        <v>351</v>
      </c>
      <c r="R1164" s="9">
        <v>30078</v>
      </c>
      <c r="S1164" s="9">
        <v>30078</v>
      </c>
      <c r="T1164" s="2" t="s">
        <v>176</v>
      </c>
      <c r="U1164" s="2" t="s">
        <v>186</v>
      </c>
      <c r="V1164" s="2" t="s">
        <v>1796</v>
      </c>
      <c r="W1164" s="2" t="s">
        <v>2235</v>
      </c>
      <c r="X1164" s="2" t="s">
        <v>7587</v>
      </c>
      <c r="Y1164" s="2" t="s">
        <v>7588</v>
      </c>
      <c r="Z1164" s="6"/>
      <c r="AA1164" s="2">
        <v>83293614</v>
      </c>
      <c r="AB1164" s="2" t="s">
        <v>654</v>
      </c>
      <c r="AC1164" s="2" t="s">
        <v>632</v>
      </c>
      <c r="AD1164" s="10"/>
      <c r="AE1164" s="11"/>
      <c r="AF1164" s="11">
        <v>83293614</v>
      </c>
      <c r="AG1164" s="11"/>
      <c r="AH1164" s="11"/>
      <c r="AI1164" s="11"/>
      <c r="AJ1164" s="11">
        <v>83293614</v>
      </c>
      <c r="AK1164" s="12">
        <v>1</v>
      </c>
      <c r="AL1164" s="12" t="s">
        <v>7377</v>
      </c>
      <c r="AM1164" s="2">
        <v>0</v>
      </c>
      <c r="AN1164" s="2">
        <v>0</v>
      </c>
      <c r="AO1164" s="2">
        <v>0</v>
      </c>
      <c r="AP1164" s="2">
        <v>1</v>
      </c>
      <c r="AQ1164" s="2">
        <v>0</v>
      </c>
      <c r="AR1164" s="2">
        <v>0</v>
      </c>
      <c r="AS1164" s="2">
        <v>0</v>
      </c>
      <c r="AT1164" s="2">
        <v>0</v>
      </c>
      <c r="BB1164" s="2" t="str">
        <f>+PROPER(BD[[#This Row],[PRIMER_APELLIDO]])</f>
        <v>Garcia</v>
      </c>
    </row>
    <row r="1165" spans="1:54" x14ac:dyDescent="0.25">
      <c r="A1165" s="2">
        <v>1164</v>
      </c>
      <c r="B1165" s="2">
        <v>25793</v>
      </c>
      <c r="C1165" s="5" t="s">
        <v>619</v>
      </c>
      <c r="D1165" s="2" t="s">
        <v>620</v>
      </c>
      <c r="E1165" s="6" t="s">
        <v>7589</v>
      </c>
      <c r="F1165" s="6">
        <v>22016588</v>
      </c>
      <c r="G1165" s="3">
        <v>39.9972602739726</v>
      </c>
      <c r="I1165" s="7"/>
      <c r="J1165" s="7"/>
      <c r="K1165" s="8">
        <v>40.331506849315069</v>
      </c>
      <c r="L1165" s="2" t="s">
        <v>2149</v>
      </c>
      <c r="M1165" s="2" t="s">
        <v>2650</v>
      </c>
      <c r="N1165" s="2" t="s">
        <v>392</v>
      </c>
      <c r="O1165" s="2" t="s">
        <v>116</v>
      </c>
      <c r="P1165" s="2" t="s">
        <v>626</v>
      </c>
      <c r="Q1165" s="2" t="s">
        <v>351</v>
      </c>
      <c r="R1165" s="9">
        <v>30075</v>
      </c>
      <c r="S1165" s="9">
        <v>30075</v>
      </c>
      <c r="U1165" s="2" t="s">
        <v>176</v>
      </c>
      <c r="W1165" s="2" t="s">
        <v>176</v>
      </c>
      <c r="X1165" s="2" t="s">
        <v>7590</v>
      </c>
      <c r="Y1165" s="2" t="s">
        <v>7591</v>
      </c>
      <c r="Z1165" s="6"/>
      <c r="AA1165" s="2">
        <v>89439833</v>
      </c>
      <c r="AB1165" s="2" t="s">
        <v>654</v>
      </c>
      <c r="AC1165" s="2" t="s">
        <v>632</v>
      </c>
      <c r="AD1165" s="10"/>
      <c r="AE1165" s="11"/>
      <c r="AF1165" s="11">
        <v>89439833</v>
      </c>
      <c r="AG1165" s="11"/>
      <c r="AH1165" s="11"/>
      <c r="AI1165" s="11"/>
      <c r="AJ1165" s="11">
        <v>89439833</v>
      </c>
      <c r="AK1165" s="12">
        <v>1</v>
      </c>
      <c r="AL1165" s="12" t="s">
        <v>7377</v>
      </c>
      <c r="AM1165" s="2">
        <v>0</v>
      </c>
      <c r="AN1165" s="2">
        <v>0</v>
      </c>
      <c r="AO1165" s="2">
        <v>0</v>
      </c>
      <c r="AP1165" s="2">
        <v>1</v>
      </c>
      <c r="AQ1165" s="2">
        <v>0</v>
      </c>
      <c r="AR1165" s="2">
        <v>0</v>
      </c>
      <c r="AS1165" s="2">
        <v>0</v>
      </c>
      <c r="AT1165" s="2">
        <v>0</v>
      </c>
      <c r="BB1165" s="2" t="str">
        <f>+PROPER(BD[[#This Row],[PRIMER_APELLIDO]])</f>
        <v>Toruño</v>
      </c>
    </row>
    <row r="1166" spans="1:54" x14ac:dyDescent="0.25">
      <c r="A1166" s="2">
        <v>1165</v>
      </c>
      <c r="B1166" s="2">
        <v>32336</v>
      </c>
      <c r="C1166" s="5" t="s">
        <v>619</v>
      </c>
      <c r="D1166" s="2" t="s">
        <v>620</v>
      </c>
      <c r="E1166" s="6" t="s">
        <v>7592</v>
      </c>
      <c r="F1166" s="6">
        <v>22388980</v>
      </c>
      <c r="G1166" s="3">
        <v>39.9972602739726</v>
      </c>
      <c r="I1166" s="7"/>
      <c r="J1166" s="7"/>
      <c r="K1166" s="8">
        <v>40.334246575342469</v>
      </c>
      <c r="L1166" s="2" t="s">
        <v>5257</v>
      </c>
      <c r="M1166" s="2" t="s">
        <v>217</v>
      </c>
      <c r="N1166" s="2" t="s">
        <v>28</v>
      </c>
      <c r="O1166" s="2" t="s">
        <v>274</v>
      </c>
      <c r="P1166" s="2" t="s">
        <v>626</v>
      </c>
      <c r="Q1166" s="2" t="s">
        <v>351</v>
      </c>
      <c r="R1166" s="9">
        <v>30074</v>
      </c>
      <c r="S1166" s="9">
        <v>30074</v>
      </c>
      <c r="T1166" s="2" t="s">
        <v>176</v>
      </c>
      <c r="U1166" s="2" t="s">
        <v>176</v>
      </c>
      <c r="V1166" s="2" t="s">
        <v>650</v>
      </c>
      <c r="W1166" s="2" t="s">
        <v>176</v>
      </c>
      <c r="X1166" s="2" t="s">
        <v>7593</v>
      </c>
      <c r="Y1166" s="2" t="s">
        <v>7594</v>
      </c>
      <c r="Z1166" s="6"/>
      <c r="AA1166" s="2" t="s">
        <v>7595</v>
      </c>
      <c r="AB1166" s="2" t="s">
        <v>654</v>
      </c>
      <c r="AC1166" s="2" t="s">
        <v>632</v>
      </c>
      <c r="AD1166" s="10"/>
      <c r="AE1166" s="11"/>
      <c r="AF1166" s="11"/>
      <c r="AG1166" s="11">
        <v>58062614</v>
      </c>
      <c r="AH1166" s="11"/>
      <c r="AI1166" s="11"/>
      <c r="AJ1166" s="11">
        <v>58062614</v>
      </c>
      <c r="AK1166" s="12">
        <v>2</v>
      </c>
      <c r="AL1166" s="12" t="s">
        <v>7377</v>
      </c>
      <c r="AM1166" s="2">
        <v>0</v>
      </c>
      <c r="AN1166" s="2">
        <v>0</v>
      </c>
      <c r="AO1166" s="2">
        <v>0</v>
      </c>
      <c r="AP1166" s="2">
        <v>1</v>
      </c>
      <c r="AQ1166" s="2">
        <v>0</v>
      </c>
      <c r="AR1166" s="2">
        <v>0</v>
      </c>
      <c r="AS1166" s="2">
        <v>0</v>
      </c>
      <c r="AT1166" s="2">
        <v>0</v>
      </c>
      <c r="BB1166" s="2" t="str">
        <f>+PROPER(BD[[#This Row],[PRIMER_APELLIDO]])</f>
        <v>Blanco</v>
      </c>
    </row>
    <row r="1167" spans="1:54" x14ac:dyDescent="0.25">
      <c r="A1167" s="2">
        <v>1166</v>
      </c>
      <c r="B1167" s="2">
        <v>24894</v>
      </c>
      <c r="C1167" s="5" t="s">
        <v>619</v>
      </c>
      <c r="D1167" s="2" t="s">
        <v>620</v>
      </c>
      <c r="E1167" s="6" t="s">
        <v>7596</v>
      </c>
      <c r="F1167" s="6"/>
      <c r="G1167" s="3">
        <v>39.9972602739726</v>
      </c>
      <c r="I1167" s="7"/>
      <c r="J1167" s="7"/>
      <c r="K1167" s="8">
        <v>40.339726027397262</v>
      </c>
      <c r="L1167" s="2" t="s">
        <v>7597</v>
      </c>
      <c r="M1167" s="2" t="s">
        <v>2650</v>
      </c>
      <c r="N1167" s="2" t="s">
        <v>201</v>
      </c>
      <c r="O1167" s="2" t="s">
        <v>235</v>
      </c>
      <c r="P1167" s="2" t="s">
        <v>626</v>
      </c>
      <c r="Q1167" s="2" t="s">
        <v>351</v>
      </c>
      <c r="R1167" s="9">
        <v>30072</v>
      </c>
      <c r="S1167" s="9">
        <v>30072</v>
      </c>
      <c r="T1167" s="2" t="s">
        <v>627</v>
      </c>
      <c r="U1167" s="2" t="s">
        <v>133</v>
      </c>
      <c r="V1167" s="2" t="s">
        <v>627</v>
      </c>
      <c r="W1167" s="2" t="s">
        <v>869</v>
      </c>
      <c r="X1167" s="2" t="s">
        <v>7598</v>
      </c>
      <c r="Y1167" s="2" t="s">
        <v>7599</v>
      </c>
      <c r="Z1167" s="6">
        <v>82006070</v>
      </c>
      <c r="AA1167" s="2">
        <v>87706486</v>
      </c>
      <c r="AB1167" s="2" t="s">
        <v>654</v>
      </c>
      <c r="AC1167" s="2" t="s">
        <v>632</v>
      </c>
      <c r="AD1167" s="10">
        <v>82006070</v>
      </c>
      <c r="AE1167" s="11"/>
      <c r="AF1167" s="11">
        <v>87706486</v>
      </c>
      <c r="AG1167" s="11"/>
      <c r="AH1167" s="11"/>
      <c r="AI1167" s="11"/>
      <c r="AJ1167" s="11">
        <v>82006070</v>
      </c>
      <c r="AK1167" s="12">
        <v>2</v>
      </c>
      <c r="AL1167" s="12" t="s">
        <v>7377</v>
      </c>
      <c r="AM1167" s="2">
        <v>0</v>
      </c>
      <c r="AN1167" s="2">
        <v>0</v>
      </c>
      <c r="AO1167" s="2">
        <v>0</v>
      </c>
      <c r="AP1167" s="2">
        <v>1</v>
      </c>
      <c r="AQ1167" s="2">
        <v>0</v>
      </c>
      <c r="AR1167" s="2">
        <v>0</v>
      </c>
      <c r="AS1167" s="2">
        <v>0</v>
      </c>
      <c r="AT1167" s="2">
        <v>0</v>
      </c>
      <c r="BB1167" s="2" t="str">
        <f>+PROPER(BD[[#This Row],[PRIMER_APELLIDO]])</f>
        <v>Palacios</v>
      </c>
    </row>
    <row r="1168" spans="1:54" x14ac:dyDescent="0.25">
      <c r="A1168" s="2">
        <v>1167</v>
      </c>
      <c r="B1168" s="2">
        <v>25766</v>
      </c>
      <c r="C1168" s="5" t="s">
        <v>619</v>
      </c>
      <c r="D1168" s="2" t="s">
        <v>620</v>
      </c>
      <c r="E1168" s="6" t="s">
        <v>7600</v>
      </c>
      <c r="F1168" s="6">
        <v>19863995</v>
      </c>
      <c r="G1168" s="3">
        <v>39.9972602739726</v>
      </c>
      <c r="I1168" s="7"/>
      <c r="J1168" s="7"/>
      <c r="K1168" s="8">
        <v>40.353424657534248</v>
      </c>
      <c r="L1168" s="2" t="s">
        <v>903</v>
      </c>
      <c r="M1168" s="2" t="s">
        <v>4779</v>
      </c>
      <c r="N1168" s="2" t="s">
        <v>331</v>
      </c>
      <c r="O1168" s="2" t="s">
        <v>130</v>
      </c>
      <c r="P1168" s="2" t="s">
        <v>649</v>
      </c>
      <c r="Q1168" s="2" t="s">
        <v>351</v>
      </c>
      <c r="R1168" s="9">
        <v>30067</v>
      </c>
      <c r="S1168" s="9">
        <v>30067</v>
      </c>
      <c r="T1168" s="2" t="s">
        <v>732</v>
      </c>
      <c r="U1168" s="2" t="s">
        <v>732</v>
      </c>
      <c r="V1168" s="2" t="s">
        <v>1060</v>
      </c>
      <c r="W1168" s="2" t="s">
        <v>1061</v>
      </c>
      <c r="X1168" s="2" t="s">
        <v>7601</v>
      </c>
      <c r="Y1168" s="2" t="s">
        <v>7602</v>
      </c>
      <c r="Z1168" s="6">
        <v>89447685</v>
      </c>
      <c r="AA1168" s="2" t="s">
        <v>7603</v>
      </c>
      <c r="AB1168" s="2" t="s">
        <v>654</v>
      </c>
      <c r="AC1168" s="2" t="s">
        <v>632</v>
      </c>
      <c r="AD1168" s="10">
        <v>89447685</v>
      </c>
      <c r="AE1168" s="11"/>
      <c r="AF1168" s="11"/>
      <c r="AG1168" s="11">
        <v>89447685</v>
      </c>
      <c r="AH1168" s="11"/>
      <c r="AI1168" s="11"/>
      <c r="AJ1168" s="11">
        <v>89447685</v>
      </c>
      <c r="AK1168" s="12">
        <v>3</v>
      </c>
      <c r="AL1168" s="12" t="s">
        <v>7377</v>
      </c>
      <c r="AM1168" s="2">
        <v>0</v>
      </c>
      <c r="AN1168" s="2">
        <v>0</v>
      </c>
      <c r="AO1168" s="2">
        <v>0</v>
      </c>
      <c r="AP1168" s="2">
        <v>1</v>
      </c>
      <c r="AQ1168" s="2">
        <v>0</v>
      </c>
      <c r="AR1168" s="2">
        <v>0</v>
      </c>
      <c r="AS1168" s="2">
        <v>0</v>
      </c>
      <c r="AT1168" s="2">
        <v>0</v>
      </c>
      <c r="AZ1168" s="2" t="s">
        <v>7604</v>
      </c>
      <c r="BB1168" s="2" t="str">
        <f>+PROPER(BD[[#This Row],[PRIMER_APELLIDO]])</f>
        <v>Rosales</v>
      </c>
    </row>
    <row r="1169" spans="1:54" x14ac:dyDescent="0.25">
      <c r="A1169" s="2">
        <v>1168</v>
      </c>
      <c r="B1169" s="2">
        <v>52379</v>
      </c>
      <c r="C1169" s="5" t="s">
        <v>619</v>
      </c>
      <c r="D1169" s="2" t="s">
        <v>620</v>
      </c>
      <c r="E1169" s="6" t="s">
        <v>7605</v>
      </c>
      <c r="F1169" s="6">
        <v>16056013</v>
      </c>
      <c r="G1169" s="3">
        <v>39.9972602739726</v>
      </c>
      <c r="I1169" s="7"/>
      <c r="J1169" s="7"/>
      <c r="K1169" s="8">
        <v>40.353424657534248</v>
      </c>
      <c r="L1169" s="2" t="s">
        <v>1024</v>
      </c>
      <c r="M1169" s="2" t="s">
        <v>904</v>
      </c>
      <c r="N1169" s="2" t="s">
        <v>112</v>
      </c>
      <c r="O1169" s="2" t="s">
        <v>7606</v>
      </c>
      <c r="P1169" s="2" t="s">
        <v>649</v>
      </c>
      <c r="Q1169" s="2" t="s">
        <v>351</v>
      </c>
      <c r="R1169" s="9">
        <v>30067</v>
      </c>
      <c r="S1169" s="9">
        <v>30067</v>
      </c>
      <c r="T1169" s="2" t="s">
        <v>659</v>
      </c>
      <c r="U1169" s="2" t="s">
        <v>659</v>
      </c>
      <c r="V1169" s="2" t="s">
        <v>659</v>
      </c>
      <c r="W1169" s="2" t="s">
        <v>659</v>
      </c>
      <c r="X1169" s="2" t="s">
        <v>7607</v>
      </c>
      <c r="Y1169" s="2" t="s">
        <v>7608</v>
      </c>
      <c r="Z1169" s="6">
        <v>82726897</v>
      </c>
      <c r="AA1169" s="2" t="s">
        <v>7609</v>
      </c>
      <c r="AB1169" s="2" t="s">
        <v>798</v>
      </c>
      <c r="AC1169" s="2" t="s">
        <v>632</v>
      </c>
      <c r="AD1169" s="10">
        <v>82726897</v>
      </c>
      <c r="AE1169" s="11"/>
      <c r="AF1169" s="11"/>
      <c r="AG1169" s="11">
        <v>86929780</v>
      </c>
      <c r="AH1169" s="11"/>
      <c r="AI1169" s="11"/>
      <c r="AJ1169" s="11">
        <v>82726897</v>
      </c>
      <c r="AK1169" s="12">
        <v>3</v>
      </c>
      <c r="AL1169" s="12" t="s">
        <v>7377</v>
      </c>
      <c r="AM1169" s="2">
        <v>0</v>
      </c>
      <c r="AN1169" s="2">
        <v>0</v>
      </c>
      <c r="AO1169" s="2">
        <v>0</v>
      </c>
      <c r="AP1169" s="2">
        <v>1</v>
      </c>
      <c r="AQ1169" s="2">
        <v>0</v>
      </c>
      <c r="AR1169" s="2">
        <v>0</v>
      </c>
      <c r="AS1169" s="2">
        <v>0</v>
      </c>
      <c r="AT1169" s="2">
        <v>0</v>
      </c>
      <c r="AZ1169" s="2" t="s">
        <v>7610</v>
      </c>
      <c r="BB1169" s="2" t="str">
        <f>+PROPER(BD[[#This Row],[PRIMER_APELLIDO]])</f>
        <v>Baltodano</v>
      </c>
    </row>
    <row r="1170" spans="1:54" x14ac:dyDescent="0.25">
      <c r="A1170" s="2">
        <v>1169</v>
      </c>
      <c r="B1170" s="2">
        <v>25215</v>
      </c>
      <c r="C1170" s="5" t="s">
        <v>619</v>
      </c>
      <c r="D1170" s="2" t="s">
        <v>620</v>
      </c>
      <c r="E1170" s="6" t="s">
        <v>7611</v>
      </c>
      <c r="F1170" s="6">
        <v>20900038</v>
      </c>
      <c r="G1170" s="3">
        <v>39.9972602739726</v>
      </c>
      <c r="I1170" s="7"/>
      <c r="J1170" s="7"/>
      <c r="K1170" s="8">
        <v>40.369863013698627</v>
      </c>
      <c r="L1170" s="2" t="s">
        <v>7612</v>
      </c>
      <c r="M1170" s="2" t="s">
        <v>7613</v>
      </c>
      <c r="N1170" s="2" t="s">
        <v>219</v>
      </c>
      <c r="O1170" s="2" t="s">
        <v>82</v>
      </c>
      <c r="P1170" s="2" t="s">
        <v>649</v>
      </c>
      <c r="Q1170" s="2" t="s">
        <v>351</v>
      </c>
      <c r="R1170" s="9">
        <v>30061</v>
      </c>
      <c r="S1170" s="9">
        <v>30061</v>
      </c>
      <c r="T1170" s="2" t="s">
        <v>1044</v>
      </c>
      <c r="U1170" s="2" t="s">
        <v>1044</v>
      </c>
      <c r="V1170" s="2" t="s">
        <v>7614</v>
      </c>
      <c r="W1170" s="2" t="s">
        <v>7614</v>
      </c>
      <c r="X1170" s="2" t="s">
        <v>7615</v>
      </c>
      <c r="Y1170" s="2" t="s">
        <v>7616</v>
      </c>
      <c r="Z1170" s="6">
        <v>83307947</v>
      </c>
      <c r="AA1170" s="2">
        <v>85092341</v>
      </c>
      <c r="AB1170" s="2" t="s">
        <v>798</v>
      </c>
      <c r="AC1170" s="2" t="s">
        <v>632</v>
      </c>
      <c r="AD1170" s="10">
        <v>83307947</v>
      </c>
      <c r="AE1170" s="11"/>
      <c r="AF1170" s="11">
        <v>85092341</v>
      </c>
      <c r="AG1170" s="11"/>
      <c r="AH1170" s="11"/>
      <c r="AI1170" s="11"/>
      <c r="AJ1170" s="11">
        <v>83307947</v>
      </c>
      <c r="AK1170" s="12">
        <v>2</v>
      </c>
      <c r="AL1170" s="12" t="s">
        <v>7377</v>
      </c>
      <c r="AM1170" s="2">
        <v>0</v>
      </c>
      <c r="AN1170" s="2">
        <v>0</v>
      </c>
      <c r="AO1170" s="2">
        <v>0</v>
      </c>
      <c r="AP1170" s="2">
        <v>1</v>
      </c>
      <c r="AQ1170" s="2">
        <v>0</v>
      </c>
      <c r="AR1170" s="2">
        <v>0</v>
      </c>
      <c r="AS1170" s="2">
        <v>0</v>
      </c>
      <c r="AT1170" s="2">
        <v>0</v>
      </c>
      <c r="AZ1170" s="2" t="s">
        <v>7617</v>
      </c>
      <c r="BB1170" s="2" t="str">
        <f>+PROPER(BD[[#This Row],[PRIMER_APELLIDO]])</f>
        <v>Huete</v>
      </c>
    </row>
    <row r="1171" spans="1:54" x14ac:dyDescent="0.25">
      <c r="A1171" s="2">
        <v>1170</v>
      </c>
      <c r="B1171" s="2">
        <v>23707</v>
      </c>
      <c r="C1171" s="5" t="s">
        <v>619</v>
      </c>
      <c r="D1171" s="2" t="s">
        <v>620</v>
      </c>
      <c r="E1171" s="6" t="s">
        <v>7618</v>
      </c>
      <c r="F1171" s="6">
        <v>20556200</v>
      </c>
      <c r="G1171" s="3">
        <v>39.9972602739726</v>
      </c>
      <c r="I1171" s="7"/>
      <c r="J1171" s="7"/>
      <c r="K1171" s="8">
        <v>40.37808219178082</v>
      </c>
      <c r="L1171" s="2" t="s">
        <v>2324</v>
      </c>
      <c r="M1171" s="2" t="s">
        <v>975</v>
      </c>
      <c r="N1171" s="2" t="s">
        <v>477</v>
      </c>
      <c r="O1171" s="2" t="s">
        <v>14</v>
      </c>
      <c r="P1171" s="2" t="s">
        <v>649</v>
      </c>
      <c r="Q1171" s="2" t="s">
        <v>351</v>
      </c>
      <c r="R1171" s="9">
        <v>30058</v>
      </c>
      <c r="S1171" s="9">
        <v>30058</v>
      </c>
      <c r="U1171" s="2" t="s">
        <v>176</v>
      </c>
      <c r="W1171" s="2" t="s">
        <v>176</v>
      </c>
      <c r="X1171" s="2" t="s">
        <v>7619</v>
      </c>
      <c r="Y1171" s="2" t="s">
        <v>7620</v>
      </c>
      <c r="Z1171" s="6"/>
      <c r="AA1171" s="2" t="s">
        <v>7621</v>
      </c>
      <c r="AB1171" s="2" t="s">
        <v>654</v>
      </c>
      <c r="AC1171" s="2" t="s">
        <v>632</v>
      </c>
      <c r="AD1171" s="10"/>
      <c r="AE1171" s="11"/>
      <c r="AF1171" s="11"/>
      <c r="AG1171" s="11">
        <v>89082149</v>
      </c>
      <c r="AH1171" s="11"/>
      <c r="AI1171" s="11"/>
      <c r="AJ1171" s="11">
        <v>89082149</v>
      </c>
      <c r="AK1171" s="12">
        <v>2</v>
      </c>
      <c r="AL1171" s="12" t="s">
        <v>7377</v>
      </c>
      <c r="AM1171" s="2">
        <v>0</v>
      </c>
      <c r="AN1171" s="2">
        <v>0</v>
      </c>
      <c r="AO1171" s="2">
        <v>0</v>
      </c>
      <c r="AP1171" s="2">
        <v>1</v>
      </c>
      <c r="AQ1171" s="2">
        <v>0</v>
      </c>
      <c r="AR1171" s="2">
        <v>0</v>
      </c>
      <c r="AS1171" s="2">
        <v>0</v>
      </c>
      <c r="AT1171" s="2">
        <v>0</v>
      </c>
      <c r="BB1171" s="2" t="str">
        <f>+PROPER(BD[[#This Row],[PRIMER_APELLIDO]])</f>
        <v>Fajardo</v>
      </c>
    </row>
    <row r="1172" spans="1:54" x14ac:dyDescent="0.25">
      <c r="A1172" s="2">
        <v>1171</v>
      </c>
      <c r="B1172" s="2">
        <v>27889</v>
      </c>
      <c r="C1172" s="5" t="s">
        <v>619</v>
      </c>
      <c r="D1172" s="2" t="s">
        <v>620</v>
      </c>
      <c r="E1172" s="6" t="s">
        <v>7622</v>
      </c>
      <c r="F1172" s="6">
        <v>20913119</v>
      </c>
      <c r="G1172" s="3">
        <v>39.9972602739726</v>
      </c>
      <c r="I1172" s="7"/>
      <c r="J1172" s="7"/>
      <c r="K1172" s="8">
        <v>40.38082191780822</v>
      </c>
      <c r="L1172" s="2" t="s">
        <v>7623</v>
      </c>
      <c r="M1172" s="2" t="s">
        <v>1163</v>
      </c>
      <c r="N1172" s="2" t="s">
        <v>181</v>
      </c>
      <c r="O1172" s="2" t="s">
        <v>255</v>
      </c>
      <c r="P1172" s="2" t="s">
        <v>626</v>
      </c>
      <c r="Q1172" s="2" t="s">
        <v>351</v>
      </c>
      <c r="R1172" s="9">
        <v>30057</v>
      </c>
      <c r="S1172" s="9">
        <v>30057</v>
      </c>
      <c r="T1172" s="2" t="s">
        <v>1104</v>
      </c>
      <c r="U1172" s="2" t="s">
        <v>1104</v>
      </c>
      <c r="V1172" s="2" t="s">
        <v>1738</v>
      </c>
      <c r="W1172" s="2" t="s">
        <v>1739</v>
      </c>
      <c r="X1172" s="2" t="s">
        <v>7624</v>
      </c>
      <c r="Y1172" s="2" t="s">
        <v>7625</v>
      </c>
      <c r="Z1172" s="6">
        <v>89253512</v>
      </c>
      <c r="AA1172" s="2">
        <v>86696335</v>
      </c>
      <c r="AB1172" s="2" t="s">
        <v>654</v>
      </c>
      <c r="AC1172" s="2" t="s">
        <v>632</v>
      </c>
      <c r="AD1172" s="10">
        <v>89253512</v>
      </c>
      <c r="AE1172" s="11"/>
      <c r="AF1172" s="11">
        <v>86696335</v>
      </c>
      <c r="AG1172" s="11"/>
      <c r="AH1172" s="11"/>
      <c r="AI1172" s="11"/>
      <c r="AJ1172" s="11">
        <v>89253512</v>
      </c>
      <c r="AK1172" s="12">
        <v>2</v>
      </c>
      <c r="AL1172" s="12" t="s">
        <v>7377</v>
      </c>
      <c r="AM1172" s="2">
        <v>0</v>
      </c>
      <c r="AN1172" s="2">
        <v>0</v>
      </c>
      <c r="AO1172" s="2">
        <v>0</v>
      </c>
      <c r="AP1172" s="2">
        <v>1</v>
      </c>
      <c r="AQ1172" s="2">
        <v>0</v>
      </c>
      <c r="AR1172" s="2">
        <v>0</v>
      </c>
      <c r="AS1172" s="2">
        <v>0</v>
      </c>
      <c r="AT1172" s="2">
        <v>0</v>
      </c>
      <c r="BB1172" s="2" t="str">
        <f>+PROPER(BD[[#This Row],[PRIMER_APELLIDO]])</f>
        <v>Escoto</v>
      </c>
    </row>
    <row r="1173" spans="1:54" x14ac:dyDescent="0.25">
      <c r="A1173" s="2">
        <v>1172</v>
      </c>
      <c r="B1173" s="2">
        <v>29514</v>
      </c>
      <c r="C1173" s="5" t="s">
        <v>619</v>
      </c>
      <c r="D1173" s="2" t="s">
        <v>620</v>
      </c>
      <c r="E1173" s="6" t="s">
        <v>7626</v>
      </c>
      <c r="F1173" s="6">
        <v>21752739</v>
      </c>
      <c r="G1173" s="3">
        <v>39.9972602739726</v>
      </c>
      <c r="I1173" s="7"/>
      <c r="J1173" s="7"/>
      <c r="K1173" s="8">
        <v>40.391780821917806</v>
      </c>
      <c r="L1173" s="2" t="s">
        <v>7627</v>
      </c>
      <c r="M1173" s="2" t="s">
        <v>7628</v>
      </c>
      <c r="N1173" s="2" t="s">
        <v>52</v>
      </c>
      <c r="O1173" s="2" t="s">
        <v>295</v>
      </c>
      <c r="P1173" s="2" t="s">
        <v>626</v>
      </c>
      <c r="Q1173" s="2" t="s">
        <v>351</v>
      </c>
      <c r="R1173" s="9">
        <v>30053</v>
      </c>
      <c r="S1173" s="9">
        <v>30053</v>
      </c>
      <c r="T1173" s="2" t="s">
        <v>1005</v>
      </c>
      <c r="U1173" s="2" t="s">
        <v>1005</v>
      </c>
      <c r="V1173" s="2" t="s">
        <v>1006</v>
      </c>
      <c r="W1173" s="2" t="s">
        <v>1006</v>
      </c>
      <c r="X1173" s="2" t="s">
        <v>7629</v>
      </c>
      <c r="Y1173" s="2" t="s">
        <v>7630</v>
      </c>
      <c r="Z1173" s="6"/>
      <c r="AA1173" s="2">
        <v>58255041</v>
      </c>
      <c r="AB1173" s="2" t="s">
        <v>642</v>
      </c>
      <c r="AC1173" s="2" t="s">
        <v>632</v>
      </c>
      <c r="AD1173" s="10"/>
      <c r="AE1173" s="11"/>
      <c r="AF1173" s="11">
        <v>58255041</v>
      </c>
      <c r="AG1173" s="11"/>
      <c r="AH1173" s="11"/>
      <c r="AI1173" s="11"/>
      <c r="AJ1173" s="11">
        <v>58255041</v>
      </c>
      <c r="AK1173" s="12">
        <v>1</v>
      </c>
      <c r="AL1173" s="12" t="s">
        <v>7377</v>
      </c>
      <c r="AM1173" s="2">
        <v>0</v>
      </c>
      <c r="AN1173" s="2">
        <v>0</v>
      </c>
      <c r="AO1173" s="2">
        <v>0</v>
      </c>
      <c r="AP1173" s="2">
        <v>1</v>
      </c>
      <c r="AQ1173" s="2">
        <v>0</v>
      </c>
      <c r="AR1173" s="2">
        <v>0</v>
      </c>
      <c r="AS1173" s="2">
        <v>0</v>
      </c>
      <c r="AT1173" s="2">
        <v>0</v>
      </c>
      <c r="BB1173" s="2" t="str">
        <f>+PROPER(BD[[#This Row],[PRIMER_APELLIDO]])</f>
        <v>Vasquez</v>
      </c>
    </row>
    <row r="1174" spans="1:54" x14ac:dyDescent="0.25">
      <c r="A1174" s="2">
        <v>1173</v>
      </c>
      <c r="B1174" s="2">
        <v>36310</v>
      </c>
      <c r="C1174" s="5" t="s">
        <v>619</v>
      </c>
      <c r="D1174" s="2" t="s">
        <v>620</v>
      </c>
      <c r="E1174" s="6" t="s">
        <v>7631</v>
      </c>
      <c r="F1174" s="6"/>
      <c r="G1174" s="3">
        <v>39.9972602739726</v>
      </c>
      <c r="I1174" s="7"/>
      <c r="J1174" s="7"/>
      <c r="K1174" s="8">
        <v>40.397260273972606</v>
      </c>
      <c r="L1174" s="2" t="s">
        <v>7632</v>
      </c>
      <c r="M1174" s="2" t="s">
        <v>1692</v>
      </c>
      <c r="N1174" s="2" t="s">
        <v>458</v>
      </c>
      <c r="O1174" s="2" t="s">
        <v>350</v>
      </c>
      <c r="P1174" s="2" t="s">
        <v>649</v>
      </c>
      <c r="Q1174" s="2" t="s">
        <v>351</v>
      </c>
      <c r="R1174" s="9">
        <v>30051</v>
      </c>
      <c r="S1174" s="9">
        <v>30051</v>
      </c>
      <c r="T1174" s="2" t="s">
        <v>1191</v>
      </c>
      <c r="U1174" s="2" t="s">
        <v>1191</v>
      </c>
      <c r="V1174" s="2" t="s">
        <v>1300</v>
      </c>
      <c r="W1174" s="2" t="s">
        <v>1300</v>
      </c>
      <c r="X1174" s="2" t="s">
        <v>7633</v>
      </c>
      <c r="Y1174" s="2" t="s">
        <v>7634</v>
      </c>
      <c r="Z1174" s="6">
        <v>87375247</v>
      </c>
      <c r="AA1174" s="2">
        <v>83314098</v>
      </c>
      <c r="AB1174" s="2" t="s">
        <v>798</v>
      </c>
      <c r="AC1174" s="2" t="s">
        <v>632</v>
      </c>
      <c r="AD1174" s="10">
        <v>87375247</v>
      </c>
      <c r="AE1174" s="11"/>
      <c r="AF1174" s="11">
        <v>83314098</v>
      </c>
      <c r="AG1174" s="11"/>
      <c r="AH1174" s="11"/>
      <c r="AI1174" s="11"/>
      <c r="AJ1174" s="11">
        <v>87375247</v>
      </c>
      <c r="AK1174" s="12">
        <v>2</v>
      </c>
      <c r="AL1174" s="12" t="s">
        <v>7377</v>
      </c>
      <c r="AM1174" s="2">
        <v>0</v>
      </c>
      <c r="AN1174" s="2">
        <v>0</v>
      </c>
      <c r="AO1174" s="2">
        <v>0</v>
      </c>
      <c r="AP1174" s="2">
        <v>1</v>
      </c>
      <c r="AQ1174" s="2">
        <v>0</v>
      </c>
      <c r="AR1174" s="2">
        <v>0</v>
      </c>
      <c r="AS1174" s="2">
        <v>0</v>
      </c>
      <c r="AT1174" s="2">
        <v>0</v>
      </c>
      <c r="AZ1174" s="2" t="s">
        <v>7635</v>
      </c>
      <c r="BB1174" s="2" t="str">
        <f>+PROPER(BD[[#This Row],[PRIMER_APELLIDO]])</f>
        <v>Madrigal</v>
      </c>
    </row>
    <row r="1175" spans="1:54" x14ac:dyDescent="0.25">
      <c r="A1175" s="2">
        <v>1174</v>
      </c>
      <c r="B1175" s="2">
        <v>53645</v>
      </c>
      <c r="C1175" s="5" t="s">
        <v>619</v>
      </c>
      <c r="D1175" s="2" t="s">
        <v>620</v>
      </c>
      <c r="E1175" s="6" t="s">
        <v>7636</v>
      </c>
      <c r="F1175" s="6"/>
      <c r="G1175" s="3">
        <v>39.9972602739726</v>
      </c>
      <c r="I1175" s="7"/>
      <c r="J1175" s="7"/>
      <c r="K1175" s="8">
        <v>40.405479452054792</v>
      </c>
      <c r="L1175" s="2" t="s">
        <v>7637</v>
      </c>
      <c r="M1175" s="2" t="s">
        <v>904</v>
      </c>
      <c r="N1175" s="2" t="s">
        <v>488</v>
      </c>
      <c r="O1175" s="2" t="s">
        <v>7638</v>
      </c>
      <c r="P1175" s="2" t="s">
        <v>649</v>
      </c>
      <c r="Q1175" s="2" t="s">
        <v>351</v>
      </c>
      <c r="R1175" s="9">
        <v>30048</v>
      </c>
      <c r="S1175" s="9">
        <v>30048</v>
      </c>
      <c r="T1175" s="2" t="s">
        <v>627</v>
      </c>
      <c r="U1175" s="2" t="s">
        <v>627</v>
      </c>
      <c r="V1175" s="2" t="s">
        <v>627</v>
      </c>
      <c r="W1175" s="2" t="s">
        <v>627</v>
      </c>
      <c r="X1175" s="2" t="s">
        <v>7639</v>
      </c>
      <c r="Y1175" s="2" t="s">
        <v>7640</v>
      </c>
      <c r="Z1175" s="6">
        <v>57539711</v>
      </c>
      <c r="AA1175" s="2">
        <v>22717978</v>
      </c>
      <c r="AB1175" s="2" t="s">
        <v>798</v>
      </c>
      <c r="AC1175" s="2" t="s">
        <v>632</v>
      </c>
      <c r="AD1175" s="10">
        <v>57539711</v>
      </c>
      <c r="AE1175" s="11"/>
      <c r="AF1175" s="11"/>
      <c r="AG1175" s="11"/>
      <c r="AH1175" s="11"/>
      <c r="AI1175" s="11"/>
      <c r="AJ1175" s="11">
        <v>57539711</v>
      </c>
      <c r="AK1175" s="12">
        <v>2</v>
      </c>
      <c r="AL1175" s="12" t="s">
        <v>7377</v>
      </c>
      <c r="AM1175" s="2">
        <v>0</v>
      </c>
      <c r="AN1175" s="2">
        <v>0</v>
      </c>
      <c r="AO1175" s="2">
        <v>0</v>
      </c>
      <c r="AP1175" s="2">
        <v>1</v>
      </c>
      <c r="AQ1175" s="2">
        <v>0</v>
      </c>
      <c r="AR1175" s="2">
        <v>0</v>
      </c>
      <c r="AS1175" s="2">
        <v>0</v>
      </c>
      <c r="AT1175" s="2">
        <v>0</v>
      </c>
      <c r="AZ1175" s="2" t="s">
        <v>7641</v>
      </c>
      <c r="BB1175" s="2" t="str">
        <f>+PROPER(BD[[#This Row],[PRIMER_APELLIDO]])</f>
        <v>Valverde</v>
      </c>
    </row>
    <row r="1176" spans="1:54" x14ac:dyDescent="0.25">
      <c r="A1176" s="2">
        <v>1175</v>
      </c>
      <c r="B1176" s="2">
        <v>66310</v>
      </c>
      <c r="C1176" s="5" t="s">
        <v>619</v>
      </c>
      <c r="D1176" s="2" t="s">
        <v>620</v>
      </c>
      <c r="E1176" s="6" t="s">
        <v>7642</v>
      </c>
      <c r="F1176" s="6"/>
      <c r="G1176" s="3">
        <v>39.9972602739726</v>
      </c>
      <c r="I1176" s="7"/>
      <c r="J1176" s="7"/>
      <c r="K1176" s="8">
        <v>40.413698630136984</v>
      </c>
      <c r="L1176" s="2" t="s">
        <v>1412</v>
      </c>
      <c r="M1176" s="2" t="s">
        <v>975</v>
      </c>
      <c r="N1176" s="2" t="s">
        <v>86</v>
      </c>
      <c r="P1176" s="2" t="s">
        <v>649</v>
      </c>
      <c r="Q1176" s="2" t="s">
        <v>351</v>
      </c>
      <c r="R1176" s="9">
        <v>30045</v>
      </c>
      <c r="S1176" s="9">
        <v>30045</v>
      </c>
      <c r="T1176" s="2" t="s">
        <v>929</v>
      </c>
      <c r="U1176" s="2" t="s">
        <v>929</v>
      </c>
      <c r="V1176" s="2" t="s">
        <v>1653</v>
      </c>
      <c r="W1176" s="2" t="s">
        <v>1653</v>
      </c>
      <c r="X1176" s="2" t="s">
        <v>7643</v>
      </c>
      <c r="Y1176" s="2" t="s">
        <v>7644</v>
      </c>
      <c r="Z1176" s="6">
        <v>88484984</v>
      </c>
      <c r="AB1176" s="2" t="s">
        <v>654</v>
      </c>
      <c r="AC1176" s="2" t="s">
        <v>632</v>
      </c>
      <c r="AD1176" s="10">
        <v>88484984</v>
      </c>
      <c r="AE1176" s="11"/>
      <c r="AF1176" s="11"/>
      <c r="AG1176" s="11"/>
      <c r="AH1176" s="11"/>
      <c r="AI1176" s="11"/>
      <c r="AJ1176" s="11">
        <v>88484984</v>
      </c>
      <c r="AK1176" s="12">
        <v>1</v>
      </c>
      <c r="AL1176" s="12" t="s">
        <v>7377</v>
      </c>
      <c r="AM1176" s="2">
        <v>0</v>
      </c>
      <c r="AN1176" s="2">
        <v>0</v>
      </c>
      <c r="AO1176" s="2">
        <v>0</v>
      </c>
      <c r="AP1176" s="2">
        <v>1</v>
      </c>
      <c r="AQ1176" s="2">
        <v>0</v>
      </c>
      <c r="AR1176" s="2">
        <v>0</v>
      </c>
      <c r="AS1176" s="2">
        <v>0</v>
      </c>
      <c r="AT1176" s="2">
        <v>0</v>
      </c>
      <c r="AZ1176" s="2" t="s">
        <v>7645</v>
      </c>
      <c r="BB1176" s="2" t="str">
        <f>+PROPER(BD[[#This Row],[PRIMER_APELLIDO]])</f>
        <v>Urbina</v>
      </c>
    </row>
    <row r="1177" spans="1:54" x14ac:dyDescent="0.25">
      <c r="A1177" s="2">
        <v>1176</v>
      </c>
      <c r="B1177" s="2">
        <v>20190</v>
      </c>
      <c r="C1177" s="5" t="s">
        <v>619</v>
      </c>
      <c r="D1177" s="2" t="s">
        <v>620</v>
      </c>
      <c r="E1177" s="6" t="s">
        <v>7646</v>
      </c>
      <c r="F1177" s="6">
        <v>17285416</v>
      </c>
      <c r="G1177" s="3">
        <v>39.9972602739726</v>
      </c>
      <c r="I1177" s="7"/>
      <c r="J1177" s="7"/>
      <c r="K1177" s="8">
        <v>40.416438356164385</v>
      </c>
      <c r="L1177" s="2" t="s">
        <v>7458</v>
      </c>
      <c r="M1177" s="2" t="s">
        <v>1699</v>
      </c>
      <c r="N1177" s="2" t="s">
        <v>24</v>
      </c>
      <c r="O1177" s="2" t="s">
        <v>3968</v>
      </c>
      <c r="P1177" s="2" t="s">
        <v>649</v>
      </c>
      <c r="Q1177" s="2" t="s">
        <v>351</v>
      </c>
      <c r="R1177" s="9">
        <v>30044</v>
      </c>
      <c r="S1177" s="9">
        <v>30044</v>
      </c>
      <c r="T1177" s="2" t="s">
        <v>627</v>
      </c>
      <c r="U1177" s="2" t="s">
        <v>627</v>
      </c>
      <c r="V1177" s="2" t="s">
        <v>627</v>
      </c>
      <c r="W1177" s="2" t="s">
        <v>627</v>
      </c>
      <c r="X1177" s="2" t="s">
        <v>7647</v>
      </c>
      <c r="Y1177" s="2" t="s">
        <v>7648</v>
      </c>
      <c r="Z1177" s="6">
        <v>86452687</v>
      </c>
      <c r="AA1177" s="2">
        <v>22894526</v>
      </c>
      <c r="AB1177" s="2" t="s">
        <v>654</v>
      </c>
      <c r="AC1177" s="2" t="s">
        <v>632</v>
      </c>
      <c r="AD1177" s="10">
        <v>86452687</v>
      </c>
      <c r="AE1177" s="11"/>
      <c r="AF1177" s="11"/>
      <c r="AG1177" s="11"/>
      <c r="AH1177" s="11"/>
      <c r="AI1177" s="11"/>
      <c r="AJ1177" s="11">
        <v>86452687</v>
      </c>
      <c r="AK1177" s="12">
        <v>2</v>
      </c>
      <c r="AL1177" s="12" t="s">
        <v>7377</v>
      </c>
      <c r="AM1177" s="2">
        <v>0</v>
      </c>
      <c r="AN1177" s="2">
        <v>0</v>
      </c>
      <c r="AO1177" s="2">
        <v>0</v>
      </c>
      <c r="AP1177" s="2">
        <v>1</v>
      </c>
      <c r="AQ1177" s="2">
        <v>0</v>
      </c>
      <c r="AR1177" s="2">
        <v>0</v>
      </c>
      <c r="AS1177" s="2">
        <v>0</v>
      </c>
      <c r="AT1177" s="2">
        <v>0</v>
      </c>
      <c r="BB1177" s="2" t="str">
        <f>+PROPER(BD[[#This Row],[PRIMER_APELLIDO]])</f>
        <v>Perez</v>
      </c>
    </row>
    <row r="1178" spans="1:54" x14ac:dyDescent="0.25">
      <c r="A1178" s="2">
        <v>1177</v>
      </c>
      <c r="B1178" s="2">
        <v>27086</v>
      </c>
      <c r="C1178" s="5" t="s">
        <v>619</v>
      </c>
      <c r="D1178" s="2" t="s">
        <v>620</v>
      </c>
      <c r="E1178" s="6" t="s">
        <v>7649</v>
      </c>
      <c r="F1178" s="6">
        <v>21990623</v>
      </c>
      <c r="G1178" s="3">
        <v>39.9972602739726</v>
      </c>
      <c r="I1178" s="7"/>
      <c r="J1178" s="7"/>
      <c r="K1178" s="8">
        <v>40.416438356164385</v>
      </c>
      <c r="L1178" s="2" t="s">
        <v>7650</v>
      </c>
      <c r="M1178" s="2" t="s">
        <v>3736</v>
      </c>
      <c r="N1178" s="2" t="s">
        <v>82</v>
      </c>
      <c r="O1178" s="2" t="s">
        <v>222</v>
      </c>
      <c r="P1178" s="2" t="s">
        <v>626</v>
      </c>
      <c r="Q1178" s="2" t="s">
        <v>351</v>
      </c>
      <c r="R1178" s="9">
        <v>30044</v>
      </c>
      <c r="S1178" s="9">
        <v>30044</v>
      </c>
      <c r="T1178" s="2" t="s">
        <v>176</v>
      </c>
      <c r="U1178" s="2" t="s">
        <v>176</v>
      </c>
      <c r="V1178" s="2" t="s">
        <v>650</v>
      </c>
      <c r="W1178" s="2" t="s">
        <v>176</v>
      </c>
      <c r="X1178" s="2" t="s">
        <v>7651</v>
      </c>
      <c r="Y1178" s="2" t="s">
        <v>7652</v>
      </c>
      <c r="Z1178" s="6">
        <v>76928682</v>
      </c>
      <c r="AA1178" s="2">
        <v>85884928</v>
      </c>
      <c r="AB1178" s="2" t="s">
        <v>642</v>
      </c>
      <c r="AC1178" s="2" t="s">
        <v>632</v>
      </c>
      <c r="AD1178" s="10">
        <v>76928682</v>
      </c>
      <c r="AE1178" s="11"/>
      <c r="AF1178" s="11">
        <v>85884928</v>
      </c>
      <c r="AG1178" s="11"/>
      <c r="AH1178" s="11"/>
      <c r="AI1178" s="11"/>
      <c r="AJ1178" s="11">
        <v>76928682</v>
      </c>
      <c r="AK1178" s="12">
        <v>2</v>
      </c>
      <c r="AL1178" s="12" t="s">
        <v>7377</v>
      </c>
      <c r="AM1178" s="2">
        <v>0</v>
      </c>
      <c r="AN1178" s="2">
        <v>0</v>
      </c>
      <c r="AO1178" s="2">
        <v>0</v>
      </c>
      <c r="AP1178" s="2">
        <v>1</v>
      </c>
      <c r="AQ1178" s="2">
        <v>0</v>
      </c>
      <c r="AR1178" s="2">
        <v>0</v>
      </c>
      <c r="AS1178" s="2">
        <v>0</v>
      </c>
      <c r="AT1178" s="2">
        <v>0</v>
      </c>
      <c r="AZ1178" s="2" t="s">
        <v>7653</v>
      </c>
      <c r="BB1178" s="2" t="str">
        <f>+PROPER(BD[[#This Row],[PRIMER_APELLIDO]])</f>
        <v>Morales</v>
      </c>
    </row>
    <row r="1179" spans="1:54" x14ac:dyDescent="0.25">
      <c r="A1179" s="2">
        <v>1178</v>
      </c>
      <c r="B1179" s="2">
        <v>21648</v>
      </c>
      <c r="C1179" s="5" t="s">
        <v>619</v>
      </c>
      <c r="D1179" s="2" t="s">
        <v>620</v>
      </c>
      <c r="E1179" s="6" t="s">
        <v>7654</v>
      </c>
      <c r="F1179" s="6"/>
      <c r="G1179" s="3">
        <v>39.9972602739726</v>
      </c>
      <c r="I1179" s="7"/>
      <c r="J1179" s="7"/>
      <c r="K1179" s="8">
        <v>40.424657534246577</v>
      </c>
      <c r="L1179" s="2" t="s">
        <v>7655</v>
      </c>
      <c r="M1179" s="2" t="s">
        <v>1126</v>
      </c>
      <c r="N1179" s="2" t="s">
        <v>482</v>
      </c>
      <c r="O1179" s="2" t="s">
        <v>474</v>
      </c>
      <c r="P1179" s="2" t="s">
        <v>626</v>
      </c>
      <c r="Q1179" s="2" t="s">
        <v>351</v>
      </c>
      <c r="R1179" s="9">
        <v>30041</v>
      </c>
      <c r="S1179" s="9">
        <v>30041</v>
      </c>
      <c r="T1179" s="2" t="s">
        <v>627</v>
      </c>
      <c r="U1179" s="2" t="s">
        <v>627</v>
      </c>
      <c r="V1179" s="2" t="s">
        <v>692</v>
      </c>
      <c r="W1179" s="2" t="s">
        <v>692</v>
      </c>
      <c r="X1179" s="2" t="s">
        <v>7656</v>
      </c>
      <c r="Y1179" s="2" t="s">
        <v>7657</v>
      </c>
      <c r="Z1179" s="6"/>
      <c r="AA1179" s="2">
        <v>83967441</v>
      </c>
      <c r="AB1179" s="2" t="s">
        <v>642</v>
      </c>
      <c r="AC1179" s="2" t="s">
        <v>632</v>
      </c>
      <c r="AD1179" s="10"/>
      <c r="AE1179" s="11"/>
      <c r="AF1179" s="11">
        <v>83967441</v>
      </c>
      <c r="AG1179" s="11"/>
      <c r="AH1179" s="11"/>
      <c r="AI1179" s="11"/>
      <c r="AJ1179" s="11">
        <v>83967441</v>
      </c>
      <c r="AK1179" s="12">
        <v>1</v>
      </c>
      <c r="AL1179" s="12" t="s">
        <v>7377</v>
      </c>
      <c r="AM1179" s="2">
        <v>0</v>
      </c>
      <c r="AN1179" s="2">
        <v>0</v>
      </c>
      <c r="AO1179" s="2">
        <v>0</v>
      </c>
      <c r="AP1179" s="2">
        <v>1</v>
      </c>
      <c r="AQ1179" s="2">
        <v>0</v>
      </c>
      <c r="AR1179" s="2">
        <v>0</v>
      </c>
      <c r="AS1179" s="2">
        <v>0</v>
      </c>
      <c r="AT1179" s="2">
        <v>0</v>
      </c>
      <c r="BA1179" s="2" t="s">
        <v>7658</v>
      </c>
      <c r="BB1179" s="2" t="str">
        <f>+PROPER(BD[[#This Row],[PRIMER_APELLIDO]])</f>
        <v>Maradiaga</v>
      </c>
    </row>
    <row r="1180" spans="1:54" x14ac:dyDescent="0.25">
      <c r="A1180" s="2">
        <v>1179</v>
      </c>
      <c r="B1180" s="2">
        <v>50227</v>
      </c>
      <c r="C1180" s="5" t="s">
        <v>619</v>
      </c>
      <c r="D1180" s="2" t="s">
        <v>620</v>
      </c>
      <c r="E1180" s="6" t="s">
        <v>7659</v>
      </c>
      <c r="F1180" s="6">
        <v>25024665</v>
      </c>
      <c r="G1180" s="3">
        <v>39.9972602739726</v>
      </c>
      <c r="I1180" s="7"/>
      <c r="J1180" s="7"/>
      <c r="K1180" s="8">
        <v>40.446575342465756</v>
      </c>
      <c r="L1180" s="2" t="s">
        <v>1857</v>
      </c>
      <c r="M1180" s="2" t="s">
        <v>1554</v>
      </c>
      <c r="N1180" s="2" t="s">
        <v>197</v>
      </c>
      <c r="O1180" s="2" t="s">
        <v>420</v>
      </c>
      <c r="P1180" s="2" t="s">
        <v>649</v>
      </c>
      <c r="Q1180" s="2" t="s">
        <v>351</v>
      </c>
      <c r="R1180" s="9">
        <v>30033</v>
      </c>
      <c r="S1180" s="9">
        <v>30033</v>
      </c>
      <c r="T1180" s="2" t="s">
        <v>627</v>
      </c>
      <c r="U1180" s="2" t="s">
        <v>627</v>
      </c>
      <c r="V1180" s="2" t="s">
        <v>627</v>
      </c>
      <c r="W1180" s="2" t="s">
        <v>627</v>
      </c>
      <c r="X1180" s="2" t="s">
        <v>7660</v>
      </c>
      <c r="Y1180" s="2" t="s">
        <v>7661</v>
      </c>
      <c r="Z1180" s="6"/>
      <c r="AA1180" s="2" t="s">
        <v>7662</v>
      </c>
      <c r="AB1180" s="2" t="s">
        <v>798</v>
      </c>
      <c r="AC1180" s="2" t="s">
        <v>632</v>
      </c>
      <c r="AD1180" s="10"/>
      <c r="AE1180" s="11"/>
      <c r="AF1180" s="11"/>
      <c r="AG1180" s="11">
        <v>84291823</v>
      </c>
      <c r="AH1180" s="11"/>
      <c r="AI1180" s="11"/>
      <c r="AJ1180" s="11">
        <v>84291823</v>
      </c>
      <c r="AK1180" s="12">
        <v>2</v>
      </c>
      <c r="AL1180" s="12" t="s">
        <v>7377</v>
      </c>
      <c r="AM1180" s="2">
        <v>0</v>
      </c>
      <c r="AN1180" s="2">
        <v>0</v>
      </c>
      <c r="AO1180" s="2">
        <v>0</v>
      </c>
      <c r="AP1180" s="2">
        <v>1</v>
      </c>
      <c r="AQ1180" s="2">
        <v>0</v>
      </c>
      <c r="AR1180" s="2">
        <v>0</v>
      </c>
      <c r="AS1180" s="2">
        <v>0</v>
      </c>
      <c r="AT1180" s="2">
        <v>0</v>
      </c>
      <c r="BA1180" s="2" t="s">
        <v>7663</v>
      </c>
      <c r="BB1180" s="2" t="str">
        <f>+PROPER(BD[[#This Row],[PRIMER_APELLIDO]])</f>
        <v>Munguia</v>
      </c>
    </row>
    <row r="1181" spans="1:54" x14ac:dyDescent="0.25">
      <c r="A1181" s="2">
        <v>1180</v>
      </c>
      <c r="B1181" s="2">
        <v>69605</v>
      </c>
      <c r="C1181" s="5" t="s">
        <v>619</v>
      </c>
      <c r="D1181" s="2" t="s">
        <v>620</v>
      </c>
      <c r="E1181" s="6" t="s">
        <v>7664</v>
      </c>
      <c r="F1181" s="6"/>
      <c r="G1181" s="3">
        <v>39.9972602739726</v>
      </c>
      <c r="I1181" s="7"/>
      <c r="J1181" s="7"/>
      <c r="K1181" s="8">
        <v>40.457534246575342</v>
      </c>
      <c r="L1181" s="2" t="s">
        <v>243</v>
      </c>
      <c r="M1181" s="2" t="s">
        <v>3824</v>
      </c>
      <c r="N1181" s="2" t="s">
        <v>11</v>
      </c>
      <c r="O1181" s="2" t="s">
        <v>44</v>
      </c>
      <c r="P1181" s="2" t="s">
        <v>649</v>
      </c>
      <c r="Q1181" s="2" t="s">
        <v>351</v>
      </c>
      <c r="R1181" s="9">
        <v>30029</v>
      </c>
      <c r="S1181" s="9">
        <v>30029</v>
      </c>
      <c r="T1181" s="2" t="s">
        <v>659</v>
      </c>
      <c r="U1181" s="2" t="s">
        <v>1104</v>
      </c>
      <c r="V1181" s="2" t="s">
        <v>659</v>
      </c>
      <c r="W1181" s="2" t="s">
        <v>1104</v>
      </c>
      <c r="X1181" s="2" t="s">
        <v>7665</v>
      </c>
      <c r="Y1181" s="2" t="s">
        <v>7666</v>
      </c>
      <c r="Z1181" s="6">
        <v>57831929</v>
      </c>
      <c r="AA1181" s="2">
        <v>89558547</v>
      </c>
      <c r="AB1181" s="2" t="s">
        <v>654</v>
      </c>
      <c r="AC1181" s="2" t="s">
        <v>632</v>
      </c>
      <c r="AD1181" s="10">
        <v>57831929</v>
      </c>
      <c r="AE1181" s="11"/>
      <c r="AF1181" s="11">
        <v>89558547</v>
      </c>
      <c r="AG1181" s="11"/>
      <c r="AH1181" s="11"/>
      <c r="AI1181" s="11"/>
      <c r="AJ1181" s="11">
        <v>57831929</v>
      </c>
      <c r="AK1181" s="12">
        <v>2</v>
      </c>
      <c r="AL1181" s="12" t="s">
        <v>7377</v>
      </c>
      <c r="AM1181" s="2">
        <v>0</v>
      </c>
      <c r="AN1181" s="2">
        <v>0</v>
      </c>
      <c r="AO1181" s="2">
        <v>0</v>
      </c>
      <c r="AP1181" s="2">
        <v>1</v>
      </c>
      <c r="AQ1181" s="2">
        <v>0</v>
      </c>
      <c r="AR1181" s="2">
        <v>0</v>
      </c>
      <c r="AS1181" s="2">
        <v>0</v>
      </c>
      <c r="AT1181" s="2">
        <v>0</v>
      </c>
      <c r="AZ1181" s="2" t="s">
        <v>7146</v>
      </c>
      <c r="BB1181" s="2" t="str">
        <f>+PROPER(BD[[#This Row],[PRIMER_APELLIDO]])</f>
        <v>Hernandez</v>
      </c>
    </row>
    <row r="1182" spans="1:54" x14ac:dyDescent="0.25">
      <c r="A1182" s="2">
        <v>1181</v>
      </c>
      <c r="B1182" s="2">
        <v>24205</v>
      </c>
      <c r="C1182" s="5" t="s">
        <v>619</v>
      </c>
      <c r="D1182" s="2" t="s">
        <v>620</v>
      </c>
      <c r="E1182" s="6" t="s">
        <v>7667</v>
      </c>
      <c r="F1182" s="6">
        <v>20782553</v>
      </c>
      <c r="G1182" s="3">
        <v>39.9972602739726</v>
      </c>
      <c r="I1182" s="7"/>
      <c r="J1182" s="7"/>
      <c r="K1182" s="8">
        <v>40.460273972602742</v>
      </c>
      <c r="L1182" s="2" t="s">
        <v>6915</v>
      </c>
      <c r="M1182" s="2" t="s">
        <v>3736</v>
      </c>
      <c r="N1182" s="2" t="s">
        <v>489</v>
      </c>
      <c r="O1182" s="2" t="s">
        <v>274</v>
      </c>
      <c r="P1182" s="2" t="s">
        <v>626</v>
      </c>
      <c r="Q1182" s="2" t="s">
        <v>351</v>
      </c>
      <c r="R1182" s="9">
        <v>30028</v>
      </c>
      <c r="S1182" s="9">
        <v>30028</v>
      </c>
      <c r="T1182" s="2" t="s">
        <v>133</v>
      </c>
      <c r="U1182" s="2" t="s">
        <v>133</v>
      </c>
      <c r="V1182" s="2" t="s">
        <v>869</v>
      </c>
      <c r="W1182" s="2" t="s">
        <v>938</v>
      </c>
      <c r="X1182" s="2" t="s">
        <v>7668</v>
      </c>
      <c r="Y1182" s="2" t="s">
        <v>7669</v>
      </c>
      <c r="Z1182" s="6"/>
      <c r="AA1182" s="2">
        <v>85336879</v>
      </c>
      <c r="AB1182" s="2" t="s">
        <v>642</v>
      </c>
      <c r="AC1182" s="2" t="s">
        <v>632</v>
      </c>
      <c r="AD1182" s="10"/>
      <c r="AE1182" s="11"/>
      <c r="AF1182" s="11">
        <v>85336879</v>
      </c>
      <c r="AG1182" s="11"/>
      <c r="AH1182" s="11"/>
      <c r="AI1182" s="11"/>
      <c r="AJ1182" s="11">
        <v>85336879</v>
      </c>
      <c r="AK1182" s="12">
        <v>1</v>
      </c>
      <c r="AL1182" s="12" t="s">
        <v>7377</v>
      </c>
      <c r="AM1182" s="2">
        <v>0</v>
      </c>
      <c r="AN1182" s="2">
        <v>0</v>
      </c>
      <c r="AO1182" s="2">
        <v>0</v>
      </c>
      <c r="AP1182" s="2">
        <v>1</v>
      </c>
      <c r="AQ1182" s="2">
        <v>0</v>
      </c>
      <c r="AR1182" s="2">
        <v>0</v>
      </c>
      <c r="AS1182" s="2">
        <v>0</v>
      </c>
      <c r="AT1182" s="2">
        <v>0</v>
      </c>
      <c r="BB1182" s="2" t="str">
        <f>+PROPER(BD[[#This Row],[PRIMER_APELLIDO]])</f>
        <v>Olivares</v>
      </c>
    </row>
    <row r="1183" spans="1:54" x14ac:dyDescent="0.25">
      <c r="A1183" s="2">
        <v>1182</v>
      </c>
      <c r="B1183" s="2">
        <v>25366</v>
      </c>
      <c r="C1183" s="5" t="s">
        <v>619</v>
      </c>
      <c r="D1183" s="2" t="s">
        <v>620</v>
      </c>
      <c r="E1183" s="6" t="s">
        <v>7670</v>
      </c>
      <c r="F1183" s="6">
        <v>21127610</v>
      </c>
      <c r="G1183" s="3">
        <v>39.9972602739726</v>
      </c>
      <c r="I1183" s="7"/>
      <c r="J1183" s="7"/>
      <c r="K1183" s="8">
        <v>40.463013698630135</v>
      </c>
      <c r="L1183" s="2" t="s">
        <v>747</v>
      </c>
      <c r="M1183" s="2" t="s">
        <v>2662</v>
      </c>
      <c r="N1183" s="2" t="s">
        <v>9</v>
      </c>
      <c r="P1183" s="2" t="s">
        <v>626</v>
      </c>
      <c r="Q1183" s="2" t="s">
        <v>351</v>
      </c>
      <c r="R1183" s="9">
        <v>30027</v>
      </c>
      <c r="S1183" s="9">
        <v>30027</v>
      </c>
      <c r="T1183" s="2" t="s">
        <v>732</v>
      </c>
      <c r="U1183" s="2" t="s">
        <v>732</v>
      </c>
      <c r="V1183" s="2" t="s">
        <v>732</v>
      </c>
      <c r="W1183" s="2" t="s">
        <v>732</v>
      </c>
      <c r="X1183" s="2" t="s">
        <v>7671</v>
      </c>
      <c r="Y1183" s="2" t="s">
        <v>7672</v>
      </c>
      <c r="Z1183" s="6"/>
      <c r="AA1183" s="2" t="s">
        <v>7673</v>
      </c>
      <c r="AB1183" s="2" t="s">
        <v>642</v>
      </c>
      <c r="AC1183" s="2" t="s">
        <v>632</v>
      </c>
      <c r="AD1183" s="10"/>
      <c r="AE1183" s="11"/>
      <c r="AF1183" s="11"/>
      <c r="AG1183" s="11">
        <v>85745685</v>
      </c>
      <c r="AH1183" s="11"/>
      <c r="AI1183" s="11"/>
      <c r="AJ1183" s="11">
        <v>85745685</v>
      </c>
      <c r="AK1183" s="12">
        <v>2</v>
      </c>
      <c r="AL1183" s="12" t="s">
        <v>7377</v>
      </c>
      <c r="AM1183" s="2">
        <v>0</v>
      </c>
      <c r="AN1183" s="2">
        <v>0</v>
      </c>
      <c r="AO1183" s="2">
        <v>0</v>
      </c>
      <c r="AP1183" s="2">
        <v>1</v>
      </c>
      <c r="AQ1183" s="2">
        <v>0</v>
      </c>
      <c r="AR1183" s="2">
        <v>0</v>
      </c>
      <c r="AS1183" s="2">
        <v>0</v>
      </c>
      <c r="AT1183" s="2">
        <v>0</v>
      </c>
      <c r="BB1183" s="2" t="str">
        <f>+PROPER(BD[[#This Row],[PRIMER_APELLIDO]])</f>
        <v>Mendoza</v>
      </c>
    </row>
    <row r="1184" spans="1:54" x14ac:dyDescent="0.25">
      <c r="A1184" s="2">
        <v>1183</v>
      </c>
      <c r="B1184" s="2">
        <v>24742</v>
      </c>
      <c r="C1184" s="5" t="s">
        <v>619</v>
      </c>
      <c r="D1184" s="2" t="s">
        <v>620</v>
      </c>
      <c r="E1184" s="6" t="s">
        <v>7674</v>
      </c>
      <c r="F1184" s="6">
        <v>19463115</v>
      </c>
      <c r="G1184" s="3">
        <v>39.9972602739726</v>
      </c>
      <c r="I1184" s="7"/>
      <c r="J1184" s="7"/>
      <c r="K1184" s="8">
        <v>40.468493150684928</v>
      </c>
      <c r="L1184" s="2" t="s">
        <v>1496</v>
      </c>
      <c r="M1184" s="2" t="s">
        <v>7675</v>
      </c>
      <c r="N1184" s="2" t="s">
        <v>186</v>
      </c>
      <c r="O1184" s="2" t="s">
        <v>530</v>
      </c>
      <c r="P1184" s="2" t="s">
        <v>649</v>
      </c>
      <c r="Q1184" s="2" t="s">
        <v>351</v>
      </c>
      <c r="R1184" s="9">
        <v>30025</v>
      </c>
      <c r="S1184" s="9">
        <v>30025</v>
      </c>
      <c r="T1184" s="2" t="s">
        <v>627</v>
      </c>
      <c r="U1184" s="2" t="s">
        <v>691</v>
      </c>
      <c r="V1184" s="2" t="s">
        <v>627</v>
      </c>
      <c r="W1184" s="2" t="s">
        <v>691</v>
      </c>
      <c r="X1184" s="2" t="s">
        <v>7676</v>
      </c>
      <c r="Y1184" s="2" t="s">
        <v>7677</v>
      </c>
      <c r="Z1184" s="6">
        <v>89362175</v>
      </c>
      <c r="AA1184" s="2" t="s">
        <v>7678</v>
      </c>
      <c r="AB1184" s="2" t="s">
        <v>654</v>
      </c>
      <c r="AC1184" s="2" t="s">
        <v>632</v>
      </c>
      <c r="AD1184" s="10">
        <v>89362175</v>
      </c>
      <c r="AE1184" s="11"/>
      <c r="AF1184" s="11"/>
      <c r="AG1184" s="11">
        <v>86069841</v>
      </c>
      <c r="AH1184" s="11">
        <v>89262175</v>
      </c>
      <c r="AI1184" s="11"/>
      <c r="AJ1184" s="11">
        <v>89362175</v>
      </c>
      <c r="AK1184" s="12">
        <v>4</v>
      </c>
      <c r="AL1184" s="12" t="s">
        <v>7377</v>
      </c>
      <c r="AM1184" s="2">
        <v>0</v>
      </c>
      <c r="AN1184" s="2">
        <v>0</v>
      </c>
      <c r="AO1184" s="2">
        <v>0</v>
      </c>
      <c r="AP1184" s="2">
        <v>1</v>
      </c>
      <c r="AQ1184" s="2">
        <v>0</v>
      </c>
      <c r="AR1184" s="2">
        <v>0</v>
      </c>
      <c r="AS1184" s="2">
        <v>0</v>
      </c>
      <c r="AT1184" s="2">
        <v>0</v>
      </c>
      <c r="AZ1184" s="2" t="s">
        <v>7679</v>
      </c>
      <c r="BB1184" s="2" t="str">
        <f>+PROPER(BD[[#This Row],[PRIMER_APELLIDO]])</f>
        <v>Rivas</v>
      </c>
    </row>
    <row r="1185" spans="1:54" x14ac:dyDescent="0.25">
      <c r="A1185" s="2">
        <v>1184</v>
      </c>
      <c r="B1185" s="2">
        <v>24049</v>
      </c>
      <c r="C1185" s="5" t="s">
        <v>619</v>
      </c>
      <c r="D1185" s="2" t="s">
        <v>620</v>
      </c>
      <c r="E1185" s="6" t="s">
        <v>7680</v>
      </c>
      <c r="F1185" s="6">
        <v>20688406</v>
      </c>
      <c r="G1185" s="3">
        <v>39.9972602739726</v>
      </c>
      <c r="I1185" s="7"/>
      <c r="J1185" s="7"/>
      <c r="K1185" s="8">
        <v>40.471232876712328</v>
      </c>
      <c r="L1185" s="2" t="s">
        <v>2485</v>
      </c>
      <c r="M1185" s="2" t="s">
        <v>243</v>
      </c>
      <c r="N1185" s="2" t="s">
        <v>490</v>
      </c>
      <c r="O1185" s="2" t="s">
        <v>203</v>
      </c>
      <c r="P1185" s="2" t="s">
        <v>649</v>
      </c>
      <c r="Q1185" s="2" t="s">
        <v>351</v>
      </c>
      <c r="R1185" s="9">
        <v>30024</v>
      </c>
      <c r="S1185" s="9">
        <v>30024</v>
      </c>
      <c r="T1185" s="2" t="s">
        <v>705</v>
      </c>
      <c r="U1185" s="2" t="s">
        <v>705</v>
      </c>
      <c r="V1185" s="2" t="s">
        <v>705</v>
      </c>
      <c r="W1185" s="2" t="s">
        <v>705</v>
      </c>
      <c r="X1185" s="2" t="s">
        <v>7681</v>
      </c>
      <c r="Y1185" s="2" t="s">
        <v>7682</v>
      </c>
      <c r="Z1185" s="6"/>
      <c r="AA1185" s="2" t="s">
        <v>7683</v>
      </c>
      <c r="AB1185" s="2" t="s">
        <v>654</v>
      </c>
      <c r="AC1185" s="2" t="s">
        <v>632</v>
      </c>
      <c r="AD1185" s="10"/>
      <c r="AE1185" s="11"/>
      <c r="AF1185" s="11">
        <v>88845224</v>
      </c>
      <c r="AG1185" s="11">
        <v>88465303</v>
      </c>
      <c r="AH1185" s="11">
        <v>85219465</v>
      </c>
      <c r="AI1185" s="11"/>
      <c r="AJ1185" s="11">
        <v>88845224</v>
      </c>
      <c r="AK1185" s="12">
        <v>3</v>
      </c>
      <c r="AL1185" s="12" t="s">
        <v>7377</v>
      </c>
      <c r="AM1185" s="2">
        <v>0</v>
      </c>
      <c r="AN1185" s="2">
        <v>0</v>
      </c>
      <c r="AO1185" s="2">
        <v>0</v>
      </c>
      <c r="AP1185" s="2">
        <v>1</v>
      </c>
      <c r="AQ1185" s="2">
        <v>0</v>
      </c>
      <c r="AR1185" s="2">
        <v>0</v>
      </c>
      <c r="AS1185" s="2">
        <v>0</v>
      </c>
      <c r="AT1185" s="2">
        <v>0</v>
      </c>
      <c r="BB1185" s="2" t="str">
        <f>+PROPER(BD[[#This Row],[PRIMER_APELLIDO]])</f>
        <v>Lara</v>
      </c>
    </row>
    <row r="1186" spans="1:54" x14ac:dyDescent="0.25">
      <c r="A1186" s="2">
        <v>1185</v>
      </c>
      <c r="B1186" s="2">
        <v>33199</v>
      </c>
      <c r="C1186" s="5" t="s">
        <v>619</v>
      </c>
      <c r="D1186" s="2" t="s">
        <v>620</v>
      </c>
      <c r="E1186" s="6" t="s">
        <v>7684</v>
      </c>
      <c r="F1186" s="6">
        <v>21668267</v>
      </c>
      <c r="G1186" s="3">
        <v>39.9972602739726</v>
      </c>
      <c r="I1186" s="7"/>
      <c r="J1186" s="7"/>
      <c r="K1186" s="8">
        <v>40.473972602739728</v>
      </c>
      <c r="L1186" s="2" t="s">
        <v>724</v>
      </c>
      <c r="M1186" s="2" t="s">
        <v>970</v>
      </c>
      <c r="N1186" s="2" t="s">
        <v>491</v>
      </c>
      <c r="O1186" s="2" t="s">
        <v>493</v>
      </c>
      <c r="P1186" s="2" t="s">
        <v>626</v>
      </c>
      <c r="Q1186" s="2" t="s">
        <v>351</v>
      </c>
      <c r="R1186" s="9">
        <v>30023</v>
      </c>
      <c r="S1186" s="9">
        <v>30023</v>
      </c>
      <c r="T1186" s="2" t="s">
        <v>929</v>
      </c>
      <c r="U1186" s="2" t="s">
        <v>929</v>
      </c>
      <c r="V1186" s="2" t="s">
        <v>1653</v>
      </c>
      <c r="W1186" s="2" t="s">
        <v>3995</v>
      </c>
      <c r="X1186" s="2" t="s">
        <v>7685</v>
      </c>
      <c r="Y1186" s="2" t="s">
        <v>7686</v>
      </c>
      <c r="Z1186" s="6">
        <v>84120002</v>
      </c>
      <c r="AB1186" s="2" t="s">
        <v>631</v>
      </c>
      <c r="AC1186" s="2" t="s">
        <v>632</v>
      </c>
      <c r="AD1186" s="10">
        <v>84120002</v>
      </c>
      <c r="AE1186" s="11"/>
      <c r="AF1186" s="11"/>
      <c r="AG1186" s="11"/>
      <c r="AH1186" s="11"/>
      <c r="AI1186" s="11"/>
      <c r="AJ1186" s="11">
        <v>84120002</v>
      </c>
      <c r="AK1186" s="12">
        <v>1</v>
      </c>
      <c r="AL1186" s="12" t="s">
        <v>7377</v>
      </c>
      <c r="AM1186" s="2">
        <v>0</v>
      </c>
      <c r="AN1186" s="2">
        <v>0</v>
      </c>
      <c r="AO1186" s="2">
        <v>0</v>
      </c>
      <c r="AP1186" s="2">
        <v>1</v>
      </c>
      <c r="AQ1186" s="2">
        <v>0</v>
      </c>
      <c r="AR1186" s="2">
        <v>0</v>
      </c>
      <c r="AS1186" s="2">
        <v>0</v>
      </c>
      <c r="AT1186" s="2">
        <v>0</v>
      </c>
      <c r="BB1186" s="2" t="str">
        <f>+PROPER(BD[[#This Row],[PRIMER_APELLIDO]])</f>
        <v>Plata</v>
      </c>
    </row>
    <row r="1187" spans="1:54" x14ac:dyDescent="0.25">
      <c r="A1187" s="2">
        <v>1186</v>
      </c>
      <c r="B1187" s="2">
        <v>31789</v>
      </c>
      <c r="C1187" s="5" t="s">
        <v>619</v>
      </c>
      <c r="D1187" s="2" t="s">
        <v>620</v>
      </c>
      <c r="E1187" s="6" t="s">
        <v>7687</v>
      </c>
      <c r="F1187" s="6">
        <v>22021995</v>
      </c>
      <c r="G1187" s="3">
        <v>39.9972602739726</v>
      </c>
      <c r="I1187" s="7"/>
      <c r="J1187" s="7"/>
      <c r="K1187" s="8">
        <v>40.476712328767121</v>
      </c>
      <c r="L1187" s="2" t="s">
        <v>7688</v>
      </c>
      <c r="M1187" s="2" t="s">
        <v>3218</v>
      </c>
      <c r="N1187" s="2" t="s">
        <v>492</v>
      </c>
      <c r="O1187" s="2" t="s">
        <v>198</v>
      </c>
      <c r="P1187" s="2" t="s">
        <v>649</v>
      </c>
      <c r="Q1187" s="2" t="s">
        <v>351</v>
      </c>
      <c r="R1187" s="9">
        <v>30022</v>
      </c>
      <c r="S1187" s="9">
        <v>30022</v>
      </c>
      <c r="T1187" s="2" t="s">
        <v>705</v>
      </c>
      <c r="U1187" s="2" t="s">
        <v>705</v>
      </c>
      <c r="V1187" s="2" t="s">
        <v>725</v>
      </c>
      <c r="W1187" s="2" t="s">
        <v>725</v>
      </c>
      <c r="X1187" s="2" t="s">
        <v>7689</v>
      </c>
      <c r="Y1187" s="2" t="s">
        <v>7690</v>
      </c>
      <c r="Z1187" s="6"/>
      <c r="AA1187" s="2" t="s">
        <v>7691</v>
      </c>
      <c r="AB1187" s="2" t="s">
        <v>654</v>
      </c>
      <c r="AC1187" s="2" t="s">
        <v>632</v>
      </c>
      <c r="AD1187" s="10"/>
      <c r="AE1187" s="11"/>
      <c r="AF1187" s="11"/>
      <c r="AG1187" s="11">
        <v>86557075</v>
      </c>
      <c r="AH1187" s="11"/>
      <c r="AI1187" s="11"/>
      <c r="AJ1187" s="11">
        <v>86557075</v>
      </c>
      <c r="AK1187" s="12">
        <v>2</v>
      </c>
      <c r="AL1187" s="12" t="s">
        <v>7377</v>
      </c>
      <c r="AM1187" s="2">
        <v>0</v>
      </c>
      <c r="AN1187" s="2">
        <v>0</v>
      </c>
      <c r="AO1187" s="2">
        <v>0</v>
      </c>
      <c r="AP1187" s="2">
        <v>1</v>
      </c>
      <c r="AQ1187" s="2">
        <v>0</v>
      </c>
      <c r="AR1187" s="2">
        <v>0</v>
      </c>
      <c r="AS1187" s="2">
        <v>0</v>
      </c>
      <c r="AT1187" s="2">
        <v>0</v>
      </c>
      <c r="BB1187" s="2" t="str">
        <f>+PROPER(BD[[#This Row],[PRIMER_APELLIDO]])</f>
        <v>Peñalba</v>
      </c>
    </row>
    <row r="1188" spans="1:54" x14ac:dyDescent="0.25">
      <c r="A1188" s="2">
        <v>1187</v>
      </c>
      <c r="B1188" s="2">
        <v>44134</v>
      </c>
      <c r="C1188" s="5" t="s">
        <v>619</v>
      </c>
      <c r="D1188" s="2" t="s">
        <v>620</v>
      </c>
      <c r="E1188" s="6" t="s">
        <v>7692</v>
      </c>
      <c r="F1188" s="6">
        <v>16042786</v>
      </c>
      <c r="G1188" s="3">
        <v>39.9972602739726</v>
      </c>
      <c r="I1188" s="7"/>
      <c r="J1188" s="7"/>
      <c r="K1188" s="8">
        <v>40.479452054794521</v>
      </c>
      <c r="L1188" s="2" t="s">
        <v>2466</v>
      </c>
      <c r="M1188" s="2" t="s">
        <v>961</v>
      </c>
      <c r="N1188" s="2" t="s">
        <v>58</v>
      </c>
      <c r="O1188" s="2" t="s">
        <v>100</v>
      </c>
      <c r="P1188" s="2" t="s">
        <v>626</v>
      </c>
      <c r="Q1188" s="2" t="s">
        <v>351</v>
      </c>
      <c r="R1188" s="9">
        <v>30021</v>
      </c>
      <c r="S1188" s="9">
        <v>30021</v>
      </c>
      <c r="T1188" s="2" t="s">
        <v>627</v>
      </c>
      <c r="U1188" s="2" t="s">
        <v>627</v>
      </c>
      <c r="V1188" s="2" t="s">
        <v>627</v>
      </c>
      <c r="W1188" s="2" t="s">
        <v>627</v>
      </c>
      <c r="X1188" s="2" t="s">
        <v>7693</v>
      </c>
      <c r="Y1188" s="2" t="s">
        <v>7694</v>
      </c>
      <c r="Z1188" s="6"/>
      <c r="AA1188" s="2" t="s">
        <v>7695</v>
      </c>
      <c r="AB1188" s="2" t="s">
        <v>642</v>
      </c>
      <c r="AC1188" s="2" t="s">
        <v>632</v>
      </c>
      <c r="AD1188" s="10"/>
      <c r="AE1188" s="11"/>
      <c r="AF1188" s="11"/>
      <c r="AG1188" s="11">
        <v>84027600</v>
      </c>
      <c r="AH1188" s="11"/>
      <c r="AI1188" s="11"/>
      <c r="AJ1188" s="11">
        <v>84027600</v>
      </c>
      <c r="AK1188" s="12">
        <v>2</v>
      </c>
      <c r="AL1188" s="12" t="s">
        <v>7377</v>
      </c>
      <c r="AM1188" s="2">
        <v>0</v>
      </c>
      <c r="AN1188" s="2">
        <v>0</v>
      </c>
      <c r="AO1188" s="2">
        <v>0</v>
      </c>
      <c r="AP1188" s="2">
        <v>1</v>
      </c>
      <c r="AQ1188" s="2">
        <v>0</v>
      </c>
      <c r="AR1188" s="2">
        <v>0</v>
      </c>
      <c r="AS1188" s="2">
        <v>0</v>
      </c>
      <c r="AT1188" s="2">
        <v>0</v>
      </c>
      <c r="BB1188" s="2" t="str">
        <f>+PROPER(BD[[#This Row],[PRIMER_APELLIDO]])</f>
        <v>Flores</v>
      </c>
    </row>
    <row r="1189" spans="1:54" x14ac:dyDescent="0.25">
      <c r="A1189" s="2">
        <v>1188</v>
      </c>
      <c r="B1189" s="2">
        <v>35174</v>
      </c>
      <c r="C1189" s="5" t="s">
        <v>619</v>
      </c>
      <c r="D1189" s="2" t="s">
        <v>620</v>
      </c>
      <c r="E1189" s="6" t="s">
        <v>7696</v>
      </c>
      <c r="F1189" s="6">
        <v>19037820</v>
      </c>
      <c r="G1189" s="3">
        <v>39.9972602739726</v>
      </c>
      <c r="I1189" s="7"/>
      <c r="J1189" s="7"/>
      <c r="K1189" s="8">
        <v>40.493150684931507</v>
      </c>
      <c r="L1189" s="2" t="s">
        <v>7697</v>
      </c>
      <c r="M1189" s="2" t="s">
        <v>7698</v>
      </c>
      <c r="N1189" s="2" t="s">
        <v>457</v>
      </c>
      <c r="O1189" s="2" t="s">
        <v>514</v>
      </c>
      <c r="P1189" s="2" t="s">
        <v>649</v>
      </c>
      <c r="Q1189" s="2" t="s">
        <v>351</v>
      </c>
      <c r="R1189" s="9">
        <v>30016</v>
      </c>
      <c r="S1189" s="9">
        <v>30016</v>
      </c>
      <c r="T1189" s="2" t="s">
        <v>133</v>
      </c>
      <c r="U1189" s="2" t="s">
        <v>133</v>
      </c>
      <c r="V1189" s="2" t="s">
        <v>841</v>
      </c>
      <c r="W1189" s="2" t="s">
        <v>841</v>
      </c>
      <c r="X1189" s="2" t="s">
        <v>7699</v>
      </c>
      <c r="Y1189" s="2" t="s">
        <v>7700</v>
      </c>
      <c r="Z1189" s="6">
        <v>83579593</v>
      </c>
      <c r="AB1189" s="2" t="s">
        <v>654</v>
      </c>
      <c r="AC1189" s="2" t="s">
        <v>632</v>
      </c>
      <c r="AD1189" s="10">
        <v>83579593</v>
      </c>
      <c r="AE1189" s="11"/>
      <c r="AF1189" s="11"/>
      <c r="AG1189" s="11"/>
      <c r="AH1189" s="11"/>
      <c r="AI1189" s="11"/>
      <c r="AJ1189" s="11">
        <v>83579593</v>
      </c>
      <c r="AK1189" s="12">
        <v>1</v>
      </c>
      <c r="AL1189" s="12" t="s">
        <v>7377</v>
      </c>
      <c r="AM1189" s="2">
        <v>0</v>
      </c>
      <c r="AN1189" s="2">
        <v>0</v>
      </c>
      <c r="AO1189" s="2">
        <v>0</v>
      </c>
      <c r="AP1189" s="2">
        <v>1</v>
      </c>
      <c r="AQ1189" s="2">
        <v>0</v>
      </c>
      <c r="AR1189" s="2">
        <v>0</v>
      </c>
      <c r="AS1189" s="2">
        <v>0</v>
      </c>
      <c r="AT1189" s="2">
        <v>0</v>
      </c>
      <c r="AZ1189" s="2" t="s">
        <v>7701</v>
      </c>
      <c r="BB1189" s="2" t="str">
        <f>+PROPER(BD[[#This Row],[PRIMER_APELLIDO]])</f>
        <v>Arias</v>
      </c>
    </row>
    <row r="1190" spans="1:54" x14ac:dyDescent="0.25">
      <c r="A1190" s="2">
        <v>1189</v>
      </c>
      <c r="B1190" s="2">
        <v>62695</v>
      </c>
      <c r="C1190" s="5" t="s">
        <v>619</v>
      </c>
      <c r="D1190" s="2" t="s">
        <v>620</v>
      </c>
      <c r="E1190" s="6" t="s">
        <v>7702</v>
      </c>
      <c r="F1190" s="6"/>
      <c r="G1190" s="3">
        <v>39.9972602739726</v>
      </c>
      <c r="I1190" s="7"/>
      <c r="J1190" s="7"/>
      <c r="K1190" s="8">
        <v>40.493150684931507</v>
      </c>
      <c r="L1190" s="2" t="s">
        <v>2029</v>
      </c>
      <c r="M1190" s="2" t="s">
        <v>7703</v>
      </c>
      <c r="N1190" s="2" t="s">
        <v>396</v>
      </c>
      <c r="O1190" s="2" t="s">
        <v>556</v>
      </c>
      <c r="P1190" s="2" t="s">
        <v>626</v>
      </c>
      <c r="Q1190" s="2" t="s">
        <v>351</v>
      </c>
      <c r="R1190" s="9">
        <v>30016</v>
      </c>
      <c r="S1190" s="9">
        <v>30016</v>
      </c>
      <c r="T1190" s="2" t="s">
        <v>691</v>
      </c>
      <c r="U1190" s="2" t="s">
        <v>691</v>
      </c>
      <c r="V1190" s="2" t="s">
        <v>716</v>
      </c>
      <c r="W1190" s="2" t="s">
        <v>691</v>
      </c>
      <c r="X1190" s="2" t="s">
        <v>7704</v>
      </c>
      <c r="Y1190" s="2" t="s">
        <v>7705</v>
      </c>
      <c r="Z1190" s="6" t="s">
        <v>7706</v>
      </c>
      <c r="AA1190" s="2" t="s">
        <v>7707</v>
      </c>
      <c r="AB1190" s="2" t="s">
        <v>773</v>
      </c>
      <c r="AC1190" s="2" t="s">
        <v>632</v>
      </c>
      <c r="AD1190" s="10"/>
      <c r="AE1190" s="11">
        <v>85943367</v>
      </c>
      <c r="AF1190" s="11"/>
      <c r="AG1190" s="11">
        <v>85943367</v>
      </c>
      <c r="AH1190" s="11"/>
      <c r="AI1190" s="11"/>
      <c r="AJ1190" s="11">
        <v>85943367</v>
      </c>
      <c r="AK1190" s="12">
        <v>4</v>
      </c>
      <c r="AL1190" s="12" t="s">
        <v>7377</v>
      </c>
      <c r="AM1190" s="2">
        <v>0</v>
      </c>
      <c r="AN1190" s="2">
        <v>0</v>
      </c>
      <c r="AO1190" s="2">
        <v>0</v>
      </c>
      <c r="AP1190" s="2">
        <v>1</v>
      </c>
      <c r="AQ1190" s="2">
        <v>0</v>
      </c>
      <c r="AR1190" s="2">
        <v>0</v>
      </c>
      <c r="AS1190" s="2">
        <v>0</v>
      </c>
      <c r="AT1190" s="2">
        <v>0</v>
      </c>
      <c r="AZ1190" s="2" t="s">
        <v>7708</v>
      </c>
      <c r="BB1190" s="2" t="str">
        <f>+PROPER(BD[[#This Row],[PRIMER_APELLIDO]])</f>
        <v>Peralta</v>
      </c>
    </row>
    <row r="1191" spans="1:54" x14ac:dyDescent="0.25">
      <c r="A1191" s="2">
        <v>1190</v>
      </c>
      <c r="B1191" s="2">
        <v>39635</v>
      </c>
      <c r="C1191" s="5" t="s">
        <v>619</v>
      </c>
      <c r="D1191" s="2" t="s">
        <v>620</v>
      </c>
      <c r="E1191" s="6" t="s">
        <v>7709</v>
      </c>
      <c r="F1191" s="6">
        <v>21795721</v>
      </c>
      <c r="G1191" s="3">
        <v>39.9972602739726</v>
      </c>
      <c r="I1191" s="7"/>
      <c r="J1191" s="7"/>
      <c r="K1191" s="8">
        <v>40.4986301369863</v>
      </c>
      <c r="L1191" s="2" t="s">
        <v>6556</v>
      </c>
      <c r="M1191" s="2" t="s">
        <v>2545</v>
      </c>
      <c r="N1191" s="2" t="s">
        <v>63</v>
      </c>
      <c r="O1191" s="2" t="s">
        <v>185</v>
      </c>
      <c r="P1191" s="2" t="s">
        <v>626</v>
      </c>
      <c r="Q1191" s="2" t="s">
        <v>351</v>
      </c>
      <c r="R1191" s="9">
        <v>30014</v>
      </c>
      <c r="S1191" s="9">
        <v>30014</v>
      </c>
      <c r="T1191" s="2" t="s">
        <v>176</v>
      </c>
      <c r="U1191" s="2" t="s">
        <v>176</v>
      </c>
      <c r="V1191" s="2" t="s">
        <v>650</v>
      </c>
      <c r="W1191" s="2" t="s">
        <v>176</v>
      </c>
      <c r="X1191" s="2" t="s">
        <v>7710</v>
      </c>
      <c r="Y1191" s="2" t="s">
        <v>7711</v>
      </c>
      <c r="Z1191" s="6">
        <v>84016515</v>
      </c>
      <c r="AA1191" s="2" t="s">
        <v>7712</v>
      </c>
      <c r="AB1191" s="2" t="s">
        <v>642</v>
      </c>
      <c r="AC1191" s="2" t="s">
        <v>632</v>
      </c>
      <c r="AD1191" s="10">
        <v>84016515</v>
      </c>
      <c r="AE1191" s="11"/>
      <c r="AF1191" s="11"/>
      <c r="AG1191" s="11">
        <v>84016515</v>
      </c>
      <c r="AH1191" s="11"/>
      <c r="AI1191" s="11"/>
      <c r="AJ1191" s="11">
        <v>84016515</v>
      </c>
      <c r="AK1191" s="12">
        <v>3</v>
      </c>
      <c r="AL1191" s="12" t="s">
        <v>7377</v>
      </c>
      <c r="AM1191" s="2">
        <v>0</v>
      </c>
      <c r="AN1191" s="2">
        <v>0</v>
      </c>
      <c r="AO1191" s="2">
        <v>0</v>
      </c>
      <c r="AP1191" s="2">
        <v>1</v>
      </c>
      <c r="AQ1191" s="2">
        <v>0</v>
      </c>
      <c r="AR1191" s="2">
        <v>0</v>
      </c>
      <c r="AS1191" s="2">
        <v>0</v>
      </c>
      <c r="AT1191" s="2">
        <v>0</v>
      </c>
      <c r="AZ1191" s="2" t="s">
        <v>7713</v>
      </c>
      <c r="BB1191" s="2" t="str">
        <f>+PROPER(BD[[#This Row],[PRIMER_APELLIDO]])</f>
        <v>Molina</v>
      </c>
    </row>
    <row r="1192" spans="1:54" x14ac:dyDescent="0.25">
      <c r="A1192" s="2">
        <v>1191</v>
      </c>
      <c r="B1192" s="2">
        <v>28504</v>
      </c>
      <c r="C1192" s="5" t="s">
        <v>619</v>
      </c>
      <c r="D1192" s="2" t="s">
        <v>620</v>
      </c>
      <c r="E1192" s="6" t="s">
        <v>7714</v>
      </c>
      <c r="F1192" s="6">
        <v>22313481</v>
      </c>
      <c r="G1192" s="3">
        <v>39.9972602739726</v>
      </c>
      <c r="I1192" s="7"/>
      <c r="J1192" s="7"/>
      <c r="K1192" s="8">
        <v>40.506849315068493</v>
      </c>
      <c r="L1192" s="2" t="s">
        <v>3475</v>
      </c>
      <c r="M1192" s="2" t="s">
        <v>2545</v>
      </c>
      <c r="N1192" s="2" t="s">
        <v>151</v>
      </c>
      <c r="O1192" s="2" t="s">
        <v>90</v>
      </c>
      <c r="P1192" s="2" t="s">
        <v>626</v>
      </c>
      <c r="Q1192" s="2" t="s">
        <v>351</v>
      </c>
      <c r="R1192" s="9">
        <v>30011</v>
      </c>
      <c r="S1192" s="9">
        <v>30011</v>
      </c>
      <c r="U1192" s="2" t="s">
        <v>1104</v>
      </c>
      <c r="W1192" s="2" t="s">
        <v>1104</v>
      </c>
      <c r="X1192" s="2" t="s">
        <v>7715</v>
      </c>
      <c r="Y1192" s="2" t="s">
        <v>7716</v>
      </c>
      <c r="Z1192" s="6"/>
      <c r="AA1192" s="2" t="s">
        <v>7717</v>
      </c>
      <c r="AB1192" s="2" t="s">
        <v>642</v>
      </c>
      <c r="AC1192" s="2" t="s">
        <v>632</v>
      </c>
      <c r="AD1192" s="10"/>
      <c r="AE1192" s="11"/>
      <c r="AF1192" s="11"/>
      <c r="AG1192" s="11">
        <v>84985725</v>
      </c>
      <c r="AH1192" s="11"/>
      <c r="AI1192" s="11"/>
      <c r="AJ1192" s="11">
        <v>84985725</v>
      </c>
      <c r="AK1192" s="12">
        <v>2</v>
      </c>
      <c r="AL1192" s="12" t="s">
        <v>7377</v>
      </c>
      <c r="AM1192" s="2">
        <v>0</v>
      </c>
      <c r="AN1192" s="2">
        <v>0</v>
      </c>
      <c r="AO1192" s="2">
        <v>0</v>
      </c>
      <c r="AP1192" s="2">
        <v>1</v>
      </c>
      <c r="AQ1192" s="2">
        <v>0</v>
      </c>
      <c r="AR1192" s="2">
        <v>0</v>
      </c>
      <c r="AS1192" s="2">
        <v>0</v>
      </c>
      <c r="AT1192" s="2">
        <v>0</v>
      </c>
      <c r="BB1192" s="2" t="str">
        <f>+PROPER(BD[[#This Row],[PRIMER_APELLIDO]])</f>
        <v>Zeledon</v>
      </c>
    </row>
    <row r="1193" spans="1:54" x14ac:dyDescent="0.25">
      <c r="A1193" s="2">
        <v>1192</v>
      </c>
      <c r="B1193" s="2">
        <v>82007</v>
      </c>
      <c r="C1193" s="5" t="s">
        <v>619</v>
      </c>
      <c r="D1193" s="2" t="s">
        <v>620</v>
      </c>
      <c r="E1193" s="6" t="s">
        <v>7718</v>
      </c>
      <c r="F1193" s="6"/>
      <c r="G1193" s="3">
        <v>39.9972602739726</v>
      </c>
      <c r="I1193" s="7"/>
      <c r="J1193" s="7"/>
      <c r="K1193" s="8">
        <v>40.506849315068493</v>
      </c>
      <c r="L1193" s="2" t="s">
        <v>2305</v>
      </c>
      <c r="M1193" s="2" t="s">
        <v>724</v>
      </c>
      <c r="N1193" s="2" t="s">
        <v>117</v>
      </c>
      <c r="O1193" s="2" t="s">
        <v>149</v>
      </c>
      <c r="P1193" s="2" t="s">
        <v>626</v>
      </c>
      <c r="Q1193" s="2" t="s">
        <v>351</v>
      </c>
      <c r="R1193" s="9">
        <v>30011</v>
      </c>
      <c r="S1193" s="9">
        <v>30011</v>
      </c>
      <c r="T1193" s="2" t="s">
        <v>627</v>
      </c>
      <c r="U1193" s="2" t="s">
        <v>627</v>
      </c>
      <c r="V1193" s="2" t="s">
        <v>627</v>
      </c>
      <c r="W1193" s="2" t="s">
        <v>627</v>
      </c>
      <c r="X1193" s="2" t="s">
        <v>7719</v>
      </c>
      <c r="Y1193" s="2" t="s">
        <v>7720</v>
      </c>
      <c r="Z1193" s="6">
        <v>82401642</v>
      </c>
      <c r="AA1193" s="2" t="s">
        <v>7721</v>
      </c>
      <c r="AB1193" s="2" t="s">
        <v>2629</v>
      </c>
      <c r="AC1193" s="2" t="s">
        <v>632</v>
      </c>
      <c r="AD1193" s="10">
        <v>82401642</v>
      </c>
      <c r="AE1193" s="11"/>
      <c r="AF1193" s="11"/>
      <c r="AG1193" s="11">
        <v>83880047</v>
      </c>
      <c r="AH1193" s="11"/>
      <c r="AI1193" s="11"/>
      <c r="AJ1193" s="11">
        <v>82401642</v>
      </c>
      <c r="AK1193" s="12">
        <v>3</v>
      </c>
      <c r="AL1193" s="12" t="s">
        <v>7377</v>
      </c>
      <c r="AM1193" s="2">
        <v>0</v>
      </c>
      <c r="AN1193" s="2">
        <v>0</v>
      </c>
      <c r="AO1193" s="2">
        <v>0</v>
      </c>
      <c r="AP1193" s="2">
        <v>1</v>
      </c>
      <c r="AQ1193" s="2">
        <v>0</v>
      </c>
      <c r="AR1193" s="2">
        <v>0</v>
      </c>
      <c r="AS1193" s="2">
        <v>0</v>
      </c>
      <c r="AT1193" s="2">
        <v>0</v>
      </c>
      <c r="AZ1193" s="2" t="s">
        <v>7722</v>
      </c>
      <c r="BB1193" s="2" t="str">
        <f>+PROPER(BD[[#This Row],[PRIMER_APELLIDO]])</f>
        <v>Duarte</v>
      </c>
    </row>
    <row r="1194" spans="1:54" x14ac:dyDescent="0.25">
      <c r="A1194" s="2">
        <v>1193</v>
      </c>
      <c r="B1194" s="2">
        <v>32711</v>
      </c>
      <c r="C1194" s="5" t="s">
        <v>619</v>
      </c>
      <c r="D1194" s="2" t="s">
        <v>620</v>
      </c>
      <c r="E1194" s="6" t="s">
        <v>7723</v>
      </c>
      <c r="F1194" s="6">
        <v>21679292</v>
      </c>
      <c r="G1194" s="3">
        <v>39.9972602739726</v>
      </c>
      <c r="I1194" s="7"/>
      <c r="J1194" s="7"/>
      <c r="K1194" s="8">
        <v>40.512328767123286</v>
      </c>
      <c r="L1194" s="2" t="s">
        <v>2009</v>
      </c>
      <c r="M1194" s="2" t="s">
        <v>243</v>
      </c>
      <c r="N1194" s="2" t="s">
        <v>99</v>
      </c>
      <c r="O1194" s="2" t="s">
        <v>6384</v>
      </c>
      <c r="P1194" s="2" t="s">
        <v>649</v>
      </c>
      <c r="Q1194" s="2" t="s">
        <v>351</v>
      </c>
      <c r="R1194" s="9">
        <v>30009</v>
      </c>
      <c r="S1194" s="9">
        <v>30009</v>
      </c>
      <c r="T1194" s="2" t="s">
        <v>176</v>
      </c>
      <c r="U1194" s="2" t="s">
        <v>627</v>
      </c>
      <c r="V1194" s="2" t="s">
        <v>650</v>
      </c>
      <c r="W1194" s="2" t="s">
        <v>627</v>
      </c>
      <c r="X1194" s="2" t="s">
        <v>7724</v>
      </c>
      <c r="Y1194" s="2" t="s">
        <v>7725</v>
      </c>
      <c r="Z1194" s="6"/>
      <c r="AA1194" s="2" t="s">
        <v>7726</v>
      </c>
      <c r="AB1194" s="2" t="s">
        <v>654</v>
      </c>
      <c r="AC1194" s="2" t="s">
        <v>632</v>
      </c>
      <c r="AD1194" s="10"/>
      <c r="AE1194" s="11"/>
      <c r="AF1194" s="11"/>
      <c r="AG1194" s="11">
        <v>88660130</v>
      </c>
      <c r="AH1194" s="11"/>
      <c r="AI1194" s="11"/>
      <c r="AJ1194" s="11">
        <v>88660130</v>
      </c>
      <c r="AK1194" s="12">
        <v>2</v>
      </c>
      <c r="AL1194" s="12" t="s">
        <v>7377</v>
      </c>
      <c r="AM1194" s="2">
        <v>0</v>
      </c>
      <c r="AN1194" s="2">
        <v>0</v>
      </c>
      <c r="AO1194" s="2">
        <v>0</v>
      </c>
      <c r="AP1194" s="2">
        <v>1</v>
      </c>
      <c r="AQ1194" s="2">
        <v>0</v>
      </c>
      <c r="AR1194" s="2">
        <v>0</v>
      </c>
      <c r="AS1194" s="2">
        <v>0</v>
      </c>
      <c r="AT1194" s="2">
        <v>0</v>
      </c>
      <c r="BB1194" s="2" t="str">
        <f>+PROPER(BD[[#This Row],[PRIMER_APELLIDO]])</f>
        <v>Valle</v>
      </c>
    </row>
    <row r="1195" spans="1:54" x14ac:dyDescent="0.25">
      <c r="A1195" s="2">
        <v>1194</v>
      </c>
      <c r="B1195" s="2">
        <v>51384</v>
      </c>
      <c r="C1195" s="5" t="s">
        <v>619</v>
      </c>
      <c r="D1195" s="2" t="s">
        <v>620</v>
      </c>
      <c r="E1195" s="6" t="s">
        <v>7727</v>
      </c>
      <c r="F1195" s="6">
        <v>25023402</v>
      </c>
      <c r="G1195" s="3">
        <v>39.9972602739726</v>
      </c>
      <c r="I1195" s="7"/>
      <c r="J1195" s="7"/>
      <c r="K1195" s="8">
        <v>40.523287671232879</v>
      </c>
      <c r="L1195" s="2" t="s">
        <v>7728</v>
      </c>
      <c r="M1195" s="2" t="s">
        <v>3218</v>
      </c>
      <c r="N1195" s="2" t="s">
        <v>493</v>
      </c>
      <c r="P1195" s="2" t="s">
        <v>649</v>
      </c>
      <c r="Q1195" s="2" t="s">
        <v>351</v>
      </c>
      <c r="R1195" s="9">
        <v>30005</v>
      </c>
      <c r="S1195" s="9">
        <v>30005</v>
      </c>
      <c r="T1195" s="2" t="s">
        <v>659</v>
      </c>
      <c r="U1195" s="2" t="s">
        <v>659</v>
      </c>
      <c r="V1195" s="2" t="s">
        <v>659</v>
      </c>
      <c r="W1195" s="2" t="s">
        <v>659</v>
      </c>
      <c r="X1195" s="2" t="s">
        <v>7729</v>
      </c>
      <c r="Y1195" s="2" t="s">
        <v>7730</v>
      </c>
      <c r="Z1195" s="6">
        <v>87412670</v>
      </c>
      <c r="AA1195" s="2" t="s">
        <v>7731</v>
      </c>
      <c r="AB1195" s="2" t="s">
        <v>798</v>
      </c>
      <c r="AC1195" s="2" t="s">
        <v>632</v>
      </c>
      <c r="AD1195" s="10">
        <v>87412670</v>
      </c>
      <c r="AE1195" s="11"/>
      <c r="AF1195" s="11"/>
      <c r="AG1195" s="11">
        <v>87412670</v>
      </c>
      <c r="AH1195" s="11"/>
      <c r="AI1195" s="11"/>
      <c r="AJ1195" s="11">
        <v>87412670</v>
      </c>
      <c r="AK1195" s="12">
        <v>3</v>
      </c>
      <c r="AL1195" s="12" t="s">
        <v>7377</v>
      </c>
      <c r="AM1195" s="2">
        <v>0</v>
      </c>
      <c r="AN1195" s="2">
        <v>0</v>
      </c>
      <c r="AO1195" s="2">
        <v>0</v>
      </c>
      <c r="AP1195" s="2">
        <v>1</v>
      </c>
      <c r="AQ1195" s="2">
        <v>0</v>
      </c>
      <c r="AR1195" s="2">
        <v>0</v>
      </c>
      <c r="AS1195" s="2">
        <v>0</v>
      </c>
      <c r="AT1195" s="2">
        <v>0</v>
      </c>
      <c r="BB1195" s="2" t="str">
        <f>+PROPER(BD[[#This Row],[PRIMER_APELLIDO]])</f>
        <v>Gadea</v>
      </c>
    </row>
    <row r="1196" spans="1:54" x14ac:dyDescent="0.25">
      <c r="A1196" s="2">
        <v>1195</v>
      </c>
      <c r="B1196" s="2">
        <v>36314</v>
      </c>
      <c r="C1196" s="5" t="s">
        <v>619</v>
      </c>
      <c r="D1196" s="2" t="s">
        <v>620</v>
      </c>
      <c r="E1196" s="6" t="s">
        <v>7732</v>
      </c>
      <c r="F1196" s="6"/>
      <c r="G1196" s="3">
        <v>39.9972602739726</v>
      </c>
      <c r="I1196" s="7"/>
      <c r="J1196" s="7"/>
      <c r="K1196" s="8">
        <v>40.526027397260272</v>
      </c>
      <c r="L1196" s="2" t="s">
        <v>2195</v>
      </c>
      <c r="M1196" s="2" t="s">
        <v>2119</v>
      </c>
      <c r="N1196" s="2" t="s">
        <v>90</v>
      </c>
      <c r="O1196" s="2" t="s">
        <v>142</v>
      </c>
      <c r="P1196" s="2" t="s">
        <v>649</v>
      </c>
      <c r="Q1196" s="2" t="s">
        <v>351</v>
      </c>
      <c r="R1196" s="9">
        <v>30004</v>
      </c>
      <c r="S1196" s="9">
        <v>30004</v>
      </c>
      <c r="T1196" s="2" t="s">
        <v>133</v>
      </c>
      <c r="U1196" s="2" t="s">
        <v>691</v>
      </c>
      <c r="V1196" s="2" t="s">
        <v>870</v>
      </c>
      <c r="W1196" s="2" t="s">
        <v>691</v>
      </c>
      <c r="X1196" s="2" t="s">
        <v>7733</v>
      </c>
      <c r="Y1196" s="2" t="s">
        <v>7734</v>
      </c>
      <c r="Z1196" s="6">
        <v>86930435</v>
      </c>
      <c r="AA1196" s="2">
        <v>86930435</v>
      </c>
      <c r="AB1196" s="2" t="s">
        <v>798</v>
      </c>
      <c r="AC1196" s="2" t="s">
        <v>632</v>
      </c>
      <c r="AD1196" s="10">
        <v>86930435</v>
      </c>
      <c r="AE1196" s="11"/>
      <c r="AF1196" s="11">
        <v>86930435</v>
      </c>
      <c r="AG1196" s="11"/>
      <c r="AH1196" s="11"/>
      <c r="AI1196" s="11"/>
      <c r="AJ1196" s="11">
        <v>86930435</v>
      </c>
      <c r="AK1196" s="12">
        <v>2</v>
      </c>
      <c r="AL1196" s="12" t="s">
        <v>7377</v>
      </c>
      <c r="AM1196" s="2">
        <v>0</v>
      </c>
      <c r="AN1196" s="2">
        <v>0</v>
      </c>
      <c r="AO1196" s="2">
        <v>0</v>
      </c>
      <c r="AP1196" s="2">
        <v>1</v>
      </c>
      <c r="AQ1196" s="2">
        <v>0</v>
      </c>
      <c r="AR1196" s="2">
        <v>0</v>
      </c>
      <c r="AS1196" s="2">
        <v>0</v>
      </c>
      <c r="AT1196" s="2">
        <v>0</v>
      </c>
      <c r="AZ1196" s="2" t="s">
        <v>7735</v>
      </c>
      <c r="BB1196" s="2" t="str">
        <f>+PROPER(BD[[#This Row],[PRIMER_APELLIDO]])</f>
        <v>Sanchez</v>
      </c>
    </row>
    <row r="1197" spans="1:54" x14ac:dyDescent="0.25">
      <c r="A1197" s="2">
        <v>1196</v>
      </c>
      <c r="B1197" s="2">
        <v>63212</v>
      </c>
      <c r="C1197" s="5" t="s">
        <v>619</v>
      </c>
      <c r="D1197" s="2" t="s">
        <v>620</v>
      </c>
      <c r="E1197" s="6" t="s">
        <v>7736</v>
      </c>
      <c r="F1197" s="6"/>
      <c r="G1197" s="3">
        <v>39.9972602739726</v>
      </c>
      <c r="I1197" s="7"/>
      <c r="J1197" s="7"/>
      <c r="K1197" s="8">
        <v>40.528767123287672</v>
      </c>
      <c r="L1197" s="2" t="s">
        <v>724</v>
      </c>
      <c r="M1197" s="2" t="s">
        <v>7737</v>
      </c>
      <c r="N1197" s="2" t="s">
        <v>174</v>
      </c>
      <c r="O1197" s="2" t="s">
        <v>171</v>
      </c>
      <c r="P1197" s="2" t="s">
        <v>626</v>
      </c>
      <c r="Q1197" s="2" t="s">
        <v>351</v>
      </c>
      <c r="R1197" s="9">
        <v>30003</v>
      </c>
      <c r="S1197" s="9">
        <v>30003</v>
      </c>
      <c r="T1197" s="2" t="s">
        <v>627</v>
      </c>
      <c r="U1197" s="2" t="s">
        <v>627</v>
      </c>
      <c r="V1197" s="2" t="s">
        <v>627</v>
      </c>
      <c r="W1197" s="2" t="s">
        <v>1498</v>
      </c>
      <c r="X1197" s="2" t="s">
        <v>7738</v>
      </c>
      <c r="Y1197" s="2" t="s">
        <v>7739</v>
      </c>
      <c r="Z1197" s="6">
        <v>89983200</v>
      </c>
      <c r="AA1197" s="2" t="s">
        <v>7740</v>
      </c>
      <c r="AB1197" s="2" t="s">
        <v>642</v>
      </c>
      <c r="AC1197" s="2" t="s">
        <v>632</v>
      </c>
      <c r="AD1197" s="10">
        <v>89983200</v>
      </c>
      <c r="AE1197" s="11"/>
      <c r="AF1197" s="11">
        <v>89983200</v>
      </c>
      <c r="AG1197" s="11">
        <v>78256273</v>
      </c>
      <c r="AH1197" s="11"/>
      <c r="AI1197" s="11"/>
      <c r="AJ1197" s="11">
        <v>89983200</v>
      </c>
      <c r="AK1197" s="12">
        <v>3</v>
      </c>
      <c r="AL1197" s="12" t="s">
        <v>7377</v>
      </c>
      <c r="AM1197" s="2">
        <v>0</v>
      </c>
      <c r="AN1197" s="2">
        <v>0</v>
      </c>
      <c r="AO1197" s="2">
        <v>0</v>
      </c>
      <c r="AP1197" s="2">
        <v>1</v>
      </c>
      <c r="AQ1197" s="2">
        <v>0</v>
      </c>
      <c r="AR1197" s="2">
        <v>0</v>
      </c>
      <c r="AS1197" s="2">
        <v>0</v>
      </c>
      <c r="AT1197" s="2">
        <v>0</v>
      </c>
      <c r="BB1197" s="2" t="str">
        <f>+PROPER(BD[[#This Row],[PRIMER_APELLIDO]])</f>
        <v>Arauz</v>
      </c>
    </row>
    <row r="1198" spans="1:54" x14ac:dyDescent="0.25">
      <c r="A1198" s="2">
        <v>1197</v>
      </c>
      <c r="B1198" s="2">
        <v>25903</v>
      </c>
      <c r="C1198" s="5" t="s">
        <v>619</v>
      </c>
      <c r="D1198" s="2" t="s">
        <v>620</v>
      </c>
      <c r="E1198" s="6" t="s">
        <v>7741</v>
      </c>
      <c r="F1198" s="6">
        <v>22303640</v>
      </c>
      <c r="G1198" s="3">
        <v>39.9972602739726</v>
      </c>
      <c r="I1198" s="7"/>
      <c r="J1198" s="7"/>
      <c r="K1198" s="8">
        <v>40.534246575342465</v>
      </c>
      <c r="L1198" s="2" t="s">
        <v>3023</v>
      </c>
      <c r="M1198" s="2" t="s">
        <v>1176</v>
      </c>
      <c r="N1198" s="2" t="s">
        <v>114</v>
      </c>
      <c r="O1198" s="2" t="s">
        <v>86</v>
      </c>
      <c r="P1198" s="2" t="s">
        <v>626</v>
      </c>
      <c r="Q1198" s="2" t="s">
        <v>351</v>
      </c>
      <c r="R1198" s="9">
        <v>30001</v>
      </c>
      <c r="S1198" s="9">
        <v>30001</v>
      </c>
      <c r="U1198" s="2" t="s">
        <v>627</v>
      </c>
      <c r="W1198" s="2" t="s">
        <v>627</v>
      </c>
      <c r="X1198" s="2" t="s">
        <v>7742</v>
      </c>
      <c r="Y1198" s="2" t="s">
        <v>7743</v>
      </c>
      <c r="Z1198" s="6"/>
      <c r="AA1198" s="2" t="s">
        <v>7744</v>
      </c>
      <c r="AB1198" s="2" t="s">
        <v>654</v>
      </c>
      <c r="AC1198" s="2" t="s">
        <v>632</v>
      </c>
      <c r="AD1198" s="10"/>
      <c r="AE1198" s="11"/>
      <c r="AF1198" s="11">
        <v>89166812</v>
      </c>
      <c r="AG1198" s="11">
        <v>89241827</v>
      </c>
      <c r="AH1198" s="11"/>
      <c r="AI1198" s="11"/>
      <c r="AJ1198" s="11">
        <v>89166812</v>
      </c>
      <c r="AK1198" s="12">
        <v>2</v>
      </c>
      <c r="AL1198" s="12" t="s">
        <v>7377</v>
      </c>
      <c r="AM1198" s="2">
        <v>0</v>
      </c>
      <c r="AN1198" s="2">
        <v>0</v>
      </c>
      <c r="AO1198" s="2">
        <v>0</v>
      </c>
      <c r="AP1198" s="2">
        <v>1</v>
      </c>
      <c r="AQ1198" s="2">
        <v>0</v>
      </c>
      <c r="AR1198" s="2">
        <v>0</v>
      </c>
      <c r="AS1198" s="2">
        <v>0</v>
      </c>
      <c r="AT1198" s="2">
        <v>0</v>
      </c>
      <c r="BB1198" s="2" t="str">
        <f>+PROPER(BD[[#This Row],[PRIMER_APELLIDO]])</f>
        <v>Salinas</v>
      </c>
    </row>
    <row r="1199" spans="1:54" x14ac:dyDescent="0.25">
      <c r="A1199" s="2">
        <v>1198</v>
      </c>
      <c r="B1199" s="2">
        <v>37033</v>
      </c>
      <c r="C1199" s="5" t="s">
        <v>619</v>
      </c>
      <c r="D1199" s="2" t="s">
        <v>620</v>
      </c>
      <c r="E1199" s="6" t="s">
        <v>7745</v>
      </c>
      <c r="F1199" s="6">
        <v>21320189</v>
      </c>
      <c r="G1199" s="3">
        <v>39.9972602739726</v>
      </c>
      <c r="I1199" s="7"/>
      <c r="J1199" s="7"/>
      <c r="K1199" s="8">
        <v>40.553424657534244</v>
      </c>
      <c r="L1199" s="2" t="s">
        <v>738</v>
      </c>
      <c r="M1199" s="2" t="s">
        <v>3224</v>
      </c>
      <c r="N1199" s="2" t="s">
        <v>494</v>
      </c>
      <c r="O1199" s="2" t="s">
        <v>26</v>
      </c>
      <c r="P1199" s="2" t="s">
        <v>649</v>
      </c>
      <c r="Q1199" s="2" t="s">
        <v>351</v>
      </c>
      <c r="R1199" s="9">
        <v>29994</v>
      </c>
      <c r="S1199" s="9">
        <v>29994</v>
      </c>
      <c r="T1199" s="2" t="s">
        <v>929</v>
      </c>
      <c r="U1199" s="2" t="s">
        <v>929</v>
      </c>
      <c r="V1199" s="2" t="s">
        <v>1653</v>
      </c>
      <c r="W1199" s="2" t="s">
        <v>1653</v>
      </c>
      <c r="X1199" s="2" t="s">
        <v>7746</v>
      </c>
      <c r="Y1199" s="2" t="s">
        <v>7747</v>
      </c>
      <c r="Z1199" s="6">
        <v>76697490</v>
      </c>
      <c r="AA1199" s="2" t="s">
        <v>7748</v>
      </c>
      <c r="AB1199" s="2" t="s">
        <v>798</v>
      </c>
      <c r="AC1199" s="2" t="s">
        <v>632</v>
      </c>
      <c r="AD1199" s="10">
        <v>76697490</v>
      </c>
      <c r="AE1199" s="11"/>
      <c r="AF1199" s="11"/>
      <c r="AG1199" s="11"/>
      <c r="AH1199" s="11"/>
      <c r="AI1199" s="11"/>
      <c r="AJ1199" s="11">
        <v>76697490</v>
      </c>
      <c r="AK1199" s="12">
        <v>3</v>
      </c>
      <c r="AL1199" s="12" t="s">
        <v>7377</v>
      </c>
      <c r="AM1199" s="2">
        <v>0</v>
      </c>
      <c r="AN1199" s="2">
        <v>0</v>
      </c>
      <c r="AO1199" s="2">
        <v>0</v>
      </c>
      <c r="AP1199" s="2">
        <v>1</v>
      </c>
      <c r="AQ1199" s="2">
        <v>0</v>
      </c>
      <c r="AR1199" s="2">
        <v>0</v>
      </c>
      <c r="AS1199" s="2">
        <v>0</v>
      </c>
      <c r="AT1199" s="2">
        <v>0</v>
      </c>
      <c r="AZ1199" s="2" t="s">
        <v>7749</v>
      </c>
      <c r="BB1199" s="2" t="str">
        <f>+PROPER(BD[[#This Row],[PRIMER_APELLIDO]])</f>
        <v>Romano</v>
      </c>
    </row>
    <row r="1200" spans="1:54" x14ac:dyDescent="0.25">
      <c r="A1200" s="2">
        <v>1199</v>
      </c>
      <c r="B1200" s="2">
        <v>24693</v>
      </c>
      <c r="C1200" s="5" t="s">
        <v>619</v>
      </c>
      <c r="D1200" s="2" t="s">
        <v>620</v>
      </c>
      <c r="E1200" s="6" t="s">
        <v>7750</v>
      </c>
      <c r="F1200" s="6">
        <v>20928900</v>
      </c>
      <c r="G1200" s="3">
        <v>39.9972602739726</v>
      </c>
      <c r="I1200" s="7"/>
      <c r="J1200" s="7"/>
      <c r="K1200" s="8">
        <v>40.556164383561644</v>
      </c>
      <c r="L1200" s="2" t="s">
        <v>1935</v>
      </c>
      <c r="M1200" s="2" t="s">
        <v>714</v>
      </c>
      <c r="N1200" s="2" t="s">
        <v>22</v>
      </c>
      <c r="O1200" s="2" t="s">
        <v>129</v>
      </c>
      <c r="P1200" s="2" t="s">
        <v>626</v>
      </c>
      <c r="Q1200" s="2" t="s">
        <v>351</v>
      </c>
      <c r="R1200" s="9">
        <v>29993</v>
      </c>
      <c r="S1200" s="9">
        <v>29993</v>
      </c>
      <c r="T1200" s="2" t="s">
        <v>176</v>
      </c>
      <c r="U1200" s="2" t="s">
        <v>176</v>
      </c>
      <c r="V1200" s="2" t="s">
        <v>650</v>
      </c>
      <c r="W1200" s="2" t="s">
        <v>176</v>
      </c>
      <c r="X1200" s="2" t="s">
        <v>7751</v>
      </c>
      <c r="Y1200" s="2" t="s">
        <v>7752</v>
      </c>
      <c r="Z1200" s="6">
        <v>57165298</v>
      </c>
      <c r="AB1200" s="2" t="s">
        <v>642</v>
      </c>
      <c r="AC1200" s="2" t="s">
        <v>632</v>
      </c>
      <c r="AD1200" s="10">
        <v>57165298</v>
      </c>
      <c r="AE1200" s="11"/>
      <c r="AF1200" s="11"/>
      <c r="AG1200" s="11"/>
      <c r="AH1200" s="11"/>
      <c r="AI1200" s="11"/>
      <c r="AJ1200" s="11">
        <v>57165298</v>
      </c>
      <c r="AK1200" s="12">
        <v>1</v>
      </c>
      <c r="AL1200" s="12" t="s">
        <v>7377</v>
      </c>
      <c r="AM1200" s="2">
        <v>0</v>
      </c>
      <c r="AN1200" s="2">
        <v>0</v>
      </c>
      <c r="AO1200" s="2">
        <v>0</v>
      </c>
      <c r="AP1200" s="2">
        <v>1</v>
      </c>
      <c r="AQ1200" s="2">
        <v>0</v>
      </c>
      <c r="AR1200" s="2">
        <v>0</v>
      </c>
      <c r="AS1200" s="2">
        <v>0</v>
      </c>
      <c r="AT1200" s="2">
        <v>0</v>
      </c>
      <c r="AZ1200" s="2" t="s">
        <v>7753</v>
      </c>
      <c r="BB1200" s="2" t="str">
        <f>+PROPER(BD[[#This Row],[PRIMER_APELLIDO]])</f>
        <v>Castellon</v>
      </c>
    </row>
    <row r="1201" spans="1:54" x14ac:dyDescent="0.25">
      <c r="A1201" s="2">
        <v>1200</v>
      </c>
      <c r="B1201" s="2">
        <v>24218</v>
      </c>
      <c r="C1201" s="5" t="s">
        <v>619</v>
      </c>
      <c r="D1201" s="2" t="s">
        <v>620</v>
      </c>
      <c r="E1201" s="6" t="s">
        <v>7754</v>
      </c>
      <c r="F1201" s="6"/>
      <c r="G1201" s="3">
        <v>39.9972602739726</v>
      </c>
      <c r="I1201" s="7"/>
      <c r="J1201" s="7"/>
      <c r="K1201" s="8">
        <v>40.558904109589044</v>
      </c>
      <c r="L1201" s="2" t="s">
        <v>1843</v>
      </c>
      <c r="M1201" s="2" t="s">
        <v>724</v>
      </c>
      <c r="N1201" s="2" t="s">
        <v>495</v>
      </c>
      <c r="O1201" s="2" t="s">
        <v>51</v>
      </c>
      <c r="P1201" s="2" t="s">
        <v>626</v>
      </c>
      <c r="Q1201" s="2" t="s">
        <v>351</v>
      </c>
      <c r="R1201" s="9">
        <v>29992</v>
      </c>
      <c r="S1201" s="9">
        <v>29992</v>
      </c>
      <c r="T1201" s="2" t="s">
        <v>705</v>
      </c>
      <c r="U1201" s="2" t="s">
        <v>705</v>
      </c>
      <c r="V1201" s="2" t="s">
        <v>1014</v>
      </c>
      <c r="W1201" s="2" t="s">
        <v>1014</v>
      </c>
      <c r="X1201" s="2" t="s">
        <v>7755</v>
      </c>
      <c r="Y1201" s="2" t="s">
        <v>7756</v>
      </c>
      <c r="Z1201" s="6">
        <v>87962509</v>
      </c>
      <c r="AA1201" s="2" t="s">
        <v>7757</v>
      </c>
      <c r="AB1201" s="2" t="s">
        <v>642</v>
      </c>
      <c r="AC1201" s="2" t="s">
        <v>632</v>
      </c>
      <c r="AD1201" s="10">
        <v>87962509</v>
      </c>
      <c r="AE1201" s="11"/>
      <c r="AF1201" s="11"/>
      <c r="AG1201" s="11">
        <v>86895878</v>
      </c>
      <c r="AH1201" s="11"/>
      <c r="AI1201" s="11"/>
      <c r="AJ1201" s="11">
        <v>87962509</v>
      </c>
      <c r="AK1201" s="12">
        <v>3</v>
      </c>
      <c r="AL1201" s="12" t="s">
        <v>7377</v>
      </c>
      <c r="AM1201" s="2">
        <v>0</v>
      </c>
      <c r="AN1201" s="2">
        <v>0</v>
      </c>
      <c r="AO1201" s="2">
        <v>0</v>
      </c>
      <c r="AP1201" s="2">
        <v>1</v>
      </c>
      <c r="AQ1201" s="2">
        <v>0</v>
      </c>
      <c r="AR1201" s="2">
        <v>0</v>
      </c>
      <c r="AS1201" s="2">
        <v>0</v>
      </c>
      <c r="AT1201" s="2">
        <v>0</v>
      </c>
      <c r="AZ1201" s="2" t="s">
        <v>7758</v>
      </c>
      <c r="BB1201" s="2" t="str">
        <f>+PROPER(BD[[#This Row],[PRIMER_APELLIDO]])</f>
        <v>Paz</v>
      </c>
    </row>
    <row r="1202" spans="1:54" x14ac:dyDescent="0.25">
      <c r="A1202" s="2">
        <v>1201</v>
      </c>
      <c r="B1202" s="2">
        <v>33837</v>
      </c>
      <c r="C1202" s="5" t="s">
        <v>619</v>
      </c>
      <c r="D1202" s="2" t="s">
        <v>620</v>
      </c>
      <c r="E1202" s="6" t="s">
        <v>7759</v>
      </c>
      <c r="F1202" s="6">
        <v>21797424</v>
      </c>
      <c r="G1202" s="3">
        <v>39.9972602739726</v>
      </c>
      <c r="I1202" s="7"/>
      <c r="J1202" s="7"/>
      <c r="K1202" s="8">
        <v>40.564383561643837</v>
      </c>
      <c r="L1202" s="2" t="s">
        <v>7760</v>
      </c>
      <c r="M1202" s="2" t="s">
        <v>7761</v>
      </c>
      <c r="N1202" s="2" t="s">
        <v>74</v>
      </c>
      <c r="O1202" s="2" t="s">
        <v>15</v>
      </c>
      <c r="P1202" s="2" t="s">
        <v>626</v>
      </c>
      <c r="Q1202" s="2" t="s">
        <v>351</v>
      </c>
      <c r="R1202" s="9">
        <v>29990</v>
      </c>
      <c r="S1202" s="9">
        <v>29990</v>
      </c>
      <c r="T1202" s="2" t="s">
        <v>627</v>
      </c>
      <c r="U1202" s="2" t="s">
        <v>627</v>
      </c>
      <c r="V1202" s="2" t="s">
        <v>627</v>
      </c>
      <c r="W1202" s="2" t="s">
        <v>627</v>
      </c>
      <c r="X1202" s="2" t="s">
        <v>7762</v>
      </c>
      <c r="Y1202" s="2" t="s">
        <v>7763</v>
      </c>
      <c r="Z1202" s="6">
        <v>86524659</v>
      </c>
      <c r="AA1202" s="2" t="s">
        <v>7764</v>
      </c>
      <c r="AB1202" s="2" t="s">
        <v>642</v>
      </c>
      <c r="AC1202" s="2" t="s">
        <v>632</v>
      </c>
      <c r="AD1202" s="10">
        <v>86524659</v>
      </c>
      <c r="AE1202" s="11"/>
      <c r="AF1202" s="11"/>
      <c r="AG1202" s="11">
        <v>86524659</v>
      </c>
      <c r="AH1202" s="11"/>
      <c r="AI1202" s="11"/>
      <c r="AJ1202" s="11">
        <v>86524659</v>
      </c>
      <c r="AK1202" s="12">
        <v>3</v>
      </c>
      <c r="AL1202" s="12" t="s">
        <v>7377</v>
      </c>
      <c r="AM1202" s="2">
        <v>0</v>
      </c>
      <c r="AN1202" s="2">
        <v>0</v>
      </c>
      <c r="AO1202" s="2">
        <v>0</v>
      </c>
      <c r="AP1202" s="2">
        <v>1</v>
      </c>
      <c r="AQ1202" s="2">
        <v>0</v>
      </c>
      <c r="AR1202" s="2">
        <v>0</v>
      </c>
      <c r="AS1202" s="2">
        <v>0</v>
      </c>
      <c r="AT1202" s="2">
        <v>0</v>
      </c>
      <c r="AZ1202" s="2" t="s">
        <v>7765</v>
      </c>
      <c r="BB1202" s="2" t="str">
        <f>+PROPER(BD[[#This Row],[PRIMER_APELLIDO]])</f>
        <v>Reyes</v>
      </c>
    </row>
    <row r="1203" spans="1:54" x14ac:dyDescent="0.25">
      <c r="A1203" s="2">
        <v>1202</v>
      </c>
      <c r="B1203" s="2">
        <v>25653</v>
      </c>
      <c r="C1203" s="5" t="s">
        <v>619</v>
      </c>
      <c r="D1203" s="2" t="s">
        <v>620</v>
      </c>
      <c r="E1203" s="6" t="s">
        <v>7766</v>
      </c>
      <c r="F1203" s="6">
        <v>20947734</v>
      </c>
      <c r="G1203" s="3">
        <v>39.9972602739726</v>
      </c>
      <c r="I1203" s="7"/>
      <c r="J1203" s="7"/>
      <c r="K1203" s="8">
        <v>40.575342465753423</v>
      </c>
      <c r="L1203" s="2" t="s">
        <v>2715</v>
      </c>
      <c r="M1203" s="2" t="s">
        <v>2716</v>
      </c>
      <c r="N1203" s="2" t="s">
        <v>43</v>
      </c>
      <c r="O1203" s="2" t="s">
        <v>15</v>
      </c>
      <c r="P1203" s="2" t="s">
        <v>649</v>
      </c>
      <c r="Q1203" s="2" t="s">
        <v>351</v>
      </c>
      <c r="R1203" s="9">
        <v>29986</v>
      </c>
      <c r="S1203" s="9">
        <v>29986</v>
      </c>
      <c r="T1203" s="2" t="s">
        <v>669</v>
      </c>
      <c r="U1203" s="2" t="s">
        <v>669</v>
      </c>
      <c r="V1203" s="2" t="s">
        <v>670</v>
      </c>
      <c r="W1203" s="2" t="s">
        <v>670</v>
      </c>
      <c r="X1203" s="2" t="s">
        <v>7767</v>
      </c>
      <c r="Y1203" s="2" t="s">
        <v>7768</v>
      </c>
      <c r="Z1203" s="6">
        <v>89106962</v>
      </c>
      <c r="AA1203" s="2" t="s">
        <v>7769</v>
      </c>
      <c r="AB1203" s="2" t="s">
        <v>798</v>
      </c>
      <c r="AC1203" s="2" t="s">
        <v>632</v>
      </c>
      <c r="AD1203" s="10">
        <v>89106962</v>
      </c>
      <c r="AE1203" s="11"/>
      <c r="AF1203" s="11"/>
      <c r="AG1203" s="11">
        <v>83687566</v>
      </c>
      <c r="AH1203" s="11"/>
      <c r="AI1203" s="11"/>
      <c r="AJ1203" s="11">
        <v>89106962</v>
      </c>
      <c r="AK1203" s="12">
        <v>3</v>
      </c>
      <c r="AL1203" s="12" t="s">
        <v>7377</v>
      </c>
      <c r="AM1203" s="2">
        <v>0</v>
      </c>
      <c r="AN1203" s="2">
        <v>0</v>
      </c>
      <c r="AO1203" s="2">
        <v>0</v>
      </c>
      <c r="AP1203" s="2">
        <v>1</v>
      </c>
      <c r="AQ1203" s="2">
        <v>0</v>
      </c>
      <c r="AR1203" s="2">
        <v>0</v>
      </c>
      <c r="AS1203" s="2">
        <v>0</v>
      </c>
      <c r="AT1203" s="2">
        <v>0</v>
      </c>
      <c r="AZ1203" s="2" t="s">
        <v>7770</v>
      </c>
      <c r="BB1203" s="2" t="str">
        <f>+PROPER(BD[[#This Row],[PRIMER_APELLIDO]])</f>
        <v>Gomez</v>
      </c>
    </row>
    <row r="1204" spans="1:54" x14ac:dyDescent="0.25">
      <c r="A1204" s="2">
        <v>1203</v>
      </c>
      <c r="B1204" s="2">
        <v>23591</v>
      </c>
      <c r="C1204" s="5" t="s">
        <v>619</v>
      </c>
      <c r="D1204" s="2" t="s">
        <v>620</v>
      </c>
      <c r="E1204" s="6" t="s">
        <v>7771</v>
      </c>
      <c r="F1204" s="6">
        <v>21661109</v>
      </c>
      <c r="G1204" s="3">
        <v>39.9972602739726</v>
      </c>
      <c r="I1204" s="7"/>
      <c r="J1204" s="7"/>
      <c r="K1204" s="8">
        <v>40.580821917808223</v>
      </c>
      <c r="L1204" s="2" t="s">
        <v>243</v>
      </c>
      <c r="M1204" s="2" t="s">
        <v>2511</v>
      </c>
      <c r="N1204" s="2" t="s">
        <v>38</v>
      </c>
      <c r="O1204" s="2" t="s">
        <v>185</v>
      </c>
      <c r="P1204" s="2" t="s">
        <v>649</v>
      </c>
      <c r="Q1204" s="2" t="s">
        <v>351</v>
      </c>
      <c r="R1204" s="9">
        <v>29984</v>
      </c>
      <c r="S1204" s="9">
        <v>29984</v>
      </c>
      <c r="U1204" s="2" t="s">
        <v>740</v>
      </c>
      <c r="W1204" s="2" t="s">
        <v>740</v>
      </c>
      <c r="Y1204" s="2" t="s">
        <v>7772</v>
      </c>
      <c r="Z1204" s="6"/>
      <c r="AA1204" s="2" t="s">
        <v>7773</v>
      </c>
      <c r="AB1204" s="2" t="s">
        <v>654</v>
      </c>
      <c r="AC1204" s="2" t="s">
        <v>632</v>
      </c>
      <c r="AD1204" s="10"/>
      <c r="AE1204" s="11"/>
      <c r="AF1204" s="11"/>
      <c r="AG1204" s="11">
        <v>89533648</v>
      </c>
      <c r="AH1204" s="11"/>
      <c r="AI1204" s="11"/>
      <c r="AJ1204" s="11">
        <v>89533648</v>
      </c>
      <c r="AK1204" s="12">
        <v>2</v>
      </c>
      <c r="AL1204" s="12" t="s">
        <v>7377</v>
      </c>
      <c r="AM1204" s="2">
        <v>0</v>
      </c>
      <c r="AN1204" s="2">
        <v>0</v>
      </c>
      <c r="AO1204" s="2">
        <v>0</v>
      </c>
      <c r="AP1204" s="2">
        <v>1</v>
      </c>
      <c r="AQ1204" s="2">
        <v>0</v>
      </c>
      <c r="AR1204" s="2">
        <v>0</v>
      </c>
      <c r="AS1204" s="2">
        <v>0</v>
      </c>
      <c r="AT1204" s="2">
        <v>0</v>
      </c>
      <c r="BB1204" s="2" t="str">
        <f>+PROPER(BD[[#This Row],[PRIMER_APELLIDO]])</f>
        <v>Ramirez</v>
      </c>
    </row>
    <row r="1205" spans="1:54" x14ac:dyDescent="0.25">
      <c r="A1205" s="2">
        <v>1204</v>
      </c>
      <c r="B1205" s="2">
        <v>23575</v>
      </c>
      <c r="C1205" s="5" t="s">
        <v>619</v>
      </c>
      <c r="D1205" s="2" t="s">
        <v>620</v>
      </c>
      <c r="E1205" s="6" t="s">
        <v>7774</v>
      </c>
      <c r="F1205" s="6">
        <v>19910910</v>
      </c>
      <c r="G1205" s="3">
        <v>39.9972602739726</v>
      </c>
      <c r="I1205" s="7"/>
      <c r="J1205" s="7"/>
      <c r="K1205" s="8">
        <v>40.583561643835615</v>
      </c>
      <c r="L1205" s="2" t="s">
        <v>746</v>
      </c>
      <c r="M1205" s="2" t="s">
        <v>683</v>
      </c>
      <c r="N1205" s="2" t="s">
        <v>82</v>
      </c>
      <c r="O1205" s="2" t="s">
        <v>56</v>
      </c>
      <c r="P1205" s="2" t="s">
        <v>626</v>
      </c>
      <c r="Q1205" s="2" t="s">
        <v>351</v>
      </c>
      <c r="R1205" s="9">
        <v>29983</v>
      </c>
      <c r="S1205" s="9">
        <v>29983</v>
      </c>
      <c r="U1205" s="2" t="s">
        <v>627</v>
      </c>
      <c r="W1205" s="2" t="s">
        <v>1406</v>
      </c>
      <c r="X1205" s="2" t="s">
        <v>7775</v>
      </c>
      <c r="Y1205" s="2" t="s">
        <v>7776</v>
      </c>
      <c r="Z1205" s="6"/>
      <c r="AA1205" s="2" t="s">
        <v>7777</v>
      </c>
      <c r="AB1205" s="2" t="s">
        <v>654</v>
      </c>
      <c r="AC1205" s="2" t="s">
        <v>632</v>
      </c>
      <c r="AD1205" s="10"/>
      <c r="AE1205" s="11"/>
      <c r="AF1205" s="11">
        <v>84765684</v>
      </c>
      <c r="AG1205" s="11">
        <v>85986368</v>
      </c>
      <c r="AH1205" s="11">
        <v>88773122</v>
      </c>
      <c r="AI1205" s="11"/>
      <c r="AJ1205" s="11">
        <v>84765684</v>
      </c>
      <c r="AK1205" s="12">
        <v>3</v>
      </c>
      <c r="AL1205" s="12" t="s">
        <v>7377</v>
      </c>
      <c r="AM1205" s="2">
        <v>0</v>
      </c>
      <c r="AN1205" s="2">
        <v>0</v>
      </c>
      <c r="AO1205" s="2">
        <v>0</v>
      </c>
      <c r="AP1205" s="2">
        <v>1</v>
      </c>
      <c r="AQ1205" s="2">
        <v>0</v>
      </c>
      <c r="AR1205" s="2">
        <v>0</v>
      </c>
      <c r="AS1205" s="2">
        <v>0</v>
      </c>
      <c r="AT1205" s="2">
        <v>0</v>
      </c>
      <c r="BB1205" s="2" t="str">
        <f>+PROPER(BD[[#This Row],[PRIMER_APELLIDO]])</f>
        <v>Morales</v>
      </c>
    </row>
    <row r="1206" spans="1:54" x14ac:dyDescent="0.25">
      <c r="A1206" s="2">
        <v>1205</v>
      </c>
      <c r="B1206" s="2">
        <v>33671</v>
      </c>
      <c r="C1206" s="5" t="s">
        <v>619</v>
      </c>
      <c r="D1206" s="2" t="s">
        <v>620</v>
      </c>
      <c r="E1206" s="6" t="s">
        <v>7778</v>
      </c>
      <c r="F1206" s="6">
        <v>22111988</v>
      </c>
      <c r="G1206" s="3">
        <v>39.9972602739726</v>
      </c>
      <c r="I1206" s="7"/>
      <c r="J1206" s="7"/>
      <c r="K1206" s="8">
        <v>40.591780821917808</v>
      </c>
      <c r="L1206" s="2" t="s">
        <v>7779</v>
      </c>
      <c r="M1206" s="2" t="s">
        <v>7780</v>
      </c>
      <c r="N1206" s="2" t="s">
        <v>82</v>
      </c>
      <c r="O1206" s="2" t="s">
        <v>232</v>
      </c>
      <c r="P1206" s="2" t="s">
        <v>649</v>
      </c>
      <c r="Q1206" s="2" t="s">
        <v>351</v>
      </c>
      <c r="R1206" s="9">
        <v>29980</v>
      </c>
      <c r="S1206" s="9">
        <v>29980</v>
      </c>
      <c r="T1206" s="2" t="s">
        <v>133</v>
      </c>
      <c r="U1206" s="2" t="s">
        <v>133</v>
      </c>
      <c r="V1206" s="2" t="s">
        <v>841</v>
      </c>
      <c r="W1206" s="2" t="s">
        <v>841</v>
      </c>
      <c r="X1206" s="2" t="s">
        <v>7781</v>
      </c>
      <c r="Y1206" s="2" t="s">
        <v>7782</v>
      </c>
      <c r="Z1206" s="6">
        <v>57608474</v>
      </c>
      <c r="AA1206" s="2">
        <v>57608474</v>
      </c>
      <c r="AB1206" s="2" t="s">
        <v>798</v>
      </c>
      <c r="AC1206" s="2" t="s">
        <v>632</v>
      </c>
      <c r="AD1206" s="10">
        <v>57608474</v>
      </c>
      <c r="AE1206" s="11"/>
      <c r="AF1206" s="11">
        <v>57608474</v>
      </c>
      <c r="AG1206" s="11"/>
      <c r="AH1206" s="11"/>
      <c r="AI1206" s="11"/>
      <c r="AJ1206" s="11">
        <v>57608474</v>
      </c>
      <c r="AK1206" s="12">
        <v>2</v>
      </c>
      <c r="AL1206" s="12" t="s">
        <v>7377</v>
      </c>
      <c r="AM1206" s="2">
        <v>0</v>
      </c>
      <c r="AN1206" s="2">
        <v>0</v>
      </c>
      <c r="AO1206" s="2">
        <v>0</v>
      </c>
      <c r="AP1206" s="2">
        <v>1</v>
      </c>
      <c r="AQ1206" s="2">
        <v>0</v>
      </c>
      <c r="AR1206" s="2">
        <v>0</v>
      </c>
      <c r="AS1206" s="2">
        <v>0</v>
      </c>
      <c r="AT1206" s="2">
        <v>0</v>
      </c>
      <c r="AZ1206" s="2" t="s">
        <v>7783</v>
      </c>
      <c r="BB1206" s="2" t="str">
        <f>+PROPER(BD[[#This Row],[PRIMER_APELLIDO]])</f>
        <v>Morales</v>
      </c>
    </row>
    <row r="1207" spans="1:54" x14ac:dyDescent="0.25">
      <c r="A1207" s="2">
        <v>1206</v>
      </c>
      <c r="B1207" s="2">
        <v>47584</v>
      </c>
      <c r="C1207" s="5" t="s">
        <v>619</v>
      </c>
      <c r="D1207" s="2" t="s">
        <v>620</v>
      </c>
      <c r="E1207" s="6" t="s">
        <v>7784</v>
      </c>
      <c r="F1207" s="6">
        <v>25023976</v>
      </c>
      <c r="G1207" s="3">
        <v>39.9972602739726</v>
      </c>
      <c r="I1207" s="7"/>
      <c r="J1207" s="7"/>
      <c r="K1207" s="8">
        <v>40.591780821917808</v>
      </c>
      <c r="L1207" s="2" t="s">
        <v>7597</v>
      </c>
      <c r="M1207" s="2" t="s">
        <v>7785</v>
      </c>
      <c r="N1207" s="2" t="s">
        <v>348</v>
      </c>
      <c r="O1207" s="2" t="s">
        <v>9</v>
      </c>
      <c r="P1207" s="2" t="s">
        <v>626</v>
      </c>
      <c r="Q1207" s="2" t="s">
        <v>351</v>
      </c>
      <c r="R1207" s="9">
        <v>29980</v>
      </c>
      <c r="S1207" s="9">
        <v>29980</v>
      </c>
      <c r="T1207" s="2" t="s">
        <v>1104</v>
      </c>
      <c r="U1207" s="2" t="s">
        <v>1104</v>
      </c>
      <c r="V1207" s="2" t="s">
        <v>1104</v>
      </c>
      <c r="W1207" s="2" t="s">
        <v>1104</v>
      </c>
      <c r="X1207" s="2" t="s">
        <v>7786</v>
      </c>
      <c r="Y1207" s="2" t="s">
        <v>7787</v>
      </c>
      <c r="Z1207" s="6">
        <v>89273761</v>
      </c>
      <c r="AA1207" s="2" t="s">
        <v>7788</v>
      </c>
      <c r="AB1207" s="2" t="s">
        <v>631</v>
      </c>
      <c r="AC1207" s="2" t="s">
        <v>632</v>
      </c>
      <c r="AD1207" s="10">
        <v>89273761</v>
      </c>
      <c r="AE1207" s="11"/>
      <c r="AF1207" s="11"/>
      <c r="AG1207" s="11">
        <v>89273761</v>
      </c>
      <c r="AH1207" s="11"/>
      <c r="AI1207" s="11"/>
      <c r="AJ1207" s="11">
        <v>89273761</v>
      </c>
      <c r="AK1207" s="12">
        <v>3</v>
      </c>
      <c r="AL1207" s="12" t="s">
        <v>7377</v>
      </c>
      <c r="AM1207" s="2">
        <v>0</v>
      </c>
      <c r="AN1207" s="2">
        <v>0</v>
      </c>
      <c r="AO1207" s="2">
        <v>0</v>
      </c>
      <c r="AP1207" s="2">
        <v>1</v>
      </c>
      <c r="AQ1207" s="2">
        <v>0</v>
      </c>
      <c r="AR1207" s="2">
        <v>0</v>
      </c>
      <c r="AS1207" s="2">
        <v>0</v>
      </c>
      <c r="AT1207" s="2">
        <v>0</v>
      </c>
      <c r="AZ1207" s="2" t="s">
        <v>7789</v>
      </c>
      <c r="BB1207" s="2" t="str">
        <f>+PROPER(BD[[#This Row],[PRIMER_APELLIDO]])</f>
        <v>Sequeira</v>
      </c>
    </row>
    <row r="1208" spans="1:54" x14ac:dyDescent="0.25">
      <c r="A1208" s="2">
        <v>1207</v>
      </c>
      <c r="B1208" s="2">
        <v>26393</v>
      </c>
      <c r="C1208" s="5" t="s">
        <v>619</v>
      </c>
      <c r="D1208" s="2" t="s">
        <v>620</v>
      </c>
      <c r="E1208" s="6" t="s">
        <v>7790</v>
      </c>
      <c r="F1208" s="6">
        <v>20893879</v>
      </c>
      <c r="G1208" s="3">
        <v>39.9972602739726</v>
      </c>
      <c r="I1208" s="7"/>
      <c r="J1208" s="7"/>
      <c r="K1208" s="8">
        <v>40.594520547945208</v>
      </c>
      <c r="L1208" s="2" t="s">
        <v>7791</v>
      </c>
      <c r="M1208" s="2" t="s">
        <v>243</v>
      </c>
      <c r="N1208" s="2" t="s">
        <v>207</v>
      </c>
      <c r="O1208" s="2" t="s">
        <v>165</v>
      </c>
      <c r="P1208" s="2" t="s">
        <v>626</v>
      </c>
      <c r="Q1208" s="2" t="s">
        <v>351</v>
      </c>
      <c r="R1208" s="9">
        <v>29979</v>
      </c>
      <c r="S1208" s="9">
        <v>29979</v>
      </c>
      <c r="U1208" s="2" t="s">
        <v>705</v>
      </c>
      <c r="W1208" s="2" t="s">
        <v>705</v>
      </c>
      <c r="Y1208" s="2" t="s">
        <v>7792</v>
      </c>
      <c r="Z1208" s="6"/>
      <c r="AA1208" s="2" t="s">
        <v>7793</v>
      </c>
      <c r="AB1208" s="2" t="s">
        <v>642</v>
      </c>
      <c r="AC1208" s="2" t="s">
        <v>632</v>
      </c>
      <c r="AD1208" s="10"/>
      <c r="AE1208" s="11"/>
      <c r="AF1208" s="11"/>
      <c r="AG1208" s="11">
        <v>86930641</v>
      </c>
      <c r="AH1208" s="11"/>
      <c r="AI1208" s="11"/>
      <c r="AJ1208" s="11">
        <v>86930641</v>
      </c>
      <c r="AK1208" s="12">
        <v>2</v>
      </c>
      <c r="AL1208" s="12" t="s">
        <v>7377</v>
      </c>
      <c r="AM1208" s="2">
        <v>0</v>
      </c>
      <c r="AN1208" s="2">
        <v>0</v>
      </c>
      <c r="AO1208" s="2">
        <v>0</v>
      </c>
      <c r="AP1208" s="2">
        <v>1</v>
      </c>
      <c r="AQ1208" s="2">
        <v>0</v>
      </c>
      <c r="AR1208" s="2">
        <v>0</v>
      </c>
      <c r="AS1208" s="2">
        <v>0</v>
      </c>
      <c r="AT1208" s="2">
        <v>0</v>
      </c>
      <c r="BB1208" s="2" t="str">
        <f>+PROPER(BD[[#This Row],[PRIMER_APELLIDO]])</f>
        <v>Chavez</v>
      </c>
    </row>
    <row r="1209" spans="1:54" x14ac:dyDescent="0.25">
      <c r="A1209" s="2">
        <v>1208</v>
      </c>
      <c r="B1209" s="2">
        <v>23167</v>
      </c>
      <c r="C1209" s="5" t="s">
        <v>619</v>
      </c>
      <c r="D1209" s="2" t="s">
        <v>620</v>
      </c>
      <c r="E1209" s="6" t="s">
        <v>7794</v>
      </c>
      <c r="F1209" s="6">
        <v>19458296</v>
      </c>
      <c r="G1209" s="3">
        <v>39.9972602739726</v>
      </c>
      <c r="I1209" s="7"/>
      <c r="J1209" s="7"/>
      <c r="K1209" s="8">
        <v>40.6</v>
      </c>
      <c r="L1209" s="2" t="s">
        <v>7795</v>
      </c>
      <c r="M1209" s="2" t="s">
        <v>4438</v>
      </c>
      <c r="N1209" s="2" t="s">
        <v>73</v>
      </c>
      <c r="O1209" s="2" t="s">
        <v>225</v>
      </c>
      <c r="P1209" s="2" t="s">
        <v>626</v>
      </c>
      <c r="Q1209" s="2" t="s">
        <v>351</v>
      </c>
      <c r="R1209" s="9">
        <v>29977</v>
      </c>
      <c r="S1209" s="9">
        <v>29977</v>
      </c>
      <c r="T1209" s="2" t="s">
        <v>627</v>
      </c>
      <c r="U1209" s="2" t="s">
        <v>627</v>
      </c>
      <c r="V1209" s="2" t="s">
        <v>692</v>
      </c>
      <c r="W1209" s="2" t="s">
        <v>692</v>
      </c>
      <c r="X1209" s="2" t="s">
        <v>7796</v>
      </c>
      <c r="Y1209" s="2" t="s">
        <v>7797</v>
      </c>
      <c r="Z1209" s="6"/>
      <c r="AA1209" s="2" t="s">
        <v>7798</v>
      </c>
      <c r="AB1209" s="2" t="s">
        <v>654</v>
      </c>
      <c r="AC1209" s="2" t="s">
        <v>632</v>
      </c>
      <c r="AD1209" s="10"/>
      <c r="AE1209" s="11"/>
      <c r="AF1209" s="11"/>
      <c r="AG1209" s="11">
        <v>78683140</v>
      </c>
      <c r="AH1209" s="11">
        <v>86473755</v>
      </c>
      <c r="AI1209" s="11">
        <v>89009755</v>
      </c>
      <c r="AJ1209" s="11">
        <v>78683140</v>
      </c>
      <c r="AK1209" s="12">
        <v>4</v>
      </c>
      <c r="AL1209" s="12" t="s">
        <v>7377</v>
      </c>
      <c r="AM1209" s="2">
        <v>0</v>
      </c>
      <c r="AN1209" s="2">
        <v>0</v>
      </c>
      <c r="AO1209" s="2">
        <v>0</v>
      </c>
      <c r="AP1209" s="2">
        <v>1</v>
      </c>
      <c r="AQ1209" s="2">
        <v>0</v>
      </c>
      <c r="AR1209" s="2">
        <v>0</v>
      </c>
      <c r="AS1209" s="2">
        <v>0</v>
      </c>
      <c r="AT1209" s="2">
        <v>0</v>
      </c>
      <c r="BA1209" s="2" t="s">
        <v>7799</v>
      </c>
      <c r="BB1209" s="2" t="str">
        <f>+PROPER(BD[[#This Row],[PRIMER_APELLIDO]])</f>
        <v>Altamirano</v>
      </c>
    </row>
    <row r="1210" spans="1:54" x14ac:dyDescent="0.25">
      <c r="A1210" s="2">
        <v>1209</v>
      </c>
      <c r="B1210" s="2">
        <v>26433</v>
      </c>
      <c r="C1210" s="5" t="s">
        <v>619</v>
      </c>
      <c r="D1210" s="2" t="s">
        <v>620</v>
      </c>
      <c r="E1210" s="6" t="s">
        <v>7800</v>
      </c>
      <c r="F1210" s="6">
        <v>21788244</v>
      </c>
      <c r="G1210" s="3">
        <v>39.9972602739726</v>
      </c>
      <c r="I1210" s="7"/>
      <c r="J1210" s="7"/>
      <c r="K1210" s="8">
        <v>40.610958904109587</v>
      </c>
      <c r="L1210" s="2" t="s">
        <v>2149</v>
      </c>
      <c r="M1210" s="2" t="s">
        <v>1070</v>
      </c>
      <c r="N1210" s="2" t="s">
        <v>453</v>
      </c>
      <c r="O1210" s="2" t="s">
        <v>430</v>
      </c>
      <c r="P1210" s="2" t="s">
        <v>626</v>
      </c>
      <c r="Q1210" s="2" t="s">
        <v>351</v>
      </c>
      <c r="R1210" s="9">
        <v>29973</v>
      </c>
      <c r="S1210" s="9">
        <v>29973</v>
      </c>
      <c r="U1210" s="2" t="s">
        <v>627</v>
      </c>
      <c r="W1210" s="2" t="s">
        <v>1498</v>
      </c>
      <c r="X1210" s="2" t="s">
        <v>7801</v>
      </c>
      <c r="Y1210" s="2" t="s">
        <v>7802</v>
      </c>
      <c r="Z1210" s="6"/>
      <c r="AA1210" s="2" t="s">
        <v>7803</v>
      </c>
      <c r="AB1210" s="2" t="s">
        <v>642</v>
      </c>
      <c r="AC1210" s="2" t="s">
        <v>632</v>
      </c>
      <c r="AD1210" s="10"/>
      <c r="AE1210" s="11"/>
      <c r="AF1210" s="11">
        <v>88323030</v>
      </c>
      <c r="AG1210" s="11">
        <v>81995207</v>
      </c>
      <c r="AH1210" s="11"/>
      <c r="AI1210" s="11"/>
      <c r="AJ1210" s="11">
        <v>88323030</v>
      </c>
      <c r="AK1210" s="12">
        <v>2</v>
      </c>
      <c r="AL1210" s="12" t="s">
        <v>7377</v>
      </c>
      <c r="AM1210" s="2">
        <v>0</v>
      </c>
      <c r="AN1210" s="2">
        <v>0</v>
      </c>
      <c r="AO1210" s="2">
        <v>0</v>
      </c>
      <c r="AP1210" s="2">
        <v>1</v>
      </c>
      <c r="AQ1210" s="2">
        <v>0</v>
      </c>
      <c r="AR1210" s="2">
        <v>0</v>
      </c>
      <c r="AS1210" s="2">
        <v>0</v>
      </c>
      <c r="AT1210" s="2">
        <v>0</v>
      </c>
      <c r="BB1210" s="2" t="str">
        <f>+PROPER(BD[[#This Row],[PRIMER_APELLIDO]])</f>
        <v>Selva</v>
      </c>
    </row>
    <row r="1211" spans="1:54" x14ac:dyDescent="0.25">
      <c r="A1211" s="2">
        <v>1210</v>
      </c>
      <c r="B1211" s="2">
        <v>50007</v>
      </c>
      <c r="C1211" s="5" t="s">
        <v>619</v>
      </c>
      <c r="D1211" s="2" t="s">
        <v>620</v>
      </c>
      <c r="E1211" s="6" t="s">
        <v>7804</v>
      </c>
      <c r="F1211" s="6">
        <v>13142173</v>
      </c>
      <c r="G1211" s="3">
        <v>39.9972602739726</v>
      </c>
      <c r="I1211" s="7"/>
      <c r="J1211" s="7"/>
      <c r="K1211" s="8">
        <v>40.61917808219178</v>
      </c>
      <c r="L1211" s="2" t="s">
        <v>1765</v>
      </c>
      <c r="N1211" s="2" t="s">
        <v>496</v>
      </c>
      <c r="O1211" s="2" t="s">
        <v>159</v>
      </c>
      <c r="P1211" s="2" t="s">
        <v>649</v>
      </c>
      <c r="Q1211" s="2" t="s">
        <v>351</v>
      </c>
      <c r="R1211" s="9">
        <v>29970</v>
      </c>
      <c r="S1211" s="9">
        <v>29970</v>
      </c>
      <c r="T1211" s="2" t="s">
        <v>732</v>
      </c>
      <c r="U1211" s="2" t="s">
        <v>627</v>
      </c>
      <c r="V1211" s="2" t="s">
        <v>732</v>
      </c>
      <c r="W1211" s="2" t="s">
        <v>627</v>
      </c>
      <c r="X1211" s="2" t="s">
        <v>7805</v>
      </c>
      <c r="Y1211" s="2" t="s">
        <v>7806</v>
      </c>
      <c r="Z1211" s="6"/>
      <c r="AA1211" s="2">
        <v>76394605</v>
      </c>
      <c r="AB1211" s="2" t="s">
        <v>798</v>
      </c>
      <c r="AC1211" s="2" t="s">
        <v>632</v>
      </c>
      <c r="AD1211" s="10"/>
      <c r="AE1211" s="11"/>
      <c r="AF1211" s="11">
        <v>76394605</v>
      </c>
      <c r="AG1211" s="11"/>
      <c r="AH1211" s="11"/>
      <c r="AI1211" s="11"/>
      <c r="AJ1211" s="11">
        <v>76394605</v>
      </c>
      <c r="AK1211" s="12">
        <v>1</v>
      </c>
      <c r="AL1211" s="12" t="s">
        <v>7377</v>
      </c>
      <c r="AM1211" s="2">
        <v>0</v>
      </c>
      <c r="AN1211" s="2">
        <v>0</v>
      </c>
      <c r="AO1211" s="2">
        <v>0</v>
      </c>
      <c r="AP1211" s="2">
        <v>1</v>
      </c>
      <c r="AQ1211" s="2">
        <v>0</v>
      </c>
      <c r="AR1211" s="2">
        <v>0</v>
      </c>
      <c r="AS1211" s="2">
        <v>0</v>
      </c>
      <c r="AT1211" s="2">
        <v>0</v>
      </c>
      <c r="BA1211" s="2" t="s">
        <v>7807</v>
      </c>
      <c r="BB1211" s="2" t="str">
        <f>+PROPER(BD[[#This Row],[PRIMER_APELLIDO]])</f>
        <v>Gabino</v>
      </c>
    </row>
    <row r="1212" spans="1:54" x14ac:dyDescent="0.25">
      <c r="A1212" s="2">
        <v>1211</v>
      </c>
      <c r="B1212" s="2">
        <v>46247</v>
      </c>
      <c r="C1212" s="5" t="s">
        <v>619</v>
      </c>
      <c r="D1212" s="2" t="s">
        <v>620</v>
      </c>
      <c r="E1212" s="6" t="s">
        <v>7808</v>
      </c>
      <c r="F1212" s="6">
        <v>29279830</v>
      </c>
      <c r="G1212" s="3">
        <v>39.9972602739726</v>
      </c>
      <c r="I1212" s="7"/>
      <c r="J1212" s="7"/>
      <c r="K1212" s="8">
        <v>40.624657534246573</v>
      </c>
      <c r="L1212" s="2" t="s">
        <v>1888</v>
      </c>
      <c r="M1212" s="2" t="s">
        <v>243</v>
      </c>
      <c r="N1212" s="2" t="s">
        <v>185</v>
      </c>
      <c r="O1212" s="2" t="s">
        <v>14</v>
      </c>
      <c r="P1212" s="2" t="s">
        <v>649</v>
      </c>
      <c r="Q1212" s="2" t="s">
        <v>351</v>
      </c>
      <c r="R1212" s="9">
        <v>29968</v>
      </c>
      <c r="S1212" s="9">
        <v>29968</v>
      </c>
      <c r="T1212" s="2" t="s">
        <v>732</v>
      </c>
      <c r="U1212" s="2" t="s">
        <v>732</v>
      </c>
      <c r="V1212" s="2" t="s">
        <v>732</v>
      </c>
      <c r="W1212" s="2" t="s">
        <v>732</v>
      </c>
      <c r="X1212" s="2" t="s">
        <v>7809</v>
      </c>
      <c r="Y1212" s="2" t="s">
        <v>7810</v>
      </c>
      <c r="Z1212" s="6"/>
      <c r="AA1212" s="2">
        <v>89661424</v>
      </c>
      <c r="AB1212" s="2" t="s">
        <v>654</v>
      </c>
      <c r="AC1212" s="2" t="s">
        <v>632</v>
      </c>
      <c r="AD1212" s="10"/>
      <c r="AE1212" s="11"/>
      <c r="AF1212" s="11">
        <v>89661424</v>
      </c>
      <c r="AG1212" s="11"/>
      <c r="AH1212" s="11"/>
      <c r="AI1212" s="11"/>
      <c r="AJ1212" s="11">
        <v>89661424</v>
      </c>
      <c r="AK1212" s="12">
        <v>1</v>
      </c>
      <c r="AL1212" s="12" t="s">
        <v>7377</v>
      </c>
      <c r="AM1212" s="2">
        <v>0</v>
      </c>
      <c r="AN1212" s="2">
        <v>0</v>
      </c>
      <c r="AO1212" s="2">
        <v>0</v>
      </c>
      <c r="AP1212" s="2">
        <v>1</v>
      </c>
      <c r="AQ1212" s="2">
        <v>0</v>
      </c>
      <c r="AR1212" s="2">
        <v>0</v>
      </c>
      <c r="AS1212" s="2">
        <v>0</v>
      </c>
      <c r="AT1212" s="2">
        <v>0</v>
      </c>
      <c r="BB1212" s="2" t="str">
        <f>+PROPER(BD[[#This Row],[PRIMER_APELLIDO]])</f>
        <v>Rodriguez</v>
      </c>
    </row>
    <row r="1213" spans="1:54" x14ac:dyDescent="0.25">
      <c r="A1213" s="2">
        <v>1212</v>
      </c>
      <c r="B1213" s="2">
        <v>21542</v>
      </c>
      <c r="C1213" s="5" t="s">
        <v>619</v>
      </c>
      <c r="D1213" s="2" t="s">
        <v>620</v>
      </c>
      <c r="E1213" s="6" t="s">
        <v>7811</v>
      </c>
      <c r="F1213" s="6">
        <v>21686748</v>
      </c>
      <c r="G1213" s="3">
        <v>39.9972602739726</v>
      </c>
      <c r="I1213" s="7"/>
      <c r="J1213" s="7"/>
      <c r="K1213" s="8">
        <v>40.630136986301373</v>
      </c>
      <c r="L1213" s="2" t="s">
        <v>7812</v>
      </c>
      <c r="M1213" s="2" t="s">
        <v>7813</v>
      </c>
      <c r="N1213" s="2" t="s">
        <v>76</v>
      </c>
      <c r="O1213" s="2" t="s">
        <v>204</v>
      </c>
      <c r="P1213" s="2" t="s">
        <v>626</v>
      </c>
      <c r="Q1213" s="2" t="s">
        <v>351</v>
      </c>
      <c r="R1213" s="9">
        <v>29966</v>
      </c>
      <c r="S1213" s="9">
        <v>29966</v>
      </c>
      <c r="T1213" s="2" t="s">
        <v>627</v>
      </c>
      <c r="U1213" s="2" t="s">
        <v>627</v>
      </c>
      <c r="V1213" s="2" t="s">
        <v>627</v>
      </c>
      <c r="W1213" s="2" t="s">
        <v>627</v>
      </c>
      <c r="X1213" s="2" t="s">
        <v>7814</v>
      </c>
      <c r="Y1213" s="2" t="s">
        <v>7815</v>
      </c>
      <c r="Z1213" s="6">
        <v>88568211</v>
      </c>
      <c r="AB1213" s="2" t="s">
        <v>642</v>
      </c>
      <c r="AC1213" s="2" t="s">
        <v>632</v>
      </c>
      <c r="AD1213" s="10">
        <v>88568211</v>
      </c>
      <c r="AE1213" s="11"/>
      <c r="AF1213" s="11"/>
      <c r="AG1213" s="11"/>
      <c r="AH1213" s="11"/>
      <c r="AI1213" s="11"/>
      <c r="AJ1213" s="11">
        <v>88568211</v>
      </c>
      <c r="AK1213" s="12">
        <v>1</v>
      </c>
      <c r="AL1213" s="12" t="s">
        <v>7377</v>
      </c>
      <c r="AM1213" s="2">
        <v>0</v>
      </c>
      <c r="AN1213" s="2">
        <v>0</v>
      </c>
      <c r="AO1213" s="2">
        <v>0</v>
      </c>
      <c r="AP1213" s="2">
        <v>1</v>
      </c>
      <c r="AQ1213" s="2">
        <v>0</v>
      </c>
      <c r="AR1213" s="2">
        <v>0</v>
      </c>
      <c r="AS1213" s="2">
        <v>0</v>
      </c>
      <c r="AT1213" s="2">
        <v>0</v>
      </c>
      <c r="AZ1213" s="2" t="s">
        <v>7816</v>
      </c>
      <c r="BB1213" s="2" t="str">
        <f>+PROPER(BD[[#This Row],[PRIMER_APELLIDO]])</f>
        <v>Ubeda</v>
      </c>
    </row>
    <row r="1214" spans="1:54" x14ac:dyDescent="0.25">
      <c r="A1214" s="2">
        <v>1213</v>
      </c>
      <c r="B1214" s="2">
        <v>43337</v>
      </c>
      <c r="C1214" s="5" t="s">
        <v>619</v>
      </c>
      <c r="D1214" s="2" t="s">
        <v>620</v>
      </c>
      <c r="E1214" s="6" t="s">
        <v>7817</v>
      </c>
      <c r="F1214" s="6">
        <v>19727628</v>
      </c>
      <c r="G1214" s="3">
        <v>39.9972602739726</v>
      </c>
      <c r="I1214" s="7"/>
      <c r="J1214" s="7"/>
      <c r="K1214" s="8">
        <v>40.652054794520545</v>
      </c>
      <c r="L1214" s="2" t="s">
        <v>2071</v>
      </c>
      <c r="M1214" s="2" t="s">
        <v>904</v>
      </c>
      <c r="N1214" s="2" t="s">
        <v>24</v>
      </c>
      <c r="O1214" s="2" t="s">
        <v>321</v>
      </c>
      <c r="P1214" s="2" t="s">
        <v>649</v>
      </c>
      <c r="Q1214" s="2" t="s">
        <v>351</v>
      </c>
      <c r="R1214" s="9">
        <v>29958</v>
      </c>
      <c r="S1214" s="9">
        <v>29958</v>
      </c>
      <c r="T1214" s="2" t="s">
        <v>627</v>
      </c>
      <c r="U1214" s="2" t="s">
        <v>669</v>
      </c>
      <c r="V1214" s="2" t="s">
        <v>627</v>
      </c>
      <c r="W1214" s="2" t="s">
        <v>669</v>
      </c>
      <c r="X1214" s="2" t="s">
        <v>7818</v>
      </c>
      <c r="Y1214" s="2" t="s">
        <v>7819</v>
      </c>
      <c r="Z1214" s="6"/>
      <c r="AA1214" s="2">
        <v>83355455</v>
      </c>
      <c r="AB1214" s="2" t="s">
        <v>654</v>
      </c>
      <c r="AC1214" s="2" t="s">
        <v>632</v>
      </c>
      <c r="AD1214" s="10"/>
      <c r="AE1214" s="11"/>
      <c r="AF1214" s="11">
        <v>83355455</v>
      </c>
      <c r="AG1214" s="11"/>
      <c r="AH1214" s="11"/>
      <c r="AI1214" s="11"/>
      <c r="AJ1214" s="11">
        <v>83355455</v>
      </c>
      <c r="AK1214" s="12">
        <v>1</v>
      </c>
      <c r="AL1214" s="12" t="s">
        <v>7377</v>
      </c>
      <c r="AM1214" s="2">
        <v>0</v>
      </c>
      <c r="AN1214" s="2">
        <v>0</v>
      </c>
      <c r="AO1214" s="2">
        <v>0</v>
      </c>
      <c r="AP1214" s="2">
        <v>1</v>
      </c>
      <c r="AQ1214" s="2">
        <v>0</v>
      </c>
      <c r="AR1214" s="2">
        <v>0</v>
      </c>
      <c r="AS1214" s="2">
        <v>0</v>
      </c>
      <c r="AT1214" s="2">
        <v>0</v>
      </c>
      <c r="BA1214" s="2" t="s">
        <v>7820</v>
      </c>
      <c r="BB1214" s="2" t="str">
        <f>+PROPER(BD[[#This Row],[PRIMER_APELLIDO]])</f>
        <v>Perez</v>
      </c>
    </row>
    <row r="1215" spans="1:54" x14ac:dyDescent="0.25">
      <c r="A1215" s="2">
        <v>1214</v>
      </c>
      <c r="B1215" s="2">
        <v>29531</v>
      </c>
      <c r="C1215" s="5" t="s">
        <v>619</v>
      </c>
      <c r="D1215" s="2" t="s">
        <v>620</v>
      </c>
      <c r="E1215" s="6" t="s">
        <v>7821</v>
      </c>
      <c r="F1215" s="6">
        <v>21727401</v>
      </c>
      <c r="G1215" s="3">
        <v>39.9972602739726</v>
      </c>
      <c r="I1215" s="7"/>
      <c r="J1215" s="7"/>
      <c r="K1215" s="8">
        <v>40.660273972602738</v>
      </c>
      <c r="L1215" s="2" t="s">
        <v>3842</v>
      </c>
      <c r="M1215" s="2" t="s">
        <v>5906</v>
      </c>
      <c r="N1215" s="2" t="s">
        <v>319</v>
      </c>
      <c r="O1215" s="2" t="s">
        <v>88</v>
      </c>
      <c r="P1215" s="2" t="s">
        <v>626</v>
      </c>
      <c r="Q1215" s="2" t="s">
        <v>351</v>
      </c>
      <c r="R1215" s="9">
        <v>29955</v>
      </c>
      <c r="S1215" s="9">
        <v>29955</v>
      </c>
      <c r="T1215" s="2" t="s">
        <v>627</v>
      </c>
      <c r="U1215" s="2" t="s">
        <v>627</v>
      </c>
      <c r="V1215" s="2" t="s">
        <v>627</v>
      </c>
      <c r="W1215" s="2" t="s">
        <v>627</v>
      </c>
      <c r="X1215" s="2" t="s">
        <v>7822</v>
      </c>
      <c r="Y1215" s="2" t="s">
        <v>7823</v>
      </c>
      <c r="Z1215" s="6">
        <v>88260284</v>
      </c>
      <c r="AA1215" s="2" t="s">
        <v>7824</v>
      </c>
      <c r="AB1215" s="2" t="s">
        <v>642</v>
      </c>
      <c r="AC1215" s="2" t="s">
        <v>632</v>
      </c>
      <c r="AD1215" s="10">
        <v>88260284</v>
      </c>
      <c r="AE1215" s="11"/>
      <c r="AF1215" s="11"/>
      <c r="AG1215" s="11">
        <v>88260284</v>
      </c>
      <c r="AH1215" s="11"/>
      <c r="AI1215" s="11"/>
      <c r="AJ1215" s="11">
        <v>88260284</v>
      </c>
      <c r="AK1215" s="12">
        <v>3</v>
      </c>
      <c r="AL1215" s="12" t="s">
        <v>7377</v>
      </c>
      <c r="AM1215" s="2">
        <v>0</v>
      </c>
      <c r="AN1215" s="2">
        <v>0</v>
      </c>
      <c r="AO1215" s="2">
        <v>0</v>
      </c>
      <c r="AP1215" s="2">
        <v>1</v>
      </c>
      <c r="AQ1215" s="2">
        <v>0</v>
      </c>
      <c r="AR1215" s="2">
        <v>0</v>
      </c>
      <c r="AS1215" s="2">
        <v>0</v>
      </c>
      <c r="AT1215" s="2">
        <v>0</v>
      </c>
      <c r="AZ1215" s="2" t="s">
        <v>7825</v>
      </c>
      <c r="BB1215" s="2" t="str">
        <f>+PROPER(BD[[#This Row],[PRIMER_APELLIDO]])</f>
        <v>Mena</v>
      </c>
    </row>
    <row r="1216" spans="1:54" x14ac:dyDescent="0.25">
      <c r="A1216" s="2">
        <v>1215</v>
      </c>
      <c r="B1216" s="2">
        <v>34697</v>
      </c>
      <c r="C1216" s="5" t="s">
        <v>619</v>
      </c>
      <c r="D1216" s="2" t="s">
        <v>620</v>
      </c>
      <c r="E1216" s="6" t="s">
        <v>7826</v>
      </c>
      <c r="F1216" s="6">
        <v>21835034</v>
      </c>
      <c r="G1216" s="3">
        <v>39.9972602739726</v>
      </c>
      <c r="I1216" s="7"/>
      <c r="J1216" s="7"/>
      <c r="K1216" s="8">
        <v>40.663013698630138</v>
      </c>
      <c r="L1216" s="2" t="s">
        <v>3417</v>
      </c>
      <c r="M1216" s="2" t="s">
        <v>2164</v>
      </c>
      <c r="N1216" s="2" t="s">
        <v>32</v>
      </c>
      <c r="O1216" s="2" t="s">
        <v>489</v>
      </c>
      <c r="P1216" s="2" t="s">
        <v>626</v>
      </c>
      <c r="Q1216" s="2" t="s">
        <v>351</v>
      </c>
      <c r="R1216" s="9">
        <v>29954</v>
      </c>
      <c r="S1216" s="9">
        <v>29954</v>
      </c>
      <c r="T1216" s="2" t="s">
        <v>627</v>
      </c>
      <c r="U1216" s="2" t="s">
        <v>627</v>
      </c>
      <c r="V1216" s="2" t="s">
        <v>627</v>
      </c>
      <c r="W1216" s="2" t="s">
        <v>627</v>
      </c>
      <c r="X1216" s="2" t="s">
        <v>7827</v>
      </c>
      <c r="Y1216" s="2" t="s">
        <v>7828</v>
      </c>
      <c r="Z1216" s="6"/>
      <c r="AA1216" s="2" t="s">
        <v>7829</v>
      </c>
      <c r="AB1216" s="2" t="s">
        <v>631</v>
      </c>
      <c r="AC1216" s="2" t="s">
        <v>632</v>
      </c>
      <c r="AD1216" s="10"/>
      <c r="AE1216" s="11"/>
      <c r="AF1216" s="11"/>
      <c r="AG1216" s="11">
        <v>84100183</v>
      </c>
      <c r="AH1216" s="11"/>
      <c r="AI1216" s="11"/>
      <c r="AJ1216" s="11">
        <v>84100183</v>
      </c>
      <c r="AK1216" s="12">
        <v>2</v>
      </c>
      <c r="AL1216" s="12" t="s">
        <v>7377</v>
      </c>
      <c r="AM1216" s="2">
        <v>0</v>
      </c>
      <c r="AN1216" s="2">
        <v>0</v>
      </c>
      <c r="AO1216" s="2">
        <v>0</v>
      </c>
      <c r="AP1216" s="2">
        <v>1</v>
      </c>
      <c r="AQ1216" s="2">
        <v>0</v>
      </c>
      <c r="AR1216" s="2">
        <v>0</v>
      </c>
      <c r="AS1216" s="2">
        <v>0</v>
      </c>
      <c r="AT1216" s="2">
        <v>0</v>
      </c>
      <c r="BA1216" s="2" t="s">
        <v>7830</v>
      </c>
      <c r="BB1216" s="2" t="str">
        <f>+PROPER(BD[[#This Row],[PRIMER_APELLIDO]])</f>
        <v>Cruz</v>
      </c>
    </row>
    <row r="1217" spans="1:54" x14ac:dyDescent="0.25">
      <c r="A1217" s="2">
        <v>1216</v>
      </c>
      <c r="B1217" s="2">
        <v>49412</v>
      </c>
      <c r="C1217" s="5" t="s">
        <v>619</v>
      </c>
      <c r="D1217" s="2" t="s">
        <v>620</v>
      </c>
      <c r="E1217" s="6" t="s">
        <v>7831</v>
      </c>
      <c r="F1217" s="6">
        <v>15207043</v>
      </c>
      <c r="G1217" s="3">
        <v>41</v>
      </c>
      <c r="I1217" s="7"/>
      <c r="J1217" s="7"/>
      <c r="K1217" s="8">
        <v>40.671232876712331</v>
      </c>
      <c r="L1217" s="2" t="s">
        <v>7832</v>
      </c>
      <c r="M1217" s="2" t="s">
        <v>904</v>
      </c>
      <c r="N1217" s="2" t="s">
        <v>165</v>
      </c>
      <c r="O1217" s="2" t="s">
        <v>18</v>
      </c>
      <c r="P1217" s="2" t="s">
        <v>649</v>
      </c>
      <c r="Q1217" s="2" t="s">
        <v>351</v>
      </c>
      <c r="R1217" s="9">
        <v>29951</v>
      </c>
      <c r="S1217" s="9">
        <v>29951</v>
      </c>
      <c r="T1217" s="2" t="s">
        <v>705</v>
      </c>
      <c r="U1217" s="2" t="s">
        <v>929</v>
      </c>
      <c r="V1217" s="2" t="s">
        <v>725</v>
      </c>
      <c r="W1217" s="2" t="s">
        <v>5001</v>
      </c>
      <c r="X1217" s="2" t="s">
        <v>7833</v>
      </c>
      <c r="Y1217" s="2" t="s">
        <v>7834</v>
      </c>
      <c r="Z1217" s="6">
        <v>82783584</v>
      </c>
      <c r="AA1217" s="2">
        <v>82783584</v>
      </c>
      <c r="AB1217" s="2" t="s">
        <v>798</v>
      </c>
      <c r="AC1217" s="2" t="s">
        <v>632</v>
      </c>
      <c r="AD1217" s="10">
        <v>82783584</v>
      </c>
      <c r="AE1217" s="11"/>
      <c r="AF1217" s="11">
        <v>82783584</v>
      </c>
      <c r="AG1217" s="11"/>
      <c r="AH1217" s="11"/>
      <c r="AI1217" s="11"/>
      <c r="AJ1217" s="11">
        <v>82783584</v>
      </c>
      <c r="AK1217" s="12">
        <v>2</v>
      </c>
      <c r="AL1217" s="12" t="s">
        <v>7377</v>
      </c>
      <c r="AM1217" s="2">
        <v>0</v>
      </c>
      <c r="AN1217" s="2">
        <v>0</v>
      </c>
      <c r="AO1217" s="2">
        <v>0</v>
      </c>
      <c r="AP1217" s="2">
        <v>1</v>
      </c>
      <c r="AQ1217" s="2">
        <v>0</v>
      </c>
      <c r="AR1217" s="2">
        <v>0</v>
      </c>
      <c r="AS1217" s="2">
        <v>0</v>
      </c>
      <c r="AT1217" s="2">
        <v>0</v>
      </c>
      <c r="AZ1217" s="2" t="s">
        <v>7835</v>
      </c>
      <c r="BB1217" s="2" t="str">
        <f>+PROPER(BD[[#This Row],[PRIMER_APELLIDO]])</f>
        <v>Salazar</v>
      </c>
    </row>
    <row r="1218" spans="1:54" x14ac:dyDescent="0.25">
      <c r="A1218" s="2">
        <v>1217</v>
      </c>
      <c r="B1218" s="2">
        <v>47730</v>
      </c>
      <c r="C1218" s="5" t="s">
        <v>619</v>
      </c>
      <c r="D1218" s="2" t="s">
        <v>620</v>
      </c>
      <c r="E1218" s="6" t="s">
        <v>7836</v>
      </c>
      <c r="F1218" s="6">
        <v>25021844</v>
      </c>
      <c r="G1218" s="3">
        <v>41</v>
      </c>
      <c r="I1218" s="7"/>
      <c r="J1218" s="7"/>
      <c r="K1218" s="8">
        <v>40.682191780821917</v>
      </c>
      <c r="L1218" s="2" t="s">
        <v>3897</v>
      </c>
      <c r="M1218" s="2" t="s">
        <v>7837</v>
      </c>
      <c r="N1218" s="2" t="s">
        <v>58</v>
      </c>
      <c r="O1218" s="2" t="s">
        <v>44</v>
      </c>
      <c r="P1218" s="2" t="s">
        <v>626</v>
      </c>
      <c r="Q1218" s="2" t="s">
        <v>351</v>
      </c>
      <c r="R1218" s="9">
        <v>29947</v>
      </c>
      <c r="S1218" s="9">
        <v>29947</v>
      </c>
      <c r="T1218" s="2" t="s">
        <v>780</v>
      </c>
      <c r="U1218" s="2" t="s">
        <v>627</v>
      </c>
      <c r="V1218" s="2" t="s">
        <v>794</v>
      </c>
      <c r="W1218" s="2" t="s">
        <v>627</v>
      </c>
      <c r="X1218" s="2" t="s">
        <v>7838</v>
      </c>
      <c r="Y1218" s="2" t="s">
        <v>7839</v>
      </c>
      <c r="Z1218" s="6">
        <v>83588280</v>
      </c>
      <c r="AA1218" s="2">
        <v>84939197</v>
      </c>
      <c r="AB1218" s="2" t="s">
        <v>1294</v>
      </c>
      <c r="AC1218" s="2" t="s">
        <v>632</v>
      </c>
      <c r="AD1218" s="10">
        <v>83588280</v>
      </c>
      <c r="AE1218" s="11"/>
      <c r="AF1218" s="11">
        <v>84939197</v>
      </c>
      <c r="AG1218" s="11"/>
      <c r="AH1218" s="11"/>
      <c r="AI1218" s="11"/>
      <c r="AJ1218" s="11">
        <v>83588280</v>
      </c>
      <c r="AK1218" s="12">
        <v>2</v>
      </c>
      <c r="AL1218" s="12" t="s">
        <v>7377</v>
      </c>
      <c r="AM1218" s="2">
        <v>0</v>
      </c>
      <c r="AN1218" s="2">
        <v>0</v>
      </c>
      <c r="AO1218" s="2">
        <v>0</v>
      </c>
      <c r="AP1218" s="2">
        <v>1</v>
      </c>
      <c r="AQ1218" s="2">
        <v>0</v>
      </c>
      <c r="AR1218" s="2">
        <v>0</v>
      </c>
      <c r="AS1218" s="2">
        <v>0</v>
      </c>
      <c r="AT1218" s="2">
        <v>0</v>
      </c>
      <c r="AZ1218" s="2" t="s">
        <v>7840</v>
      </c>
      <c r="BB1218" s="2" t="str">
        <f>+PROPER(BD[[#This Row],[PRIMER_APELLIDO]])</f>
        <v>Flores</v>
      </c>
    </row>
    <row r="1219" spans="1:54" x14ac:dyDescent="0.25">
      <c r="A1219" s="2">
        <v>1218</v>
      </c>
      <c r="B1219" s="2">
        <v>36301</v>
      </c>
      <c r="C1219" s="5" t="s">
        <v>619</v>
      </c>
      <c r="D1219" s="2" t="s">
        <v>620</v>
      </c>
      <c r="E1219" s="6" t="s">
        <v>7841</v>
      </c>
      <c r="F1219" s="6">
        <v>26318387</v>
      </c>
      <c r="G1219" s="3">
        <v>41</v>
      </c>
      <c r="I1219" s="7"/>
      <c r="J1219" s="7"/>
      <c r="K1219" s="8">
        <v>40.684931506849317</v>
      </c>
      <c r="L1219" s="2" t="s">
        <v>3384</v>
      </c>
      <c r="M1219" s="2" t="s">
        <v>7842</v>
      </c>
      <c r="N1219" s="2" t="s">
        <v>180</v>
      </c>
      <c r="O1219" s="2" t="s">
        <v>163</v>
      </c>
      <c r="P1219" s="2" t="s">
        <v>649</v>
      </c>
      <c r="Q1219" s="2" t="s">
        <v>351</v>
      </c>
      <c r="R1219" s="9">
        <v>29946</v>
      </c>
      <c r="S1219" s="9">
        <v>29946</v>
      </c>
      <c r="T1219" s="2" t="s">
        <v>659</v>
      </c>
      <c r="U1219" s="2" t="s">
        <v>627</v>
      </c>
      <c r="V1219" s="2" t="s">
        <v>659</v>
      </c>
      <c r="W1219" s="2" t="s">
        <v>627</v>
      </c>
      <c r="X1219" s="2" t="s">
        <v>7843</v>
      </c>
      <c r="Y1219" s="2" t="s">
        <v>7844</v>
      </c>
      <c r="Z1219" s="6"/>
      <c r="AA1219" s="2" t="s">
        <v>7845</v>
      </c>
      <c r="AB1219" s="2" t="s">
        <v>654</v>
      </c>
      <c r="AC1219" s="2" t="s">
        <v>632</v>
      </c>
      <c r="AD1219" s="10"/>
      <c r="AE1219" s="11"/>
      <c r="AF1219" s="11">
        <v>85553696</v>
      </c>
      <c r="AG1219" s="11">
        <v>83692360</v>
      </c>
      <c r="AH1219" s="11"/>
      <c r="AI1219" s="11"/>
      <c r="AJ1219" s="11">
        <v>85553696</v>
      </c>
      <c r="AK1219" s="12">
        <v>2</v>
      </c>
      <c r="AL1219" s="12" t="s">
        <v>7377</v>
      </c>
      <c r="AM1219" s="2">
        <v>0</v>
      </c>
      <c r="AN1219" s="2">
        <v>0</v>
      </c>
      <c r="AO1219" s="2">
        <v>0</v>
      </c>
      <c r="AP1219" s="2">
        <v>1</v>
      </c>
      <c r="AQ1219" s="2">
        <v>0</v>
      </c>
      <c r="AR1219" s="2">
        <v>0</v>
      </c>
      <c r="AS1219" s="2">
        <v>0</v>
      </c>
      <c r="AT1219" s="2">
        <v>0</v>
      </c>
      <c r="BA1219" s="2" t="s">
        <v>7846</v>
      </c>
      <c r="BB1219" s="2" t="str">
        <f>+PROPER(BD[[#This Row],[PRIMER_APELLIDO]])</f>
        <v>Aragon</v>
      </c>
    </row>
    <row r="1220" spans="1:54" x14ac:dyDescent="0.25">
      <c r="A1220" s="2">
        <v>1219</v>
      </c>
      <c r="B1220" s="2">
        <v>24368</v>
      </c>
      <c r="C1220" s="5" t="s">
        <v>619</v>
      </c>
      <c r="D1220" s="2" t="s">
        <v>620</v>
      </c>
      <c r="E1220" s="6" t="s">
        <v>7847</v>
      </c>
      <c r="F1220" s="6">
        <v>15555083</v>
      </c>
      <c r="G1220" s="3">
        <v>41</v>
      </c>
      <c r="I1220" s="7"/>
      <c r="J1220" s="7"/>
      <c r="K1220" s="8">
        <v>40.69041095890411</v>
      </c>
      <c r="L1220" s="2" t="s">
        <v>1412</v>
      </c>
      <c r="M1220" s="2" t="s">
        <v>904</v>
      </c>
      <c r="N1220" s="2" t="s">
        <v>497</v>
      </c>
      <c r="O1220" s="2" t="s">
        <v>7848</v>
      </c>
      <c r="P1220" s="2" t="s">
        <v>649</v>
      </c>
      <c r="Q1220" s="2" t="s">
        <v>351</v>
      </c>
      <c r="R1220" s="9">
        <v>29944</v>
      </c>
      <c r="S1220" s="9">
        <v>29944</v>
      </c>
      <c r="T1220" s="2" t="s">
        <v>669</v>
      </c>
      <c r="U1220" s="2" t="s">
        <v>669</v>
      </c>
      <c r="V1220" s="2" t="s">
        <v>2427</v>
      </c>
      <c r="W1220" s="2" t="s">
        <v>2427</v>
      </c>
      <c r="X1220" s="2" t="s">
        <v>7849</v>
      </c>
      <c r="Y1220" s="2" t="s">
        <v>7850</v>
      </c>
      <c r="Z1220" s="6">
        <v>89199582</v>
      </c>
      <c r="AA1220" s="2">
        <v>58342831</v>
      </c>
      <c r="AB1220" s="2" t="s">
        <v>654</v>
      </c>
      <c r="AC1220" s="2" t="s">
        <v>632</v>
      </c>
      <c r="AD1220" s="10">
        <v>89199582</v>
      </c>
      <c r="AE1220" s="11"/>
      <c r="AF1220" s="11">
        <v>58342831</v>
      </c>
      <c r="AG1220" s="11"/>
      <c r="AH1220" s="11"/>
      <c r="AI1220" s="11"/>
      <c r="AJ1220" s="11">
        <v>89199582</v>
      </c>
      <c r="AK1220" s="12">
        <v>2</v>
      </c>
      <c r="AL1220" s="12" t="s">
        <v>7377</v>
      </c>
      <c r="AM1220" s="2">
        <v>0</v>
      </c>
      <c r="AN1220" s="2">
        <v>0</v>
      </c>
      <c r="AO1220" s="2">
        <v>0</v>
      </c>
      <c r="AP1220" s="2">
        <v>1</v>
      </c>
      <c r="AQ1220" s="2">
        <v>0</v>
      </c>
      <c r="AR1220" s="2">
        <v>0</v>
      </c>
      <c r="AS1220" s="2">
        <v>0</v>
      </c>
      <c r="AT1220" s="2">
        <v>0</v>
      </c>
      <c r="AZ1220" s="2" t="s">
        <v>7851</v>
      </c>
      <c r="BB1220" s="2" t="str">
        <f>+PROPER(BD[[#This Row],[PRIMER_APELLIDO]])</f>
        <v>Brizuela</v>
      </c>
    </row>
    <row r="1221" spans="1:54" x14ac:dyDescent="0.25">
      <c r="A1221" s="2">
        <v>1220</v>
      </c>
      <c r="B1221" s="2">
        <v>55451</v>
      </c>
      <c r="C1221" s="5" t="s">
        <v>619</v>
      </c>
      <c r="D1221" s="2" t="s">
        <v>620</v>
      </c>
      <c r="E1221" s="6">
        <v>170920152170</v>
      </c>
      <c r="F1221" s="6"/>
      <c r="G1221" s="3">
        <v>41</v>
      </c>
      <c r="I1221" s="7"/>
      <c r="J1221" s="7"/>
      <c r="K1221" s="8">
        <v>40.701369863013696</v>
      </c>
      <c r="L1221" s="2" t="s">
        <v>746</v>
      </c>
      <c r="M1221" s="2" t="s">
        <v>1126</v>
      </c>
      <c r="N1221" s="2" t="s">
        <v>476</v>
      </c>
      <c r="O1221" s="2" t="s">
        <v>32</v>
      </c>
      <c r="P1221" s="2" t="s">
        <v>626</v>
      </c>
      <c r="Q1221" s="2" t="s">
        <v>5144</v>
      </c>
      <c r="R1221" s="9">
        <v>29940</v>
      </c>
      <c r="T1221" s="2" t="s">
        <v>627</v>
      </c>
      <c r="V1221" s="2" t="s">
        <v>627</v>
      </c>
      <c r="X1221" s="2" t="s">
        <v>7852</v>
      </c>
      <c r="Z1221" s="6">
        <v>87254458</v>
      </c>
      <c r="AB1221" s="2" t="s">
        <v>7853</v>
      </c>
      <c r="AC1221" s="2" t="s">
        <v>632</v>
      </c>
      <c r="AD1221" s="10">
        <v>87254458</v>
      </c>
      <c r="AE1221" s="11"/>
      <c r="AF1221" s="11"/>
      <c r="AG1221" s="11"/>
      <c r="AH1221" s="11"/>
      <c r="AI1221" s="11"/>
      <c r="AJ1221" s="11">
        <v>87254458</v>
      </c>
      <c r="AK1221" s="12">
        <v>1</v>
      </c>
      <c r="AL1221" s="12" t="s">
        <v>7377</v>
      </c>
      <c r="AM1221" s="2">
        <v>0</v>
      </c>
      <c r="AN1221" s="2">
        <v>0</v>
      </c>
      <c r="AO1221" s="2">
        <v>0</v>
      </c>
      <c r="AP1221" s="2">
        <v>1</v>
      </c>
      <c r="AQ1221" s="2">
        <v>0</v>
      </c>
      <c r="AR1221" s="2">
        <v>0</v>
      </c>
      <c r="AS1221" s="2">
        <v>0</v>
      </c>
      <c r="AT1221" s="2">
        <v>0</v>
      </c>
      <c r="BB1221" s="2" t="str">
        <f>+PROPER(BD[[#This Row],[PRIMER_APELLIDO]])</f>
        <v>Camacho</v>
      </c>
    </row>
    <row r="1222" spans="1:54" x14ac:dyDescent="0.25">
      <c r="A1222" s="2">
        <v>1221</v>
      </c>
      <c r="B1222" s="2">
        <v>23817</v>
      </c>
      <c r="C1222" s="5" t="s">
        <v>619</v>
      </c>
      <c r="D1222" s="2" t="s">
        <v>620</v>
      </c>
      <c r="E1222" s="6" t="s">
        <v>7854</v>
      </c>
      <c r="F1222" s="6">
        <v>20644950</v>
      </c>
      <c r="G1222" s="3">
        <v>41</v>
      </c>
      <c r="I1222" s="7"/>
      <c r="J1222" s="7"/>
      <c r="K1222" s="8">
        <v>40.715068493150682</v>
      </c>
      <c r="L1222" s="2" t="s">
        <v>624</v>
      </c>
      <c r="M1222" s="2" t="s">
        <v>4438</v>
      </c>
      <c r="N1222" s="2" t="s">
        <v>49</v>
      </c>
      <c r="O1222" s="2" t="s">
        <v>38</v>
      </c>
      <c r="P1222" s="2" t="s">
        <v>626</v>
      </c>
      <c r="Q1222" s="2" t="s">
        <v>351</v>
      </c>
      <c r="R1222" s="9">
        <v>29935</v>
      </c>
      <c r="S1222" s="9">
        <v>29935</v>
      </c>
      <c r="T1222" s="2" t="s">
        <v>176</v>
      </c>
      <c r="U1222" s="2" t="s">
        <v>176</v>
      </c>
      <c r="V1222" s="2" t="s">
        <v>650</v>
      </c>
      <c r="W1222" s="2" t="s">
        <v>176</v>
      </c>
      <c r="X1222" s="2" t="s">
        <v>7855</v>
      </c>
      <c r="Y1222" s="2" t="s">
        <v>7856</v>
      </c>
      <c r="Z1222" s="6">
        <v>88142890</v>
      </c>
      <c r="AA1222" s="2" t="s">
        <v>7857</v>
      </c>
      <c r="AB1222" s="2" t="s">
        <v>642</v>
      </c>
      <c r="AC1222" s="2" t="s">
        <v>632</v>
      </c>
      <c r="AD1222" s="10">
        <v>88142890</v>
      </c>
      <c r="AE1222" s="11"/>
      <c r="AF1222" s="11"/>
      <c r="AG1222" s="11">
        <v>88142890</v>
      </c>
      <c r="AH1222" s="11"/>
      <c r="AI1222" s="11"/>
      <c r="AJ1222" s="11">
        <v>88142890</v>
      </c>
      <c r="AK1222" s="12">
        <v>3</v>
      </c>
      <c r="AL1222" s="12" t="s">
        <v>7377</v>
      </c>
      <c r="AM1222" s="2">
        <v>0</v>
      </c>
      <c r="AN1222" s="2">
        <v>0</v>
      </c>
      <c r="AO1222" s="2">
        <v>0</v>
      </c>
      <c r="AP1222" s="2">
        <v>1</v>
      </c>
      <c r="AQ1222" s="2">
        <v>0</v>
      </c>
      <c r="AR1222" s="2">
        <v>0</v>
      </c>
      <c r="AS1222" s="2">
        <v>0</v>
      </c>
      <c r="AT1222" s="2">
        <v>0</v>
      </c>
      <c r="AZ1222" s="2" t="s">
        <v>7858</v>
      </c>
      <c r="BB1222" s="2" t="str">
        <f>+PROPER(BD[[#This Row],[PRIMER_APELLIDO]])</f>
        <v>Rocha</v>
      </c>
    </row>
    <row r="1223" spans="1:54" x14ac:dyDescent="0.25">
      <c r="A1223" s="2">
        <v>1222</v>
      </c>
      <c r="B1223" s="2">
        <v>25043</v>
      </c>
      <c r="C1223" s="5" t="s">
        <v>619</v>
      </c>
      <c r="D1223" s="2" t="s">
        <v>620</v>
      </c>
      <c r="E1223" s="6" t="s">
        <v>7859</v>
      </c>
      <c r="F1223" s="6">
        <v>21258411</v>
      </c>
      <c r="G1223" s="3">
        <v>41</v>
      </c>
      <c r="I1223" s="7"/>
      <c r="J1223" s="7"/>
      <c r="K1223" s="8">
        <v>40.720547945205482</v>
      </c>
      <c r="L1223" s="2" t="s">
        <v>675</v>
      </c>
      <c r="M1223" s="2" t="s">
        <v>7860</v>
      </c>
      <c r="N1223" s="2" t="s">
        <v>275</v>
      </c>
      <c r="O1223" s="2" t="s">
        <v>15</v>
      </c>
      <c r="P1223" s="2" t="s">
        <v>626</v>
      </c>
      <c r="Q1223" s="2" t="s">
        <v>351</v>
      </c>
      <c r="R1223" s="9">
        <v>29933</v>
      </c>
      <c r="S1223" s="9">
        <v>29933</v>
      </c>
      <c r="U1223" s="2" t="s">
        <v>627</v>
      </c>
      <c r="W1223" s="2" t="s">
        <v>627</v>
      </c>
      <c r="Y1223" s="2" t="s">
        <v>7861</v>
      </c>
      <c r="Z1223" s="6"/>
      <c r="AA1223" s="2">
        <v>22661707</v>
      </c>
      <c r="AB1223" s="2" t="s">
        <v>654</v>
      </c>
      <c r="AC1223" s="2" t="s">
        <v>632</v>
      </c>
      <c r="AD1223" s="10"/>
      <c r="AE1223" s="11"/>
      <c r="AF1223" s="11"/>
      <c r="AG1223" s="11"/>
      <c r="AH1223" s="11"/>
      <c r="AI1223" s="11"/>
      <c r="AJ1223" s="11"/>
      <c r="AK1223" s="12">
        <v>1</v>
      </c>
      <c r="AL1223" s="12" t="s">
        <v>7377</v>
      </c>
      <c r="AM1223" s="2">
        <v>0</v>
      </c>
      <c r="AN1223" s="2">
        <v>0</v>
      </c>
      <c r="AO1223" s="2">
        <v>0</v>
      </c>
      <c r="AP1223" s="2">
        <v>1</v>
      </c>
      <c r="AQ1223" s="2">
        <v>0</v>
      </c>
      <c r="AR1223" s="2">
        <v>0</v>
      </c>
      <c r="AS1223" s="2">
        <v>0</v>
      </c>
      <c r="AT1223" s="2">
        <v>0</v>
      </c>
      <c r="BB1223" s="2" t="str">
        <f>+PROPER(BD[[#This Row],[PRIMER_APELLIDO]])</f>
        <v>Guerrero</v>
      </c>
    </row>
    <row r="1224" spans="1:54" x14ac:dyDescent="0.25">
      <c r="A1224" s="2">
        <v>1223</v>
      </c>
      <c r="B1224" s="2">
        <v>37417</v>
      </c>
      <c r="C1224" s="5" t="s">
        <v>619</v>
      </c>
      <c r="D1224" s="2" t="s">
        <v>620</v>
      </c>
      <c r="E1224" s="6" t="s">
        <v>7862</v>
      </c>
      <c r="F1224" s="6">
        <v>15985480</v>
      </c>
      <c r="G1224" s="3">
        <v>41</v>
      </c>
      <c r="I1224" s="7"/>
      <c r="J1224" s="7"/>
      <c r="K1224" s="8">
        <v>40.723287671232875</v>
      </c>
      <c r="L1224" s="2" t="s">
        <v>4438</v>
      </c>
      <c r="M1224" s="2" t="s">
        <v>1176</v>
      </c>
      <c r="N1224" s="2" t="s">
        <v>102</v>
      </c>
      <c r="O1224" s="2" t="s">
        <v>171</v>
      </c>
      <c r="P1224" s="2" t="s">
        <v>626</v>
      </c>
      <c r="Q1224" s="2" t="s">
        <v>351</v>
      </c>
      <c r="R1224" s="9">
        <v>29932</v>
      </c>
      <c r="S1224" s="9">
        <v>29932</v>
      </c>
      <c r="T1224" s="2" t="s">
        <v>1104</v>
      </c>
      <c r="U1224" s="2" t="s">
        <v>1104</v>
      </c>
      <c r="V1224" s="2" t="s">
        <v>1812</v>
      </c>
      <c r="W1224" s="2" t="s">
        <v>1813</v>
      </c>
      <c r="X1224" s="2" t="s">
        <v>7863</v>
      </c>
      <c r="Y1224" s="2" t="s">
        <v>7864</v>
      </c>
      <c r="Z1224" s="6">
        <v>89306231</v>
      </c>
      <c r="AA1224" s="2">
        <v>89306231</v>
      </c>
      <c r="AB1224" s="2" t="s">
        <v>631</v>
      </c>
      <c r="AC1224" s="2" t="s">
        <v>632</v>
      </c>
      <c r="AD1224" s="10">
        <v>89306231</v>
      </c>
      <c r="AE1224" s="11"/>
      <c r="AF1224" s="11">
        <v>89306231</v>
      </c>
      <c r="AG1224" s="11"/>
      <c r="AH1224" s="11"/>
      <c r="AI1224" s="11"/>
      <c r="AJ1224" s="11">
        <v>89306231</v>
      </c>
      <c r="AK1224" s="12">
        <v>2</v>
      </c>
      <c r="AL1224" s="12" t="s">
        <v>7377</v>
      </c>
      <c r="AM1224" s="2">
        <v>0</v>
      </c>
      <c r="AN1224" s="2">
        <v>0</v>
      </c>
      <c r="AO1224" s="2">
        <v>0</v>
      </c>
      <c r="AP1224" s="2">
        <v>1</v>
      </c>
      <c r="AQ1224" s="2">
        <v>0</v>
      </c>
      <c r="AR1224" s="2">
        <v>0</v>
      </c>
      <c r="AS1224" s="2">
        <v>0</v>
      </c>
      <c r="AT1224" s="2">
        <v>0</v>
      </c>
      <c r="AZ1224" s="2" t="s">
        <v>7865</v>
      </c>
      <c r="BB1224" s="2" t="str">
        <f>+PROPER(BD[[#This Row],[PRIMER_APELLIDO]])</f>
        <v>Vallejos</v>
      </c>
    </row>
    <row r="1225" spans="1:54" x14ac:dyDescent="0.25">
      <c r="A1225" s="2">
        <v>1224</v>
      </c>
      <c r="B1225" s="2">
        <v>27126</v>
      </c>
      <c r="C1225" s="5" t="s">
        <v>619</v>
      </c>
      <c r="D1225" s="2" t="s">
        <v>620</v>
      </c>
      <c r="E1225" s="6" t="s">
        <v>7866</v>
      </c>
      <c r="F1225" s="6">
        <v>22178024</v>
      </c>
      <c r="G1225" s="3">
        <v>41</v>
      </c>
      <c r="I1225" s="7"/>
      <c r="J1225" s="7"/>
      <c r="K1225" s="8">
        <v>40.734246575342468</v>
      </c>
      <c r="L1225" s="2" t="s">
        <v>7867</v>
      </c>
      <c r="M1225" s="2" t="s">
        <v>7868</v>
      </c>
      <c r="N1225" s="2" t="s">
        <v>12</v>
      </c>
      <c r="O1225" s="2" t="s">
        <v>515</v>
      </c>
      <c r="P1225" s="2" t="s">
        <v>626</v>
      </c>
      <c r="Q1225" s="2" t="s">
        <v>351</v>
      </c>
      <c r="R1225" s="9">
        <v>29928</v>
      </c>
      <c r="S1225" s="9">
        <v>29928</v>
      </c>
      <c r="T1225" s="2" t="s">
        <v>732</v>
      </c>
      <c r="U1225" s="2" t="s">
        <v>732</v>
      </c>
      <c r="V1225" s="2" t="s">
        <v>732</v>
      </c>
      <c r="W1225" s="2" t="s">
        <v>732</v>
      </c>
      <c r="X1225" s="2" t="s">
        <v>7869</v>
      </c>
      <c r="Y1225" s="2" t="s">
        <v>7869</v>
      </c>
      <c r="Z1225" s="6" t="s">
        <v>7870</v>
      </c>
      <c r="AA1225" s="2" t="s">
        <v>7871</v>
      </c>
      <c r="AB1225" s="2" t="s">
        <v>654</v>
      </c>
      <c r="AC1225" s="2" t="s">
        <v>632</v>
      </c>
      <c r="AD1225" s="10">
        <v>77061733</v>
      </c>
      <c r="AE1225" s="11">
        <v>87680099</v>
      </c>
      <c r="AF1225" s="11"/>
      <c r="AG1225" s="11">
        <v>86792763</v>
      </c>
      <c r="AH1225" s="11"/>
      <c r="AI1225" s="11"/>
      <c r="AJ1225" s="11">
        <v>77061733</v>
      </c>
      <c r="AK1225" s="12">
        <v>4</v>
      </c>
      <c r="AL1225" s="12" t="s">
        <v>7377</v>
      </c>
      <c r="AM1225" s="2">
        <v>0</v>
      </c>
      <c r="AN1225" s="2">
        <v>0</v>
      </c>
      <c r="AO1225" s="2">
        <v>0</v>
      </c>
      <c r="AP1225" s="2">
        <v>1</v>
      </c>
      <c r="AQ1225" s="2">
        <v>0</v>
      </c>
      <c r="AR1225" s="2">
        <v>0</v>
      </c>
      <c r="AS1225" s="2">
        <v>0</v>
      </c>
      <c r="AT1225" s="2">
        <v>0</v>
      </c>
      <c r="AZ1225" s="2" t="s">
        <v>7872</v>
      </c>
      <c r="BA1225" s="2" t="s">
        <v>7872</v>
      </c>
      <c r="BB1225" s="2" t="str">
        <f>+PROPER(BD[[#This Row],[PRIMER_APELLIDO]])</f>
        <v>Bolaños</v>
      </c>
    </row>
    <row r="1226" spans="1:54" x14ac:dyDescent="0.25">
      <c r="A1226" s="2">
        <v>1225</v>
      </c>
      <c r="B1226" s="2">
        <v>48729</v>
      </c>
      <c r="C1226" s="5" t="s">
        <v>619</v>
      </c>
      <c r="D1226" s="2" t="s">
        <v>620</v>
      </c>
      <c r="E1226" s="6" t="s">
        <v>7873</v>
      </c>
      <c r="F1226" s="6">
        <v>13983129</v>
      </c>
      <c r="G1226" s="3">
        <v>41</v>
      </c>
      <c r="I1226" s="7"/>
      <c r="J1226" s="7"/>
      <c r="K1226" s="8">
        <v>40.736986301369861</v>
      </c>
      <c r="L1226" s="2" t="s">
        <v>6658</v>
      </c>
      <c r="M1226" s="2" t="s">
        <v>7874</v>
      </c>
      <c r="N1226" s="2" t="s">
        <v>10</v>
      </c>
      <c r="O1226" s="2" t="s">
        <v>7875</v>
      </c>
      <c r="P1226" s="2" t="s">
        <v>649</v>
      </c>
      <c r="Q1226" s="2" t="s">
        <v>351</v>
      </c>
      <c r="R1226" s="9">
        <v>29927</v>
      </c>
      <c r="S1226" s="9">
        <v>29927</v>
      </c>
      <c r="T1226" s="2" t="s">
        <v>659</v>
      </c>
      <c r="U1226" s="2" t="s">
        <v>659</v>
      </c>
      <c r="V1226" s="2" t="s">
        <v>5340</v>
      </c>
      <c r="W1226" s="2" t="s">
        <v>5341</v>
      </c>
      <c r="X1226" s="2" t="s">
        <v>7876</v>
      </c>
      <c r="Y1226" s="2" t="s">
        <v>7877</v>
      </c>
      <c r="Z1226" s="6">
        <v>86030765</v>
      </c>
      <c r="AA1226" s="2">
        <v>86030765</v>
      </c>
      <c r="AB1226" s="2" t="s">
        <v>798</v>
      </c>
      <c r="AC1226" s="2" t="s">
        <v>632</v>
      </c>
      <c r="AD1226" s="10">
        <v>86030765</v>
      </c>
      <c r="AE1226" s="11"/>
      <c r="AF1226" s="11">
        <v>86030765</v>
      </c>
      <c r="AG1226" s="11"/>
      <c r="AH1226" s="11"/>
      <c r="AI1226" s="11"/>
      <c r="AJ1226" s="11">
        <v>86030765</v>
      </c>
      <c r="AK1226" s="12">
        <v>2</v>
      </c>
      <c r="AL1226" s="12" t="s">
        <v>7377</v>
      </c>
      <c r="AM1226" s="2">
        <v>0</v>
      </c>
      <c r="AN1226" s="2">
        <v>0</v>
      </c>
      <c r="AO1226" s="2">
        <v>0</v>
      </c>
      <c r="AP1226" s="2">
        <v>1</v>
      </c>
      <c r="AQ1226" s="2">
        <v>0</v>
      </c>
      <c r="AR1226" s="2">
        <v>0</v>
      </c>
      <c r="AS1226" s="2">
        <v>0</v>
      </c>
      <c r="AT1226" s="2">
        <v>0</v>
      </c>
      <c r="AZ1226" s="2" t="s">
        <v>7878</v>
      </c>
      <c r="BB1226" s="2" t="str">
        <f>+PROPER(BD[[#This Row],[PRIMER_APELLIDO]])</f>
        <v>Garcia</v>
      </c>
    </row>
    <row r="1227" spans="1:54" x14ac:dyDescent="0.25">
      <c r="A1227" s="2">
        <v>1226</v>
      </c>
      <c r="B1227" s="2">
        <v>23435</v>
      </c>
      <c r="C1227" s="5" t="s">
        <v>619</v>
      </c>
      <c r="D1227" s="2" t="s">
        <v>620</v>
      </c>
      <c r="E1227" s="6" t="s">
        <v>7879</v>
      </c>
      <c r="F1227" s="6">
        <v>20354738</v>
      </c>
      <c r="G1227" s="3">
        <v>41</v>
      </c>
      <c r="I1227" s="7"/>
      <c r="J1227" s="7"/>
      <c r="K1227" s="8">
        <v>40.739726027397261</v>
      </c>
      <c r="L1227" s="2" t="s">
        <v>1333</v>
      </c>
      <c r="M1227" s="2" t="s">
        <v>7880</v>
      </c>
      <c r="N1227" s="2" t="s">
        <v>498</v>
      </c>
      <c r="O1227" s="2" t="s">
        <v>116</v>
      </c>
      <c r="P1227" s="2" t="s">
        <v>626</v>
      </c>
      <c r="Q1227" s="2" t="s">
        <v>351</v>
      </c>
      <c r="R1227" s="9">
        <v>29926</v>
      </c>
      <c r="S1227" s="9">
        <v>29926</v>
      </c>
      <c r="U1227" s="2" t="s">
        <v>176</v>
      </c>
      <c r="W1227" s="2" t="s">
        <v>176</v>
      </c>
      <c r="Y1227" s="2" t="s">
        <v>7881</v>
      </c>
      <c r="Z1227" s="6"/>
      <c r="AA1227" s="2">
        <v>84310289</v>
      </c>
      <c r="AB1227" s="2" t="s">
        <v>642</v>
      </c>
      <c r="AC1227" s="2" t="s">
        <v>632</v>
      </c>
      <c r="AD1227" s="10"/>
      <c r="AE1227" s="11"/>
      <c r="AF1227" s="11">
        <v>84310289</v>
      </c>
      <c r="AG1227" s="11"/>
      <c r="AH1227" s="11"/>
      <c r="AI1227" s="11"/>
      <c r="AJ1227" s="11">
        <v>84310289</v>
      </c>
      <c r="AK1227" s="12">
        <v>1</v>
      </c>
      <c r="AL1227" s="12" t="s">
        <v>7377</v>
      </c>
      <c r="AM1227" s="2">
        <v>0</v>
      </c>
      <c r="AN1227" s="2">
        <v>0</v>
      </c>
      <c r="AO1227" s="2">
        <v>0</v>
      </c>
      <c r="AP1227" s="2">
        <v>1</v>
      </c>
      <c r="AQ1227" s="2">
        <v>0</v>
      </c>
      <c r="AR1227" s="2">
        <v>0</v>
      </c>
      <c r="AS1227" s="2">
        <v>0</v>
      </c>
      <c r="AT1227" s="2">
        <v>0</v>
      </c>
      <c r="BB1227" s="2" t="str">
        <f>+PROPER(BD[[#This Row],[PRIMER_APELLIDO]])</f>
        <v>Chiong</v>
      </c>
    </row>
    <row r="1228" spans="1:54" x14ac:dyDescent="0.25">
      <c r="A1228" s="2">
        <v>1227</v>
      </c>
      <c r="B1228" s="2">
        <v>53249</v>
      </c>
      <c r="C1228" s="5" t="s">
        <v>619</v>
      </c>
      <c r="D1228" s="2" t="s">
        <v>620</v>
      </c>
      <c r="E1228" s="6" t="s">
        <v>7882</v>
      </c>
      <c r="F1228" s="6"/>
      <c r="G1228" s="3">
        <v>41</v>
      </c>
      <c r="I1228" s="7"/>
      <c r="J1228" s="7"/>
      <c r="K1228" s="8">
        <v>40.745205479452054</v>
      </c>
      <c r="L1228" s="2" t="s">
        <v>1170</v>
      </c>
      <c r="M1228" s="2" t="s">
        <v>961</v>
      </c>
      <c r="N1228" s="2" t="s">
        <v>70</v>
      </c>
      <c r="O1228" s="2" t="s">
        <v>7883</v>
      </c>
      <c r="P1228" s="2" t="s">
        <v>626</v>
      </c>
      <c r="Q1228" s="2" t="s">
        <v>351</v>
      </c>
      <c r="R1228" s="9">
        <v>29924</v>
      </c>
      <c r="S1228" s="9">
        <v>29924</v>
      </c>
      <c r="T1228" s="2" t="s">
        <v>627</v>
      </c>
      <c r="U1228" s="2" t="s">
        <v>627</v>
      </c>
      <c r="V1228" s="2" t="s">
        <v>627</v>
      </c>
      <c r="W1228" s="2" t="s">
        <v>627</v>
      </c>
      <c r="X1228" s="2" t="s">
        <v>7884</v>
      </c>
      <c r="Y1228" s="2" t="s">
        <v>7885</v>
      </c>
      <c r="Z1228" s="6">
        <v>82544183</v>
      </c>
      <c r="AA1228" s="2" t="s">
        <v>7886</v>
      </c>
      <c r="AB1228" s="2" t="s">
        <v>631</v>
      </c>
      <c r="AC1228" s="2" t="s">
        <v>632</v>
      </c>
      <c r="AD1228" s="10">
        <v>82544183</v>
      </c>
      <c r="AE1228" s="11"/>
      <c r="AF1228" s="11"/>
      <c r="AG1228" s="11"/>
      <c r="AH1228" s="11"/>
      <c r="AI1228" s="11"/>
      <c r="AJ1228" s="11">
        <v>82544183</v>
      </c>
      <c r="AK1228" s="12">
        <v>3</v>
      </c>
      <c r="AL1228" s="12" t="s">
        <v>7377</v>
      </c>
      <c r="AM1228" s="2">
        <v>0</v>
      </c>
      <c r="AN1228" s="2">
        <v>0</v>
      </c>
      <c r="AO1228" s="2">
        <v>0</v>
      </c>
      <c r="AP1228" s="2">
        <v>1</v>
      </c>
      <c r="AQ1228" s="2">
        <v>0</v>
      </c>
      <c r="AR1228" s="2">
        <v>0</v>
      </c>
      <c r="AS1228" s="2">
        <v>0</v>
      </c>
      <c r="AT1228" s="2">
        <v>0</v>
      </c>
      <c r="AZ1228" s="2" t="s">
        <v>7887</v>
      </c>
      <c r="BB1228" s="2" t="str">
        <f>+PROPER(BD[[#This Row],[PRIMER_APELLIDO]])</f>
        <v>Galeano</v>
      </c>
    </row>
    <row r="1229" spans="1:54" x14ac:dyDescent="0.25">
      <c r="A1229" s="2">
        <v>1228</v>
      </c>
      <c r="B1229" s="2">
        <v>26671</v>
      </c>
      <c r="C1229" s="5" t="s">
        <v>619</v>
      </c>
      <c r="D1229" s="2" t="s">
        <v>620</v>
      </c>
      <c r="E1229" s="6" t="s">
        <v>7888</v>
      </c>
      <c r="F1229" s="6">
        <v>16506165</v>
      </c>
      <c r="G1229" s="3">
        <v>41</v>
      </c>
      <c r="I1229" s="7"/>
      <c r="J1229" s="7"/>
      <c r="K1229" s="8">
        <v>40.747945205479454</v>
      </c>
      <c r="L1229" s="2" t="s">
        <v>1162</v>
      </c>
      <c r="M1229" s="2" t="s">
        <v>7889</v>
      </c>
      <c r="N1229" s="2" t="s">
        <v>15</v>
      </c>
      <c r="O1229" s="2" t="s">
        <v>7890</v>
      </c>
      <c r="P1229" s="2" t="s">
        <v>626</v>
      </c>
      <c r="Q1229" s="2" t="s">
        <v>351</v>
      </c>
      <c r="R1229" s="9">
        <v>29923</v>
      </c>
      <c r="S1229" s="9">
        <v>29923</v>
      </c>
      <c r="U1229" s="2" t="s">
        <v>627</v>
      </c>
      <c r="W1229" s="2" t="s">
        <v>627</v>
      </c>
      <c r="X1229" s="2" t="s">
        <v>7891</v>
      </c>
      <c r="Y1229" s="2" t="s">
        <v>7892</v>
      </c>
      <c r="Z1229" s="6"/>
      <c r="AA1229" s="2">
        <v>22601712</v>
      </c>
      <c r="AB1229" s="2" t="s">
        <v>654</v>
      </c>
      <c r="AC1229" s="2" t="s">
        <v>632</v>
      </c>
      <c r="AD1229" s="10"/>
      <c r="AE1229" s="11"/>
      <c r="AF1229" s="11"/>
      <c r="AG1229" s="11"/>
      <c r="AH1229" s="11"/>
      <c r="AI1229" s="11"/>
      <c r="AJ1229" s="11"/>
      <c r="AK1229" s="12">
        <v>1</v>
      </c>
      <c r="AL1229" s="12" t="s">
        <v>7377</v>
      </c>
      <c r="AM1229" s="2">
        <v>0</v>
      </c>
      <c r="AN1229" s="2">
        <v>0</v>
      </c>
      <c r="AO1229" s="2">
        <v>0</v>
      </c>
      <c r="AP1229" s="2">
        <v>1</v>
      </c>
      <c r="AQ1229" s="2">
        <v>0</v>
      </c>
      <c r="AR1229" s="2">
        <v>0</v>
      </c>
      <c r="AS1229" s="2">
        <v>0</v>
      </c>
      <c r="AT1229" s="2">
        <v>0</v>
      </c>
      <c r="BB1229" s="2" t="str">
        <f>+PROPER(BD[[#This Row],[PRIMER_APELLIDO]])</f>
        <v>Lopez</v>
      </c>
    </row>
    <row r="1230" spans="1:54" x14ac:dyDescent="0.25">
      <c r="A1230" s="2">
        <v>1229</v>
      </c>
      <c r="B1230" s="2">
        <v>41586</v>
      </c>
      <c r="C1230" s="5" t="s">
        <v>619</v>
      </c>
      <c r="D1230" s="2" t="s">
        <v>620</v>
      </c>
      <c r="E1230" s="6" t="s">
        <v>7893</v>
      </c>
      <c r="F1230" s="6">
        <v>16108462</v>
      </c>
      <c r="G1230" s="3">
        <v>41</v>
      </c>
      <c r="I1230" s="7"/>
      <c r="J1230" s="7"/>
      <c r="K1230" s="8">
        <v>40.761643835616439</v>
      </c>
      <c r="L1230" s="2" t="s">
        <v>3217</v>
      </c>
      <c r="M1230" s="2" t="s">
        <v>2551</v>
      </c>
      <c r="N1230" s="2" t="s">
        <v>356</v>
      </c>
      <c r="O1230" s="2" t="s">
        <v>91</v>
      </c>
      <c r="P1230" s="2" t="s">
        <v>649</v>
      </c>
      <c r="Q1230" s="2" t="s">
        <v>351</v>
      </c>
      <c r="R1230" s="9">
        <v>29918</v>
      </c>
      <c r="S1230" s="9">
        <v>29918</v>
      </c>
      <c r="T1230" s="2" t="s">
        <v>627</v>
      </c>
      <c r="U1230" s="2" t="s">
        <v>627</v>
      </c>
      <c r="V1230" s="2" t="s">
        <v>627</v>
      </c>
      <c r="W1230" s="2" t="s">
        <v>627</v>
      </c>
      <c r="Y1230" s="2" t="s">
        <v>7894</v>
      </c>
      <c r="Z1230" s="6"/>
      <c r="AA1230" s="2" t="s">
        <v>7895</v>
      </c>
      <c r="AB1230" s="2" t="s">
        <v>654</v>
      </c>
      <c r="AC1230" s="2" t="s">
        <v>632</v>
      </c>
      <c r="AD1230" s="10"/>
      <c r="AE1230" s="11"/>
      <c r="AF1230" s="11"/>
      <c r="AG1230" s="11">
        <v>84090173</v>
      </c>
      <c r="AH1230" s="11"/>
      <c r="AI1230" s="11"/>
      <c r="AJ1230" s="11">
        <v>84090173</v>
      </c>
      <c r="AK1230" s="12">
        <v>2</v>
      </c>
      <c r="AL1230" s="12" t="s">
        <v>7377</v>
      </c>
      <c r="AM1230" s="2">
        <v>0</v>
      </c>
      <c r="AN1230" s="2">
        <v>0</v>
      </c>
      <c r="AO1230" s="2">
        <v>0</v>
      </c>
      <c r="AP1230" s="2">
        <v>1</v>
      </c>
      <c r="AQ1230" s="2">
        <v>0</v>
      </c>
      <c r="AR1230" s="2">
        <v>0</v>
      </c>
      <c r="AS1230" s="2">
        <v>0</v>
      </c>
      <c r="AT1230" s="2">
        <v>0</v>
      </c>
      <c r="BB1230" s="2" t="str">
        <f>+PROPER(BD[[#This Row],[PRIMER_APELLIDO]])</f>
        <v>Muñoz</v>
      </c>
    </row>
    <row r="1231" spans="1:54" x14ac:dyDescent="0.25">
      <c r="A1231" s="2">
        <v>1230</v>
      </c>
      <c r="B1231" s="2">
        <v>23842</v>
      </c>
      <c r="C1231" s="5" t="s">
        <v>619</v>
      </c>
      <c r="D1231" s="2" t="s">
        <v>620</v>
      </c>
      <c r="E1231" s="6" t="s">
        <v>7896</v>
      </c>
      <c r="F1231" s="6"/>
      <c r="G1231" s="3">
        <v>41</v>
      </c>
      <c r="I1231" s="7"/>
      <c r="J1231" s="7"/>
      <c r="K1231" s="8">
        <v>40.764383561643832</v>
      </c>
      <c r="L1231" s="2" t="s">
        <v>7897</v>
      </c>
      <c r="M1231" s="2" t="s">
        <v>4784</v>
      </c>
      <c r="N1231" s="2" t="s">
        <v>447</v>
      </c>
      <c r="O1231" s="2" t="s">
        <v>126</v>
      </c>
      <c r="P1231" s="2" t="s">
        <v>626</v>
      </c>
      <c r="Q1231" s="2" t="s">
        <v>351</v>
      </c>
      <c r="R1231" s="9">
        <v>29917</v>
      </c>
      <c r="S1231" s="9">
        <v>29917</v>
      </c>
      <c r="T1231" s="2" t="s">
        <v>1044</v>
      </c>
      <c r="U1231" s="2" t="s">
        <v>1044</v>
      </c>
      <c r="V1231" s="2" t="s">
        <v>1838</v>
      </c>
      <c r="W1231" s="2" t="s">
        <v>1838</v>
      </c>
      <c r="X1231" s="2" t="s">
        <v>7898</v>
      </c>
      <c r="Y1231" s="2" t="s">
        <v>7899</v>
      </c>
      <c r="Z1231" s="6">
        <v>87117569</v>
      </c>
      <c r="AA1231" s="2" t="s">
        <v>7900</v>
      </c>
      <c r="AB1231" s="2" t="s">
        <v>642</v>
      </c>
      <c r="AC1231" s="2" t="s">
        <v>632</v>
      </c>
      <c r="AD1231" s="10">
        <v>87117569</v>
      </c>
      <c r="AE1231" s="11"/>
      <c r="AF1231" s="11"/>
      <c r="AG1231" s="11">
        <v>27323542</v>
      </c>
      <c r="AH1231" s="11"/>
      <c r="AI1231" s="11"/>
      <c r="AJ1231" s="11">
        <v>87117569</v>
      </c>
      <c r="AK1231" s="12">
        <v>3</v>
      </c>
      <c r="AL1231" s="12" t="s">
        <v>7377</v>
      </c>
      <c r="AM1231" s="2">
        <v>0</v>
      </c>
      <c r="AN1231" s="2">
        <v>0</v>
      </c>
      <c r="AO1231" s="2">
        <v>0</v>
      </c>
      <c r="AP1231" s="2">
        <v>1</v>
      </c>
      <c r="AQ1231" s="2">
        <v>0</v>
      </c>
      <c r="AR1231" s="2">
        <v>0</v>
      </c>
      <c r="AS1231" s="2">
        <v>0</v>
      </c>
      <c r="AT1231" s="2">
        <v>0</v>
      </c>
      <c r="AZ1231" s="2" t="s">
        <v>7901</v>
      </c>
      <c r="BB1231" s="2" t="str">
        <f>+PROPER(BD[[#This Row],[PRIMER_APELLIDO]])</f>
        <v>Pereira</v>
      </c>
    </row>
    <row r="1232" spans="1:54" x14ac:dyDescent="0.25">
      <c r="A1232" s="2">
        <v>1231</v>
      </c>
      <c r="B1232" s="2">
        <v>39347</v>
      </c>
      <c r="C1232" s="5" t="s">
        <v>619</v>
      </c>
      <c r="D1232" s="2" t="s">
        <v>620</v>
      </c>
      <c r="E1232" s="6" t="s">
        <v>7902</v>
      </c>
      <c r="F1232" s="6">
        <v>23110573</v>
      </c>
      <c r="G1232" s="3">
        <v>41</v>
      </c>
      <c r="I1232" s="7"/>
      <c r="J1232" s="7"/>
      <c r="K1232" s="8">
        <v>40.767123287671232</v>
      </c>
      <c r="L1232" s="2" t="s">
        <v>1718</v>
      </c>
      <c r="N1232" s="2" t="s">
        <v>32</v>
      </c>
      <c r="O1232" s="2" t="s">
        <v>15</v>
      </c>
      <c r="P1232" s="2" t="s">
        <v>649</v>
      </c>
      <c r="Q1232" s="2" t="s">
        <v>351</v>
      </c>
      <c r="R1232" s="9">
        <v>29916</v>
      </c>
      <c r="S1232" s="9">
        <v>29916</v>
      </c>
      <c r="T1232" s="2" t="s">
        <v>780</v>
      </c>
      <c r="U1232" s="2" t="s">
        <v>669</v>
      </c>
      <c r="V1232" s="2" t="s">
        <v>1970</v>
      </c>
      <c r="W1232" s="2" t="s">
        <v>669</v>
      </c>
      <c r="X1232" s="2" t="s">
        <v>7903</v>
      </c>
      <c r="Y1232" s="2" t="s">
        <v>7904</v>
      </c>
      <c r="Z1232" s="6" t="s">
        <v>7905</v>
      </c>
      <c r="AA1232" s="2" t="s">
        <v>7906</v>
      </c>
      <c r="AB1232" s="2" t="s">
        <v>642</v>
      </c>
      <c r="AC1232" s="2" t="s">
        <v>632</v>
      </c>
      <c r="AD1232" s="10">
        <v>58223332</v>
      </c>
      <c r="AE1232" s="11">
        <v>82410300</v>
      </c>
      <c r="AF1232" s="11"/>
      <c r="AG1232" s="11">
        <v>86164198</v>
      </c>
      <c r="AH1232" s="11"/>
      <c r="AI1232" s="11"/>
      <c r="AJ1232" s="11">
        <v>58223332</v>
      </c>
      <c r="AK1232" s="12">
        <v>4</v>
      </c>
      <c r="AL1232" s="12" t="s">
        <v>7377</v>
      </c>
      <c r="AM1232" s="2">
        <v>0</v>
      </c>
      <c r="AN1232" s="2">
        <v>0</v>
      </c>
      <c r="AO1232" s="2">
        <v>0</v>
      </c>
      <c r="AP1232" s="2">
        <v>1</v>
      </c>
      <c r="AQ1232" s="2">
        <v>0</v>
      </c>
      <c r="AR1232" s="2">
        <v>0</v>
      </c>
      <c r="AS1232" s="2">
        <v>0</v>
      </c>
      <c r="AT1232" s="2">
        <v>0</v>
      </c>
      <c r="AZ1232" s="2" t="s">
        <v>7907</v>
      </c>
      <c r="BB1232" s="2" t="str">
        <f>+PROPER(BD[[#This Row],[PRIMER_APELLIDO]])</f>
        <v>Cruz</v>
      </c>
    </row>
    <row r="1233" spans="1:54" x14ac:dyDescent="0.25">
      <c r="A1233" s="2">
        <v>1232</v>
      </c>
      <c r="B1233" s="2">
        <v>77187</v>
      </c>
      <c r="C1233" s="5" t="s">
        <v>619</v>
      </c>
      <c r="D1233" s="2" t="s">
        <v>620</v>
      </c>
      <c r="E1233" s="6" t="s">
        <v>7908</v>
      </c>
      <c r="F1233" s="6"/>
      <c r="G1233" s="3">
        <v>41</v>
      </c>
      <c r="I1233" s="7"/>
      <c r="J1233" s="7"/>
      <c r="K1233" s="8">
        <v>40.767123287671232</v>
      </c>
      <c r="L1233" s="2" t="s">
        <v>6283</v>
      </c>
      <c r="M1233" s="2" t="s">
        <v>7909</v>
      </c>
      <c r="N1233" s="2" t="s">
        <v>499</v>
      </c>
      <c r="O1233" s="2" t="s">
        <v>179</v>
      </c>
      <c r="P1233" s="2" t="s">
        <v>649</v>
      </c>
      <c r="Q1233" s="2" t="s">
        <v>351</v>
      </c>
      <c r="R1233" s="9">
        <v>29916</v>
      </c>
      <c r="S1233" s="9">
        <v>29916</v>
      </c>
      <c r="T1233" s="2" t="s">
        <v>627</v>
      </c>
      <c r="U1233" s="2" t="s">
        <v>627</v>
      </c>
      <c r="V1233" s="2" t="s">
        <v>627</v>
      </c>
      <c r="W1233" s="2" t="s">
        <v>627</v>
      </c>
      <c r="X1233" s="2" t="s">
        <v>7910</v>
      </c>
      <c r="Y1233" s="2" t="s">
        <v>7911</v>
      </c>
      <c r="Z1233" s="6">
        <v>89944534</v>
      </c>
      <c r="AA1233" s="2">
        <v>89944534</v>
      </c>
      <c r="AB1233" s="2" t="s">
        <v>3228</v>
      </c>
      <c r="AC1233" s="2" t="s">
        <v>632</v>
      </c>
      <c r="AD1233" s="10">
        <v>89944534</v>
      </c>
      <c r="AE1233" s="11"/>
      <c r="AF1233" s="11">
        <v>89944534</v>
      </c>
      <c r="AG1233" s="11"/>
      <c r="AH1233" s="11"/>
      <c r="AI1233" s="11"/>
      <c r="AJ1233" s="11">
        <v>89944534</v>
      </c>
      <c r="AK1233" s="12">
        <v>2</v>
      </c>
      <c r="AL1233" s="12" t="s">
        <v>7377</v>
      </c>
      <c r="AM1233" s="2">
        <v>0</v>
      </c>
      <c r="AN1233" s="2">
        <v>0</v>
      </c>
      <c r="AO1233" s="2">
        <v>0</v>
      </c>
      <c r="AP1233" s="2">
        <v>1</v>
      </c>
      <c r="AQ1233" s="2">
        <v>0</v>
      </c>
      <c r="AR1233" s="2">
        <v>0</v>
      </c>
      <c r="AS1233" s="2">
        <v>0</v>
      </c>
      <c r="AT1233" s="2">
        <v>0</v>
      </c>
      <c r="AZ1233" s="2" t="s">
        <v>7912</v>
      </c>
      <c r="BB1233" s="2" t="str">
        <f>+PROPER(BD[[#This Row],[PRIMER_APELLIDO]])</f>
        <v>Debbe</v>
      </c>
    </row>
    <row r="1234" spans="1:54" x14ac:dyDescent="0.25">
      <c r="A1234" s="2">
        <v>1233</v>
      </c>
      <c r="B1234" s="2">
        <v>32143</v>
      </c>
      <c r="C1234" s="5" t="s">
        <v>619</v>
      </c>
      <c r="D1234" s="2" t="s">
        <v>620</v>
      </c>
      <c r="E1234" s="6" t="s">
        <v>7913</v>
      </c>
      <c r="F1234" s="6"/>
      <c r="G1234" s="3">
        <v>41</v>
      </c>
      <c r="I1234" s="7"/>
      <c r="J1234" s="7"/>
      <c r="K1234" s="8">
        <v>40.769863013698632</v>
      </c>
      <c r="L1234" s="2" t="s">
        <v>2439</v>
      </c>
      <c r="M1234" s="2" t="s">
        <v>1844</v>
      </c>
      <c r="N1234" s="2" t="s">
        <v>207</v>
      </c>
      <c r="O1234" s="2" t="s">
        <v>104</v>
      </c>
      <c r="P1234" s="2" t="s">
        <v>626</v>
      </c>
      <c r="Q1234" s="2" t="s">
        <v>351</v>
      </c>
      <c r="R1234" s="9">
        <v>29915</v>
      </c>
      <c r="S1234" s="9">
        <v>29915</v>
      </c>
      <c r="T1234" s="2" t="s">
        <v>740</v>
      </c>
      <c r="U1234" s="2" t="s">
        <v>740</v>
      </c>
      <c r="V1234" s="2" t="s">
        <v>740</v>
      </c>
      <c r="W1234" s="2" t="s">
        <v>740</v>
      </c>
      <c r="X1234" s="2" t="s">
        <v>7914</v>
      </c>
      <c r="Y1234" s="2" t="s">
        <v>7915</v>
      </c>
      <c r="Z1234" s="6">
        <v>78913941</v>
      </c>
      <c r="AA1234" s="2" t="s">
        <v>7916</v>
      </c>
      <c r="AB1234" s="2" t="s">
        <v>654</v>
      </c>
      <c r="AC1234" s="2" t="s">
        <v>632</v>
      </c>
      <c r="AD1234" s="10">
        <v>78913941</v>
      </c>
      <c r="AE1234" s="11"/>
      <c r="AF1234" s="11"/>
      <c r="AG1234" s="11"/>
      <c r="AH1234" s="11"/>
      <c r="AI1234" s="11"/>
      <c r="AJ1234" s="11">
        <v>78913941</v>
      </c>
      <c r="AK1234" s="12">
        <v>3</v>
      </c>
      <c r="AL1234" s="12" t="s">
        <v>7377</v>
      </c>
      <c r="AM1234" s="2">
        <v>0</v>
      </c>
      <c r="AN1234" s="2">
        <v>0</v>
      </c>
      <c r="AO1234" s="2">
        <v>0</v>
      </c>
      <c r="AP1234" s="2">
        <v>1</v>
      </c>
      <c r="AQ1234" s="2">
        <v>0</v>
      </c>
      <c r="AR1234" s="2">
        <v>0</v>
      </c>
      <c r="AS1234" s="2">
        <v>0</v>
      </c>
      <c r="AT1234" s="2">
        <v>0</v>
      </c>
      <c r="AZ1234" s="2" t="s">
        <v>7917</v>
      </c>
      <c r="BB1234" s="2" t="str">
        <f>+PROPER(BD[[#This Row],[PRIMER_APELLIDO]])</f>
        <v>Chavez</v>
      </c>
    </row>
    <row r="1235" spans="1:54" x14ac:dyDescent="0.25">
      <c r="A1235" s="2">
        <v>1234</v>
      </c>
      <c r="B1235" s="2">
        <v>18971</v>
      </c>
      <c r="C1235" s="5" t="s">
        <v>619</v>
      </c>
      <c r="D1235" s="2" t="s">
        <v>620</v>
      </c>
      <c r="E1235" s="6" t="s">
        <v>7918</v>
      </c>
      <c r="F1235" s="6"/>
      <c r="G1235" s="3">
        <v>41</v>
      </c>
      <c r="I1235" s="7"/>
      <c r="J1235" s="7"/>
      <c r="K1235" s="8">
        <v>40.786301369863011</v>
      </c>
      <c r="L1235" s="2" t="s">
        <v>4732</v>
      </c>
      <c r="M1235" s="2" t="s">
        <v>2466</v>
      </c>
      <c r="N1235" s="2" t="s">
        <v>500</v>
      </c>
      <c r="O1235" s="2" t="s">
        <v>7919</v>
      </c>
      <c r="P1235" s="2" t="s">
        <v>626</v>
      </c>
      <c r="Q1235" s="2" t="s">
        <v>351</v>
      </c>
      <c r="R1235" s="9">
        <v>29909</v>
      </c>
      <c r="S1235" s="9">
        <v>29909</v>
      </c>
      <c r="T1235" s="2" t="s">
        <v>780</v>
      </c>
      <c r="U1235" s="2" t="s">
        <v>1005</v>
      </c>
      <c r="V1235" s="2" t="s">
        <v>781</v>
      </c>
      <c r="W1235" s="2" t="s">
        <v>1006</v>
      </c>
      <c r="X1235" s="2" t="s">
        <v>7920</v>
      </c>
      <c r="Y1235" s="2" t="s">
        <v>7921</v>
      </c>
      <c r="Z1235" s="6">
        <v>85300031</v>
      </c>
      <c r="AB1235" s="2" t="s">
        <v>654</v>
      </c>
      <c r="AC1235" s="2" t="s">
        <v>632</v>
      </c>
      <c r="AD1235" s="10">
        <v>85300031</v>
      </c>
      <c r="AE1235" s="11"/>
      <c r="AF1235" s="11"/>
      <c r="AG1235" s="11"/>
      <c r="AH1235" s="11"/>
      <c r="AI1235" s="11"/>
      <c r="AJ1235" s="11">
        <v>85300031</v>
      </c>
      <c r="AK1235" s="12">
        <v>1</v>
      </c>
      <c r="AL1235" s="12" t="s">
        <v>7377</v>
      </c>
      <c r="AM1235" s="2">
        <v>0</v>
      </c>
      <c r="AN1235" s="2">
        <v>0</v>
      </c>
      <c r="AO1235" s="2">
        <v>0</v>
      </c>
      <c r="AP1235" s="2">
        <v>1</v>
      </c>
      <c r="AQ1235" s="2">
        <v>0</v>
      </c>
      <c r="AR1235" s="2">
        <v>0</v>
      </c>
      <c r="AS1235" s="2">
        <v>0</v>
      </c>
      <c r="AT1235" s="2">
        <v>0</v>
      </c>
      <c r="AZ1235" s="2" t="s">
        <v>2843</v>
      </c>
      <c r="BB1235" s="2" t="str">
        <f>+PROPER(BD[[#This Row],[PRIMER_APELLIDO]])</f>
        <v>Benavidez</v>
      </c>
    </row>
    <row r="1236" spans="1:54" x14ac:dyDescent="0.25">
      <c r="A1236" s="2">
        <v>1235</v>
      </c>
      <c r="B1236" s="2">
        <v>32857</v>
      </c>
      <c r="C1236" s="5" t="s">
        <v>619</v>
      </c>
      <c r="D1236" s="2" t="s">
        <v>620</v>
      </c>
      <c r="E1236" s="6" t="s">
        <v>7922</v>
      </c>
      <c r="F1236" s="6">
        <v>13191247</v>
      </c>
      <c r="G1236" s="3">
        <v>41</v>
      </c>
      <c r="I1236" s="7"/>
      <c r="J1236" s="7"/>
      <c r="K1236" s="8">
        <v>40.786301369863011</v>
      </c>
      <c r="L1236" s="2" t="s">
        <v>7581</v>
      </c>
      <c r="M1236" s="2" t="s">
        <v>243</v>
      </c>
      <c r="N1236" s="2" t="s">
        <v>24</v>
      </c>
      <c r="O1236" s="2" t="s">
        <v>145</v>
      </c>
      <c r="P1236" s="2" t="s">
        <v>649</v>
      </c>
      <c r="Q1236" s="2" t="s">
        <v>351</v>
      </c>
      <c r="R1236" s="9">
        <v>29909</v>
      </c>
      <c r="S1236" s="9">
        <v>29909</v>
      </c>
      <c r="T1236" s="2" t="s">
        <v>1104</v>
      </c>
      <c r="U1236" s="2" t="s">
        <v>1104</v>
      </c>
      <c r="V1236" s="2" t="s">
        <v>1104</v>
      </c>
      <c r="W1236" s="2" t="s">
        <v>1104</v>
      </c>
      <c r="X1236" s="2" t="s">
        <v>7923</v>
      </c>
      <c r="Y1236" s="2" t="s">
        <v>7924</v>
      </c>
      <c r="Z1236" s="6">
        <v>89277869</v>
      </c>
      <c r="AA1236" s="2">
        <v>27723828</v>
      </c>
      <c r="AB1236" s="2" t="s">
        <v>798</v>
      </c>
      <c r="AC1236" s="2" t="s">
        <v>632</v>
      </c>
      <c r="AD1236" s="10">
        <v>89277869</v>
      </c>
      <c r="AE1236" s="11"/>
      <c r="AF1236" s="11"/>
      <c r="AG1236" s="11"/>
      <c r="AH1236" s="11"/>
      <c r="AI1236" s="11"/>
      <c r="AJ1236" s="11">
        <v>89277869</v>
      </c>
      <c r="AK1236" s="12">
        <v>2</v>
      </c>
      <c r="AL1236" s="12" t="s">
        <v>7377</v>
      </c>
      <c r="AM1236" s="2">
        <v>0</v>
      </c>
      <c r="AN1236" s="2">
        <v>0</v>
      </c>
      <c r="AO1236" s="2">
        <v>0</v>
      </c>
      <c r="AP1236" s="2">
        <v>1</v>
      </c>
      <c r="AQ1236" s="2">
        <v>0</v>
      </c>
      <c r="AR1236" s="2">
        <v>0</v>
      </c>
      <c r="AS1236" s="2">
        <v>0</v>
      </c>
      <c r="AT1236" s="2">
        <v>0</v>
      </c>
      <c r="AZ1236" s="2" t="s">
        <v>7925</v>
      </c>
      <c r="BB1236" s="2" t="str">
        <f>+PROPER(BD[[#This Row],[PRIMER_APELLIDO]])</f>
        <v>Perez</v>
      </c>
    </row>
    <row r="1237" spans="1:54" x14ac:dyDescent="0.25">
      <c r="A1237" s="2">
        <v>1236</v>
      </c>
      <c r="B1237" s="2">
        <v>25422</v>
      </c>
      <c r="C1237" s="5" t="s">
        <v>619</v>
      </c>
      <c r="D1237" s="2" t="s">
        <v>620</v>
      </c>
      <c r="E1237" s="6" t="s">
        <v>7926</v>
      </c>
      <c r="F1237" s="6">
        <v>21189962</v>
      </c>
      <c r="G1237" s="3">
        <v>41</v>
      </c>
      <c r="I1237" s="7"/>
      <c r="J1237" s="7"/>
      <c r="K1237" s="8">
        <v>40.799999999999997</v>
      </c>
      <c r="L1237" s="2" t="s">
        <v>7927</v>
      </c>
      <c r="M1237" s="2" t="s">
        <v>7928</v>
      </c>
      <c r="N1237" s="2" t="s">
        <v>203</v>
      </c>
      <c r="O1237" s="2" t="s">
        <v>28</v>
      </c>
      <c r="P1237" s="2" t="s">
        <v>649</v>
      </c>
      <c r="Q1237" s="2" t="s">
        <v>351</v>
      </c>
      <c r="R1237" s="9">
        <v>29904</v>
      </c>
      <c r="S1237" s="9">
        <v>29904</v>
      </c>
      <c r="T1237" s="2" t="s">
        <v>732</v>
      </c>
      <c r="U1237" s="2" t="s">
        <v>732</v>
      </c>
      <c r="V1237" s="2" t="s">
        <v>732</v>
      </c>
      <c r="W1237" s="2" t="s">
        <v>732</v>
      </c>
      <c r="X1237" s="2" t="s">
        <v>7929</v>
      </c>
      <c r="Y1237" s="2" t="s">
        <v>7930</v>
      </c>
      <c r="Z1237" s="6"/>
      <c r="AA1237" s="2" t="s">
        <v>7931</v>
      </c>
      <c r="AB1237" s="2" t="s">
        <v>654</v>
      </c>
      <c r="AC1237" s="2" t="s">
        <v>632</v>
      </c>
      <c r="AD1237" s="10"/>
      <c r="AE1237" s="11"/>
      <c r="AF1237" s="11"/>
      <c r="AG1237" s="11">
        <v>82851454</v>
      </c>
      <c r="AH1237" s="11"/>
      <c r="AI1237" s="11"/>
      <c r="AJ1237" s="11">
        <v>82851454</v>
      </c>
      <c r="AK1237" s="12">
        <v>2</v>
      </c>
      <c r="AL1237" s="12" t="s">
        <v>7377</v>
      </c>
      <c r="AM1237" s="2">
        <v>0</v>
      </c>
      <c r="AN1237" s="2">
        <v>0</v>
      </c>
      <c r="AO1237" s="2">
        <v>0</v>
      </c>
      <c r="AP1237" s="2">
        <v>1</v>
      </c>
      <c r="AQ1237" s="2">
        <v>0</v>
      </c>
      <c r="AR1237" s="2">
        <v>0</v>
      </c>
      <c r="AS1237" s="2">
        <v>0</v>
      </c>
      <c r="AT1237" s="2">
        <v>0</v>
      </c>
      <c r="BB1237" s="2" t="str">
        <f>+PROPER(BD[[#This Row],[PRIMER_APELLIDO]])</f>
        <v>Mendez</v>
      </c>
    </row>
    <row r="1238" spans="1:54" x14ac:dyDescent="0.25">
      <c r="A1238" s="2">
        <v>1237</v>
      </c>
      <c r="B1238" s="2">
        <v>46924</v>
      </c>
      <c r="C1238" s="5" t="s">
        <v>619</v>
      </c>
      <c r="D1238" s="2" t="s">
        <v>620</v>
      </c>
      <c r="E1238" s="6" t="s">
        <v>7932</v>
      </c>
      <c r="F1238" s="6">
        <v>25025873</v>
      </c>
      <c r="G1238" s="3">
        <v>41</v>
      </c>
      <c r="I1238" s="7"/>
      <c r="J1238" s="7"/>
      <c r="K1238" s="8">
        <v>40.805479452054797</v>
      </c>
      <c r="L1238" s="2" t="s">
        <v>7933</v>
      </c>
      <c r="M1238" s="2" t="s">
        <v>7934</v>
      </c>
      <c r="N1238" s="2" t="s">
        <v>501</v>
      </c>
      <c r="O1238" s="2" t="s">
        <v>7935</v>
      </c>
      <c r="P1238" s="2" t="s">
        <v>626</v>
      </c>
      <c r="Q1238" s="2" t="s">
        <v>351</v>
      </c>
      <c r="R1238" s="9">
        <v>29902</v>
      </c>
      <c r="S1238" s="9">
        <v>29902</v>
      </c>
      <c r="T1238" s="2" t="s">
        <v>669</v>
      </c>
      <c r="U1238" s="2" t="s">
        <v>669</v>
      </c>
      <c r="V1238" s="2" t="s">
        <v>2427</v>
      </c>
      <c r="W1238" s="2" t="s">
        <v>2427</v>
      </c>
      <c r="X1238" s="2" t="s">
        <v>7936</v>
      </c>
      <c r="Y1238" s="2" t="s">
        <v>7937</v>
      </c>
      <c r="Z1238" s="6">
        <v>87337321</v>
      </c>
      <c r="AA1238" s="2">
        <v>87337321</v>
      </c>
      <c r="AB1238" s="2" t="s">
        <v>631</v>
      </c>
      <c r="AC1238" s="2" t="s">
        <v>632</v>
      </c>
      <c r="AD1238" s="10">
        <v>87337321</v>
      </c>
      <c r="AE1238" s="11"/>
      <c r="AF1238" s="11">
        <v>87337321</v>
      </c>
      <c r="AG1238" s="11"/>
      <c r="AH1238" s="11"/>
      <c r="AI1238" s="11"/>
      <c r="AJ1238" s="11">
        <v>87337321</v>
      </c>
      <c r="AK1238" s="12">
        <v>2</v>
      </c>
      <c r="AL1238" s="12" t="s">
        <v>7377</v>
      </c>
      <c r="AM1238" s="2">
        <v>0</v>
      </c>
      <c r="AN1238" s="2">
        <v>0</v>
      </c>
      <c r="AO1238" s="2">
        <v>0</v>
      </c>
      <c r="AP1238" s="2">
        <v>1</v>
      </c>
      <c r="AQ1238" s="2">
        <v>0</v>
      </c>
      <c r="AR1238" s="2">
        <v>0</v>
      </c>
      <c r="AS1238" s="2">
        <v>0</v>
      </c>
      <c r="AT1238" s="2">
        <v>0</v>
      </c>
      <c r="BB1238" s="2" t="str">
        <f>+PROPER(BD[[#This Row],[PRIMER_APELLIDO]])</f>
        <v>Duarte</v>
      </c>
    </row>
    <row r="1239" spans="1:54" x14ac:dyDescent="0.25">
      <c r="A1239" s="2">
        <v>1238</v>
      </c>
      <c r="B1239" s="2">
        <v>24566</v>
      </c>
      <c r="C1239" s="5" t="s">
        <v>619</v>
      </c>
      <c r="D1239" s="2" t="s">
        <v>620</v>
      </c>
      <c r="E1239" s="6" t="s">
        <v>7938</v>
      </c>
      <c r="F1239" s="6"/>
      <c r="G1239" s="3">
        <v>41</v>
      </c>
      <c r="I1239" s="7"/>
      <c r="J1239" s="7"/>
      <c r="K1239" s="8">
        <v>40.819178082191783</v>
      </c>
      <c r="L1239" s="2" t="s">
        <v>2305</v>
      </c>
      <c r="M1239" s="2" t="s">
        <v>1257</v>
      </c>
      <c r="N1239" s="2" t="s">
        <v>15</v>
      </c>
      <c r="O1239" s="2" t="s">
        <v>322</v>
      </c>
      <c r="P1239" s="2" t="s">
        <v>626</v>
      </c>
      <c r="Q1239" s="2" t="s">
        <v>351</v>
      </c>
      <c r="R1239" s="9">
        <v>29897</v>
      </c>
      <c r="S1239" s="9">
        <v>29897</v>
      </c>
      <c r="T1239" s="2" t="s">
        <v>1044</v>
      </c>
      <c r="U1239" s="2" t="s">
        <v>1044</v>
      </c>
      <c r="V1239" s="2" t="s">
        <v>1838</v>
      </c>
      <c r="W1239" s="2" t="s">
        <v>1838</v>
      </c>
      <c r="X1239" s="2" t="s">
        <v>7939</v>
      </c>
      <c r="Y1239" s="2" t="s">
        <v>7940</v>
      </c>
      <c r="Z1239" s="6">
        <v>57522521</v>
      </c>
      <c r="AA1239" s="2">
        <v>27312712</v>
      </c>
      <c r="AB1239" s="2" t="s">
        <v>631</v>
      </c>
      <c r="AC1239" s="2" t="s">
        <v>632</v>
      </c>
      <c r="AD1239" s="10">
        <v>57522521</v>
      </c>
      <c r="AE1239" s="11"/>
      <c r="AF1239" s="11"/>
      <c r="AG1239" s="11"/>
      <c r="AH1239" s="11"/>
      <c r="AI1239" s="11"/>
      <c r="AJ1239" s="11">
        <v>57522521</v>
      </c>
      <c r="AK1239" s="12">
        <v>2</v>
      </c>
      <c r="AL1239" s="12" t="s">
        <v>7377</v>
      </c>
      <c r="AM1239" s="2">
        <v>0</v>
      </c>
      <c r="AN1239" s="2">
        <v>0</v>
      </c>
      <c r="AO1239" s="2">
        <v>0</v>
      </c>
      <c r="AP1239" s="2">
        <v>1</v>
      </c>
      <c r="AQ1239" s="2">
        <v>0</v>
      </c>
      <c r="AR1239" s="2">
        <v>0</v>
      </c>
      <c r="AS1239" s="2">
        <v>0</v>
      </c>
      <c r="AT1239" s="2">
        <v>0</v>
      </c>
      <c r="AZ1239" s="2" t="s">
        <v>7941</v>
      </c>
      <c r="BB1239" s="2" t="str">
        <f>+PROPER(BD[[#This Row],[PRIMER_APELLIDO]])</f>
        <v>Lopez</v>
      </c>
    </row>
    <row r="1240" spans="1:54" x14ac:dyDescent="0.25">
      <c r="A1240" s="2">
        <v>1239</v>
      </c>
      <c r="B1240" s="2">
        <v>41243</v>
      </c>
      <c r="C1240" s="5" t="s">
        <v>619</v>
      </c>
      <c r="D1240" s="2" t="s">
        <v>620</v>
      </c>
      <c r="E1240" s="6" t="s">
        <v>7942</v>
      </c>
      <c r="F1240" s="6">
        <v>23698404</v>
      </c>
      <c r="G1240" s="3">
        <v>41</v>
      </c>
      <c r="I1240" s="7"/>
      <c r="J1240" s="7"/>
      <c r="K1240" s="8">
        <v>40.821917808219176</v>
      </c>
      <c r="L1240" s="2" t="s">
        <v>4496</v>
      </c>
      <c r="M1240" s="2" t="s">
        <v>5828</v>
      </c>
      <c r="N1240" s="2" t="s">
        <v>502</v>
      </c>
      <c r="O1240" s="2" t="s">
        <v>287</v>
      </c>
      <c r="P1240" s="2" t="s">
        <v>626</v>
      </c>
      <c r="Q1240" s="2" t="s">
        <v>351</v>
      </c>
      <c r="R1240" s="9">
        <v>29896</v>
      </c>
      <c r="S1240" s="9">
        <v>29896</v>
      </c>
      <c r="T1240" s="2" t="s">
        <v>1104</v>
      </c>
      <c r="U1240" s="2" t="s">
        <v>929</v>
      </c>
      <c r="V1240" s="2" t="s">
        <v>2858</v>
      </c>
      <c r="W1240" s="2" t="s">
        <v>2885</v>
      </c>
      <c r="X1240" s="2" t="s">
        <v>7943</v>
      </c>
      <c r="Y1240" s="2" t="s">
        <v>7944</v>
      </c>
      <c r="Z1240" s="6"/>
      <c r="AA1240" s="2" t="s">
        <v>7945</v>
      </c>
      <c r="AB1240" s="2" t="s">
        <v>631</v>
      </c>
      <c r="AC1240" s="2" t="s">
        <v>632</v>
      </c>
      <c r="AD1240" s="10"/>
      <c r="AE1240" s="11"/>
      <c r="AF1240" s="11">
        <v>77163312</v>
      </c>
      <c r="AG1240" s="11">
        <v>89022595</v>
      </c>
      <c r="AH1240" s="11"/>
      <c r="AI1240" s="11"/>
      <c r="AJ1240" s="11">
        <v>77163312</v>
      </c>
      <c r="AK1240" s="12">
        <v>2</v>
      </c>
      <c r="AL1240" s="12" t="s">
        <v>7377</v>
      </c>
      <c r="AM1240" s="2">
        <v>0</v>
      </c>
      <c r="AN1240" s="2">
        <v>0</v>
      </c>
      <c r="AO1240" s="2">
        <v>0</v>
      </c>
      <c r="AP1240" s="2">
        <v>1</v>
      </c>
      <c r="AQ1240" s="2">
        <v>0</v>
      </c>
      <c r="AR1240" s="2">
        <v>0</v>
      </c>
      <c r="AS1240" s="2">
        <v>0</v>
      </c>
      <c r="AT1240" s="2">
        <v>0</v>
      </c>
      <c r="BB1240" s="2" t="str">
        <f>+PROPER(BD[[#This Row],[PRIMER_APELLIDO]])</f>
        <v>Alcantara</v>
      </c>
    </row>
    <row r="1241" spans="1:54" x14ac:dyDescent="0.25">
      <c r="A1241" s="2">
        <v>1240</v>
      </c>
      <c r="B1241" s="2">
        <v>25790</v>
      </c>
      <c r="C1241" s="5" t="s">
        <v>619</v>
      </c>
      <c r="D1241" s="2" t="s">
        <v>620</v>
      </c>
      <c r="E1241" s="6" t="s">
        <v>7946</v>
      </c>
      <c r="F1241" s="6"/>
      <c r="G1241" s="3">
        <v>41</v>
      </c>
      <c r="I1241" s="7"/>
      <c r="J1241" s="7"/>
      <c r="K1241" s="8">
        <v>40.827397260273976</v>
      </c>
      <c r="L1241" s="2" t="s">
        <v>746</v>
      </c>
      <c r="M1241" s="2" t="s">
        <v>1163</v>
      </c>
      <c r="N1241" s="2" t="s">
        <v>84</v>
      </c>
      <c r="O1241" s="2" t="s">
        <v>9</v>
      </c>
      <c r="P1241" s="2" t="s">
        <v>626</v>
      </c>
      <c r="Q1241" s="2" t="s">
        <v>351</v>
      </c>
      <c r="R1241" s="9">
        <v>29894</v>
      </c>
      <c r="S1241" s="9">
        <v>29894</v>
      </c>
      <c r="T1241" s="2" t="s">
        <v>705</v>
      </c>
      <c r="U1241" s="2" t="s">
        <v>705</v>
      </c>
      <c r="V1241" s="2" t="s">
        <v>1014</v>
      </c>
      <c r="W1241" s="2" t="s">
        <v>1014</v>
      </c>
      <c r="X1241" s="2" t="s">
        <v>7947</v>
      </c>
      <c r="Y1241" s="2" t="s">
        <v>7948</v>
      </c>
      <c r="Z1241" s="6">
        <v>89726011</v>
      </c>
      <c r="AA1241" s="2">
        <v>89726011</v>
      </c>
      <c r="AB1241" s="2" t="s">
        <v>642</v>
      </c>
      <c r="AC1241" s="2" t="s">
        <v>632</v>
      </c>
      <c r="AD1241" s="10">
        <v>89726011</v>
      </c>
      <c r="AE1241" s="11"/>
      <c r="AF1241" s="11">
        <v>89726011</v>
      </c>
      <c r="AG1241" s="11"/>
      <c r="AH1241" s="11"/>
      <c r="AI1241" s="11"/>
      <c r="AJ1241" s="11">
        <v>89726011</v>
      </c>
      <c r="AK1241" s="12">
        <v>2</v>
      </c>
      <c r="AL1241" s="12" t="s">
        <v>7377</v>
      </c>
      <c r="AM1241" s="2">
        <v>0</v>
      </c>
      <c r="AN1241" s="2">
        <v>0</v>
      </c>
      <c r="AO1241" s="2">
        <v>0</v>
      </c>
      <c r="AP1241" s="2">
        <v>1</v>
      </c>
      <c r="AQ1241" s="2">
        <v>0</v>
      </c>
      <c r="AR1241" s="2">
        <v>0</v>
      </c>
      <c r="AS1241" s="2">
        <v>0</v>
      </c>
      <c r="AT1241" s="2">
        <v>0</v>
      </c>
      <c r="AZ1241" s="2" t="s">
        <v>7949</v>
      </c>
      <c r="BB1241" s="2" t="str">
        <f>+PROPER(BD[[#This Row],[PRIMER_APELLIDO]])</f>
        <v>Ruiz</v>
      </c>
    </row>
    <row r="1242" spans="1:54" x14ac:dyDescent="0.25">
      <c r="A1242" s="2">
        <v>1241</v>
      </c>
      <c r="B1242" s="2">
        <v>31934</v>
      </c>
      <c r="C1242" s="5" t="s">
        <v>619</v>
      </c>
      <c r="D1242" s="2" t="s">
        <v>620</v>
      </c>
      <c r="E1242" s="6" t="s">
        <v>7950</v>
      </c>
      <c r="F1242" s="6">
        <v>21667651</v>
      </c>
      <c r="G1242" s="3">
        <v>41</v>
      </c>
      <c r="I1242" s="7"/>
      <c r="J1242" s="7"/>
      <c r="K1242" s="8">
        <v>40.827397260273976</v>
      </c>
      <c r="L1242" s="2" t="s">
        <v>7951</v>
      </c>
      <c r="M1242" s="2" t="s">
        <v>683</v>
      </c>
      <c r="N1242" s="2" t="s">
        <v>14</v>
      </c>
      <c r="O1242" s="2" t="s">
        <v>231</v>
      </c>
      <c r="P1242" s="2" t="s">
        <v>626</v>
      </c>
      <c r="Q1242" s="2" t="s">
        <v>351</v>
      </c>
      <c r="R1242" s="9">
        <v>29894</v>
      </c>
      <c r="S1242" s="9">
        <v>29894</v>
      </c>
      <c r="T1242" s="2" t="s">
        <v>627</v>
      </c>
      <c r="U1242" s="2" t="s">
        <v>627</v>
      </c>
      <c r="V1242" s="2" t="s">
        <v>627</v>
      </c>
      <c r="W1242" s="2" t="s">
        <v>627</v>
      </c>
      <c r="X1242" s="2" t="s">
        <v>7952</v>
      </c>
      <c r="Y1242" s="2" t="s">
        <v>7953</v>
      </c>
      <c r="Z1242" s="6">
        <v>85653739</v>
      </c>
      <c r="AA1242" s="2">
        <v>88366143</v>
      </c>
      <c r="AB1242" s="2" t="s">
        <v>642</v>
      </c>
      <c r="AC1242" s="2" t="s">
        <v>632</v>
      </c>
      <c r="AD1242" s="10">
        <v>85653739</v>
      </c>
      <c r="AE1242" s="11"/>
      <c r="AF1242" s="11">
        <v>88366143</v>
      </c>
      <c r="AG1242" s="11"/>
      <c r="AH1242" s="11"/>
      <c r="AI1242" s="11"/>
      <c r="AJ1242" s="11">
        <v>85653739</v>
      </c>
      <c r="AK1242" s="12">
        <v>2</v>
      </c>
      <c r="AL1242" s="12" t="s">
        <v>7377</v>
      </c>
      <c r="AM1242" s="2">
        <v>0</v>
      </c>
      <c r="AN1242" s="2">
        <v>0</v>
      </c>
      <c r="AO1242" s="2">
        <v>0</v>
      </c>
      <c r="AP1242" s="2">
        <v>1</v>
      </c>
      <c r="AQ1242" s="2">
        <v>0</v>
      </c>
      <c r="AR1242" s="2">
        <v>0</v>
      </c>
      <c r="AS1242" s="2">
        <v>0</v>
      </c>
      <c r="AT1242" s="2">
        <v>0</v>
      </c>
      <c r="BB1242" s="2" t="str">
        <f>+PROPER(BD[[#This Row],[PRIMER_APELLIDO]])</f>
        <v>Gonzalez</v>
      </c>
    </row>
    <row r="1243" spans="1:54" x14ac:dyDescent="0.25">
      <c r="A1243" s="2">
        <v>1242</v>
      </c>
      <c r="B1243" s="2">
        <v>64379</v>
      </c>
      <c r="C1243" s="5" t="s">
        <v>619</v>
      </c>
      <c r="D1243" s="2" t="s">
        <v>620</v>
      </c>
      <c r="E1243" s="6" t="s">
        <v>7954</v>
      </c>
      <c r="F1243" s="6"/>
      <c r="G1243" s="3">
        <v>41</v>
      </c>
      <c r="I1243" s="7"/>
      <c r="J1243" s="7"/>
      <c r="K1243" s="8">
        <v>40.835616438356162</v>
      </c>
      <c r="L1243" s="2" t="s">
        <v>4975</v>
      </c>
      <c r="M1243" s="2" t="s">
        <v>970</v>
      </c>
      <c r="N1243" s="2" t="s">
        <v>326</v>
      </c>
      <c r="O1243" s="2" t="s">
        <v>7955</v>
      </c>
      <c r="P1243" s="2" t="s">
        <v>626</v>
      </c>
      <c r="Q1243" s="2" t="s">
        <v>351</v>
      </c>
      <c r="R1243" s="9">
        <v>29891</v>
      </c>
      <c r="S1243" s="9">
        <v>29891</v>
      </c>
      <c r="T1243" s="2" t="s">
        <v>627</v>
      </c>
      <c r="U1243" s="2" t="s">
        <v>1104</v>
      </c>
      <c r="V1243" s="2" t="s">
        <v>627</v>
      </c>
      <c r="W1243" s="2" t="s">
        <v>7956</v>
      </c>
      <c r="X1243" s="2" t="s">
        <v>7957</v>
      </c>
      <c r="Y1243" s="2" t="s">
        <v>7958</v>
      </c>
      <c r="Z1243" s="6">
        <v>58656134</v>
      </c>
      <c r="AA1243" s="2" t="s">
        <v>7959</v>
      </c>
      <c r="AB1243" s="2" t="s">
        <v>642</v>
      </c>
      <c r="AC1243" s="2" t="s">
        <v>632</v>
      </c>
      <c r="AD1243" s="10">
        <v>58656134</v>
      </c>
      <c r="AE1243" s="11"/>
      <c r="AF1243" s="11"/>
      <c r="AG1243" s="11"/>
      <c r="AH1243" s="11"/>
      <c r="AI1243" s="11"/>
      <c r="AJ1243" s="11">
        <v>58656134</v>
      </c>
      <c r="AK1243" s="12">
        <v>3</v>
      </c>
      <c r="AL1243" s="12" t="s">
        <v>7377</v>
      </c>
      <c r="AM1243" s="2">
        <v>0</v>
      </c>
      <c r="AN1243" s="2">
        <v>0</v>
      </c>
      <c r="AO1243" s="2">
        <v>0</v>
      </c>
      <c r="AP1243" s="2">
        <v>1</v>
      </c>
      <c r="AQ1243" s="2">
        <v>0</v>
      </c>
      <c r="AR1243" s="2">
        <v>0</v>
      </c>
      <c r="AS1243" s="2">
        <v>0</v>
      </c>
      <c r="AT1243" s="2">
        <v>0</v>
      </c>
      <c r="BA1243" s="2" t="s">
        <v>7960</v>
      </c>
      <c r="BB1243" s="2" t="str">
        <f>+PROPER(BD[[#This Row],[PRIMER_APELLIDO]])</f>
        <v>Membreño</v>
      </c>
    </row>
    <row r="1244" spans="1:54" x14ac:dyDescent="0.25">
      <c r="A1244" s="2">
        <v>1243</v>
      </c>
      <c r="B1244" s="2">
        <v>24704</v>
      </c>
      <c r="C1244" s="5" t="s">
        <v>619</v>
      </c>
      <c r="D1244" s="2" t="s">
        <v>620</v>
      </c>
      <c r="E1244" s="6" t="s">
        <v>7961</v>
      </c>
      <c r="F1244" s="6">
        <v>20787008</v>
      </c>
      <c r="G1244" s="3">
        <v>41</v>
      </c>
      <c r="I1244" s="7"/>
      <c r="J1244" s="7"/>
      <c r="K1244" s="8">
        <v>40.843835616438355</v>
      </c>
      <c r="L1244" s="2" t="s">
        <v>3101</v>
      </c>
      <c r="M1244" s="2" t="s">
        <v>724</v>
      </c>
      <c r="N1244" s="2" t="s">
        <v>289</v>
      </c>
      <c r="O1244" s="2" t="s">
        <v>63</v>
      </c>
      <c r="P1244" s="2" t="s">
        <v>626</v>
      </c>
      <c r="Q1244" s="2" t="s">
        <v>351</v>
      </c>
      <c r="R1244" s="9">
        <v>29888</v>
      </c>
      <c r="S1244" s="9">
        <v>29888</v>
      </c>
      <c r="U1244" s="2" t="s">
        <v>627</v>
      </c>
      <c r="W1244" s="2" t="s">
        <v>627</v>
      </c>
      <c r="X1244" s="2" t="s">
        <v>7962</v>
      </c>
      <c r="Y1244" s="2" t="s">
        <v>7963</v>
      </c>
      <c r="Z1244" s="6"/>
      <c r="AA1244" s="2">
        <v>77176757</v>
      </c>
      <c r="AB1244" s="2" t="s">
        <v>654</v>
      </c>
      <c r="AC1244" s="2" t="s">
        <v>632</v>
      </c>
      <c r="AD1244" s="10"/>
      <c r="AE1244" s="11"/>
      <c r="AF1244" s="11">
        <v>77176757</v>
      </c>
      <c r="AG1244" s="11"/>
      <c r="AH1244" s="11"/>
      <c r="AI1244" s="11"/>
      <c r="AJ1244" s="11">
        <v>77176757</v>
      </c>
      <c r="AK1244" s="12">
        <v>1</v>
      </c>
      <c r="AL1244" s="12" t="s">
        <v>7377</v>
      </c>
      <c r="AM1244" s="2">
        <v>0</v>
      </c>
      <c r="AN1244" s="2">
        <v>0</v>
      </c>
      <c r="AO1244" s="2">
        <v>0</v>
      </c>
      <c r="AP1244" s="2">
        <v>1</v>
      </c>
      <c r="AQ1244" s="2">
        <v>0</v>
      </c>
      <c r="AR1244" s="2">
        <v>0</v>
      </c>
      <c r="AS1244" s="2">
        <v>0</v>
      </c>
      <c r="AT1244" s="2">
        <v>0</v>
      </c>
      <c r="BA1244" s="2" t="s">
        <v>7964</v>
      </c>
      <c r="BB1244" s="2" t="str">
        <f>+PROPER(BD[[#This Row],[PRIMER_APELLIDO]])</f>
        <v>Bustamante</v>
      </c>
    </row>
    <row r="1245" spans="1:54" x14ac:dyDescent="0.25">
      <c r="A1245" s="2">
        <v>1244</v>
      </c>
      <c r="B1245" s="2">
        <v>35313</v>
      </c>
      <c r="C1245" s="5" t="s">
        <v>619</v>
      </c>
      <c r="D1245" s="2" t="s">
        <v>620</v>
      </c>
      <c r="E1245" s="6" t="s">
        <v>7965</v>
      </c>
      <c r="F1245" s="6">
        <v>22858344</v>
      </c>
      <c r="G1245" s="3">
        <v>41</v>
      </c>
      <c r="I1245" s="7"/>
      <c r="J1245" s="7"/>
      <c r="K1245" s="8">
        <v>40.852054794520548</v>
      </c>
      <c r="L1245" s="2" t="s">
        <v>2016</v>
      </c>
      <c r="M1245" s="2" t="s">
        <v>904</v>
      </c>
      <c r="N1245" s="2" t="s">
        <v>478</v>
      </c>
      <c r="O1245" s="2" t="s">
        <v>85</v>
      </c>
      <c r="P1245" s="2" t="s">
        <v>649</v>
      </c>
      <c r="Q1245" s="2" t="s">
        <v>351</v>
      </c>
      <c r="R1245" s="9">
        <v>29885</v>
      </c>
      <c r="S1245" s="9">
        <v>29885</v>
      </c>
      <c r="T1245" s="2" t="s">
        <v>732</v>
      </c>
      <c r="U1245" s="2" t="s">
        <v>732</v>
      </c>
      <c r="V1245" s="2" t="s">
        <v>732</v>
      </c>
      <c r="W1245" s="2" t="s">
        <v>732</v>
      </c>
      <c r="X1245" s="2" t="s">
        <v>7966</v>
      </c>
      <c r="Y1245" s="2" t="s">
        <v>7967</v>
      </c>
      <c r="Z1245" s="6">
        <v>85743083</v>
      </c>
      <c r="AA1245" s="2">
        <v>87451492</v>
      </c>
      <c r="AB1245" s="2" t="s">
        <v>798</v>
      </c>
      <c r="AC1245" s="2" t="s">
        <v>632</v>
      </c>
      <c r="AD1245" s="10">
        <v>85743083</v>
      </c>
      <c r="AE1245" s="11"/>
      <c r="AF1245" s="11">
        <v>87451492</v>
      </c>
      <c r="AG1245" s="11"/>
      <c r="AH1245" s="11"/>
      <c r="AI1245" s="11"/>
      <c r="AJ1245" s="11">
        <v>85743083</v>
      </c>
      <c r="AK1245" s="12">
        <v>2</v>
      </c>
      <c r="AL1245" s="12" t="s">
        <v>7377</v>
      </c>
      <c r="AM1245" s="2">
        <v>0</v>
      </c>
      <c r="AN1245" s="2">
        <v>0</v>
      </c>
      <c r="AO1245" s="2">
        <v>0</v>
      </c>
      <c r="AP1245" s="2">
        <v>1</v>
      </c>
      <c r="AQ1245" s="2">
        <v>0</v>
      </c>
      <c r="AR1245" s="2">
        <v>0</v>
      </c>
      <c r="AS1245" s="2">
        <v>0</v>
      </c>
      <c r="AT1245" s="2">
        <v>0</v>
      </c>
      <c r="BB1245" s="2" t="str">
        <f>+PROPER(BD[[#This Row],[PRIMER_APELLIDO]])</f>
        <v>Suazo</v>
      </c>
    </row>
    <row r="1246" spans="1:54" x14ac:dyDescent="0.25">
      <c r="A1246" s="2">
        <v>1245</v>
      </c>
      <c r="B1246" s="2">
        <v>33264</v>
      </c>
      <c r="C1246" s="5" t="s">
        <v>619</v>
      </c>
      <c r="D1246" s="2" t="s">
        <v>620</v>
      </c>
      <c r="E1246" s="6" t="s">
        <v>7968</v>
      </c>
      <c r="F1246" s="6">
        <v>12313280</v>
      </c>
      <c r="G1246" s="3">
        <v>41</v>
      </c>
      <c r="I1246" s="7"/>
      <c r="J1246" s="7"/>
      <c r="K1246" s="8">
        <v>40.854794520547948</v>
      </c>
      <c r="L1246" s="2" t="s">
        <v>7969</v>
      </c>
      <c r="M1246" s="2" t="s">
        <v>904</v>
      </c>
      <c r="N1246" s="2" t="s">
        <v>14</v>
      </c>
      <c r="O1246" s="2" t="s">
        <v>38</v>
      </c>
      <c r="P1246" s="2" t="s">
        <v>649</v>
      </c>
      <c r="Q1246" s="2" t="s">
        <v>351</v>
      </c>
      <c r="R1246" s="9">
        <v>29884</v>
      </c>
      <c r="S1246" s="9">
        <v>29884</v>
      </c>
      <c r="T1246" s="2" t="s">
        <v>705</v>
      </c>
      <c r="U1246" s="2" t="s">
        <v>705</v>
      </c>
      <c r="V1246" s="2" t="s">
        <v>1538</v>
      </c>
      <c r="W1246" s="2" t="s">
        <v>1538</v>
      </c>
      <c r="X1246" s="2" t="s">
        <v>7970</v>
      </c>
      <c r="Y1246" s="2" t="s">
        <v>7971</v>
      </c>
      <c r="Z1246" s="6">
        <v>57500121</v>
      </c>
      <c r="AB1246" s="2" t="s">
        <v>654</v>
      </c>
      <c r="AC1246" s="2" t="s">
        <v>632</v>
      </c>
      <c r="AD1246" s="10">
        <v>57500121</v>
      </c>
      <c r="AE1246" s="11"/>
      <c r="AF1246" s="11"/>
      <c r="AG1246" s="11"/>
      <c r="AH1246" s="11"/>
      <c r="AI1246" s="11"/>
      <c r="AJ1246" s="11">
        <v>57500121</v>
      </c>
      <c r="AK1246" s="12">
        <v>1</v>
      </c>
      <c r="AL1246" s="12" t="s">
        <v>7377</v>
      </c>
      <c r="AM1246" s="2">
        <v>0</v>
      </c>
      <c r="AN1246" s="2">
        <v>0</v>
      </c>
      <c r="AO1246" s="2">
        <v>0</v>
      </c>
      <c r="AP1246" s="2">
        <v>1</v>
      </c>
      <c r="AQ1246" s="2">
        <v>0</v>
      </c>
      <c r="AR1246" s="2">
        <v>0</v>
      </c>
      <c r="AS1246" s="2">
        <v>0</v>
      </c>
      <c r="AT1246" s="2">
        <v>0</v>
      </c>
      <c r="AZ1246" s="2" t="s">
        <v>7972</v>
      </c>
      <c r="BB1246" s="2" t="str">
        <f>+PROPER(BD[[#This Row],[PRIMER_APELLIDO]])</f>
        <v>Gonzalez</v>
      </c>
    </row>
    <row r="1247" spans="1:54" x14ac:dyDescent="0.25">
      <c r="A1247" s="2">
        <v>1246</v>
      </c>
      <c r="B1247" s="2">
        <v>28211</v>
      </c>
      <c r="C1247" s="5" t="s">
        <v>619</v>
      </c>
      <c r="D1247" s="2" t="s">
        <v>620</v>
      </c>
      <c r="E1247" s="6" t="s">
        <v>7973</v>
      </c>
      <c r="F1247" s="6">
        <v>22334859</v>
      </c>
      <c r="G1247" s="3">
        <v>41</v>
      </c>
      <c r="I1247" s="7"/>
      <c r="J1247" s="7"/>
      <c r="K1247" s="8">
        <v>40.857534246575341</v>
      </c>
      <c r="L1247" s="2" t="s">
        <v>3418</v>
      </c>
      <c r="M1247" s="2" t="s">
        <v>1881</v>
      </c>
      <c r="N1247" s="2" t="s">
        <v>24</v>
      </c>
      <c r="O1247" s="2" t="s">
        <v>185</v>
      </c>
      <c r="P1247" s="2" t="s">
        <v>626</v>
      </c>
      <c r="Q1247" s="2" t="s">
        <v>351</v>
      </c>
      <c r="R1247" s="9">
        <v>29883</v>
      </c>
      <c r="S1247" s="9">
        <v>30613</v>
      </c>
      <c r="U1247" s="2" t="s">
        <v>929</v>
      </c>
      <c r="W1247" s="2" t="s">
        <v>1653</v>
      </c>
      <c r="X1247" s="2" t="s">
        <v>7974</v>
      </c>
      <c r="Y1247" s="2" t="s">
        <v>7975</v>
      </c>
      <c r="Z1247" s="6"/>
      <c r="AA1247" s="2">
        <v>89184107</v>
      </c>
      <c r="AB1247" s="2" t="s">
        <v>631</v>
      </c>
      <c r="AC1247" s="2" t="s">
        <v>632</v>
      </c>
      <c r="AD1247" s="10"/>
      <c r="AE1247" s="11"/>
      <c r="AF1247" s="11">
        <v>89184107</v>
      </c>
      <c r="AG1247" s="11"/>
      <c r="AH1247" s="11"/>
      <c r="AI1247" s="11"/>
      <c r="AJ1247" s="11">
        <v>89184107</v>
      </c>
      <c r="AK1247" s="12">
        <v>1</v>
      </c>
      <c r="AL1247" s="12" t="s">
        <v>7377</v>
      </c>
      <c r="AM1247" s="2">
        <v>0</v>
      </c>
      <c r="AN1247" s="2">
        <v>0</v>
      </c>
      <c r="AO1247" s="2">
        <v>0</v>
      </c>
      <c r="AP1247" s="2">
        <v>1</v>
      </c>
      <c r="AQ1247" s="2">
        <v>0</v>
      </c>
      <c r="AR1247" s="2">
        <v>0</v>
      </c>
      <c r="AS1247" s="2">
        <v>0</v>
      </c>
      <c r="AT1247" s="2">
        <v>0</v>
      </c>
      <c r="BA1247" s="2" t="s">
        <v>7976</v>
      </c>
      <c r="BB1247" s="2" t="str">
        <f>+PROPER(BD[[#This Row],[PRIMER_APELLIDO]])</f>
        <v>Perez</v>
      </c>
    </row>
    <row r="1248" spans="1:54" x14ac:dyDescent="0.25">
      <c r="A1248" s="2">
        <v>1247</v>
      </c>
      <c r="B1248" s="2">
        <v>38484</v>
      </c>
      <c r="C1248" s="5" t="s">
        <v>619</v>
      </c>
      <c r="D1248" s="2" t="s">
        <v>620</v>
      </c>
      <c r="E1248" s="6" t="s">
        <v>7977</v>
      </c>
      <c r="F1248" s="6">
        <v>22118835</v>
      </c>
      <c r="G1248" s="3">
        <v>41</v>
      </c>
      <c r="I1248" s="7"/>
      <c r="J1248" s="7"/>
      <c r="K1248" s="8">
        <v>40.860273972602741</v>
      </c>
      <c r="L1248" s="2" t="s">
        <v>3923</v>
      </c>
      <c r="M1248" s="2" t="s">
        <v>1223</v>
      </c>
      <c r="N1248" s="2" t="s">
        <v>207</v>
      </c>
      <c r="O1248" s="2" t="s">
        <v>14</v>
      </c>
      <c r="P1248" s="2" t="s">
        <v>649</v>
      </c>
      <c r="Q1248" s="2" t="s">
        <v>351</v>
      </c>
      <c r="R1248" s="9">
        <v>29882</v>
      </c>
      <c r="S1248" s="9">
        <v>29882</v>
      </c>
      <c r="T1248" s="2" t="s">
        <v>732</v>
      </c>
      <c r="U1248" s="2" t="s">
        <v>732</v>
      </c>
      <c r="V1248" s="2" t="s">
        <v>732</v>
      </c>
      <c r="W1248" s="2" t="s">
        <v>732</v>
      </c>
      <c r="X1248" s="2" t="s">
        <v>7978</v>
      </c>
      <c r="Y1248" s="2" t="s">
        <v>7979</v>
      </c>
      <c r="Z1248" s="6"/>
      <c r="AA1248" s="2">
        <v>83323278</v>
      </c>
      <c r="AB1248" s="2" t="s">
        <v>654</v>
      </c>
      <c r="AC1248" s="2" t="s">
        <v>632</v>
      </c>
      <c r="AD1248" s="10"/>
      <c r="AE1248" s="11"/>
      <c r="AF1248" s="11">
        <v>83323278</v>
      </c>
      <c r="AG1248" s="11"/>
      <c r="AH1248" s="11"/>
      <c r="AI1248" s="11"/>
      <c r="AJ1248" s="11">
        <v>83323278</v>
      </c>
      <c r="AK1248" s="12">
        <v>1</v>
      </c>
      <c r="AL1248" s="12" t="s">
        <v>7377</v>
      </c>
      <c r="AM1248" s="2">
        <v>0</v>
      </c>
      <c r="AN1248" s="2">
        <v>0</v>
      </c>
      <c r="AO1248" s="2">
        <v>0</v>
      </c>
      <c r="AP1248" s="2">
        <v>1</v>
      </c>
      <c r="AQ1248" s="2">
        <v>0</v>
      </c>
      <c r="AR1248" s="2">
        <v>0</v>
      </c>
      <c r="AS1248" s="2">
        <v>0</v>
      </c>
      <c r="AT1248" s="2">
        <v>0</v>
      </c>
      <c r="BB1248" s="2" t="str">
        <f>+PROPER(BD[[#This Row],[PRIMER_APELLIDO]])</f>
        <v>Chavez</v>
      </c>
    </row>
    <row r="1249" spans="1:54" x14ac:dyDescent="0.25">
      <c r="A1249" s="2">
        <v>1248</v>
      </c>
      <c r="B1249" s="2">
        <v>28824</v>
      </c>
      <c r="C1249" s="5" t="s">
        <v>619</v>
      </c>
      <c r="D1249" s="2" t="s">
        <v>620</v>
      </c>
      <c r="E1249" s="6" t="s">
        <v>7980</v>
      </c>
      <c r="F1249" s="6">
        <v>23399718</v>
      </c>
      <c r="G1249" s="3">
        <v>41</v>
      </c>
      <c r="I1249" s="7"/>
      <c r="J1249" s="7"/>
      <c r="K1249" s="8">
        <v>40.868493150684934</v>
      </c>
      <c r="L1249" s="2" t="s">
        <v>7981</v>
      </c>
      <c r="M1249" s="2" t="s">
        <v>2806</v>
      </c>
      <c r="N1249" s="2" t="s">
        <v>165</v>
      </c>
      <c r="O1249" s="2" t="s">
        <v>7982</v>
      </c>
      <c r="P1249" s="2" t="s">
        <v>626</v>
      </c>
      <c r="Q1249" s="2" t="s">
        <v>351</v>
      </c>
      <c r="R1249" s="9">
        <v>29879</v>
      </c>
      <c r="S1249" s="9">
        <v>29879</v>
      </c>
      <c r="U1249" s="2" t="s">
        <v>627</v>
      </c>
      <c r="W1249" s="2" t="s">
        <v>627</v>
      </c>
      <c r="X1249" s="2" t="s">
        <v>7983</v>
      </c>
      <c r="Y1249" s="2" t="s">
        <v>7984</v>
      </c>
      <c r="Z1249" s="6"/>
      <c r="AA1249" s="2">
        <v>83589498</v>
      </c>
      <c r="AB1249" s="2" t="s">
        <v>654</v>
      </c>
      <c r="AC1249" s="2" t="s">
        <v>632</v>
      </c>
      <c r="AD1249" s="10"/>
      <c r="AE1249" s="11"/>
      <c r="AF1249" s="11">
        <v>83589498</v>
      </c>
      <c r="AG1249" s="11"/>
      <c r="AH1249" s="11"/>
      <c r="AI1249" s="11"/>
      <c r="AJ1249" s="11">
        <v>83589498</v>
      </c>
      <c r="AK1249" s="12">
        <v>1</v>
      </c>
      <c r="AL1249" s="12" t="s">
        <v>7377</v>
      </c>
      <c r="AM1249" s="2">
        <v>0</v>
      </c>
      <c r="AN1249" s="2">
        <v>0</v>
      </c>
      <c r="AO1249" s="2">
        <v>0</v>
      </c>
      <c r="AP1249" s="2">
        <v>1</v>
      </c>
      <c r="AQ1249" s="2">
        <v>0</v>
      </c>
      <c r="AR1249" s="2">
        <v>0</v>
      </c>
      <c r="AS1249" s="2">
        <v>0</v>
      </c>
      <c r="AT1249" s="2">
        <v>0</v>
      </c>
      <c r="BB1249" s="2" t="str">
        <f>+PROPER(BD[[#This Row],[PRIMER_APELLIDO]])</f>
        <v>Salazar</v>
      </c>
    </row>
    <row r="1250" spans="1:54" x14ac:dyDescent="0.25">
      <c r="A1250" s="2">
        <v>1249</v>
      </c>
      <c r="B1250" s="2">
        <v>20980</v>
      </c>
      <c r="C1250" s="5" t="s">
        <v>619</v>
      </c>
      <c r="D1250" s="2" t="s">
        <v>620</v>
      </c>
      <c r="E1250" s="6" t="s">
        <v>7985</v>
      </c>
      <c r="F1250" s="6">
        <v>17832571</v>
      </c>
      <c r="G1250" s="3">
        <v>41</v>
      </c>
      <c r="I1250" s="7"/>
      <c r="J1250" s="7"/>
      <c r="K1250" s="8">
        <v>40.873972602739727</v>
      </c>
      <c r="L1250" s="2" t="s">
        <v>2772</v>
      </c>
      <c r="M1250" s="2" t="s">
        <v>1699</v>
      </c>
      <c r="N1250" s="2" t="s">
        <v>14</v>
      </c>
      <c r="O1250" s="2" t="s">
        <v>218</v>
      </c>
      <c r="P1250" s="2" t="s">
        <v>649</v>
      </c>
      <c r="Q1250" s="2" t="s">
        <v>351</v>
      </c>
      <c r="R1250" s="9">
        <v>29877</v>
      </c>
      <c r="S1250" s="9">
        <v>29877</v>
      </c>
      <c r="T1250" s="2" t="s">
        <v>732</v>
      </c>
      <c r="U1250" s="2" t="s">
        <v>732</v>
      </c>
      <c r="V1250" s="2" t="s">
        <v>732</v>
      </c>
      <c r="W1250" s="2" t="s">
        <v>732</v>
      </c>
      <c r="X1250" s="2" t="s">
        <v>7986</v>
      </c>
      <c r="Y1250" s="2" t="s">
        <v>7987</v>
      </c>
      <c r="Z1250" s="6">
        <v>87683089</v>
      </c>
      <c r="AA1250" s="2" t="s">
        <v>7988</v>
      </c>
      <c r="AB1250" s="2" t="s">
        <v>1030</v>
      </c>
      <c r="AC1250" s="2" t="s">
        <v>632</v>
      </c>
      <c r="AD1250" s="10">
        <v>87683089</v>
      </c>
      <c r="AE1250" s="11"/>
      <c r="AF1250" s="11">
        <v>89322886</v>
      </c>
      <c r="AG1250" s="11">
        <v>86290478</v>
      </c>
      <c r="AH1250" s="11">
        <v>83807249</v>
      </c>
      <c r="AI1250" s="11">
        <v>84108081</v>
      </c>
      <c r="AJ1250" s="11">
        <v>87683089</v>
      </c>
      <c r="AK1250" s="12">
        <v>5</v>
      </c>
      <c r="AL1250" s="12" t="s">
        <v>7377</v>
      </c>
      <c r="AM1250" s="2">
        <v>0</v>
      </c>
      <c r="AN1250" s="2">
        <v>0</v>
      </c>
      <c r="AO1250" s="2">
        <v>0</v>
      </c>
      <c r="AP1250" s="2">
        <v>1</v>
      </c>
      <c r="AQ1250" s="2">
        <v>0</v>
      </c>
      <c r="AR1250" s="2">
        <v>0</v>
      </c>
      <c r="AS1250" s="2">
        <v>0</v>
      </c>
      <c r="AT1250" s="2">
        <v>0</v>
      </c>
      <c r="AZ1250" s="2" t="s">
        <v>7989</v>
      </c>
      <c r="BB1250" s="2" t="str">
        <f>+PROPER(BD[[#This Row],[PRIMER_APELLIDO]])</f>
        <v>Gonzalez</v>
      </c>
    </row>
    <row r="1251" spans="1:54" x14ac:dyDescent="0.25">
      <c r="A1251" s="2">
        <v>1250</v>
      </c>
      <c r="B1251" s="2">
        <v>21950</v>
      </c>
      <c r="C1251" s="5" t="s">
        <v>619</v>
      </c>
      <c r="D1251" s="2" t="s">
        <v>620</v>
      </c>
      <c r="E1251" s="6" t="s">
        <v>7990</v>
      </c>
      <c r="F1251" s="6">
        <v>18262854</v>
      </c>
      <c r="G1251" s="3">
        <v>41</v>
      </c>
      <c r="I1251" s="7"/>
      <c r="J1251" s="7"/>
      <c r="K1251" s="8">
        <v>40.876712328767127</v>
      </c>
      <c r="L1251" s="2" t="s">
        <v>3595</v>
      </c>
      <c r="M1251" s="2" t="s">
        <v>1480</v>
      </c>
      <c r="N1251" s="2" t="s">
        <v>503</v>
      </c>
      <c r="O1251" s="2" t="s">
        <v>90</v>
      </c>
      <c r="P1251" s="2" t="s">
        <v>649</v>
      </c>
      <c r="Q1251" s="2" t="s">
        <v>351</v>
      </c>
      <c r="R1251" s="9">
        <v>29876</v>
      </c>
      <c r="S1251" s="9">
        <v>29876</v>
      </c>
      <c r="T1251" s="2" t="s">
        <v>133</v>
      </c>
      <c r="U1251" s="2" t="s">
        <v>133</v>
      </c>
      <c r="V1251" s="2" t="s">
        <v>869</v>
      </c>
      <c r="W1251" s="2" t="s">
        <v>870</v>
      </c>
      <c r="X1251" s="2" t="s">
        <v>7991</v>
      </c>
      <c r="Y1251" s="2" t="s">
        <v>7992</v>
      </c>
      <c r="Z1251" s="6">
        <v>84046110</v>
      </c>
      <c r="AA1251" s="2">
        <v>86376658</v>
      </c>
      <c r="AB1251" s="2" t="s">
        <v>654</v>
      </c>
      <c r="AC1251" s="2" t="s">
        <v>632</v>
      </c>
      <c r="AD1251" s="10">
        <v>84046110</v>
      </c>
      <c r="AE1251" s="11"/>
      <c r="AF1251" s="11">
        <v>86376658</v>
      </c>
      <c r="AG1251" s="11"/>
      <c r="AH1251" s="11"/>
      <c r="AI1251" s="11"/>
      <c r="AJ1251" s="11">
        <v>84046110</v>
      </c>
      <c r="AK1251" s="12">
        <v>2</v>
      </c>
      <c r="AL1251" s="12" t="s">
        <v>7377</v>
      </c>
      <c r="AM1251" s="2">
        <v>0</v>
      </c>
      <c r="AN1251" s="2">
        <v>0</v>
      </c>
      <c r="AO1251" s="2">
        <v>0</v>
      </c>
      <c r="AP1251" s="2">
        <v>1</v>
      </c>
      <c r="AQ1251" s="2">
        <v>0</v>
      </c>
      <c r="AR1251" s="2">
        <v>0</v>
      </c>
      <c r="AS1251" s="2">
        <v>0</v>
      </c>
      <c r="AT1251" s="2">
        <v>0</v>
      </c>
      <c r="AZ1251" s="2" t="s">
        <v>7993</v>
      </c>
      <c r="BA1251" s="2" t="s">
        <v>7993</v>
      </c>
      <c r="BB1251" s="2" t="str">
        <f>+PROPER(BD[[#This Row],[PRIMER_APELLIDO]])</f>
        <v>Fierro</v>
      </c>
    </row>
    <row r="1252" spans="1:54" x14ac:dyDescent="0.25">
      <c r="A1252" s="2">
        <v>1251</v>
      </c>
      <c r="B1252" s="2">
        <v>24650</v>
      </c>
      <c r="C1252" s="5" t="s">
        <v>619</v>
      </c>
      <c r="D1252" s="2" t="s">
        <v>620</v>
      </c>
      <c r="E1252" s="6" t="s">
        <v>7994</v>
      </c>
      <c r="F1252" s="6">
        <v>20741721</v>
      </c>
      <c r="G1252" s="3">
        <v>41</v>
      </c>
      <c r="I1252" s="7"/>
      <c r="J1252" s="7"/>
      <c r="K1252" s="8">
        <v>40.876712328767127</v>
      </c>
      <c r="L1252" s="2" t="s">
        <v>1241</v>
      </c>
      <c r="M1252" s="2" t="s">
        <v>4438</v>
      </c>
      <c r="N1252" s="2" t="s">
        <v>189</v>
      </c>
      <c r="O1252" s="2" t="s">
        <v>44</v>
      </c>
      <c r="P1252" s="2" t="s">
        <v>626</v>
      </c>
      <c r="Q1252" s="2" t="s">
        <v>351</v>
      </c>
      <c r="R1252" s="9">
        <v>29876</v>
      </c>
      <c r="S1252" s="9">
        <v>29876</v>
      </c>
      <c r="T1252" s="2" t="s">
        <v>176</v>
      </c>
      <c r="U1252" s="2" t="s">
        <v>444</v>
      </c>
      <c r="V1252" s="2" t="s">
        <v>650</v>
      </c>
      <c r="W1252" s="2" t="s">
        <v>7995</v>
      </c>
      <c r="X1252" s="2" t="s">
        <v>7996</v>
      </c>
      <c r="Y1252" s="2" t="s">
        <v>7997</v>
      </c>
      <c r="Z1252" s="6">
        <v>89367464</v>
      </c>
      <c r="AA1252" s="2">
        <v>89367464</v>
      </c>
      <c r="AB1252" s="2" t="s">
        <v>654</v>
      </c>
      <c r="AC1252" s="2" t="s">
        <v>632</v>
      </c>
      <c r="AD1252" s="10">
        <v>89367464</v>
      </c>
      <c r="AE1252" s="11"/>
      <c r="AF1252" s="11">
        <v>89367464</v>
      </c>
      <c r="AG1252" s="11"/>
      <c r="AH1252" s="11"/>
      <c r="AI1252" s="11"/>
      <c r="AJ1252" s="11">
        <v>89367464</v>
      </c>
      <c r="AK1252" s="12">
        <v>2</v>
      </c>
      <c r="AL1252" s="12" t="s">
        <v>7377</v>
      </c>
      <c r="AM1252" s="2">
        <v>0</v>
      </c>
      <c r="AN1252" s="2">
        <v>0</v>
      </c>
      <c r="AO1252" s="2">
        <v>0</v>
      </c>
      <c r="AP1252" s="2">
        <v>1</v>
      </c>
      <c r="AQ1252" s="2">
        <v>0</v>
      </c>
      <c r="AR1252" s="2">
        <v>0</v>
      </c>
      <c r="AS1252" s="2">
        <v>0</v>
      </c>
      <c r="AT1252" s="2">
        <v>0</v>
      </c>
      <c r="AZ1252" s="2" t="s">
        <v>7998</v>
      </c>
      <c r="BB1252" s="2" t="str">
        <f>+PROPER(BD[[#This Row],[PRIMER_APELLIDO]])</f>
        <v>Contreras</v>
      </c>
    </row>
    <row r="1253" spans="1:54" x14ac:dyDescent="0.25">
      <c r="A1253" s="2">
        <v>1252</v>
      </c>
      <c r="B1253" s="2">
        <v>28456</v>
      </c>
      <c r="C1253" s="5" t="s">
        <v>619</v>
      </c>
      <c r="D1253" s="2" t="s">
        <v>620</v>
      </c>
      <c r="E1253" s="6" t="s">
        <v>7999</v>
      </c>
      <c r="F1253" s="6"/>
      <c r="G1253" s="3">
        <v>41</v>
      </c>
      <c r="I1253" s="7"/>
      <c r="J1253" s="7"/>
      <c r="K1253" s="8">
        <v>40.887671232876713</v>
      </c>
      <c r="L1253" s="2" t="s">
        <v>3360</v>
      </c>
      <c r="M1253" s="2" t="s">
        <v>4598</v>
      </c>
      <c r="N1253" s="2" t="s">
        <v>9</v>
      </c>
      <c r="O1253" s="2" t="s">
        <v>8000</v>
      </c>
      <c r="P1253" s="2" t="s">
        <v>626</v>
      </c>
      <c r="Q1253" s="2" t="s">
        <v>351</v>
      </c>
      <c r="R1253" s="9">
        <v>29872</v>
      </c>
      <c r="S1253" s="9">
        <v>29872</v>
      </c>
      <c r="T1253" s="2" t="s">
        <v>669</v>
      </c>
      <c r="U1253" s="2" t="s">
        <v>669</v>
      </c>
      <c r="V1253" s="2" t="s">
        <v>669</v>
      </c>
      <c r="W1253" s="2" t="s">
        <v>669</v>
      </c>
      <c r="X1253" s="2" t="s">
        <v>8001</v>
      </c>
      <c r="Y1253" s="2" t="s">
        <v>8002</v>
      </c>
      <c r="Z1253" s="6">
        <v>88441390</v>
      </c>
      <c r="AA1253" s="2" t="s">
        <v>8003</v>
      </c>
      <c r="AB1253" s="2" t="s">
        <v>642</v>
      </c>
      <c r="AC1253" s="2" t="s">
        <v>632</v>
      </c>
      <c r="AD1253" s="10">
        <v>88441390</v>
      </c>
      <c r="AE1253" s="11"/>
      <c r="AF1253" s="11"/>
      <c r="AG1253" s="11">
        <v>88441390</v>
      </c>
      <c r="AH1253" s="11"/>
      <c r="AI1253" s="11"/>
      <c r="AJ1253" s="11">
        <v>88441390</v>
      </c>
      <c r="AK1253" s="12">
        <v>3</v>
      </c>
      <c r="AL1253" s="12" t="s">
        <v>7377</v>
      </c>
      <c r="AM1253" s="2">
        <v>0</v>
      </c>
      <c r="AN1253" s="2">
        <v>0</v>
      </c>
      <c r="AO1253" s="2">
        <v>0</v>
      </c>
      <c r="AP1253" s="2">
        <v>1</v>
      </c>
      <c r="AQ1253" s="2">
        <v>0</v>
      </c>
      <c r="AR1253" s="2">
        <v>0</v>
      </c>
      <c r="AS1253" s="2">
        <v>0</v>
      </c>
      <c r="AT1253" s="2">
        <v>0</v>
      </c>
      <c r="BB1253" s="2" t="str">
        <f>+PROPER(BD[[#This Row],[PRIMER_APELLIDO]])</f>
        <v>Mendoza</v>
      </c>
    </row>
    <row r="1254" spans="1:54" x14ac:dyDescent="0.25">
      <c r="A1254" s="2">
        <v>1253</v>
      </c>
      <c r="B1254" s="2">
        <v>36472</v>
      </c>
      <c r="C1254" s="5" t="s">
        <v>619</v>
      </c>
      <c r="D1254" s="2" t="s">
        <v>620</v>
      </c>
      <c r="E1254" s="6" t="s">
        <v>8004</v>
      </c>
      <c r="F1254" s="6">
        <v>22878995</v>
      </c>
      <c r="G1254" s="3">
        <v>41</v>
      </c>
      <c r="I1254" s="7"/>
      <c r="J1254" s="7"/>
      <c r="K1254" s="8">
        <v>40.887671232876713</v>
      </c>
      <c r="L1254" s="2" t="s">
        <v>4632</v>
      </c>
      <c r="M1254" s="2" t="s">
        <v>4400</v>
      </c>
      <c r="N1254" s="2" t="s">
        <v>351</v>
      </c>
      <c r="O1254" s="2" t="s">
        <v>15</v>
      </c>
      <c r="P1254" s="2" t="s">
        <v>626</v>
      </c>
      <c r="Q1254" s="2" t="s">
        <v>351</v>
      </c>
      <c r="R1254" s="9">
        <v>29872</v>
      </c>
      <c r="S1254" s="9">
        <v>29872</v>
      </c>
      <c r="T1254" s="2" t="s">
        <v>740</v>
      </c>
      <c r="U1254" s="2" t="s">
        <v>1191</v>
      </c>
      <c r="V1254" s="2" t="s">
        <v>740</v>
      </c>
      <c r="W1254" s="2" t="s">
        <v>1300</v>
      </c>
      <c r="X1254" s="2" t="s">
        <v>8005</v>
      </c>
      <c r="Y1254" s="2" t="s">
        <v>8006</v>
      </c>
      <c r="Z1254" s="6">
        <v>89281243</v>
      </c>
      <c r="AA1254" s="2">
        <v>83656909</v>
      </c>
      <c r="AB1254" s="2" t="s">
        <v>1294</v>
      </c>
      <c r="AC1254" s="2" t="s">
        <v>632</v>
      </c>
      <c r="AD1254" s="10">
        <v>89281243</v>
      </c>
      <c r="AE1254" s="11"/>
      <c r="AF1254" s="11">
        <v>83656909</v>
      </c>
      <c r="AG1254" s="11"/>
      <c r="AH1254" s="11"/>
      <c r="AI1254" s="11"/>
      <c r="AJ1254" s="11">
        <v>89281243</v>
      </c>
      <c r="AK1254" s="12">
        <v>2</v>
      </c>
      <c r="AL1254" s="12" t="s">
        <v>7377</v>
      </c>
      <c r="AM1254" s="2">
        <v>0</v>
      </c>
      <c r="AN1254" s="2">
        <v>0</v>
      </c>
      <c r="AO1254" s="2">
        <v>0</v>
      </c>
      <c r="AP1254" s="2">
        <v>1</v>
      </c>
      <c r="AQ1254" s="2">
        <v>0</v>
      </c>
      <c r="AR1254" s="2">
        <v>0</v>
      </c>
      <c r="AS1254" s="2">
        <v>0</v>
      </c>
      <c r="AT1254" s="2">
        <v>0</v>
      </c>
      <c r="BB1254" s="2" t="str">
        <f>+PROPER(BD[[#This Row],[PRIMER_APELLIDO]])</f>
        <v>Nicaragua</v>
      </c>
    </row>
    <row r="1255" spans="1:54" x14ac:dyDescent="0.25">
      <c r="A1255" s="2">
        <v>1254</v>
      </c>
      <c r="B1255" s="2">
        <v>25129</v>
      </c>
      <c r="C1255" s="5" t="s">
        <v>619</v>
      </c>
      <c r="D1255" s="2" t="s">
        <v>620</v>
      </c>
      <c r="E1255" s="6" t="s">
        <v>8007</v>
      </c>
      <c r="F1255" s="6">
        <v>22847430</v>
      </c>
      <c r="G1255" s="3">
        <v>41</v>
      </c>
      <c r="I1255" s="7"/>
      <c r="J1255" s="7"/>
      <c r="K1255" s="8">
        <v>40.893150684931506</v>
      </c>
      <c r="L1255" s="2" t="s">
        <v>724</v>
      </c>
      <c r="M1255" s="2" t="s">
        <v>1746</v>
      </c>
      <c r="N1255" s="2" t="s">
        <v>90</v>
      </c>
      <c r="O1255" s="2" t="s">
        <v>15</v>
      </c>
      <c r="P1255" s="2" t="s">
        <v>626</v>
      </c>
      <c r="Q1255" s="2" t="s">
        <v>351</v>
      </c>
      <c r="R1255" s="9">
        <v>29870</v>
      </c>
      <c r="S1255" s="9">
        <v>29870</v>
      </c>
      <c r="T1255" s="2" t="s">
        <v>732</v>
      </c>
      <c r="U1255" s="2" t="s">
        <v>732</v>
      </c>
      <c r="V1255" s="2" t="s">
        <v>4341</v>
      </c>
      <c r="W1255" s="2" t="s">
        <v>4341</v>
      </c>
      <c r="X1255" s="2" t="s">
        <v>8008</v>
      </c>
      <c r="Y1255" s="2" t="s">
        <v>8009</v>
      </c>
      <c r="Z1255" s="6">
        <v>86405386</v>
      </c>
      <c r="AA1255" s="2" t="s">
        <v>8010</v>
      </c>
      <c r="AB1255" s="2" t="s">
        <v>642</v>
      </c>
      <c r="AC1255" s="2" t="s">
        <v>632</v>
      </c>
      <c r="AD1255" s="10">
        <v>86405386</v>
      </c>
      <c r="AE1255" s="11"/>
      <c r="AF1255" s="11"/>
      <c r="AG1255" s="11">
        <v>88302318</v>
      </c>
      <c r="AH1255" s="11"/>
      <c r="AI1255" s="11"/>
      <c r="AJ1255" s="11">
        <v>86405386</v>
      </c>
      <c r="AK1255" s="12">
        <v>3</v>
      </c>
      <c r="AL1255" s="12" t="s">
        <v>7377</v>
      </c>
      <c r="AM1255" s="2">
        <v>0</v>
      </c>
      <c r="AN1255" s="2">
        <v>0</v>
      </c>
      <c r="AO1255" s="2">
        <v>0</v>
      </c>
      <c r="AP1255" s="2">
        <v>1</v>
      </c>
      <c r="AQ1255" s="2">
        <v>0</v>
      </c>
      <c r="AR1255" s="2">
        <v>0</v>
      </c>
      <c r="AS1255" s="2">
        <v>0</v>
      </c>
      <c r="AT1255" s="2">
        <v>0</v>
      </c>
      <c r="BB1255" s="2" t="str">
        <f>+PROPER(BD[[#This Row],[PRIMER_APELLIDO]])</f>
        <v>Sanchez</v>
      </c>
    </row>
    <row r="1256" spans="1:54" x14ac:dyDescent="0.25">
      <c r="A1256" s="2">
        <v>1255</v>
      </c>
      <c r="B1256" s="2">
        <v>26646</v>
      </c>
      <c r="C1256" s="5" t="s">
        <v>619</v>
      </c>
      <c r="D1256" s="2" t="s">
        <v>620</v>
      </c>
      <c r="E1256" s="6" t="s">
        <v>8011</v>
      </c>
      <c r="F1256" s="6"/>
      <c r="G1256" s="3">
        <v>41</v>
      </c>
      <c r="I1256" s="7"/>
      <c r="J1256" s="7"/>
      <c r="K1256" s="8">
        <v>40.893150684931506</v>
      </c>
      <c r="L1256" s="2" t="s">
        <v>8012</v>
      </c>
      <c r="M1256" s="2" t="s">
        <v>1961</v>
      </c>
      <c r="N1256" s="2" t="s">
        <v>373</v>
      </c>
      <c r="O1256" s="2" t="s">
        <v>75</v>
      </c>
      <c r="P1256" s="2" t="s">
        <v>626</v>
      </c>
      <c r="Q1256" s="2" t="s">
        <v>351</v>
      </c>
      <c r="R1256" s="9">
        <v>29870</v>
      </c>
      <c r="S1256" s="9">
        <v>29870</v>
      </c>
      <c r="T1256" s="2" t="s">
        <v>133</v>
      </c>
      <c r="U1256" s="2" t="s">
        <v>627</v>
      </c>
      <c r="V1256" s="2" t="s">
        <v>939</v>
      </c>
      <c r="W1256" s="2" t="s">
        <v>692</v>
      </c>
      <c r="X1256" s="2" t="s">
        <v>8013</v>
      </c>
      <c r="Y1256" s="2" t="s">
        <v>8014</v>
      </c>
      <c r="Z1256" s="6"/>
      <c r="AA1256" s="2">
        <v>87314917</v>
      </c>
      <c r="AB1256" s="2" t="s">
        <v>642</v>
      </c>
      <c r="AC1256" s="2" t="s">
        <v>632</v>
      </c>
      <c r="AD1256" s="10"/>
      <c r="AE1256" s="11"/>
      <c r="AF1256" s="11">
        <v>87314917</v>
      </c>
      <c r="AG1256" s="11"/>
      <c r="AH1256" s="11"/>
      <c r="AI1256" s="11"/>
      <c r="AJ1256" s="11">
        <v>87314917</v>
      </c>
      <c r="AK1256" s="12">
        <v>1</v>
      </c>
      <c r="AL1256" s="12" t="s">
        <v>7377</v>
      </c>
      <c r="AM1256" s="2">
        <v>0</v>
      </c>
      <c r="AN1256" s="2">
        <v>0</v>
      </c>
      <c r="AO1256" s="2">
        <v>0</v>
      </c>
      <c r="AP1256" s="2">
        <v>1</v>
      </c>
      <c r="AQ1256" s="2">
        <v>0</v>
      </c>
      <c r="AR1256" s="2">
        <v>0</v>
      </c>
      <c r="AS1256" s="2">
        <v>0</v>
      </c>
      <c r="AT1256" s="2">
        <v>0</v>
      </c>
      <c r="BB1256" s="2" t="str">
        <f>+PROPER(BD[[#This Row],[PRIMER_APELLIDO]])</f>
        <v>Traña</v>
      </c>
    </row>
    <row r="1257" spans="1:54" x14ac:dyDescent="0.25">
      <c r="A1257" s="2">
        <v>1256</v>
      </c>
      <c r="B1257" s="2">
        <v>69500</v>
      </c>
      <c r="C1257" s="5" t="s">
        <v>619</v>
      </c>
      <c r="D1257" s="2" t="s">
        <v>620</v>
      </c>
      <c r="E1257" s="6" t="s">
        <v>8015</v>
      </c>
      <c r="F1257" s="6"/>
      <c r="G1257" s="3">
        <v>41</v>
      </c>
      <c r="I1257" s="7"/>
      <c r="J1257" s="7"/>
      <c r="K1257" s="8">
        <v>40.893150684931506</v>
      </c>
      <c r="L1257" s="2" t="s">
        <v>8016</v>
      </c>
      <c r="M1257" s="2" t="s">
        <v>1497</v>
      </c>
      <c r="N1257" s="2" t="s">
        <v>504</v>
      </c>
      <c r="O1257" s="2" t="s">
        <v>24</v>
      </c>
      <c r="P1257" s="2" t="s">
        <v>649</v>
      </c>
      <c r="Q1257" s="2" t="s">
        <v>351</v>
      </c>
      <c r="R1257" s="9">
        <v>29870</v>
      </c>
      <c r="S1257" s="9">
        <v>29870</v>
      </c>
      <c r="T1257" s="2" t="s">
        <v>186</v>
      </c>
      <c r="U1257" s="2" t="s">
        <v>1005</v>
      </c>
      <c r="V1257" s="2" t="s">
        <v>8017</v>
      </c>
      <c r="W1257" s="2" t="s">
        <v>4773</v>
      </c>
      <c r="X1257" s="2" t="s">
        <v>8018</v>
      </c>
      <c r="Y1257" s="2" t="s">
        <v>8019</v>
      </c>
      <c r="Z1257" s="6">
        <v>58111619</v>
      </c>
      <c r="AA1257" s="2">
        <v>75251961</v>
      </c>
      <c r="AB1257" s="2" t="s">
        <v>798</v>
      </c>
      <c r="AC1257" s="2" t="s">
        <v>632</v>
      </c>
      <c r="AD1257" s="10">
        <v>58111619</v>
      </c>
      <c r="AE1257" s="11"/>
      <c r="AF1257" s="11">
        <v>75251961</v>
      </c>
      <c r="AG1257" s="11"/>
      <c r="AH1257" s="11"/>
      <c r="AI1257" s="11"/>
      <c r="AJ1257" s="11">
        <v>58111619</v>
      </c>
      <c r="AK1257" s="12">
        <v>2</v>
      </c>
      <c r="AL1257" s="12" t="s">
        <v>7377</v>
      </c>
      <c r="AM1257" s="2">
        <v>0</v>
      </c>
      <c r="AN1257" s="2">
        <v>0</v>
      </c>
      <c r="AO1257" s="2">
        <v>0</v>
      </c>
      <c r="AP1257" s="2">
        <v>1</v>
      </c>
      <c r="AQ1257" s="2">
        <v>0</v>
      </c>
      <c r="AR1257" s="2">
        <v>0</v>
      </c>
      <c r="AS1257" s="2">
        <v>0</v>
      </c>
      <c r="AT1257" s="2">
        <v>0</v>
      </c>
      <c r="AZ1257" s="2" t="s">
        <v>8020</v>
      </c>
      <c r="BB1257" s="2" t="str">
        <f>+PROPER(BD[[#This Row],[PRIMER_APELLIDO]])</f>
        <v>Icabalseta</v>
      </c>
    </row>
    <row r="1258" spans="1:54" x14ac:dyDescent="0.25">
      <c r="A1258" s="2">
        <v>1257</v>
      </c>
      <c r="B1258" s="2">
        <v>24208</v>
      </c>
      <c r="C1258" s="5" t="s">
        <v>619</v>
      </c>
      <c r="D1258" s="2" t="s">
        <v>620</v>
      </c>
      <c r="E1258" s="6" t="s">
        <v>8021</v>
      </c>
      <c r="F1258" s="6">
        <v>19564351</v>
      </c>
      <c r="G1258" s="3">
        <v>41</v>
      </c>
      <c r="I1258" s="7"/>
      <c r="J1258" s="7"/>
      <c r="K1258" s="8">
        <v>40.895890410958906</v>
      </c>
      <c r="L1258" s="2" t="s">
        <v>724</v>
      </c>
      <c r="M1258" s="2" t="s">
        <v>769</v>
      </c>
      <c r="N1258" s="2" t="s">
        <v>82</v>
      </c>
      <c r="O1258" s="2" t="s">
        <v>118</v>
      </c>
      <c r="P1258" s="2" t="s">
        <v>626</v>
      </c>
      <c r="Q1258" s="2" t="s">
        <v>351</v>
      </c>
      <c r="R1258" s="9">
        <v>29869</v>
      </c>
      <c r="S1258" s="9">
        <v>29869</v>
      </c>
      <c r="T1258" s="2" t="s">
        <v>1005</v>
      </c>
      <c r="U1258" s="2" t="s">
        <v>1005</v>
      </c>
      <c r="V1258" s="2" t="s">
        <v>1184</v>
      </c>
      <c r="W1258" s="2" t="s">
        <v>1184</v>
      </c>
      <c r="X1258" s="2" t="s">
        <v>8022</v>
      </c>
      <c r="Y1258" s="2" t="s">
        <v>8023</v>
      </c>
      <c r="Z1258" s="6">
        <v>88574196</v>
      </c>
      <c r="AB1258" s="2" t="s">
        <v>642</v>
      </c>
      <c r="AC1258" s="2" t="s">
        <v>632</v>
      </c>
      <c r="AD1258" s="10">
        <v>88574196</v>
      </c>
      <c r="AE1258" s="11"/>
      <c r="AF1258" s="11"/>
      <c r="AG1258" s="11"/>
      <c r="AH1258" s="11"/>
      <c r="AI1258" s="11"/>
      <c r="AJ1258" s="11">
        <v>88574196</v>
      </c>
      <c r="AK1258" s="12">
        <v>1</v>
      </c>
      <c r="AL1258" s="12" t="s">
        <v>7377</v>
      </c>
      <c r="AM1258" s="2">
        <v>0</v>
      </c>
      <c r="AN1258" s="2">
        <v>0</v>
      </c>
      <c r="AO1258" s="2">
        <v>0</v>
      </c>
      <c r="AP1258" s="2">
        <v>1</v>
      </c>
      <c r="AQ1258" s="2">
        <v>0</v>
      </c>
      <c r="AR1258" s="2">
        <v>0</v>
      </c>
      <c r="AS1258" s="2">
        <v>0</v>
      </c>
      <c r="AT1258" s="2">
        <v>0</v>
      </c>
      <c r="AZ1258" s="2" t="s">
        <v>8024</v>
      </c>
      <c r="BB1258" s="2" t="str">
        <f>+PROPER(BD[[#This Row],[PRIMER_APELLIDO]])</f>
        <v>Morales</v>
      </c>
    </row>
    <row r="1259" spans="1:54" x14ac:dyDescent="0.25">
      <c r="A1259" s="2">
        <v>1258</v>
      </c>
      <c r="B1259" s="2">
        <v>36938</v>
      </c>
      <c r="C1259" s="5" t="s">
        <v>619</v>
      </c>
      <c r="D1259" s="2" t="s">
        <v>620</v>
      </c>
      <c r="E1259" s="6" t="s">
        <v>8025</v>
      </c>
      <c r="F1259" s="6">
        <v>22152592</v>
      </c>
      <c r="G1259" s="3">
        <v>41</v>
      </c>
      <c r="I1259" s="7"/>
      <c r="J1259" s="7"/>
      <c r="K1259" s="8">
        <v>40.898630136986299</v>
      </c>
      <c r="L1259" s="2" t="s">
        <v>825</v>
      </c>
      <c r="M1259" s="2" t="s">
        <v>904</v>
      </c>
      <c r="N1259" s="2" t="s">
        <v>76</v>
      </c>
      <c r="O1259" s="2" t="s">
        <v>185</v>
      </c>
      <c r="P1259" s="2" t="s">
        <v>649</v>
      </c>
      <c r="Q1259" s="2" t="s">
        <v>351</v>
      </c>
      <c r="R1259" s="9">
        <v>29868</v>
      </c>
      <c r="S1259" s="9">
        <v>29868</v>
      </c>
      <c r="T1259" s="2" t="s">
        <v>659</v>
      </c>
      <c r="U1259" s="2" t="s">
        <v>659</v>
      </c>
      <c r="V1259" s="2" t="s">
        <v>5168</v>
      </c>
      <c r="W1259" s="2" t="s">
        <v>5168</v>
      </c>
      <c r="X1259" s="2" t="s">
        <v>8026</v>
      </c>
      <c r="Y1259" s="2" t="s">
        <v>8027</v>
      </c>
      <c r="Z1259" s="6">
        <v>57936515</v>
      </c>
      <c r="AA1259" s="2">
        <v>27842251</v>
      </c>
      <c r="AB1259" s="2" t="s">
        <v>654</v>
      </c>
      <c r="AC1259" s="2" t="s">
        <v>632</v>
      </c>
      <c r="AD1259" s="10">
        <v>57936515</v>
      </c>
      <c r="AE1259" s="11"/>
      <c r="AF1259" s="11"/>
      <c r="AG1259" s="11"/>
      <c r="AH1259" s="11"/>
      <c r="AI1259" s="11"/>
      <c r="AJ1259" s="11">
        <v>57936515</v>
      </c>
      <c r="AK1259" s="12">
        <v>2</v>
      </c>
      <c r="AL1259" s="12" t="s">
        <v>7377</v>
      </c>
      <c r="AM1259" s="2">
        <v>0</v>
      </c>
      <c r="AN1259" s="2">
        <v>0</v>
      </c>
      <c r="AO1259" s="2">
        <v>0</v>
      </c>
      <c r="AP1259" s="2">
        <v>1</v>
      </c>
      <c r="AQ1259" s="2">
        <v>0</v>
      </c>
      <c r="AR1259" s="2">
        <v>0</v>
      </c>
      <c r="AS1259" s="2">
        <v>0</v>
      </c>
      <c r="AT1259" s="2">
        <v>0</v>
      </c>
      <c r="AZ1259" s="2" t="s">
        <v>8028</v>
      </c>
      <c r="BB1259" s="2" t="str">
        <f>+PROPER(BD[[#This Row],[PRIMER_APELLIDO]])</f>
        <v>Ubeda</v>
      </c>
    </row>
    <row r="1260" spans="1:54" x14ac:dyDescent="0.25">
      <c r="A1260" s="2">
        <v>1259</v>
      </c>
      <c r="B1260" s="2">
        <v>39932</v>
      </c>
      <c r="C1260" s="5" t="s">
        <v>619</v>
      </c>
      <c r="D1260" s="2" t="s">
        <v>620</v>
      </c>
      <c r="E1260" s="6" t="s">
        <v>8029</v>
      </c>
      <c r="F1260" s="6">
        <v>13877372</v>
      </c>
      <c r="G1260" s="3">
        <v>41</v>
      </c>
      <c r="I1260" s="7"/>
      <c r="J1260" s="7"/>
      <c r="K1260" s="8">
        <v>40.898630136986299</v>
      </c>
      <c r="L1260" s="2" t="s">
        <v>1640</v>
      </c>
      <c r="M1260" s="2" t="s">
        <v>975</v>
      </c>
      <c r="N1260" s="2" t="s">
        <v>15</v>
      </c>
      <c r="O1260" s="2" t="s">
        <v>151</v>
      </c>
      <c r="P1260" s="2" t="s">
        <v>649</v>
      </c>
      <c r="Q1260" s="2" t="s">
        <v>351</v>
      </c>
      <c r="R1260" s="9">
        <v>29868</v>
      </c>
      <c r="S1260" s="9">
        <v>29868</v>
      </c>
      <c r="T1260" s="2" t="s">
        <v>627</v>
      </c>
      <c r="U1260" s="2" t="s">
        <v>627</v>
      </c>
      <c r="V1260" s="2" t="s">
        <v>627</v>
      </c>
      <c r="W1260" s="2" t="s">
        <v>627</v>
      </c>
      <c r="X1260" s="2" t="s">
        <v>8030</v>
      </c>
      <c r="Y1260" s="2" t="s">
        <v>8031</v>
      </c>
      <c r="Z1260" s="6">
        <v>87388604</v>
      </c>
      <c r="AA1260" s="2">
        <v>87388604</v>
      </c>
      <c r="AB1260" s="2" t="s">
        <v>798</v>
      </c>
      <c r="AC1260" s="2" t="s">
        <v>632</v>
      </c>
      <c r="AD1260" s="10">
        <v>87388604</v>
      </c>
      <c r="AE1260" s="11"/>
      <c r="AF1260" s="11">
        <v>87388604</v>
      </c>
      <c r="AG1260" s="11"/>
      <c r="AH1260" s="11"/>
      <c r="AI1260" s="11"/>
      <c r="AJ1260" s="11">
        <v>87388604</v>
      </c>
      <c r="AK1260" s="12">
        <v>2</v>
      </c>
      <c r="AL1260" s="12" t="s">
        <v>7377</v>
      </c>
      <c r="AM1260" s="2">
        <v>0</v>
      </c>
      <c r="AN1260" s="2">
        <v>0</v>
      </c>
      <c r="AO1260" s="2">
        <v>0</v>
      </c>
      <c r="AP1260" s="2">
        <v>1</v>
      </c>
      <c r="AQ1260" s="2">
        <v>0</v>
      </c>
      <c r="AR1260" s="2">
        <v>0</v>
      </c>
      <c r="AS1260" s="2">
        <v>0</v>
      </c>
      <c r="AT1260" s="2">
        <v>0</v>
      </c>
      <c r="BB1260" s="2" t="str">
        <f>+PROPER(BD[[#This Row],[PRIMER_APELLIDO]])</f>
        <v>Lopez</v>
      </c>
    </row>
    <row r="1261" spans="1:54" x14ac:dyDescent="0.25">
      <c r="A1261" s="2">
        <v>1260</v>
      </c>
      <c r="B1261" s="2">
        <v>47200</v>
      </c>
      <c r="C1261" s="5" t="s">
        <v>619</v>
      </c>
      <c r="D1261" s="2" t="s">
        <v>620</v>
      </c>
      <c r="E1261" s="6" t="s">
        <v>8032</v>
      </c>
      <c r="F1261" s="6"/>
      <c r="G1261" s="3">
        <v>41</v>
      </c>
      <c r="I1261" s="7"/>
      <c r="J1261" s="7"/>
      <c r="K1261" s="8">
        <v>40.898630136986299</v>
      </c>
      <c r="L1261" s="2" t="s">
        <v>8033</v>
      </c>
      <c r="M1261" s="2" t="s">
        <v>704</v>
      </c>
      <c r="N1261" s="2" t="s">
        <v>90</v>
      </c>
      <c r="O1261" s="2" t="s">
        <v>181</v>
      </c>
      <c r="P1261" s="2" t="s">
        <v>626</v>
      </c>
      <c r="Q1261" s="2" t="s">
        <v>351</v>
      </c>
      <c r="R1261" s="9">
        <v>29868</v>
      </c>
      <c r="S1261" s="9">
        <v>29868</v>
      </c>
      <c r="T1261" s="2" t="s">
        <v>1191</v>
      </c>
      <c r="U1261" s="2" t="s">
        <v>1191</v>
      </c>
      <c r="V1261" s="2" t="s">
        <v>1300</v>
      </c>
      <c r="W1261" s="2" t="s">
        <v>1300</v>
      </c>
      <c r="X1261" s="2" t="s">
        <v>8034</v>
      </c>
      <c r="Y1261" s="2" t="s">
        <v>8035</v>
      </c>
      <c r="Z1261" s="6">
        <v>86651019</v>
      </c>
      <c r="AA1261" s="2">
        <v>89037256</v>
      </c>
      <c r="AB1261" s="2" t="s">
        <v>631</v>
      </c>
      <c r="AC1261" s="2" t="s">
        <v>632</v>
      </c>
      <c r="AD1261" s="10">
        <v>86651019</v>
      </c>
      <c r="AE1261" s="11"/>
      <c r="AF1261" s="11">
        <v>89037256</v>
      </c>
      <c r="AG1261" s="11"/>
      <c r="AH1261" s="11"/>
      <c r="AI1261" s="11"/>
      <c r="AJ1261" s="11">
        <v>86651019</v>
      </c>
      <c r="AK1261" s="12">
        <v>2</v>
      </c>
      <c r="AL1261" s="12" t="s">
        <v>7377</v>
      </c>
      <c r="AM1261" s="2">
        <v>0</v>
      </c>
      <c r="AN1261" s="2">
        <v>0</v>
      </c>
      <c r="AO1261" s="2">
        <v>0</v>
      </c>
      <c r="AP1261" s="2">
        <v>1</v>
      </c>
      <c r="AQ1261" s="2">
        <v>0</v>
      </c>
      <c r="AR1261" s="2">
        <v>0</v>
      </c>
      <c r="AS1261" s="2">
        <v>0</v>
      </c>
      <c r="AT1261" s="2">
        <v>0</v>
      </c>
      <c r="AZ1261" s="2" t="s">
        <v>8036</v>
      </c>
      <c r="BB1261" s="2" t="str">
        <f>+PROPER(BD[[#This Row],[PRIMER_APELLIDO]])</f>
        <v>Sanchez</v>
      </c>
    </row>
    <row r="1262" spans="1:54" x14ac:dyDescent="0.25">
      <c r="A1262" s="2">
        <v>1261</v>
      </c>
      <c r="B1262" s="2">
        <v>23360</v>
      </c>
      <c r="C1262" s="5" t="s">
        <v>619</v>
      </c>
      <c r="D1262" s="2" t="s">
        <v>620</v>
      </c>
      <c r="E1262" s="6" t="s">
        <v>8037</v>
      </c>
      <c r="F1262" s="6">
        <v>15313603</v>
      </c>
      <c r="G1262" s="3">
        <v>41</v>
      </c>
      <c r="I1262" s="7"/>
      <c r="J1262" s="7"/>
      <c r="K1262" s="8">
        <v>40.901369863013699</v>
      </c>
      <c r="L1262" s="2" t="s">
        <v>825</v>
      </c>
      <c r="M1262" s="2" t="s">
        <v>826</v>
      </c>
      <c r="N1262" s="2" t="s">
        <v>473</v>
      </c>
      <c r="O1262" s="2" t="s">
        <v>116</v>
      </c>
      <c r="P1262" s="2" t="s">
        <v>649</v>
      </c>
      <c r="Q1262" s="2" t="s">
        <v>351</v>
      </c>
      <c r="R1262" s="9">
        <v>29867</v>
      </c>
      <c r="S1262" s="9">
        <v>29867</v>
      </c>
      <c r="T1262" s="2" t="s">
        <v>705</v>
      </c>
      <c r="U1262" s="2" t="s">
        <v>1104</v>
      </c>
      <c r="V1262" s="2" t="s">
        <v>1859</v>
      </c>
      <c r="W1262" s="2" t="s">
        <v>1104</v>
      </c>
      <c r="X1262" s="2" t="s">
        <v>8038</v>
      </c>
      <c r="Y1262" s="2" t="s">
        <v>8039</v>
      </c>
      <c r="Z1262" s="6">
        <v>88252006</v>
      </c>
      <c r="AA1262" s="2" t="s">
        <v>8040</v>
      </c>
      <c r="AB1262" s="2" t="s">
        <v>654</v>
      </c>
      <c r="AC1262" s="2" t="s">
        <v>632</v>
      </c>
      <c r="AD1262" s="10">
        <v>88252006</v>
      </c>
      <c r="AE1262" s="11"/>
      <c r="AF1262" s="11"/>
      <c r="AG1262" s="11">
        <v>88252006</v>
      </c>
      <c r="AH1262" s="11">
        <v>84558463</v>
      </c>
      <c r="AI1262" s="11"/>
      <c r="AJ1262" s="11">
        <v>88252006</v>
      </c>
      <c r="AK1262" s="12">
        <v>4</v>
      </c>
      <c r="AL1262" s="12" t="s">
        <v>7377</v>
      </c>
      <c r="AM1262" s="2">
        <v>0</v>
      </c>
      <c r="AN1262" s="2">
        <v>0</v>
      </c>
      <c r="AO1262" s="2">
        <v>0</v>
      </c>
      <c r="AP1262" s="2">
        <v>1</v>
      </c>
      <c r="AQ1262" s="2">
        <v>0</v>
      </c>
      <c r="AR1262" s="2">
        <v>0</v>
      </c>
      <c r="AS1262" s="2">
        <v>0</v>
      </c>
      <c r="AT1262" s="2">
        <v>0</v>
      </c>
      <c r="AZ1262" s="2" t="s">
        <v>8041</v>
      </c>
      <c r="BB1262" s="2" t="str">
        <f>+PROPER(BD[[#This Row],[PRIMER_APELLIDO]])</f>
        <v>Varela</v>
      </c>
    </row>
    <row r="1263" spans="1:54" x14ac:dyDescent="0.25">
      <c r="A1263" s="2">
        <v>1262</v>
      </c>
      <c r="B1263" s="2">
        <v>73503</v>
      </c>
      <c r="C1263" s="5" t="s">
        <v>619</v>
      </c>
      <c r="D1263" s="2" t="s">
        <v>620</v>
      </c>
      <c r="E1263" s="6" t="s">
        <v>8042</v>
      </c>
      <c r="F1263" s="6"/>
      <c r="G1263" s="3">
        <v>41</v>
      </c>
      <c r="I1263" s="7"/>
      <c r="J1263" s="7"/>
      <c r="K1263" s="8">
        <v>40.901369863013699</v>
      </c>
      <c r="L1263" s="2" t="s">
        <v>8043</v>
      </c>
      <c r="M1263" s="2" t="s">
        <v>5455</v>
      </c>
      <c r="N1263" s="2" t="s">
        <v>14</v>
      </c>
      <c r="O1263" s="2" t="s">
        <v>41</v>
      </c>
      <c r="P1263" s="2" t="s">
        <v>626</v>
      </c>
      <c r="Q1263" s="2" t="s">
        <v>351</v>
      </c>
      <c r="R1263" s="9">
        <v>29867</v>
      </c>
      <c r="S1263" s="9">
        <v>29867</v>
      </c>
      <c r="T1263" s="2" t="s">
        <v>133</v>
      </c>
      <c r="U1263" s="2" t="s">
        <v>133</v>
      </c>
      <c r="V1263" s="2" t="s">
        <v>841</v>
      </c>
      <c r="W1263" s="2" t="s">
        <v>841</v>
      </c>
      <c r="X1263" s="2" t="s">
        <v>8044</v>
      </c>
      <c r="Y1263" s="2" t="s">
        <v>8045</v>
      </c>
      <c r="Z1263" s="6">
        <v>85448856</v>
      </c>
      <c r="AA1263" s="2" t="s">
        <v>8046</v>
      </c>
      <c r="AB1263" s="2" t="s">
        <v>642</v>
      </c>
      <c r="AC1263" s="2" t="s">
        <v>632</v>
      </c>
      <c r="AD1263" s="10">
        <v>85448856</v>
      </c>
      <c r="AE1263" s="11"/>
      <c r="AF1263" s="11"/>
      <c r="AG1263" s="11">
        <v>57654031</v>
      </c>
      <c r="AH1263" s="11"/>
      <c r="AI1263" s="11"/>
      <c r="AJ1263" s="11">
        <v>85448856</v>
      </c>
      <c r="AK1263" s="12">
        <v>3</v>
      </c>
      <c r="AL1263" s="12" t="s">
        <v>7377</v>
      </c>
      <c r="AM1263" s="2">
        <v>0</v>
      </c>
      <c r="AN1263" s="2">
        <v>0</v>
      </c>
      <c r="AO1263" s="2">
        <v>0</v>
      </c>
      <c r="AP1263" s="2">
        <v>1</v>
      </c>
      <c r="AQ1263" s="2">
        <v>0</v>
      </c>
      <c r="AR1263" s="2">
        <v>0</v>
      </c>
      <c r="AS1263" s="2">
        <v>0</v>
      </c>
      <c r="AT1263" s="2">
        <v>0</v>
      </c>
      <c r="AZ1263" s="2" t="s">
        <v>8047</v>
      </c>
      <c r="BB1263" s="2" t="str">
        <f>+PROPER(BD[[#This Row],[PRIMER_APELLIDO]])</f>
        <v>Gonzalez</v>
      </c>
    </row>
    <row r="1264" spans="1:54" x14ac:dyDescent="0.25">
      <c r="A1264" s="2">
        <v>1263</v>
      </c>
      <c r="B1264" s="2">
        <v>40083</v>
      </c>
      <c r="C1264" s="5" t="s">
        <v>619</v>
      </c>
      <c r="D1264" s="2" t="s">
        <v>620</v>
      </c>
      <c r="E1264" s="6" t="s">
        <v>8048</v>
      </c>
      <c r="F1264" s="6"/>
      <c r="G1264" s="3">
        <v>41</v>
      </c>
      <c r="I1264" s="7"/>
      <c r="J1264" s="7"/>
      <c r="K1264" s="8">
        <v>40.904109589041099</v>
      </c>
      <c r="L1264" s="2" t="s">
        <v>8049</v>
      </c>
      <c r="M1264" s="2" t="s">
        <v>704</v>
      </c>
      <c r="N1264" s="2" t="s">
        <v>505</v>
      </c>
      <c r="O1264" s="2" t="s">
        <v>132</v>
      </c>
      <c r="P1264" s="2" t="s">
        <v>626</v>
      </c>
      <c r="Q1264" s="2" t="s">
        <v>3936</v>
      </c>
      <c r="R1264" s="9">
        <v>29866</v>
      </c>
      <c r="T1264" s="2" t="s">
        <v>705</v>
      </c>
      <c r="V1264" s="2" t="s">
        <v>725</v>
      </c>
      <c r="X1264" s="2" t="s">
        <v>8050</v>
      </c>
      <c r="Z1264" s="6">
        <v>82521514</v>
      </c>
      <c r="AB1264" s="2" t="s">
        <v>631</v>
      </c>
      <c r="AC1264" s="2" t="s">
        <v>632</v>
      </c>
      <c r="AD1264" s="10">
        <v>82521514</v>
      </c>
      <c r="AE1264" s="11"/>
      <c r="AF1264" s="11"/>
      <c r="AG1264" s="11"/>
      <c r="AH1264" s="11"/>
      <c r="AI1264" s="11"/>
      <c r="AJ1264" s="11">
        <v>82521514</v>
      </c>
      <c r="AK1264" s="12">
        <v>1</v>
      </c>
      <c r="AL1264" s="12" t="s">
        <v>7377</v>
      </c>
      <c r="AM1264" s="2">
        <v>0</v>
      </c>
      <c r="AN1264" s="2">
        <v>0</v>
      </c>
      <c r="AO1264" s="2">
        <v>0</v>
      </c>
      <c r="AP1264" s="2">
        <v>1</v>
      </c>
      <c r="AQ1264" s="2">
        <v>0</v>
      </c>
      <c r="AR1264" s="2">
        <v>0</v>
      </c>
      <c r="AS1264" s="2">
        <v>0</v>
      </c>
      <c r="AT1264" s="2">
        <v>0</v>
      </c>
      <c r="AZ1264" s="2" t="s">
        <v>8051</v>
      </c>
      <c r="BB1264" s="2" t="str">
        <f>+PROPER(BD[[#This Row],[PRIMER_APELLIDO]])</f>
        <v>Exposito</v>
      </c>
    </row>
    <row r="1265" spans="1:54" x14ac:dyDescent="0.25">
      <c r="A1265" s="2">
        <v>1264</v>
      </c>
      <c r="B1265" s="2">
        <v>45622</v>
      </c>
      <c r="C1265" s="5" t="s">
        <v>619</v>
      </c>
      <c r="D1265" s="2" t="s">
        <v>620</v>
      </c>
      <c r="E1265" s="6" t="s">
        <v>8052</v>
      </c>
      <c r="F1265" s="6">
        <v>30817719</v>
      </c>
      <c r="G1265" s="3">
        <v>41</v>
      </c>
      <c r="I1265" s="7"/>
      <c r="J1265" s="7"/>
      <c r="K1265" s="8">
        <v>40.904109589041099</v>
      </c>
      <c r="L1265" s="2" t="s">
        <v>8053</v>
      </c>
      <c r="M1265" s="2" t="s">
        <v>8054</v>
      </c>
      <c r="N1265" s="2" t="s">
        <v>212</v>
      </c>
      <c r="O1265" s="2" t="s">
        <v>22</v>
      </c>
      <c r="P1265" s="2" t="s">
        <v>626</v>
      </c>
      <c r="Q1265" s="2" t="s">
        <v>351</v>
      </c>
      <c r="R1265" s="9">
        <v>29866</v>
      </c>
      <c r="S1265" s="9">
        <v>29866</v>
      </c>
      <c r="T1265" s="2" t="s">
        <v>691</v>
      </c>
      <c r="U1265" s="2" t="s">
        <v>691</v>
      </c>
      <c r="V1265" s="2" t="s">
        <v>1399</v>
      </c>
      <c r="W1265" s="2" t="s">
        <v>1399</v>
      </c>
      <c r="X1265" s="2" t="s">
        <v>8055</v>
      </c>
      <c r="Y1265" s="2" t="s">
        <v>8056</v>
      </c>
      <c r="Z1265" s="6">
        <v>86457632</v>
      </c>
      <c r="AB1265" s="2" t="s">
        <v>631</v>
      </c>
      <c r="AC1265" s="2" t="s">
        <v>632</v>
      </c>
      <c r="AD1265" s="10">
        <v>86457632</v>
      </c>
      <c r="AE1265" s="11"/>
      <c r="AF1265" s="11"/>
      <c r="AG1265" s="11"/>
      <c r="AH1265" s="11"/>
      <c r="AI1265" s="11"/>
      <c r="AJ1265" s="11">
        <v>86457632</v>
      </c>
      <c r="AK1265" s="12">
        <v>1</v>
      </c>
      <c r="AL1265" s="12" t="s">
        <v>7377</v>
      </c>
      <c r="AM1265" s="2">
        <v>0</v>
      </c>
      <c r="AN1265" s="2">
        <v>0</v>
      </c>
      <c r="AO1265" s="2">
        <v>0</v>
      </c>
      <c r="AP1265" s="2">
        <v>1</v>
      </c>
      <c r="AQ1265" s="2">
        <v>0</v>
      </c>
      <c r="AR1265" s="2">
        <v>0</v>
      </c>
      <c r="AS1265" s="2">
        <v>0</v>
      </c>
      <c r="AT1265" s="2">
        <v>0</v>
      </c>
      <c r="AZ1265" s="2" t="s">
        <v>8057</v>
      </c>
      <c r="BB1265" s="2" t="str">
        <f>+PROPER(BD[[#This Row],[PRIMER_APELLIDO]])</f>
        <v>Corea</v>
      </c>
    </row>
    <row r="1266" spans="1:54" x14ac:dyDescent="0.25">
      <c r="A1266" s="2">
        <v>1265</v>
      </c>
      <c r="B1266" s="2">
        <v>25499</v>
      </c>
      <c r="C1266" s="5" t="s">
        <v>619</v>
      </c>
      <c r="D1266" s="2" t="s">
        <v>620</v>
      </c>
      <c r="E1266" s="6" t="s">
        <v>8058</v>
      </c>
      <c r="F1266" s="6">
        <v>22060259</v>
      </c>
      <c r="G1266" s="3">
        <v>41</v>
      </c>
      <c r="I1266" s="7"/>
      <c r="J1266" s="7"/>
      <c r="K1266" s="8">
        <v>40.909589041095892</v>
      </c>
      <c r="L1266" s="2" t="s">
        <v>8059</v>
      </c>
      <c r="M1266" s="2" t="s">
        <v>8060</v>
      </c>
      <c r="N1266" s="2" t="s">
        <v>506</v>
      </c>
      <c r="O1266" s="2" t="s">
        <v>302</v>
      </c>
      <c r="P1266" s="2" t="s">
        <v>649</v>
      </c>
      <c r="Q1266" s="2" t="s">
        <v>351</v>
      </c>
      <c r="R1266" s="9">
        <v>29864</v>
      </c>
      <c r="S1266" s="9">
        <v>29864</v>
      </c>
      <c r="T1266" s="2" t="s">
        <v>705</v>
      </c>
      <c r="U1266" s="2" t="s">
        <v>705</v>
      </c>
      <c r="V1266" s="2" t="s">
        <v>725</v>
      </c>
      <c r="W1266" s="2" t="s">
        <v>725</v>
      </c>
      <c r="X1266" s="2" t="s">
        <v>8061</v>
      </c>
      <c r="Y1266" s="2" t="s">
        <v>8062</v>
      </c>
      <c r="Z1266" s="6">
        <v>85652174</v>
      </c>
      <c r="AA1266" s="2">
        <v>87786824</v>
      </c>
      <c r="AB1266" s="2" t="s">
        <v>654</v>
      </c>
      <c r="AC1266" s="2" t="s">
        <v>632</v>
      </c>
      <c r="AD1266" s="10">
        <v>85652174</v>
      </c>
      <c r="AE1266" s="11"/>
      <c r="AF1266" s="11">
        <v>87786824</v>
      </c>
      <c r="AG1266" s="11"/>
      <c r="AH1266" s="11"/>
      <c r="AI1266" s="11"/>
      <c r="AJ1266" s="11">
        <v>85652174</v>
      </c>
      <c r="AK1266" s="12">
        <v>2</v>
      </c>
      <c r="AL1266" s="12" t="s">
        <v>7377</v>
      </c>
      <c r="AM1266" s="2">
        <v>0</v>
      </c>
      <c r="AN1266" s="2">
        <v>0</v>
      </c>
      <c r="AO1266" s="2">
        <v>0</v>
      </c>
      <c r="AP1266" s="2">
        <v>1</v>
      </c>
      <c r="AQ1266" s="2">
        <v>0</v>
      </c>
      <c r="AR1266" s="2">
        <v>0</v>
      </c>
      <c r="AS1266" s="2">
        <v>0</v>
      </c>
      <c r="AT1266" s="2">
        <v>0</v>
      </c>
      <c r="AZ1266" s="2" t="s">
        <v>8063</v>
      </c>
      <c r="BB1266" s="2" t="str">
        <f>+PROPER(BD[[#This Row],[PRIMER_APELLIDO]])</f>
        <v>Lagos</v>
      </c>
    </row>
    <row r="1267" spans="1:54" x14ac:dyDescent="0.25">
      <c r="A1267" s="2">
        <v>1266</v>
      </c>
      <c r="B1267" s="2">
        <v>25621</v>
      </c>
      <c r="C1267" s="5" t="s">
        <v>619</v>
      </c>
      <c r="D1267" s="2" t="s">
        <v>620</v>
      </c>
      <c r="E1267" s="6" t="s">
        <v>8064</v>
      </c>
      <c r="F1267" s="6">
        <v>21424063</v>
      </c>
      <c r="G1267" s="3">
        <v>41</v>
      </c>
      <c r="I1267" s="7"/>
      <c r="J1267" s="7"/>
      <c r="K1267" s="8">
        <v>40.909589041095892</v>
      </c>
      <c r="L1267" s="2" t="s">
        <v>8065</v>
      </c>
      <c r="M1267" s="2" t="s">
        <v>975</v>
      </c>
      <c r="N1267" s="2" t="s">
        <v>129</v>
      </c>
      <c r="O1267" s="2" t="s">
        <v>74</v>
      </c>
      <c r="P1267" s="2" t="s">
        <v>649</v>
      </c>
      <c r="Q1267" s="2" t="s">
        <v>351</v>
      </c>
      <c r="R1267" s="9">
        <v>29864</v>
      </c>
      <c r="S1267" s="9">
        <v>29864</v>
      </c>
      <c r="T1267" s="2" t="s">
        <v>186</v>
      </c>
      <c r="U1267" s="2" t="s">
        <v>740</v>
      </c>
      <c r="V1267" s="2" t="s">
        <v>4058</v>
      </c>
      <c r="W1267" s="2" t="s">
        <v>740</v>
      </c>
      <c r="X1267" s="2" t="s">
        <v>8066</v>
      </c>
      <c r="Y1267" s="2" t="s">
        <v>8067</v>
      </c>
      <c r="Z1267" s="6"/>
      <c r="AA1267" s="2" t="s">
        <v>8068</v>
      </c>
      <c r="AB1267" s="2" t="s">
        <v>654</v>
      </c>
      <c r="AC1267" s="2" t="s">
        <v>632</v>
      </c>
      <c r="AD1267" s="10"/>
      <c r="AE1267" s="11"/>
      <c r="AF1267" s="11">
        <v>76840131</v>
      </c>
      <c r="AG1267" s="11">
        <v>83524685</v>
      </c>
      <c r="AH1267" s="11"/>
      <c r="AI1267" s="11"/>
      <c r="AJ1267" s="11">
        <v>76840131</v>
      </c>
      <c r="AK1267" s="12">
        <v>2</v>
      </c>
      <c r="AL1267" s="12" t="s">
        <v>7377</v>
      </c>
      <c r="AM1267" s="2">
        <v>0</v>
      </c>
      <c r="AN1267" s="2">
        <v>0</v>
      </c>
      <c r="AO1267" s="2">
        <v>0</v>
      </c>
      <c r="AP1267" s="2">
        <v>1</v>
      </c>
      <c r="AQ1267" s="2">
        <v>0</v>
      </c>
      <c r="AR1267" s="2">
        <v>0</v>
      </c>
      <c r="AS1267" s="2">
        <v>0</v>
      </c>
      <c r="AT1267" s="2">
        <v>0</v>
      </c>
      <c r="BB1267" s="2" t="str">
        <f>+PROPER(BD[[#This Row],[PRIMER_APELLIDO]])</f>
        <v>Picado</v>
      </c>
    </row>
    <row r="1268" spans="1:54" x14ac:dyDescent="0.25">
      <c r="A1268" s="2">
        <v>1267</v>
      </c>
      <c r="B1268" s="2">
        <v>58462</v>
      </c>
      <c r="C1268" s="5" t="s">
        <v>619</v>
      </c>
      <c r="D1268" s="2" t="s">
        <v>620</v>
      </c>
      <c r="E1268" s="6" t="s">
        <v>8069</v>
      </c>
      <c r="F1268" s="6"/>
      <c r="G1268" s="3">
        <v>41</v>
      </c>
      <c r="I1268" s="7"/>
      <c r="J1268" s="7"/>
      <c r="K1268" s="8">
        <v>40.912328767123284</v>
      </c>
      <c r="L1268" s="2" t="s">
        <v>6370</v>
      </c>
      <c r="M1268" s="2" t="s">
        <v>8070</v>
      </c>
      <c r="N1268" s="2" t="s">
        <v>84</v>
      </c>
      <c r="O1268" s="2" t="s">
        <v>448</v>
      </c>
      <c r="P1268" s="2" t="s">
        <v>626</v>
      </c>
      <c r="Q1268" s="2" t="s">
        <v>351</v>
      </c>
      <c r="R1268" s="9">
        <v>29863</v>
      </c>
      <c r="S1268" s="9">
        <v>29863</v>
      </c>
      <c r="T1268" s="2" t="s">
        <v>1191</v>
      </c>
      <c r="U1268" s="2" t="s">
        <v>627</v>
      </c>
      <c r="V1268" s="2" t="s">
        <v>1300</v>
      </c>
      <c r="W1268" s="2" t="s">
        <v>627</v>
      </c>
      <c r="X1268" s="2" t="s">
        <v>8071</v>
      </c>
      <c r="Y1268" s="2" t="s">
        <v>8072</v>
      </c>
      <c r="Z1268" s="6">
        <v>84667611</v>
      </c>
      <c r="AA1268" s="2" t="s">
        <v>8073</v>
      </c>
      <c r="AB1268" s="2" t="s">
        <v>642</v>
      </c>
      <c r="AC1268" s="2" t="s">
        <v>632</v>
      </c>
      <c r="AD1268" s="10">
        <v>84667611</v>
      </c>
      <c r="AE1268" s="11"/>
      <c r="AF1268" s="11"/>
      <c r="AG1268" s="11">
        <v>84667611</v>
      </c>
      <c r="AH1268" s="11">
        <v>82773547</v>
      </c>
      <c r="AI1268" s="11"/>
      <c r="AJ1268" s="11">
        <v>84667611</v>
      </c>
      <c r="AK1268" s="12">
        <v>4</v>
      </c>
      <c r="AL1268" s="12" t="s">
        <v>7377</v>
      </c>
      <c r="AM1268" s="2">
        <v>0</v>
      </c>
      <c r="AN1268" s="2">
        <v>0</v>
      </c>
      <c r="AO1268" s="2">
        <v>0</v>
      </c>
      <c r="AP1268" s="2">
        <v>1</v>
      </c>
      <c r="AQ1268" s="2">
        <v>0</v>
      </c>
      <c r="AR1268" s="2">
        <v>0</v>
      </c>
      <c r="AS1268" s="2">
        <v>0</v>
      </c>
      <c r="AT1268" s="2">
        <v>0</v>
      </c>
      <c r="AZ1268" s="2" t="s">
        <v>8074</v>
      </c>
      <c r="BA1268" s="2" t="s">
        <v>8075</v>
      </c>
      <c r="BB1268" s="2" t="str">
        <f>+PROPER(BD[[#This Row],[PRIMER_APELLIDO]])</f>
        <v>Ruiz</v>
      </c>
    </row>
    <row r="1269" spans="1:54" x14ac:dyDescent="0.25">
      <c r="A1269" s="2">
        <v>1268</v>
      </c>
      <c r="B1269" s="2">
        <v>25720</v>
      </c>
      <c r="C1269" s="5" t="s">
        <v>619</v>
      </c>
      <c r="D1269" s="2" t="s">
        <v>620</v>
      </c>
      <c r="E1269" s="6" t="s">
        <v>8076</v>
      </c>
      <c r="F1269" s="6"/>
      <c r="G1269" s="3">
        <v>41</v>
      </c>
      <c r="I1269" s="7"/>
      <c r="J1269" s="7"/>
      <c r="K1269" s="8">
        <v>40.92876712328767</v>
      </c>
      <c r="L1269" s="2" t="s">
        <v>4232</v>
      </c>
      <c r="M1269" s="2" t="s">
        <v>1177</v>
      </c>
      <c r="N1269" s="2" t="s">
        <v>392</v>
      </c>
      <c r="O1269" s="2" t="s">
        <v>15</v>
      </c>
      <c r="P1269" s="2" t="s">
        <v>626</v>
      </c>
      <c r="Q1269" s="2" t="s">
        <v>351</v>
      </c>
      <c r="R1269" s="9">
        <v>29857</v>
      </c>
      <c r="S1269" s="9">
        <v>29857</v>
      </c>
      <c r="T1269" s="2" t="s">
        <v>627</v>
      </c>
      <c r="U1269" s="2" t="s">
        <v>627</v>
      </c>
      <c r="V1269" s="2" t="s">
        <v>627</v>
      </c>
      <c r="W1269" s="2" t="s">
        <v>627</v>
      </c>
      <c r="X1269" s="2" t="s">
        <v>8077</v>
      </c>
      <c r="Y1269" s="2" t="s">
        <v>8078</v>
      </c>
      <c r="Z1269" s="6">
        <v>86785938</v>
      </c>
      <c r="AA1269" s="2" t="s">
        <v>8079</v>
      </c>
      <c r="AB1269" s="2" t="s">
        <v>642</v>
      </c>
      <c r="AC1269" s="2" t="s">
        <v>632</v>
      </c>
      <c r="AD1269" s="10">
        <v>86785938</v>
      </c>
      <c r="AE1269" s="11"/>
      <c r="AF1269" s="11"/>
      <c r="AG1269" s="11"/>
      <c r="AH1269" s="11"/>
      <c r="AI1269" s="11"/>
      <c r="AJ1269" s="11">
        <v>86785938</v>
      </c>
      <c r="AK1269" s="12">
        <v>3</v>
      </c>
      <c r="AL1269" s="12" t="s">
        <v>7377</v>
      </c>
      <c r="AM1269" s="2">
        <v>0</v>
      </c>
      <c r="AN1269" s="2">
        <v>0</v>
      </c>
      <c r="AO1269" s="2">
        <v>0</v>
      </c>
      <c r="AP1269" s="2">
        <v>1</v>
      </c>
      <c r="AQ1269" s="2">
        <v>0</v>
      </c>
      <c r="AR1269" s="2">
        <v>0</v>
      </c>
      <c r="AS1269" s="2">
        <v>0</v>
      </c>
      <c r="AT1269" s="2">
        <v>0</v>
      </c>
      <c r="AZ1269" s="2" t="s">
        <v>8080</v>
      </c>
      <c r="BB1269" s="2" t="str">
        <f>+PROPER(BD[[#This Row],[PRIMER_APELLIDO]])</f>
        <v>Toruño</v>
      </c>
    </row>
    <row r="1270" spans="1:54" x14ac:dyDescent="0.25">
      <c r="A1270" s="2">
        <v>1269</v>
      </c>
      <c r="B1270" s="2">
        <v>67446</v>
      </c>
      <c r="C1270" s="5" t="s">
        <v>619</v>
      </c>
      <c r="D1270" s="2" t="s">
        <v>620</v>
      </c>
      <c r="E1270" s="6" t="s">
        <v>8081</v>
      </c>
      <c r="F1270" s="6"/>
      <c r="G1270" s="3">
        <v>41</v>
      </c>
      <c r="I1270" s="7"/>
      <c r="J1270" s="7"/>
      <c r="K1270" s="8">
        <v>40.93150684931507</v>
      </c>
      <c r="L1270" s="2" t="s">
        <v>8082</v>
      </c>
      <c r="M1270" s="2" t="s">
        <v>961</v>
      </c>
      <c r="N1270" s="2" t="s">
        <v>24</v>
      </c>
      <c r="O1270" s="2" t="s">
        <v>258</v>
      </c>
      <c r="P1270" s="2" t="s">
        <v>626</v>
      </c>
      <c r="Q1270" s="2" t="s">
        <v>351</v>
      </c>
      <c r="R1270" s="9">
        <v>29856</v>
      </c>
      <c r="S1270" s="9">
        <v>29856</v>
      </c>
      <c r="T1270" s="2" t="s">
        <v>186</v>
      </c>
      <c r="U1270" s="2" t="s">
        <v>186</v>
      </c>
      <c r="V1270" s="2" t="s">
        <v>186</v>
      </c>
      <c r="W1270" s="2" t="s">
        <v>186</v>
      </c>
      <c r="X1270" s="2" t="s">
        <v>8083</v>
      </c>
      <c r="Y1270" s="2" t="s">
        <v>8084</v>
      </c>
      <c r="Z1270" s="6">
        <v>86849350</v>
      </c>
      <c r="AA1270" s="2">
        <v>86849350</v>
      </c>
      <c r="AB1270" s="2" t="s">
        <v>3018</v>
      </c>
      <c r="AC1270" s="2" t="s">
        <v>632</v>
      </c>
      <c r="AD1270" s="10">
        <v>86849350</v>
      </c>
      <c r="AE1270" s="11"/>
      <c r="AF1270" s="11">
        <v>86849350</v>
      </c>
      <c r="AG1270" s="11"/>
      <c r="AH1270" s="11"/>
      <c r="AI1270" s="11"/>
      <c r="AJ1270" s="11">
        <v>86849350</v>
      </c>
      <c r="AK1270" s="12">
        <v>2</v>
      </c>
      <c r="AL1270" s="12" t="s">
        <v>7377</v>
      </c>
      <c r="AM1270" s="2">
        <v>0</v>
      </c>
      <c r="AN1270" s="2">
        <v>0</v>
      </c>
      <c r="AO1270" s="2">
        <v>0</v>
      </c>
      <c r="AP1270" s="2">
        <v>1</v>
      </c>
      <c r="AQ1270" s="2">
        <v>0</v>
      </c>
      <c r="AR1270" s="2">
        <v>0</v>
      </c>
      <c r="AS1270" s="2">
        <v>0</v>
      </c>
      <c r="AT1270" s="2">
        <v>0</v>
      </c>
      <c r="AZ1270" s="2" t="s">
        <v>8085</v>
      </c>
      <c r="BB1270" s="2" t="str">
        <f>+PROPER(BD[[#This Row],[PRIMER_APELLIDO]])</f>
        <v>Perez</v>
      </c>
    </row>
    <row r="1271" spans="1:54" x14ac:dyDescent="0.25">
      <c r="A1271" s="2">
        <v>1270</v>
      </c>
      <c r="B1271" s="2">
        <v>24923</v>
      </c>
      <c r="C1271" s="5" t="s">
        <v>619</v>
      </c>
      <c r="D1271" s="2" t="s">
        <v>620</v>
      </c>
      <c r="E1271" s="6" t="s">
        <v>8086</v>
      </c>
      <c r="F1271" s="6">
        <v>20813475</v>
      </c>
      <c r="G1271" s="3">
        <v>41</v>
      </c>
      <c r="I1271" s="7"/>
      <c r="J1271" s="7"/>
      <c r="K1271" s="8">
        <v>40.942465753424656</v>
      </c>
      <c r="L1271" s="2" t="s">
        <v>1908</v>
      </c>
      <c r="M1271" s="2" t="s">
        <v>769</v>
      </c>
      <c r="N1271" s="2" t="s">
        <v>51</v>
      </c>
      <c r="O1271" s="2" t="s">
        <v>82</v>
      </c>
      <c r="P1271" s="2" t="s">
        <v>626</v>
      </c>
      <c r="Q1271" s="2" t="s">
        <v>351</v>
      </c>
      <c r="R1271" s="9">
        <v>29852</v>
      </c>
      <c r="S1271" s="9">
        <v>29852</v>
      </c>
      <c r="U1271" s="2" t="s">
        <v>732</v>
      </c>
      <c r="W1271" s="2" t="s">
        <v>732</v>
      </c>
      <c r="X1271" s="2" t="s">
        <v>8087</v>
      </c>
      <c r="Y1271" s="2" t="s">
        <v>8088</v>
      </c>
      <c r="Z1271" s="6"/>
      <c r="AA1271" s="2" t="s">
        <v>8089</v>
      </c>
      <c r="AB1271" s="2" t="s">
        <v>654</v>
      </c>
      <c r="AC1271" s="2" t="s">
        <v>632</v>
      </c>
      <c r="AD1271" s="10"/>
      <c r="AE1271" s="11"/>
      <c r="AF1271" s="11"/>
      <c r="AG1271" s="11">
        <v>84498449</v>
      </c>
      <c r="AH1271" s="11"/>
      <c r="AI1271" s="11"/>
      <c r="AJ1271" s="11">
        <v>84498449</v>
      </c>
      <c r="AK1271" s="12">
        <v>2</v>
      </c>
      <c r="AL1271" s="12" t="s">
        <v>7377</v>
      </c>
      <c r="AM1271" s="2">
        <v>0</v>
      </c>
      <c r="AN1271" s="2">
        <v>0</v>
      </c>
      <c r="AO1271" s="2">
        <v>0</v>
      </c>
      <c r="AP1271" s="2">
        <v>1</v>
      </c>
      <c r="AQ1271" s="2">
        <v>0</v>
      </c>
      <c r="AR1271" s="2">
        <v>0</v>
      </c>
      <c r="AS1271" s="2">
        <v>0</v>
      </c>
      <c r="AT1271" s="2">
        <v>0</v>
      </c>
      <c r="BB1271" s="2" t="str">
        <f>+PROPER(BD[[#This Row],[PRIMER_APELLIDO]])</f>
        <v>Guevara</v>
      </c>
    </row>
    <row r="1272" spans="1:54" x14ac:dyDescent="0.25">
      <c r="A1272" s="2">
        <v>1271</v>
      </c>
      <c r="B1272" s="2">
        <v>54434</v>
      </c>
      <c r="C1272" s="5" t="s">
        <v>619</v>
      </c>
      <c r="D1272" s="2" t="s">
        <v>620</v>
      </c>
      <c r="E1272" s="6" t="s">
        <v>8090</v>
      </c>
      <c r="F1272" s="6"/>
      <c r="G1272" s="3">
        <v>41</v>
      </c>
      <c r="I1272" s="7"/>
      <c r="J1272" s="7"/>
      <c r="K1272" s="8">
        <v>40.942465753424656</v>
      </c>
      <c r="L1272" s="2" t="s">
        <v>1686</v>
      </c>
      <c r="M1272" s="2" t="s">
        <v>953</v>
      </c>
      <c r="N1272" s="2" t="s">
        <v>235</v>
      </c>
      <c r="O1272" s="2" t="s">
        <v>105</v>
      </c>
      <c r="P1272" s="2" t="s">
        <v>649</v>
      </c>
      <c r="Q1272" s="2" t="s">
        <v>351</v>
      </c>
      <c r="R1272" s="9">
        <v>29852</v>
      </c>
      <c r="S1272" s="9">
        <v>29852</v>
      </c>
      <c r="T1272" s="2" t="s">
        <v>176</v>
      </c>
      <c r="U1272" s="2" t="s">
        <v>176</v>
      </c>
      <c r="V1272" s="2" t="s">
        <v>650</v>
      </c>
      <c r="W1272" s="2" t="s">
        <v>176</v>
      </c>
      <c r="X1272" s="2" t="s">
        <v>8091</v>
      </c>
      <c r="Y1272" s="2" t="s">
        <v>8092</v>
      </c>
      <c r="Z1272" s="6">
        <v>82243526</v>
      </c>
      <c r="AA1272" s="2">
        <v>82243526</v>
      </c>
      <c r="AB1272" s="2" t="s">
        <v>654</v>
      </c>
      <c r="AC1272" s="2" t="s">
        <v>632</v>
      </c>
      <c r="AD1272" s="10">
        <v>82243526</v>
      </c>
      <c r="AE1272" s="11"/>
      <c r="AF1272" s="11">
        <v>82243526</v>
      </c>
      <c r="AG1272" s="11"/>
      <c r="AH1272" s="11"/>
      <c r="AI1272" s="11"/>
      <c r="AJ1272" s="11">
        <v>82243526</v>
      </c>
      <c r="AK1272" s="12">
        <v>2</v>
      </c>
      <c r="AL1272" s="12" t="s">
        <v>7377</v>
      </c>
      <c r="AM1272" s="2">
        <v>0</v>
      </c>
      <c r="AN1272" s="2">
        <v>0</v>
      </c>
      <c r="AO1272" s="2">
        <v>0</v>
      </c>
      <c r="AP1272" s="2">
        <v>1</v>
      </c>
      <c r="AQ1272" s="2">
        <v>0</v>
      </c>
      <c r="AR1272" s="2">
        <v>0</v>
      </c>
      <c r="AS1272" s="2">
        <v>0</v>
      </c>
      <c r="AT1272" s="2">
        <v>0</v>
      </c>
      <c r="AZ1272" s="2" t="s">
        <v>8093</v>
      </c>
      <c r="BB1272" s="2" t="str">
        <f>+PROPER(BD[[#This Row],[PRIMER_APELLIDO]])</f>
        <v>Espinoza</v>
      </c>
    </row>
    <row r="1273" spans="1:54" x14ac:dyDescent="0.25">
      <c r="A1273" s="2">
        <v>1272</v>
      </c>
      <c r="B1273" s="2">
        <v>23860</v>
      </c>
      <c r="C1273" s="5" t="s">
        <v>619</v>
      </c>
      <c r="D1273" s="2" t="s">
        <v>620</v>
      </c>
      <c r="E1273" s="6" t="s">
        <v>8094</v>
      </c>
      <c r="F1273" s="6">
        <v>20124100</v>
      </c>
      <c r="G1273" s="3">
        <v>41</v>
      </c>
      <c r="I1273" s="7"/>
      <c r="J1273" s="7"/>
      <c r="K1273" s="8">
        <v>40.947945205479449</v>
      </c>
      <c r="L1273" s="2" t="s">
        <v>8095</v>
      </c>
      <c r="M1273" s="2" t="s">
        <v>8096</v>
      </c>
      <c r="N1273" s="2" t="s">
        <v>118</v>
      </c>
      <c r="O1273" s="2" t="s">
        <v>465</v>
      </c>
      <c r="P1273" s="2" t="s">
        <v>626</v>
      </c>
      <c r="Q1273" s="2" t="s">
        <v>351</v>
      </c>
      <c r="R1273" s="9">
        <v>29850</v>
      </c>
      <c r="S1273" s="9">
        <v>29850</v>
      </c>
      <c r="T1273" s="2" t="s">
        <v>627</v>
      </c>
      <c r="U1273" s="2" t="s">
        <v>627</v>
      </c>
      <c r="V1273" s="2" t="s">
        <v>627</v>
      </c>
      <c r="W1273" s="2" t="s">
        <v>1026</v>
      </c>
      <c r="X1273" s="2" t="s">
        <v>8097</v>
      </c>
      <c r="Y1273" s="2" t="s">
        <v>8098</v>
      </c>
      <c r="Z1273" s="6"/>
      <c r="AA1273" s="2" t="s">
        <v>8099</v>
      </c>
      <c r="AB1273" s="2" t="s">
        <v>654</v>
      </c>
      <c r="AC1273" s="2" t="s">
        <v>632</v>
      </c>
      <c r="AD1273" s="10"/>
      <c r="AE1273" s="11"/>
      <c r="AF1273" s="11"/>
      <c r="AG1273" s="11"/>
      <c r="AH1273" s="11">
        <v>22660497</v>
      </c>
      <c r="AI1273" s="11"/>
      <c r="AJ1273" s="11"/>
      <c r="AK1273" s="12">
        <v>3</v>
      </c>
      <c r="AL1273" s="12" t="s">
        <v>7377</v>
      </c>
      <c r="AM1273" s="2">
        <v>0</v>
      </c>
      <c r="AN1273" s="2">
        <v>0</v>
      </c>
      <c r="AO1273" s="2">
        <v>0</v>
      </c>
      <c r="AP1273" s="2">
        <v>1</v>
      </c>
      <c r="AQ1273" s="2">
        <v>0</v>
      </c>
      <c r="AR1273" s="2">
        <v>0</v>
      </c>
      <c r="AS1273" s="2">
        <v>0</v>
      </c>
      <c r="AT1273" s="2">
        <v>0</v>
      </c>
      <c r="BB1273" s="2" t="str">
        <f>+PROPER(BD[[#This Row],[PRIMER_APELLIDO]])</f>
        <v>Murillo</v>
      </c>
    </row>
    <row r="1274" spans="1:54" x14ac:dyDescent="0.25">
      <c r="A1274" s="2">
        <v>1273</v>
      </c>
      <c r="B1274" s="2">
        <v>21547</v>
      </c>
      <c r="C1274" s="5" t="s">
        <v>619</v>
      </c>
      <c r="D1274" s="2" t="s">
        <v>620</v>
      </c>
      <c r="E1274" s="6" t="s">
        <v>8100</v>
      </c>
      <c r="F1274" s="6">
        <v>17554796</v>
      </c>
      <c r="G1274" s="3">
        <v>41</v>
      </c>
      <c r="I1274" s="7"/>
      <c r="J1274" s="7"/>
      <c r="K1274" s="8">
        <v>40.950684931506849</v>
      </c>
      <c r="L1274" s="2" t="s">
        <v>7502</v>
      </c>
      <c r="M1274" s="2" t="s">
        <v>903</v>
      </c>
      <c r="N1274" s="2" t="s">
        <v>24</v>
      </c>
      <c r="O1274" s="2" t="s">
        <v>275</v>
      </c>
      <c r="P1274" s="2" t="s">
        <v>649</v>
      </c>
      <c r="Q1274" s="2" t="s">
        <v>351</v>
      </c>
      <c r="R1274" s="9">
        <v>29849</v>
      </c>
      <c r="S1274" s="9">
        <v>29849</v>
      </c>
      <c r="T1274" s="2" t="s">
        <v>627</v>
      </c>
      <c r="U1274" s="2" t="s">
        <v>627</v>
      </c>
      <c r="V1274" s="2" t="s">
        <v>692</v>
      </c>
      <c r="W1274" s="2" t="s">
        <v>692</v>
      </c>
      <c r="X1274" s="2" t="s">
        <v>8101</v>
      </c>
      <c r="Y1274" s="2" t="s">
        <v>8102</v>
      </c>
      <c r="Z1274" s="6">
        <v>89801540</v>
      </c>
      <c r="AA1274" s="2" t="s">
        <v>8103</v>
      </c>
      <c r="AB1274" s="2" t="s">
        <v>654</v>
      </c>
      <c r="AC1274" s="2" t="s">
        <v>632</v>
      </c>
      <c r="AD1274" s="10">
        <v>89801540</v>
      </c>
      <c r="AE1274" s="11"/>
      <c r="AF1274" s="11"/>
      <c r="AG1274" s="11">
        <v>89801540</v>
      </c>
      <c r="AH1274" s="11"/>
      <c r="AI1274" s="11"/>
      <c r="AJ1274" s="11">
        <v>89801540</v>
      </c>
      <c r="AK1274" s="12">
        <v>3</v>
      </c>
      <c r="AL1274" s="12" t="s">
        <v>7377</v>
      </c>
      <c r="AM1274" s="2">
        <v>0</v>
      </c>
      <c r="AN1274" s="2">
        <v>0</v>
      </c>
      <c r="AO1274" s="2">
        <v>0</v>
      </c>
      <c r="AP1274" s="2">
        <v>1</v>
      </c>
      <c r="AQ1274" s="2">
        <v>0</v>
      </c>
      <c r="AR1274" s="2">
        <v>0</v>
      </c>
      <c r="AS1274" s="2">
        <v>0</v>
      </c>
      <c r="AT1274" s="2">
        <v>0</v>
      </c>
      <c r="AZ1274" s="2" t="s">
        <v>8104</v>
      </c>
      <c r="BB1274" s="2" t="str">
        <f>+PROPER(BD[[#This Row],[PRIMER_APELLIDO]])</f>
        <v>Perez</v>
      </c>
    </row>
    <row r="1275" spans="1:54" x14ac:dyDescent="0.25">
      <c r="A1275" s="2">
        <v>1274</v>
      </c>
      <c r="B1275" s="2">
        <v>26319</v>
      </c>
      <c r="C1275" s="5" t="s">
        <v>619</v>
      </c>
      <c r="D1275" s="2" t="s">
        <v>620</v>
      </c>
      <c r="E1275" s="6" t="s">
        <v>8105</v>
      </c>
      <c r="F1275" s="6"/>
      <c r="G1275" s="3">
        <v>41</v>
      </c>
      <c r="I1275" s="7"/>
      <c r="J1275" s="7"/>
      <c r="K1275" s="8">
        <v>40.964383561643835</v>
      </c>
      <c r="L1275" s="2" t="s">
        <v>8106</v>
      </c>
      <c r="M1275" s="2" t="s">
        <v>975</v>
      </c>
      <c r="N1275" s="2" t="s">
        <v>328</v>
      </c>
      <c r="O1275" s="2" t="s">
        <v>5242</v>
      </c>
      <c r="P1275" s="2" t="s">
        <v>649</v>
      </c>
      <c r="Q1275" s="2" t="s">
        <v>351</v>
      </c>
      <c r="R1275" s="9">
        <v>29844</v>
      </c>
      <c r="S1275" s="9">
        <v>29844</v>
      </c>
      <c r="T1275" s="2" t="s">
        <v>732</v>
      </c>
      <c r="U1275" s="2" t="s">
        <v>1005</v>
      </c>
      <c r="V1275" s="2" t="s">
        <v>732</v>
      </c>
      <c r="W1275" s="2" t="s">
        <v>1674</v>
      </c>
      <c r="X1275" s="2" t="s">
        <v>8107</v>
      </c>
      <c r="Y1275" s="2" t="s">
        <v>8108</v>
      </c>
      <c r="Z1275" s="6">
        <v>88310575</v>
      </c>
      <c r="AA1275" s="2">
        <v>88310575</v>
      </c>
      <c r="AB1275" s="2" t="s">
        <v>654</v>
      </c>
      <c r="AC1275" s="2" t="s">
        <v>632</v>
      </c>
      <c r="AD1275" s="10">
        <v>88310575</v>
      </c>
      <c r="AE1275" s="11"/>
      <c r="AF1275" s="11">
        <v>88310575</v>
      </c>
      <c r="AG1275" s="11"/>
      <c r="AH1275" s="11"/>
      <c r="AI1275" s="11"/>
      <c r="AJ1275" s="11">
        <v>88310575</v>
      </c>
      <c r="AK1275" s="12">
        <v>2</v>
      </c>
      <c r="AL1275" s="12" t="s">
        <v>7377</v>
      </c>
      <c r="AM1275" s="2">
        <v>0</v>
      </c>
      <c r="AN1275" s="2">
        <v>0</v>
      </c>
      <c r="AO1275" s="2">
        <v>0</v>
      </c>
      <c r="AP1275" s="2">
        <v>1</v>
      </c>
      <c r="AQ1275" s="2">
        <v>0</v>
      </c>
      <c r="AR1275" s="2">
        <v>0</v>
      </c>
      <c r="AS1275" s="2">
        <v>0</v>
      </c>
      <c r="AT1275" s="2">
        <v>0</v>
      </c>
      <c r="AZ1275" s="2" t="s">
        <v>8109</v>
      </c>
      <c r="BB1275" s="2" t="str">
        <f>+PROPER(BD[[#This Row],[PRIMER_APELLIDO]])</f>
        <v>Balladares</v>
      </c>
    </row>
    <row r="1276" spans="1:54" x14ac:dyDescent="0.25">
      <c r="A1276" s="2">
        <v>1275</v>
      </c>
      <c r="B1276" s="2">
        <v>33137</v>
      </c>
      <c r="C1276" s="5" t="s">
        <v>619</v>
      </c>
      <c r="D1276" s="2" t="s">
        <v>620</v>
      </c>
      <c r="E1276" s="6" t="s">
        <v>8110</v>
      </c>
      <c r="F1276" s="6">
        <v>22173991</v>
      </c>
      <c r="G1276" s="3">
        <v>41</v>
      </c>
      <c r="I1276" s="7"/>
      <c r="J1276" s="7"/>
      <c r="K1276" s="8">
        <v>40.969863013698628</v>
      </c>
      <c r="L1276" s="2" t="s">
        <v>1737</v>
      </c>
      <c r="M1276" s="2" t="s">
        <v>1844</v>
      </c>
      <c r="N1276" s="2" t="s">
        <v>100</v>
      </c>
      <c r="O1276" s="2" t="s">
        <v>82</v>
      </c>
      <c r="P1276" s="2" t="s">
        <v>626</v>
      </c>
      <c r="Q1276" s="2" t="s">
        <v>351</v>
      </c>
      <c r="R1276" s="9">
        <v>29842</v>
      </c>
      <c r="S1276" s="9">
        <v>29842</v>
      </c>
      <c r="T1276" s="2" t="s">
        <v>627</v>
      </c>
      <c r="U1276" s="2" t="s">
        <v>627</v>
      </c>
      <c r="V1276" s="2" t="s">
        <v>627</v>
      </c>
      <c r="W1276" s="2" t="s">
        <v>627</v>
      </c>
      <c r="X1276" s="2" t="s">
        <v>8111</v>
      </c>
      <c r="Y1276" s="2" t="s">
        <v>8112</v>
      </c>
      <c r="Z1276" s="6">
        <v>87878360</v>
      </c>
      <c r="AA1276" s="2" t="s">
        <v>8113</v>
      </c>
      <c r="AB1276" s="2" t="s">
        <v>642</v>
      </c>
      <c r="AC1276" s="2" t="s">
        <v>632</v>
      </c>
      <c r="AD1276" s="10">
        <v>87878360</v>
      </c>
      <c r="AE1276" s="11"/>
      <c r="AF1276" s="11"/>
      <c r="AG1276" s="11">
        <v>87878360</v>
      </c>
      <c r="AH1276" s="11"/>
      <c r="AI1276" s="11"/>
      <c r="AJ1276" s="11">
        <v>87878360</v>
      </c>
      <c r="AK1276" s="12">
        <v>3</v>
      </c>
      <c r="AL1276" s="12" t="s">
        <v>7377</v>
      </c>
      <c r="AM1276" s="2">
        <v>0</v>
      </c>
      <c r="AN1276" s="2">
        <v>0</v>
      </c>
      <c r="AO1276" s="2">
        <v>0</v>
      </c>
      <c r="AP1276" s="2">
        <v>1</v>
      </c>
      <c r="AQ1276" s="2">
        <v>0</v>
      </c>
      <c r="AR1276" s="2">
        <v>0</v>
      </c>
      <c r="AS1276" s="2">
        <v>0</v>
      </c>
      <c r="AT1276" s="2">
        <v>0</v>
      </c>
      <c r="BB1276" s="2" t="str">
        <f>+PROPER(BD[[#This Row],[PRIMER_APELLIDO]])</f>
        <v>Castillo</v>
      </c>
    </row>
    <row r="1277" spans="1:54" x14ac:dyDescent="0.25">
      <c r="A1277" s="2">
        <v>1276</v>
      </c>
      <c r="B1277" s="2">
        <v>27338</v>
      </c>
      <c r="C1277" s="5" t="s">
        <v>619</v>
      </c>
      <c r="D1277" s="2" t="s">
        <v>620</v>
      </c>
      <c r="E1277" s="6" t="s">
        <v>8114</v>
      </c>
      <c r="F1277" s="6">
        <v>21776966</v>
      </c>
      <c r="G1277" s="3">
        <v>41</v>
      </c>
      <c r="I1277" s="7"/>
      <c r="J1277" s="7"/>
      <c r="K1277" s="8">
        <v>40.975342465753428</v>
      </c>
      <c r="L1277" s="2" t="s">
        <v>8115</v>
      </c>
      <c r="M1277" s="2" t="s">
        <v>769</v>
      </c>
      <c r="N1277" s="2" t="s">
        <v>308</v>
      </c>
      <c r="O1277" s="2" t="s">
        <v>141</v>
      </c>
      <c r="P1277" s="2" t="s">
        <v>626</v>
      </c>
      <c r="Q1277" s="2" t="s">
        <v>351</v>
      </c>
      <c r="R1277" s="9">
        <v>29840</v>
      </c>
      <c r="S1277" s="9">
        <v>29840</v>
      </c>
      <c r="U1277" s="2" t="s">
        <v>176</v>
      </c>
      <c r="W1277" s="2" t="s">
        <v>176</v>
      </c>
      <c r="X1277" s="2" t="s">
        <v>8116</v>
      </c>
      <c r="Y1277" s="2" t="s">
        <v>8117</v>
      </c>
      <c r="Z1277" s="6"/>
      <c r="AA1277" s="2" t="s">
        <v>8118</v>
      </c>
      <c r="AB1277" s="2" t="s">
        <v>654</v>
      </c>
      <c r="AC1277" s="2" t="s">
        <v>632</v>
      </c>
      <c r="AD1277" s="10"/>
      <c r="AE1277" s="11"/>
      <c r="AF1277" s="11"/>
      <c r="AG1277" s="11">
        <v>84372348</v>
      </c>
      <c r="AH1277" s="11"/>
      <c r="AI1277" s="11"/>
      <c r="AJ1277" s="11">
        <v>84372348</v>
      </c>
      <c r="AK1277" s="12">
        <v>2</v>
      </c>
      <c r="AL1277" s="12" t="s">
        <v>7377</v>
      </c>
      <c r="AM1277" s="2">
        <v>0</v>
      </c>
      <c r="AN1277" s="2">
        <v>0</v>
      </c>
      <c r="AO1277" s="2">
        <v>0</v>
      </c>
      <c r="AP1277" s="2">
        <v>1</v>
      </c>
      <c r="AQ1277" s="2">
        <v>0</v>
      </c>
      <c r="AR1277" s="2">
        <v>0</v>
      </c>
      <c r="AS1277" s="2">
        <v>0</v>
      </c>
      <c r="AT1277" s="2">
        <v>0</v>
      </c>
      <c r="BB1277" s="2" t="str">
        <f>+PROPER(BD[[#This Row],[PRIMER_APELLIDO]])</f>
        <v>Santana</v>
      </c>
    </row>
    <row r="1278" spans="1:54" x14ac:dyDescent="0.25">
      <c r="A1278" s="2">
        <v>1277</v>
      </c>
      <c r="B1278" s="2">
        <v>25104</v>
      </c>
      <c r="C1278" s="5" t="s">
        <v>619</v>
      </c>
      <c r="D1278" s="2" t="s">
        <v>620</v>
      </c>
      <c r="E1278" s="6" t="s">
        <v>8119</v>
      </c>
      <c r="F1278" s="6">
        <v>21367449</v>
      </c>
      <c r="G1278" s="3">
        <v>41</v>
      </c>
      <c r="I1278" s="7"/>
      <c r="J1278" s="7"/>
      <c r="K1278" s="8">
        <v>40.983561643835614</v>
      </c>
      <c r="L1278" s="2" t="s">
        <v>1640</v>
      </c>
      <c r="M1278" s="2" t="s">
        <v>904</v>
      </c>
      <c r="N1278" s="2" t="s">
        <v>74</v>
      </c>
      <c r="O1278" s="2" t="s">
        <v>488</v>
      </c>
      <c r="P1278" s="2" t="s">
        <v>649</v>
      </c>
      <c r="Q1278" s="2" t="s">
        <v>351</v>
      </c>
      <c r="R1278" s="9">
        <v>29837</v>
      </c>
      <c r="S1278" s="9">
        <v>29837</v>
      </c>
      <c r="T1278" s="2" t="s">
        <v>627</v>
      </c>
      <c r="U1278" s="2" t="s">
        <v>627</v>
      </c>
      <c r="V1278" s="2" t="s">
        <v>627</v>
      </c>
      <c r="W1278" s="2" t="s">
        <v>627</v>
      </c>
      <c r="X1278" s="2" t="s">
        <v>8120</v>
      </c>
      <c r="Y1278" s="2" t="s">
        <v>8121</v>
      </c>
      <c r="Z1278" s="6">
        <v>87546041</v>
      </c>
      <c r="AA1278" s="2" t="s">
        <v>8122</v>
      </c>
      <c r="AB1278" s="2" t="s">
        <v>654</v>
      </c>
      <c r="AC1278" s="2" t="s">
        <v>632</v>
      </c>
      <c r="AD1278" s="10">
        <v>87546041</v>
      </c>
      <c r="AE1278" s="11"/>
      <c r="AF1278" s="11"/>
      <c r="AG1278" s="11">
        <v>87546041</v>
      </c>
      <c r="AH1278" s="11">
        <v>58407712</v>
      </c>
      <c r="AI1278" s="11"/>
      <c r="AJ1278" s="11">
        <v>87546041</v>
      </c>
      <c r="AK1278" s="12">
        <v>4</v>
      </c>
      <c r="AL1278" s="12" t="s">
        <v>7377</v>
      </c>
      <c r="AM1278" s="2">
        <v>0</v>
      </c>
      <c r="AN1278" s="2">
        <v>0</v>
      </c>
      <c r="AO1278" s="2">
        <v>0</v>
      </c>
      <c r="AP1278" s="2">
        <v>1</v>
      </c>
      <c r="AQ1278" s="2">
        <v>0</v>
      </c>
      <c r="AR1278" s="2">
        <v>0</v>
      </c>
      <c r="AS1278" s="2">
        <v>0</v>
      </c>
      <c r="AT1278" s="2">
        <v>0</v>
      </c>
      <c r="AZ1278" s="2" t="s">
        <v>8123</v>
      </c>
      <c r="BB1278" s="2" t="str">
        <f>+PROPER(BD[[#This Row],[PRIMER_APELLIDO]])</f>
        <v>Reyes</v>
      </c>
    </row>
    <row r="1279" spans="1:54" x14ac:dyDescent="0.25">
      <c r="A1279" s="2">
        <v>1278</v>
      </c>
      <c r="B1279" s="2">
        <v>37911</v>
      </c>
      <c r="C1279" s="5" t="s">
        <v>619</v>
      </c>
      <c r="D1279" s="2" t="s">
        <v>620</v>
      </c>
      <c r="E1279" s="6" t="s">
        <v>8124</v>
      </c>
      <c r="F1279" s="6">
        <v>22230359</v>
      </c>
      <c r="G1279" s="3">
        <v>41</v>
      </c>
      <c r="I1279" s="7"/>
      <c r="J1279" s="7"/>
      <c r="K1279" s="8">
        <v>40.991780821917807</v>
      </c>
      <c r="L1279" s="2" t="s">
        <v>793</v>
      </c>
      <c r="M1279" s="2" t="s">
        <v>243</v>
      </c>
      <c r="N1279" s="2" t="s">
        <v>507</v>
      </c>
      <c r="O1279" s="2" t="s">
        <v>75</v>
      </c>
      <c r="P1279" s="2" t="s">
        <v>649</v>
      </c>
      <c r="Q1279" s="2" t="s">
        <v>3936</v>
      </c>
      <c r="R1279" s="9">
        <v>29834</v>
      </c>
      <c r="S1279" s="9">
        <v>29834</v>
      </c>
      <c r="T1279" s="2" t="s">
        <v>780</v>
      </c>
      <c r="U1279" s="2" t="s">
        <v>176</v>
      </c>
      <c r="V1279" s="2" t="s">
        <v>781</v>
      </c>
      <c r="W1279" s="2" t="s">
        <v>176</v>
      </c>
      <c r="X1279" s="2" t="s">
        <v>8125</v>
      </c>
      <c r="Y1279" s="2" t="s">
        <v>8126</v>
      </c>
      <c r="Z1279" s="6"/>
      <c r="AA1279" s="2">
        <v>84108715</v>
      </c>
      <c r="AB1279" s="2" t="s">
        <v>654</v>
      </c>
      <c r="AC1279" s="2" t="s">
        <v>632</v>
      </c>
      <c r="AD1279" s="10"/>
      <c r="AE1279" s="11"/>
      <c r="AF1279" s="11">
        <v>84108715</v>
      </c>
      <c r="AG1279" s="11"/>
      <c r="AH1279" s="11"/>
      <c r="AI1279" s="11"/>
      <c r="AJ1279" s="11">
        <v>84108715</v>
      </c>
      <c r="AK1279" s="12">
        <v>1</v>
      </c>
      <c r="AL1279" s="12" t="s">
        <v>7377</v>
      </c>
      <c r="AM1279" s="2">
        <v>0</v>
      </c>
      <c r="AN1279" s="2">
        <v>0</v>
      </c>
      <c r="AO1279" s="2">
        <v>0</v>
      </c>
      <c r="AP1279" s="2">
        <v>1</v>
      </c>
      <c r="AQ1279" s="2">
        <v>0</v>
      </c>
      <c r="AR1279" s="2">
        <v>0</v>
      </c>
      <c r="AS1279" s="2">
        <v>0</v>
      </c>
      <c r="AT1279" s="2">
        <v>0</v>
      </c>
      <c r="BB1279" s="2" t="str">
        <f>+PROPER(BD[[#This Row],[PRIMER_APELLIDO]])</f>
        <v>Osorio</v>
      </c>
    </row>
    <row r="1280" spans="1:54" x14ac:dyDescent="0.25">
      <c r="A1280" s="2">
        <v>1279</v>
      </c>
      <c r="B1280" s="2">
        <v>24005</v>
      </c>
      <c r="C1280" s="5" t="s">
        <v>619</v>
      </c>
      <c r="D1280" s="2" t="s">
        <v>620</v>
      </c>
      <c r="E1280" s="6" t="s">
        <v>8127</v>
      </c>
      <c r="F1280" s="6">
        <v>20145703</v>
      </c>
      <c r="G1280" s="3">
        <v>41</v>
      </c>
      <c r="I1280" s="7"/>
      <c r="J1280" s="7"/>
      <c r="K1280" s="8">
        <v>40.994520547945207</v>
      </c>
      <c r="L1280" s="2" t="s">
        <v>1298</v>
      </c>
      <c r="M1280" s="2" t="s">
        <v>975</v>
      </c>
      <c r="N1280" s="2" t="s">
        <v>177</v>
      </c>
      <c r="O1280" s="2" t="s">
        <v>34</v>
      </c>
      <c r="P1280" s="2" t="s">
        <v>649</v>
      </c>
      <c r="Q1280" s="2" t="s">
        <v>351</v>
      </c>
      <c r="R1280" s="9">
        <v>29833</v>
      </c>
      <c r="S1280" s="9">
        <v>29833</v>
      </c>
      <c r="T1280" s="2" t="s">
        <v>176</v>
      </c>
      <c r="U1280" s="2" t="s">
        <v>627</v>
      </c>
      <c r="V1280" s="2" t="s">
        <v>650</v>
      </c>
      <c r="W1280" s="2" t="s">
        <v>627</v>
      </c>
      <c r="X1280" s="2" t="s">
        <v>8128</v>
      </c>
      <c r="Y1280" s="2" t="s">
        <v>8129</v>
      </c>
      <c r="Z1280" s="6"/>
      <c r="AA1280" s="2">
        <v>89885302</v>
      </c>
      <c r="AB1280" s="2" t="s">
        <v>654</v>
      </c>
      <c r="AC1280" s="2" t="s">
        <v>632</v>
      </c>
      <c r="AD1280" s="10"/>
      <c r="AE1280" s="11"/>
      <c r="AF1280" s="11">
        <v>89885302</v>
      </c>
      <c r="AG1280" s="11"/>
      <c r="AH1280" s="11"/>
      <c r="AI1280" s="11"/>
      <c r="AJ1280" s="11">
        <v>89885302</v>
      </c>
      <c r="AK1280" s="12">
        <v>1</v>
      </c>
      <c r="AL1280" s="12" t="s">
        <v>7377</v>
      </c>
      <c r="AM1280" s="2">
        <v>0</v>
      </c>
      <c r="AN1280" s="2">
        <v>0</v>
      </c>
      <c r="AO1280" s="2">
        <v>0</v>
      </c>
      <c r="AP1280" s="2">
        <v>1</v>
      </c>
      <c r="AQ1280" s="2">
        <v>0</v>
      </c>
      <c r="AR1280" s="2">
        <v>0</v>
      </c>
      <c r="AS1280" s="2">
        <v>0</v>
      </c>
      <c r="AT1280" s="2">
        <v>0</v>
      </c>
      <c r="BB1280" s="2" t="str">
        <f>+PROPER(BD[[#This Row],[PRIMER_APELLIDO]])</f>
        <v>Leiva</v>
      </c>
    </row>
    <row r="1281" spans="1:54" x14ac:dyDescent="0.25">
      <c r="A1281" s="2">
        <v>1280</v>
      </c>
      <c r="B1281" s="2">
        <v>39382</v>
      </c>
      <c r="C1281" s="5" t="s">
        <v>619</v>
      </c>
      <c r="D1281" s="2" t="s">
        <v>620</v>
      </c>
      <c r="E1281" s="6" t="s">
        <v>8130</v>
      </c>
      <c r="F1281" s="6">
        <v>22587136</v>
      </c>
      <c r="G1281" s="3">
        <v>41</v>
      </c>
      <c r="I1281" s="7"/>
      <c r="J1281" s="7"/>
      <c r="K1281" s="8">
        <v>40.994520547945207</v>
      </c>
      <c r="L1281" s="2" t="s">
        <v>4201</v>
      </c>
      <c r="M1281" s="2" t="s">
        <v>714</v>
      </c>
      <c r="N1281" s="2" t="s">
        <v>10</v>
      </c>
      <c r="O1281" s="2" t="s">
        <v>407</v>
      </c>
      <c r="P1281" s="2" t="s">
        <v>626</v>
      </c>
      <c r="Q1281" s="2" t="s">
        <v>351</v>
      </c>
      <c r="R1281" s="9">
        <v>29833</v>
      </c>
      <c r="S1281" s="9">
        <v>29833</v>
      </c>
      <c r="T1281" s="2" t="s">
        <v>705</v>
      </c>
      <c r="U1281" s="2" t="s">
        <v>627</v>
      </c>
      <c r="V1281" s="2" t="s">
        <v>725</v>
      </c>
      <c r="W1281" s="2" t="s">
        <v>1406</v>
      </c>
      <c r="X1281" s="2" t="s">
        <v>8131</v>
      </c>
      <c r="Y1281" s="2" t="s">
        <v>8132</v>
      </c>
      <c r="Z1281" s="6"/>
      <c r="AA1281" s="2" t="s">
        <v>8133</v>
      </c>
      <c r="AB1281" s="2" t="s">
        <v>642</v>
      </c>
      <c r="AC1281" s="2" t="s">
        <v>632</v>
      </c>
      <c r="AD1281" s="10"/>
      <c r="AE1281" s="11"/>
      <c r="AF1281" s="11"/>
      <c r="AG1281" s="11"/>
      <c r="AH1281" s="11">
        <v>23440082</v>
      </c>
      <c r="AI1281" s="11">
        <v>84640458</v>
      </c>
      <c r="AJ1281" s="11"/>
      <c r="AK1281" s="12">
        <v>4</v>
      </c>
      <c r="AL1281" s="12" t="s">
        <v>7377</v>
      </c>
      <c r="AM1281" s="2">
        <v>0</v>
      </c>
      <c r="AN1281" s="2">
        <v>0</v>
      </c>
      <c r="AO1281" s="2">
        <v>0</v>
      </c>
      <c r="AP1281" s="2">
        <v>1</v>
      </c>
      <c r="AQ1281" s="2">
        <v>0</v>
      </c>
      <c r="AR1281" s="2">
        <v>0</v>
      </c>
      <c r="AS1281" s="2">
        <v>0</v>
      </c>
      <c r="AT1281" s="2">
        <v>0</v>
      </c>
      <c r="BA1281" s="2" t="s">
        <v>8134</v>
      </c>
      <c r="BB1281" s="2" t="str">
        <f>+PROPER(BD[[#This Row],[PRIMER_APELLIDO]])</f>
        <v>Garcia</v>
      </c>
    </row>
    <row r="1282" spans="1:54" x14ac:dyDescent="0.25">
      <c r="A1282" s="2">
        <v>1281</v>
      </c>
      <c r="B1282" s="2">
        <v>50461</v>
      </c>
      <c r="C1282" s="5" t="s">
        <v>619</v>
      </c>
      <c r="D1282" s="2" t="s">
        <v>620</v>
      </c>
      <c r="E1282" s="6" t="s">
        <v>8135</v>
      </c>
      <c r="F1282" s="6">
        <v>25021899</v>
      </c>
      <c r="G1282" s="3">
        <v>41</v>
      </c>
      <c r="I1282" s="7"/>
      <c r="J1282" s="7"/>
      <c r="K1282" s="8">
        <v>41</v>
      </c>
      <c r="L1282" s="2" t="s">
        <v>8136</v>
      </c>
      <c r="M1282" s="2" t="s">
        <v>8137</v>
      </c>
      <c r="N1282" s="2" t="s">
        <v>343</v>
      </c>
      <c r="O1282" s="2" t="s">
        <v>360</v>
      </c>
      <c r="P1282" s="2" t="s">
        <v>626</v>
      </c>
      <c r="Q1282" s="2" t="s">
        <v>351</v>
      </c>
      <c r="R1282" s="9">
        <v>29831</v>
      </c>
      <c r="S1282" s="9">
        <v>29831</v>
      </c>
      <c r="T1282" s="2" t="s">
        <v>1005</v>
      </c>
      <c r="U1282" s="2" t="s">
        <v>1005</v>
      </c>
      <c r="V1282" s="2" t="s">
        <v>1184</v>
      </c>
      <c r="W1282" s="2" t="s">
        <v>1184</v>
      </c>
      <c r="X1282" s="2" t="s">
        <v>8138</v>
      </c>
      <c r="Y1282" s="2" t="s">
        <v>8139</v>
      </c>
      <c r="Z1282" s="6">
        <v>86264469</v>
      </c>
      <c r="AA1282" s="2">
        <v>86264469</v>
      </c>
      <c r="AB1282" s="2" t="s">
        <v>631</v>
      </c>
      <c r="AC1282" s="2" t="s">
        <v>632</v>
      </c>
      <c r="AD1282" s="10">
        <v>86264469</v>
      </c>
      <c r="AE1282" s="11"/>
      <c r="AF1282" s="11">
        <v>86264469</v>
      </c>
      <c r="AG1282" s="11"/>
      <c r="AH1282" s="11"/>
      <c r="AI1282" s="11"/>
      <c r="AJ1282" s="11">
        <v>86264469</v>
      </c>
      <c r="AK1282" s="12">
        <v>2</v>
      </c>
      <c r="AL1282" s="12" t="s">
        <v>7377</v>
      </c>
      <c r="AM1282" s="2">
        <v>0</v>
      </c>
      <c r="AN1282" s="2">
        <v>0</v>
      </c>
      <c r="AO1282" s="2">
        <v>0</v>
      </c>
      <c r="AP1282" s="2">
        <v>1</v>
      </c>
      <c r="AQ1282" s="2">
        <v>0</v>
      </c>
      <c r="AR1282" s="2">
        <v>0</v>
      </c>
      <c r="AS1282" s="2">
        <v>0</v>
      </c>
      <c r="AT1282" s="2">
        <v>0</v>
      </c>
      <c r="AZ1282" s="2" t="s">
        <v>8140</v>
      </c>
      <c r="BB1282" s="2" t="str">
        <f>+PROPER(BD[[#This Row],[PRIMER_APELLIDO]])</f>
        <v>Ordoñez</v>
      </c>
    </row>
    <row r="1283" spans="1:54" x14ac:dyDescent="0.25">
      <c r="A1283" s="2">
        <v>1282</v>
      </c>
      <c r="B1283" s="2">
        <v>23867</v>
      </c>
      <c r="C1283" s="5" t="s">
        <v>619</v>
      </c>
      <c r="D1283" s="2" t="s">
        <v>620</v>
      </c>
      <c r="E1283" s="6" t="s">
        <v>8141</v>
      </c>
      <c r="F1283" s="6">
        <v>20140649</v>
      </c>
      <c r="G1283" s="3">
        <v>41</v>
      </c>
      <c r="I1283" s="7"/>
      <c r="J1283" s="7"/>
      <c r="K1283" s="8">
        <v>41.005479452054793</v>
      </c>
      <c r="L1283" s="2" t="s">
        <v>8142</v>
      </c>
      <c r="M1283" s="2" t="s">
        <v>1419</v>
      </c>
      <c r="N1283" s="2" t="s">
        <v>32</v>
      </c>
      <c r="O1283" s="2" t="s">
        <v>105</v>
      </c>
      <c r="P1283" s="2" t="s">
        <v>626</v>
      </c>
      <c r="Q1283" s="2" t="s">
        <v>351</v>
      </c>
      <c r="R1283" s="9">
        <v>29829</v>
      </c>
      <c r="S1283" s="9">
        <v>29829</v>
      </c>
      <c r="T1283" s="2" t="s">
        <v>176</v>
      </c>
      <c r="U1283" s="2" t="s">
        <v>176</v>
      </c>
      <c r="V1283" s="2" t="s">
        <v>650</v>
      </c>
      <c r="W1283" s="2" t="s">
        <v>1796</v>
      </c>
      <c r="X1283" s="2" t="s">
        <v>8143</v>
      </c>
      <c r="Y1283" s="2" t="s">
        <v>8144</v>
      </c>
      <c r="Z1283" s="6">
        <v>82880306</v>
      </c>
      <c r="AA1283" s="2">
        <v>84503634</v>
      </c>
      <c r="AB1283" s="2" t="s">
        <v>654</v>
      </c>
      <c r="AC1283" s="2" t="s">
        <v>632</v>
      </c>
      <c r="AD1283" s="10">
        <v>82880306</v>
      </c>
      <c r="AE1283" s="11"/>
      <c r="AF1283" s="11">
        <v>84503634</v>
      </c>
      <c r="AG1283" s="11"/>
      <c r="AH1283" s="11"/>
      <c r="AI1283" s="11"/>
      <c r="AJ1283" s="11">
        <v>82880306</v>
      </c>
      <c r="AK1283" s="12">
        <v>2</v>
      </c>
      <c r="AL1283" s="12" t="s">
        <v>7377</v>
      </c>
      <c r="AM1283" s="2">
        <v>0</v>
      </c>
      <c r="AN1283" s="2">
        <v>0</v>
      </c>
      <c r="AO1283" s="2">
        <v>0</v>
      </c>
      <c r="AP1283" s="2">
        <v>1</v>
      </c>
      <c r="AQ1283" s="2">
        <v>0</v>
      </c>
      <c r="AR1283" s="2">
        <v>0</v>
      </c>
      <c r="AS1283" s="2">
        <v>0</v>
      </c>
      <c r="AT1283" s="2">
        <v>0</v>
      </c>
      <c r="BB1283" s="2" t="str">
        <f>+PROPER(BD[[#This Row],[PRIMER_APELLIDO]])</f>
        <v>Cruz</v>
      </c>
    </row>
    <row r="1284" spans="1:54" x14ac:dyDescent="0.25">
      <c r="A1284" s="2">
        <v>1283</v>
      </c>
      <c r="B1284" s="2">
        <v>40364</v>
      </c>
      <c r="C1284" s="5" t="s">
        <v>619</v>
      </c>
      <c r="D1284" s="2" t="s">
        <v>620</v>
      </c>
      <c r="E1284" s="6" t="s">
        <v>8145</v>
      </c>
      <c r="F1284" s="6">
        <v>16659746</v>
      </c>
      <c r="G1284" s="3">
        <v>41</v>
      </c>
      <c r="I1284" s="7"/>
      <c r="J1284" s="7"/>
      <c r="K1284" s="8">
        <v>41.005479452054793</v>
      </c>
      <c r="L1284" s="2" t="s">
        <v>1692</v>
      </c>
      <c r="M1284" s="2" t="s">
        <v>243</v>
      </c>
      <c r="N1284" s="2" t="s">
        <v>11</v>
      </c>
      <c r="O1284" s="2" t="s">
        <v>58</v>
      </c>
      <c r="P1284" s="2" t="s">
        <v>649</v>
      </c>
      <c r="Q1284" s="2" t="s">
        <v>351</v>
      </c>
      <c r="R1284" s="9">
        <v>29829</v>
      </c>
      <c r="S1284" s="9">
        <v>29829</v>
      </c>
      <c r="T1284" s="2" t="s">
        <v>133</v>
      </c>
      <c r="U1284" s="2" t="s">
        <v>1005</v>
      </c>
      <c r="V1284" s="2" t="s">
        <v>869</v>
      </c>
      <c r="W1284" s="2" t="s">
        <v>1006</v>
      </c>
      <c r="X1284" s="2" t="s">
        <v>8146</v>
      </c>
      <c r="Y1284" s="2" t="s">
        <v>8147</v>
      </c>
      <c r="Z1284" s="6">
        <v>84018097</v>
      </c>
      <c r="AA1284" s="2" t="s">
        <v>8148</v>
      </c>
      <c r="AB1284" s="2" t="s">
        <v>654</v>
      </c>
      <c r="AC1284" s="2" t="s">
        <v>632</v>
      </c>
      <c r="AD1284" s="10">
        <v>84018097</v>
      </c>
      <c r="AE1284" s="11"/>
      <c r="AF1284" s="11"/>
      <c r="AG1284" s="11">
        <v>87235788</v>
      </c>
      <c r="AH1284" s="11"/>
      <c r="AI1284" s="11"/>
      <c r="AJ1284" s="11">
        <v>84018097</v>
      </c>
      <c r="AK1284" s="12">
        <v>3</v>
      </c>
      <c r="AL1284" s="12" t="s">
        <v>7377</v>
      </c>
      <c r="AM1284" s="2">
        <v>0</v>
      </c>
      <c r="AN1284" s="2">
        <v>0</v>
      </c>
      <c r="AO1284" s="2">
        <v>0</v>
      </c>
      <c r="AP1284" s="2">
        <v>1</v>
      </c>
      <c r="AQ1284" s="2">
        <v>0</v>
      </c>
      <c r="AR1284" s="2">
        <v>0</v>
      </c>
      <c r="AS1284" s="2">
        <v>0</v>
      </c>
      <c r="AT1284" s="2">
        <v>0</v>
      </c>
      <c r="AZ1284" s="2" t="s">
        <v>8149</v>
      </c>
      <c r="BB1284" s="2" t="str">
        <f>+PROPER(BD[[#This Row],[PRIMER_APELLIDO]])</f>
        <v>Hernandez</v>
      </c>
    </row>
    <row r="1285" spans="1:54" x14ac:dyDescent="0.25">
      <c r="A1285" s="2">
        <v>1284</v>
      </c>
      <c r="B1285" s="2">
        <v>24246</v>
      </c>
      <c r="C1285" s="5" t="s">
        <v>619</v>
      </c>
      <c r="D1285" s="2" t="s">
        <v>620</v>
      </c>
      <c r="E1285" s="6" t="s">
        <v>8150</v>
      </c>
      <c r="F1285" s="6"/>
      <c r="G1285" s="3">
        <v>41</v>
      </c>
      <c r="I1285" s="7"/>
      <c r="J1285" s="7"/>
      <c r="K1285" s="8">
        <v>41.010958904109586</v>
      </c>
      <c r="L1285" s="2" t="s">
        <v>1803</v>
      </c>
      <c r="M1285" s="2" t="s">
        <v>5311</v>
      </c>
      <c r="N1285" s="2" t="s">
        <v>15</v>
      </c>
      <c r="O1285" s="2" t="s">
        <v>148</v>
      </c>
      <c r="P1285" s="2" t="s">
        <v>649</v>
      </c>
      <c r="Q1285" s="2" t="s">
        <v>351</v>
      </c>
      <c r="R1285" s="9">
        <v>29827</v>
      </c>
      <c r="S1285" s="9">
        <v>29827</v>
      </c>
      <c r="U1285" s="2" t="s">
        <v>740</v>
      </c>
      <c r="W1285" s="2" t="s">
        <v>740</v>
      </c>
      <c r="Y1285" s="2" t="s">
        <v>8151</v>
      </c>
      <c r="Z1285" s="6"/>
      <c r="AA1285" s="2">
        <v>76624324</v>
      </c>
      <c r="AB1285" s="2" t="s">
        <v>642</v>
      </c>
      <c r="AC1285" s="2" t="s">
        <v>632</v>
      </c>
      <c r="AD1285" s="10"/>
      <c r="AE1285" s="11"/>
      <c r="AF1285" s="11">
        <v>76624324</v>
      </c>
      <c r="AG1285" s="11"/>
      <c r="AH1285" s="11"/>
      <c r="AI1285" s="11"/>
      <c r="AJ1285" s="11">
        <v>76624324</v>
      </c>
      <c r="AK1285" s="12">
        <v>1</v>
      </c>
      <c r="AL1285" s="12" t="s">
        <v>7377</v>
      </c>
      <c r="AM1285" s="2">
        <v>0</v>
      </c>
      <c r="AN1285" s="2">
        <v>0</v>
      </c>
      <c r="AO1285" s="2">
        <v>0</v>
      </c>
      <c r="AP1285" s="2">
        <v>1</v>
      </c>
      <c r="AQ1285" s="2">
        <v>0</v>
      </c>
      <c r="AR1285" s="2">
        <v>0</v>
      </c>
      <c r="AS1285" s="2">
        <v>0</v>
      </c>
      <c r="AT1285" s="2">
        <v>0</v>
      </c>
      <c r="BA1285" s="2" t="s">
        <v>8152</v>
      </c>
      <c r="BB1285" s="2" t="str">
        <f>+PROPER(BD[[#This Row],[PRIMER_APELLIDO]])</f>
        <v>Lopez</v>
      </c>
    </row>
    <row r="1286" spans="1:54" x14ac:dyDescent="0.25">
      <c r="A1286" s="2">
        <v>1285</v>
      </c>
      <c r="B1286" s="2">
        <v>20616</v>
      </c>
      <c r="C1286" s="5" t="s">
        <v>619</v>
      </c>
      <c r="D1286" s="2" t="s">
        <v>620</v>
      </c>
      <c r="E1286" s="6" t="s">
        <v>8153</v>
      </c>
      <c r="F1286" s="6"/>
      <c r="G1286" s="3">
        <v>41</v>
      </c>
      <c r="I1286" s="7"/>
      <c r="J1286" s="7"/>
      <c r="K1286" s="8">
        <v>41.013698630136986</v>
      </c>
      <c r="L1286" s="2" t="s">
        <v>8154</v>
      </c>
      <c r="M1286" s="2" t="s">
        <v>8155</v>
      </c>
      <c r="N1286" s="2" t="s">
        <v>151</v>
      </c>
      <c r="O1286" s="2" t="s">
        <v>465</v>
      </c>
      <c r="P1286" s="2" t="s">
        <v>626</v>
      </c>
      <c r="Q1286" s="2" t="s">
        <v>351</v>
      </c>
      <c r="R1286" s="9">
        <v>29826</v>
      </c>
      <c r="S1286" s="9">
        <v>29826</v>
      </c>
      <c r="U1286" s="2" t="s">
        <v>627</v>
      </c>
      <c r="W1286" s="2" t="s">
        <v>627</v>
      </c>
      <c r="X1286" s="2" t="s">
        <v>8156</v>
      </c>
      <c r="Y1286" s="2" t="s">
        <v>8157</v>
      </c>
      <c r="Z1286" s="6"/>
      <c r="AA1286" s="2">
        <v>88626787</v>
      </c>
      <c r="AB1286" s="2" t="s">
        <v>894</v>
      </c>
      <c r="AC1286" s="2" t="s">
        <v>632</v>
      </c>
      <c r="AD1286" s="10"/>
      <c r="AE1286" s="11"/>
      <c r="AF1286" s="11">
        <v>88626787</v>
      </c>
      <c r="AG1286" s="11"/>
      <c r="AH1286" s="11"/>
      <c r="AI1286" s="11"/>
      <c r="AJ1286" s="11">
        <v>88626787</v>
      </c>
      <c r="AK1286" s="12">
        <v>1</v>
      </c>
      <c r="AL1286" s="12" t="s">
        <v>7377</v>
      </c>
      <c r="AM1286" s="2">
        <v>0</v>
      </c>
      <c r="AN1286" s="2">
        <v>0</v>
      </c>
      <c r="AO1286" s="2">
        <v>0</v>
      </c>
      <c r="AP1286" s="2">
        <v>1</v>
      </c>
      <c r="AQ1286" s="2">
        <v>0</v>
      </c>
      <c r="AR1286" s="2">
        <v>0</v>
      </c>
      <c r="AS1286" s="2">
        <v>0</v>
      </c>
      <c r="AT1286" s="2">
        <v>0</v>
      </c>
      <c r="BB1286" s="2" t="str">
        <f>+PROPER(BD[[#This Row],[PRIMER_APELLIDO]])</f>
        <v>Zeledon</v>
      </c>
    </row>
    <row r="1287" spans="1:54" x14ac:dyDescent="0.25">
      <c r="A1287" s="2">
        <v>1286</v>
      </c>
      <c r="B1287" s="2">
        <v>24636</v>
      </c>
      <c r="C1287" s="5" t="s">
        <v>619</v>
      </c>
      <c r="D1287" s="2" t="s">
        <v>620</v>
      </c>
      <c r="E1287" s="6" t="s">
        <v>8158</v>
      </c>
      <c r="F1287" s="6"/>
      <c r="G1287" s="3">
        <v>41</v>
      </c>
      <c r="I1287" s="7"/>
      <c r="J1287" s="7"/>
      <c r="K1287" s="8">
        <v>41.030136986301372</v>
      </c>
      <c r="L1287" s="2" t="s">
        <v>4465</v>
      </c>
      <c r="M1287" s="2" t="s">
        <v>3450</v>
      </c>
      <c r="N1287" s="2" t="s">
        <v>105</v>
      </c>
      <c r="O1287" s="2" t="s">
        <v>14</v>
      </c>
      <c r="P1287" s="2" t="s">
        <v>649</v>
      </c>
      <c r="Q1287" s="2" t="s">
        <v>351</v>
      </c>
      <c r="R1287" s="9">
        <v>29820</v>
      </c>
      <c r="S1287" s="9">
        <v>29820</v>
      </c>
      <c r="T1287" s="2" t="s">
        <v>176</v>
      </c>
      <c r="U1287" s="2" t="s">
        <v>176</v>
      </c>
      <c r="V1287" s="2" t="s">
        <v>650</v>
      </c>
      <c r="W1287" s="2" t="s">
        <v>176</v>
      </c>
      <c r="X1287" s="2" t="s">
        <v>8159</v>
      </c>
      <c r="Y1287" s="2" t="s">
        <v>8160</v>
      </c>
      <c r="Z1287" s="6">
        <v>89998583</v>
      </c>
      <c r="AA1287" s="2">
        <v>89998583</v>
      </c>
      <c r="AB1287" s="2" t="s">
        <v>8161</v>
      </c>
      <c r="AC1287" s="2" t="s">
        <v>632</v>
      </c>
      <c r="AD1287" s="10">
        <v>89998583</v>
      </c>
      <c r="AE1287" s="11"/>
      <c r="AF1287" s="11">
        <v>89998583</v>
      </c>
      <c r="AG1287" s="11"/>
      <c r="AH1287" s="11"/>
      <c r="AI1287" s="11"/>
      <c r="AJ1287" s="11">
        <v>89998583</v>
      </c>
      <c r="AK1287" s="12">
        <v>2</v>
      </c>
      <c r="AL1287" s="12" t="s">
        <v>7377</v>
      </c>
      <c r="AM1287" s="2">
        <v>0</v>
      </c>
      <c r="AN1287" s="2">
        <v>0</v>
      </c>
      <c r="AO1287" s="2">
        <v>0</v>
      </c>
      <c r="AP1287" s="2">
        <v>1</v>
      </c>
      <c r="AQ1287" s="2">
        <v>0</v>
      </c>
      <c r="AR1287" s="2">
        <v>0</v>
      </c>
      <c r="AS1287" s="2">
        <v>0</v>
      </c>
      <c r="AT1287" s="2">
        <v>0</v>
      </c>
      <c r="BB1287" s="2" t="str">
        <f>+PROPER(BD[[#This Row],[PRIMER_APELLIDO]])</f>
        <v>Rojas</v>
      </c>
    </row>
    <row r="1288" spans="1:54" x14ac:dyDescent="0.25">
      <c r="A1288" s="2">
        <v>1287</v>
      </c>
      <c r="B1288" s="2">
        <v>32410</v>
      </c>
      <c r="C1288" s="5" t="s">
        <v>619</v>
      </c>
      <c r="D1288" s="2" t="s">
        <v>620</v>
      </c>
      <c r="E1288" s="6" t="s">
        <v>8162</v>
      </c>
      <c r="F1288" s="6">
        <v>21672099</v>
      </c>
      <c r="G1288" s="3">
        <v>41</v>
      </c>
      <c r="I1288" s="7"/>
      <c r="J1288" s="7"/>
      <c r="K1288" s="8">
        <v>41.032876712328765</v>
      </c>
      <c r="L1288" s="2" t="s">
        <v>724</v>
      </c>
      <c r="M1288" s="2" t="s">
        <v>1464</v>
      </c>
      <c r="N1288" s="2" t="s">
        <v>182</v>
      </c>
      <c r="O1288" s="2" t="s">
        <v>34</v>
      </c>
      <c r="P1288" s="2" t="s">
        <v>626</v>
      </c>
      <c r="Q1288" s="2" t="s">
        <v>351</v>
      </c>
      <c r="R1288" s="9">
        <v>29819</v>
      </c>
      <c r="S1288" s="9">
        <v>29819</v>
      </c>
      <c r="T1288" s="2" t="s">
        <v>740</v>
      </c>
      <c r="U1288" s="2" t="s">
        <v>1191</v>
      </c>
      <c r="V1288" s="2" t="s">
        <v>1334</v>
      </c>
      <c r="W1288" s="2" t="s">
        <v>1300</v>
      </c>
      <c r="X1288" s="2" t="s">
        <v>8163</v>
      </c>
      <c r="Y1288" s="2" t="s">
        <v>8164</v>
      </c>
      <c r="Z1288" s="6">
        <v>86327574</v>
      </c>
      <c r="AA1288" s="2">
        <v>86327574</v>
      </c>
      <c r="AB1288" s="2" t="s">
        <v>642</v>
      </c>
      <c r="AC1288" s="2" t="s">
        <v>632</v>
      </c>
      <c r="AD1288" s="10">
        <v>86327574</v>
      </c>
      <c r="AE1288" s="11"/>
      <c r="AF1288" s="11">
        <v>86327574</v>
      </c>
      <c r="AG1288" s="11"/>
      <c r="AH1288" s="11"/>
      <c r="AI1288" s="11"/>
      <c r="AJ1288" s="11">
        <v>86327574</v>
      </c>
      <c r="AK1288" s="12">
        <v>2</v>
      </c>
      <c r="AL1288" s="12" t="s">
        <v>7377</v>
      </c>
      <c r="AM1288" s="2">
        <v>0</v>
      </c>
      <c r="AN1288" s="2">
        <v>0</v>
      </c>
      <c r="AO1288" s="2">
        <v>0</v>
      </c>
      <c r="AP1288" s="2">
        <v>1</v>
      </c>
      <c r="AQ1288" s="2">
        <v>0</v>
      </c>
      <c r="AR1288" s="2">
        <v>0</v>
      </c>
      <c r="AS1288" s="2">
        <v>0</v>
      </c>
      <c r="AT1288" s="2">
        <v>0</v>
      </c>
      <c r="AZ1288" s="2" t="s">
        <v>8165</v>
      </c>
      <c r="BB1288" s="2" t="str">
        <f>+PROPER(BD[[#This Row],[PRIMER_APELLIDO]])</f>
        <v>Rugama</v>
      </c>
    </row>
    <row r="1289" spans="1:54" x14ac:dyDescent="0.25">
      <c r="A1289" s="2">
        <v>1288</v>
      </c>
      <c r="B1289" s="2">
        <v>26409</v>
      </c>
      <c r="C1289" s="5" t="s">
        <v>619</v>
      </c>
      <c r="D1289" s="2" t="s">
        <v>620</v>
      </c>
      <c r="E1289" s="6" t="s">
        <v>8166</v>
      </c>
      <c r="F1289" s="6">
        <v>25707692</v>
      </c>
      <c r="G1289" s="3">
        <v>41</v>
      </c>
      <c r="I1289" s="7"/>
      <c r="J1289" s="7"/>
      <c r="K1289" s="8">
        <v>41.041095890410958</v>
      </c>
      <c r="L1289" s="2" t="s">
        <v>8167</v>
      </c>
      <c r="M1289" s="2" t="s">
        <v>1373</v>
      </c>
      <c r="N1289" s="2" t="s">
        <v>416</v>
      </c>
      <c r="O1289" s="2" t="s">
        <v>116</v>
      </c>
      <c r="P1289" s="2" t="s">
        <v>626</v>
      </c>
      <c r="Q1289" s="2" t="s">
        <v>351</v>
      </c>
      <c r="R1289" s="9">
        <v>29816</v>
      </c>
      <c r="S1289" s="9">
        <v>29816</v>
      </c>
      <c r="U1289" s="2" t="s">
        <v>176</v>
      </c>
      <c r="W1289" s="2" t="s">
        <v>176</v>
      </c>
      <c r="X1289" s="2" t="s">
        <v>8168</v>
      </c>
      <c r="Y1289" s="2" t="s">
        <v>8169</v>
      </c>
      <c r="Z1289" s="6"/>
      <c r="AA1289" s="2">
        <v>88422566</v>
      </c>
      <c r="AB1289" s="2" t="s">
        <v>642</v>
      </c>
      <c r="AC1289" s="2" t="s">
        <v>632</v>
      </c>
      <c r="AD1289" s="10"/>
      <c r="AE1289" s="11"/>
      <c r="AF1289" s="11">
        <v>88422566</v>
      </c>
      <c r="AG1289" s="11"/>
      <c r="AH1289" s="11"/>
      <c r="AI1289" s="11"/>
      <c r="AJ1289" s="11">
        <v>88422566</v>
      </c>
      <c r="AK1289" s="12">
        <v>1</v>
      </c>
      <c r="AL1289" s="12" t="s">
        <v>7377</v>
      </c>
      <c r="AM1289" s="2">
        <v>0</v>
      </c>
      <c r="AN1289" s="2">
        <v>0</v>
      </c>
      <c r="AO1289" s="2">
        <v>0</v>
      </c>
      <c r="AP1289" s="2">
        <v>1</v>
      </c>
      <c r="AQ1289" s="2">
        <v>0</v>
      </c>
      <c r="AR1289" s="2">
        <v>0</v>
      </c>
      <c r="AS1289" s="2">
        <v>0</v>
      </c>
      <c r="AT1289" s="2">
        <v>0</v>
      </c>
      <c r="BB1289" s="2" t="str">
        <f>+PROPER(BD[[#This Row],[PRIMER_APELLIDO]])</f>
        <v>Quintana</v>
      </c>
    </row>
    <row r="1290" spans="1:54" x14ac:dyDescent="0.25">
      <c r="A1290" s="2">
        <v>1289</v>
      </c>
      <c r="B1290" s="2">
        <v>28498</v>
      </c>
      <c r="C1290" s="5" t="s">
        <v>619</v>
      </c>
      <c r="D1290" s="2" t="s">
        <v>620</v>
      </c>
      <c r="E1290" s="6" t="s">
        <v>8170</v>
      </c>
      <c r="F1290" s="6">
        <v>12707898</v>
      </c>
      <c r="G1290" s="3">
        <v>41</v>
      </c>
      <c r="I1290" s="7"/>
      <c r="J1290" s="7"/>
      <c r="K1290" s="8">
        <v>41.046575342465751</v>
      </c>
      <c r="L1290" s="2" t="s">
        <v>2996</v>
      </c>
      <c r="M1290" s="2" t="s">
        <v>904</v>
      </c>
      <c r="N1290" s="2" t="s">
        <v>11</v>
      </c>
      <c r="O1290" s="2" t="s">
        <v>8171</v>
      </c>
      <c r="P1290" s="2" t="s">
        <v>649</v>
      </c>
      <c r="Q1290" s="2" t="s">
        <v>351</v>
      </c>
      <c r="R1290" s="9">
        <v>29814</v>
      </c>
      <c r="S1290" s="9">
        <v>29814</v>
      </c>
      <c r="T1290" s="2" t="s">
        <v>732</v>
      </c>
      <c r="U1290" s="2" t="s">
        <v>732</v>
      </c>
      <c r="V1290" s="2" t="s">
        <v>962</v>
      </c>
      <c r="W1290" s="2" t="s">
        <v>848</v>
      </c>
      <c r="X1290" s="2" t="s">
        <v>8172</v>
      </c>
      <c r="Y1290" s="2" t="s">
        <v>8173</v>
      </c>
      <c r="Z1290" s="6"/>
      <c r="AA1290" s="2" t="s">
        <v>8174</v>
      </c>
      <c r="AB1290" s="2" t="s">
        <v>8175</v>
      </c>
      <c r="AC1290" s="2" t="s">
        <v>632</v>
      </c>
      <c r="AD1290" s="10"/>
      <c r="AE1290" s="11"/>
      <c r="AF1290" s="11"/>
      <c r="AG1290" s="11"/>
      <c r="AH1290" s="11">
        <v>22665030</v>
      </c>
      <c r="AI1290" s="11">
        <v>83723911</v>
      </c>
      <c r="AJ1290" s="11"/>
      <c r="AK1290" s="12">
        <v>4</v>
      </c>
      <c r="AL1290" s="12" t="s">
        <v>7377</v>
      </c>
      <c r="AM1290" s="2">
        <v>0</v>
      </c>
      <c r="AN1290" s="2">
        <v>0</v>
      </c>
      <c r="AO1290" s="2">
        <v>0</v>
      </c>
      <c r="AP1290" s="2">
        <v>1</v>
      </c>
      <c r="AQ1290" s="2">
        <v>0</v>
      </c>
      <c r="AR1290" s="2">
        <v>0</v>
      </c>
      <c r="AS1290" s="2">
        <v>0</v>
      </c>
      <c r="AT1290" s="2">
        <v>0</v>
      </c>
      <c r="BB1290" s="2" t="str">
        <f>+PROPER(BD[[#This Row],[PRIMER_APELLIDO]])</f>
        <v>Hernandez</v>
      </c>
    </row>
    <row r="1291" spans="1:54" x14ac:dyDescent="0.25">
      <c r="A1291" s="2">
        <v>1290</v>
      </c>
      <c r="B1291" s="2">
        <v>81083</v>
      </c>
      <c r="C1291" s="5" t="s">
        <v>619</v>
      </c>
      <c r="D1291" s="2" t="s">
        <v>620</v>
      </c>
      <c r="E1291" s="6" t="s">
        <v>8176</v>
      </c>
      <c r="F1291" s="6"/>
      <c r="G1291" s="3">
        <v>41</v>
      </c>
      <c r="I1291" s="7"/>
      <c r="J1291" s="7"/>
      <c r="K1291" s="8">
        <v>41.054794520547944</v>
      </c>
      <c r="L1291" s="2" t="s">
        <v>793</v>
      </c>
      <c r="M1291" s="2" t="s">
        <v>904</v>
      </c>
      <c r="N1291" s="2" t="s">
        <v>113</v>
      </c>
      <c r="O1291" s="2" t="s">
        <v>123</v>
      </c>
      <c r="P1291" s="2" t="s">
        <v>649</v>
      </c>
      <c r="Q1291" s="2" t="s">
        <v>351</v>
      </c>
      <c r="R1291" s="9">
        <v>29811</v>
      </c>
      <c r="S1291" s="9">
        <v>29842</v>
      </c>
      <c r="T1291" s="2" t="s">
        <v>627</v>
      </c>
      <c r="U1291" s="2" t="s">
        <v>627</v>
      </c>
      <c r="V1291" s="2" t="s">
        <v>1498</v>
      </c>
      <c r="W1291" s="2" t="s">
        <v>1498</v>
      </c>
      <c r="X1291" s="2" t="s">
        <v>8177</v>
      </c>
      <c r="Y1291" s="2" t="s">
        <v>8178</v>
      </c>
      <c r="Z1291" s="6">
        <v>86550808</v>
      </c>
      <c r="AA1291" s="2" t="s">
        <v>8179</v>
      </c>
      <c r="AB1291" s="2" t="s">
        <v>6264</v>
      </c>
      <c r="AC1291" s="2" t="s">
        <v>632</v>
      </c>
      <c r="AD1291" s="10">
        <v>86550808</v>
      </c>
      <c r="AE1291" s="11"/>
      <c r="AF1291" s="11">
        <v>86550808</v>
      </c>
      <c r="AG1291" s="11">
        <v>77126702</v>
      </c>
      <c r="AH1291" s="11"/>
      <c r="AI1291" s="11"/>
      <c r="AJ1291" s="11">
        <v>86550808</v>
      </c>
      <c r="AK1291" s="12">
        <v>3</v>
      </c>
      <c r="AL1291" s="12" t="s">
        <v>7377</v>
      </c>
      <c r="AM1291" s="2">
        <v>0</v>
      </c>
      <c r="AN1291" s="2">
        <v>0</v>
      </c>
      <c r="AO1291" s="2">
        <v>0</v>
      </c>
      <c r="AP1291" s="2">
        <v>1</v>
      </c>
      <c r="AQ1291" s="2">
        <v>0</v>
      </c>
      <c r="AR1291" s="2">
        <v>0</v>
      </c>
      <c r="AS1291" s="2">
        <v>0</v>
      </c>
      <c r="AT1291" s="2">
        <v>0</v>
      </c>
      <c r="AZ1291" s="2" t="s">
        <v>8180</v>
      </c>
      <c r="BB1291" s="2" t="str">
        <f>+PROPER(BD[[#This Row],[PRIMER_APELLIDO]])</f>
        <v>Silva</v>
      </c>
    </row>
    <row r="1292" spans="1:54" x14ac:dyDescent="0.25">
      <c r="A1292" s="2">
        <v>1291</v>
      </c>
      <c r="B1292" s="2">
        <v>22915</v>
      </c>
      <c r="C1292" s="5" t="s">
        <v>619</v>
      </c>
      <c r="D1292" s="2" t="s">
        <v>620</v>
      </c>
      <c r="E1292" s="6" t="s">
        <v>8181</v>
      </c>
      <c r="F1292" s="6"/>
      <c r="G1292" s="3">
        <v>41</v>
      </c>
      <c r="I1292" s="7"/>
      <c r="J1292" s="7"/>
      <c r="K1292" s="8">
        <v>41.057534246575344</v>
      </c>
      <c r="L1292" s="2" t="s">
        <v>1692</v>
      </c>
      <c r="M1292" s="2" t="s">
        <v>975</v>
      </c>
      <c r="N1292" s="2" t="s">
        <v>99</v>
      </c>
      <c r="O1292" s="2" t="s">
        <v>177</v>
      </c>
      <c r="P1292" s="2" t="s">
        <v>649</v>
      </c>
      <c r="Q1292" s="2" t="s">
        <v>351</v>
      </c>
      <c r="R1292" s="9">
        <v>29810</v>
      </c>
      <c r="S1292" s="9">
        <v>29810</v>
      </c>
      <c r="T1292" s="2" t="s">
        <v>1104</v>
      </c>
      <c r="U1292" s="2" t="s">
        <v>627</v>
      </c>
      <c r="V1292" s="2" t="s">
        <v>1104</v>
      </c>
      <c r="W1292" s="2" t="s">
        <v>627</v>
      </c>
      <c r="X1292" s="2" t="s">
        <v>8182</v>
      </c>
      <c r="Y1292" s="2" t="s">
        <v>8183</v>
      </c>
      <c r="Z1292" s="6">
        <v>87064120</v>
      </c>
      <c r="AA1292" s="2">
        <v>87064120</v>
      </c>
      <c r="AB1292" s="2" t="s">
        <v>654</v>
      </c>
      <c r="AC1292" s="2" t="s">
        <v>632</v>
      </c>
      <c r="AD1292" s="10">
        <v>87064120</v>
      </c>
      <c r="AE1292" s="11"/>
      <c r="AF1292" s="11">
        <v>87064120</v>
      </c>
      <c r="AG1292" s="11"/>
      <c r="AH1292" s="11"/>
      <c r="AI1292" s="11"/>
      <c r="AJ1292" s="11">
        <v>87064120</v>
      </c>
      <c r="AK1292" s="12">
        <v>2</v>
      </c>
      <c r="AL1292" s="12" t="s">
        <v>7377</v>
      </c>
      <c r="AM1292" s="2">
        <v>0</v>
      </c>
      <c r="AN1292" s="2">
        <v>0</v>
      </c>
      <c r="AO1292" s="2">
        <v>0</v>
      </c>
      <c r="AP1292" s="2">
        <v>1</v>
      </c>
      <c r="AQ1292" s="2">
        <v>0</v>
      </c>
      <c r="AR1292" s="2">
        <v>0</v>
      </c>
      <c r="AS1292" s="2">
        <v>0</v>
      </c>
      <c r="AT1292" s="2">
        <v>0</v>
      </c>
      <c r="AZ1292" s="2" t="s">
        <v>8184</v>
      </c>
      <c r="BB1292" s="2" t="str">
        <f>+PROPER(BD[[#This Row],[PRIMER_APELLIDO]])</f>
        <v>Valle</v>
      </c>
    </row>
    <row r="1293" spans="1:54" x14ac:dyDescent="0.25">
      <c r="A1293" s="2">
        <v>1292</v>
      </c>
      <c r="B1293" s="2">
        <v>27736</v>
      </c>
      <c r="C1293" s="5" t="s">
        <v>619</v>
      </c>
      <c r="D1293" s="2" t="s">
        <v>620</v>
      </c>
      <c r="E1293" s="6" t="s">
        <v>8185</v>
      </c>
      <c r="F1293" s="6">
        <v>12552984</v>
      </c>
      <c r="G1293" s="3">
        <v>41</v>
      </c>
      <c r="I1293" s="7"/>
      <c r="J1293" s="7"/>
      <c r="K1293" s="8">
        <v>41.063013698630137</v>
      </c>
      <c r="L1293" s="2" t="s">
        <v>825</v>
      </c>
      <c r="M1293" s="2" t="s">
        <v>826</v>
      </c>
      <c r="N1293" s="2" t="s">
        <v>74</v>
      </c>
      <c r="O1293" s="2" t="s">
        <v>7516</v>
      </c>
      <c r="P1293" s="2" t="s">
        <v>649</v>
      </c>
      <c r="Q1293" s="2" t="s">
        <v>351</v>
      </c>
      <c r="R1293" s="9">
        <v>29808</v>
      </c>
      <c r="S1293" s="9">
        <v>29808</v>
      </c>
      <c r="T1293" s="2" t="s">
        <v>133</v>
      </c>
      <c r="U1293" s="2" t="s">
        <v>133</v>
      </c>
      <c r="V1293" s="2" t="s">
        <v>938</v>
      </c>
      <c r="W1293" s="2" t="s">
        <v>938</v>
      </c>
      <c r="X1293" s="2" t="s">
        <v>8186</v>
      </c>
      <c r="Y1293" s="2" t="s">
        <v>8187</v>
      </c>
      <c r="Z1293" s="6">
        <v>83555741</v>
      </c>
      <c r="AB1293" s="2" t="s">
        <v>7584</v>
      </c>
      <c r="AC1293" s="2" t="s">
        <v>632</v>
      </c>
      <c r="AD1293" s="10">
        <v>83555741</v>
      </c>
      <c r="AE1293" s="11"/>
      <c r="AF1293" s="11"/>
      <c r="AG1293" s="11"/>
      <c r="AH1293" s="11"/>
      <c r="AI1293" s="11"/>
      <c r="AJ1293" s="11">
        <v>83555741</v>
      </c>
      <c r="AK1293" s="12">
        <v>1</v>
      </c>
      <c r="AL1293" s="12" t="s">
        <v>7377</v>
      </c>
      <c r="AM1293" s="2">
        <v>0</v>
      </c>
      <c r="AN1293" s="2">
        <v>0</v>
      </c>
      <c r="AO1293" s="2">
        <v>0</v>
      </c>
      <c r="AP1293" s="2">
        <v>1</v>
      </c>
      <c r="AQ1293" s="2">
        <v>0</v>
      </c>
      <c r="AR1293" s="2">
        <v>0</v>
      </c>
      <c r="AS1293" s="2">
        <v>0</v>
      </c>
      <c r="AT1293" s="2">
        <v>0</v>
      </c>
      <c r="AZ1293" s="2" t="s">
        <v>8188</v>
      </c>
      <c r="BB1293" s="2" t="str">
        <f>+PROPER(BD[[#This Row],[PRIMER_APELLIDO]])</f>
        <v>Reyes</v>
      </c>
    </row>
    <row r="1294" spans="1:54" x14ac:dyDescent="0.25">
      <c r="A1294" s="2">
        <v>1293</v>
      </c>
      <c r="B1294" s="2">
        <v>33218</v>
      </c>
      <c r="C1294" s="5" t="s">
        <v>619</v>
      </c>
      <c r="D1294" s="2" t="s">
        <v>620</v>
      </c>
      <c r="E1294" s="6" t="s">
        <v>8189</v>
      </c>
      <c r="F1294" s="6">
        <v>23090295</v>
      </c>
      <c r="G1294" s="3">
        <v>41</v>
      </c>
      <c r="I1294" s="7"/>
      <c r="J1294" s="7"/>
      <c r="K1294" s="8">
        <v>41.06849315068493</v>
      </c>
      <c r="L1294" s="2" t="s">
        <v>8190</v>
      </c>
      <c r="M1294" s="2" t="s">
        <v>724</v>
      </c>
      <c r="N1294" s="2" t="s">
        <v>122</v>
      </c>
      <c r="O1294" s="2" t="s">
        <v>8191</v>
      </c>
      <c r="P1294" s="2" t="s">
        <v>626</v>
      </c>
      <c r="Q1294" s="2" t="s">
        <v>351</v>
      </c>
      <c r="R1294" s="9">
        <v>29806</v>
      </c>
      <c r="S1294" s="9">
        <v>29806</v>
      </c>
      <c r="T1294" s="2" t="s">
        <v>176</v>
      </c>
      <c r="U1294" s="2" t="s">
        <v>176</v>
      </c>
      <c r="V1294" s="2" t="s">
        <v>650</v>
      </c>
      <c r="W1294" s="2" t="s">
        <v>176</v>
      </c>
      <c r="X1294" s="2" t="s">
        <v>8192</v>
      </c>
      <c r="Y1294" s="2" t="s">
        <v>8193</v>
      </c>
      <c r="Z1294" s="6">
        <v>86743279</v>
      </c>
      <c r="AA1294" s="2" t="s">
        <v>8194</v>
      </c>
      <c r="AB1294" s="2" t="s">
        <v>642</v>
      </c>
      <c r="AC1294" s="2" t="s">
        <v>632</v>
      </c>
      <c r="AD1294" s="10">
        <v>86743279</v>
      </c>
      <c r="AE1294" s="11"/>
      <c r="AF1294" s="11"/>
      <c r="AG1294" s="11">
        <v>86743279</v>
      </c>
      <c r="AH1294" s="11"/>
      <c r="AI1294" s="11"/>
      <c r="AJ1294" s="11">
        <v>86743279</v>
      </c>
      <c r="AK1294" s="12">
        <v>3</v>
      </c>
      <c r="AL1294" s="12" t="s">
        <v>7377</v>
      </c>
      <c r="AM1294" s="2">
        <v>0</v>
      </c>
      <c r="AN1294" s="2">
        <v>0</v>
      </c>
      <c r="AO1294" s="2">
        <v>0</v>
      </c>
      <c r="AP1294" s="2">
        <v>1</v>
      </c>
      <c r="AQ1294" s="2">
        <v>0</v>
      </c>
      <c r="AR1294" s="2">
        <v>0</v>
      </c>
      <c r="AS1294" s="2">
        <v>0</v>
      </c>
      <c r="AT1294" s="2">
        <v>0</v>
      </c>
      <c r="AZ1294" s="2" t="s">
        <v>8195</v>
      </c>
      <c r="BB1294" s="2" t="str">
        <f>+PROPER(BD[[#This Row],[PRIMER_APELLIDO]])</f>
        <v>Escobar</v>
      </c>
    </row>
    <row r="1295" spans="1:54" x14ac:dyDescent="0.25">
      <c r="A1295" s="2">
        <v>1294</v>
      </c>
      <c r="B1295" s="2">
        <v>32967</v>
      </c>
      <c r="C1295" s="5" t="s">
        <v>619</v>
      </c>
      <c r="D1295" s="2" t="s">
        <v>620</v>
      </c>
      <c r="E1295" s="6" t="s">
        <v>8196</v>
      </c>
      <c r="F1295" s="6">
        <v>21719633</v>
      </c>
      <c r="G1295" s="3">
        <v>41</v>
      </c>
      <c r="I1295" s="7"/>
      <c r="J1295" s="7"/>
      <c r="K1295" s="8">
        <v>41.090410958904108</v>
      </c>
      <c r="L1295" s="2" t="s">
        <v>1692</v>
      </c>
      <c r="M1295" s="2" t="s">
        <v>904</v>
      </c>
      <c r="N1295" s="2" t="s">
        <v>58</v>
      </c>
      <c r="O1295" s="2" t="s">
        <v>130</v>
      </c>
      <c r="P1295" s="2" t="s">
        <v>649</v>
      </c>
      <c r="Q1295" s="2" t="s">
        <v>351</v>
      </c>
      <c r="R1295" s="9">
        <v>29798</v>
      </c>
      <c r="S1295" s="9">
        <v>29798</v>
      </c>
      <c r="T1295" s="2" t="s">
        <v>929</v>
      </c>
      <c r="U1295" s="2" t="s">
        <v>444</v>
      </c>
      <c r="V1295" s="2" t="s">
        <v>1653</v>
      </c>
      <c r="W1295" s="2" t="s">
        <v>1845</v>
      </c>
      <c r="X1295" s="2" t="s">
        <v>8197</v>
      </c>
      <c r="Y1295" s="2" t="s">
        <v>5756</v>
      </c>
      <c r="Z1295" s="6">
        <v>84242929</v>
      </c>
      <c r="AA1295" s="2">
        <v>84242929</v>
      </c>
      <c r="AB1295" s="2" t="s">
        <v>654</v>
      </c>
      <c r="AC1295" s="2" t="s">
        <v>632</v>
      </c>
      <c r="AD1295" s="10">
        <v>84242929</v>
      </c>
      <c r="AE1295" s="11"/>
      <c r="AF1295" s="11">
        <v>84242929</v>
      </c>
      <c r="AG1295" s="11"/>
      <c r="AH1295" s="11"/>
      <c r="AI1295" s="11"/>
      <c r="AJ1295" s="11">
        <v>84242929</v>
      </c>
      <c r="AK1295" s="12">
        <v>2</v>
      </c>
      <c r="AL1295" s="12" t="s">
        <v>7377</v>
      </c>
      <c r="AM1295" s="2">
        <v>0</v>
      </c>
      <c r="AN1295" s="2">
        <v>0</v>
      </c>
      <c r="AO1295" s="2">
        <v>0</v>
      </c>
      <c r="AP1295" s="2">
        <v>1</v>
      </c>
      <c r="AQ1295" s="2">
        <v>0</v>
      </c>
      <c r="AR1295" s="2">
        <v>0</v>
      </c>
      <c r="AS1295" s="2">
        <v>0</v>
      </c>
      <c r="AT1295" s="2">
        <v>0</v>
      </c>
      <c r="AZ1295" s="2" t="s">
        <v>8198</v>
      </c>
      <c r="BB1295" s="2" t="str">
        <f>+PROPER(BD[[#This Row],[PRIMER_APELLIDO]])</f>
        <v>Flores</v>
      </c>
    </row>
    <row r="1296" spans="1:54" x14ac:dyDescent="0.25">
      <c r="A1296" s="2">
        <v>1295</v>
      </c>
      <c r="B1296" s="2">
        <v>23358</v>
      </c>
      <c r="C1296" s="5" t="s">
        <v>619</v>
      </c>
      <c r="D1296" s="2" t="s">
        <v>620</v>
      </c>
      <c r="E1296" s="6" t="s">
        <v>8199</v>
      </c>
      <c r="F1296" s="6">
        <v>20066901</v>
      </c>
      <c r="G1296" s="3">
        <v>41</v>
      </c>
      <c r="I1296" s="7"/>
      <c r="J1296" s="7"/>
      <c r="K1296" s="8">
        <v>41.093150684931508</v>
      </c>
      <c r="L1296" s="2" t="s">
        <v>2563</v>
      </c>
      <c r="M1296" s="2" t="s">
        <v>683</v>
      </c>
      <c r="N1296" s="2" t="s">
        <v>508</v>
      </c>
      <c r="O1296" s="2" t="s">
        <v>230</v>
      </c>
      <c r="P1296" s="2" t="s">
        <v>626</v>
      </c>
      <c r="Q1296" s="2" t="s">
        <v>351</v>
      </c>
      <c r="R1296" s="9">
        <v>29797</v>
      </c>
      <c r="S1296" s="9">
        <v>29797</v>
      </c>
      <c r="T1296" s="2" t="s">
        <v>732</v>
      </c>
      <c r="U1296" s="2" t="s">
        <v>732</v>
      </c>
      <c r="V1296" s="2" t="s">
        <v>732</v>
      </c>
      <c r="W1296" s="2" t="s">
        <v>732</v>
      </c>
      <c r="X1296" s="2" t="s">
        <v>8200</v>
      </c>
      <c r="Y1296" s="2" t="s">
        <v>8201</v>
      </c>
      <c r="Z1296" s="6">
        <v>83726798</v>
      </c>
      <c r="AB1296" s="2" t="s">
        <v>654</v>
      </c>
      <c r="AC1296" s="2" t="s">
        <v>632</v>
      </c>
      <c r="AD1296" s="10">
        <v>83726798</v>
      </c>
      <c r="AE1296" s="11"/>
      <c r="AF1296" s="11"/>
      <c r="AG1296" s="11"/>
      <c r="AH1296" s="11"/>
      <c r="AI1296" s="11"/>
      <c r="AJ1296" s="11">
        <v>83726798</v>
      </c>
      <c r="AK1296" s="12">
        <v>1</v>
      </c>
      <c r="AL1296" s="12" t="s">
        <v>7377</v>
      </c>
      <c r="AM1296" s="2">
        <v>0</v>
      </c>
      <c r="AN1296" s="2">
        <v>0</v>
      </c>
      <c r="AO1296" s="2">
        <v>0</v>
      </c>
      <c r="AP1296" s="2">
        <v>1</v>
      </c>
      <c r="AQ1296" s="2">
        <v>0</v>
      </c>
      <c r="AR1296" s="2">
        <v>0</v>
      </c>
      <c r="AS1296" s="2">
        <v>0</v>
      </c>
      <c r="AT1296" s="2">
        <v>0</v>
      </c>
      <c r="AZ1296" s="2" t="s">
        <v>8202</v>
      </c>
      <c r="BB1296" s="2" t="str">
        <f>+PROPER(BD[[#This Row],[PRIMER_APELLIDO]])</f>
        <v>Aguilera</v>
      </c>
    </row>
    <row r="1297" spans="1:54" x14ac:dyDescent="0.25">
      <c r="A1297" s="2">
        <v>1296</v>
      </c>
      <c r="B1297" s="2">
        <v>25777</v>
      </c>
      <c r="C1297" s="5" t="s">
        <v>619</v>
      </c>
      <c r="D1297" s="2" t="s">
        <v>620</v>
      </c>
      <c r="E1297" s="6" t="s">
        <v>8203</v>
      </c>
      <c r="F1297" s="6">
        <v>22117689</v>
      </c>
      <c r="G1297" s="3">
        <v>41</v>
      </c>
      <c r="I1297" s="7"/>
      <c r="J1297" s="7"/>
      <c r="K1297" s="8">
        <v>41.095890410958901</v>
      </c>
      <c r="L1297" s="2" t="s">
        <v>724</v>
      </c>
      <c r="M1297" s="2" t="s">
        <v>243</v>
      </c>
      <c r="N1297" s="2" t="s">
        <v>274</v>
      </c>
      <c r="O1297" s="2" t="s">
        <v>467</v>
      </c>
      <c r="P1297" s="2" t="s">
        <v>626</v>
      </c>
      <c r="Q1297" s="2" t="s">
        <v>351</v>
      </c>
      <c r="R1297" s="9">
        <v>29796</v>
      </c>
      <c r="S1297" s="9">
        <v>29796</v>
      </c>
      <c r="T1297" s="2" t="s">
        <v>732</v>
      </c>
      <c r="U1297" s="2" t="s">
        <v>732</v>
      </c>
      <c r="V1297" s="2" t="s">
        <v>732</v>
      </c>
      <c r="W1297" s="2" t="s">
        <v>732</v>
      </c>
      <c r="X1297" s="2" t="s">
        <v>8204</v>
      </c>
      <c r="Y1297" s="2" t="s">
        <v>8205</v>
      </c>
      <c r="Z1297" s="6">
        <v>89836232</v>
      </c>
      <c r="AA1297" s="2">
        <v>89836232</v>
      </c>
      <c r="AB1297" s="2" t="s">
        <v>642</v>
      </c>
      <c r="AC1297" s="2" t="s">
        <v>632</v>
      </c>
      <c r="AD1297" s="10">
        <v>89836232</v>
      </c>
      <c r="AE1297" s="11"/>
      <c r="AF1297" s="11">
        <v>89836232</v>
      </c>
      <c r="AG1297" s="11"/>
      <c r="AH1297" s="11"/>
      <c r="AI1297" s="11"/>
      <c r="AJ1297" s="11">
        <v>89836232</v>
      </c>
      <c r="AK1297" s="12">
        <v>2</v>
      </c>
      <c r="AL1297" s="12" t="s">
        <v>7377</v>
      </c>
      <c r="AM1297" s="2">
        <v>0</v>
      </c>
      <c r="AN1297" s="2">
        <v>0</v>
      </c>
      <c r="AO1297" s="2">
        <v>0</v>
      </c>
      <c r="AP1297" s="2">
        <v>1</v>
      </c>
      <c r="AQ1297" s="2">
        <v>0</v>
      </c>
      <c r="AR1297" s="2">
        <v>0</v>
      </c>
      <c r="AS1297" s="2">
        <v>0</v>
      </c>
      <c r="AT1297" s="2">
        <v>0</v>
      </c>
      <c r="BB1297" s="2" t="str">
        <f>+PROPER(BD[[#This Row],[PRIMER_APELLIDO]])</f>
        <v>Tellez</v>
      </c>
    </row>
    <row r="1298" spans="1:54" x14ac:dyDescent="0.25">
      <c r="A1298" s="2">
        <v>1297</v>
      </c>
      <c r="B1298" s="2">
        <v>23779</v>
      </c>
      <c r="C1298" s="5" t="s">
        <v>619</v>
      </c>
      <c r="D1298" s="2" t="s">
        <v>620</v>
      </c>
      <c r="E1298" s="6" t="s">
        <v>8206</v>
      </c>
      <c r="F1298" s="6">
        <v>23350869</v>
      </c>
      <c r="G1298" s="3">
        <v>41</v>
      </c>
      <c r="I1298" s="7"/>
      <c r="J1298" s="7"/>
      <c r="K1298" s="8">
        <v>41.098630136986301</v>
      </c>
      <c r="L1298" s="2" t="s">
        <v>676</v>
      </c>
      <c r="M1298" s="2" t="s">
        <v>8207</v>
      </c>
      <c r="N1298" s="2" t="s">
        <v>447</v>
      </c>
      <c r="O1298" s="2" t="s">
        <v>402</v>
      </c>
      <c r="P1298" s="2" t="s">
        <v>626</v>
      </c>
      <c r="Q1298" s="2" t="s">
        <v>351</v>
      </c>
      <c r="R1298" s="9">
        <v>29795</v>
      </c>
      <c r="S1298" s="9">
        <v>29795</v>
      </c>
      <c r="U1298" s="2" t="s">
        <v>176</v>
      </c>
      <c r="W1298" s="2" t="s">
        <v>176</v>
      </c>
      <c r="X1298" s="2" t="s">
        <v>8208</v>
      </c>
      <c r="Y1298" s="2" t="s">
        <v>8209</v>
      </c>
      <c r="Z1298" s="6"/>
      <c r="AA1298" s="2">
        <v>89268535</v>
      </c>
      <c r="AB1298" s="2" t="s">
        <v>654</v>
      </c>
      <c r="AC1298" s="2" t="s">
        <v>632</v>
      </c>
      <c r="AD1298" s="10"/>
      <c r="AE1298" s="11"/>
      <c r="AF1298" s="11">
        <v>89268535</v>
      </c>
      <c r="AG1298" s="11"/>
      <c r="AH1298" s="11"/>
      <c r="AI1298" s="11"/>
      <c r="AJ1298" s="11">
        <v>89268535</v>
      </c>
      <c r="AK1298" s="12">
        <v>1</v>
      </c>
      <c r="AL1298" s="12" t="s">
        <v>7377</v>
      </c>
      <c r="AM1298" s="2">
        <v>0</v>
      </c>
      <c r="AN1298" s="2">
        <v>0</v>
      </c>
      <c r="AO1298" s="2">
        <v>0</v>
      </c>
      <c r="AP1298" s="2">
        <v>1</v>
      </c>
      <c r="AQ1298" s="2">
        <v>0</v>
      </c>
      <c r="AR1298" s="2">
        <v>0</v>
      </c>
      <c r="AS1298" s="2">
        <v>0</v>
      </c>
      <c r="AT1298" s="2">
        <v>0</v>
      </c>
      <c r="BB1298" s="2" t="str">
        <f>+PROPER(BD[[#This Row],[PRIMER_APELLIDO]])</f>
        <v>Pereira</v>
      </c>
    </row>
    <row r="1299" spans="1:54" x14ac:dyDescent="0.25">
      <c r="A1299" s="2">
        <v>1298</v>
      </c>
      <c r="B1299" s="2">
        <v>36750</v>
      </c>
      <c r="C1299" s="5" t="s">
        <v>619</v>
      </c>
      <c r="D1299" s="2" t="s">
        <v>620</v>
      </c>
      <c r="E1299" s="6" t="s">
        <v>8210</v>
      </c>
      <c r="F1299" s="6">
        <v>27591655</v>
      </c>
      <c r="G1299" s="3">
        <v>41</v>
      </c>
      <c r="I1299" s="7"/>
      <c r="J1299" s="7"/>
      <c r="K1299" s="8">
        <v>41.098630136986301</v>
      </c>
      <c r="L1299" s="2" t="s">
        <v>2142</v>
      </c>
      <c r="N1299" s="2" t="s">
        <v>319</v>
      </c>
      <c r="O1299" s="2" t="s">
        <v>15</v>
      </c>
      <c r="P1299" s="2" t="s">
        <v>626</v>
      </c>
      <c r="Q1299" s="2" t="s">
        <v>351</v>
      </c>
      <c r="R1299" s="9">
        <v>29795</v>
      </c>
      <c r="S1299" s="9">
        <v>29795</v>
      </c>
      <c r="T1299" s="2" t="s">
        <v>133</v>
      </c>
      <c r="U1299" s="2" t="s">
        <v>133</v>
      </c>
      <c r="V1299" s="2" t="s">
        <v>841</v>
      </c>
      <c r="W1299" s="2" t="s">
        <v>841</v>
      </c>
      <c r="X1299" s="2" t="s">
        <v>8211</v>
      </c>
      <c r="Y1299" s="2" t="s">
        <v>8212</v>
      </c>
      <c r="Z1299" s="6">
        <v>84238714</v>
      </c>
      <c r="AA1299" s="2">
        <v>84238714</v>
      </c>
      <c r="AB1299" s="2" t="s">
        <v>8213</v>
      </c>
      <c r="AC1299" s="2" t="s">
        <v>632</v>
      </c>
      <c r="AD1299" s="10">
        <v>84238714</v>
      </c>
      <c r="AE1299" s="11"/>
      <c r="AF1299" s="11">
        <v>84238714</v>
      </c>
      <c r="AG1299" s="11"/>
      <c r="AH1299" s="11"/>
      <c r="AI1299" s="11"/>
      <c r="AJ1299" s="11">
        <v>84238714</v>
      </c>
      <c r="AK1299" s="12">
        <v>2</v>
      </c>
      <c r="AL1299" s="12" t="s">
        <v>7377</v>
      </c>
      <c r="AM1299" s="2">
        <v>0</v>
      </c>
      <c r="AN1299" s="2">
        <v>0</v>
      </c>
      <c r="AO1299" s="2">
        <v>0</v>
      </c>
      <c r="AP1299" s="2">
        <v>1</v>
      </c>
      <c r="AQ1299" s="2">
        <v>0</v>
      </c>
      <c r="AR1299" s="2">
        <v>0</v>
      </c>
      <c r="AS1299" s="2">
        <v>0</v>
      </c>
      <c r="AT1299" s="2">
        <v>0</v>
      </c>
      <c r="AZ1299" s="2" t="s">
        <v>8214</v>
      </c>
      <c r="BB1299" s="2" t="str">
        <f>+PROPER(BD[[#This Row],[PRIMER_APELLIDO]])</f>
        <v>Mena</v>
      </c>
    </row>
    <row r="1300" spans="1:54" x14ac:dyDescent="0.25">
      <c r="A1300" s="2">
        <v>1299</v>
      </c>
      <c r="B1300" s="2">
        <v>27095</v>
      </c>
      <c r="C1300" s="5" t="s">
        <v>619</v>
      </c>
      <c r="D1300" s="2" t="s">
        <v>620</v>
      </c>
      <c r="E1300" s="6" t="s">
        <v>8215</v>
      </c>
      <c r="F1300" s="6">
        <v>18345294</v>
      </c>
      <c r="G1300" s="3">
        <v>41</v>
      </c>
      <c r="I1300" s="7"/>
      <c r="J1300" s="7"/>
      <c r="K1300" s="8">
        <v>41.104109589041094</v>
      </c>
      <c r="L1300" s="2" t="s">
        <v>7293</v>
      </c>
      <c r="M1300" s="2" t="s">
        <v>704</v>
      </c>
      <c r="N1300" s="2" t="s">
        <v>116</v>
      </c>
      <c r="O1300" s="2" t="s">
        <v>126</v>
      </c>
      <c r="P1300" s="2" t="s">
        <v>626</v>
      </c>
      <c r="Q1300" s="2" t="s">
        <v>351</v>
      </c>
      <c r="R1300" s="9">
        <v>29793</v>
      </c>
      <c r="S1300" s="9">
        <v>29793</v>
      </c>
      <c r="T1300" s="2" t="s">
        <v>780</v>
      </c>
      <c r="U1300" s="2" t="s">
        <v>780</v>
      </c>
      <c r="V1300" s="2" t="s">
        <v>1143</v>
      </c>
      <c r="W1300" s="2" t="s">
        <v>1143</v>
      </c>
      <c r="X1300" s="2" t="s">
        <v>8216</v>
      </c>
      <c r="Y1300" s="2" t="s">
        <v>8217</v>
      </c>
      <c r="Z1300" s="6">
        <v>57240204</v>
      </c>
      <c r="AA1300" s="2">
        <v>88336314</v>
      </c>
      <c r="AB1300" s="2" t="s">
        <v>654</v>
      </c>
      <c r="AC1300" s="2" t="s">
        <v>632</v>
      </c>
      <c r="AD1300" s="10">
        <v>57240204</v>
      </c>
      <c r="AE1300" s="11"/>
      <c r="AF1300" s="11">
        <v>88336314</v>
      </c>
      <c r="AG1300" s="11"/>
      <c r="AH1300" s="11"/>
      <c r="AI1300" s="11"/>
      <c r="AJ1300" s="11">
        <v>57240204</v>
      </c>
      <c r="AK1300" s="12">
        <v>2</v>
      </c>
      <c r="AL1300" s="12" t="s">
        <v>7377</v>
      </c>
      <c r="AM1300" s="2">
        <v>0</v>
      </c>
      <c r="AN1300" s="2">
        <v>0</v>
      </c>
      <c r="AO1300" s="2">
        <v>0</v>
      </c>
      <c r="AP1300" s="2">
        <v>1</v>
      </c>
      <c r="AQ1300" s="2">
        <v>0</v>
      </c>
      <c r="AR1300" s="2">
        <v>0</v>
      </c>
      <c r="AS1300" s="2">
        <v>0</v>
      </c>
      <c r="AT1300" s="2">
        <v>0</v>
      </c>
      <c r="BB1300" s="2" t="str">
        <f>+PROPER(BD[[#This Row],[PRIMER_APELLIDO]])</f>
        <v>Centeno</v>
      </c>
    </row>
    <row r="1301" spans="1:54" x14ac:dyDescent="0.25">
      <c r="A1301" s="2">
        <v>1300</v>
      </c>
      <c r="B1301" s="2">
        <v>31591</v>
      </c>
      <c r="C1301" s="5" t="s">
        <v>619</v>
      </c>
      <c r="D1301" s="2" t="s">
        <v>620</v>
      </c>
      <c r="E1301" s="6" t="s">
        <v>8218</v>
      </c>
      <c r="F1301" s="6">
        <v>21789016</v>
      </c>
      <c r="G1301" s="3">
        <v>41</v>
      </c>
      <c r="I1301" s="7"/>
      <c r="J1301" s="7"/>
      <c r="K1301" s="8">
        <v>41.115068493150687</v>
      </c>
      <c r="L1301" s="2" t="s">
        <v>4975</v>
      </c>
      <c r="M1301" s="2" t="s">
        <v>1176</v>
      </c>
      <c r="N1301" s="2" t="s">
        <v>509</v>
      </c>
      <c r="O1301" s="2" t="s">
        <v>491</v>
      </c>
      <c r="P1301" s="2" t="s">
        <v>626</v>
      </c>
      <c r="Q1301" s="2" t="s">
        <v>351</v>
      </c>
      <c r="R1301" s="9">
        <v>29789</v>
      </c>
      <c r="S1301" s="9">
        <v>29789</v>
      </c>
      <c r="T1301" s="2" t="s">
        <v>740</v>
      </c>
      <c r="U1301" s="2" t="s">
        <v>740</v>
      </c>
      <c r="V1301" s="2" t="s">
        <v>740</v>
      </c>
      <c r="W1301" s="2" t="s">
        <v>740</v>
      </c>
      <c r="X1301" s="2" t="s">
        <v>8219</v>
      </c>
      <c r="Y1301" s="2" t="s">
        <v>8220</v>
      </c>
      <c r="Z1301" s="6">
        <v>89610752</v>
      </c>
      <c r="AB1301" s="2" t="s">
        <v>631</v>
      </c>
      <c r="AC1301" s="2" t="s">
        <v>632</v>
      </c>
      <c r="AD1301" s="10">
        <v>89610752</v>
      </c>
      <c r="AE1301" s="11"/>
      <c r="AF1301" s="11"/>
      <c r="AG1301" s="11"/>
      <c r="AH1301" s="11"/>
      <c r="AI1301" s="11"/>
      <c r="AJ1301" s="11">
        <v>89610752</v>
      </c>
      <c r="AK1301" s="12">
        <v>1</v>
      </c>
      <c r="AL1301" s="12" t="s">
        <v>7377</v>
      </c>
      <c r="AM1301" s="2">
        <v>0</v>
      </c>
      <c r="AN1301" s="2">
        <v>0</v>
      </c>
      <c r="AO1301" s="2">
        <v>0</v>
      </c>
      <c r="AP1301" s="2">
        <v>1</v>
      </c>
      <c r="AQ1301" s="2">
        <v>0</v>
      </c>
      <c r="AR1301" s="2">
        <v>0</v>
      </c>
      <c r="AS1301" s="2">
        <v>0</v>
      </c>
      <c r="AT1301" s="2">
        <v>0</v>
      </c>
      <c r="AZ1301" s="2" t="s">
        <v>8221</v>
      </c>
      <c r="BB1301" s="2" t="str">
        <f>+PROPER(BD[[#This Row],[PRIMER_APELLIDO]])</f>
        <v>Velarde</v>
      </c>
    </row>
    <row r="1302" spans="1:54" x14ac:dyDescent="0.25">
      <c r="A1302" s="2">
        <v>1301</v>
      </c>
      <c r="B1302" s="2">
        <v>39331</v>
      </c>
      <c r="C1302" s="5" t="s">
        <v>619</v>
      </c>
      <c r="D1302" s="2" t="s">
        <v>620</v>
      </c>
      <c r="E1302" s="6" t="s">
        <v>8222</v>
      </c>
      <c r="F1302" s="6">
        <v>23109140</v>
      </c>
      <c r="G1302" s="3">
        <v>41</v>
      </c>
      <c r="I1302" s="7"/>
      <c r="J1302" s="7"/>
      <c r="K1302" s="8">
        <v>41.115068493150687</v>
      </c>
      <c r="L1302" s="2" t="s">
        <v>4501</v>
      </c>
      <c r="M1302" s="2" t="s">
        <v>904</v>
      </c>
      <c r="N1302" s="2" t="s">
        <v>10</v>
      </c>
      <c r="O1302" s="2" t="s">
        <v>343</v>
      </c>
      <c r="P1302" s="2" t="s">
        <v>649</v>
      </c>
      <c r="Q1302" s="2" t="s">
        <v>351</v>
      </c>
      <c r="R1302" s="9">
        <v>29789</v>
      </c>
      <c r="S1302" s="9">
        <v>29789</v>
      </c>
      <c r="T1302" s="2" t="s">
        <v>1044</v>
      </c>
      <c r="U1302" s="2" t="s">
        <v>1044</v>
      </c>
      <c r="V1302" s="2" t="s">
        <v>1838</v>
      </c>
      <c r="W1302" s="2" t="s">
        <v>1838</v>
      </c>
      <c r="X1302" s="2" t="s">
        <v>8223</v>
      </c>
      <c r="Y1302" s="2" t="s">
        <v>8224</v>
      </c>
      <c r="Z1302" s="6">
        <v>86386143</v>
      </c>
      <c r="AA1302" s="2">
        <v>27320930</v>
      </c>
      <c r="AB1302" s="2" t="s">
        <v>654</v>
      </c>
      <c r="AC1302" s="2" t="s">
        <v>632</v>
      </c>
      <c r="AD1302" s="10">
        <v>86386143</v>
      </c>
      <c r="AE1302" s="11"/>
      <c r="AF1302" s="11"/>
      <c r="AG1302" s="11"/>
      <c r="AH1302" s="11"/>
      <c r="AI1302" s="11"/>
      <c r="AJ1302" s="11">
        <v>86386143</v>
      </c>
      <c r="AK1302" s="12">
        <v>2</v>
      </c>
      <c r="AL1302" s="12" t="s">
        <v>7377</v>
      </c>
      <c r="AM1302" s="2">
        <v>0</v>
      </c>
      <c r="AN1302" s="2">
        <v>0</v>
      </c>
      <c r="AO1302" s="2">
        <v>0</v>
      </c>
      <c r="AP1302" s="2">
        <v>1</v>
      </c>
      <c r="AQ1302" s="2">
        <v>0</v>
      </c>
      <c r="AR1302" s="2">
        <v>0</v>
      </c>
      <c r="AS1302" s="2">
        <v>0</v>
      </c>
      <c r="AT1302" s="2">
        <v>0</v>
      </c>
      <c r="AZ1302" s="2" t="s">
        <v>8225</v>
      </c>
      <c r="BB1302" s="2" t="str">
        <f>+PROPER(BD[[#This Row],[PRIMER_APELLIDO]])</f>
        <v>Garcia</v>
      </c>
    </row>
    <row r="1303" spans="1:54" x14ac:dyDescent="0.25">
      <c r="A1303" s="2">
        <v>1302</v>
      </c>
      <c r="B1303" s="2">
        <v>23529</v>
      </c>
      <c r="C1303" s="5" t="s">
        <v>619</v>
      </c>
      <c r="D1303" s="2" t="s">
        <v>620</v>
      </c>
      <c r="E1303" s="6" t="s">
        <v>8226</v>
      </c>
      <c r="F1303" s="6">
        <v>20150819</v>
      </c>
      <c r="G1303" s="3">
        <v>41</v>
      </c>
      <c r="I1303" s="7"/>
      <c r="J1303" s="7"/>
      <c r="K1303" s="8">
        <v>41.12054794520548</v>
      </c>
      <c r="L1303" s="2" t="s">
        <v>1162</v>
      </c>
      <c r="M1303" s="2" t="s">
        <v>8227</v>
      </c>
      <c r="N1303" s="2" t="s">
        <v>78</v>
      </c>
      <c r="O1303" s="2" t="s">
        <v>340</v>
      </c>
      <c r="P1303" s="2" t="s">
        <v>626</v>
      </c>
      <c r="Q1303" s="2" t="s">
        <v>351</v>
      </c>
      <c r="R1303" s="9">
        <v>29787</v>
      </c>
      <c r="S1303" s="9">
        <v>29787</v>
      </c>
      <c r="T1303" s="2" t="s">
        <v>705</v>
      </c>
      <c r="U1303" s="2" t="s">
        <v>705</v>
      </c>
      <c r="V1303" s="2" t="s">
        <v>725</v>
      </c>
      <c r="W1303" s="2" t="s">
        <v>725</v>
      </c>
      <c r="X1303" s="2" t="s">
        <v>8228</v>
      </c>
      <c r="Y1303" s="2" t="s">
        <v>8229</v>
      </c>
      <c r="Z1303" s="6"/>
      <c r="AA1303" s="2" t="s">
        <v>8230</v>
      </c>
      <c r="AB1303" s="2" t="s">
        <v>642</v>
      </c>
      <c r="AC1303" s="2" t="s">
        <v>632</v>
      </c>
      <c r="AD1303" s="10"/>
      <c r="AE1303" s="11"/>
      <c r="AF1303" s="11"/>
      <c r="AG1303" s="11">
        <v>75300005</v>
      </c>
      <c r="AH1303" s="11"/>
      <c r="AI1303" s="11"/>
      <c r="AJ1303" s="11">
        <v>75300005</v>
      </c>
      <c r="AK1303" s="12">
        <v>2</v>
      </c>
      <c r="AL1303" s="12" t="s">
        <v>7377</v>
      </c>
      <c r="AM1303" s="2">
        <v>0</v>
      </c>
      <c r="AN1303" s="2">
        <v>0</v>
      </c>
      <c r="AO1303" s="2">
        <v>0</v>
      </c>
      <c r="AP1303" s="2">
        <v>1</v>
      </c>
      <c r="AQ1303" s="2">
        <v>0</v>
      </c>
      <c r="AR1303" s="2">
        <v>0</v>
      </c>
      <c r="AS1303" s="2">
        <v>0</v>
      </c>
      <c r="AT1303" s="2">
        <v>0</v>
      </c>
      <c r="BB1303" s="2" t="str">
        <f>+PROPER(BD[[#This Row],[PRIMER_APELLIDO]])</f>
        <v>Palma</v>
      </c>
    </row>
    <row r="1304" spans="1:54" x14ac:dyDescent="0.25">
      <c r="A1304" s="2">
        <v>1303</v>
      </c>
      <c r="B1304" s="2">
        <v>50310</v>
      </c>
      <c r="C1304" s="5" t="s">
        <v>619</v>
      </c>
      <c r="D1304" s="2" t="s">
        <v>620</v>
      </c>
      <c r="E1304" s="6" t="s">
        <v>8231</v>
      </c>
      <c r="F1304" s="6">
        <v>13559890</v>
      </c>
      <c r="G1304" s="3">
        <v>41</v>
      </c>
      <c r="I1304" s="7"/>
      <c r="J1304" s="7"/>
      <c r="K1304" s="8">
        <v>41.123287671232873</v>
      </c>
      <c r="L1304" s="2" t="s">
        <v>826</v>
      </c>
      <c r="N1304" s="2" t="s">
        <v>141</v>
      </c>
      <c r="O1304" s="2" t="s">
        <v>252</v>
      </c>
      <c r="P1304" s="2" t="s">
        <v>649</v>
      </c>
      <c r="Q1304" s="2" t="s">
        <v>351</v>
      </c>
      <c r="R1304" s="9">
        <v>29786</v>
      </c>
      <c r="S1304" s="9">
        <v>29786</v>
      </c>
      <c r="T1304" s="2" t="s">
        <v>1005</v>
      </c>
      <c r="U1304" s="2" t="s">
        <v>1005</v>
      </c>
      <c r="V1304" s="2" t="s">
        <v>1184</v>
      </c>
      <c r="W1304" s="2" t="s">
        <v>1184</v>
      </c>
      <c r="X1304" s="2" t="s">
        <v>8232</v>
      </c>
      <c r="Y1304" s="2" t="s">
        <v>8233</v>
      </c>
      <c r="Z1304" s="6">
        <v>87386378</v>
      </c>
      <c r="AA1304" s="2" t="s">
        <v>8234</v>
      </c>
      <c r="AB1304" s="2" t="s">
        <v>798</v>
      </c>
      <c r="AC1304" s="2" t="s">
        <v>632</v>
      </c>
      <c r="AD1304" s="10">
        <v>87386378</v>
      </c>
      <c r="AE1304" s="11"/>
      <c r="AF1304" s="11">
        <v>57885537</v>
      </c>
      <c r="AG1304" s="11">
        <v>87386378</v>
      </c>
      <c r="AH1304" s="11"/>
      <c r="AI1304" s="11"/>
      <c r="AJ1304" s="11">
        <v>87386378</v>
      </c>
      <c r="AK1304" s="12">
        <v>3</v>
      </c>
      <c r="AL1304" s="12" t="s">
        <v>7377</v>
      </c>
      <c r="AM1304" s="2">
        <v>0</v>
      </c>
      <c r="AN1304" s="2">
        <v>0</v>
      </c>
      <c r="AO1304" s="2">
        <v>0</v>
      </c>
      <c r="AP1304" s="2">
        <v>1</v>
      </c>
      <c r="AQ1304" s="2">
        <v>0</v>
      </c>
      <c r="AR1304" s="2">
        <v>0</v>
      </c>
      <c r="AS1304" s="2">
        <v>0</v>
      </c>
      <c r="AT1304" s="2">
        <v>0</v>
      </c>
      <c r="AZ1304" s="2" t="s">
        <v>8235</v>
      </c>
      <c r="BB1304" s="2" t="str">
        <f>+PROPER(BD[[#This Row],[PRIMER_APELLIDO]])</f>
        <v>Aguilar</v>
      </c>
    </row>
    <row r="1305" spans="1:54" x14ac:dyDescent="0.25">
      <c r="A1305" s="2">
        <v>1304</v>
      </c>
      <c r="B1305" s="2">
        <v>23741</v>
      </c>
      <c r="C1305" s="5" t="s">
        <v>619</v>
      </c>
      <c r="D1305" s="2" t="s">
        <v>620</v>
      </c>
      <c r="E1305" s="6" t="s">
        <v>8236</v>
      </c>
      <c r="F1305" s="6">
        <v>19271989</v>
      </c>
      <c r="G1305" s="3">
        <v>41</v>
      </c>
      <c r="I1305" s="7"/>
      <c r="J1305" s="7"/>
      <c r="K1305" s="8">
        <v>41.131506849315066</v>
      </c>
      <c r="L1305" s="2" t="s">
        <v>624</v>
      </c>
      <c r="M1305" s="2" t="s">
        <v>1348</v>
      </c>
      <c r="N1305" s="2" t="s">
        <v>225</v>
      </c>
      <c r="O1305" s="2" t="s">
        <v>163</v>
      </c>
      <c r="P1305" s="2" t="s">
        <v>626</v>
      </c>
      <c r="Q1305" s="2" t="s">
        <v>351</v>
      </c>
      <c r="R1305" s="9">
        <v>29783</v>
      </c>
      <c r="S1305" s="9">
        <v>29783</v>
      </c>
      <c r="T1305" s="2" t="s">
        <v>627</v>
      </c>
      <c r="U1305" s="2" t="s">
        <v>627</v>
      </c>
      <c r="V1305" s="2" t="s">
        <v>1498</v>
      </c>
      <c r="W1305" s="2" t="s">
        <v>1498</v>
      </c>
      <c r="X1305" s="2" t="s">
        <v>8237</v>
      </c>
      <c r="Y1305" s="2" t="s">
        <v>8238</v>
      </c>
      <c r="Z1305" s="6">
        <v>83807437</v>
      </c>
      <c r="AA1305" s="2" t="s">
        <v>8239</v>
      </c>
      <c r="AB1305" s="2" t="s">
        <v>642</v>
      </c>
      <c r="AC1305" s="2" t="s">
        <v>632</v>
      </c>
      <c r="AD1305" s="10">
        <v>83807437</v>
      </c>
      <c r="AE1305" s="11"/>
      <c r="AF1305" s="11"/>
      <c r="AG1305" s="11"/>
      <c r="AH1305" s="11">
        <v>22681975</v>
      </c>
      <c r="AI1305" s="11">
        <v>88272246</v>
      </c>
      <c r="AJ1305" s="11">
        <v>83807437</v>
      </c>
      <c r="AK1305" s="12">
        <v>5</v>
      </c>
      <c r="AL1305" s="12" t="s">
        <v>7377</v>
      </c>
      <c r="AM1305" s="2">
        <v>0</v>
      </c>
      <c r="AN1305" s="2">
        <v>0</v>
      </c>
      <c r="AO1305" s="2">
        <v>0</v>
      </c>
      <c r="AP1305" s="2">
        <v>1</v>
      </c>
      <c r="AQ1305" s="2">
        <v>0</v>
      </c>
      <c r="AR1305" s="2">
        <v>0</v>
      </c>
      <c r="AS1305" s="2">
        <v>0</v>
      </c>
      <c r="AT1305" s="2">
        <v>0</v>
      </c>
      <c r="AZ1305" s="2" t="s">
        <v>8240</v>
      </c>
      <c r="BB1305" s="2" t="str">
        <f>+PROPER(BD[[#This Row],[PRIMER_APELLIDO]])</f>
        <v>Estrada</v>
      </c>
    </row>
    <row r="1306" spans="1:54" x14ac:dyDescent="0.25">
      <c r="A1306" s="2">
        <v>1305</v>
      </c>
      <c r="B1306" s="2">
        <v>29777</v>
      </c>
      <c r="C1306" s="5" t="s">
        <v>619</v>
      </c>
      <c r="D1306" s="2" t="s">
        <v>620</v>
      </c>
      <c r="E1306" s="6" t="s">
        <v>8241</v>
      </c>
      <c r="F1306" s="6">
        <v>21727034</v>
      </c>
      <c r="G1306" s="3">
        <v>41</v>
      </c>
      <c r="I1306" s="7"/>
      <c r="J1306" s="7"/>
      <c r="K1306" s="8">
        <v>41.131506849315066</v>
      </c>
      <c r="L1306" s="2" t="s">
        <v>8242</v>
      </c>
      <c r="M1306" s="2" t="s">
        <v>961</v>
      </c>
      <c r="N1306" s="2" t="s">
        <v>179</v>
      </c>
      <c r="O1306" s="2" t="s">
        <v>98</v>
      </c>
      <c r="P1306" s="2" t="s">
        <v>626</v>
      </c>
      <c r="Q1306" s="2" t="s">
        <v>351</v>
      </c>
      <c r="R1306" s="9">
        <v>29783</v>
      </c>
      <c r="S1306" s="9">
        <v>29783</v>
      </c>
      <c r="T1306" s="2" t="s">
        <v>659</v>
      </c>
      <c r="U1306" s="2" t="s">
        <v>659</v>
      </c>
      <c r="V1306" s="2" t="s">
        <v>659</v>
      </c>
      <c r="W1306" s="2" t="s">
        <v>659</v>
      </c>
      <c r="X1306" s="2" t="s">
        <v>8243</v>
      </c>
      <c r="Y1306" s="2" t="s">
        <v>8244</v>
      </c>
      <c r="Z1306" s="6">
        <v>88357321</v>
      </c>
      <c r="AA1306" s="2">
        <v>88357321</v>
      </c>
      <c r="AB1306" s="2" t="s">
        <v>642</v>
      </c>
      <c r="AC1306" s="2" t="s">
        <v>632</v>
      </c>
      <c r="AD1306" s="10">
        <v>88357321</v>
      </c>
      <c r="AE1306" s="11"/>
      <c r="AF1306" s="11">
        <v>88357321</v>
      </c>
      <c r="AG1306" s="11"/>
      <c r="AH1306" s="11"/>
      <c r="AI1306" s="11"/>
      <c r="AJ1306" s="11">
        <v>88357321</v>
      </c>
      <c r="AK1306" s="12">
        <v>2</v>
      </c>
      <c r="AL1306" s="12" t="s">
        <v>7377</v>
      </c>
      <c r="AM1306" s="2">
        <v>0</v>
      </c>
      <c r="AN1306" s="2">
        <v>0</v>
      </c>
      <c r="AO1306" s="2">
        <v>0</v>
      </c>
      <c r="AP1306" s="2">
        <v>1</v>
      </c>
      <c r="AQ1306" s="2">
        <v>0</v>
      </c>
      <c r="AR1306" s="2">
        <v>0</v>
      </c>
      <c r="AS1306" s="2">
        <v>0</v>
      </c>
      <c r="AT1306" s="2">
        <v>0</v>
      </c>
      <c r="AZ1306" s="2" t="s">
        <v>8245</v>
      </c>
      <c r="BB1306" s="2" t="str">
        <f>+PROPER(BD[[#This Row],[PRIMER_APELLIDO]])</f>
        <v>Herrera</v>
      </c>
    </row>
    <row r="1307" spans="1:54" x14ac:dyDescent="0.25">
      <c r="A1307" s="2">
        <v>1306</v>
      </c>
      <c r="B1307" s="2">
        <v>27386</v>
      </c>
      <c r="C1307" s="5" t="s">
        <v>619</v>
      </c>
      <c r="D1307" s="2" t="s">
        <v>620</v>
      </c>
      <c r="E1307" s="6" t="s">
        <v>8246</v>
      </c>
      <c r="F1307" s="6">
        <v>20482493</v>
      </c>
      <c r="G1307" s="3">
        <v>41</v>
      </c>
      <c r="I1307" s="7"/>
      <c r="J1307" s="7"/>
      <c r="K1307" s="8">
        <v>41.139726027397259</v>
      </c>
      <c r="L1307" s="2" t="s">
        <v>6072</v>
      </c>
      <c r="M1307" s="2" t="s">
        <v>4438</v>
      </c>
      <c r="N1307" s="2" t="s">
        <v>74</v>
      </c>
      <c r="O1307" s="2" t="s">
        <v>105</v>
      </c>
      <c r="P1307" s="2" t="s">
        <v>626</v>
      </c>
      <c r="Q1307" s="2" t="s">
        <v>351</v>
      </c>
      <c r="R1307" s="9">
        <v>29780</v>
      </c>
      <c r="S1307" s="9">
        <v>29780</v>
      </c>
      <c r="T1307" s="2" t="s">
        <v>176</v>
      </c>
      <c r="U1307" s="2" t="s">
        <v>176</v>
      </c>
      <c r="V1307" s="2" t="s">
        <v>650</v>
      </c>
      <c r="W1307" s="2" t="s">
        <v>176</v>
      </c>
      <c r="X1307" s="2" t="s">
        <v>8247</v>
      </c>
      <c r="Y1307" s="2" t="s">
        <v>8248</v>
      </c>
      <c r="Z1307" s="6" t="s">
        <v>8249</v>
      </c>
      <c r="AA1307" s="2" t="s">
        <v>8250</v>
      </c>
      <c r="AB1307" s="2" t="s">
        <v>642</v>
      </c>
      <c r="AC1307" s="2" t="s">
        <v>632</v>
      </c>
      <c r="AD1307" s="10">
        <v>87421998</v>
      </c>
      <c r="AE1307" s="11">
        <v>88425391</v>
      </c>
      <c r="AF1307" s="11"/>
      <c r="AG1307" s="11">
        <v>88221103</v>
      </c>
      <c r="AH1307" s="11">
        <v>82213726</v>
      </c>
      <c r="AI1307" s="11"/>
      <c r="AJ1307" s="11">
        <v>87421998</v>
      </c>
      <c r="AK1307" s="12">
        <v>5</v>
      </c>
      <c r="AL1307" s="12" t="s">
        <v>7377</v>
      </c>
      <c r="AM1307" s="2">
        <v>0</v>
      </c>
      <c r="AN1307" s="2">
        <v>0</v>
      </c>
      <c r="AO1307" s="2">
        <v>0</v>
      </c>
      <c r="AP1307" s="2">
        <v>1</v>
      </c>
      <c r="AQ1307" s="2">
        <v>0</v>
      </c>
      <c r="AR1307" s="2">
        <v>0</v>
      </c>
      <c r="AS1307" s="2">
        <v>0</v>
      </c>
      <c r="AT1307" s="2">
        <v>0</v>
      </c>
      <c r="AZ1307" s="2" t="s">
        <v>8251</v>
      </c>
      <c r="BB1307" s="2" t="str">
        <f>+PROPER(BD[[#This Row],[PRIMER_APELLIDO]])</f>
        <v>Reyes</v>
      </c>
    </row>
    <row r="1308" spans="1:54" x14ac:dyDescent="0.25">
      <c r="A1308" s="2">
        <v>1307</v>
      </c>
      <c r="B1308" s="2">
        <v>30981</v>
      </c>
      <c r="C1308" s="5" t="s">
        <v>619</v>
      </c>
      <c r="D1308" s="2" t="s">
        <v>620</v>
      </c>
      <c r="E1308" s="6" t="s">
        <v>8252</v>
      </c>
      <c r="F1308" s="6">
        <v>21725393</v>
      </c>
      <c r="G1308" s="3">
        <v>41</v>
      </c>
      <c r="I1308" s="7"/>
      <c r="J1308" s="7"/>
      <c r="K1308" s="8">
        <v>41.139726027397259</v>
      </c>
      <c r="L1308" s="2" t="s">
        <v>4400</v>
      </c>
      <c r="M1308" s="2" t="s">
        <v>8253</v>
      </c>
      <c r="N1308" s="2" t="s">
        <v>29</v>
      </c>
      <c r="O1308" s="2" t="s">
        <v>43</v>
      </c>
      <c r="P1308" s="2" t="s">
        <v>626</v>
      </c>
      <c r="Q1308" s="2" t="s">
        <v>351</v>
      </c>
      <c r="R1308" s="9">
        <v>29780</v>
      </c>
      <c r="S1308" s="9">
        <v>29780</v>
      </c>
      <c r="T1308" s="2" t="s">
        <v>627</v>
      </c>
      <c r="U1308" s="2" t="s">
        <v>627</v>
      </c>
      <c r="V1308" s="2" t="s">
        <v>1026</v>
      </c>
      <c r="W1308" s="2" t="s">
        <v>1026</v>
      </c>
      <c r="X1308" s="2" t="s">
        <v>8254</v>
      </c>
      <c r="Y1308" s="2" t="s">
        <v>8255</v>
      </c>
      <c r="Z1308" s="6">
        <v>78251719</v>
      </c>
      <c r="AA1308" s="2">
        <v>22767785</v>
      </c>
      <c r="AB1308" s="2" t="s">
        <v>642</v>
      </c>
      <c r="AC1308" s="2" t="s">
        <v>632</v>
      </c>
      <c r="AD1308" s="10">
        <v>78251719</v>
      </c>
      <c r="AE1308" s="11"/>
      <c r="AF1308" s="11"/>
      <c r="AG1308" s="11"/>
      <c r="AH1308" s="11"/>
      <c r="AI1308" s="11"/>
      <c r="AJ1308" s="11">
        <v>78251719</v>
      </c>
      <c r="AK1308" s="12">
        <v>2</v>
      </c>
      <c r="AL1308" s="12" t="s">
        <v>7377</v>
      </c>
      <c r="AM1308" s="2">
        <v>0</v>
      </c>
      <c r="AN1308" s="2">
        <v>0</v>
      </c>
      <c r="AO1308" s="2">
        <v>0</v>
      </c>
      <c r="AP1308" s="2">
        <v>1</v>
      </c>
      <c r="AQ1308" s="2">
        <v>0</v>
      </c>
      <c r="AR1308" s="2">
        <v>0</v>
      </c>
      <c r="AS1308" s="2">
        <v>0</v>
      </c>
      <c r="AT1308" s="2">
        <v>0</v>
      </c>
      <c r="AZ1308" s="2" t="s">
        <v>8256</v>
      </c>
      <c r="BB1308" s="2" t="str">
        <f>+PROPER(BD[[#This Row],[PRIMER_APELLIDO]])</f>
        <v>Ortega</v>
      </c>
    </row>
    <row r="1309" spans="1:54" x14ac:dyDescent="0.25">
      <c r="A1309" s="2">
        <v>1308</v>
      </c>
      <c r="B1309" s="2">
        <v>47603</v>
      </c>
      <c r="C1309" s="5" t="s">
        <v>619</v>
      </c>
      <c r="D1309" s="2" t="s">
        <v>620</v>
      </c>
      <c r="E1309" s="6" t="s">
        <v>8257</v>
      </c>
      <c r="F1309" s="6">
        <v>20971148</v>
      </c>
      <c r="G1309" s="3">
        <v>41</v>
      </c>
      <c r="I1309" s="7"/>
      <c r="J1309" s="7"/>
      <c r="K1309" s="8">
        <v>41.142465753424659</v>
      </c>
      <c r="L1309" s="2" t="s">
        <v>8258</v>
      </c>
      <c r="M1309" s="2" t="s">
        <v>2023</v>
      </c>
      <c r="N1309" s="2" t="s">
        <v>266</v>
      </c>
      <c r="O1309" s="2" t="s">
        <v>280</v>
      </c>
      <c r="P1309" s="2" t="s">
        <v>649</v>
      </c>
      <c r="Q1309" s="2" t="s">
        <v>351</v>
      </c>
      <c r="R1309" s="9">
        <v>29779</v>
      </c>
      <c r="S1309" s="9">
        <v>29779</v>
      </c>
      <c r="T1309" s="2" t="s">
        <v>133</v>
      </c>
      <c r="U1309" s="2" t="s">
        <v>133</v>
      </c>
      <c r="V1309" s="2" t="s">
        <v>869</v>
      </c>
      <c r="W1309" s="2" t="s">
        <v>869</v>
      </c>
      <c r="X1309" s="2" t="s">
        <v>8259</v>
      </c>
      <c r="Y1309" s="2" t="s">
        <v>8260</v>
      </c>
      <c r="Z1309" s="6">
        <v>58802377</v>
      </c>
      <c r="AB1309" s="2" t="s">
        <v>798</v>
      </c>
      <c r="AC1309" s="2" t="s">
        <v>632</v>
      </c>
      <c r="AD1309" s="10">
        <v>58802377</v>
      </c>
      <c r="AE1309" s="11"/>
      <c r="AF1309" s="11"/>
      <c r="AG1309" s="11"/>
      <c r="AH1309" s="11"/>
      <c r="AI1309" s="11"/>
      <c r="AJ1309" s="11">
        <v>58802377</v>
      </c>
      <c r="AK1309" s="12">
        <v>1</v>
      </c>
      <c r="AL1309" s="12" t="s">
        <v>7377</v>
      </c>
      <c r="AM1309" s="2">
        <v>0</v>
      </c>
      <c r="AN1309" s="2">
        <v>0</v>
      </c>
      <c r="AO1309" s="2">
        <v>0</v>
      </c>
      <c r="AP1309" s="2">
        <v>1</v>
      </c>
      <c r="AQ1309" s="2">
        <v>0</v>
      </c>
      <c r="AR1309" s="2">
        <v>0</v>
      </c>
      <c r="AS1309" s="2">
        <v>0</v>
      </c>
      <c r="AT1309" s="2">
        <v>0</v>
      </c>
      <c r="AZ1309" s="2" t="s">
        <v>8261</v>
      </c>
      <c r="BB1309" s="2" t="str">
        <f>+PROPER(BD[[#This Row],[PRIMER_APELLIDO]])</f>
        <v>Conrado</v>
      </c>
    </row>
    <row r="1310" spans="1:54" x14ac:dyDescent="0.25">
      <c r="A1310" s="2">
        <v>1309</v>
      </c>
      <c r="B1310" s="2">
        <v>25805</v>
      </c>
      <c r="C1310" s="5" t="s">
        <v>619</v>
      </c>
      <c r="D1310" s="2" t="s">
        <v>620</v>
      </c>
      <c r="E1310" s="6" t="s">
        <v>8262</v>
      </c>
      <c r="F1310" s="6">
        <v>21956267</v>
      </c>
      <c r="G1310" s="3">
        <v>41</v>
      </c>
      <c r="I1310" s="7"/>
      <c r="J1310" s="7"/>
      <c r="K1310" s="8">
        <v>41.156164383561645</v>
      </c>
      <c r="L1310" s="2" t="s">
        <v>6819</v>
      </c>
      <c r="M1310" s="2" t="s">
        <v>8263</v>
      </c>
      <c r="N1310" s="2" t="s">
        <v>18</v>
      </c>
      <c r="O1310" s="2" t="s">
        <v>8264</v>
      </c>
      <c r="P1310" s="2" t="s">
        <v>626</v>
      </c>
      <c r="Q1310" s="2" t="s">
        <v>351</v>
      </c>
      <c r="R1310" s="9">
        <v>29774</v>
      </c>
      <c r="S1310" s="9">
        <v>29774</v>
      </c>
      <c r="U1310" s="2" t="s">
        <v>176</v>
      </c>
      <c r="W1310" s="2" t="s">
        <v>176</v>
      </c>
      <c r="X1310" s="2" t="s">
        <v>8265</v>
      </c>
      <c r="Y1310" s="2" t="s">
        <v>8266</v>
      </c>
      <c r="Z1310" s="6"/>
      <c r="AA1310" s="2" t="s">
        <v>8267</v>
      </c>
      <c r="AB1310" s="2" t="s">
        <v>642</v>
      </c>
      <c r="AC1310" s="2" t="s">
        <v>632</v>
      </c>
      <c r="AD1310" s="10"/>
      <c r="AE1310" s="11"/>
      <c r="AF1310" s="11"/>
      <c r="AG1310" s="11">
        <v>84295974</v>
      </c>
      <c r="AH1310" s="11"/>
      <c r="AI1310" s="11"/>
      <c r="AJ1310" s="11">
        <v>84295974</v>
      </c>
      <c r="AK1310" s="12">
        <v>2</v>
      </c>
      <c r="AL1310" s="12" t="s">
        <v>7377</v>
      </c>
      <c r="AM1310" s="2">
        <v>0</v>
      </c>
      <c r="AN1310" s="2">
        <v>0</v>
      </c>
      <c r="AO1310" s="2">
        <v>0</v>
      </c>
      <c r="AP1310" s="2">
        <v>1</v>
      </c>
      <c r="AQ1310" s="2">
        <v>0</v>
      </c>
      <c r="AR1310" s="2">
        <v>0</v>
      </c>
      <c r="AS1310" s="2">
        <v>0</v>
      </c>
      <c r="AT1310" s="2">
        <v>0</v>
      </c>
      <c r="BB1310" s="2" t="str">
        <f>+PROPER(BD[[#This Row],[PRIMER_APELLIDO]])</f>
        <v>Alvarado</v>
      </c>
    </row>
    <row r="1311" spans="1:54" x14ac:dyDescent="0.25">
      <c r="A1311" s="2">
        <v>1310</v>
      </c>
      <c r="B1311" s="2">
        <v>24065</v>
      </c>
      <c r="C1311" s="5" t="s">
        <v>619</v>
      </c>
      <c r="D1311" s="2" t="s">
        <v>620</v>
      </c>
      <c r="E1311" s="6" t="s">
        <v>8268</v>
      </c>
      <c r="F1311" s="6">
        <v>20859835</v>
      </c>
      <c r="G1311" s="3">
        <v>41</v>
      </c>
      <c r="I1311" s="7"/>
      <c r="J1311" s="7"/>
      <c r="K1311" s="8">
        <v>41.164383561643838</v>
      </c>
      <c r="L1311" s="2" t="s">
        <v>8269</v>
      </c>
      <c r="M1311" s="2" t="s">
        <v>3736</v>
      </c>
      <c r="N1311" s="2" t="s">
        <v>510</v>
      </c>
      <c r="O1311" s="2" t="s">
        <v>329</v>
      </c>
      <c r="P1311" s="2" t="s">
        <v>626</v>
      </c>
      <c r="Q1311" s="2" t="s">
        <v>351</v>
      </c>
      <c r="R1311" s="9">
        <v>29771</v>
      </c>
      <c r="S1311" s="9">
        <v>29771</v>
      </c>
      <c r="T1311" s="2" t="s">
        <v>627</v>
      </c>
      <c r="U1311" s="2" t="s">
        <v>444</v>
      </c>
      <c r="V1311" s="2" t="s">
        <v>627</v>
      </c>
      <c r="W1311" s="2" t="s">
        <v>764</v>
      </c>
      <c r="X1311" s="2" t="s">
        <v>8270</v>
      </c>
      <c r="Y1311" s="2" t="s">
        <v>8271</v>
      </c>
      <c r="Z1311" s="6">
        <v>84024429</v>
      </c>
      <c r="AA1311" s="2">
        <v>57574159</v>
      </c>
      <c r="AB1311" s="2" t="s">
        <v>631</v>
      </c>
      <c r="AC1311" s="2" t="s">
        <v>632</v>
      </c>
      <c r="AD1311" s="10">
        <v>84024429</v>
      </c>
      <c r="AE1311" s="11"/>
      <c r="AF1311" s="11">
        <v>57574159</v>
      </c>
      <c r="AG1311" s="11"/>
      <c r="AH1311" s="11"/>
      <c r="AI1311" s="11"/>
      <c r="AJ1311" s="11">
        <v>84024429</v>
      </c>
      <c r="AK1311" s="12">
        <v>2</v>
      </c>
      <c r="AL1311" s="12" t="s">
        <v>7377</v>
      </c>
      <c r="AM1311" s="2">
        <v>0</v>
      </c>
      <c r="AN1311" s="2">
        <v>0</v>
      </c>
      <c r="AO1311" s="2">
        <v>0</v>
      </c>
      <c r="AP1311" s="2">
        <v>1</v>
      </c>
      <c r="AQ1311" s="2">
        <v>0</v>
      </c>
      <c r="AR1311" s="2">
        <v>0</v>
      </c>
      <c r="AS1311" s="2">
        <v>0</v>
      </c>
      <c r="AT1311" s="2">
        <v>0</v>
      </c>
      <c r="AZ1311" s="2" t="s">
        <v>8272</v>
      </c>
      <c r="BB1311" s="2" t="str">
        <f>+PROPER(BD[[#This Row],[PRIMER_APELLIDO]])</f>
        <v>Williams</v>
      </c>
    </row>
    <row r="1312" spans="1:54" x14ac:dyDescent="0.25">
      <c r="A1312" s="2">
        <v>1311</v>
      </c>
      <c r="B1312" s="2">
        <v>25606</v>
      </c>
      <c r="C1312" s="5" t="s">
        <v>619</v>
      </c>
      <c r="D1312" s="2" t="s">
        <v>620</v>
      </c>
      <c r="E1312" s="6" t="s">
        <v>8273</v>
      </c>
      <c r="F1312" s="6">
        <v>22116118</v>
      </c>
      <c r="G1312" s="3">
        <v>41</v>
      </c>
      <c r="I1312" s="7"/>
      <c r="J1312" s="7"/>
      <c r="K1312" s="8">
        <v>41.164383561643838</v>
      </c>
      <c r="L1312" s="2" t="s">
        <v>8274</v>
      </c>
      <c r="M1312" s="2" t="s">
        <v>2551</v>
      </c>
      <c r="N1312" s="2" t="s">
        <v>38</v>
      </c>
      <c r="O1312" s="2" t="s">
        <v>10</v>
      </c>
      <c r="P1312" s="2" t="s">
        <v>626</v>
      </c>
      <c r="Q1312" s="2" t="s">
        <v>351</v>
      </c>
      <c r="R1312" s="9">
        <v>29771</v>
      </c>
      <c r="S1312" s="9">
        <v>29771</v>
      </c>
      <c r="U1312" s="2" t="s">
        <v>176</v>
      </c>
      <c r="W1312" s="2" t="s">
        <v>176</v>
      </c>
      <c r="X1312" s="2" t="s">
        <v>8275</v>
      </c>
      <c r="Y1312" s="2" t="s">
        <v>8276</v>
      </c>
      <c r="Z1312" s="6"/>
      <c r="AA1312" s="2" t="s">
        <v>8277</v>
      </c>
      <c r="AB1312" s="2" t="s">
        <v>642</v>
      </c>
      <c r="AC1312" s="2" t="s">
        <v>632</v>
      </c>
      <c r="AD1312" s="10"/>
      <c r="AE1312" s="11"/>
      <c r="AF1312" s="11"/>
      <c r="AG1312" s="11">
        <v>57521290</v>
      </c>
      <c r="AH1312" s="11"/>
      <c r="AI1312" s="11"/>
      <c r="AJ1312" s="11">
        <v>57521290</v>
      </c>
      <c r="AK1312" s="12">
        <v>2</v>
      </c>
      <c r="AL1312" s="12" t="s">
        <v>7377</v>
      </c>
      <c r="AM1312" s="2">
        <v>0</v>
      </c>
      <c r="AN1312" s="2">
        <v>0</v>
      </c>
      <c r="AO1312" s="2">
        <v>0</v>
      </c>
      <c r="AP1312" s="2">
        <v>1</v>
      </c>
      <c r="AQ1312" s="2">
        <v>0</v>
      </c>
      <c r="AR1312" s="2">
        <v>0</v>
      </c>
      <c r="AS1312" s="2">
        <v>0</v>
      </c>
      <c r="AT1312" s="2">
        <v>0</v>
      </c>
      <c r="BB1312" s="2" t="str">
        <f>+PROPER(BD[[#This Row],[PRIMER_APELLIDO]])</f>
        <v>Ramirez</v>
      </c>
    </row>
    <row r="1313" spans="1:54" x14ac:dyDescent="0.25">
      <c r="A1313" s="2">
        <v>1312</v>
      </c>
      <c r="B1313" s="2">
        <v>23795</v>
      </c>
      <c r="C1313" s="5" t="s">
        <v>619</v>
      </c>
      <c r="D1313" s="2" t="s">
        <v>620</v>
      </c>
      <c r="E1313" s="6" t="s">
        <v>8278</v>
      </c>
      <c r="F1313" s="6">
        <v>21534043</v>
      </c>
      <c r="G1313" s="3">
        <v>41</v>
      </c>
      <c r="I1313" s="7"/>
      <c r="J1313" s="7"/>
      <c r="K1313" s="8">
        <v>41.167123287671231</v>
      </c>
      <c r="L1313" s="2" t="s">
        <v>8279</v>
      </c>
      <c r="M1313" s="2" t="s">
        <v>769</v>
      </c>
      <c r="N1313" s="2" t="s">
        <v>185</v>
      </c>
      <c r="O1313" s="2" t="s">
        <v>51</v>
      </c>
      <c r="P1313" s="2" t="s">
        <v>626</v>
      </c>
      <c r="Q1313" s="2" t="s">
        <v>351</v>
      </c>
      <c r="R1313" s="9">
        <v>29770</v>
      </c>
      <c r="S1313" s="9">
        <v>29770</v>
      </c>
      <c r="T1313" s="2" t="s">
        <v>133</v>
      </c>
      <c r="U1313" s="2" t="s">
        <v>176</v>
      </c>
      <c r="V1313" s="2" t="s">
        <v>869</v>
      </c>
      <c r="W1313" s="2" t="s">
        <v>176</v>
      </c>
      <c r="X1313" s="2" t="s">
        <v>8280</v>
      </c>
      <c r="Y1313" s="2" t="s">
        <v>8281</v>
      </c>
      <c r="Z1313" s="6"/>
      <c r="AA1313" s="2">
        <v>84961678</v>
      </c>
      <c r="AB1313" s="2" t="s">
        <v>654</v>
      </c>
      <c r="AC1313" s="2" t="s">
        <v>632</v>
      </c>
      <c r="AD1313" s="10"/>
      <c r="AE1313" s="11"/>
      <c r="AF1313" s="11">
        <v>84961678</v>
      </c>
      <c r="AG1313" s="11"/>
      <c r="AH1313" s="11"/>
      <c r="AI1313" s="11"/>
      <c r="AJ1313" s="11">
        <v>84961678</v>
      </c>
      <c r="AK1313" s="12">
        <v>1</v>
      </c>
      <c r="AL1313" s="12" t="s">
        <v>7377</v>
      </c>
      <c r="AM1313" s="2">
        <v>0</v>
      </c>
      <c r="AN1313" s="2">
        <v>0</v>
      </c>
      <c r="AO1313" s="2">
        <v>0</v>
      </c>
      <c r="AP1313" s="2">
        <v>1</v>
      </c>
      <c r="AQ1313" s="2">
        <v>0</v>
      </c>
      <c r="AR1313" s="2">
        <v>0</v>
      </c>
      <c r="AS1313" s="2">
        <v>0</v>
      </c>
      <c r="AT1313" s="2">
        <v>0</v>
      </c>
      <c r="BB1313" s="2" t="str">
        <f>+PROPER(BD[[#This Row],[PRIMER_APELLIDO]])</f>
        <v>Rodriguez</v>
      </c>
    </row>
    <row r="1314" spans="1:54" x14ac:dyDescent="0.25">
      <c r="A1314" s="2">
        <v>1313</v>
      </c>
      <c r="B1314" s="2">
        <v>25284</v>
      </c>
      <c r="C1314" s="5" t="s">
        <v>619</v>
      </c>
      <c r="D1314" s="2" t="s">
        <v>620</v>
      </c>
      <c r="E1314" s="6" t="s">
        <v>8282</v>
      </c>
      <c r="F1314" s="6">
        <v>20234052</v>
      </c>
      <c r="G1314" s="3">
        <v>41</v>
      </c>
      <c r="I1314" s="7"/>
      <c r="J1314" s="7"/>
      <c r="K1314" s="8">
        <v>41.169863013698631</v>
      </c>
      <c r="L1314" s="2" t="s">
        <v>1850</v>
      </c>
      <c r="M1314" s="2" t="s">
        <v>2545</v>
      </c>
      <c r="N1314" s="2" t="s">
        <v>90</v>
      </c>
      <c r="O1314" s="2" t="s">
        <v>204</v>
      </c>
      <c r="P1314" s="2" t="s">
        <v>626</v>
      </c>
      <c r="Q1314" s="2" t="s">
        <v>351</v>
      </c>
      <c r="R1314" s="9">
        <v>29769</v>
      </c>
      <c r="S1314" s="9">
        <v>29769</v>
      </c>
      <c r="T1314" s="2" t="s">
        <v>732</v>
      </c>
      <c r="U1314" s="2" t="s">
        <v>659</v>
      </c>
      <c r="V1314" s="2" t="s">
        <v>2793</v>
      </c>
      <c r="W1314" s="2" t="s">
        <v>5341</v>
      </c>
      <c r="X1314" s="2" t="s">
        <v>8283</v>
      </c>
      <c r="Y1314" s="2" t="s">
        <v>8284</v>
      </c>
      <c r="Z1314" s="6">
        <v>81910903</v>
      </c>
      <c r="AA1314" s="2">
        <v>86688483</v>
      </c>
      <c r="AB1314" s="2" t="s">
        <v>642</v>
      </c>
      <c r="AC1314" s="2" t="s">
        <v>632</v>
      </c>
      <c r="AD1314" s="10">
        <v>81910903</v>
      </c>
      <c r="AE1314" s="11"/>
      <c r="AF1314" s="11">
        <v>86688483</v>
      </c>
      <c r="AG1314" s="11"/>
      <c r="AH1314" s="11"/>
      <c r="AI1314" s="11"/>
      <c r="AJ1314" s="11">
        <v>81910903</v>
      </c>
      <c r="AK1314" s="12">
        <v>2</v>
      </c>
      <c r="AL1314" s="12" t="s">
        <v>7377</v>
      </c>
      <c r="AM1314" s="2">
        <v>0</v>
      </c>
      <c r="AN1314" s="2">
        <v>0</v>
      </c>
      <c r="AO1314" s="2">
        <v>0</v>
      </c>
      <c r="AP1314" s="2">
        <v>1</v>
      </c>
      <c r="AQ1314" s="2">
        <v>0</v>
      </c>
      <c r="AR1314" s="2">
        <v>0</v>
      </c>
      <c r="AS1314" s="2">
        <v>0</v>
      </c>
      <c r="AT1314" s="2">
        <v>0</v>
      </c>
      <c r="AZ1314" s="2" t="s">
        <v>8285</v>
      </c>
      <c r="BB1314" s="2" t="str">
        <f>+PROPER(BD[[#This Row],[PRIMER_APELLIDO]])</f>
        <v>Sanchez</v>
      </c>
    </row>
    <row r="1315" spans="1:54" x14ac:dyDescent="0.25">
      <c r="A1315" s="2">
        <v>1314</v>
      </c>
      <c r="B1315" s="2">
        <v>29977</v>
      </c>
      <c r="C1315" s="5" t="s">
        <v>619</v>
      </c>
      <c r="D1315" s="2" t="s">
        <v>620</v>
      </c>
      <c r="E1315" s="6" t="s">
        <v>8286</v>
      </c>
      <c r="F1315" s="6">
        <v>23322772</v>
      </c>
      <c r="G1315" s="3">
        <v>41</v>
      </c>
      <c r="I1315" s="7"/>
      <c r="J1315" s="7"/>
      <c r="K1315" s="8">
        <v>41.169863013698631</v>
      </c>
      <c r="L1315" s="2" t="s">
        <v>1554</v>
      </c>
      <c r="M1315" s="2" t="s">
        <v>1699</v>
      </c>
      <c r="N1315" s="2" t="s">
        <v>10</v>
      </c>
      <c r="O1315" s="2" t="s">
        <v>8287</v>
      </c>
      <c r="P1315" s="2" t="s">
        <v>649</v>
      </c>
      <c r="Q1315" s="2" t="s">
        <v>351</v>
      </c>
      <c r="R1315" s="9">
        <v>29769</v>
      </c>
      <c r="S1315" s="9">
        <v>29769</v>
      </c>
      <c r="T1315" s="2" t="s">
        <v>740</v>
      </c>
      <c r="U1315" s="2" t="s">
        <v>740</v>
      </c>
      <c r="V1315" s="2" t="s">
        <v>740</v>
      </c>
      <c r="W1315" s="2" t="s">
        <v>740</v>
      </c>
      <c r="X1315" s="2" t="s">
        <v>8288</v>
      </c>
      <c r="Y1315" s="2" t="s">
        <v>8289</v>
      </c>
      <c r="Z1315" s="6">
        <v>88640583</v>
      </c>
      <c r="AA1315" s="2">
        <v>87678310</v>
      </c>
      <c r="AB1315" s="2" t="s">
        <v>654</v>
      </c>
      <c r="AC1315" s="2" t="s">
        <v>632</v>
      </c>
      <c r="AD1315" s="10">
        <v>88640583</v>
      </c>
      <c r="AE1315" s="11"/>
      <c r="AF1315" s="11">
        <v>87678310</v>
      </c>
      <c r="AG1315" s="11"/>
      <c r="AH1315" s="11"/>
      <c r="AI1315" s="11"/>
      <c r="AJ1315" s="11">
        <v>88640583</v>
      </c>
      <c r="AK1315" s="12">
        <v>2</v>
      </c>
      <c r="AL1315" s="12" t="s">
        <v>7377</v>
      </c>
      <c r="AM1315" s="2">
        <v>0</v>
      </c>
      <c r="AN1315" s="2">
        <v>0</v>
      </c>
      <c r="AO1315" s="2">
        <v>0</v>
      </c>
      <c r="AP1315" s="2">
        <v>1</v>
      </c>
      <c r="AQ1315" s="2">
        <v>0</v>
      </c>
      <c r="AR1315" s="2">
        <v>0</v>
      </c>
      <c r="AS1315" s="2">
        <v>0</v>
      </c>
      <c r="AT1315" s="2">
        <v>0</v>
      </c>
      <c r="AZ1315" s="2" t="s">
        <v>8290</v>
      </c>
      <c r="BB1315" s="2" t="str">
        <f>+PROPER(BD[[#This Row],[PRIMER_APELLIDO]])</f>
        <v>Garcia</v>
      </c>
    </row>
    <row r="1316" spans="1:54" x14ac:dyDescent="0.25">
      <c r="A1316" s="2">
        <v>1315</v>
      </c>
      <c r="B1316" s="2">
        <v>24299</v>
      </c>
      <c r="C1316" s="5" t="s">
        <v>619</v>
      </c>
      <c r="D1316" s="2" t="s">
        <v>620</v>
      </c>
      <c r="E1316" s="6" t="s">
        <v>8291</v>
      </c>
      <c r="F1316" s="6">
        <v>30869310</v>
      </c>
      <c r="G1316" s="3">
        <v>41</v>
      </c>
      <c r="I1316" s="7"/>
      <c r="J1316" s="7"/>
      <c r="K1316" s="8">
        <v>41.175342465753424</v>
      </c>
      <c r="L1316" s="2" t="s">
        <v>5091</v>
      </c>
      <c r="M1316" s="2" t="s">
        <v>8292</v>
      </c>
      <c r="N1316" s="2" t="s">
        <v>9</v>
      </c>
      <c r="O1316" s="2" t="s">
        <v>41</v>
      </c>
      <c r="P1316" s="2" t="s">
        <v>649</v>
      </c>
      <c r="Q1316" s="2" t="s">
        <v>351</v>
      </c>
      <c r="R1316" s="9">
        <v>29767</v>
      </c>
      <c r="S1316" s="9">
        <v>29767</v>
      </c>
      <c r="U1316" s="2" t="s">
        <v>176</v>
      </c>
      <c r="W1316" s="2" t="s">
        <v>748</v>
      </c>
      <c r="X1316" s="2" t="s">
        <v>8293</v>
      </c>
      <c r="Y1316" s="2" t="s">
        <v>8294</v>
      </c>
      <c r="Z1316" s="6" t="s">
        <v>8295</v>
      </c>
      <c r="AA1316" s="2">
        <v>89156000</v>
      </c>
      <c r="AB1316" s="2" t="s">
        <v>642</v>
      </c>
      <c r="AC1316" s="2" t="s">
        <v>632</v>
      </c>
      <c r="AD1316" s="10">
        <v>86211002</v>
      </c>
      <c r="AE1316" s="11">
        <v>89156000</v>
      </c>
      <c r="AF1316" s="11">
        <v>89156000</v>
      </c>
      <c r="AG1316" s="11"/>
      <c r="AH1316" s="11"/>
      <c r="AI1316" s="11"/>
      <c r="AJ1316" s="11">
        <v>86211002</v>
      </c>
      <c r="AK1316" s="12">
        <v>3</v>
      </c>
      <c r="AL1316" s="12" t="s">
        <v>7377</v>
      </c>
      <c r="AM1316" s="2">
        <v>0</v>
      </c>
      <c r="AN1316" s="2">
        <v>0</v>
      </c>
      <c r="AO1316" s="2">
        <v>0</v>
      </c>
      <c r="AP1316" s="2">
        <v>1</v>
      </c>
      <c r="AQ1316" s="2">
        <v>0</v>
      </c>
      <c r="AR1316" s="2">
        <v>0</v>
      </c>
      <c r="AS1316" s="2">
        <v>0</v>
      </c>
      <c r="AT1316" s="2">
        <v>0</v>
      </c>
      <c r="AZ1316" s="2" t="s">
        <v>8296</v>
      </c>
      <c r="BB1316" s="2" t="str">
        <f>+PROPER(BD[[#This Row],[PRIMER_APELLIDO]])</f>
        <v>Mendoza</v>
      </c>
    </row>
    <row r="1317" spans="1:54" x14ac:dyDescent="0.25">
      <c r="A1317" s="2">
        <v>1316</v>
      </c>
      <c r="B1317" s="2">
        <v>24873</v>
      </c>
      <c r="C1317" s="5" t="s">
        <v>619</v>
      </c>
      <c r="D1317" s="2" t="s">
        <v>620</v>
      </c>
      <c r="E1317" s="6" t="s">
        <v>8297</v>
      </c>
      <c r="F1317" s="6">
        <v>22135212</v>
      </c>
      <c r="G1317" s="3">
        <v>41</v>
      </c>
      <c r="I1317" s="7"/>
      <c r="J1317" s="7"/>
      <c r="K1317" s="8">
        <v>41.178082191780824</v>
      </c>
      <c r="L1317" s="2" t="s">
        <v>903</v>
      </c>
      <c r="M1317" s="2" t="s">
        <v>1103</v>
      </c>
      <c r="N1317" s="2" t="s">
        <v>331</v>
      </c>
      <c r="O1317" s="2" t="s">
        <v>24</v>
      </c>
      <c r="P1317" s="2" t="s">
        <v>649</v>
      </c>
      <c r="Q1317" s="2" t="s">
        <v>351</v>
      </c>
      <c r="R1317" s="9">
        <v>29766</v>
      </c>
      <c r="S1317" s="9">
        <v>29766</v>
      </c>
      <c r="T1317" s="2" t="s">
        <v>929</v>
      </c>
      <c r="U1317" s="2" t="s">
        <v>929</v>
      </c>
      <c r="V1317" s="2" t="s">
        <v>1653</v>
      </c>
      <c r="W1317" s="2" t="s">
        <v>1653</v>
      </c>
      <c r="X1317" s="2" t="s">
        <v>8298</v>
      </c>
      <c r="Y1317" s="2" t="s">
        <v>8299</v>
      </c>
      <c r="Z1317" s="6"/>
      <c r="AA1317" s="2" t="s">
        <v>8300</v>
      </c>
      <c r="AB1317" s="2" t="s">
        <v>798</v>
      </c>
      <c r="AC1317" s="2" t="s">
        <v>632</v>
      </c>
      <c r="AD1317" s="10"/>
      <c r="AE1317" s="11"/>
      <c r="AF1317" s="11"/>
      <c r="AG1317" s="11">
        <v>87031978</v>
      </c>
      <c r="AH1317" s="11"/>
      <c r="AI1317" s="11"/>
      <c r="AJ1317" s="11">
        <v>87031978</v>
      </c>
      <c r="AK1317" s="12">
        <v>2</v>
      </c>
      <c r="AL1317" s="12" t="s">
        <v>7377</v>
      </c>
      <c r="AM1317" s="2">
        <v>0</v>
      </c>
      <c r="AN1317" s="2">
        <v>0</v>
      </c>
      <c r="AO1317" s="2">
        <v>0</v>
      </c>
      <c r="AP1317" s="2">
        <v>1</v>
      </c>
      <c r="AQ1317" s="2">
        <v>0</v>
      </c>
      <c r="AR1317" s="2">
        <v>0</v>
      </c>
      <c r="AS1317" s="2">
        <v>0</v>
      </c>
      <c r="AT1317" s="2">
        <v>0</v>
      </c>
      <c r="BB1317" s="2" t="str">
        <f>+PROPER(BD[[#This Row],[PRIMER_APELLIDO]])</f>
        <v>Rosales</v>
      </c>
    </row>
    <row r="1318" spans="1:54" x14ac:dyDescent="0.25">
      <c r="A1318" s="2">
        <v>1317</v>
      </c>
      <c r="B1318" s="2">
        <v>25157</v>
      </c>
      <c r="C1318" s="5" t="s">
        <v>619</v>
      </c>
      <c r="D1318" s="2" t="s">
        <v>620</v>
      </c>
      <c r="E1318" s="6" t="s">
        <v>8301</v>
      </c>
      <c r="F1318" s="6">
        <v>21271876</v>
      </c>
      <c r="G1318" s="3">
        <v>41</v>
      </c>
      <c r="I1318" s="7"/>
      <c r="J1318" s="7"/>
      <c r="K1318" s="8">
        <v>41.180821917808217</v>
      </c>
      <c r="L1318" s="2" t="s">
        <v>8302</v>
      </c>
      <c r="M1318" s="2" t="s">
        <v>2634</v>
      </c>
      <c r="N1318" s="2" t="s">
        <v>182</v>
      </c>
      <c r="O1318" s="2" t="s">
        <v>181</v>
      </c>
      <c r="P1318" s="2" t="s">
        <v>626</v>
      </c>
      <c r="Q1318" s="2" t="s">
        <v>351</v>
      </c>
      <c r="R1318" s="9">
        <v>29765</v>
      </c>
      <c r="S1318" s="9">
        <v>29765</v>
      </c>
      <c r="U1318" s="2" t="s">
        <v>176</v>
      </c>
      <c r="W1318" s="2" t="s">
        <v>176</v>
      </c>
      <c r="X1318" s="2" t="s">
        <v>8303</v>
      </c>
      <c r="Y1318" s="2" t="s">
        <v>8304</v>
      </c>
      <c r="Z1318" s="6"/>
      <c r="AA1318" s="2">
        <v>23152083</v>
      </c>
      <c r="AB1318" s="2" t="s">
        <v>654</v>
      </c>
      <c r="AC1318" s="2" t="s">
        <v>632</v>
      </c>
      <c r="AD1318" s="10"/>
      <c r="AE1318" s="11"/>
      <c r="AF1318" s="11"/>
      <c r="AG1318" s="11"/>
      <c r="AH1318" s="11"/>
      <c r="AI1318" s="11"/>
      <c r="AJ1318" s="11"/>
      <c r="AK1318" s="12">
        <v>1</v>
      </c>
      <c r="AL1318" s="12" t="s">
        <v>7377</v>
      </c>
      <c r="AM1318" s="2">
        <v>0</v>
      </c>
      <c r="AN1318" s="2">
        <v>0</v>
      </c>
      <c r="AO1318" s="2">
        <v>0</v>
      </c>
      <c r="AP1318" s="2">
        <v>1</v>
      </c>
      <c r="AQ1318" s="2">
        <v>0</v>
      </c>
      <c r="AR1318" s="2">
        <v>0</v>
      </c>
      <c r="AS1318" s="2">
        <v>0</v>
      </c>
      <c r="AT1318" s="2">
        <v>0</v>
      </c>
      <c r="BB1318" s="2" t="str">
        <f>+PROPER(BD[[#This Row],[PRIMER_APELLIDO]])</f>
        <v>Rugama</v>
      </c>
    </row>
    <row r="1319" spans="1:54" x14ac:dyDescent="0.25">
      <c r="A1319" s="2">
        <v>1318</v>
      </c>
      <c r="B1319" s="2">
        <v>27611</v>
      </c>
      <c r="C1319" s="5" t="s">
        <v>619</v>
      </c>
      <c r="D1319" s="2" t="s">
        <v>620</v>
      </c>
      <c r="E1319" s="6" t="s">
        <v>8305</v>
      </c>
      <c r="F1319" s="6">
        <v>21371693</v>
      </c>
      <c r="G1319" s="3">
        <v>41</v>
      </c>
      <c r="I1319" s="7"/>
      <c r="J1319" s="7"/>
      <c r="K1319" s="8">
        <v>41.183561643835617</v>
      </c>
      <c r="L1319" s="2" t="s">
        <v>1525</v>
      </c>
      <c r="M1319" s="2" t="s">
        <v>787</v>
      </c>
      <c r="N1319" s="2" t="s">
        <v>98</v>
      </c>
      <c r="O1319" s="2" t="s">
        <v>187</v>
      </c>
      <c r="P1319" s="2" t="s">
        <v>626</v>
      </c>
      <c r="Q1319" s="2" t="s">
        <v>351</v>
      </c>
      <c r="R1319" s="9">
        <v>29764</v>
      </c>
      <c r="S1319" s="9">
        <v>29764</v>
      </c>
      <c r="T1319" s="2" t="s">
        <v>659</v>
      </c>
      <c r="U1319" s="2" t="s">
        <v>659</v>
      </c>
      <c r="V1319" s="2" t="s">
        <v>659</v>
      </c>
      <c r="W1319" s="2" t="s">
        <v>659</v>
      </c>
      <c r="X1319" s="2" t="s">
        <v>8306</v>
      </c>
      <c r="Y1319" s="2" t="s">
        <v>8307</v>
      </c>
      <c r="Z1319" s="6">
        <v>87469413</v>
      </c>
      <c r="AA1319" s="2">
        <v>87469413</v>
      </c>
      <c r="AB1319" s="2" t="s">
        <v>642</v>
      </c>
      <c r="AC1319" s="2" t="s">
        <v>632</v>
      </c>
      <c r="AD1319" s="10">
        <v>87469413</v>
      </c>
      <c r="AE1319" s="11"/>
      <c r="AF1319" s="11">
        <v>87469413</v>
      </c>
      <c r="AG1319" s="11"/>
      <c r="AH1319" s="11"/>
      <c r="AI1319" s="11"/>
      <c r="AJ1319" s="11">
        <v>87469413</v>
      </c>
      <c r="AK1319" s="12">
        <v>2</v>
      </c>
      <c r="AL1319" s="12" t="s">
        <v>7377</v>
      </c>
      <c r="AM1319" s="2">
        <v>0</v>
      </c>
      <c r="AN1319" s="2">
        <v>0</v>
      </c>
      <c r="AO1319" s="2">
        <v>0</v>
      </c>
      <c r="AP1319" s="2">
        <v>1</v>
      </c>
      <c r="AQ1319" s="2">
        <v>0</v>
      </c>
      <c r="AR1319" s="2">
        <v>0</v>
      </c>
      <c r="AS1319" s="2">
        <v>0</v>
      </c>
      <c r="AT1319" s="2">
        <v>0</v>
      </c>
      <c r="BB1319" s="2" t="str">
        <f>+PROPER(BD[[#This Row],[PRIMER_APELLIDO]])</f>
        <v>Chavarria</v>
      </c>
    </row>
    <row r="1320" spans="1:54" x14ac:dyDescent="0.25">
      <c r="A1320" s="2">
        <v>1319</v>
      </c>
      <c r="B1320" s="2">
        <v>33135</v>
      </c>
      <c r="C1320" s="5" t="s">
        <v>619</v>
      </c>
      <c r="D1320" s="2" t="s">
        <v>620</v>
      </c>
      <c r="E1320" s="6" t="s">
        <v>8308</v>
      </c>
      <c r="F1320" s="6">
        <v>23090655</v>
      </c>
      <c r="G1320" s="3">
        <v>41</v>
      </c>
      <c r="I1320" s="7"/>
      <c r="J1320" s="7"/>
      <c r="K1320" s="8">
        <v>41.194520547945203</v>
      </c>
      <c r="L1320" s="2" t="s">
        <v>8309</v>
      </c>
      <c r="M1320" s="2" t="s">
        <v>904</v>
      </c>
      <c r="N1320" s="2" t="s">
        <v>262</v>
      </c>
      <c r="O1320" s="2" t="s">
        <v>117</v>
      </c>
      <c r="P1320" s="2" t="s">
        <v>649</v>
      </c>
      <c r="Q1320" s="2" t="s">
        <v>351</v>
      </c>
      <c r="R1320" s="9">
        <v>29760</v>
      </c>
      <c r="S1320" s="9">
        <v>29760</v>
      </c>
      <c r="T1320" s="2" t="s">
        <v>176</v>
      </c>
      <c r="U1320" s="2" t="s">
        <v>176</v>
      </c>
      <c r="V1320" s="2" t="s">
        <v>650</v>
      </c>
      <c r="W1320" s="2" t="s">
        <v>176</v>
      </c>
      <c r="X1320" s="2" t="s">
        <v>8310</v>
      </c>
      <c r="Y1320" s="2" t="s">
        <v>8311</v>
      </c>
      <c r="Z1320" s="6"/>
      <c r="AA1320" s="2">
        <v>88436985</v>
      </c>
      <c r="AB1320" s="2" t="s">
        <v>654</v>
      </c>
      <c r="AC1320" s="2" t="s">
        <v>632</v>
      </c>
      <c r="AD1320" s="10"/>
      <c r="AE1320" s="11"/>
      <c r="AF1320" s="11">
        <v>88436985</v>
      </c>
      <c r="AG1320" s="11"/>
      <c r="AH1320" s="11"/>
      <c r="AI1320" s="11"/>
      <c r="AJ1320" s="11">
        <v>88436985</v>
      </c>
      <c r="AK1320" s="12">
        <v>1</v>
      </c>
      <c r="AL1320" s="12" t="s">
        <v>7377</v>
      </c>
      <c r="AM1320" s="2">
        <v>0</v>
      </c>
      <c r="AN1320" s="2">
        <v>0</v>
      </c>
      <c r="AO1320" s="2">
        <v>0</v>
      </c>
      <c r="AP1320" s="2">
        <v>1</v>
      </c>
      <c r="AQ1320" s="2">
        <v>0</v>
      </c>
      <c r="AR1320" s="2">
        <v>0</v>
      </c>
      <c r="AS1320" s="2">
        <v>0</v>
      </c>
      <c r="AT1320" s="2">
        <v>0</v>
      </c>
      <c r="BB1320" s="2" t="str">
        <f>+PROPER(BD[[#This Row],[PRIMER_APELLIDO]])</f>
        <v>Padilla</v>
      </c>
    </row>
    <row r="1321" spans="1:54" x14ac:dyDescent="0.25">
      <c r="A1321" s="2">
        <v>1320</v>
      </c>
      <c r="B1321" s="2">
        <v>25574</v>
      </c>
      <c r="C1321" s="5" t="s">
        <v>619</v>
      </c>
      <c r="D1321" s="2" t="s">
        <v>620</v>
      </c>
      <c r="E1321" s="6" t="s">
        <v>8312</v>
      </c>
      <c r="F1321" s="6">
        <v>21216613</v>
      </c>
      <c r="G1321" s="3">
        <v>41</v>
      </c>
      <c r="I1321" s="7"/>
      <c r="J1321" s="7"/>
      <c r="K1321" s="8">
        <v>41.202739726027396</v>
      </c>
      <c r="L1321" s="2" t="s">
        <v>1881</v>
      </c>
      <c r="M1321" s="2" t="s">
        <v>683</v>
      </c>
      <c r="N1321" s="2" t="s">
        <v>511</v>
      </c>
      <c r="O1321" s="2" t="s">
        <v>91</v>
      </c>
      <c r="P1321" s="2" t="s">
        <v>626</v>
      </c>
      <c r="Q1321" s="2" t="s">
        <v>351</v>
      </c>
      <c r="R1321" s="9">
        <v>29757</v>
      </c>
      <c r="S1321" s="9">
        <v>29757</v>
      </c>
      <c r="T1321" s="2" t="s">
        <v>133</v>
      </c>
      <c r="U1321" s="2" t="s">
        <v>133</v>
      </c>
      <c r="V1321" s="2" t="s">
        <v>841</v>
      </c>
      <c r="W1321" s="2" t="s">
        <v>841</v>
      </c>
      <c r="X1321" s="2" t="s">
        <v>8313</v>
      </c>
      <c r="Y1321" s="2" t="s">
        <v>8314</v>
      </c>
      <c r="Z1321" s="6">
        <v>25330515</v>
      </c>
      <c r="AA1321" s="2">
        <v>87426491</v>
      </c>
      <c r="AB1321" s="2" t="s">
        <v>642</v>
      </c>
      <c r="AC1321" s="2" t="s">
        <v>632</v>
      </c>
      <c r="AD1321" s="10"/>
      <c r="AE1321" s="11"/>
      <c r="AF1321" s="11">
        <v>87426491</v>
      </c>
      <c r="AG1321" s="11"/>
      <c r="AH1321" s="11"/>
      <c r="AI1321" s="11"/>
      <c r="AJ1321" s="11">
        <v>87426491</v>
      </c>
      <c r="AK1321" s="12">
        <v>2</v>
      </c>
      <c r="AL1321" s="12" t="s">
        <v>7377</v>
      </c>
      <c r="AM1321" s="2">
        <v>0</v>
      </c>
      <c r="AN1321" s="2">
        <v>0</v>
      </c>
      <c r="AO1321" s="2">
        <v>0</v>
      </c>
      <c r="AP1321" s="2">
        <v>1</v>
      </c>
      <c r="AQ1321" s="2">
        <v>0</v>
      </c>
      <c r="AR1321" s="2">
        <v>0</v>
      </c>
      <c r="AS1321" s="2">
        <v>0</v>
      </c>
      <c r="AT1321" s="2">
        <v>0</v>
      </c>
      <c r="BB1321" s="2" t="str">
        <f>+PROPER(BD[[#This Row],[PRIMER_APELLIDO]])</f>
        <v>Marcia</v>
      </c>
    </row>
    <row r="1322" spans="1:54" x14ac:dyDescent="0.25">
      <c r="A1322" s="2">
        <v>1321</v>
      </c>
      <c r="B1322" s="2">
        <v>51500</v>
      </c>
      <c r="C1322" s="5" t="s">
        <v>619</v>
      </c>
      <c r="D1322" s="2" t="s">
        <v>620</v>
      </c>
      <c r="E1322" s="6" t="s">
        <v>8315</v>
      </c>
      <c r="F1322" s="6">
        <v>24986221</v>
      </c>
      <c r="G1322" s="3">
        <v>41</v>
      </c>
      <c r="I1322" s="7"/>
      <c r="J1322" s="7"/>
      <c r="K1322" s="8">
        <v>41.210958904109589</v>
      </c>
      <c r="L1322" s="2" t="s">
        <v>243</v>
      </c>
      <c r="M1322" s="2" t="s">
        <v>1692</v>
      </c>
      <c r="N1322" s="2" t="s">
        <v>91</v>
      </c>
      <c r="O1322" s="2" t="s">
        <v>9</v>
      </c>
      <c r="P1322" s="2" t="s">
        <v>649</v>
      </c>
      <c r="Q1322" s="2" t="s">
        <v>351</v>
      </c>
      <c r="R1322" s="9">
        <v>29754</v>
      </c>
      <c r="S1322" s="9">
        <v>29754</v>
      </c>
      <c r="T1322" s="2" t="s">
        <v>780</v>
      </c>
      <c r="U1322" s="2" t="s">
        <v>780</v>
      </c>
      <c r="V1322" s="2" t="s">
        <v>781</v>
      </c>
      <c r="W1322" s="2" t="s">
        <v>1128</v>
      </c>
      <c r="X1322" s="2" t="s">
        <v>8316</v>
      </c>
      <c r="Y1322" s="2" t="s">
        <v>8317</v>
      </c>
      <c r="Z1322" s="6"/>
      <c r="AA1322" s="2">
        <v>85208696</v>
      </c>
      <c r="AB1322" s="2" t="s">
        <v>798</v>
      </c>
      <c r="AC1322" s="2" t="s">
        <v>632</v>
      </c>
      <c r="AD1322" s="10"/>
      <c r="AE1322" s="11"/>
      <c r="AF1322" s="11">
        <v>85208696</v>
      </c>
      <c r="AG1322" s="11"/>
      <c r="AH1322" s="11"/>
      <c r="AI1322" s="11"/>
      <c r="AJ1322" s="11">
        <v>85208696</v>
      </c>
      <c r="AK1322" s="12">
        <v>1</v>
      </c>
      <c r="AL1322" s="12" t="s">
        <v>7377</v>
      </c>
      <c r="AM1322" s="2">
        <v>0</v>
      </c>
      <c r="AN1322" s="2">
        <v>0</v>
      </c>
      <c r="AO1322" s="2">
        <v>0</v>
      </c>
      <c r="AP1322" s="2">
        <v>1</v>
      </c>
      <c r="AQ1322" s="2">
        <v>0</v>
      </c>
      <c r="AR1322" s="2">
        <v>0</v>
      </c>
      <c r="AS1322" s="2">
        <v>0</v>
      </c>
      <c r="AT1322" s="2">
        <v>0</v>
      </c>
      <c r="BB1322" s="2" t="str">
        <f>+PROPER(BD[[#This Row],[PRIMER_APELLIDO]])</f>
        <v>Diaz</v>
      </c>
    </row>
    <row r="1323" spans="1:54" x14ac:dyDescent="0.25">
      <c r="A1323" s="2">
        <v>1322</v>
      </c>
      <c r="B1323" s="2">
        <v>24047</v>
      </c>
      <c r="C1323" s="5" t="s">
        <v>619</v>
      </c>
      <c r="D1323" s="2" t="s">
        <v>620</v>
      </c>
      <c r="E1323" s="6" t="s">
        <v>8318</v>
      </c>
      <c r="F1323" s="6">
        <v>19581970</v>
      </c>
      <c r="G1323" s="3">
        <v>41</v>
      </c>
      <c r="I1323" s="7"/>
      <c r="J1323" s="7"/>
      <c r="K1323" s="8">
        <v>41.213698630136989</v>
      </c>
      <c r="L1323" s="2" t="s">
        <v>8319</v>
      </c>
      <c r="M1323" s="2" t="s">
        <v>1692</v>
      </c>
      <c r="N1323" s="2" t="s">
        <v>58</v>
      </c>
      <c r="O1323" s="2" t="s">
        <v>179</v>
      </c>
      <c r="P1323" s="2" t="s">
        <v>649</v>
      </c>
      <c r="Q1323" s="2" t="s">
        <v>351</v>
      </c>
      <c r="R1323" s="9">
        <v>29753</v>
      </c>
      <c r="S1323" s="9">
        <v>29753</v>
      </c>
      <c r="T1323" s="2" t="s">
        <v>176</v>
      </c>
      <c r="U1323" s="2" t="s">
        <v>627</v>
      </c>
      <c r="V1323" s="2" t="s">
        <v>650</v>
      </c>
      <c r="W1323" s="2" t="s">
        <v>1498</v>
      </c>
      <c r="X1323" s="2" t="s">
        <v>8320</v>
      </c>
      <c r="Y1323" s="2" t="s">
        <v>8321</v>
      </c>
      <c r="Z1323" s="6"/>
      <c r="AA1323" s="2" t="s">
        <v>8322</v>
      </c>
      <c r="AB1323" s="2" t="s">
        <v>654</v>
      </c>
      <c r="AC1323" s="2" t="s">
        <v>632</v>
      </c>
      <c r="AD1323" s="10"/>
      <c r="AE1323" s="11"/>
      <c r="AF1323" s="11"/>
      <c r="AG1323" s="11"/>
      <c r="AH1323" s="11"/>
      <c r="AI1323" s="11"/>
      <c r="AJ1323" s="11"/>
      <c r="AK1323" s="12">
        <v>2</v>
      </c>
      <c r="AL1323" s="12" t="s">
        <v>7377</v>
      </c>
      <c r="AM1323" s="2">
        <v>0</v>
      </c>
      <c r="AN1323" s="2">
        <v>0</v>
      </c>
      <c r="AO1323" s="2">
        <v>0</v>
      </c>
      <c r="AP1323" s="2">
        <v>1</v>
      </c>
      <c r="AQ1323" s="2">
        <v>0</v>
      </c>
      <c r="AR1323" s="2">
        <v>0</v>
      </c>
      <c r="AS1323" s="2">
        <v>0</v>
      </c>
      <c r="AT1323" s="2">
        <v>0</v>
      </c>
      <c r="BB1323" s="2" t="str">
        <f>+PROPER(BD[[#This Row],[PRIMER_APELLIDO]])</f>
        <v>Flores</v>
      </c>
    </row>
    <row r="1324" spans="1:54" x14ac:dyDescent="0.25">
      <c r="A1324" s="2">
        <v>1323</v>
      </c>
      <c r="B1324" s="2">
        <v>29876</v>
      </c>
      <c r="C1324" s="5" t="s">
        <v>619</v>
      </c>
      <c r="D1324" s="2" t="s">
        <v>620</v>
      </c>
      <c r="E1324" s="6" t="s">
        <v>8323</v>
      </c>
      <c r="F1324" s="6">
        <v>23495582</v>
      </c>
      <c r="G1324" s="3">
        <v>41</v>
      </c>
      <c r="I1324" s="7"/>
      <c r="J1324" s="7"/>
      <c r="K1324" s="8">
        <v>41.224657534246575</v>
      </c>
      <c r="L1324" s="2" t="s">
        <v>724</v>
      </c>
      <c r="M1324" s="2" t="s">
        <v>1263</v>
      </c>
      <c r="N1324" s="2" t="s">
        <v>72</v>
      </c>
      <c r="O1324" s="2" t="s">
        <v>385</v>
      </c>
      <c r="P1324" s="2" t="s">
        <v>626</v>
      </c>
      <c r="Q1324" s="2" t="s">
        <v>351</v>
      </c>
      <c r="R1324" s="9">
        <v>29749</v>
      </c>
      <c r="S1324" s="9">
        <v>29749</v>
      </c>
      <c r="T1324" s="2" t="s">
        <v>627</v>
      </c>
      <c r="U1324" s="2" t="s">
        <v>627</v>
      </c>
      <c r="V1324" s="2" t="s">
        <v>627</v>
      </c>
      <c r="W1324" s="2" t="s">
        <v>627</v>
      </c>
      <c r="X1324" s="2" t="s">
        <v>8324</v>
      </c>
      <c r="Y1324" s="2" t="s">
        <v>8325</v>
      </c>
      <c r="Z1324" s="6"/>
      <c r="AA1324" s="2">
        <v>22698805</v>
      </c>
      <c r="AB1324" s="2" t="s">
        <v>654</v>
      </c>
      <c r="AC1324" s="2" t="s">
        <v>632</v>
      </c>
      <c r="AD1324" s="10"/>
      <c r="AE1324" s="11"/>
      <c r="AF1324" s="11"/>
      <c r="AG1324" s="11"/>
      <c r="AH1324" s="11"/>
      <c r="AI1324" s="11"/>
      <c r="AJ1324" s="11"/>
      <c r="AK1324" s="12">
        <v>1</v>
      </c>
      <c r="AL1324" s="12" t="s">
        <v>7377</v>
      </c>
      <c r="AM1324" s="2">
        <v>0</v>
      </c>
      <c r="AN1324" s="2">
        <v>0</v>
      </c>
      <c r="AO1324" s="2">
        <v>0</v>
      </c>
      <c r="AP1324" s="2">
        <v>1</v>
      </c>
      <c r="AQ1324" s="2">
        <v>0</v>
      </c>
      <c r="AR1324" s="2">
        <v>0</v>
      </c>
      <c r="AS1324" s="2">
        <v>0</v>
      </c>
      <c r="AT1324" s="2">
        <v>0</v>
      </c>
      <c r="BB1324" s="2" t="str">
        <f>+PROPER(BD[[#This Row],[PRIMER_APELLIDO]])</f>
        <v>Zelaya</v>
      </c>
    </row>
    <row r="1325" spans="1:54" x14ac:dyDescent="0.25">
      <c r="A1325" s="2">
        <v>1324</v>
      </c>
      <c r="B1325" s="2">
        <v>25008</v>
      </c>
      <c r="C1325" s="5" t="s">
        <v>619</v>
      </c>
      <c r="D1325" s="2" t="s">
        <v>620</v>
      </c>
      <c r="E1325" s="6" t="s">
        <v>8326</v>
      </c>
      <c r="F1325" s="6">
        <v>22210805</v>
      </c>
      <c r="G1325" s="3">
        <v>41</v>
      </c>
      <c r="I1325" s="7"/>
      <c r="J1325" s="7"/>
      <c r="K1325" s="8">
        <v>41.230136986301368</v>
      </c>
      <c r="L1325" s="2" t="s">
        <v>2568</v>
      </c>
      <c r="M1325" s="2" t="s">
        <v>3757</v>
      </c>
      <c r="N1325" s="2" t="s">
        <v>315</v>
      </c>
      <c r="O1325" s="2" t="s">
        <v>171</v>
      </c>
      <c r="P1325" s="2" t="s">
        <v>649</v>
      </c>
      <c r="Q1325" s="2" t="s">
        <v>351</v>
      </c>
      <c r="R1325" s="9">
        <v>29747</v>
      </c>
      <c r="S1325" s="9">
        <v>29747</v>
      </c>
      <c r="U1325" s="2" t="s">
        <v>627</v>
      </c>
      <c r="W1325" s="2" t="s">
        <v>627</v>
      </c>
      <c r="X1325" s="2" t="s">
        <v>8327</v>
      </c>
      <c r="Y1325" s="2" t="s">
        <v>8328</v>
      </c>
      <c r="Z1325" s="6"/>
      <c r="AA1325" s="2" t="s">
        <v>8329</v>
      </c>
      <c r="AB1325" s="2" t="s">
        <v>654</v>
      </c>
      <c r="AC1325" s="2" t="s">
        <v>632</v>
      </c>
      <c r="AD1325" s="10"/>
      <c r="AE1325" s="11"/>
      <c r="AF1325" s="11"/>
      <c r="AG1325" s="11">
        <v>89964437</v>
      </c>
      <c r="AH1325" s="11">
        <v>22803818</v>
      </c>
      <c r="AI1325" s="11">
        <v>88864215</v>
      </c>
      <c r="AJ1325" s="11">
        <v>89964437</v>
      </c>
      <c r="AK1325" s="12">
        <v>4</v>
      </c>
      <c r="AL1325" s="12" t="s">
        <v>7377</v>
      </c>
      <c r="AM1325" s="2">
        <v>0</v>
      </c>
      <c r="AN1325" s="2">
        <v>0</v>
      </c>
      <c r="AO1325" s="2">
        <v>0</v>
      </c>
      <c r="AP1325" s="2">
        <v>1</v>
      </c>
      <c r="AQ1325" s="2">
        <v>0</v>
      </c>
      <c r="AR1325" s="2">
        <v>0</v>
      </c>
      <c r="AS1325" s="2">
        <v>0</v>
      </c>
      <c r="AT1325" s="2">
        <v>0</v>
      </c>
      <c r="BB1325" s="2" t="str">
        <f>+PROPER(BD[[#This Row],[PRIMER_APELLIDO]])</f>
        <v>Bermudez</v>
      </c>
    </row>
    <row r="1326" spans="1:54" x14ac:dyDescent="0.25">
      <c r="A1326" s="2">
        <v>1325</v>
      </c>
      <c r="B1326" s="2">
        <v>35322</v>
      </c>
      <c r="C1326" s="5" t="s">
        <v>619</v>
      </c>
      <c r="D1326" s="2" t="s">
        <v>620</v>
      </c>
      <c r="E1326" s="6" t="s">
        <v>8330</v>
      </c>
      <c r="F1326" s="6">
        <v>22215938</v>
      </c>
      <c r="G1326" s="3">
        <v>41</v>
      </c>
      <c r="I1326" s="7"/>
      <c r="J1326" s="7"/>
      <c r="K1326" s="8">
        <v>41.232876712328768</v>
      </c>
      <c r="L1326" s="2" t="s">
        <v>2914</v>
      </c>
      <c r="M1326" s="2" t="s">
        <v>2545</v>
      </c>
      <c r="N1326" s="2" t="s">
        <v>130</v>
      </c>
      <c r="O1326" s="2" t="s">
        <v>235</v>
      </c>
      <c r="P1326" s="2" t="s">
        <v>626</v>
      </c>
      <c r="Q1326" s="2" t="s">
        <v>351</v>
      </c>
      <c r="R1326" s="9">
        <v>29746</v>
      </c>
      <c r="S1326" s="9">
        <v>29746</v>
      </c>
      <c r="T1326" s="2" t="s">
        <v>627</v>
      </c>
      <c r="U1326" s="2" t="s">
        <v>627</v>
      </c>
      <c r="V1326" s="2" t="s">
        <v>627</v>
      </c>
      <c r="W1326" s="2" t="s">
        <v>627</v>
      </c>
      <c r="X1326" s="2" t="s">
        <v>8331</v>
      </c>
      <c r="Y1326" s="2" t="s">
        <v>8332</v>
      </c>
      <c r="Z1326" s="6"/>
      <c r="AA1326" s="2" t="s">
        <v>8333</v>
      </c>
      <c r="AB1326" s="2" t="s">
        <v>642</v>
      </c>
      <c r="AC1326" s="2" t="s">
        <v>632</v>
      </c>
      <c r="AD1326" s="10"/>
      <c r="AE1326" s="11"/>
      <c r="AF1326" s="11"/>
      <c r="AG1326" s="11"/>
      <c r="AH1326" s="11"/>
      <c r="AI1326" s="11"/>
      <c r="AJ1326" s="11"/>
      <c r="AK1326" s="12">
        <v>2</v>
      </c>
      <c r="AL1326" s="12" t="s">
        <v>7377</v>
      </c>
      <c r="AM1326" s="2">
        <v>0</v>
      </c>
      <c r="AN1326" s="2">
        <v>0</v>
      </c>
      <c r="AO1326" s="2">
        <v>0</v>
      </c>
      <c r="AP1326" s="2">
        <v>1</v>
      </c>
      <c r="AQ1326" s="2">
        <v>0</v>
      </c>
      <c r="AR1326" s="2">
        <v>0</v>
      </c>
      <c r="AS1326" s="2">
        <v>0</v>
      </c>
      <c r="AT1326" s="2">
        <v>0</v>
      </c>
      <c r="BB1326" s="2" t="str">
        <f>+PROPER(BD[[#This Row],[PRIMER_APELLIDO]])</f>
        <v>Mejia</v>
      </c>
    </row>
    <row r="1327" spans="1:54" x14ac:dyDescent="0.25">
      <c r="A1327" s="2">
        <v>1326</v>
      </c>
      <c r="B1327" s="2">
        <v>24785</v>
      </c>
      <c r="C1327" s="5" t="s">
        <v>619</v>
      </c>
      <c r="D1327" s="2" t="s">
        <v>620</v>
      </c>
      <c r="E1327" s="6" t="s">
        <v>8334</v>
      </c>
      <c r="F1327" s="6"/>
      <c r="G1327" s="3">
        <v>41</v>
      </c>
      <c r="I1327" s="7"/>
      <c r="J1327" s="7"/>
      <c r="K1327" s="8">
        <v>41.246575342465754</v>
      </c>
      <c r="L1327" s="2" t="s">
        <v>1386</v>
      </c>
      <c r="M1327" s="2" t="s">
        <v>724</v>
      </c>
      <c r="N1327" s="2" t="s">
        <v>10</v>
      </c>
      <c r="O1327" s="2" t="s">
        <v>14</v>
      </c>
      <c r="P1327" s="2" t="s">
        <v>626</v>
      </c>
      <c r="Q1327" s="2" t="s">
        <v>351</v>
      </c>
      <c r="R1327" s="9">
        <v>29741</v>
      </c>
      <c r="S1327" s="9">
        <v>29741</v>
      </c>
      <c r="T1327" s="2" t="s">
        <v>133</v>
      </c>
      <c r="U1327" s="2" t="s">
        <v>133</v>
      </c>
      <c r="V1327" s="2" t="s">
        <v>870</v>
      </c>
      <c r="W1327" s="2" t="s">
        <v>870</v>
      </c>
      <c r="X1327" s="2" t="s">
        <v>8335</v>
      </c>
      <c r="Y1327" s="2" t="s">
        <v>8336</v>
      </c>
      <c r="Z1327" s="6" t="s">
        <v>8337</v>
      </c>
      <c r="AA1327" s="2">
        <v>25352727</v>
      </c>
      <c r="AB1327" s="2" t="s">
        <v>654</v>
      </c>
      <c r="AC1327" s="2" t="s">
        <v>632</v>
      </c>
      <c r="AD1327" s="10">
        <v>84747554</v>
      </c>
      <c r="AE1327" s="11">
        <v>89202091</v>
      </c>
      <c r="AF1327" s="11"/>
      <c r="AG1327" s="11"/>
      <c r="AH1327" s="11"/>
      <c r="AI1327" s="11"/>
      <c r="AJ1327" s="11">
        <v>84747554</v>
      </c>
      <c r="AK1327" s="12">
        <v>3</v>
      </c>
      <c r="AL1327" s="12" t="s">
        <v>7377</v>
      </c>
      <c r="AM1327" s="2">
        <v>0</v>
      </c>
      <c r="AN1327" s="2">
        <v>0</v>
      </c>
      <c r="AO1327" s="2">
        <v>0</v>
      </c>
      <c r="AP1327" s="2">
        <v>1</v>
      </c>
      <c r="AQ1327" s="2">
        <v>0</v>
      </c>
      <c r="AR1327" s="2">
        <v>0</v>
      </c>
      <c r="AS1327" s="2">
        <v>0</v>
      </c>
      <c r="AT1327" s="2">
        <v>0</v>
      </c>
      <c r="AZ1327" s="2" t="s">
        <v>8338</v>
      </c>
      <c r="BB1327" s="2" t="str">
        <f>+PROPER(BD[[#This Row],[PRIMER_APELLIDO]])</f>
        <v>Garcia</v>
      </c>
    </row>
    <row r="1328" spans="1:54" x14ac:dyDescent="0.25">
      <c r="A1328" s="2">
        <v>1327</v>
      </c>
      <c r="B1328" s="2">
        <v>22565</v>
      </c>
      <c r="C1328" s="5" t="s">
        <v>619</v>
      </c>
      <c r="D1328" s="2" t="s">
        <v>620</v>
      </c>
      <c r="E1328" s="6" t="s">
        <v>8339</v>
      </c>
      <c r="F1328" s="6">
        <v>21802485</v>
      </c>
      <c r="G1328" s="3">
        <v>41</v>
      </c>
      <c r="I1328" s="7"/>
      <c r="J1328" s="7"/>
      <c r="K1328" s="8">
        <v>41.260273972602739</v>
      </c>
      <c r="L1328" s="2" t="s">
        <v>2529</v>
      </c>
      <c r="N1328" s="2" t="s">
        <v>141</v>
      </c>
      <c r="O1328" s="2" t="s">
        <v>118</v>
      </c>
      <c r="P1328" s="2" t="s">
        <v>626</v>
      </c>
      <c r="Q1328" s="2" t="s">
        <v>351</v>
      </c>
      <c r="R1328" s="9">
        <v>29736</v>
      </c>
      <c r="S1328" s="9">
        <v>29736</v>
      </c>
      <c r="U1328" s="2" t="s">
        <v>627</v>
      </c>
      <c r="W1328" s="2" t="s">
        <v>692</v>
      </c>
      <c r="X1328" s="2" t="s">
        <v>8340</v>
      </c>
      <c r="Y1328" s="2" t="s">
        <v>8341</v>
      </c>
      <c r="Z1328" s="6"/>
      <c r="AA1328" s="2">
        <v>22690768</v>
      </c>
      <c r="AB1328" s="2" t="s">
        <v>642</v>
      </c>
      <c r="AC1328" s="2" t="s">
        <v>632</v>
      </c>
      <c r="AD1328" s="10"/>
      <c r="AE1328" s="11"/>
      <c r="AF1328" s="11"/>
      <c r="AG1328" s="11"/>
      <c r="AH1328" s="11"/>
      <c r="AI1328" s="11"/>
      <c r="AJ1328" s="11"/>
      <c r="AK1328" s="12">
        <v>1</v>
      </c>
      <c r="AL1328" s="12" t="s">
        <v>7377</v>
      </c>
      <c r="AM1328" s="2">
        <v>0</v>
      </c>
      <c r="AN1328" s="2">
        <v>0</v>
      </c>
      <c r="AO1328" s="2">
        <v>0</v>
      </c>
      <c r="AP1328" s="2">
        <v>1</v>
      </c>
      <c r="AQ1328" s="2">
        <v>0</v>
      </c>
      <c r="AR1328" s="2">
        <v>0</v>
      </c>
      <c r="AS1328" s="2">
        <v>0</v>
      </c>
      <c r="AT1328" s="2">
        <v>0</v>
      </c>
      <c r="BB1328" s="2" t="str">
        <f>+PROPER(BD[[#This Row],[PRIMER_APELLIDO]])</f>
        <v>Aguilar</v>
      </c>
    </row>
    <row r="1329" spans="1:54" x14ac:dyDescent="0.25">
      <c r="A1329" s="2">
        <v>1328</v>
      </c>
      <c r="B1329" s="2">
        <v>22722</v>
      </c>
      <c r="C1329" s="5" t="s">
        <v>619</v>
      </c>
      <c r="D1329" s="2" t="s">
        <v>620</v>
      </c>
      <c r="E1329" s="6" t="s">
        <v>8342</v>
      </c>
      <c r="F1329" s="6">
        <v>20830333</v>
      </c>
      <c r="G1329" s="3">
        <v>41</v>
      </c>
      <c r="I1329" s="7"/>
      <c r="J1329" s="7"/>
      <c r="K1329" s="8">
        <v>41.284931506849318</v>
      </c>
      <c r="L1329" s="2" t="s">
        <v>3736</v>
      </c>
      <c r="M1329" s="2" t="s">
        <v>1795</v>
      </c>
      <c r="N1329" s="2" t="s">
        <v>14</v>
      </c>
      <c r="O1329" s="2" t="s">
        <v>98</v>
      </c>
      <c r="P1329" s="2" t="s">
        <v>626</v>
      </c>
      <c r="Q1329" s="2" t="s">
        <v>351</v>
      </c>
      <c r="R1329" s="9">
        <v>29727</v>
      </c>
      <c r="S1329" s="9">
        <v>29727</v>
      </c>
      <c r="U1329" s="2" t="s">
        <v>627</v>
      </c>
      <c r="W1329" s="2" t="s">
        <v>627</v>
      </c>
      <c r="Y1329" s="2" t="s">
        <v>8343</v>
      </c>
      <c r="Z1329" s="6"/>
      <c r="AA1329" s="2">
        <v>22895764</v>
      </c>
      <c r="AB1329" s="2" t="s">
        <v>642</v>
      </c>
      <c r="AC1329" s="2" t="s">
        <v>632</v>
      </c>
      <c r="AD1329" s="10"/>
      <c r="AE1329" s="11"/>
      <c r="AF1329" s="11"/>
      <c r="AG1329" s="11"/>
      <c r="AH1329" s="11"/>
      <c r="AI1329" s="11"/>
      <c r="AJ1329" s="11"/>
      <c r="AK1329" s="12">
        <v>1</v>
      </c>
      <c r="AL1329" s="12" t="s">
        <v>7377</v>
      </c>
      <c r="AM1329" s="2">
        <v>0</v>
      </c>
      <c r="AN1329" s="2">
        <v>0</v>
      </c>
      <c r="AO1329" s="2">
        <v>0</v>
      </c>
      <c r="AP1329" s="2">
        <v>1</v>
      </c>
      <c r="AQ1329" s="2">
        <v>0</v>
      </c>
      <c r="AR1329" s="2">
        <v>0</v>
      </c>
      <c r="AS1329" s="2">
        <v>0</v>
      </c>
      <c r="AT1329" s="2">
        <v>0</v>
      </c>
      <c r="BB1329" s="2" t="str">
        <f>+PROPER(BD[[#This Row],[PRIMER_APELLIDO]])</f>
        <v>Gonzalez</v>
      </c>
    </row>
    <row r="1330" spans="1:54" x14ac:dyDescent="0.25">
      <c r="A1330" s="2">
        <v>1329</v>
      </c>
      <c r="B1330" s="2">
        <v>20241</v>
      </c>
      <c r="C1330" s="5" t="s">
        <v>619</v>
      </c>
      <c r="D1330" s="2" t="s">
        <v>620</v>
      </c>
      <c r="E1330" s="6" t="s">
        <v>8344</v>
      </c>
      <c r="F1330" s="6">
        <v>17643498</v>
      </c>
      <c r="G1330" s="3">
        <v>41</v>
      </c>
      <c r="I1330" s="7"/>
      <c r="J1330" s="7"/>
      <c r="K1330" s="8">
        <v>41.293150684931504</v>
      </c>
      <c r="L1330" s="2" t="s">
        <v>2996</v>
      </c>
      <c r="M1330" s="2" t="s">
        <v>1205</v>
      </c>
      <c r="N1330" s="2" t="s">
        <v>82</v>
      </c>
      <c r="O1330" s="2" t="s">
        <v>2523</v>
      </c>
      <c r="P1330" s="2" t="s">
        <v>649</v>
      </c>
      <c r="Q1330" s="2" t="s">
        <v>351</v>
      </c>
      <c r="R1330" s="9">
        <v>29724</v>
      </c>
      <c r="S1330" s="9">
        <v>29724</v>
      </c>
      <c r="T1330" s="2" t="s">
        <v>627</v>
      </c>
      <c r="U1330" s="2" t="s">
        <v>627</v>
      </c>
      <c r="V1330" s="2" t="s">
        <v>627</v>
      </c>
      <c r="W1330" s="2" t="s">
        <v>627</v>
      </c>
      <c r="X1330" s="2" t="s">
        <v>8345</v>
      </c>
      <c r="Y1330" s="2" t="s">
        <v>8346</v>
      </c>
      <c r="Z1330" s="6">
        <v>88644898</v>
      </c>
      <c r="AA1330" s="2">
        <v>22658921</v>
      </c>
      <c r="AB1330" s="2" t="s">
        <v>654</v>
      </c>
      <c r="AC1330" s="2" t="s">
        <v>632</v>
      </c>
      <c r="AD1330" s="10">
        <v>88644898</v>
      </c>
      <c r="AE1330" s="11"/>
      <c r="AF1330" s="11"/>
      <c r="AG1330" s="11"/>
      <c r="AH1330" s="11"/>
      <c r="AI1330" s="11"/>
      <c r="AJ1330" s="11">
        <v>88644898</v>
      </c>
      <c r="AK1330" s="12">
        <v>2</v>
      </c>
      <c r="AL1330" s="12" t="s">
        <v>7377</v>
      </c>
      <c r="AM1330" s="2">
        <v>0</v>
      </c>
      <c r="AN1330" s="2">
        <v>0</v>
      </c>
      <c r="AO1330" s="2">
        <v>0</v>
      </c>
      <c r="AP1330" s="2">
        <v>1</v>
      </c>
      <c r="AQ1330" s="2">
        <v>0</v>
      </c>
      <c r="AR1330" s="2">
        <v>0</v>
      </c>
      <c r="AS1330" s="2">
        <v>0</v>
      </c>
      <c r="AT1330" s="2">
        <v>0</v>
      </c>
      <c r="AZ1330" s="2" t="s">
        <v>8347</v>
      </c>
      <c r="BB1330" s="2" t="str">
        <f>+PROPER(BD[[#This Row],[PRIMER_APELLIDO]])</f>
        <v>Morales</v>
      </c>
    </row>
    <row r="1331" spans="1:54" x14ac:dyDescent="0.25">
      <c r="A1331" s="2">
        <v>1330</v>
      </c>
      <c r="B1331" s="2">
        <v>22577</v>
      </c>
      <c r="C1331" s="5" t="s">
        <v>619</v>
      </c>
      <c r="D1331" s="2" t="s">
        <v>620</v>
      </c>
      <c r="E1331" s="6" t="s">
        <v>8348</v>
      </c>
      <c r="F1331" s="6">
        <v>21352250</v>
      </c>
      <c r="G1331" s="3">
        <v>41</v>
      </c>
      <c r="I1331" s="7"/>
      <c r="J1331" s="7"/>
      <c r="K1331" s="8">
        <v>41.301369863013697</v>
      </c>
      <c r="L1331" s="2" t="s">
        <v>2350</v>
      </c>
      <c r="M1331" s="2" t="s">
        <v>8349</v>
      </c>
      <c r="N1331" s="2" t="s">
        <v>431</v>
      </c>
      <c r="O1331" s="2" t="s">
        <v>207</v>
      </c>
      <c r="P1331" s="2" t="s">
        <v>626</v>
      </c>
      <c r="Q1331" s="2" t="s">
        <v>351</v>
      </c>
      <c r="R1331" s="9">
        <v>29721</v>
      </c>
      <c r="S1331" s="9">
        <v>29721</v>
      </c>
      <c r="U1331" s="2" t="s">
        <v>627</v>
      </c>
      <c r="W1331" s="2" t="s">
        <v>627</v>
      </c>
      <c r="Y1331" s="2" t="s">
        <v>8350</v>
      </c>
      <c r="Z1331" s="6"/>
      <c r="AA1331" s="2" t="s">
        <v>8351</v>
      </c>
      <c r="AB1331" s="2" t="s">
        <v>642</v>
      </c>
      <c r="AC1331" s="2" t="s">
        <v>632</v>
      </c>
      <c r="AD1331" s="10"/>
      <c r="AE1331" s="11"/>
      <c r="AF1331" s="11"/>
      <c r="AG1331" s="11"/>
      <c r="AH1331" s="11"/>
      <c r="AI1331" s="11"/>
      <c r="AJ1331" s="11"/>
      <c r="AK1331" s="12">
        <v>2</v>
      </c>
      <c r="AL1331" s="12" t="s">
        <v>7377</v>
      </c>
      <c r="AM1331" s="2">
        <v>0</v>
      </c>
      <c r="AN1331" s="2">
        <v>0</v>
      </c>
      <c r="AO1331" s="2">
        <v>0</v>
      </c>
      <c r="AP1331" s="2">
        <v>1</v>
      </c>
      <c r="AQ1331" s="2">
        <v>0</v>
      </c>
      <c r="AR1331" s="2">
        <v>0</v>
      </c>
      <c r="AS1331" s="2">
        <v>0</v>
      </c>
      <c r="AT1331" s="2">
        <v>0</v>
      </c>
      <c r="BB1331" s="2" t="str">
        <f>+PROPER(BD[[#This Row],[PRIMER_APELLIDO]])</f>
        <v>Tijerino</v>
      </c>
    </row>
    <row r="1332" spans="1:54" x14ac:dyDescent="0.25">
      <c r="A1332" s="2">
        <v>1331</v>
      </c>
      <c r="B1332" s="2">
        <v>25867</v>
      </c>
      <c r="C1332" s="5" t="s">
        <v>619</v>
      </c>
      <c r="D1332" s="2" t="s">
        <v>620</v>
      </c>
      <c r="E1332" s="6" t="s">
        <v>8352</v>
      </c>
      <c r="F1332" s="6"/>
      <c r="G1332" s="3">
        <v>41</v>
      </c>
      <c r="I1332" s="7"/>
      <c r="J1332" s="7"/>
      <c r="K1332" s="8">
        <v>41.301369863013697</v>
      </c>
      <c r="L1332" s="2" t="s">
        <v>746</v>
      </c>
      <c r="M1332" s="2" t="s">
        <v>8353</v>
      </c>
      <c r="N1332" s="2" t="s">
        <v>456</v>
      </c>
      <c r="O1332" s="2" t="s">
        <v>181</v>
      </c>
      <c r="P1332" s="2" t="s">
        <v>626</v>
      </c>
      <c r="Q1332" s="2" t="s">
        <v>351</v>
      </c>
      <c r="R1332" s="9">
        <v>29721</v>
      </c>
      <c r="S1332" s="9">
        <v>29721</v>
      </c>
      <c r="T1332" s="2" t="s">
        <v>444</v>
      </c>
      <c r="U1332" s="2" t="s">
        <v>444</v>
      </c>
      <c r="V1332" s="2" t="s">
        <v>764</v>
      </c>
      <c r="W1332" s="2" t="s">
        <v>764</v>
      </c>
      <c r="X1332" s="2" t="s">
        <v>8354</v>
      </c>
      <c r="Y1332" s="2" t="s">
        <v>8355</v>
      </c>
      <c r="Z1332" s="6">
        <v>85235510</v>
      </c>
      <c r="AB1332" s="2" t="s">
        <v>642</v>
      </c>
      <c r="AC1332" s="2" t="s">
        <v>632</v>
      </c>
      <c r="AD1332" s="10">
        <v>85235510</v>
      </c>
      <c r="AE1332" s="11"/>
      <c r="AF1332" s="11"/>
      <c r="AG1332" s="11"/>
      <c r="AH1332" s="11"/>
      <c r="AI1332" s="11"/>
      <c r="AJ1332" s="11">
        <v>85235510</v>
      </c>
      <c r="AK1332" s="12">
        <v>1</v>
      </c>
      <c r="AL1332" s="12" t="s">
        <v>7377</v>
      </c>
      <c r="AM1332" s="2">
        <v>0</v>
      </c>
      <c r="AN1332" s="2">
        <v>0</v>
      </c>
      <c r="AO1332" s="2">
        <v>0</v>
      </c>
      <c r="AP1332" s="2">
        <v>1</v>
      </c>
      <c r="AQ1332" s="2">
        <v>0</v>
      </c>
      <c r="AR1332" s="2">
        <v>0</v>
      </c>
      <c r="AS1332" s="2">
        <v>0</v>
      </c>
      <c r="AT1332" s="2">
        <v>0</v>
      </c>
      <c r="BB1332" s="2" t="str">
        <f>+PROPER(BD[[#This Row],[PRIMER_APELLIDO]])</f>
        <v>Alvarez</v>
      </c>
    </row>
    <row r="1333" spans="1:54" x14ac:dyDescent="0.25">
      <c r="A1333" s="2">
        <v>1332</v>
      </c>
      <c r="B1333" s="2">
        <v>66091</v>
      </c>
      <c r="C1333" s="5" t="s">
        <v>619</v>
      </c>
      <c r="D1333" s="2" t="s">
        <v>620</v>
      </c>
      <c r="E1333" s="6" t="s">
        <v>8356</v>
      </c>
      <c r="F1333" s="6"/>
      <c r="G1333" s="3">
        <v>41</v>
      </c>
      <c r="I1333" s="7"/>
      <c r="J1333" s="7"/>
      <c r="K1333" s="8">
        <v>41.30684931506849</v>
      </c>
      <c r="L1333" s="2" t="s">
        <v>2149</v>
      </c>
      <c r="M1333" s="2" t="s">
        <v>787</v>
      </c>
      <c r="N1333" s="2" t="s">
        <v>10</v>
      </c>
      <c r="O1333" s="2" t="s">
        <v>15</v>
      </c>
      <c r="P1333" s="2" t="s">
        <v>626</v>
      </c>
      <c r="Q1333" s="2" t="s">
        <v>351</v>
      </c>
      <c r="R1333" s="9">
        <v>29719</v>
      </c>
      <c r="S1333" s="9">
        <v>29719</v>
      </c>
      <c r="T1333" s="2" t="s">
        <v>133</v>
      </c>
      <c r="U1333" s="2" t="s">
        <v>133</v>
      </c>
      <c r="V1333" s="2" t="s">
        <v>869</v>
      </c>
      <c r="W1333" s="2" t="s">
        <v>869</v>
      </c>
      <c r="X1333" s="2" t="s">
        <v>8357</v>
      </c>
      <c r="Y1333" s="2" t="s">
        <v>8358</v>
      </c>
      <c r="Z1333" s="6">
        <v>89360926</v>
      </c>
      <c r="AA1333" s="2">
        <v>89360926</v>
      </c>
      <c r="AB1333" s="2" t="s">
        <v>642</v>
      </c>
      <c r="AC1333" s="2" t="s">
        <v>632</v>
      </c>
      <c r="AD1333" s="10">
        <v>89360926</v>
      </c>
      <c r="AE1333" s="11"/>
      <c r="AF1333" s="11">
        <v>89360926</v>
      </c>
      <c r="AG1333" s="11"/>
      <c r="AH1333" s="11"/>
      <c r="AI1333" s="11"/>
      <c r="AJ1333" s="11">
        <v>89360926</v>
      </c>
      <c r="AK1333" s="12">
        <v>2</v>
      </c>
      <c r="AL1333" s="12" t="s">
        <v>7377</v>
      </c>
      <c r="AM1333" s="2">
        <v>0</v>
      </c>
      <c r="AN1333" s="2">
        <v>0</v>
      </c>
      <c r="AO1333" s="2">
        <v>0</v>
      </c>
      <c r="AP1333" s="2">
        <v>1</v>
      </c>
      <c r="AQ1333" s="2">
        <v>0</v>
      </c>
      <c r="AR1333" s="2">
        <v>0</v>
      </c>
      <c r="AS1333" s="2">
        <v>0</v>
      </c>
      <c r="AT1333" s="2">
        <v>0</v>
      </c>
      <c r="AZ1333" s="2" t="s">
        <v>8359</v>
      </c>
      <c r="BB1333" s="2" t="str">
        <f>+PROPER(BD[[#This Row],[PRIMER_APELLIDO]])</f>
        <v>Garcia</v>
      </c>
    </row>
    <row r="1334" spans="1:54" x14ac:dyDescent="0.25">
      <c r="A1334" s="2">
        <v>1333</v>
      </c>
      <c r="B1334" s="2">
        <v>35371</v>
      </c>
      <c r="C1334" s="5" t="s">
        <v>619</v>
      </c>
      <c r="D1334" s="2" t="s">
        <v>620</v>
      </c>
      <c r="E1334" s="6" t="s">
        <v>8360</v>
      </c>
      <c r="F1334" s="6">
        <v>21676990</v>
      </c>
      <c r="G1334" s="3">
        <v>41</v>
      </c>
      <c r="I1334" s="7"/>
      <c r="J1334" s="7"/>
      <c r="K1334" s="8">
        <v>41.30958904109589</v>
      </c>
      <c r="L1334" s="2" t="s">
        <v>786</v>
      </c>
      <c r="M1334" s="2" t="s">
        <v>8361</v>
      </c>
      <c r="N1334" s="2" t="s">
        <v>512</v>
      </c>
      <c r="P1334" s="2" t="s">
        <v>626</v>
      </c>
      <c r="Q1334" s="2" t="s">
        <v>351</v>
      </c>
      <c r="R1334" s="9">
        <v>29718</v>
      </c>
      <c r="S1334" s="9">
        <v>29718</v>
      </c>
      <c r="T1334" s="2" t="s">
        <v>627</v>
      </c>
      <c r="U1334" s="2" t="s">
        <v>627</v>
      </c>
      <c r="V1334" s="2" t="s">
        <v>627</v>
      </c>
      <c r="W1334" s="2" t="s">
        <v>627</v>
      </c>
      <c r="X1334" s="2" t="s">
        <v>8362</v>
      </c>
      <c r="Y1334" s="2" t="s">
        <v>8363</v>
      </c>
      <c r="Z1334" s="6"/>
      <c r="AA1334" s="2" t="s">
        <v>8364</v>
      </c>
      <c r="AB1334" s="2" t="s">
        <v>642</v>
      </c>
      <c r="AC1334" s="2" t="s">
        <v>632</v>
      </c>
      <c r="AD1334" s="10"/>
      <c r="AE1334" s="11"/>
      <c r="AF1334" s="11"/>
      <c r="AG1334" s="11">
        <v>85453989</v>
      </c>
      <c r="AH1334" s="11">
        <v>83398807</v>
      </c>
      <c r="AI1334" s="11"/>
      <c r="AJ1334" s="11">
        <v>85453989</v>
      </c>
      <c r="AK1334" s="12">
        <v>3</v>
      </c>
      <c r="AL1334" s="12" t="s">
        <v>7377</v>
      </c>
      <c r="AM1334" s="2">
        <v>0</v>
      </c>
      <c r="AN1334" s="2">
        <v>0</v>
      </c>
      <c r="AO1334" s="2">
        <v>0</v>
      </c>
      <c r="AP1334" s="2">
        <v>1</v>
      </c>
      <c r="AQ1334" s="2">
        <v>0</v>
      </c>
      <c r="AR1334" s="2">
        <v>0</v>
      </c>
      <c r="AS1334" s="2">
        <v>0</v>
      </c>
      <c r="AT1334" s="2">
        <v>0</v>
      </c>
      <c r="BB1334" s="2" t="str">
        <f>+PROPER(BD[[#This Row],[PRIMER_APELLIDO]])</f>
        <v>Larios</v>
      </c>
    </row>
    <row r="1335" spans="1:54" x14ac:dyDescent="0.25">
      <c r="A1335" s="2">
        <v>1334</v>
      </c>
      <c r="B1335" s="2">
        <v>32090</v>
      </c>
      <c r="C1335" s="5" t="s">
        <v>619</v>
      </c>
      <c r="D1335" s="2" t="s">
        <v>620</v>
      </c>
      <c r="E1335" s="6" t="s">
        <v>8365</v>
      </c>
      <c r="F1335" s="6">
        <v>21718003</v>
      </c>
      <c r="G1335" s="3">
        <v>41</v>
      </c>
      <c r="I1335" s="7"/>
      <c r="J1335" s="7"/>
      <c r="K1335" s="8">
        <v>41.317808219178083</v>
      </c>
      <c r="L1335" s="2" t="s">
        <v>2634</v>
      </c>
      <c r="M1335" s="2" t="s">
        <v>8366</v>
      </c>
      <c r="N1335" s="2" t="s">
        <v>222</v>
      </c>
      <c r="O1335" s="2" t="s">
        <v>105</v>
      </c>
      <c r="P1335" s="2" t="s">
        <v>626</v>
      </c>
      <c r="Q1335" s="2" t="s">
        <v>351</v>
      </c>
      <c r="R1335" s="9">
        <v>29715</v>
      </c>
      <c r="S1335" s="9">
        <v>29715</v>
      </c>
      <c r="T1335" s="2" t="s">
        <v>176</v>
      </c>
      <c r="U1335" s="2" t="s">
        <v>176</v>
      </c>
      <c r="V1335" s="2" t="s">
        <v>650</v>
      </c>
      <c r="W1335" s="2" t="s">
        <v>176</v>
      </c>
      <c r="X1335" s="2" t="s">
        <v>8367</v>
      </c>
      <c r="Y1335" s="2" t="s">
        <v>8368</v>
      </c>
      <c r="Z1335" s="6"/>
      <c r="AA1335" s="2">
        <v>55024497</v>
      </c>
      <c r="AB1335" s="2" t="s">
        <v>642</v>
      </c>
      <c r="AC1335" s="2" t="s">
        <v>632</v>
      </c>
      <c r="AD1335" s="10"/>
      <c r="AE1335" s="11"/>
      <c r="AF1335" s="11">
        <v>55024497</v>
      </c>
      <c r="AG1335" s="11"/>
      <c r="AH1335" s="11"/>
      <c r="AI1335" s="11"/>
      <c r="AJ1335" s="11">
        <v>55024497</v>
      </c>
      <c r="AK1335" s="12">
        <v>1</v>
      </c>
      <c r="AL1335" s="12" t="s">
        <v>7377</v>
      </c>
      <c r="AM1335" s="2">
        <v>0</v>
      </c>
      <c r="AN1335" s="2">
        <v>0</v>
      </c>
      <c r="AO1335" s="2">
        <v>0</v>
      </c>
      <c r="AP1335" s="2">
        <v>1</v>
      </c>
      <c r="AQ1335" s="2">
        <v>0</v>
      </c>
      <c r="AR1335" s="2">
        <v>0</v>
      </c>
      <c r="AS1335" s="2">
        <v>0</v>
      </c>
      <c r="AT1335" s="2">
        <v>0</v>
      </c>
      <c r="BB1335" s="2" t="str">
        <f>+PROPER(BD[[#This Row],[PRIMER_APELLIDO]])</f>
        <v>Zapata</v>
      </c>
    </row>
    <row r="1336" spans="1:54" x14ac:dyDescent="0.25">
      <c r="A1336" s="2">
        <v>1335</v>
      </c>
      <c r="B1336" s="2">
        <v>23110</v>
      </c>
      <c r="C1336" s="5" t="s">
        <v>619</v>
      </c>
      <c r="D1336" s="2" t="s">
        <v>620</v>
      </c>
      <c r="E1336" s="6" t="s">
        <v>8369</v>
      </c>
      <c r="F1336" s="6">
        <v>19565275</v>
      </c>
      <c r="G1336" s="3">
        <v>41</v>
      </c>
      <c r="I1336" s="7"/>
      <c r="J1336" s="7"/>
      <c r="K1336" s="8">
        <v>41.326027397260276</v>
      </c>
      <c r="L1336" s="2" t="s">
        <v>1850</v>
      </c>
      <c r="M1336" s="2" t="s">
        <v>704</v>
      </c>
      <c r="N1336" s="2" t="s">
        <v>466</v>
      </c>
      <c r="O1336" s="2" t="s">
        <v>113</v>
      </c>
      <c r="P1336" s="2" t="s">
        <v>626</v>
      </c>
      <c r="Q1336" s="2" t="s">
        <v>351</v>
      </c>
      <c r="R1336" s="9">
        <v>29712</v>
      </c>
      <c r="S1336" s="9">
        <v>29712</v>
      </c>
      <c r="T1336" s="2" t="s">
        <v>627</v>
      </c>
      <c r="U1336" s="2" t="s">
        <v>627</v>
      </c>
      <c r="V1336" s="2" t="s">
        <v>627</v>
      </c>
      <c r="W1336" s="2" t="s">
        <v>627</v>
      </c>
      <c r="X1336" s="2" t="s">
        <v>8370</v>
      </c>
      <c r="Y1336" s="2" t="s">
        <v>8371</v>
      </c>
      <c r="Z1336" s="6"/>
      <c r="AA1336" s="2">
        <v>22605907</v>
      </c>
      <c r="AB1336" s="2" t="s">
        <v>654</v>
      </c>
      <c r="AC1336" s="2" t="s">
        <v>632</v>
      </c>
      <c r="AD1336" s="10"/>
      <c r="AE1336" s="11"/>
      <c r="AF1336" s="11"/>
      <c r="AG1336" s="11"/>
      <c r="AH1336" s="11"/>
      <c r="AI1336" s="11"/>
      <c r="AJ1336" s="11"/>
      <c r="AK1336" s="12">
        <v>1</v>
      </c>
      <c r="AL1336" s="12" t="s">
        <v>7377</v>
      </c>
      <c r="AM1336" s="2">
        <v>0</v>
      </c>
      <c r="AN1336" s="2">
        <v>0</v>
      </c>
      <c r="AO1336" s="2">
        <v>0</v>
      </c>
      <c r="AP1336" s="2">
        <v>1</v>
      </c>
      <c r="AQ1336" s="2">
        <v>0</v>
      </c>
      <c r="AR1336" s="2">
        <v>0</v>
      </c>
      <c r="AS1336" s="2">
        <v>0</v>
      </c>
      <c r="AT1336" s="2">
        <v>0</v>
      </c>
      <c r="BB1336" s="2" t="str">
        <f>+PROPER(BD[[#This Row],[PRIMER_APELLIDO]])</f>
        <v>Solorzano</v>
      </c>
    </row>
    <row r="1337" spans="1:54" x14ac:dyDescent="0.25">
      <c r="A1337" s="2">
        <v>1336</v>
      </c>
      <c r="B1337" s="2">
        <v>25287</v>
      </c>
      <c r="C1337" s="5" t="s">
        <v>619</v>
      </c>
      <c r="D1337" s="2" t="s">
        <v>620</v>
      </c>
      <c r="E1337" s="6" t="s">
        <v>8372</v>
      </c>
      <c r="F1337" s="6">
        <v>21395837</v>
      </c>
      <c r="G1337" s="3">
        <v>41</v>
      </c>
      <c r="I1337" s="7"/>
      <c r="J1337" s="7"/>
      <c r="K1337" s="8">
        <v>41.336986301369862</v>
      </c>
      <c r="L1337" s="2" t="s">
        <v>638</v>
      </c>
      <c r="M1337" s="2" t="s">
        <v>243</v>
      </c>
      <c r="N1337" s="2" t="s">
        <v>18</v>
      </c>
      <c r="O1337" s="2" t="s">
        <v>179</v>
      </c>
      <c r="P1337" s="2" t="s">
        <v>626</v>
      </c>
      <c r="Q1337" s="2" t="s">
        <v>351</v>
      </c>
      <c r="R1337" s="9">
        <v>29708</v>
      </c>
      <c r="S1337" s="9">
        <v>29708</v>
      </c>
      <c r="U1337" s="2" t="s">
        <v>627</v>
      </c>
      <c r="W1337" s="2" t="s">
        <v>2915</v>
      </c>
      <c r="X1337" s="2" t="s">
        <v>8373</v>
      </c>
      <c r="Y1337" s="2" t="s">
        <v>8374</v>
      </c>
      <c r="Z1337" s="6"/>
      <c r="AA1337" s="2" t="s">
        <v>8375</v>
      </c>
      <c r="AB1337" s="2" t="s">
        <v>654</v>
      </c>
      <c r="AC1337" s="2" t="s">
        <v>632</v>
      </c>
      <c r="AD1337" s="10"/>
      <c r="AE1337" s="11"/>
      <c r="AF1337" s="11"/>
      <c r="AG1337" s="11">
        <v>89145362</v>
      </c>
      <c r="AH1337" s="11"/>
      <c r="AI1337" s="11"/>
      <c r="AJ1337" s="11">
        <v>89145362</v>
      </c>
      <c r="AK1337" s="12">
        <v>2</v>
      </c>
      <c r="AL1337" s="12" t="s">
        <v>7377</v>
      </c>
      <c r="AM1337" s="2">
        <v>0</v>
      </c>
      <c r="AN1337" s="2">
        <v>0</v>
      </c>
      <c r="AO1337" s="2">
        <v>0</v>
      </c>
      <c r="AP1337" s="2">
        <v>1</v>
      </c>
      <c r="AQ1337" s="2">
        <v>0</v>
      </c>
      <c r="AR1337" s="2">
        <v>0</v>
      </c>
      <c r="AS1337" s="2">
        <v>0</v>
      </c>
      <c r="AT1337" s="2">
        <v>0</v>
      </c>
      <c r="BA1337" s="2" t="s">
        <v>8376</v>
      </c>
      <c r="BB1337" s="2" t="str">
        <f>+PROPER(BD[[#This Row],[PRIMER_APELLIDO]])</f>
        <v>Alvarado</v>
      </c>
    </row>
    <row r="1338" spans="1:54" x14ac:dyDescent="0.25">
      <c r="A1338" s="2">
        <v>1337</v>
      </c>
      <c r="B1338" s="2">
        <v>21320</v>
      </c>
      <c r="C1338" s="5" t="s">
        <v>619</v>
      </c>
      <c r="D1338" s="2" t="s">
        <v>620</v>
      </c>
      <c r="E1338" s="6" t="s">
        <v>8377</v>
      </c>
      <c r="F1338" s="6"/>
      <c r="G1338" s="3">
        <v>41</v>
      </c>
      <c r="I1338" s="7"/>
      <c r="J1338" s="7"/>
      <c r="K1338" s="8">
        <v>41.350684931506848</v>
      </c>
      <c r="L1338" s="2" t="s">
        <v>8378</v>
      </c>
      <c r="M1338" s="2" t="s">
        <v>961</v>
      </c>
      <c r="N1338" s="2" t="s">
        <v>256</v>
      </c>
      <c r="O1338" s="2" t="s">
        <v>268</v>
      </c>
      <c r="P1338" s="2" t="s">
        <v>626</v>
      </c>
      <c r="Q1338" s="2" t="s">
        <v>351</v>
      </c>
      <c r="R1338" s="9">
        <v>29703</v>
      </c>
      <c r="S1338" s="9">
        <v>29703</v>
      </c>
      <c r="T1338" s="2" t="s">
        <v>1104</v>
      </c>
      <c r="U1338" s="2" t="s">
        <v>1104</v>
      </c>
      <c r="V1338" s="2" t="s">
        <v>1738</v>
      </c>
      <c r="W1338" s="2" t="s">
        <v>1739</v>
      </c>
      <c r="X1338" s="2" t="s">
        <v>8379</v>
      </c>
      <c r="Y1338" s="2" t="s">
        <v>8380</v>
      </c>
      <c r="Z1338" s="6">
        <v>88330438</v>
      </c>
      <c r="AA1338" s="2" t="s">
        <v>8381</v>
      </c>
      <c r="AB1338" s="2" t="s">
        <v>654</v>
      </c>
      <c r="AC1338" s="2" t="s">
        <v>632</v>
      </c>
      <c r="AD1338" s="10">
        <v>88330438</v>
      </c>
      <c r="AE1338" s="11"/>
      <c r="AF1338" s="11"/>
      <c r="AG1338" s="11">
        <v>88330438</v>
      </c>
      <c r="AH1338" s="11">
        <v>88984141</v>
      </c>
      <c r="AI1338" s="11"/>
      <c r="AJ1338" s="11">
        <v>88330438</v>
      </c>
      <c r="AK1338" s="12">
        <v>4</v>
      </c>
      <c r="AL1338" s="12" t="s">
        <v>7377</v>
      </c>
      <c r="AM1338" s="2">
        <v>0</v>
      </c>
      <c r="AN1338" s="2">
        <v>0</v>
      </c>
      <c r="AO1338" s="2">
        <v>0</v>
      </c>
      <c r="AP1338" s="2">
        <v>1</v>
      </c>
      <c r="AQ1338" s="2">
        <v>0</v>
      </c>
      <c r="AR1338" s="2">
        <v>0</v>
      </c>
      <c r="AS1338" s="2">
        <v>0</v>
      </c>
      <c r="AT1338" s="2">
        <v>0</v>
      </c>
      <c r="AZ1338" s="2" t="s">
        <v>8382</v>
      </c>
      <c r="BB1338" s="2" t="str">
        <f>+PROPER(BD[[#This Row],[PRIMER_APELLIDO]])</f>
        <v>Pravia</v>
      </c>
    </row>
    <row r="1339" spans="1:54" x14ac:dyDescent="0.25">
      <c r="A1339" s="2">
        <v>1338</v>
      </c>
      <c r="B1339" s="2">
        <v>35192</v>
      </c>
      <c r="C1339" s="5" t="s">
        <v>619</v>
      </c>
      <c r="D1339" s="2" t="s">
        <v>620</v>
      </c>
      <c r="E1339" s="6" t="s">
        <v>8383</v>
      </c>
      <c r="F1339" s="6">
        <v>25797716</v>
      </c>
      <c r="G1339" s="3">
        <v>41</v>
      </c>
      <c r="I1339" s="7"/>
      <c r="J1339" s="7"/>
      <c r="K1339" s="8">
        <v>41.358904109589041</v>
      </c>
      <c r="L1339" s="2" t="s">
        <v>1223</v>
      </c>
      <c r="M1339" s="2" t="s">
        <v>2119</v>
      </c>
      <c r="N1339" s="2" t="s">
        <v>239</v>
      </c>
      <c r="O1339" s="2" t="s">
        <v>7606</v>
      </c>
      <c r="P1339" s="2" t="s">
        <v>649</v>
      </c>
      <c r="Q1339" s="2" t="s">
        <v>351</v>
      </c>
      <c r="R1339" s="9">
        <v>29700</v>
      </c>
      <c r="S1339" s="9">
        <v>29700</v>
      </c>
      <c r="T1339" s="2" t="s">
        <v>627</v>
      </c>
      <c r="U1339" s="2" t="s">
        <v>627</v>
      </c>
      <c r="V1339" s="2" t="s">
        <v>627</v>
      </c>
      <c r="W1339" s="2" t="s">
        <v>627</v>
      </c>
      <c r="X1339" s="2" t="s">
        <v>8384</v>
      </c>
      <c r="Y1339" s="2" t="s">
        <v>8385</v>
      </c>
      <c r="Z1339" s="6"/>
      <c r="AA1339" s="2" t="s">
        <v>8386</v>
      </c>
      <c r="AB1339" s="2" t="s">
        <v>6128</v>
      </c>
      <c r="AC1339" s="2" t="s">
        <v>632</v>
      </c>
      <c r="AD1339" s="10"/>
      <c r="AE1339" s="11"/>
      <c r="AF1339" s="11">
        <v>86770901</v>
      </c>
      <c r="AG1339" s="11">
        <v>84453338</v>
      </c>
      <c r="AH1339" s="11"/>
      <c r="AI1339" s="11"/>
      <c r="AJ1339" s="11">
        <v>86770901</v>
      </c>
      <c r="AK1339" s="12">
        <v>2</v>
      </c>
      <c r="AL1339" s="12" t="s">
        <v>7377</v>
      </c>
      <c r="AM1339" s="2">
        <v>0</v>
      </c>
      <c r="AN1339" s="2">
        <v>0</v>
      </c>
      <c r="AO1339" s="2">
        <v>0</v>
      </c>
      <c r="AP1339" s="2">
        <v>1</v>
      </c>
      <c r="AQ1339" s="2">
        <v>0</v>
      </c>
      <c r="AR1339" s="2">
        <v>0</v>
      </c>
      <c r="AS1339" s="2">
        <v>0</v>
      </c>
      <c r="AT1339" s="2">
        <v>0</v>
      </c>
      <c r="BA1339" s="2" t="s">
        <v>8387</v>
      </c>
      <c r="BB1339" s="2" t="str">
        <f>+PROPER(BD[[#This Row],[PRIMER_APELLIDO]])</f>
        <v>Vilchez</v>
      </c>
    </row>
    <row r="1340" spans="1:54" x14ac:dyDescent="0.25">
      <c r="A1340" s="2">
        <v>1339</v>
      </c>
      <c r="B1340" s="2">
        <v>27366</v>
      </c>
      <c r="C1340" s="5" t="s">
        <v>619</v>
      </c>
      <c r="D1340" s="2" t="s">
        <v>620</v>
      </c>
      <c r="E1340" s="6" t="s">
        <v>8388</v>
      </c>
      <c r="F1340" s="6">
        <v>21314986</v>
      </c>
      <c r="G1340" s="3">
        <v>41</v>
      </c>
      <c r="I1340" s="7"/>
      <c r="J1340" s="7"/>
      <c r="K1340" s="8">
        <v>41.367123287671234</v>
      </c>
      <c r="L1340" s="2" t="s">
        <v>2131</v>
      </c>
      <c r="M1340" s="2" t="s">
        <v>8389</v>
      </c>
      <c r="N1340" s="2" t="s">
        <v>15</v>
      </c>
      <c r="O1340" s="2" t="s">
        <v>9</v>
      </c>
      <c r="P1340" s="2" t="s">
        <v>626</v>
      </c>
      <c r="Q1340" s="2" t="s">
        <v>351</v>
      </c>
      <c r="R1340" s="9">
        <v>29697</v>
      </c>
      <c r="S1340" s="9">
        <v>29697</v>
      </c>
      <c r="U1340" s="2" t="s">
        <v>1104</v>
      </c>
      <c r="W1340" s="2" t="s">
        <v>1104</v>
      </c>
      <c r="X1340" s="2" t="s">
        <v>8390</v>
      </c>
      <c r="Y1340" s="2" t="s">
        <v>8391</v>
      </c>
      <c r="Z1340" s="6"/>
      <c r="AA1340" s="2" t="s">
        <v>8392</v>
      </c>
      <c r="AB1340" s="2" t="s">
        <v>654</v>
      </c>
      <c r="AC1340" s="2" t="s">
        <v>632</v>
      </c>
      <c r="AD1340" s="10"/>
      <c r="AE1340" s="11"/>
      <c r="AF1340" s="11"/>
      <c r="AG1340" s="11">
        <v>82634360</v>
      </c>
      <c r="AH1340" s="11"/>
      <c r="AI1340" s="11"/>
      <c r="AJ1340" s="11">
        <v>82634360</v>
      </c>
      <c r="AK1340" s="12">
        <v>2</v>
      </c>
      <c r="AL1340" s="12" t="s">
        <v>7377</v>
      </c>
      <c r="AM1340" s="2">
        <v>0</v>
      </c>
      <c r="AN1340" s="2">
        <v>0</v>
      </c>
      <c r="AO1340" s="2">
        <v>0</v>
      </c>
      <c r="AP1340" s="2">
        <v>1</v>
      </c>
      <c r="AQ1340" s="2">
        <v>0</v>
      </c>
      <c r="AR1340" s="2">
        <v>0</v>
      </c>
      <c r="AS1340" s="2">
        <v>0</v>
      </c>
      <c r="AT1340" s="2">
        <v>0</v>
      </c>
      <c r="BB1340" s="2" t="str">
        <f>+PROPER(BD[[#This Row],[PRIMER_APELLIDO]])</f>
        <v>Lopez</v>
      </c>
    </row>
    <row r="1341" spans="1:54" x14ac:dyDescent="0.25">
      <c r="A1341" s="2">
        <v>1340</v>
      </c>
      <c r="B1341" s="2">
        <v>26200</v>
      </c>
      <c r="C1341" s="5" t="s">
        <v>619</v>
      </c>
      <c r="D1341" s="2" t="s">
        <v>620</v>
      </c>
      <c r="E1341" s="6" t="s">
        <v>8393</v>
      </c>
      <c r="F1341" s="6">
        <v>21745214</v>
      </c>
      <c r="G1341" s="3">
        <v>41</v>
      </c>
      <c r="I1341" s="7"/>
      <c r="J1341" s="7"/>
      <c r="K1341" s="8">
        <v>41.375342465753427</v>
      </c>
      <c r="L1341" s="2" t="s">
        <v>1298</v>
      </c>
      <c r="M1341" s="2" t="s">
        <v>903</v>
      </c>
      <c r="N1341" s="2" t="s">
        <v>182</v>
      </c>
      <c r="O1341" s="2" t="s">
        <v>474</v>
      </c>
      <c r="P1341" s="2" t="s">
        <v>649</v>
      </c>
      <c r="Q1341" s="2" t="s">
        <v>351</v>
      </c>
      <c r="R1341" s="9">
        <v>29694</v>
      </c>
      <c r="S1341" s="9">
        <v>29694</v>
      </c>
      <c r="U1341" s="2" t="s">
        <v>176</v>
      </c>
      <c r="W1341" s="2" t="s">
        <v>176</v>
      </c>
      <c r="X1341" s="2" t="s">
        <v>8394</v>
      </c>
      <c r="Y1341" s="2" t="s">
        <v>8395</v>
      </c>
      <c r="Z1341" s="6"/>
      <c r="AA1341" s="2">
        <v>89770846</v>
      </c>
      <c r="AB1341" s="2" t="s">
        <v>654</v>
      </c>
      <c r="AC1341" s="2" t="s">
        <v>632</v>
      </c>
      <c r="AD1341" s="10"/>
      <c r="AE1341" s="11"/>
      <c r="AF1341" s="11">
        <v>89770846</v>
      </c>
      <c r="AG1341" s="11"/>
      <c r="AH1341" s="11"/>
      <c r="AI1341" s="11"/>
      <c r="AJ1341" s="11">
        <v>89770846</v>
      </c>
      <c r="AK1341" s="12">
        <v>1</v>
      </c>
      <c r="AL1341" s="12" t="s">
        <v>7377</v>
      </c>
      <c r="AM1341" s="2">
        <v>0</v>
      </c>
      <c r="AN1341" s="2">
        <v>0</v>
      </c>
      <c r="AO1341" s="2">
        <v>0</v>
      </c>
      <c r="AP1341" s="2">
        <v>1</v>
      </c>
      <c r="AQ1341" s="2">
        <v>0</v>
      </c>
      <c r="AR1341" s="2">
        <v>0</v>
      </c>
      <c r="AS1341" s="2">
        <v>0</v>
      </c>
      <c r="AT1341" s="2">
        <v>0</v>
      </c>
      <c r="BB1341" s="2" t="str">
        <f>+PROPER(BD[[#This Row],[PRIMER_APELLIDO]])</f>
        <v>Rugama</v>
      </c>
    </row>
    <row r="1342" spans="1:54" x14ac:dyDescent="0.25">
      <c r="A1342" s="2">
        <v>1341</v>
      </c>
      <c r="B1342" s="2">
        <v>22619</v>
      </c>
      <c r="C1342" s="5" t="s">
        <v>619</v>
      </c>
      <c r="D1342" s="2" t="s">
        <v>620</v>
      </c>
      <c r="E1342" s="6" t="s">
        <v>8396</v>
      </c>
      <c r="F1342" s="6">
        <v>20170114</v>
      </c>
      <c r="G1342" s="3">
        <v>41</v>
      </c>
      <c r="I1342" s="7"/>
      <c r="J1342" s="7"/>
      <c r="K1342" s="8">
        <v>41.38082191780822</v>
      </c>
      <c r="L1342" s="2" t="s">
        <v>1843</v>
      </c>
      <c r="M1342" s="2" t="s">
        <v>8397</v>
      </c>
      <c r="N1342" s="2" t="s">
        <v>479</v>
      </c>
      <c r="O1342" s="2" t="s">
        <v>86</v>
      </c>
      <c r="P1342" s="2" t="s">
        <v>626</v>
      </c>
      <c r="Q1342" s="2" t="s">
        <v>351</v>
      </c>
      <c r="R1342" s="9">
        <v>29692</v>
      </c>
      <c r="S1342" s="9">
        <v>29692</v>
      </c>
      <c r="U1342" s="2" t="s">
        <v>627</v>
      </c>
      <c r="W1342" s="2" t="s">
        <v>627</v>
      </c>
      <c r="Y1342" s="2" t="s">
        <v>8398</v>
      </c>
      <c r="Z1342" s="6"/>
      <c r="AA1342" s="2" t="s">
        <v>8399</v>
      </c>
      <c r="AB1342" s="2" t="s">
        <v>642</v>
      </c>
      <c r="AC1342" s="2" t="s">
        <v>632</v>
      </c>
      <c r="AD1342" s="10"/>
      <c r="AE1342" s="11"/>
      <c r="AF1342" s="11"/>
      <c r="AG1342" s="11"/>
      <c r="AH1342" s="11">
        <v>87392828</v>
      </c>
      <c r="AI1342" s="11"/>
      <c r="AJ1342" s="11"/>
      <c r="AK1342" s="12">
        <v>3</v>
      </c>
      <c r="AL1342" s="12" t="s">
        <v>7377</v>
      </c>
      <c r="AM1342" s="2">
        <v>0</v>
      </c>
      <c r="AN1342" s="2">
        <v>0</v>
      </c>
      <c r="AO1342" s="2">
        <v>0</v>
      </c>
      <c r="AP1342" s="2">
        <v>1</v>
      </c>
      <c r="AQ1342" s="2">
        <v>0</v>
      </c>
      <c r="AR1342" s="2">
        <v>0</v>
      </c>
      <c r="AS1342" s="2">
        <v>0</v>
      </c>
      <c r="AT1342" s="2">
        <v>0</v>
      </c>
      <c r="BB1342" s="2" t="str">
        <f>+PROPER(BD[[#This Row],[PRIMER_APELLIDO]])</f>
        <v>Delgadillo</v>
      </c>
    </row>
    <row r="1343" spans="1:54" x14ac:dyDescent="0.25">
      <c r="A1343" s="2">
        <v>1342</v>
      </c>
      <c r="B1343" s="2">
        <v>20718</v>
      </c>
      <c r="C1343" s="5" t="s">
        <v>619</v>
      </c>
      <c r="D1343" s="2" t="s">
        <v>620</v>
      </c>
      <c r="E1343" s="6" t="s">
        <v>8400</v>
      </c>
      <c r="F1343" s="6">
        <v>16939563</v>
      </c>
      <c r="G1343" s="3">
        <v>41</v>
      </c>
      <c r="I1343" s="7"/>
      <c r="J1343" s="7"/>
      <c r="K1343" s="8">
        <v>41.397260273972606</v>
      </c>
      <c r="L1343" s="2" t="s">
        <v>2655</v>
      </c>
      <c r="M1343" s="2" t="s">
        <v>1844</v>
      </c>
      <c r="N1343" s="2" t="s">
        <v>198</v>
      </c>
      <c r="O1343" s="2" t="s">
        <v>44</v>
      </c>
      <c r="P1343" s="2" t="s">
        <v>626</v>
      </c>
      <c r="Q1343" s="2" t="s">
        <v>351</v>
      </c>
      <c r="R1343" s="9">
        <v>29686</v>
      </c>
      <c r="S1343" s="9">
        <v>29686</v>
      </c>
      <c r="U1343" s="2" t="s">
        <v>627</v>
      </c>
      <c r="W1343" s="2" t="s">
        <v>627</v>
      </c>
      <c r="X1343" s="2" t="s">
        <v>8401</v>
      </c>
      <c r="Y1343" s="2" t="s">
        <v>8402</v>
      </c>
      <c r="Z1343" s="6"/>
      <c r="AA1343" s="2">
        <v>22533627</v>
      </c>
      <c r="AB1343" s="2" t="s">
        <v>642</v>
      </c>
      <c r="AC1343" s="2" t="s">
        <v>632</v>
      </c>
      <c r="AD1343" s="10"/>
      <c r="AE1343" s="11"/>
      <c r="AF1343" s="11"/>
      <c r="AG1343" s="11"/>
      <c r="AH1343" s="11"/>
      <c r="AI1343" s="11"/>
      <c r="AJ1343" s="11"/>
      <c r="AK1343" s="12">
        <v>1</v>
      </c>
      <c r="AL1343" s="12" t="s">
        <v>7377</v>
      </c>
      <c r="AM1343" s="2">
        <v>0</v>
      </c>
      <c r="AN1343" s="2">
        <v>0</v>
      </c>
      <c r="AO1343" s="2">
        <v>0</v>
      </c>
      <c r="AP1343" s="2">
        <v>1</v>
      </c>
      <c r="AQ1343" s="2">
        <v>0</v>
      </c>
      <c r="AR1343" s="2">
        <v>0</v>
      </c>
      <c r="AS1343" s="2">
        <v>0</v>
      </c>
      <c r="AT1343" s="2">
        <v>0</v>
      </c>
      <c r="BB1343" s="2" t="str">
        <f>+PROPER(BD[[#This Row],[PRIMER_APELLIDO]])</f>
        <v>Rivera</v>
      </c>
    </row>
    <row r="1344" spans="1:54" x14ac:dyDescent="0.25">
      <c r="A1344" s="2">
        <v>1343</v>
      </c>
      <c r="B1344" s="2">
        <v>24701</v>
      </c>
      <c r="C1344" s="5" t="s">
        <v>619</v>
      </c>
      <c r="D1344" s="2" t="s">
        <v>620</v>
      </c>
      <c r="E1344" s="6" t="s">
        <v>8403</v>
      </c>
      <c r="F1344" s="6">
        <v>20832607</v>
      </c>
      <c r="G1344" s="3">
        <v>41</v>
      </c>
      <c r="I1344" s="7"/>
      <c r="J1344" s="7"/>
      <c r="K1344" s="8">
        <v>41.397260273972606</v>
      </c>
      <c r="L1344" s="2" t="s">
        <v>891</v>
      </c>
      <c r="M1344" s="2" t="s">
        <v>937</v>
      </c>
      <c r="N1344" s="2" t="s">
        <v>460</v>
      </c>
      <c r="O1344" s="2" t="s">
        <v>456</v>
      </c>
      <c r="P1344" s="2" t="s">
        <v>626</v>
      </c>
      <c r="Q1344" s="2" t="s">
        <v>351</v>
      </c>
      <c r="R1344" s="9">
        <v>29686</v>
      </c>
      <c r="S1344" s="9">
        <v>29686</v>
      </c>
      <c r="T1344" s="2" t="s">
        <v>176</v>
      </c>
      <c r="U1344" s="2" t="s">
        <v>176</v>
      </c>
      <c r="V1344" s="2" t="s">
        <v>650</v>
      </c>
      <c r="W1344" s="2" t="s">
        <v>176</v>
      </c>
      <c r="X1344" s="2" t="s">
        <v>8404</v>
      </c>
      <c r="Y1344" s="2" t="s">
        <v>8405</v>
      </c>
      <c r="Z1344" s="6"/>
      <c r="AA1344" s="2">
        <v>23151039</v>
      </c>
      <c r="AB1344" s="2" t="s">
        <v>642</v>
      </c>
      <c r="AC1344" s="2" t="s">
        <v>632</v>
      </c>
      <c r="AD1344" s="10"/>
      <c r="AE1344" s="11"/>
      <c r="AF1344" s="11"/>
      <c r="AG1344" s="11"/>
      <c r="AH1344" s="11"/>
      <c r="AI1344" s="11"/>
      <c r="AJ1344" s="11"/>
      <c r="AK1344" s="12">
        <v>1</v>
      </c>
      <c r="AL1344" s="12" t="s">
        <v>7377</v>
      </c>
      <c r="AM1344" s="2">
        <v>0</v>
      </c>
      <c r="AN1344" s="2">
        <v>0</v>
      </c>
      <c r="AO1344" s="2">
        <v>0</v>
      </c>
      <c r="AP1344" s="2">
        <v>1</v>
      </c>
      <c r="AQ1344" s="2">
        <v>0</v>
      </c>
      <c r="AR1344" s="2">
        <v>0</v>
      </c>
      <c r="AS1344" s="2">
        <v>0</v>
      </c>
      <c r="AT1344" s="2">
        <v>0</v>
      </c>
      <c r="BB1344" s="2" t="str">
        <f>+PROPER(BD[[#This Row],[PRIMER_APELLIDO]])</f>
        <v>Guido</v>
      </c>
    </row>
    <row r="1345" spans="1:54" x14ac:dyDescent="0.25">
      <c r="A1345" s="2">
        <v>1344</v>
      </c>
      <c r="B1345" s="2">
        <v>33833</v>
      </c>
      <c r="C1345" s="5" t="s">
        <v>619</v>
      </c>
      <c r="D1345" s="2" t="s">
        <v>620</v>
      </c>
      <c r="E1345" s="6" t="s">
        <v>8406</v>
      </c>
      <c r="F1345" s="6"/>
      <c r="G1345" s="3">
        <v>41</v>
      </c>
      <c r="I1345" s="7"/>
      <c r="J1345" s="7"/>
      <c r="K1345" s="8">
        <v>41.410958904109592</v>
      </c>
      <c r="L1345" s="2" t="s">
        <v>7088</v>
      </c>
      <c r="M1345" s="2" t="s">
        <v>648</v>
      </c>
      <c r="N1345" s="2" t="s">
        <v>274</v>
      </c>
      <c r="O1345" s="2" t="s">
        <v>260</v>
      </c>
      <c r="P1345" s="2" t="s">
        <v>649</v>
      </c>
      <c r="Q1345" s="2" t="s">
        <v>351</v>
      </c>
      <c r="R1345" s="9">
        <v>29681</v>
      </c>
      <c r="S1345" s="9">
        <v>29681</v>
      </c>
      <c r="T1345" s="2" t="s">
        <v>133</v>
      </c>
      <c r="U1345" s="2" t="s">
        <v>1005</v>
      </c>
      <c r="V1345" s="2" t="s">
        <v>869</v>
      </c>
      <c r="W1345" s="2" t="s">
        <v>1006</v>
      </c>
      <c r="X1345" s="2" t="s">
        <v>8407</v>
      </c>
      <c r="Y1345" s="2" t="s">
        <v>8408</v>
      </c>
      <c r="Z1345" s="6">
        <v>58566717</v>
      </c>
      <c r="AA1345" s="2">
        <v>27922279</v>
      </c>
      <c r="AB1345" s="2" t="s">
        <v>798</v>
      </c>
      <c r="AC1345" s="2" t="s">
        <v>632</v>
      </c>
      <c r="AD1345" s="10">
        <v>58566717</v>
      </c>
      <c r="AE1345" s="11"/>
      <c r="AF1345" s="11"/>
      <c r="AG1345" s="11"/>
      <c r="AH1345" s="11"/>
      <c r="AI1345" s="11"/>
      <c r="AJ1345" s="11">
        <v>58566717</v>
      </c>
      <c r="AK1345" s="12">
        <v>2</v>
      </c>
      <c r="AL1345" s="12" t="s">
        <v>7377</v>
      </c>
      <c r="AM1345" s="2">
        <v>0</v>
      </c>
      <c r="AN1345" s="2">
        <v>0</v>
      </c>
      <c r="AO1345" s="2">
        <v>0</v>
      </c>
      <c r="AP1345" s="2">
        <v>1</v>
      </c>
      <c r="AQ1345" s="2">
        <v>0</v>
      </c>
      <c r="AR1345" s="2">
        <v>0</v>
      </c>
      <c r="AS1345" s="2">
        <v>0</v>
      </c>
      <c r="AT1345" s="2">
        <v>0</v>
      </c>
      <c r="AZ1345" s="2" t="s">
        <v>8409</v>
      </c>
      <c r="BB1345" s="2" t="str">
        <f>+PROPER(BD[[#This Row],[PRIMER_APELLIDO]])</f>
        <v>Tellez</v>
      </c>
    </row>
    <row r="1346" spans="1:54" x14ac:dyDescent="0.25">
      <c r="A1346" s="2">
        <v>1345</v>
      </c>
      <c r="B1346" s="2">
        <v>40610</v>
      </c>
      <c r="C1346" s="5" t="s">
        <v>619</v>
      </c>
      <c r="D1346" s="2" t="s">
        <v>620</v>
      </c>
      <c r="E1346" s="6" t="s">
        <v>8410</v>
      </c>
      <c r="F1346" s="6">
        <v>22230401</v>
      </c>
      <c r="G1346" s="3">
        <v>41</v>
      </c>
      <c r="I1346" s="7"/>
      <c r="J1346" s="7"/>
      <c r="K1346" s="8">
        <v>41.410958904109592</v>
      </c>
      <c r="L1346" s="2" t="s">
        <v>793</v>
      </c>
      <c r="M1346" s="2" t="s">
        <v>904</v>
      </c>
      <c r="N1346" s="2" t="s">
        <v>11</v>
      </c>
      <c r="P1346" s="2" t="s">
        <v>649</v>
      </c>
      <c r="Q1346" s="2" t="s">
        <v>351</v>
      </c>
      <c r="R1346" s="9">
        <v>29681</v>
      </c>
      <c r="S1346" s="9">
        <v>29681</v>
      </c>
      <c r="T1346" s="2" t="s">
        <v>176</v>
      </c>
      <c r="U1346" s="2" t="s">
        <v>176</v>
      </c>
      <c r="V1346" s="2" t="s">
        <v>650</v>
      </c>
      <c r="W1346" s="2" t="s">
        <v>176</v>
      </c>
      <c r="X1346" s="2" t="s">
        <v>8411</v>
      </c>
      <c r="Y1346" s="2" t="s">
        <v>8412</v>
      </c>
      <c r="Z1346" s="6"/>
      <c r="AA1346" s="2" t="s">
        <v>8413</v>
      </c>
      <c r="AB1346" s="2" t="s">
        <v>654</v>
      </c>
      <c r="AC1346" s="2" t="s">
        <v>632</v>
      </c>
      <c r="AD1346" s="10"/>
      <c r="AE1346" s="11"/>
      <c r="AF1346" s="11"/>
      <c r="AG1346" s="11">
        <v>85182445</v>
      </c>
      <c r="AH1346" s="11"/>
      <c r="AI1346" s="11"/>
      <c r="AJ1346" s="11">
        <v>85182445</v>
      </c>
      <c r="AK1346" s="12">
        <v>2</v>
      </c>
      <c r="AL1346" s="12" t="s">
        <v>7377</v>
      </c>
      <c r="AM1346" s="2">
        <v>0</v>
      </c>
      <c r="AN1346" s="2">
        <v>0</v>
      </c>
      <c r="AO1346" s="2">
        <v>0</v>
      </c>
      <c r="AP1346" s="2">
        <v>1</v>
      </c>
      <c r="AQ1346" s="2">
        <v>0</v>
      </c>
      <c r="AR1346" s="2">
        <v>0</v>
      </c>
      <c r="AS1346" s="2">
        <v>0</v>
      </c>
      <c r="AT1346" s="2">
        <v>0</v>
      </c>
      <c r="BB1346" s="2" t="str">
        <f>+PROPER(BD[[#This Row],[PRIMER_APELLIDO]])</f>
        <v>Hernandez</v>
      </c>
    </row>
    <row r="1347" spans="1:54" x14ac:dyDescent="0.25">
      <c r="A1347" s="2">
        <v>1346</v>
      </c>
      <c r="B1347" s="2">
        <v>30103</v>
      </c>
      <c r="C1347" s="5" t="s">
        <v>619</v>
      </c>
      <c r="D1347" s="2" t="s">
        <v>620</v>
      </c>
      <c r="E1347" s="6" t="s">
        <v>8414</v>
      </c>
      <c r="F1347" s="6">
        <v>21702284</v>
      </c>
      <c r="G1347" s="3">
        <v>41</v>
      </c>
      <c r="I1347" s="7"/>
      <c r="J1347" s="7"/>
      <c r="K1347" s="8">
        <v>41.413698630136984</v>
      </c>
      <c r="L1347" s="2" t="s">
        <v>2439</v>
      </c>
      <c r="M1347" s="2" t="s">
        <v>937</v>
      </c>
      <c r="N1347" s="2" t="s">
        <v>513</v>
      </c>
      <c r="O1347" s="2" t="s">
        <v>9</v>
      </c>
      <c r="P1347" s="2" t="s">
        <v>626</v>
      </c>
      <c r="Q1347" s="2" t="s">
        <v>351</v>
      </c>
      <c r="R1347" s="9">
        <v>29680</v>
      </c>
      <c r="S1347" s="9">
        <v>29680</v>
      </c>
      <c r="T1347" s="2" t="s">
        <v>627</v>
      </c>
      <c r="U1347" s="2" t="s">
        <v>627</v>
      </c>
      <c r="V1347" s="2" t="s">
        <v>627</v>
      </c>
      <c r="W1347" s="2" t="s">
        <v>627</v>
      </c>
      <c r="X1347" s="2" t="s">
        <v>8415</v>
      </c>
      <c r="Y1347" s="2" t="s">
        <v>8416</v>
      </c>
      <c r="Z1347" s="6"/>
      <c r="AA1347" s="2" t="s">
        <v>8417</v>
      </c>
      <c r="AB1347" s="2" t="s">
        <v>642</v>
      </c>
      <c r="AC1347" s="2" t="s">
        <v>632</v>
      </c>
      <c r="AD1347" s="10"/>
      <c r="AE1347" s="11"/>
      <c r="AF1347" s="11"/>
      <c r="AG1347" s="11">
        <v>84404136</v>
      </c>
      <c r="AH1347" s="11"/>
      <c r="AI1347" s="11"/>
      <c r="AJ1347" s="11">
        <v>84404136</v>
      </c>
      <c r="AK1347" s="12">
        <v>2</v>
      </c>
      <c r="AL1347" s="12" t="s">
        <v>7377</v>
      </c>
      <c r="AM1347" s="2">
        <v>0</v>
      </c>
      <c r="AN1347" s="2">
        <v>0</v>
      </c>
      <c r="AO1347" s="2">
        <v>0</v>
      </c>
      <c r="AP1347" s="2">
        <v>1</v>
      </c>
      <c r="AQ1347" s="2">
        <v>0</v>
      </c>
      <c r="AR1347" s="2">
        <v>0</v>
      </c>
      <c r="AS1347" s="2">
        <v>0</v>
      </c>
      <c r="AT1347" s="2">
        <v>0</v>
      </c>
      <c r="BB1347" s="2" t="str">
        <f>+PROPER(BD[[#This Row],[PRIMER_APELLIDO]])</f>
        <v>Elvir</v>
      </c>
    </row>
    <row r="1348" spans="1:54" x14ac:dyDescent="0.25">
      <c r="A1348" s="2">
        <v>1347</v>
      </c>
      <c r="B1348" s="2">
        <v>39011</v>
      </c>
      <c r="C1348" s="5" t="s">
        <v>619</v>
      </c>
      <c r="D1348" s="2" t="s">
        <v>620</v>
      </c>
      <c r="E1348" s="6" t="s">
        <v>8418</v>
      </c>
      <c r="F1348" s="6">
        <v>13768500</v>
      </c>
      <c r="G1348" s="3">
        <v>41</v>
      </c>
      <c r="I1348" s="7"/>
      <c r="J1348" s="7"/>
      <c r="K1348" s="8">
        <v>41.413698630136984</v>
      </c>
      <c r="L1348" s="2" t="s">
        <v>638</v>
      </c>
      <c r="M1348" s="2" t="s">
        <v>6588</v>
      </c>
      <c r="N1348" s="2" t="s">
        <v>514</v>
      </c>
      <c r="O1348" s="2" t="s">
        <v>104</v>
      </c>
      <c r="P1348" s="2" t="s">
        <v>626</v>
      </c>
      <c r="Q1348" s="2" t="s">
        <v>351</v>
      </c>
      <c r="R1348" s="9">
        <v>29680</v>
      </c>
      <c r="S1348" s="9">
        <v>29680</v>
      </c>
      <c r="T1348" s="2" t="s">
        <v>627</v>
      </c>
      <c r="U1348" s="2" t="s">
        <v>627</v>
      </c>
      <c r="V1348" s="2" t="s">
        <v>627</v>
      </c>
      <c r="W1348" s="2" t="s">
        <v>1406</v>
      </c>
      <c r="X1348" s="2" t="s">
        <v>8419</v>
      </c>
      <c r="Y1348" s="2" t="s">
        <v>8420</v>
      </c>
      <c r="Z1348" s="6"/>
      <c r="AA1348" s="2">
        <v>81921076</v>
      </c>
      <c r="AB1348" s="2" t="s">
        <v>642</v>
      </c>
      <c r="AC1348" s="2" t="s">
        <v>632</v>
      </c>
      <c r="AD1348" s="10"/>
      <c r="AE1348" s="11"/>
      <c r="AF1348" s="11">
        <v>81921076</v>
      </c>
      <c r="AG1348" s="11"/>
      <c r="AH1348" s="11"/>
      <c r="AI1348" s="11"/>
      <c r="AJ1348" s="11">
        <v>81921076</v>
      </c>
      <c r="AK1348" s="12">
        <v>1</v>
      </c>
      <c r="AL1348" s="12" t="s">
        <v>7377</v>
      </c>
      <c r="AM1348" s="2">
        <v>0</v>
      </c>
      <c r="AN1348" s="2">
        <v>0</v>
      </c>
      <c r="AO1348" s="2">
        <v>0</v>
      </c>
      <c r="AP1348" s="2">
        <v>1</v>
      </c>
      <c r="AQ1348" s="2">
        <v>0</v>
      </c>
      <c r="AR1348" s="2">
        <v>0</v>
      </c>
      <c r="AS1348" s="2">
        <v>0</v>
      </c>
      <c r="AT1348" s="2">
        <v>0</v>
      </c>
      <c r="BB1348" s="2" t="str">
        <f>+PROPER(BD[[#This Row],[PRIMER_APELLIDO]])</f>
        <v>Andrade</v>
      </c>
    </row>
    <row r="1349" spans="1:54" x14ac:dyDescent="0.25">
      <c r="A1349" s="2">
        <v>1348</v>
      </c>
      <c r="B1349" s="2">
        <v>36871</v>
      </c>
      <c r="C1349" s="5" t="s">
        <v>619</v>
      </c>
      <c r="D1349" s="2" t="s">
        <v>620</v>
      </c>
      <c r="E1349" s="6" t="s">
        <v>8421</v>
      </c>
      <c r="F1349" s="6">
        <v>22078944</v>
      </c>
      <c r="G1349" s="3">
        <v>41</v>
      </c>
      <c r="I1349" s="7"/>
      <c r="J1349" s="7"/>
      <c r="K1349" s="8">
        <v>41.42739726027397</v>
      </c>
      <c r="L1349" s="2" t="s">
        <v>8422</v>
      </c>
      <c r="M1349" s="2" t="s">
        <v>981</v>
      </c>
      <c r="N1349" s="2" t="s">
        <v>151</v>
      </c>
      <c r="O1349" s="2" t="s">
        <v>43</v>
      </c>
      <c r="P1349" s="2" t="s">
        <v>649</v>
      </c>
      <c r="Q1349" s="2" t="s">
        <v>351</v>
      </c>
      <c r="R1349" s="9">
        <v>29675</v>
      </c>
      <c r="S1349" s="9">
        <v>29675</v>
      </c>
      <c r="T1349" s="2" t="s">
        <v>691</v>
      </c>
      <c r="U1349" s="2" t="s">
        <v>691</v>
      </c>
      <c r="V1349" s="2" t="s">
        <v>716</v>
      </c>
      <c r="W1349" s="2" t="s">
        <v>691</v>
      </c>
      <c r="X1349" s="2" t="s">
        <v>8423</v>
      </c>
      <c r="Y1349" s="2" t="s">
        <v>8424</v>
      </c>
      <c r="Z1349" s="6"/>
      <c r="AA1349" s="2">
        <v>27136595</v>
      </c>
      <c r="AB1349" s="2" t="s">
        <v>798</v>
      </c>
      <c r="AC1349" s="2" t="s">
        <v>632</v>
      </c>
      <c r="AD1349" s="10"/>
      <c r="AE1349" s="11"/>
      <c r="AF1349" s="11"/>
      <c r="AG1349" s="11"/>
      <c r="AH1349" s="11"/>
      <c r="AI1349" s="11"/>
      <c r="AJ1349" s="11"/>
      <c r="AK1349" s="12">
        <v>1</v>
      </c>
      <c r="AL1349" s="12" t="s">
        <v>7377</v>
      </c>
      <c r="AM1349" s="2">
        <v>0</v>
      </c>
      <c r="AN1349" s="2">
        <v>0</v>
      </c>
      <c r="AO1349" s="2">
        <v>0</v>
      </c>
      <c r="AP1349" s="2">
        <v>1</v>
      </c>
      <c r="AQ1349" s="2">
        <v>0</v>
      </c>
      <c r="AR1349" s="2">
        <v>0</v>
      </c>
      <c r="AS1349" s="2">
        <v>0</v>
      </c>
      <c r="AT1349" s="2">
        <v>0</v>
      </c>
      <c r="BB1349" s="2" t="str">
        <f>+PROPER(BD[[#This Row],[PRIMER_APELLIDO]])</f>
        <v>Zeledon</v>
      </c>
    </row>
    <row r="1350" spans="1:54" x14ac:dyDescent="0.25">
      <c r="A1350" s="2">
        <v>1349</v>
      </c>
      <c r="B1350" s="2">
        <v>76212</v>
      </c>
      <c r="C1350" s="5" t="s">
        <v>619</v>
      </c>
      <c r="D1350" s="2" t="s">
        <v>620</v>
      </c>
      <c r="E1350" s="6" t="s">
        <v>8425</v>
      </c>
      <c r="F1350" s="6"/>
      <c r="G1350" s="3">
        <v>41</v>
      </c>
      <c r="I1350" s="7"/>
      <c r="J1350" s="7"/>
      <c r="K1350" s="8">
        <v>41.43013698630137</v>
      </c>
      <c r="L1350" s="2" t="s">
        <v>8426</v>
      </c>
      <c r="M1350" s="2" t="s">
        <v>2439</v>
      </c>
      <c r="N1350" s="2" t="s">
        <v>515</v>
      </c>
      <c r="O1350" s="2" t="s">
        <v>72</v>
      </c>
      <c r="P1350" s="2" t="s">
        <v>626</v>
      </c>
      <c r="Q1350" s="2" t="s">
        <v>351</v>
      </c>
      <c r="R1350" s="9">
        <v>29674</v>
      </c>
      <c r="S1350" s="9">
        <v>29674</v>
      </c>
      <c r="T1350" s="2" t="s">
        <v>627</v>
      </c>
      <c r="U1350" s="2" t="s">
        <v>627</v>
      </c>
      <c r="V1350" s="2" t="s">
        <v>692</v>
      </c>
      <c r="W1350" s="2" t="s">
        <v>692</v>
      </c>
      <c r="X1350" s="2" t="s">
        <v>8427</v>
      </c>
      <c r="Y1350" s="2" t="s">
        <v>8428</v>
      </c>
      <c r="Z1350" s="6">
        <v>82120325</v>
      </c>
      <c r="AA1350" s="2" t="s">
        <v>8429</v>
      </c>
      <c r="AB1350" s="2" t="s">
        <v>642</v>
      </c>
      <c r="AC1350" s="2" t="s">
        <v>632</v>
      </c>
      <c r="AD1350" s="10">
        <v>82120325</v>
      </c>
      <c r="AE1350" s="11"/>
      <c r="AF1350" s="11"/>
      <c r="AG1350" s="11">
        <v>88047042</v>
      </c>
      <c r="AH1350" s="11"/>
      <c r="AI1350" s="11"/>
      <c r="AJ1350" s="11">
        <v>82120325</v>
      </c>
      <c r="AK1350" s="12">
        <v>3</v>
      </c>
      <c r="AL1350" s="12" t="s">
        <v>7377</v>
      </c>
      <c r="AM1350" s="2">
        <v>0</v>
      </c>
      <c r="AN1350" s="2">
        <v>0</v>
      </c>
      <c r="AO1350" s="2">
        <v>0</v>
      </c>
      <c r="AP1350" s="2">
        <v>1</v>
      </c>
      <c r="AQ1350" s="2">
        <v>0</v>
      </c>
      <c r="AR1350" s="2">
        <v>0</v>
      </c>
      <c r="AS1350" s="2">
        <v>0</v>
      </c>
      <c r="AT1350" s="2">
        <v>0</v>
      </c>
      <c r="AZ1350" s="2" t="s">
        <v>8430</v>
      </c>
      <c r="BB1350" s="2" t="str">
        <f>+PROPER(BD[[#This Row],[PRIMER_APELLIDO]])</f>
        <v>González</v>
      </c>
    </row>
    <row r="1351" spans="1:54" x14ac:dyDescent="0.25">
      <c r="A1351" s="2">
        <v>1350</v>
      </c>
      <c r="B1351" s="2">
        <v>30272</v>
      </c>
      <c r="C1351" s="5" t="s">
        <v>619</v>
      </c>
      <c r="D1351" s="2" t="s">
        <v>620</v>
      </c>
      <c r="E1351" s="6" t="s">
        <v>8431</v>
      </c>
      <c r="F1351" s="6">
        <v>21720848</v>
      </c>
      <c r="G1351" s="3">
        <v>41</v>
      </c>
      <c r="I1351" s="7"/>
      <c r="J1351" s="7"/>
      <c r="K1351" s="8">
        <v>41.438356164383563</v>
      </c>
      <c r="L1351" s="2" t="s">
        <v>5906</v>
      </c>
      <c r="M1351" s="2" t="s">
        <v>6397</v>
      </c>
      <c r="N1351" s="2" t="s">
        <v>226</v>
      </c>
      <c r="O1351" s="2" t="s">
        <v>262</v>
      </c>
      <c r="P1351" s="2" t="s">
        <v>626</v>
      </c>
      <c r="Q1351" s="2" t="s">
        <v>351</v>
      </c>
      <c r="R1351" s="9">
        <v>29671</v>
      </c>
      <c r="S1351" s="9">
        <v>29671</v>
      </c>
      <c r="T1351" s="2" t="s">
        <v>444</v>
      </c>
      <c r="U1351" s="2" t="s">
        <v>444</v>
      </c>
      <c r="V1351" s="2" t="s">
        <v>764</v>
      </c>
      <c r="W1351" s="2" t="s">
        <v>764</v>
      </c>
      <c r="X1351" s="2" t="s">
        <v>8432</v>
      </c>
      <c r="Y1351" s="2" t="s">
        <v>8433</v>
      </c>
      <c r="Z1351" s="6"/>
      <c r="AA1351" s="2">
        <v>86136242</v>
      </c>
      <c r="AB1351" s="2" t="s">
        <v>654</v>
      </c>
      <c r="AC1351" s="2" t="s">
        <v>632</v>
      </c>
      <c r="AD1351" s="10"/>
      <c r="AE1351" s="11"/>
      <c r="AF1351" s="11">
        <v>86136242</v>
      </c>
      <c r="AG1351" s="11"/>
      <c r="AH1351" s="11"/>
      <c r="AI1351" s="11"/>
      <c r="AJ1351" s="11">
        <v>86136242</v>
      </c>
      <c r="AK1351" s="12">
        <v>1</v>
      </c>
      <c r="AL1351" s="12" t="s">
        <v>7377</v>
      </c>
      <c r="AM1351" s="2">
        <v>0</v>
      </c>
      <c r="AN1351" s="2">
        <v>0</v>
      </c>
      <c r="AO1351" s="2">
        <v>0</v>
      </c>
      <c r="AP1351" s="2">
        <v>1</v>
      </c>
      <c r="AQ1351" s="2">
        <v>0</v>
      </c>
      <c r="AR1351" s="2">
        <v>0</v>
      </c>
      <c r="AS1351" s="2">
        <v>0</v>
      </c>
      <c r="AT1351" s="2">
        <v>0</v>
      </c>
      <c r="BB1351" s="2" t="str">
        <f>+PROPER(BD[[#This Row],[PRIMER_APELLIDO]])</f>
        <v>Ponce</v>
      </c>
    </row>
    <row r="1352" spans="1:54" x14ac:dyDescent="0.25">
      <c r="A1352" s="2">
        <v>1351</v>
      </c>
      <c r="B1352" s="2">
        <v>47871</v>
      </c>
      <c r="C1352" s="5" t="s">
        <v>619</v>
      </c>
      <c r="D1352" s="2" t="s">
        <v>620</v>
      </c>
      <c r="E1352" s="6" t="s">
        <v>8434</v>
      </c>
      <c r="F1352" s="6">
        <v>16405310</v>
      </c>
      <c r="G1352" s="3">
        <v>41</v>
      </c>
      <c r="I1352" s="7"/>
      <c r="J1352" s="7"/>
      <c r="K1352" s="8">
        <v>41.449315068493149</v>
      </c>
      <c r="L1352" s="2" t="s">
        <v>1103</v>
      </c>
      <c r="M1352" s="2" t="s">
        <v>8435</v>
      </c>
      <c r="N1352" s="2" t="s">
        <v>322</v>
      </c>
      <c r="O1352" s="2" t="s">
        <v>58</v>
      </c>
      <c r="P1352" s="2" t="s">
        <v>649</v>
      </c>
      <c r="Q1352" s="2" t="s">
        <v>351</v>
      </c>
      <c r="R1352" s="9">
        <v>29667</v>
      </c>
      <c r="S1352" s="9">
        <v>29667</v>
      </c>
      <c r="T1352" s="2" t="s">
        <v>659</v>
      </c>
      <c r="U1352" s="2" t="s">
        <v>659</v>
      </c>
      <c r="V1352" s="2" t="s">
        <v>659</v>
      </c>
      <c r="W1352" s="2" t="s">
        <v>659</v>
      </c>
      <c r="X1352" s="2" t="s">
        <v>8436</v>
      </c>
      <c r="Y1352" s="2" t="s">
        <v>8437</v>
      </c>
      <c r="Z1352" s="6">
        <v>76745388</v>
      </c>
      <c r="AA1352" s="2">
        <v>76745388</v>
      </c>
      <c r="AB1352" s="2" t="s">
        <v>798</v>
      </c>
      <c r="AC1352" s="2" t="s">
        <v>632</v>
      </c>
      <c r="AD1352" s="10">
        <v>76745388</v>
      </c>
      <c r="AE1352" s="11"/>
      <c r="AF1352" s="11">
        <v>76745388</v>
      </c>
      <c r="AG1352" s="11"/>
      <c r="AH1352" s="11"/>
      <c r="AI1352" s="11"/>
      <c r="AJ1352" s="11">
        <v>76745388</v>
      </c>
      <c r="AK1352" s="12">
        <v>2</v>
      </c>
      <c r="AL1352" s="12" t="s">
        <v>7377</v>
      </c>
      <c r="AM1352" s="2">
        <v>0</v>
      </c>
      <c r="AN1352" s="2">
        <v>0</v>
      </c>
      <c r="AO1352" s="2">
        <v>0</v>
      </c>
      <c r="AP1352" s="2">
        <v>1</v>
      </c>
      <c r="AQ1352" s="2">
        <v>0</v>
      </c>
      <c r="AR1352" s="2">
        <v>0</v>
      </c>
      <c r="AS1352" s="2">
        <v>0</v>
      </c>
      <c r="AT1352" s="2">
        <v>0</v>
      </c>
      <c r="AZ1352" s="2" t="s">
        <v>8438</v>
      </c>
      <c r="BB1352" s="2" t="str">
        <f>+PROPER(BD[[#This Row],[PRIMER_APELLIDO]])</f>
        <v>Olivas</v>
      </c>
    </row>
    <row r="1353" spans="1:54" x14ac:dyDescent="0.25">
      <c r="A1353" s="2">
        <v>1352</v>
      </c>
      <c r="B1353" s="2">
        <v>24626</v>
      </c>
      <c r="C1353" s="5" t="s">
        <v>619</v>
      </c>
      <c r="D1353" s="2" t="s">
        <v>620</v>
      </c>
      <c r="E1353" s="6" t="s">
        <v>8439</v>
      </c>
      <c r="F1353" s="6">
        <v>20385286</v>
      </c>
      <c r="G1353" s="3">
        <v>41</v>
      </c>
      <c r="I1353" s="7"/>
      <c r="J1353" s="7"/>
      <c r="K1353" s="8">
        <v>41.460273972602742</v>
      </c>
      <c r="L1353" s="2" t="s">
        <v>793</v>
      </c>
      <c r="M1353" s="2" t="s">
        <v>243</v>
      </c>
      <c r="N1353" s="2" t="s">
        <v>100</v>
      </c>
      <c r="O1353" s="2" t="s">
        <v>201</v>
      </c>
      <c r="P1353" s="2" t="s">
        <v>649</v>
      </c>
      <c r="Q1353" s="2" t="s">
        <v>351</v>
      </c>
      <c r="R1353" s="9">
        <v>29663</v>
      </c>
      <c r="S1353" s="9">
        <v>29663</v>
      </c>
      <c r="T1353" s="2" t="s">
        <v>627</v>
      </c>
      <c r="U1353" s="2" t="s">
        <v>627</v>
      </c>
      <c r="V1353" s="2" t="s">
        <v>627</v>
      </c>
      <c r="W1353" s="2" t="s">
        <v>627</v>
      </c>
      <c r="X1353" s="2" t="s">
        <v>8440</v>
      </c>
      <c r="Y1353" s="2" t="s">
        <v>8441</v>
      </c>
      <c r="Z1353" s="6">
        <v>85961432</v>
      </c>
      <c r="AA1353" s="2" t="s">
        <v>8442</v>
      </c>
      <c r="AB1353" s="2" t="s">
        <v>642</v>
      </c>
      <c r="AC1353" s="2" t="s">
        <v>632</v>
      </c>
      <c r="AD1353" s="10">
        <v>85961432</v>
      </c>
      <c r="AE1353" s="11"/>
      <c r="AF1353" s="11"/>
      <c r="AG1353" s="11">
        <v>84806876</v>
      </c>
      <c r="AH1353" s="11"/>
      <c r="AI1353" s="11"/>
      <c r="AJ1353" s="11">
        <v>85961432</v>
      </c>
      <c r="AK1353" s="12">
        <v>3</v>
      </c>
      <c r="AL1353" s="12" t="s">
        <v>7377</v>
      </c>
      <c r="AM1353" s="2">
        <v>0</v>
      </c>
      <c r="AN1353" s="2">
        <v>0</v>
      </c>
      <c r="AO1353" s="2">
        <v>0</v>
      </c>
      <c r="AP1353" s="2">
        <v>1</v>
      </c>
      <c r="AQ1353" s="2">
        <v>0</v>
      </c>
      <c r="AR1353" s="2">
        <v>0</v>
      </c>
      <c r="AS1353" s="2">
        <v>0</v>
      </c>
      <c r="AT1353" s="2">
        <v>0</v>
      </c>
      <c r="BB1353" s="2" t="str">
        <f>+PROPER(BD[[#This Row],[PRIMER_APELLIDO]])</f>
        <v>Castillo</v>
      </c>
    </row>
    <row r="1354" spans="1:54" x14ac:dyDescent="0.25">
      <c r="A1354" s="2">
        <v>1353</v>
      </c>
      <c r="B1354" s="2">
        <v>39253</v>
      </c>
      <c r="C1354" s="5" t="s">
        <v>619</v>
      </c>
      <c r="D1354" s="2" t="s">
        <v>620</v>
      </c>
      <c r="E1354" s="6" t="s">
        <v>8443</v>
      </c>
      <c r="F1354" s="6">
        <v>23145067</v>
      </c>
      <c r="G1354" s="3">
        <v>41</v>
      </c>
      <c r="I1354" s="7"/>
      <c r="J1354" s="7"/>
      <c r="K1354" s="8">
        <v>41.482191780821921</v>
      </c>
      <c r="L1354" s="2" t="s">
        <v>8444</v>
      </c>
      <c r="N1354" s="2" t="s">
        <v>516</v>
      </c>
      <c r="O1354" s="2" t="s">
        <v>100</v>
      </c>
      <c r="P1354" s="2" t="s">
        <v>626</v>
      </c>
      <c r="Q1354" s="2" t="s">
        <v>351</v>
      </c>
      <c r="R1354" s="9">
        <v>29655</v>
      </c>
      <c r="S1354" s="9">
        <v>29655</v>
      </c>
      <c r="T1354" s="2" t="s">
        <v>627</v>
      </c>
      <c r="U1354" s="2" t="s">
        <v>1104</v>
      </c>
      <c r="V1354" s="2" t="s">
        <v>627</v>
      </c>
      <c r="W1354" s="2" t="s">
        <v>1104</v>
      </c>
      <c r="X1354" s="2" t="s">
        <v>8445</v>
      </c>
      <c r="Y1354" s="2" t="s">
        <v>8446</v>
      </c>
      <c r="Z1354" s="6"/>
      <c r="AA1354" s="2" t="s">
        <v>8447</v>
      </c>
      <c r="AB1354" s="2" t="s">
        <v>631</v>
      </c>
      <c r="AC1354" s="2" t="s">
        <v>632</v>
      </c>
      <c r="AD1354" s="10"/>
      <c r="AE1354" s="11"/>
      <c r="AF1354" s="11"/>
      <c r="AG1354" s="11">
        <v>84310640</v>
      </c>
      <c r="AH1354" s="11"/>
      <c r="AI1354" s="11"/>
      <c r="AJ1354" s="11">
        <v>84310640</v>
      </c>
      <c r="AK1354" s="12">
        <v>2</v>
      </c>
      <c r="AL1354" s="12" t="s">
        <v>7377</v>
      </c>
      <c r="AM1354" s="2">
        <v>0</v>
      </c>
      <c r="AN1354" s="2">
        <v>0</v>
      </c>
      <c r="AO1354" s="2">
        <v>0</v>
      </c>
      <c r="AP1354" s="2">
        <v>1</v>
      </c>
      <c r="AQ1354" s="2">
        <v>0</v>
      </c>
      <c r="AR1354" s="2">
        <v>0</v>
      </c>
      <c r="AS1354" s="2">
        <v>0</v>
      </c>
      <c r="AT1354" s="2">
        <v>0</v>
      </c>
      <c r="BB1354" s="2" t="str">
        <f>+PROPER(BD[[#This Row],[PRIMER_APELLIDO]])</f>
        <v>Carrero</v>
      </c>
    </row>
    <row r="1355" spans="1:54" x14ac:dyDescent="0.25">
      <c r="A1355" s="2">
        <v>1354</v>
      </c>
      <c r="B1355" s="2">
        <v>21256</v>
      </c>
      <c r="C1355" s="5" t="s">
        <v>619</v>
      </c>
      <c r="D1355" s="2" t="s">
        <v>620</v>
      </c>
      <c r="E1355" s="6" t="s">
        <v>8448</v>
      </c>
      <c r="F1355" s="6">
        <v>18952261</v>
      </c>
      <c r="G1355" s="3">
        <v>41</v>
      </c>
      <c r="I1355" s="7"/>
      <c r="J1355" s="7"/>
      <c r="K1355" s="8">
        <v>41.5013698630137</v>
      </c>
      <c r="L1355" s="2" t="s">
        <v>8449</v>
      </c>
      <c r="M1355" s="2" t="s">
        <v>1242</v>
      </c>
      <c r="N1355" s="2" t="s">
        <v>33</v>
      </c>
      <c r="O1355" s="2" t="s">
        <v>512</v>
      </c>
      <c r="P1355" s="2" t="s">
        <v>626</v>
      </c>
      <c r="Q1355" s="2" t="s">
        <v>351</v>
      </c>
      <c r="R1355" s="9">
        <v>29648</v>
      </c>
      <c r="S1355" s="9">
        <v>29648</v>
      </c>
      <c r="T1355" s="2" t="s">
        <v>1104</v>
      </c>
      <c r="U1355" s="2" t="s">
        <v>1104</v>
      </c>
      <c r="V1355" s="2" t="s">
        <v>1104</v>
      </c>
      <c r="W1355" s="2" t="s">
        <v>1104</v>
      </c>
      <c r="X1355" s="2" t="s">
        <v>8450</v>
      </c>
      <c r="Y1355" s="2" t="s">
        <v>8451</v>
      </c>
      <c r="Z1355" s="6"/>
      <c r="AA1355" s="2" t="s">
        <v>8452</v>
      </c>
      <c r="AB1355" s="2" t="s">
        <v>654</v>
      </c>
      <c r="AC1355" s="2" t="s">
        <v>632</v>
      </c>
      <c r="AD1355" s="10"/>
      <c r="AE1355" s="11"/>
      <c r="AF1355" s="11"/>
      <c r="AG1355" s="11"/>
      <c r="AH1355" s="11">
        <v>85154340</v>
      </c>
      <c r="AI1355" s="11"/>
      <c r="AJ1355" s="11"/>
      <c r="AK1355" s="12">
        <v>3</v>
      </c>
      <c r="AL1355" s="12" t="s">
        <v>7377</v>
      </c>
      <c r="AM1355" s="2">
        <v>0</v>
      </c>
      <c r="AN1355" s="2">
        <v>0</v>
      </c>
      <c r="AO1355" s="2">
        <v>0</v>
      </c>
      <c r="AP1355" s="2">
        <v>1</v>
      </c>
      <c r="AQ1355" s="2">
        <v>0</v>
      </c>
      <c r="AR1355" s="2">
        <v>0</v>
      </c>
      <c r="AS1355" s="2">
        <v>0</v>
      </c>
      <c r="AT1355" s="2">
        <v>0</v>
      </c>
      <c r="BB1355" s="2" t="str">
        <f>+PROPER(BD[[#This Row],[PRIMER_APELLIDO]])</f>
        <v>Marquez</v>
      </c>
    </row>
    <row r="1356" spans="1:54" x14ac:dyDescent="0.25">
      <c r="A1356" s="2">
        <v>1355</v>
      </c>
      <c r="B1356" s="2">
        <v>33146</v>
      </c>
      <c r="C1356" s="5" t="s">
        <v>619</v>
      </c>
      <c r="D1356" s="2" t="s">
        <v>620</v>
      </c>
      <c r="E1356" s="6" t="s">
        <v>8453</v>
      </c>
      <c r="F1356" s="6">
        <v>21504893</v>
      </c>
      <c r="G1356" s="3">
        <v>41</v>
      </c>
      <c r="I1356" s="7"/>
      <c r="J1356" s="7"/>
      <c r="K1356" s="8">
        <v>41.517808219178079</v>
      </c>
      <c r="L1356" s="2" t="s">
        <v>2305</v>
      </c>
      <c r="M1356" s="2" t="s">
        <v>2545</v>
      </c>
      <c r="N1356" s="2" t="s">
        <v>517</v>
      </c>
      <c r="O1356" s="2" t="s">
        <v>447</v>
      </c>
      <c r="P1356" s="2" t="s">
        <v>626</v>
      </c>
      <c r="Q1356" s="2" t="s">
        <v>351</v>
      </c>
      <c r="R1356" s="9">
        <v>29642</v>
      </c>
      <c r="S1356" s="9">
        <v>29642</v>
      </c>
      <c r="T1356" s="2" t="s">
        <v>176</v>
      </c>
      <c r="U1356" s="2" t="s">
        <v>176</v>
      </c>
      <c r="V1356" s="2" t="s">
        <v>650</v>
      </c>
      <c r="W1356" s="2" t="s">
        <v>176</v>
      </c>
      <c r="X1356" s="2" t="s">
        <v>8454</v>
      </c>
      <c r="Y1356" s="2" t="s">
        <v>8455</v>
      </c>
      <c r="Z1356" s="6"/>
      <c r="AA1356" s="2">
        <v>87231482</v>
      </c>
      <c r="AB1356" s="2" t="s">
        <v>654</v>
      </c>
      <c r="AC1356" s="2" t="s">
        <v>632</v>
      </c>
      <c r="AD1356" s="10"/>
      <c r="AE1356" s="11"/>
      <c r="AF1356" s="11">
        <v>87231482</v>
      </c>
      <c r="AG1356" s="11"/>
      <c r="AH1356" s="11"/>
      <c r="AI1356" s="11"/>
      <c r="AJ1356" s="11">
        <v>87231482</v>
      </c>
      <c r="AK1356" s="12">
        <v>1</v>
      </c>
      <c r="AL1356" s="12" t="s">
        <v>7377</v>
      </c>
      <c r="AM1356" s="2">
        <v>0</v>
      </c>
      <c r="AN1356" s="2">
        <v>0</v>
      </c>
      <c r="AO1356" s="2">
        <v>0</v>
      </c>
      <c r="AP1356" s="2">
        <v>1</v>
      </c>
      <c r="AQ1356" s="2">
        <v>0</v>
      </c>
      <c r="AR1356" s="2">
        <v>0</v>
      </c>
      <c r="AS1356" s="2">
        <v>0</v>
      </c>
      <c r="AT1356" s="2">
        <v>0</v>
      </c>
      <c r="BB1356" s="2" t="str">
        <f>+PROPER(BD[[#This Row],[PRIMER_APELLIDO]])</f>
        <v>Figueroa</v>
      </c>
    </row>
    <row r="1357" spans="1:54" x14ac:dyDescent="0.25">
      <c r="A1357" s="2">
        <v>1356</v>
      </c>
      <c r="B1357" s="2">
        <v>25806</v>
      </c>
      <c r="C1357" s="5" t="s">
        <v>619</v>
      </c>
      <c r="D1357" s="2" t="s">
        <v>620</v>
      </c>
      <c r="E1357" s="6" t="s">
        <v>8456</v>
      </c>
      <c r="F1357" s="6">
        <v>22287713</v>
      </c>
      <c r="G1357" s="3">
        <v>41</v>
      </c>
      <c r="I1357" s="7"/>
      <c r="J1357" s="7"/>
      <c r="K1357" s="8">
        <v>41.520547945205479</v>
      </c>
      <c r="L1357" s="2" t="s">
        <v>8457</v>
      </c>
      <c r="M1357" s="2" t="s">
        <v>8458</v>
      </c>
      <c r="N1357" s="2" t="s">
        <v>300</v>
      </c>
      <c r="O1357" s="2" t="s">
        <v>38</v>
      </c>
      <c r="P1357" s="2" t="s">
        <v>626</v>
      </c>
      <c r="Q1357" s="2" t="s">
        <v>351</v>
      </c>
      <c r="R1357" s="9">
        <v>29641</v>
      </c>
      <c r="S1357" s="9">
        <v>29641</v>
      </c>
      <c r="U1357" s="2" t="s">
        <v>176</v>
      </c>
      <c r="W1357" s="2" t="s">
        <v>176</v>
      </c>
      <c r="X1357" s="2" t="s">
        <v>8459</v>
      </c>
      <c r="Y1357" s="2" t="s">
        <v>8460</v>
      </c>
      <c r="Z1357" s="6"/>
      <c r="AA1357" s="2">
        <v>89021382</v>
      </c>
      <c r="AB1357" s="2" t="s">
        <v>642</v>
      </c>
      <c r="AC1357" s="2" t="s">
        <v>632</v>
      </c>
      <c r="AD1357" s="10"/>
      <c r="AE1357" s="11"/>
      <c r="AF1357" s="11">
        <v>89021382</v>
      </c>
      <c r="AG1357" s="11"/>
      <c r="AH1357" s="11"/>
      <c r="AI1357" s="11"/>
      <c r="AJ1357" s="11">
        <v>89021382</v>
      </c>
      <c r="AK1357" s="12">
        <v>1</v>
      </c>
      <c r="AL1357" s="12" t="s">
        <v>7377</v>
      </c>
      <c r="AM1357" s="2">
        <v>0</v>
      </c>
      <c r="AN1357" s="2">
        <v>0</v>
      </c>
      <c r="AO1357" s="2">
        <v>0</v>
      </c>
      <c r="AP1357" s="2">
        <v>1</v>
      </c>
      <c r="AQ1357" s="2">
        <v>0</v>
      </c>
      <c r="AR1357" s="2">
        <v>0</v>
      </c>
      <c r="AS1357" s="2">
        <v>0</v>
      </c>
      <c r="AT1357" s="2">
        <v>0</v>
      </c>
      <c r="BB1357" s="2" t="str">
        <f>+PROPER(BD[[#This Row],[PRIMER_APELLIDO]])</f>
        <v>Arbizu</v>
      </c>
    </row>
    <row r="1358" spans="1:54" x14ac:dyDescent="0.25">
      <c r="A1358" s="2">
        <v>1357</v>
      </c>
      <c r="B1358" s="2">
        <v>72645</v>
      </c>
      <c r="C1358" s="5" t="s">
        <v>619</v>
      </c>
      <c r="D1358" s="2" t="s">
        <v>620</v>
      </c>
      <c r="E1358" s="6" t="s">
        <v>8461</v>
      </c>
      <c r="F1358" s="6"/>
      <c r="G1358" s="3">
        <v>41</v>
      </c>
      <c r="I1358" s="7"/>
      <c r="J1358" s="7"/>
      <c r="K1358" s="8">
        <v>41.523287671232879</v>
      </c>
      <c r="L1358" s="2" t="s">
        <v>724</v>
      </c>
      <c r="M1358" s="2" t="s">
        <v>1626</v>
      </c>
      <c r="N1358" s="2" t="s">
        <v>51</v>
      </c>
      <c r="O1358" s="2" t="s">
        <v>101</v>
      </c>
      <c r="P1358" s="2" t="s">
        <v>626</v>
      </c>
      <c r="Q1358" s="2" t="s">
        <v>351</v>
      </c>
      <c r="R1358" s="9">
        <v>29640</v>
      </c>
      <c r="S1358" s="9">
        <v>29640</v>
      </c>
      <c r="T1358" s="2" t="s">
        <v>133</v>
      </c>
      <c r="U1358" s="2" t="s">
        <v>133</v>
      </c>
      <c r="V1358" s="2" t="s">
        <v>869</v>
      </c>
      <c r="W1358" s="2" t="s">
        <v>869</v>
      </c>
      <c r="X1358" s="2" t="s">
        <v>8462</v>
      </c>
      <c r="Y1358" s="2" t="s">
        <v>8463</v>
      </c>
      <c r="Z1358" s="6">
        <v>86889466</v>
      </c>
      <c r="AB1358" s="2" t="s">
        <v>2629</v>
      </c>
      <c r="AC1358" s="2" t="s">
        <v>632</v>
      </c>
      <c r="AD1358" s="10">
        <v>86889466</v>
      </c>
      <c r="AE1358" s="11"/>
      <c r="AF1358" s="11"/>
      <c r="AG1358" s="11"/>
      <c r="AH1358" s="11"/>
      <c r="AI1358" s="11"/>
      <c r="AJ1358" s="11">
        <v>86889466</v>
      </c>
      <c r="AK1358" s="12">
        <v>1</v>
      </c>
      <c r="AL1358" s="12" t="s">
        <v>7377</v>
      </c>
      <c r="AM1358" s="2">
        <v>0</v>
      </c>
      <c r="AN1358" s="2">
        <v>0</v>
      </c>
      <c r="AO1358" s="2">
        <v>0</v>
      </c>
      <c r="AP1358" s="2">
        <v>1</v>
      </c>
      <c r="AQ1358" s="2">
        <v>0</v>
      </c>
      <c r="AR1358" s="2">
        <v>0</v>
      </c>
      <c r="AS1358" s="2">
        <v>0</v>
      </c>
      <c r="AT1358" s="2">
        <v>0</v>
      </c>
      <c r="AZ1358" s="2" t="s">
        <v>8464</v>
      </c>
      <c r="BB1358" s="2" t="str">
        <f>+PROPER(BD[[#This Row],[PRIMER_APELLIDO]])</f>
        <v>Guevara</v>
      </c>
    </row>
    <row r="1359" spans="1:54" x14ac:dyDescent="0.25">
      <c r="A1359" s="2">
        <v>1358</v>
      </c>
      <c r="B1359" s="2">
        <v>22907</v>
      </c>
      <c r="C1359" s="5" t="s">
        <v>619</v>
      </c>
      <c r="D1359" s="2" t="s">
        <v>620</v>
      </c>
      <c r="E1359" s="6" t="s">
        <v>8465</v>
      </c>
      <c r="F1359" s="6">
        <v>20428552</v>
      </c>
      <c r="G1359" s="3">
        <v>41</v>
      </c>
      <c r="I1359" s="7"/>
      <c r="J1359" s="7"/>
      <c r="K1359" s="8">
        <v>41.545205479452058</v>
      </c>
      <c r="L1359" s="2" t="s">
        <v>8466</v>
      </c>
      <c r="M1359" s="2" t="s">
        <v>787</v>
      </c>
      <c r="N1359" s="2" t="s">
        <v>518</v>
      </c>
      <c r="O1359" s="2" t="s">
        <v>58</v>
      </c>
      <c r="P1359" s="2" t="s">
        <v>626</v>
      </c>
      <c r="Q1359" s="2" t="s">
        <v>351</v>
      </c>
      <c r="R1359" s="9">
        <v>29632</v>
      </c>
      <c r="S1359" s="9">
        <v>29642</v>
      </c>
      <c r="U1359" s="2" t="s">
        <v>1104</v>
      </c>
      <c r="W1359" s="2" t="s">
        <v>1104</v>
      </c>
      <c r="X1359" s="2" t="s">
        <v>8467</v>
      </c>
      <c r="Y1359" s="2" t="s">
        <v>8468</v>
      </c>
      <c r="Z1359" s="6"/>
      <c r="AA1359" s="2" t="s">
        <v>8469</v>
      </c>
      <c r="AB1359" s="2" t="s">
        <v>642</v>
      </c>
      <c r="AC1359" s="2" t="s">
        <v>632</v>
      </c>
      <c r="AD1359" s="10"/>
      <c r="AE1359" s="11"/>
      <c r="AF1359" s="11"/>
      <c r="AG1359" s="11">
        <v>88208858</v>
      </c>
      <c r="AH1359" s="11"/>
      <c r="AI1359" s="11"/>
      <c r="AJ1359" s="11">
        <v>88208858</v>
      </c>
      <c r="AK1359" s="12">
        <v>2</v>
      </c>
      <c r="AL1359" s="12" t="s">
        <v>7377</v>
      </c>
      <c r="AM1359" s="2">
        <v>0</v>
      </c>
      <c r="AN1359" s="2">
        <v>0</v>
      </c>
      <c r="AO1359" s="2">
        <v>0</v>
      </c>
      <c r="AP1359" s="2">
        <v>1</v>
      </c>
      <c r="AQ1359" s="2">
        <v>0</v>
      </c>
      <c r="AR1359" s="2">
        <v>0</v>
      </c>
      <c r="AS1359" s="2">
        <v>0</v>
      </c>
      <c r="AT1359" s="2">
        <v>0</v>
      </c>
      <c r="BA1359" s="2" t="s">
        <v>8470</v>
      </c>
      <c r="BB1359" s="2" t="str">
        <f>+PROPER(BD[[#This Row],[PRIMER_APELLIDO]])</f>
        <v>Weimar</v>
      </c>
    </row>
    <row r="1360" spans="1:54" x14ac:dyDescent="0.25">
      <c r="A1360" s="2">
        <v>1359</v>
      </c>
      <c r="B1360" s="2">
        <v>29804</v>
      </c>
      <c r="C1360" s="5" t="s">
        <v>619</v>
      </c>
      <c r="D1360" s="2" t="s">
        <v>620</v>
      </c>
      <c r="E1360" s="6" t="s">
        <v>8471</v>
      </c>
      <c r="F1360" s="6">
        <v>21734476</v>
      </c>
      <c r="G1360" s="3">
        <v>41</v>
      </c>
      <c r="I1360" s="7"/>
      <c r="J1360" s="7"/>
      <c r="K1360" s="8">
        <v>41.550684931506851</v>
      </c>
      <c r="L1360" s="2" t="s">
        <v>8472</v>
      </c>
      <c r="M1360" s="2" t="s">
        <v>961</v>
      </c>
      <c r="N1360" s="2" t="s">
        <v>44</v>
      </c>
      <c r="O1360" s="2" t="s">
        <v>257</v>
      </c>
      <c r="P1360" s="2" t="s">
        <v>626</v>
      </c>
      <c r="Q1360" s="2" t="s">
        <v>351</v>
      </c>
      <c r="R1360" s="9">
        <v>29630</v>
      </c>
      <c r="S1360" s="9">
        <v>29630</v>
      </c>
      <c r="T1360" s="2" t="s">
        <v>627</v>
      </c>
      <c r="U1360" s="2" t="s">
        <v>627</v>
      </c>
      <c r="V1360" s="2" t="s">
        <v>627</v>
      </c>
      <c r="W1360" s="2" t="s">
        <v>627</v>
      </c>
      <c r="X1360" s="2" t="s">
        <v>8473</v>
      </c>
      <c r="Y1360" s="2" t="s">
        <v>8474</v>
      </c>
      <c r="Z1360" s="6">
        <v>88751010</v>
      </c>
      <c r="AA1360" s="2" t="s">
        <v>8475</v>
      </c>
      <c r="AB1360" s="2" t="s">
        <v>642</v>
      </c>
      <c r="AC1360" s="2" t="s">
        <v>632</v>
      </c>
      <c r="AD1360" s="10">
        <v>88751010</v>
      </c>
      <c r="AE1360" s="11"/>
      <c r="AF1360" s="11">
        <v>88751010</v>
      </c>
      <c r="AG1360" s="11">
        <v>89960885</v>
      </c>
      <c r="AH1360" s="11"/>
      <c r="AI1360" s="11"/>
      <c r="AJ1360" s="11">
        <v>88751010</v>
      </c>
      <c r="AK1360" s="12">
        <v>3</v>
      </c>
      <c r="AL1360" s="12" t="s">
        <v>7377</v>
      </c>
      <c r="AM1360" s="2">
        <v>0</v>
      </c>
      <c r="AN1360" s="2">
        <v>0</v>
      </c>
      <c r="AO1360" s="2">
        <v>0</v>
      </c>
      <c r="AP1360" s="2">
        <v>1</v>
      </c>
      <c r="AQ1360" s="2">
        <v>0</v>
      </c>
      <c r="AR1360" s="2">
        <v>0</v>
      </c>
      <c r="AS1360" s="2">
        <v>0</v>
      </c>
      <c r="AT1360" s="2">
        <v>0</v>
      </c>
      <c r="AZ1360" s="2" t="s">
        <v>8476</v>
      </c>
      <c r="BA1360" s="2" t="s">
        <v>8477</v>
      </c>
      <c r="BB1360" s="2" t="str">
        <f>+PROPER(BD[[#This Row],[PRIMER_APELLIDO]])</f>
        <v>Martinez</v>
      </c>
    </row>
    <row r="1361" spans="1:54" x14ac:dyDescent="0.25">
      <c r="A1361" s="2">
        <v>1360</v>
      </c>
      <c r="B1361" s="2">
        <v>30786</v>
      </c>
      <c r="C1361" s="5" t="s">
        <v>619</v>
      </c>
      <c r="D1361" s="2" t="s">
        <v>620</v>
      </c>
      <c r="E1361" s="6" t="s">
        <v>8478</v>
      </c>
      <c r="F1361" s="6">
        <v>21659001</v>
      </c>
      <c r="G1361" s="3">
        <v>41</v>
      </c>
      <c r="I1361" s="7"/>
      <c r="J1361" s="7"/>
      <c r="K1361" s="8">
        <v>41.550684931506851</v>
      </c>
      <c r="L1361" s="2" t="s">
        <v>786</v>
      </c>
      <c r="M1361" s="2" t="s">
        <v>1176</v>
      </c>
      <c r="N1361" s="2" t="s">
        <v>519</v>
      </c>
      <c r="O1361" s="2" t="s">
        <v>186</v>
      </c>
      <c r="P1361" s="2" t="s">
        <v>626</v>
      </c>
      <c r="Q1361" s="2" t="s">
        <v>351</v>
      </c>
      <c r="R1361" s="9">
        <v>29630</v>
      </c>
      <c r="S1361" s="9">
        <v>29630</v>
      </c>
      <c r="T1361" s="2" t="s">
        <v>627</v>
      </c>
      <c r="U1361" s="2" t="s">
        <v>627</v>
      </c>
      <c r="V1361" s="2" t="s">
        <v>627</v>
      </c>
      <c r="W1361" s="2" t="s">
        <v>627</v>
      </c>
      <c r="X1361" s="2" t="s">
        <v>8479</v>
      </c>
      <c r="Y1361" s="2" t="s">
        <v>8480</v>
      </c>
      <c r="Z1361" s="6"/>
      <c r="AA1361" s="2" t="s">
        <v>8481</v>
      </c>
      <c r="AB1361" s="2" t="s">
        <v>654</v>
      </c>
      <c r="AC1361" s="2" t="s">
        <v>632</v>
      </c>
      <c r="AD1361" s="10"/>
      <c r="AE1361" s="11"/>
      <c r="AF1361" s="11"/>
      <c r="AG1361" s="11"/>
      <c r="AH1361" s="11">
        <v>22600923</v>
      </c>
      <c r="AI1361" s="11">
        <v>87580440</v>
      </c>
      <c r="AJ1361" s="11"/>
      <c r="AK1361" s="12">
        <v>5</v>
      </c>
      <c r="AL1361" s="12" t="s">
        <v>7377</v>
      </c>
      <c r="AM1361" s="2">
        <v>0</v>
      </c>
      <c r="AN1361" s="2">
        <v>0</v>
      </c>
      <c r="AO1361" s="2">
        <v>0</v>
      </c>
      <c r="AP1361" s="2">
        <v>1</v>
      </c>
      <c r="AQ1361" s="2">
        <v>0</v>
      </c>
      <c r="AR1361" s="2">
        <v>0</v>
      </c>
      <c r="AS1361" s="2">
        <v>0</v>
      </c>
      <c r="AT1361" s="2">
        <v>0</v>
      </c>
      <c r="BB1361" s="2" t="str">
        <f>+PROPER(BD[[#This Row],[PRIMER_APELLIDO]])</f>
        <v>Araica</v>
      </c>
    </row>
    <row r="1362" spans="1:54" x14ac:dyDescent="0.25">
      <c r="A1362" s="2">
        <v>1361</v>
      </c>
      <c r="B1362" s="2">
        <v>20767</v>
      </c>
      <c r="C1362" s="5" t="s">
        <v>619</v>
      </c>
      <c r="D1362" s="2" t="s">
        <v>620</v>
      </c>
      <c r="E1362" s="6" t="s">
        <v>8482</v>
      </c>
      <c r="F1362" s="6">
        <v>17634315</v>
      </c>
      <c r="G1362" s="3">
        <v>41</v>
      </c>
      <c r="I1362" s="7"/>
      <c r="J1362" s="7"/>
      <c r="K1362" s="8">
        <v>41.553424657534244</v>
      </c>
      <c r="L1362" s="2" t="s">
        <v>8483</v>
      </c>
      <c r="M1362" s="2" t="s">
        <v>970</v>
      </c>
      <c r="N1362" s="2" t="s">
        <v>171</v>
      </c>
      <c r="O1362" s="2" t="s">
        <v>196</v>
      </c>
      <c r="P1362" s="2" t="s">
        <v>626</v>
      </c>
      <c r="Q1362" s="2" t="s">
        <v>351</v>
      </c>
      <c r="R1362" s="9">
        <v>29629</v>
      </c>
      <c r="S1362" s="9">
        <v>29629</v>
      </c>
      <c r="T1362" s="2" t="s">
        <v>740</v>
      </c>
      <c r="U1362" s="2" t="s">
        <v>740</v>
      </c>
      <c r="V1362" s="2" t="s">
        <v>740</v>
      </c>
      <c r="W1362" s="2" t="s">
        <v>740</v>
      </c>
      <c r="X1362" s="2" t="s">
        <v>8484</v>
      </c>
      <c r="Y1362" s="2" t="s">
        <v>8485</v>
      </c>
      <c r="Z1362" s="6">
        <v>83391682</v>
      </c>
      <c r="AA1362" s="2">
        <v>83391682</v>
      </c>
      <c r="AB1362" s="2" t="s">
        <v>642</v>
      </c>
      <c r="AC1362" s="2" t="s">
        <v>632</v>
      </c>
      <c r="AD1362" s="10">
        <v>83391682</v>
      </c>
      <c r="AE1362" s="11"/>
      <c r="AF1362" s="11">
        <v>83391682</v>
      </c>
      <c r="AG1362" s="11"/>
      <c r="AH1362" s="11"/>
      <c r="AI1362" s="11"/>
      <c r="AJ1362" s="11">
        <v>83391682</v>
      </c>
      <c r="AK1362" s="12">
        <v>2</v>
      </c>
      <c r="AL1362" s="12" t="s">
        <v>7377</v>
      </c>
      <c r="AM1362" s="2">
        <v>0</v>
      </c>
      <c r="AN1362" s="2">
        <v>0</v>
      </c>
      <c r="AO1362" s="2">
        <v>0</v>
      </c>
      <c r="AP1362" s="2">
        <v>1</v>
      </c>
      <c r="AQ1362" s="2">
        <v>0</v>
      </c>
      <c r="AR1362" s="2">
        <v>0</v>
      </c>
      <c r="AS1362" s="2">
        <v>0</v>
      </c>
      <c r="AT1362" s="2">
        <v>0</v>
      </c>
      <c r="AZ1362" s="2" t="s">
        <v>8486</v>
      </c>
      <c r="BA1362" s="2" t="s">
        <v>8486</v>
      </c>
      <c r="BB1362" s="2" t="str">
        <f>+PROPER(BD[[#This Row],[PRIMER_APELLIDO]])</f>
        <v>Gutierrez</v>
      </c>
    </row>
    <row r="1363" spans="1:54" x14ac:dyDescent="0.25">
      <c r="A1363" s="2">
        <v>1362</v>
      </c>
      <c r="B1363" s="2">
        <v>48612</v>
      </c>
      <c r="C1363" s="5" t="s">
        <v>619</v>
      </c>
      <c r="D1363" s="2" t="s">
        <v>620</v>
      </c>
      <c r="E1363" s="6" t="s">
        <v>8487</v>
      </c>
      <c r="F1363" s="6">
        <v>21669503</v>
      </c>
      <c r="G1363" s="3">
        <v>41</v>
      </c>
      <c r="I1363" s="7"/>
      <c r="J1363" s="7"/>
      <c r="K1363" s="8">
        <v>41.556164383561644</v>
      </c>
      <c r="L1363" s="2" t="s">
        <v>8488</v>
      </c>
      <c r="M1363" s="2" t="s">
        <v>3384</v>
      </c>
      <c r="N1363" s="2" t="s">
        <v>82</v>
      </c>
      <c r="O1363" s="2" t="s">
        <v>347</v>
      </c>
      <c r="P1363" s="2" t="s">
        <v>649</v>
      </c>
      <c r="Q1363" s="2" t="s">
        <v>351</v>
      </c>
      <c r="R1363" s="9">
        <v>29628</v>
      </c>
      <c r="S1363" s="9">
        <v>29628</v>
      </c>
      <c r="T1363" s="2" t="s">
        <v>176</v>
      </c>
      <c r="U1363" s="2" t="s">
        <v>176</v>
      </c>
      <c r="V1363" s="2" t="s">
        <v>748</v>
      </c>
      <c r="W1363" s="2" t="s">
        <v>748</v>
      </c>
      <c r="X1363" s="2" t="s">
        <v>8489</v>
      </c>
      <c r="Y1363" s="2" t="s">
        <v>8490</v>
      </c>
      <c r="Z1363" s="6">
        <v>75143207</v>
      </c>
      <c r="AA1363" s="2">
        <v>83391676</v>
      </c>
      <c r="AB1363" s="2" t="s">
        <v>654</v>
      </c>
      <c r="AC1363" s="2" t="s">
        <v>632</v>
      </c>
      <c r="AD1363" s="10">
        <v>75143207</v>
      </c>
      <c r="AE1363" s="11"/>
      <c r="AF1363" s="11">
        <v>83391676</v>
      </c>
      <c r="AG1363" s="11"/>
      <c r="AH1363" s="11"/>
      <c r="AI1363" s="11"/>
      <c r="AJ1363" s="11">
        <v>75143207</v>
      </c>
      <c r="AK1363" s="12">
        <v>2</v>
      </c>
      <c r="AL1363" s="12" t="s">
        <v>7377</v>
      </c>
      <c r="AM1363" s="2">
        <v>0</v>
      </c>
      <c r="AN1363" s="2">
        <v>0</v>
      </c>
      <c r="AO1363" s="2">
        <v>0</v>
      </c>
      <c r="AP1363" s="2">
        <v>1</v>
      </c>
      <c r="AQ1363" s="2">
        <v>0</v>
      </c>
      <c r="AR1363" s="2">
        <v>0</v>
      </c>
      <c r="AS1363" s="2">
        <v>0</v>
      </c>
      <c r="AT1363" s="2">
        <v>0</v>
      </c>
      <c r="AZ1363" s="2" t="s">
        <v>8491</v>
      </c>
      <c r="BB1363" s="2" t="str">
        <f>+PROPER(BD[[#This Row],[PRIMER_APELLIDO]])</f>
        <v>Morales</v>
      </c>
    </row>
    <row r="1364" spans="1:54" x14ac:dyDescent="0.25">
      <c r="A1364" s="2">
        <v>1363</v>
      </c>
      <c r="B1364" s="2">
        <v>25218</v>
      </c>
      <c r="C1364" s="5" t="s">
        <v>619</v>
      </c>
      <c r="D1364" s="2" t="s">
        <v>620</v>
      </c>
      <c r="E1364" s="6" t="s">
        <v>8492</v>
      </c>
      <c r="F1364" s="6">
        <v>21169681</v>
      </c>
      <c r="G1364" s="3">
        <v>41</v>
      </c>
      <c r="I1364" s="7"/>
      <c r="J1364" s="7"/>
      <c r="K1364" s="8">
        <v>41.561643835616437</v>
      </c>
      <c r="L1364" s="2" t="s">
        <v>2472</v>
      </c>
      <c r="M1364" s="2" t="s">
        <v>8493</v>
      </c>
      <c r="N1364" s="2" t="s">
        <v>332</v>
      </c>
      <c r="O1364" s="2" t="s">
        <v>84</v>
      </c>
      <c r="P1364" s="2" t="s">
        <v>626</v>
      </c>
      <c r="Q1364" s="2" t="s">
        <v>351</v>
      </c>
      <c r="R1364" s="9">
        <v>29626</v>
      </c>
      <c r="S1364" s="9">
        <v>29626</v>
      </c>
      <c r="T1364" s="2" t="s">
        <v>732</v>
      </c>
      <c r="U1364" s="2" t="s">
        <v>732</v>
      </c>
      <c r="V1364" s="2" t="s">
        <v>732</v>
      </c>
      <c r="W1364" s="2" t="s">
        <v>732</v>
      </c>
      <c r="X1364" s="2" t="s">
        <v>8494</v>
      </c>
      <c r="Y1364" s="2" t="s">
        <v>8495</v>
      </c>
      <c r="Z1364" s="6"/>
      <c r="AA1364" s="2" t="s">
        <v>8496</v>
      </c>
      <c r="AB1364" s="2" t="s">
        <v>642</v>
      </c>
      <c r="AC1364" s="2" t="s">
        <v>632</v>
      </c>
      <c r="AD1364" s="10"/>
      <c r="AE1364" s="11"/>
      <c r="AF1364" s="11"/>
      <c r="AG1364" s="11"/>
      <c r="AH1364" s="11">
        <v>83757127</v>
      </c>
      <c r="AI1364" s="11"/>
      <c r="AJ1364" s="11"/>
      <c r="AK1364" s="12">
        <v>3</v>
      </c>
      <c r="AL1364" s="12" t="s">
        <v>7377</v>
      </c>
      <c r="AM1364" s="2">
        <v>0</v>
      </c>
      <c r="AN1364" s="2">
        <v>0</v>
      </c>
      <c r="AO1364" s="2">
        <v>0</v>
      </c>
      <c r="AP1364" s="2">
        <v>1</v>
      </c>
      <c r="AQ1364" s="2">
        <v>0</v>
      </c>
      <c r="AR1364" s="2">
        <v>0</v>
      </c>
      <c r="AS1364" s="2">
        <v>0</v>
      </c>
      <c r="AT1364" s="2">
        <v>0</v>
      </c>
      <c r="BB1364" s="2" t="str">
        <f>+PROPER(BD[[#This Row],[PRIMER_APELLIDO]])</f>
        <v>Moncada</v>
      </c>
    </row>
    <row r="1365" spans="1:54" x14ac:dyDescent="0.25">
      <c r="A1365" s="2">
        <v>1364</v>
      </c>
      <c r="B1365" s="2">
        <v>23338</v>
      </c>
      <c r="C1365" s="5" t="s">
        <v>619</v>
      </c>
      <c r="D1365" s="2" t="s">
        <v>620</v>
      </c>
      <c r="E1365" s="6" t="s">
        <v>8497</v>
      </c>
      <c r="F1365" s="6">
        <v>19909075</v>
      </c>
      <c r="G1365" s="3">
        <v>41</v>
      </c>
      <c r="I1365" s="7"/>
      <c r="J1365" s="7"/>
      <c r="K1365" s="8">
        <v>41.564383561643837</v>
      </c>
      <c r="L1365" s="2" t="s">
        <v>4975</v>
      </c>
      <c r="M1365" s="2" t="s">
        <v>7260</v>
      </c>
      <c r="N1365" s="2" t="s">
        <v>18</v>
      </c>
      <c r="O1365" s="2" t="s">
        <v>427</v>
      </c>
      <c r="P1365" s="2" t="s">
        <v>626</v>
      </c>
      <c r="Q1365" s="2" t="s">
        <v>351</v>
      </c>
      <c r="R1365" s="9">
        <v>29625</v>
      </c>
      <c r="S1365" s="9">
        <v>29625</v>
      </c>
      <c r="T1365" s="2" t="s">
        <v>176</v>
      </c>
      <c r="U1365" s="2" t="s">
        <v>176</v>
      </c>
      <c r="V1365" s="2" t="s">
        <v>650</v>
      </c>
      <c r="W1365" s="2" t="s">
        <v>176</v>
      </c>
      <c r="X1365" s="2" t="s">
        <v>8498</v>
      </c>
      <c r="Y1365" s="2" t="s">
        <v>8499</v>
      </c>
      <c r="Z1365" s="6"/>
      <c r="AA1365" s="2">
        <v>86388911</v>
      </c>
      <c r="AB1365" s="2" t="s">
        <v>642</v>
      </c>
      <c r="AC1365" s="2" t="s">
        <v>632</v>
      </c>
      <c r="AD1365" s="10"/>
      <c r="AE1365" s="11"/>
      <c r="AF1365" s="11">
        <v>86388911</v>
      </c>
      <c r="AG1365" s="11"/>
      <c r="AH1365" s="11"/>
      <c r="AI1365" s="11"/>
      <c r="AJ1365" s="11">
        <v>86388911</v>
      </c>
      <c r="AK1365" s="12">
        <v>1</v>
      </c>
      <c r="AL1365" s="12" t="s">
        <v>7377</v>
      </c>
      <c r="AM1365" s="2">
        <v>0</v>
      </c>
      <c r="AN1365" s="2">
        <v>0</v>
      </c>
      <c r="AO1365" s="2">
        <v>0</v>
      </c>
      <c r="AP1365" s="2">
        <v>1</v>
      </c>
      <c r="AQ1365" s="2">
        <v>0</v>
      </c>
      <c r="AR1365" s="2">
        <v>0</v>
      </c>
      <c r="AS1365" s="2">
        <v>0</v>
      </c>
      <c r="AT1365" s="2">
        <v>0</v>
      </c>
      <c r="BB1365" s="2" t="str">
        <f>+PROPER(BD[[#This Row],[PRIMER_APELLIDO]])</f>
        <v>Alvarado</v>
      </c>
    </row>
    <row r="1366" spans="1:54" x14ac:dyDescent="0.25">
      <c r="A1366" s="2">
        <v>1365</v>
      </c>
      <c r="B1366" s="2">
        <v>24985</v>
      </c>
      <c r="C1366" s="5" t="s">
        <v>619</v>
      </c>
      <c r="D1366" s="2" t="s">
        <v>620</v>
      </c>
      <c r="E1366" s="6" t="s">
        <v>8500</v>
      </c>
      <c r="F1366" s="6">
        <v>22188889</v>
      </c>
      <c r="G1366" s="3">
        <v>41</v>
      </c>
      <c r="I1366" s="7"/>
      <c r="J1366" s="7"/>
      <c r="K1366" s="8">
        <v>41.56986301369863</v>
      </c>
      <c r="L1366" s="2" t="s">
        <v>1057</v>
      </c>
      <c r="M1366" s="2" t="s">
        <v>243</v>
      </c>
      <c r="N1366" s="2" t="s">
        <v>171</v>
      </c>
      <c r="O1366" s="2" t="s">
        <v>171</v>
      </c>
      <c r="P1366" s="2" t="s">
        <v>649</v>
      </c>
      <c r="Q1366" s="2" t="s">
        <v>351</v>
      </c>
      <c r="R1366" s="9">
        <v>29623</v>
      </c>
      <c r="S1366" s="9">
        <v>29623</v>
      </c>
      <c r="T1366" s="2" t="s">
        <v>1191</v>
      </c>
      <c r="U1366" s="2" t="s">
        <v>1191</v>
      </c>
      <c r="V1366" s="2" t="s">
        <v>1192</v>
      </c>
      <c r="W1366" s="2" t="s">
        <v>1192</v>
      </c>
      <c r="X1366" s="2" t="s">
        <v>8501</v>
      </c>
      <c r="Y1366" s="2" t="s">
        <v>8502</v>
      </c>
      <c r="Z1366" s="6">
        <v>88386737</v>
      </c>
      <c r="AA1366" s="2" t="s">
        <v>8503</v>
      </c>
      <c r="AB1366" s="2" t="s">
        <v>654</v>
      </c>
      <c r="AC1366" s="2" t="s">
        <v>632</v>
      </c>
      <c r="AD1366" s="10">
        <v>88386737</v>
      </c>
      <c r="AE1366" s="11"/>
      <c r="AF1366" s="11"/>
      <c r="AG1366" s="11">
        <v>84544067</v>
      </c>
      <c r="AH1366" s="11">
        <v>84460294</v>
      </c>
      <c r="AI1366" s="11"/>
      <c r="AJ1366" s="11">
        <v>88386737</v>
      </c>
      <c r="AK1366" s="12">
        <v>4</v>
      </c>
      <c r="AL1366" s="12" t="s">
        <v>7377</v>
      </c>
      <c r="AM1366" s="2">
        <v>0</v>
      </c>
      <c r="AN1366" s="2">
        <v>0</v>
      </c>
      <c r="AO1366" s="2">
        <v>0</v>
      </c>
      <c r="AP1366" s="2">
        <v>1</v>
      </c>
      <c r="AQ1366" s="2">
        <v>0</v>
      </c>
      <c r="AR1366" s="2">
        <v>0</v>
      </c>
      <c r="AS1366" s="2">
        <v>0</v>
      </c>
      <c r="AT1366" s="2">
        <v>0</v>
      </c>
      <c r="AZ1366" s="2" t="s">
        <v>8504</v>
      </c>
      <c r="BB1366" s="2" t="str">
        <f>+PROPER(BD[[#This Row],[PRIMER_APELLIDO]])</f>
        <v>Gutierrez</v>
      </c>
    </row>
    <row r="1367" spans="1:54" x14ac:dyDescent="0.25">
      <c r="A1367" s="2">
        <v>1366</v>
      </c>
      <c r="B1367" s="2">
        <v>49880</v>
      </c>
      <c r="C1367" s="5" t="s">
        <v>619</v>
      </c>
      <c r="D1367" s="2" t="s">
        <v>620</v>
      </c>
      <c r="E1367" s="6" t="s">
        <v>8505</v>
      </c>
      <c r="F1367" s="6">
        <v>16089527</v>
      </c>
      <c r="G1367" s="3">
        <v>41</v>
      </c>
      <c r="I1367" s="7"/>
      <c r="J1367" s="7"/>
      <c r="K1367" s="8">
        <v>41.57260273972603</v>
      </c>
      <c r="L1367" s="2" t="s">
        <v>1076</v>
      </c>
      <c r="M1367" s="2" t="s">
        <v>8506</v>
      </c>
      <c r="N1367" s="2" t="s">
        <v>391</v>
      </c>
      <c r="O1367" s="2" t="s">
        <v>24</v>
      </c>
      <c r="P1367" s="2" t="s">
        <v>649</v>
      </c>
      <c r="Q1367" s="2" t="s">
        <v>351</v>
      </c>
      <c r="R1367" s="9">
        <v>29622</v>
      </c>
      <c r="S1367" s="9">
        <v>29622</v>
      </c>
      <c r="T1367" s="2" t="s">
        <v>659</v>
      </c>
      <c r="U1367" s="2" t="s">
        <v>659</v>
      </c>
      <c r="V1367" s="2" t="s">
        <v>660</v>
      </c>
      <c r="W1367" s="2" t="s">
        <v>659</v>
      </c>
      <c r="X1367" s="2" t="s">
        <v>8507</v>
      </c>
      <c r="Y1367" s="2" t="s">
        <v>8508</v>
      </c>
      <c r="Z1367" s="6">
        <v>89189200</v>
      </c>
      <c r="AA1367" s="2" t="s">
        <v>8509</v>
      </c>
      <c r="AB1367" s="2" t="s">
        <v>798</v>
      </c>
      <c r="AC1367" s="2" t="s">
        <v>632</v>
      </c>
      <c r="AD1367" s="10">
        <v>89189200</v>
      </c>
      <c r="AE1367" s="11"/>
      <c r="AF1367" s="11"/>
      <c r="AG1367" s="11">
        <v>89189200</v>
      </c>
      <c r="AH1367" s="11">
        <v>88537411</v>
      </c>
      <c r="AI1367" s="11"/>
      <c r="AJ1367" s="11">
        <v>89189200</v>
      </c>
      <c r="AK1367" s="12">
        <v>4</v>
      </c>
      <c r="AL1367" s="12" t="s">
        <v>7377</v>
      </c>
      <c r="AM1367" s="2">
        <v>0</v>
      </c>
      <c r="AN1367" s="2">
        <v>0</v>
      </c>
      <c r="AO1367" s="2">
        <v>0</v>
      </c>
      <c r="AP1367" s="2">
        <v>1</v>
      </c>
      <c r="AQ1367" s="2">
        <v>0</v>
      </c>
      <c r="AR1367" s="2">
        <v>0</v>
      </c>
      <c r="AS1367" s="2">
        <v>0</v>
      </c>
      <c r="AT1367" s="2">
        <v>0</v>
      </c>
      <c r="AZ1367" s="2" t="s">
        <v>8510</v>
      </c>
      <c r="BB1367" s="2" t="str">
        <f>+PROPER(BD[[#This Row],[PRIMER_APELLIDO]])</f>
        <v>Ochoa</v>
      </c>
    </row>
    <row r="1368" spans="1:54" x14ac:dyDescent="0.25">
      <c r="A1368" s="2">
        <v>1367</v>
      </c>
      <c r="B1368" s="2">
        <v>67638</v>
      </c>
      <c r="C1368" s="5" t="s">
        <v>619</v>
      </c>
      <c r="D1368" s="2" t="s">
        <v>620</v>
      </c>
      <c r="E1368" s="6" t="s">
        <v>8511</v>
      </c>
      <c r="F1368" s="6"/>
      <c r="G1368" s="3">
        <v>41</v>
      </c>
      <c r="I1368" s="7"/>
      <c r="J1368" s="7"/>
      <c r="K1368" s="8">
        <v>41.578082191780823</v>
      </c>
      <c r="L1368" s="2" t="s">
        <v>4975</v>
      </c>
      <c r="M1368" s="2" t="s">
        <v>1258</v>
      </c>
      <c r="N1368" s="2" t="s">
        <v>187</v>
      </c>
      <c r="O1368" s="2" t="s">
        <v>8512</v>
      </c>
      <c r="P1368" s="2" t="s">
        <v>626</v>
      </c>
      <c r="Q1368" s="2" t="s">
        <v>351</v>
      </c>
      <c r="R1368" s="9">
        <v>29620</v>
      </c>
      <c r="S1368" s="9">
        <v>29620</v>
      </c>
      <c r="T1368" s="2" t="s">
        <v>659</v>
      </c>
      <c r="U1368" s="2" t="s">
        <v>659</v>
      </c>
      <c r="V1368" s="2" t="s">
        <v>659</v>
      </c>
      <c r="W1368" s="2" t="s">
        <v>659</v>
      </c>
      <c r="X1368" s="2" t="s">
        <v>8513</v>
      </c>
      <c r="Y1368" s="2" t="s">
        <v>8514</v>
      </c>
      <c r="Z1368" s="6">
        <v>88533662</v>
      </c>
      <c r="AA1368" s="2" t="s">
        <v>8515</v>
      </c>
      <c r="AB1368" s="2" t="s">
        <v>642</v>
      </c>
      <c r="AC1368" s="2" t="s">
        <v>632</v>
      </c>
      <c r="AD1368" s="10">
        <v>88533662</v>
      </c>
      <c r="AE1368" s="11"/>
      <c r="AF1368" s="11"/>
      <c r="AG1368" s="11">
        <v>87966849</v>
      </c>
      <c r="AH1368" s="11"/>
      <c r="AI1368" s="11"/>
      <c r="AJ1368" s="11">
        <v>88533662</v>
      </c>
      <c r="AK1368" s="12">
        <v>3</v>
      </c>
      <c r="AL1368" s="12" t="s">
        <v>7377</v>
      </c>
      <c r="AM1368" s="2">
        <v>0</v>
      </c>
      <c r="AN1368" s="2">
        <v>0</v>
      </c>
      <c r="AO1368" s="2">
        <v>0</v>
      </c>
      <c r="AP1368" s="2">
        <v>1</v>
      </c>
      <c r="AQ1368" s="2">
        <v>0</v>
      </c>
      <c r="AR1368" s="2">
        <v>0</v>
      </c>
      <c r="AS1368" s="2">
        <v>0</v>
      </c>
      <c r="AT1368" s="2">
        <v>0</v>
      </c>
      <c r="AZ1368" s="2" t="s">
        <v>8516</v>
      </c>
      <c r="BB1368" s="2" t="str">
        <f>+PROPER(BD[[#This Row],[PRIMER_APELLIDO]])</f>
        <v>Pineda</v>
      </c>
    </row>
    <row r="1369" spans="1:54" x14ac:dyDescent="0.25">
      <c r="A1369" s="2">
        <v>1368</v>
      </c>
      <c r="B1369" s="2">
        <v>47928</v>
      </c>
      <c r="C1369" s="5" t="s">
        <v>619</v>
      </c>
      <c r="D1369" s="2" t="s">
        <v>620</v>
      </c>
      <c r="E1369" s="6" t="s">
        <v>8517</v>
      </c>
      <c r="F1369" s="6">
        <v>13561185</v>
      </c>
      <c r="G1369" s="3">
        <v>41</v>
      </c>
      <c r="I1369" s="7"/>
      <c r="J1369" s="7"/>
      <c r="K1369" s="8">
        <v>41.602739726027394</v>
      </c>
      <c r="L1369" s="2" t="s">
        <v>8518</v>
      </c>
      <c r="M1369" s="2" t="s">
        <v>8519</v>
      </c>
      <c r="N1369" s="2" t="s">
        <v>14</v>
      </c>
      <c r="O1369" s="2" t="s">
        <v>44</v>
      </c>
      <c r="P1369" s="2" t="s">
        <v>626</v>
      </c>
      <c r="Q1369" s="2" t="s">
        <v>351</v>
      </c>
      <c r="R1369" s="9">
        <v>29611</v>
      </c>
      <c r="S1369" s="9">
        <v>29611</v>
      </c>
      <c r="T1369" s="2" t="s">
        <v>732</v>
      </c>
      <c r="U1369" s="2" t="s">
        <v>732</v>
      </c>
      <c r="V1369" s="2" t="s">
        <v>732</v>
      </c>
      <c r="W1369" s="2" t="s">
        <v>732</v>
      </c>
      <c r="X1369" s="2" t="s">
        <v>8520</v>
      </c>
      <c r="Y1369" s="2" t="s">
        <v>8521</v>
      </c>
      <c r="Z1369" s="6">
        <v>88404846</v>
      </c>
      <c r="AA1369" s="2">
        <v>88404846</v>
      </c>
      <c r="AB1369" s="2" t="s">
        <v>631</v>
      </c>
      <c r="AC1369" s="2" t="s">
        <v>632</v>
      </c>
      <c r="AD1369" s="10">
        <v>88404846</v>
      </c>
      <c r="AE1369" s="11"/>
      <c r="AF1369" s="11">
        <v>88404846</v>
      </c>
      <c r="AG1369" s="11"/>
      <c r="AH1369" s="11"/>
      <c r="AI1369" s="11"/>
      <c r="AJ1369" s="11">
        <v>88404846</v>
      </c>
      <c r="AK1369" s="12">
        <v>2</v>
      </c>
      <c r="AL1369" s="12" t="s">
        <v>7377</v>
      </c>
      <c r="AM1369" s="2">
        <v>0</v>
      </c>
      <c r="AN1369" s="2">
        <v>0</v>
      </c>
      <c r="AO1369" s="2">
        <v>0</v>
      </c>
      <c r="AP1369" s="2">
        <v>1</v>
      </c>
      <c r="AQ1369" s="2">
        <v>0</v>
      </c>
      <c r="AR1369" s="2">
        <v>0</v>
      </c>
      <c r="AS1369" s="2">
        <v>0</v>
      </c>
      <c r="AT1369" s="2">
        <v>0</v>
      </c>
      <c r="AZ1369" s="2" t="s">
        <v>8522</v>
      </c>
      <c r="BB1369" s="2" t="str">
        <f>+PROPER(BD[[#This Row],[PRIMER_APELLIDO]])</f>
        <v>Gonzalez</v>
      </c>
    </row>
    <row r="1370" spans="1:54" x14ac:dyDescent="0.25">
      <c r="A1370" s="2">
        <v>1369</v>
      </c>
      <c r="B1370" s="2">
        <v>22548</v>
      </c>
      <c r="C1370" s="5" t="s">
        <v>619</v>
      </c>
      <c r="D1370" s="2" t="s">
        <v>620</v>
      </c>
      <c r="E1370" s="6" t="s">
        <v>8523</v>
      </c>
      <c r="F1370" s="6">
        <v>19783646</v>
      </c>
      <c r="G1370" s="3">
        <v>41</v>
      </c>
      <c r="I1370" s="7"/>
      <c r="J1370" s="7"/>
      <c r="K1370" s="8">
        <v>41.610958904109587</v>
      </c>
      <c r="L1370" s="2" t="s">
        <v>826</v>
      </c>
      <c r="M1370" s="2" t="s">
        <v>243</v>
      </c>
      <c r="N1370" s="2" t="s">
        <v>520</v>
      </c>
      <c r="O1370" s="2" t="s">
        <v>274</v>
      </c>
      <c r="P1370" s="2" t="s">
        <v>649</v>
      </c>
      <c r="Q1370" s="2" t="s">
        <v>351</v>
      </c>
      <c r="R1370" s="9">
        <v>29608</v>
      </c>
      <c r="S1370" s="9">
        <v>29608</v>
      </c>
      <c r="T1370" s="2" t="s">
        <v>627</v>
      </c>
      <c r="U1370" s="2" t="s">
        <v>627</v>
      </c>
      <c r="V1370" s="2" t="s">
        <v>627</v>
      </c>
      <c r="W1370" s="2" t="s">
        <v>627</v>
      </c>
      <c r="Y1370" s="2" t="s">
        <v>8524</v>
      </c>
      <c r="Z1370" s="6"/>
      <c r="AA1370" s="2" t="s">
        <v>8525</v>
      </c>
      <c r="AB1370" s="2" t="s">
        <v>654</v>
      </c>
      <c r="AC1370" s="2" t="s">
        <v>632</v>
      </c>
      <c r="AD1370" s="10"/>
      <c r="AE1370" s="11"/>
      <c r="AF1370" s="11"/>
      <c r="AG1370" s="11">
        <v>88031564</v>
      </c>
      <c r="AH1370" s="11"/>
      <c r="AI1370" s="11"/>
      <c r="AJ1370" s="11">
        <v>88031564</v>
      </c>
      <c r="AK1370" s="12">
        <v>2</v>
      </c>
      <c r="AL1370" s="12" t="s">
        <v>7377</v>
      </c>
      <c r="AM1370" s="2">
        <v>0</v>
      </c>
      <c r="AN1370" s="2">
        <v>0</v>
      </c>
      <c r="AO1370" s="2">
        <v>0</v>
      </c>
      <c r="AP1370" s="2">
        <v>1</v>
      </c>
      <c r="AQ1370" s="2">
        <v>0</v>
      </c>
      <c r="AR1370" s="2">
        <v>0</v>
      </c>
      <c r="AS1370" s="2">
        <v>0</v>
      </c>
      <c r="AT1370" s="2">
        <v>0</v>
      </c>
      <c r="BB1370" s="2" t="str">
        <f>+PROPER(BD[[#This Row],[PRIMER_APELLIDO]])</f>
        <v>Giusto</v>
      </c>
    </row>
    <row r="1371" spans="1:54" x14ac:dyDescent="0.25">
      <c r="A1371" s="2">
        <v>1370</v>
      </c>
      <c r="B1371" s="2">
        <v>20643</v>
      </c>
      <c r="C1371" s="5" t="s">
        <v>619</v>
      </c>
      <c r="D1371" s="2" t="s">
        <v>620</v>
      </c>
      <c r="E1371" s="6" t="s">
        <v>8526</v>
      </c>
      <c r="F1371" s="6">
        <v>12722264</v>
      </c>
      <c r="G1371" s="3">
        <v>41</v>
      </c>
      <c r="I1371" s="7"/>
      <c r="J1371" s="7"/>
      <c r="K1371" s="8">
        <v>41.632876712328766</v>
      </c>
      <c r="L1371" s="2" t="s">
        <v>8527</v>
      </c>
      <c r="M1371" s="2" t="s">
        <v>904</v>
      </c>
      <c r="N1371" s="2" t="s">
        <v>404</v>
      </c>
      <c r="O1371" s="2" t="s">
        <v>8528</v>
      </c>
      <c r="P1371" s="2" t="s">
        <v>649</v>
      </c>
      <c r="Q1371" s="2" t="s">
        <v>351</v>
      </c>
      <c r="R1371" s="9">
        <v>29600</v>
      </c>
      <c r="S1371" s="9">
        <v>29600</v>
      </c>
      <c r="T1371" s="2" t="s">
        <v>627</v>
      </c>
      <c r="U1371" s="2" t="s">
        <v>627</v>
      </c>
      <c r="V1371" s="2" t="s">
        <v>627</v>
      </c>
      <c r="W1371" s="2" t="s">
        <v>627</v>
      </c>
      <c r="X1371" s="2" t="s">
        <v>8529</v>
      </c>
      <c r="Y1371" s="2" t="s">
        <v>8530</v>
      </c>
      <c r="Z1371" s="6">
        <v>84322945</v>
      </c>
      <c r="AA1371" s="2">
        <v>84322945</v>
      </c>
      <c r="AB1371" s="2" t="s">
        <v>8531</v>
      </c>
      <c r="AC1371" s="2" t="s">
        <v>632</v>
      </c>
      <c r="AD1371" s="10">
        <v>84322945</v>
      </c>
      <c r="AE1371" s="11"/>
      <c r="AF1371" s="11">
        <v>84322945</v>
      </c>
      <c r="AG1371" s="11"/>
      <c r="AH1371" s="11"/>
      <c r="AI1371" s="11"/>
      <c r="AJ1371" s="11">
        <v>84322945</v>
      </c>
      <c r="AK1371" s="12">
        <v>2</v>
      </c>
      <c r="AL1371" s="12" t="s">
        <v>7377</v>
      </c>
      <c r="AM1371" s="2">
        <v>0</v>
      </c>
      <c r="AN1371" s="2">
        <v>0</v>
      </c>
      <c r="AO1371" s="2">
        <v>0</v>
      </c>
      <c r="AP1371" s="2">
        <v>1</v>
      </c>
      <c r="AQ1371" s="2">
        <v>0</v>
      </c>
      <c r="AR1371" s="2">
        <v>0</v>
      </c>
      <c r="AS1371" s="2">
        <v>0</v>
      </c>
      <c r="AT1371" s="2">
        <v>0</v>
      </c>
      <c r="AZ1371" s="2" t="s">
        <v>8532</v>
      </c>
      <c r="BA1371" s="2" t="s">
        <v>8533</v>
      </c>
      <c r="BB1371" s="2" t="str">
        <f>+PROPER(BD[[#This Row],[PRIMER_APELLIDO]])</f>
        <v>Lira</v>
      </c>
    </row>
    <row r="1372" spans="1:54" x14ac:dyDescent="0.25">
      <c r="A1372" s="2">
        <v>1371</v>
      </c>
      <c r="B1372" s="2">
        <v>32349</v>
      </c>
      <c r="C1372" s="5" t="s">
        <v>619</v>
      </c>
      <c r="D1372" s="2" t="s">
        <v>620</v>
      </c>
      <c r="E1372" s="6" t="s">
        <v>8534</v>
      </c>
      <c r="F1372" s="6">
        <v>12657647</v>
      </c>
      <c r="G1372" s="3">
        <v>41</v>
      </c>
      <c r="I1372" s="7"/>
      <c r="J1372" s="7"/>
      <c r="K1372" s="8">
        <v>41.632876712328766</v>
      </c>
      <c r="L1372" s="2" t="s">
        <v>8535</v>
      </c>
      <c r="M1372" s="2" t="s">
        <v>8536</v>
      </c>
      <c r="N1372" s="2" t="s">
        <v>84</v>
      </c>
      <c r="O1372" s="2" t="s">
        <v>10</v>
      </c>
      <c r="P1372" s="2" t="s">
        <v>649</v>
      </c>
      <c r="Q1372" s="2" t="s">
        <v>351</v>
      </c>
      <c r="R1372" s="9">
        <v>29600</v>
      </c>
      <c r="S1372" s="9">
        <v>29600</v>
      </c>
      <c r="T1372" s="2" t="s">
        <v>732</v>
      </c>
      <c r="U1372" s="2" t="s">
        <v>732</v>
      </c>
      <c r="V1372" s="2" t="s">
        <v>962</v>
      </c>
      <c r="W1372" s="2" t="s">
        <v>848</v>
      </c>
      <c r="X1372" s="2" t="s">
        <v>8537</v>
      </c>
      <c r="Y1372" s="2" t="s">
        <v>8538</v>
      </c>
      <c r="Z1372" s="6">
        <v>87878851</v>
      </c>
      <c r="AA1372" s="2" t="s">
        <v>8539</v>
      </c>
      <c r="AB1372" s="2" t="s">
        <v>654</v>
      </c>
      <c r="AC1372" s="2" t="s">
        <v>632</v>
      </c>
      <c r="AD1372" s="10">
        <v>87878851</v>
      </c>
      <c r="AE1372" s="11"/>
      <c r="AF1372" s="11">
        <v>82088841</v>
      </c>
      <c r="AG1372" s="11">
        <v>89690575</v>
      </c>
      <c r="AH1372" s="11">
        <v>89151115</v>
      </c>
      <c r="AI1372" s="11"/>
      <c r="AJ1372" s="11">
        <v>87878851</v>
      </c>
      <c r="AK1372" s="12">
        <v>4</v>
      </c>
      <c r="AL1372" s="12" t="s">
        <v>7377</v>
      </c>
      <c r="AM1372" s="2">
        <v>0</v>
      </c>
      <c r="AN1372" s="2">
        <v>0</v>
      </c>
      <c r="AO1372" s="2">
        <v>0</v>
      </c>
      <c r="AP1372" s="2">
        <v>1</v>
      </c>
      <c r="AQ1372" s="2">
        <v>0</v>
      </c>
      <c r="AR1372" s="2">
        <v>0</v>
      </c>
      <c r="AS1372" s="2">
        <v>0</v>
      </c>
      <c r="AT1372" s="2">
        <v>0</v>
      </c>
      <c r="AZ1372" s="2" t="s">
        <v>8540</v>
      </c>
      <c r="BB1372" s="2" t="str">
        <f>+PROPER(BD[[#This Row],[PRIMER_APELLIDO]])</f>
        <v>Ruiz</v>
      </c>
    </row>
    <row r="1373" spans="1:54" x14ac:dyDescent="0.25">
      <c r="A1373" s="2">
        <v>1372</v>
      </c>
      <c r="B1373" s="2">
        <v>24816</v>
      </c>
      <c r="C1373" s="5" t="s">
        <v>619</v>
      </c>
      <c r="D1373" s="2" t="s">
        <v>620</v>
      </c>
      <c r="E1373" s="6" t="s">
        <v>8541</v>
      </c>
      <c r="F1373" s="6">
        <v>20657640</v>
      </c>
      <c r="G1373" s="3">
        <v>41</v>
      </c>
      <c r="I1373" s="7"/>
      <c r="J1373" s="7"/>
      <c r="K1373" s="8">
        <v>41.657534246575345</v>
      </c>
      <c r="L1373" s="2" t="s">
        <v>2305</v>
      </c>
      <c r="M1373" s="2" t="s">
        <v>3022</v>
      </c>
      <c r="N1373" s="2" t="s">
        <v>427</v>
      </c>
      <c r="O1373" s="2" t="s">
        <v>5143</v>
      </c>
      <c r="P1373" s="2" t="s">
        <v>626</v>
      </c>
      <c r="Q1373" s="2" t="s">
        <v>351</v>
      </c>
      <c r="R1373" s="9">
        <v>29591</v>
      </c>
      <c r="S1373" s="9">
        <v>29591</v>
      </c>
      <c r="U1373" s="2" t="s">
        <v>627</v>
      </c>
      <c r="W1373" s="2" t="s">
        <v>627</v>
      </c>
      <c r="Y1373" s="2" t="s">
        <v>8542</v>
      </c>
      <c r="Z1373" s="6"/>
      <c r="AA1373" s="2" t="s">
        <v>8543</v>
      </c>
      <c r="AB1373" s="2" t="s">
        <v>654</v>
      </c>
      <c r="AC1373" s="2" t="s">
        <v>632</v>
      </c>
      <c r="AD1373" s="10"/>
      <c r="AE1373" s="11"/>
      <c r="AF1373" s="11"/>
      <c r="AG1373" s="11">
        <v>86849405</v>
      </c>
      <c r="AH1373" s="11"/>
      <c r="AI1373" s="11"/>
      <c r="AJ1373" s="11">
        <v>86849405</v>
      </c>
      <c r="AK1373" s="12">
        <v>2</v>
      </c>
      <c r="AL1373" s="12" t="s">
        <v>7377</v>
      </c>
      <c r="AM1373" s="2">
        <v>0</v>
      </c>
      <c r="AN1373" s="2">
        <v>0</v>
      </c>
      <c r="AO1373" s="2">
        <v>0</v>
      </c>
      <c r="AP1373" s="2">
        <v>1</v>
      </c>
      <c r="AQ1373" s="2">
        <v>0</v>
      </c>
      <c r="AR1373" s="2">
        <v>0</v>
      </c>
      <c r="AS1373" s="2">
        <v>0</v>
      </c>
      <c r="AT1373" s="2">
        <v>0</v>
      </c>
      <c r="BB1373" s="2" t="str">
        <f>+PROPER(BD[[#This Row],[PRIMER_APELLIDO]])</f>
        <v>Mairena</v>
      </c>
    </row>
    <row r="1374" spans="1:54" x14ac:dyDescent="0.25">
      <c r="A1374" s="2">
        <v>1373</v>
      </c>
      <c r="B1374" s="2">
        <v>24219</v>
      </c>
      <c r="C1374" s="5" t="s">
        <v>619</v>
      </c>
      <c r="D1374" s="2" t="s">
        <v>620</v>
      </c>
      <c r="E1374" s="6" t="s">
        <v>8544</v>
      </c>
      <c r="F1374" s="6">
        <v>24285014</v>
      </c>
      <c r="G1374" s="3">
        <v>41</v>
      </c>
      <c r="I1374" s="7"/>
      <c r="J1374" s="7"/>
      <c r="K1374" s="8">
        <v>41.668493150684931</v>
      </c>
      <c r="L1374" s="2" t="s">
        <v>4632</v>
      </c>
      <c r="M1374" s="2" t="s">
        <v>3476</v>
      </c>
      <c r="N1374" s="2" t="s">
        <v>113</v>
      </c>
      <c r="O1374" s="2" t="s">
        <v>8545</v>
      </c>
      <c r="P1374" s="2" t="s">
        <v>626</v>
      </c>
      <c r="Q1374" s="2" t="s">
        <v>351</v>
      </c>
      <c r="R1374" s="9">
        <v>29587</v>
      </c>
      <c r="S1374" s="9">
        <v>29587</v>
      </c>
      <c r="T1374" s="2" t="s">
        <v>705</v>
      </c>
      <c r="U1374" s="2" t="s">
        <v>705</v>
      </c>
      <c r="V1374" s="2" t="s">
        <v>1014</v>
      </c>
      <c r="W1374" s="2" t="s">
        <v>1014</v>
      </c>
      <c r="X1374" s="2" t="s">
        <v>8546</v>
      </c>
      <c r="Y1374" s="2" t="s">
        <v>8547</v>
      </c>
      <c r="Z1374" s="6"/>
      <c r="AA1374" s="2" t="s">
        <v>8548</v>
      </c>
      <c r="AB1374" s="2" t="s">
        <v>642</v>
      </c>
      <c r="AC1374" s="2" t="s">
        <v>632</v>
      </c>
      <c r="AD1374" s="10"/>
      <c r="AE1374" s="11"/>
      <c r="AF1374" s="11"/>
      <c r="AG1374" s="11">
        <v>58782468</v>
      </c>
      <c r="AH1374" s="11"/>
      <c r="AI1374" s="11"/>
      <c r="AJ1374" s="11">
        <v>58782468</v>
      </c>
      <c r="AK1374" s="12">
        <v>2</v>
      </c>
      <c r="AL1374" s="12" t="s">
        <v>7377</v>
      </c>
      <c r="AM1374" s="2">
        <v>0</v>
      </c>
      <c r="AN1374" s="2">
        <v>0</v>
      </c>
      <c r="AO1374" s="2">
        <v>0</v>
      </c>
      <c r="AP1374" s="2">
        <v>1</v>
      </c>
      <c r="AQ1374" s="2">
        <v>0</v>
      </c>
      <c r="AR1374" s="2">
        <v>0</v>
      </c>
      <c r="AS1374" s="2">
        <v>0</v>
      </c>
      <c r="AT1374" s="2">
        <v>0</v>
      </c>
      <c r="BB1374" s="2" t="str">
        <f>+PROPER(BD[[#This Row],[PRIMER_APELLIDO]])</f>
        <v>Silva</v>
      </c>
    </row>
    <row r="1375" spans="1:54" x14ac:dyDescent="0.25">
      <c r="A1375" s="2">
        <v>1374</v>
      </c>
      <c r="B1375" s="2">
        <v>24684</v>
      </c>
      <c r="C1375" s="5" t="s">
        <v>619</v>
      </c>
      <c r="D1375" s="2" t="s">
        <v>620</v>
      </c>
      <c r="E1375" s="6" t="s">
        <v>8549</v>
      </c>
      <c r="F1375" s="6">
        <v>19348832</v>
      </c>
      <c r="G1375" s="3">
        <v>41</v>
      </c>
      <c r="I1375" s="7"/>
      <c r="J1375" s="7"/>
      <c r="K1375" s="8">
        <v>41.668493150684931</v>
      </c>
      <c r="L1375" s="2" t="s">
        <v>2099</v>
      </c>
      <c r="M1375" s="2" t="s">
        <v>8550</v>
      </c>
      <c r="N1375" s="2" t="s">
        <v>185</v>
      </c>
      <c r="O1375" s="2" t="s">
        <v>14</v>
      </c>
      <c r="P1375" s="2" t="s">
        <v>626</v>
      </c>
      <c r="Q1375" s="2" t="s">
        <v>351</v>
      </c>
      <c r="R1375" s="9">
        <v>29587</v>
      </c>
      <c r="S1375" s="9">
        <v>29587</v>
      </c>
      <c r="T1375" s="2" t="s">
        <v>444</v>
      </c>
      <c r="U1375" s="2" t="s">
        <v>444</v>
      </c>
      <c r="V1375" s="2" t="s">
        <v>764</v>
      </c>
      <c r="W1375" s="2" t="s">
        <v>764</v>
      </c>
      <c r="X1375" s="2" t="s">
        <v>8551</v>
      </c>
      <c r="Y1375" s="2" t="s">
        <v>8552</v>
      </c>
      <c r="Z1375" s="6">
        <v>89271445</v>
      </c>
      <c r="AA1375" s="2">
        <v>86037660</v>
      </c>
      <c r="AB1375" s="2" t="s">
        <v>642</v>
      </c>
      <c r="AC1375" s="2" t="s">
        <v>632</v>
      </c>
      <c r="AD1375" s="10">
        <v>89271445</v>
      </c>
      <c r="AE1375" s="11"/>
      <c r="AF1375" s="11">
        <v>86037660</v>
      </c>
      <c r="AG1375" s="11"/>
      <c r="AH1375" s="11"/>
      <c r="AI1375" s="11"/>
      <c r="AJ1375" s="11">
        <v>89271445</v>
      </c>
      <c r="AK1375" s="12">
        <v>2</v>
      </c>
      <c r="AL1375" s="12" t="s">
        <v>7377</v>
      </c>
      <c r="AM1375" s="2">
        <v>0</v>
      </c>
      <c r="AN1375" s="2">
        <v>0</v>
      </c>
      <c r="AO1375" s="2">
        <v>0</v>
      </c>
      <c r="AP1375" s="2">
        <v>1</v>
      </c>
      <c r="AQ1375" s="2">
        <v>0</v>
      </c>
      <c r="AR1375" s="2">
        <v>0</v>
      </c>
      <c r="AS1375" s="2">
        <v>0</v>
      </c>
      <c r="AT1375" s="2">
        <v>0</v>
      </c>
      <c r="BB1375" s="2" t="str">
        <f>+PROPER(BD[[#This Row],[PRIMER_APELLIDO]])</f>
        <v>Rodriguez</v>
      </c>
    </row>
    <row r="1376" spans="1:54" x14ac:dyDescent="0.25">
      <c r="A1376" s="2">
        <v>1375</v>
      </c>
      <c r="B1376" s="2">
        <v>32969</v>
      </c>
      <c r="C1376" s="5" t="s">
        <v>619</v>
      </c>
      <c r="D1376" s="2" t="s">
        <v>620</v>
      </c>
      <c r="E1376" s="6" t="s">
        <v>8553</v>
      </c>
      <c r="F1376" s="6">
        <v>21668281</v>
      </c>
      <c r="G1376" s="3">
        <v>42</v>
      </c>
      <c r="I1376" s="7"/>
      <c r="J1376" s="7"/>
      <c r="K1376" s="8">
        <v>41.673972602739724</v>
      </c>
      <c r="L1376" s="2" t="s">
        <v>7259</v>
      </c>
      <c r="M1376" s="2" t="s">
        <v>5455</v>
      </c>
      <c r="N1376" s="2" t="s">
        <v>461</v>
      </c>
      <c r="O1376" s="2" t="s">
        <v>91</v>
      </c>
      <c r="P1376" s="2" t="s">
        <v>626</v>
      </c>
      <c r="Q1376" s="2" t="s">
        <v>351</v>
      </c>
      <c r="R1376" s="9">
        <v>29585</v>
      </c>
      <c r="S1376" s="9">
        <v>29585</v>
      </c>
      <c r="T1376" s="2" t="s">
        <v>669</v>
      </c>
      <c r="U1376" s="2" t="s">
        <v>669</v>
      </c>
      <c r="V1376" s="2" t="s">
        <v>669</v>
      </c>
      <c r="W1376" s="2" t="s">
        <v>669</v>
      </c>
      <c r="X1376" s="2" t="s">
        <v>8554</v>
      </c>
      <c r="Y1376" s="2" t="s">
        <v>8555</v>
      </c>
      <c r="Z1376" s="6">
        <v>86201975</v>
      </c>
      <c r="AA1376" s="2">
        <v>86201975</v>
      </c>
      <c r="AB1376" s="2" t="s">
        <v>631</v>
      </c>
      <c r="AC1376" s="2" t="s">
        <v>632</v>
      </c>
      <c r="AD1376" s="10">
        <v>86201975</v>
      </c>
      <c r="AE1376" s="11"/>
      <c r="AF1376" s="11">
        <v>86201975</v>
      </c>
      <c r="AG1376" s="11"/>
      <c r="AH1376" s="11"/>
      <c r="AI1376" s="11"/>
      <c r="AJ1376" s="11">
        <v>86201975</v>
      </c>
      <c r="AK1376" s="12">
        <v>2</v>
      </c>
      <c r="AL1376" s="12" t="s">
        <v>7377</v>
      </c>
      <c r="AM1376" s="2">
        <v>0</v>
      </c>
      <c r="AN1376" s="2">
        <v>0</v>
      </c>
      <c r="AO1376" s="2">
        <v>0</v>
      </c>
      <c r="AP1376" s="2">
        <v>1</v>
      </c>
      <c r="AQ1376" s="2">
        <v>0</v>
      </c>
      <c r="AR1376" s="2">
        <v>0</v>
      </c>
      <c r="AS1376" s="2">
        <v>0</v>
      </c>
      <c r="AT1376" s="2">
        <v>0</v>
      </c>
      <c r="BB1376" s="2" t="str">
        <f>+PROPER(BD[[#This Row],[PRIMER_APELLIDO]])</f>
        <v>Corrales</v>
      </c>
    </row>
    <row r="1377" spans="1:54" x14ac:dyDescent="0.25">
      <c r="A1377" s="2">
        <v>1376</v>
      </c>
      <c r="B1377" s="2">
        <v>24379</v>
      </c>
      <c r="C1377" s="5" t="s">
        <v>619</v>
      </c>
      <c r="D1377" s="2" t="s">
        <v>620</v>
      </c>
      <c r="E1377" s="6" t="s">
        <v>8556</v>
      </c>
      <c r="F1377" s="6">
        <v>12287107</v>
      </c>
      <c r="G1377" s="3">
        <v>42</v>
      </c>
      <c r="I1377" s="7"/>
      <c r="J1377" s="7"/>
      <c r="K1377" s="8">
        <v>41.682191780821917</v>
      </c>
      <c r="L1377" s="2" t="s">
        <v>860</v>
      </c>
      <c r="M1377" s="2" t="s">
        <v>937</v>
      </c>
      <c r="N1377" s="2" t="s">
        <v>14</v>
      </c>
      <c r="O1377" s="2" t="s">
        <v>194</v>
      </c>
      <c r="P1377" s="2" t="s">
        <v>626</v>
      </c>
      <c r="Q1377" s="2" t="s">
        <v>351</v>
      </c>
      <c r="R1377" s="9">
        <v>29582</v>
      </c>
      <c r="S1377" s="9">
        <v>29582</v>
      </c>
      <c r="U1377" s="2" t="s">
        <v>627</v>
      </c>
      <c r="W1377" s="2" t="s">
        <v>627</v>
      </c>
      <c r="Y1377" s="2" t="s">
        <v>8557</v>
      </c>
      <c r="Z1377" s="6"/>
      <c r="AA1377" s="2" t="s">
        <v>8558</v>
      </c>
      <c r="AB1377" s="2" t="s">
        <v>654</v>
      </c>
      <c r="AC1377" s="2" t="s">
        <v>632</v>
      </c>
      <c r="AD1377" s="10"/>
      <c r="AE1377" s="11"/>
      <c r="AF1377" s="11"/>
      <c r="AG1377" s="11"/>
      <c r="AH1377" s="11"/>
      <c r="AI1377" s="11"/>
      <c r="AJ1377" s="11"/>
      <c r="AK1377" s="12">
        <v>2</v>
      </c>
      <c r="AL1377" s="12" t="s">
        <v>7377</v>
      </c>
      <c r="AM1377" s="2">
        <v>0</v>
      </c>
      <c r="AN1377" s="2">
        <v>0</v>
      </c>
      <c r="AO1377" s="2">
        <v>0</v>
      </c>
      <c r="AP1377" s="2">
        <v>1</v>
      </c>
      <c r="AQ1377" s="2">
        <v>0</v>
      </c>
      <c r="AR1377" s="2">
        <v>0</v>
      </c>
      <c r="AS1377" s="2">
        <v>0</v>
      </c>
      <c r="AT1377" s="2">
        <v>0</v>
      </c>
      <c r="BB1377" s="2" t="str">
        <f>+PROPER(BD[[#This Row],[PRIMER_APELLIDO]])</f>
        <v>Gonzalez</v>
      </c>
    </row>
    <row r="1378" spans="1:54" x14ac:dyDescent="0.25">
      <c r="A1378" s="2">
        <v>1377</v>
      </c>
      <c r="B1378" s="2">
        <v>36762</v>
      </c>
      <c r="C1378" s="5" t="s">
        <v>619</v>
      </c>
      <c r="D1378" s="2" t="s">
        <v>620</v>
      </c>
      <c r="E1378" s="6" t="s">
        <v>8559</v>
      </c>
      <c r="F1378" s="6">
        <v>21744442</v>
      </c>
      <c r="G1378" s="3">
        <v>42</v>
      </c>
      <c r="I1378" s="7"/>
      <c r="J1378" s="7"/>
      <c r="K1378" s="8">
        <v>41.68767123287671</v>
      </c>
      <c r="L1378" s="2" t="s">
        <v>8560</v>
      </c>
      <c r="M1378" s="2" t="s">
        <v>8561</v>
      </c>
      <c r="N1378" s="2" t="s">
        <v>44</v>
      </c>
      <c r="P1378" s="2" t="s">
        <v>626</v>
      </c>
      <c r="Q1378" s="2" t="s">
        <v>351</v>
      </c>
      <c r="R1378" s="9">
        <v>29580</v>
      </c>
      <c r="S1378" s="9">
        <v>29580</v>
      </c>
      <c r="T1378" s="2" t="s">
        <v>1104</v>
      </c>
      <c r="U1378" s="2" t="s">
        <v>1104</v>
      </c>
      <c r="V1378" s="2" t="s">
        <v>1104</v>
      </c>
      <c r="W1378" s="2" t="s">
        <v>1104</v>
      </c>
      <c r="X1378" s="2" t="s">
        <v>8562</v>
      </c>
      <c r="Y1378" s="2" t="s">
        <v>8563</v>
      </c>
      <c r="Z1378" s="6">
        <v>89425097</v>
      </c>
      <c r="AA1378" s="2">
        <v>89425097</v>
      </c>
      <c r="AB1378" s="2" t="s">
        <v>654</v>
      </c>
      <c r="AC1378" s="2" t="s">
        <v>632</v>
      </c>
      <c r="AD1378" s="10">
        <v>89425097</v>
      </c>
      <c r="AE1378" s="11"/>
      <c r="AF1378" s="11">
        <v>89425097</v>
      </c>
      <c r="AG1378" s="11"/>
      <c r="AH1378" s="11"/>
      <c r="AI1378" s="11"/>
      <c r="AJ1378" s="11">
        <v>89425097</v>
      </c>
      <c r="AK1378" s="12">
        <v>2</v>
      </c>
      <c r="AL1378" s="12" t="s">
        <v>7377</v>
      </c>
      <c r="AM1378" s="2">
        <v>0</v>
      </c>
      <c r="AN1378" s="2">
        <v>0</v>
      </c>
      <c r="AO1378" s="2">
        <v>0</v>
      </c>
      <c r="AP1378" s="2">
        <v>1</v>
      </c>
      <c r="AQ1378" s="2">
        <v>0</v>
      </c>
      <c r="AR1378" s="2">
        <v>0</v>
      </c>
      <c r="AS1378" s="2">
        <v>0</v>
      </c>
      <c r="AT1378" s="2">
        <v>0</v>
      </c>
      <c r="AZ1378" s="2" t="s">
        <v>8564</v>
      </c>
      <c r="BB1378" s="2" t="str">
        <f>+PROPER(BD[[#This Row],[PRIMER_APELLIDO]])</f>
        <v>Martinez</v>
      </c>
    </row>
    <row r="1379" spans="1:54" x14ac:dyDescent="0.25">
      <c r="A1379" s="2">
        <v>1378</v>
      </c>
      <c r="B1379" s="2">
        <v>33878</v>
      </c>
      <c r="C1379" s="5" t="s">
        <v>619</v>
      </c>
      <c r="D1379" s="2" t="s">
        <v>620</v>
      </c>
      <c r="E1379" s="6" t="s">
        <v>8565</v>
      </c>
      <c r="F1379" s="6">
        <v>23349827</v>
      </c>
      <c r="G1379" s="3">
        <v>42</v>
      </c>
      <c r="I1379" s="7"/>
      <c r="J1379" s="7"/>
      <c r="K1379" s="8">
        <v>41.69041095890411</v>
      </c>
      <c r="L1379" s="2" t="s">
        <v>648</v>
      </c>
      <c r="M1379" s="2" t="s">
        <v>2551</v>
      </c>
      <c r="N1379" s="2" t="s">
        <v>287</v>
      </c>
      <c r="O1379" s="2" t="s">
        <v>74</v>
      </c>
      <c r="P1379" s="2" t="s">
        <v>649</v>
      </c>
      <c r="Q1379" s="2" t="s">
        <v>351</v>
      </c>
      <c r="R1379" s="9">
        <v>29579</v>
      </c>
      <c r="S1379" s="9">
        <v>29579</v>
      </c>
      <c r="T1379" s="2" t="s">
        <v>176</v>
      </c>
      <c r="U1379" s="2" t="s">
        <v>1104</v>
      </c>
      <c r="V1379" s="2" t="s">
        <v>650</v>
      </c>
      <c r="W1379" s="2" t="s">
        <v>1104</v>
      </c>
      <c r="X1379" s="2" t="s">
        <v>8566</v>
      </c>
      <c r="Y1379" s="2" t="s">
        <v>8567</v>
      </c>
      <c r="Z1379" s="6"/>
      <c r="AA1379" s="2">
        <v>83362004</v>
      </c>
      <c r="AB1379" s="2" t="s">
        <v>654</v>
      </c>
      <c r="AC1379" s="2" t="s">
        <v>632</v>
      </c>
      <c r="AD1379" s="10"/>
      <c r="AE1379" s="11"/>
      <c r="AF1379" s="11">
        <v>83362004</v>
      </c>
      <c r="AG1379" s="11"/>
      <c r="AH1379" s="11"/>
      <c r="AI1379" s="11"/>
      <c r="AJ1379" s="11">
        <v>83362004</v>
      </c>
      <c r="AK1379" s="12">
        <v>1</v>
      </c>
      <c r="AL1379" s="12" t="s">
        <v>7377</v>
      </c>
      <c r="AM1379" s="2">
        <v>0</v>
      </c>
      <c r="AN1379" s="2">
        <v>0</v>
      </c>
      <c r="AO1379" s="2">
        <v>0</v>
      </c>
      <c r="AP1379" s="2">
        <v>1</v>
      </c>
      <c r="AQ1379" s="2">
        <v>0</v>
      </c>
      <c r="AR1379" s="2">
        <v>0</v>
      </c>
      <c r="AS1379" s="2">
        <v>0</v>
      </c>
      <c r="AT1379" s="2">
        <v>0</v>
      </c>
      <c r="BA1379" s="2" t="s">
        <v>8568</v>
      </c>
      <c r="BB1379" s="2" t="str">
        <f>+PROPER(BD[[#This Row],[PRIMER_APELLIDO]])</f>
        <v>Bravo</v>
      </c>
    </row>
    <row r="1380" spans="1:54" x14ac:dyDescent="0.25">
      <c r="A1380" s="2">
        <v>1379</v>
      </c>
      <c r="B1380" s="2">
        <v>24268</v>
      </c>
      <c r="C1380" s="5" t="s">
        <v>619</v>
      </c>
      <c r="D1380" s="2" t="s">
        <v>620</v>
      </c>
      <c r="E1380" s="6" t="s">
        <v>8569</v>
      </c>
      <c r="F1380" s="6">
        <v>13649087</v>
      </c>
      <c r="G1380" s="3">
        <v>42</v>
      </c>
      <c r="I1380" s="7"/>
      <c r="J1380" s="7"/>
      <c r="K1380" s="8">
        <v>41.704109589041096</v>
      </c>
      <c r="L1380" s="2" t="s">
        <v>243</v>
      </c>
      <c r="M1380" s="2" t="s">
        <v>3218</v>
      </c>
      <c r="N1380" s="2" t="s">
        <v>521</v>
      </c>
      <c r="O1380" s="2" t="s">
        <v>290</v>
      </c>
      <c r="P1380" s="2" t="s">
        <v>649</v>
      </c>
      <c r="Q1380" s="2" t="s">
        <v>351</v>
      </c>
      <c r="R1380" s="9">
        <v>29574</v>
      </c>
      <c r="S1380" s="9">
        <v>29574</v>
      </c>
      <c r="U1380" s="2" t="s">
        <v>1104</v>
      </c>
      <c r="W1380" s="2" t="s">
        <v>1104</v>
      </c>
      <c r="Y1380" s="2" t="s">
        <v>8570</v>
      </c>
      <c r="Z1380" s="6"/>
      <c r="AA1380" s="2" t="s">
        <v>8571</v>
      </c>
      <c r="AB1380" s="2" t="s">
        <v>654</v>
      </c>
      <c r="AC1380" s="2" t="s">
        <v>632</v>
      </c>
      <c r="AD1380" s="10"/>
      <c r="AE1380" s="11"/>
      <c r="AF1380" s="11"/>
      <c r="AG1380" s="11">
        <v>85411528</v>
      </c>
      <c r="AH1380" s="11"/>
      <c r="AI1380" s="11"/>
      <c r="AJ1380" s="11">
        <v>85411528</v>
      </c>
      <c r="AK1380" s="12">
        <v>2</v>
      </c>
      <c r="AL1380" s="12" t="s">
        <v>7377</v>
      </c>
      <c r="AM1380" s="2">
        <v>0</v>
      </c>
      <c r="AN1380" s="2">
        <v>0</v>
      </c>
      <c r="AO1380" s="2">
        <v>0</v>
      </c>
      <c r="AP1380" s="2">
        <v>1</v>
      </c>
      <c r="AQ1380" s="2">
        <v>0</v>
      </c>
      <c r="AR1380" s="2">
        <v>0</v>
      </c>
      <c r="AS1380" s="2">
        <v>0</v>
      </c>
      <c r="AT1380" s="2">
        <v>0</v>
      </c>
      <c r="BA1380" s="2" t="s">
        <v>8572</v>
      </c>
      <c r="BB1380" s="2" t="str">
        <f>+PROPER(BD[[#This Row],[PRIMER_APELLIDO]])</f>
        <v>Franco</v>
      </c>
    </row>
    <row r="1381" spans="1:54" x14ac:dyDescent="0.25">
      <c r="A1381" s="2">
        <v>1380</v>
      </c>
      <c r="B1381" s="2">
        <v>33645</v>
      </c>
      <c r="C1381" s="5" t="s">
        <v>619</v>
      </c>
      <c r="D1381" s="2" t="s">
        <v>620</v>
      </c>
      <c r="E1381" s="6" t="s">
        <v>8573</v>
      </c>
      <c r="F1381" s="6">
        <v>21711367</v>
      </c>
      <c r="G1381" s="3">
        <v>42</v>
      </c>
      <c r="I1381" s="7"/>
      <c r="J1381" s="7"/>
      <c r="K1381" s="8">
        <v>41.706849315068496</v>
      </c>
      <c r="L1381" s="2" t="s">
        <v>1737</v>
      </c>
      <c r="M1381" s="2" t="s">
        <v>961</v>
      </c>
      <c r="N1381" s="2" t="s">
        <v>10</v>
      </c>
      <c r="O1381" s="2" t="s">
        <v>467</v>
      </c>
      <c r="P1381" s="2" t="s">
        <v>626</v>
      </c>
      <c r="Q1381" s="2" t="s">
        <v>351</v>
      </c>
      <c r="R1381" s="9">
        <v>29573</v>
      </c>
      <c r="S1381" s="9">
        <v>29573</v>
      </c>
      <c r="T1381" s="2" t="s">
        <v>133</v>
      </c>
      <c r="U1381" s="2" t="s">
        <v>133</v>
      </c>
      <c r="V1381" s="2" t="s">
        <v>869</v>
      </c>
      <c r="W1381" s="2" t="s">
        <v>869</v>
      </c>
      <c r="X1381" s="2" t="s">
        <v>8574</v>
      </c>
      <c r="Y1381" s="2" t="s">
        <v>8575</v>
      </c>
      <c r="Z1381" s="6"/>
      <c r="AA1381" s="2">
        <v>89484911</v>
      </c>
      <c r="AB1381" s="2" t="s">
        <v>654</v>
      </c>
      <c r="AC1381" s="2" t="s">
        <v>632</v>
      </c>
      <c r="AD1381" s="10"/>
      <c r="AE1381" s="11"/>
      <c r="AF1381" s="11">
        <v>89484911</v>
      </c>
      <c r="AG1381" s="11"/>
      <c r="AH1381" s="11"/>
      <c r="AI1381" s="11"/>
      <c r="AJ1381" s="11">
        <v>89484911</v>
      </c>
      <c r="AK1381" s="12">
        <v>1</v>
      </c>
      <c r="AL1381" s="12" t="s">
        <v>7377</v>
      </c>
      <c r="AM1381" s="2">
        <v>0</v>
      </c>
      <c r="AN1381" s="2">
        <v>0</v>
      </c>
      <c r="AO1381" s="2">
        <v>0</v>
      </c>
      <c r="AP1381" s="2">
        <v>1</v>
      </c>
      <c r="AQ1381" s="2">
        <v>0</v>
      </c>
      <c r="AR1381" s="2">
        <v>0</v>
      </c>
      <c r="AS1381" s="2">
        <v>0</v>
      </c>
      <c r="AT1381" s="2">
        <v>0</v>
      </c>
      <c r="BB1381" s="2" t="str">
        <f>+PROPER(BD[[#This Row],[PRIMER_APELLIDO]])</f>
        <v>Garcia</v>
      </c>
    </row>
    <row r="1382" spans="1:54" x14ac:dyDescent="0.25">
      <c r="A1382" s="2">
        <v>1381</v>
      </c>
      <c r="B1382" s="2">
        <v>35798</v>
      </c>
      <c r="C1382" s="5" t="s">
        <v>619</v>
      </c>
      <c r="D1382" s="2" t="s">
        <v>620</v>
      </c>
      <c r="E1382" s="6" t="s">
        <v>8576</v>
      </c>
      <c r="F1382" s="6">
        <v>21669413</v>
      </c>
      <c r="G1382" s="3">
        <v>42</v>
      </c>
      <c r="I1382" s="7"/>
      <c r="J1382" s="7"/>
      <c r="K1382" s="8">
        <v>41.709589041095889</v>
      </c>
      <c r="L1382" s="2" t="s">
        <v>8577</v>
      </c>
      <c r="M1382" s="2" t="s">
        <v>4438</v>
      </c>
      <c r="N1382" s="2" t="s">
        <v>11</v>
      </c>
      <c r="O1382" s="2" t="s">
        <v>317</v>
      </c>
      <c r="P1382" s="2" t="s">
        <v>626</v>
      </c>
      <c r="Q1382" s="2" t="s">
        <v>351</v>
      </c>
      <c r="R1382" s="9">
        <v>29572</v>
      </c>
      <c r="S1382" s="9">
        <v>29572</v>
      </c>
      <c r="T1382" s="2" t="s">
        <v>176</v>
      </c>
      <c r="U1382" s="2" t="s">
        <v>176</v>
      </c>
      <c r="V1382" s="2" t="s">
        <v>650</v>
      </c>
      <c r="W1382" s="2" t="s">
        <v>176</v>
      </c>
      <c r="X1382" s="2" t="s">
        <v>8578</v>
      </c>
      <c r="Y1382" s="2" t="s">
        <v>8579</v>
      </c>
      <c r="Z1382" s="6"/>
      <c r="AA1382" s="2">
        <v>78714711</v>
      </c>
      <c r="AB1382" s="2" t="s">
        <v>654</v>
      </c>
      <c r="AC1382" s="2" t="s">
        <v>632</v>
      </c>
      <c r="AD1382" s="10"/>
      <c r="AE1382" s="11"/>
      <c r="AF1382" s="11">
        <v>78714711</v>
      </c>
      <c r="AG1382" s="11"/>
      <c r="AH1382" s="11"/>
      <c r="AI1382" s="11"/>
      <c r="AJ1382" s="11">
        <v>78714711</v>
      </c>
      <c r="AK1382" s="12">
        <v>1</v>
      </c>
      <c r="AL1382" s="12" t="s">
        <v>7377</v>
      </c>
      <c r="AM1382" s="2">
        <v>0</v>
      </c>
      <c r="AN1382" s="2">
        <v>0</v>
      </c>
      <c r="AO1382" s="2">
        <v>0</v>
      </c>
      <c r="AP1382" s="2">
        <v>1</v>
      </c>
      <c r="AQ1382" s="2">
        <v>0</v>
      </c>
      <c r="AR1382" s="2">
        <v>0</v>
      </c>
      <c r="AS1382" s="2">
        <v>0</v>
      </c>
      <c r="AT1382" s="2">
        <v>0</v>
      </c>
      <c r="BB1382" s="2" t="str">
        <f>+PROPER(BD[[#This Row],[PRIMER_APELLIDO]])</f>
        <v>Hernandez</v>
      </c>
    </row>
    <row r="1383" spans="1:54" x14ac:dyDescent="0.25">
      <c r="A1383" s="2">
        <v>1382</v>
      </c>
      <c r="B1383" s="2">
        <v>39245</v>
      </c>
      <c r="C1383" s="5" t="s">
        <v>619</v>
      </c>
      <c r="D1383" s="2" t="s">
        <v>620</v>
      </c>
      <c r="E1383" s="6" t="s">
        <v>8580</v>
      </c>
      <c r="F1383" s="6">
        <v>22157580</v>
      </c>
      <c r="G1383" s="3">
        <v>42</v>
      </c>
      <c r="I1383" s="7"/>
      <c r="J1383" s="7"/>
      <c r="K1383" s="8">
        <v>41.715068493150682</v>
      </c>
      <c r="L1383" s="2" t="s">
        <v>5091</v>
      </c>
      <c r="M1383" s="2" t="s">
        <v>916</v>
      </c>
      <c r="N1383" s="2" t="s">
        <v>126</v>
      </c>
      <c r="O1383" s="2" t="s">
        <v>130</v>
      </c>
      <c r="P1383" s="2" t="s">
        <v>649</v>
      </c>
      <c r="Q1383" s="2" t="s">
        <v>351</v>
      </c>
      <c r="R1383" s="9">
        <v>29570</v>
      </c>
      <c r="S1383" s="9">
        <v>29570</v>
      </c>
      <c r="T1383" s="2" t="s">
        <v>1191</v>
      </c>
      <c r="U1383" s="2" t="s">
        <v>1191</v>
      </c>
      <c r="V1383" s="2" t="s">
        <v>1300</v>
      </c>
      <c r="W1383" s="2" t="s">
        <v>1300</v>
      </c>
      <c r="X1383" s="2" t="s">
        <v>8581</v>
      </c>
      <c r="Y1383" s="2" t="s">
        <v>8582</v>
      </c>
      <c r="Z1383" s="6">
        <v>58691282</v>
      </c>
      <c r="AA1383" s="2" t="s">
        <v>8583</v>
      </c>
      <c r="AB1383" s="2" t="s">
        <v>798</v>
      </c>
      <c r="AC1383" s="2" t="s">
        <v>632</v>
      </c>
      <c r="AD1383" s="10">
        <v>58691282</v>
      </c>
      <c r="AE1383" s="11"/>
      <c r="AF1383" s="11">
        <v>85756377</v>
      </c>
      <c r="AG1383" s="11"/>
      <c r="AH1383" s="11">
        <v>57921448</v>
      </c>
      <c r="AI1383" s="11"/>
      <c r="AJ1383" s="11">
        <v>58691282</v>
      </c>
      <c r="AK1383" s="12">
        <v>4</v>
      </c>
      <c r="AL1383" s="12" t="s">
        <v>7377</v>
      </c>
      <c r="AM1383" s="2">
        <v>0</v>
      </c>
      <c r="AN1383" s="2">
        <v>0</v>
      </c>
      <c r="AO1383" s="2">
        <v>0</v>
      </c>
      <c r="AP1383" s="2">
        <v>1</v>
      </c>
      <c r="AQ1383" s="2">
        <v>0</v>
      </c>
      <c r="AR1383" s="2">
        <v>0</v>
      </c>
      <c r="AS1383" s="2">
        <v>0</v>
      </c>
      <c r="AT1383" s="2">
        <v>0</v>
      </c>
      <c r="AZ1383" s="2" t="s">
        <v>8584</v>
      </c>
      <c r="BB1383" s="2" t="str">
        <f>+PROPER(BD[[#This Row],[PRIMER_APELLIDO]])</f>
        <v>Salgado</v>
      </c>
    </row>
    <row r="1384" spans="1:54" x14ac:dyDescent="0.25">
      <c r="A1384" s="2">
        <v>1383</v>
      </c>
      <c r="B1384" s="2">
        <v>20484</v>
      </c>
      <c r="C1384" s="5" t="s">
        <v>619</v>
      </c>
      <c r="D1384" s="2" t="s">
        <v>620</v>
      </c>
      <c r="E1384" s="6" t="s">
        <v>8585</v>
      </c>
      <c r="F1384" s="6">
        <v>19461647</v>
      </c>
      <c r="G1384" s="3">
        <v>42</v>
      </c>
      <c r="I1384" s="7"/>
      <c r="J1384" s="7"/>
      <c r="K1384" s="8">
        <v>41.723287671232875</v>
      </c>
      <c r="L1384" s="2" t="s">
        <v>8586</v>
      </c>
      <c r="M1384" s="2" t="s">
        <v>1176</v>
      </c>
      <c r="N1384" s="2" t="s">
        <v>74</v>
      </c>
      <c r="O1384" s="2" t="s">
        <v>113</v>
      </c>
      <c r="P1384" s="2" t="s">
        <v>626</v>
      </c>
      <c r="Q1384" s="2" t="s">
        <v>351</v>
      </c>
      <c r="R1384" s="9">
        <v>29567</v>
      </c>
      <c r="S1384" s="9">
        <v>29567</v>
      </c>
      <c r="U1384" s="2" t="s">
        <v>627</v>
      </c>
      <c r="W1384" s="2" t="s">
        <v>627</v>
      </c>
      <c r="X1384" s="2" t="s">
        <v>8587</v>
      </c>
      <c r="Y1384" s="2" t="s">
        <v>8588</v>
      </c>
      <c r="Z1384" s="6"/>
      <c r="AA1384" s="2">
        <v>22681975</v>
      </c>
      <c r="AB1384" s="2" t="s">
        <v>654</v>
      </c>
      <c r="AC1384" s="2" t="s">
        <v>632</v>
      </c>
      <c r="AD1384" s="10"/>
      <c r="AE1384" s="11"/>
      <c r="AF1384" s="11"/>
      <c r="AG1384" s="11"/>
      <c r="AH1384" s="11"/>
      <c r="AI1384" s="11"/>
      <c r="AJ1384" s="11"/>
      <c r="AK1384" s="12">
        <v>1</v>
      </c>
      <c r="AL1384" s="12" t="s">
        <v>7377</v>
      </c>
      <c r="AM1384" s="2">
        <v>0</v>
      </c>
      <c r="AN1384" s="2">
        <v>0</v>
      </c>
      <c r="AO1384" s="2">
        <v>0</v>
      </c>
      <c r="AP1384" s="2">
        <v>1</v>
      </c>
      <c r="AQ1384" s="2">
        <v>0</v>
      </c>
      <c r="AR1384" s="2">
        <v>0</v>
      </c>
      <c r="AS1384" s="2">
        <v>0</v>
      </c>
      <c r="AT1384" s="2">
        <v>0</v>
      </c>
      <c r="BB1384" s="2" t="str">
        <f>+PROPER(BD[[#This Row],[PRIMER_APELLIDO]])</f>
        <v>Reyes</v>
      </c>
    </row>
    <row r="1385" spans="1:54" x14ac:dyDescent="0.25">
      <c r="A1385" s="2">
        <v>1384</v>
      </c>
      <c r="B1385" s="2">
        <v>24917</v>
      </c>
      <c r="C1385" s="5" t="s">
        <v>619</v>
      </c>
      <c r="D1385" s="2" t="s">
        <v>620</v>
      </c>
      <c r="E1385" s="6" t="s">
        <v>8589</v>
      </c>
      <c r="F1385" s="6">
        <v>20407018</v>
      </c>
      <c r="G1385" s="3">
        <v>42</v>
      </c>
      <c r="I1385" s="7"/>
      <c r="J1385" s="7"/>
      <c r="K1385" s="8">
        <v>41.723287671232875</v>
      </c>
      <c r="L1385" s="2" t="s">
        <v>8590</v>
      </c>
      <c r="M1385" s="2" t="s">
        <v>747</v>
      </c>
      <c r="N1385" s="2" t="s">
        <v>235</v>
      </c>
      <c r="O1385" s="2" t="s">
        <v>482</v>
      </c>
      <c r="P1385" s="2" t="s">
        <v>626</v>
      </c>
      <c r="Q1385" s="2" t="s">
        <v>351</v>
      </c>
      <c r="R1385" s="9">
        <v>29567</v>
      </c>
      <c r="S1385" s="9">
        <v>29567</v>
      </c>
      <c r="T1385" s="2" t="s">
        <v>1191</v>
      </c>
      <c r="U1385" s="2" t="s">
        <v>1191</v>
      </c>
      <c r="V1385" s="2" t="s">
        <v>3060</v>
      </c>
      <c r="W1385" s="2" t="s">
        <v>1300</v>
      </c>
      <c r="X1385" s="2" t="s">
        <v>8591</v>
      </c>
      <c r="Y1385" s="2" t="s">
        <v>8592</v>
      </c>
      <c r="Z1385" s="6">
        <v>85226087</v>
      </c>
      <c r="AA1385" s="2">
        <v>86245637</v>
      </c>
      <c r="AB1385" s="2" t="s">
        <v>631</v>
      </c>
      <c r="AC1385" s="2" t="s">
        <v>632</v>
      </c>
      <c r="AD1385" s="10">
        <v>85226087</v>
      </c>
      <c r="AE1385" s="11"/>
      <c r="AF1385" s="11">
        <v>86245637</v>
      </c>
      <c r="AG1385" s="11"/>
      <c r="AH1385" s="11"/>
      <c r="AI1385" s="11"/>
      <c r="AJ1385" s="11">
        <v>85226087</v>
      </c>
      <c r="AK1385" s="12">
        <v>2</v>
      </c>
      <c r="AL1385" s="12" t="s">
        <v>7377</v>
      </c>
      <c r="AM1385" s="2">
        <v>0</v>
      </c>
      <c r="AN1385" s="2">
        <v>0</v>
      </c>
      <c r="AO1385" s="2">
        <v>0</v>
      </c>
      <c r="AP1385" s="2">
        <v>1</v>
      </c>
      <c r="AQ1385" s="2">
        <v>0</v>
      </c>
      <c r="AR1385" s="2">
        <v>0</v>
      </c>
      <c r="AS1385" s="2">
        <v>0</v>
      </c>
      <c r="AT1385" s="2">
        <v>0</v>
      </c>
      <c r="AZ1385" s="2" t="s">
        <v>8593</v>
      </c>
      <c r="BB1385" s="2" t="str">
        <f>+PROPER(BD[[#This Row],[PRIMER_APELLIDO]])</f>
        <v>Espinoza</v>
      </c>
    </row>
    <row r="1386" spans="1:54" x14ac:dyDescent="0.25">
      <c r="A1386" s="2">
        <v>1385</v>
      </c>
      <c r="B1386" s="2">
        <v>25774</v>
      </c>
      <c r="C1386" s="5" t="s">
        <v>619</v>
      </c>
      <c r="D1386" s="2" t="s">
        <v>620</v>
      </c>
      <c r="E1386" s="6" t="s">
        <v>8594</v>
      </c>
      <c r="F1386" s="6">
        <v>22833888</v>
      </c>
      <c r="G1386" s="3">
        <v>42</v>
      </c>
      <c r="I1386" s="7"/>
      <c r="J1386" s="7"/>
      <c r="K1386" s="8">
        <v>41.731506849315068</v>
      </c>
      <c r="L1386" s="2" t="s">
        <v>4232</v>
      </c>
      <c r="M1386" s="2" t="s">
        <v>5455</v>
      </c>
      <c r="N1386" s="2" t="s">
        <v>14</v>
      </c>
      <c r="O1386" s="2" t="s">
        <v>356</v>
      </c>
      <c r="P1386" s="2" t="s">
        <v>626</v>
      </c>
      <c r="Q1386" s="2" t="s">
        <v>351</v>
      </c>
      <c r="R1386" s="9">
        <v>29564</v>
      </c>
      <c r="S1386" s="9">
        <v>29564</v>
      </c>
      <c r="T1386" s="2" t="s">
        <v>627</v>
      </c>
      <c r="U1386" s="2" t="s">
        <v>627</v>
      </c>
      <c r="V1386" s="2" t="s">
        <v>627</v>
      </c>
      <c r="W1386" s="2" t="s">
        <v>627</v>
      </c>
      <c r="X1386" s="2" t="s">
        <v>8595</v>
      </c>
      <c r="Y1386" s="2" t="s">
        <v>8596</v>
      </c>
      <c r="Z1386" s="6">
        <v>83808581</v>
      </c>
      <c r="AA1386" s="2">
        <v>22803491</v>
      </c>
      <c r="AB1386" s="2" t="s">
        <v>654</v>
      </c>
      <c r="AC1386" s="2" t="s">
        <v>632</v>
      </c>
      <c r="AD1386" s="10">
        <v>83808581</v>
      </c>
      <c r="AE1386" s="11"/>
      <c r="AF1386" s="11"/>
      <c r="AG1386" s="11"/>
      <c r="AH1386" s="11"/>
      <c r="AI1386" s="11"/>
      <c r="AJ1386" s="11">
        <v>83808581</v>
      </c>
      <c r="AK1386" s="12">
        <v>2</v>
      </c>
      <c r="AL1386" s="12" t="s">
        <v>7377</v>
      </c>
      <c r="AM1386" s="2">
        <v>0</v>
      </c>
      <c r="AN1386" s="2">
        <v>0</v>
      </c>
      <c r="AO1386" s="2">
        <v>0</v>
      </c>
      <c r="AP1386" s="2">
        <v>1</v>
      </c>
      <c r="AQ1386" s="2">
        <v>0</v>
      </c>
      <c r="AR1386" s="2">
        <v>0</v>
      </c>
      <c r="AS1386" s="2">
        <v>0</v>
      </c>
      <c r="AT1386" s="2">
        <v>0</v>
      </c>
      <c r="AZ1386" s="2" t="s">
        <v>8597</v>
      </c>
      <c r="BB1386" s="2" t="str">
        <f>+PROPER(BD[[#This Row],[PRIMER_APELLIDO]])</f>
        <v>Gonzalez</v>
      </c>
    </row>
    <row r="1387" spans="1:54" x14ac:dyDescent="0.25">
      <c r="A1387" s="2">
        <v>1386</v>
      </c>
      <c r="B1387" s="2">
        <v>47334</v>
      </c>
      <c r="C1387" s="5" t="s">
        <v>619</v>
      </c>
      <c r="D1387" s="2" t="s">
        <v>620</v>
      </c>
      <c r="E1387" s="6" t="s">
        <v>8598</v>
      </c>
      <c r="F1387" s="6">
        <v>13068099</v>
      </c>
      <c r="G1387" s="3">
        <v>42</v>
      </c>
      <c r="I1387" s="7"/>
      <c r="J1387" s="7"/>
      <c r="K1387" s="8">
        <v>41.734246575342468</v>
      </c>
      <c r="L1387" s="2" t="s">
        <v>7837</v>
      </c>
      <c r="N1387" s="2" t="s">
        <v>282</v>
      </c>
      <c r="O1387" s="2" t="s">
        <v>258</v>
      </c>
      <c r="P1387" s="2" t="s">
        <v>626</v>
      </c>
      <c r="Q1387" s="2" t="s">
        <v>351</v>
      </c>
      <c r="R1387" s="9">
        <v>29563</v>
      </c>
      <c r="S1387" s="9">
        <v>29563</v>
      </c>
      <c r="T1387" s="2" t="s">
        <v>1191</v>
      </c>
      <c r="U1387" s="2" t="s">
        <v>1191</v>
      </c>
      <c r="V1387" s="2" t="s">
        <v>3060</v>
      </c>
      <c r="W1387" s="2" t="s">
        <v>3060</v>
      </c>
      <c r="X1387" s="2" t="s">
        <v>8599</v>
      </c>
      <c r="Y1387" s="2" t="s">
        <v>8600</v>
      </c>
      <c r="Z1387" s="6">
        <v>84217101</v>
      </c>
      <c r="AA1387" s="2">
        <v>86625345</v>
      </c>
      <c r="AB1387" s="2" t="s">
        <v>631</v>
      </c>
      <c r="AC1387" s="2" t="s">
        <v>632</v>
      </c>
      <c r="AD1387" s="10">
        <v>84217101</v>
      </c>
      <c r="AE1387" s="11"/>
      <c r="AF1387" s="11">
        <v>86625345</v>
      </c>
      <c r="AG1387" s="11"/>
      <c r="AH1387" s="11"/>
      <c r="AI1387" s="11"/>
      <c r="AJ1387" s="11">
        <v>84217101</v>
      </c>
      <c r="AK1387" s="12">
        <v>2</v>
      </c>
      <c r="AL1387" s="12" t="s">
        <v>7377</v>
      </c>
      <c r="AM1387" s="2">
        <v>0</v>
      </c>
      <c r="AN1387" s="2">
        <v>0</v>
      </c>
      <c r="AO1387" s="2">
        <v>0</v>
      </c>
      <c r="AP1387" s="2">
        <v>1</v>
      </c>
      <c r="AQ1387" s="2">
        <v>0</v>
      </c>
      <c r="AR1387" s="2">
        <v>0</v>
      </c>
      <c r="AS1387" s="2">
        <v>0</v>
      </c>
      <c r="AT1387" s="2">
        <v>0</v>
      </c>
      <c r="AZ1387" s="2" t="s">
        <v>8601</v>
      </c>
      <c r="BB1387" s="2" t="str">
        <f>+PROPER(BD[[#This Row],[PRIMER_APELLIDO]])</f>
        <v>Montenegro</v>
      </c>
    </row>
    <row r="1388" spans="1:54" x14ac:dyDescent="0.25">
      <c r="A1388" s="2">
        <v>1387</v>
      </c>
      <c r="B1388" s="2">
        <v>21881</v>
      </c>
      <c r="C1388" s="5" t="s">
        <v>619</v>
      </c>
      <c r="D1388" s="2" t="s">
        <v>620</v>
      </c>
      <c r="E1388" s="6" t="s">
        <v>8602</v>
      </c>
      <c r="F1388" s="6"/>
      <c r="G1388" s="3">
        <v>42</v>
      </c>
      <c r="I1388" s="7"/>
      <c r="J1388" s="7"/>
      <c r="K1388" s="8">
        <v>41.747945205479454</v>
      </c>
      <c r="L1388" s="2" t="s">
        <v>4700</v>
      </c>
      <c r="M1388" s="2" t="s">
        <v>243</v>
      </c>
      <c r="N1388" s="2" t="s">
        <v>9</v>
      </c>
      <c r="O1388" s="2" t="s">
        <v>51</v>
      </c>
      <c r="P1388" s="2" t="s">
        <v>649</v>
      </c>
      <c r="Q1388" s="2" t="s">
        <v>351</v>
      </c>
      <c r="R1388" s="9">
        <v>29558</v>
      </c>
      <c r="S1388" s="9">
        <v>29558</v>
      </c>
      <c r="T1388" s="2" t="s">
        <v>176</v>
      </c>
      <c r="U1388" s="2" t="s">
        <v>1104</v>
      </c>
      <c r="V1388" s="2" t="s">
        <v>650</v>
      </c>
      <c r="W1388" s="2" t="s">
        <v>2859</v>
      </c>
      <c r="X1388" s="2" t="s">
        <v>8603</v>
      </c>
      <c r="Y1388" s="2" t="s">
        <v>8604</v>
      </c>
      <c r="Z1388" s="6">
        <v>85062600</v>
      </c>
      <c r="AA1388" s="2" t="s">
        <v>8605</v>
      </c>
      <c r="AB1388" s="2" t="s">
        <v>654</v>
      </c>
      <c r="AC1388" s="2" t="s">
        <v>632</v>
      </c>
      <c r="AD1388" s="10">
        <v>85062600</v>
      </c>
      <c r="AE1388" s="11"/>
      <c r="AF1388" s="11"/>
      <c r="AG1388" s="11">
        <v>85062600</v>
      </c>
      <c r="AH1388" s="11"/>
      <c r="AI1388" s="11"/>
      <c r="AJ1388" s="11">
        <v>85062600</v>
      </c>
      <c r="AK1388" s="12">
        <v>3</v>
      </c>
      <c r="AL1388" s="12" t="s">
        <v>7377</v>
      </c>
      <c r="AM1388" s="2">
        <v>0</v>
      </c>
      <c r="AN1388" s="2">
        <v>0</v>
      </c>
      <c r="AO1388" s="2">
        <v>0</v>
      </c>
      <c r="AP1388" s="2">
        <v>1</v>
      </c>
      <c r="AQ1388" s="2">
        <v>0</v>
      </c>
      <c r="AR1388" s="2">
        <v>0</v>
      </c>
      <c r="AS1388" s="2">
        <v>0</v>
      </c>
      <c r="AT1388" s="2">
        <v>0</v>
      </c>
      <c r="AZ1388" s="2" t="s">
        <v>8606</v>
      </c>
      <c r="BB1388" s="2" t="str">
        <f>+PROPER(BD[[#This Row],[PRIMER_APELLIDO]])</f>
        <v>Mendoza</v>
      </c>
    </row>
    <row r="1389" spans="1:54" x14ac:dyDescent="0.25">
      <c r="A1389" s="2">
        <v>1388</v>
      </c>
      <c r="B1389" s="2">
        <v>42473</v>
      </c>
      <c r="C1389" s="5" t="s">
        <v>619</v>
      </c>
      <c r="D1389" s="2" t="s">
        <v>620</v>
      </c>
      <c r="E1389" s="6" t="s">
        <v>8607</v>
      </c>
      <c r="F1389" s="6">
        <v>21433904</v>
      </c>
      <c r="G1389" s="3">
        <v>42</v>
      </c>
      <c r="I1389" s="7"/>
      <c r="J1389" s="7"/>
      <c r="K1389" s="8">
        <v>41.747945205479454</v>
      </c>
      <c r="L1389" s="2" t="s">
        <v>1490</v>
      </c>
      <c r="M1389" s="2" t="s">
        <v>8608</v>
      </c>
      <c r="N1389" s="2" t="s">
        <v>24</v>
      </c>
      <c r="O1389" s="2" t="s">
        <v>293</v>
      </c>
      <c r="P1389" s="2" t="s">
        <v>626</v>
      </c>
      <c r="Q1389" s="2" t="s">
        <v>351</v>
      </c>
      <c r="R1389" s="9">
        <v>29558</v>
      </c>
      <c r="S1389" s="9">
        <v>29558</v>
      </c>
      <c r="T1389" s="2" t="s">
        <v>705</v>
      </c>
      <c r="U1389" s="2" t="s">
        <v>705</v>
      </c>
      <c r="V1389" s="2" t="s">
        <v>1014</v>
      </c>
      <c r="W1389" s="2" t="s">
        <v>1014</v>
      </c>
      <c r="Y1389" s="2" t="s">
        <v>8609</v>
      </c>
      <c r="Z1389" s="6"/>
      <c r="AA1389" s="2">
        <v>89927385</v>
      </c>
      <c r="AB1389" s="2" t="s">
        <v>654</v>
      </c>
      <c r="AC1389" s="2" t="s">
        <v>632</v>
      </c>
      <c r="AD1389" s="10"/>
      <c r="AE1389" s="11"/>
      <c r="AF1389" s="11">
        <v>89927385</v>
      </c>
      <c r="AG1389" s="11"/>
      <c r="AH1389" s="11"/>
      <c r="AI1389" s="11"/>
      <c r="AJ1389" s="11">
        <v>89927385</v>
      </c>
      <c r="AK1389" s="12">
        <v>1</v>
      </c>
      <c r="AL1389" s="12" t="s">
        <v>7377</v>
      </c>
      <c r="AM1389" s="2">
        <v>0</v>
      </c>
      <c r="AN1389" s="2">
        <v>0</v>
      </c>
      <c r="AO1389" s="2">
        <v>0</v>
      </c>
      <c r="AP1389" s="2">
        <v>1</v>
      </c>
      <c r="AQ1389" s="2">
        <v>0</v>
      </c>
      <c r="AR1389" s="2">
        <v>0</v>
      </c>
      <c r="AS1389" s="2">
        <v>0</v>
      </c>
      <c r="AT1389" s="2">
        <v>0</v>
      </c>
      <c r="BB1389" s="2" t="str">
        <f>+PROPER(BD[[#This Row],[PRIMER_APELLIDO]])</f>
        <v>Perez</v>
      </c>
    </row>
    <row r="1390" spans="1:54" x14ac:dyDescent="0.25">
      <c r="A1390" s="2">
        <v>1389</v>
      </c>
      <c r="B1390" s="2">
        <v>32421</v>
      </c>
      <c r="C1390" s="5" t="s">
        <v>619</v>
      </c>
      <c r="D1390" s="2" t="s">
        <v>620</v>
      </c>
      <c r="E1390" s="6" t="s">
        <v>8610</v>
      </c>
      <c r="F1390" s="6">
        <v>11760344</v>
      </c>
      <c r="G1390" s="3">
        <v>42</v>
      </c>
      <c r="I1390" s="7"/>
      <c r="J1390" s="7"/>
      <c r="K1390" s="8">
        <v>41.761643835616439</v>
      </c>
      <c r="L1390" s="2" t="s">
        <v>825</v>
      </c>
      <c r="M1390" s="2" t="s">
        <v>826</v>
      </c>
      <c r="N1390" s="2" t="s">
        <v>179</v>
      </c>
      <c r="O1390" s="2" t="s">
        <v>360</v>
      </c>
      <c r="P1390" s="2" t="s">
        <v>649</v>
      </c>
      <c r="Q1390" s="2" t="s">
        <v>351</v>
      </c>
      <c r="R1390" s="9">
        <v>29553</v>
      </c>
      <c r="S1390" s="9">
        <v>29553</v>
      </c>
      <c r="T1390" s="2" t="s">
        <v>1104</v>
      </c>
      <c r="U1390" s="2" t="s">
        <v>1104</v>
      </c>
      <c r="V1390" s="2" t="s">
        <v>7956</v>
      </c>
      <c r="W1390" s="2" t="s">
        <v>6268</v>
      </c>
      <c r="X1390" s="2" t="s">
        <v>8611</v>
      </c>
      <c r="Y1390" s="2" t="s">
        <v>8612</v>
      </c>
      <c r="Z1390" s="6">
        <v>89662714</v>
      </c>
      <c r="AA1390" s="2" t="s">
        <v>8613</v>
      </c>
      <c r="AB1390" s="2" t="s">
        <v>798</v>
      </c>
      <c r="AC1390" s="2" t="s">
        <v>632</v>
      </c>
      <c r="AD1390" s="10">
        <v>89662714</v>
      </c>
      <c r="AE1390" s="11"/>
      <c r="AF1390" s="11"/>
      <c r="AG1390" s="11">
        <v>84920598</v>
      </c>
      <c r="AH1390" s="11">
        <v>83376122</v>
      </c>
      <c r="AI1390" s="11"/>
      <c r="AJ1390" s="11">
        <v>89662714</v>
      </c>
      <c r="AK1390" s="12">
        <v>4</v>
      </c>
      <c r="AL1390" s="12" t="s">
        <v>7377</v>
      </c>
      <c r="AM1390" s="2">
        <v>0</v>
      </c>
      <c r="AN1390" s="2">
        <v>0</v>
      </c>
      <c r="AO1390" s="2">
        <v>0</v>
      </c>
      <c r="AP1390" s="2">
        <v>1</v>
      </c>
      <c r="AQ1390" s="2">
        <v>0</v>
      </c>
      <c r="AR1390" s="2">
        <v>0</v>
      </c>
      <c r="AS1390" s="2">
        <v>0</v>
      </c>
      <c r="AT1390" s="2">
        <v>0</v>
      </c>
      <c r="BB1390" s="2" t="str">
        <f>+PROPER(BD[[#This Row],[PRIMER_APELLIDO]])</f>
        <v>Herrera</v>
      </c>
    </row>
    <row r="1391" spans="1:54" x14ac:dyDescent="0.25">
      <c r="A1391" s="2">
        <v>1390</v>
      </c>
      <c r="B1391" s="2">
        <v>24473</v>
      </c>
      <c r="C1391" s="5" t="s">
        <v>619</v>
      </c>
      <c r="D1391" s="2" t="s">
        <v>620</v>
      </c>
      <c r="E1391" s="6" t="s">
        <v>8614</v>
      </c>
      <c r="F1391" s="6">
        <v>19430566</v>
      </c>
      <c r="G1391" s="3">
        <v>42</v>
      </c>
      <c r="I1391" s="7"/>
      <c r="J1391" s="7"/>
      <c r="K1391" s="8">
        <v>41.769863013698632</v>
      </c>
      <c r="L1391" s="2" t="s">
        <v>1183</v>
      </c>
      <c r="M1391" s="2" t="s">
        <v>975</v>
      </c>
      <c r="N1391" s="2" t="s">
        <v>522</v>
      </c>
      <c r="O1391" s="2" t="s">
        <v>467</v>
      </c>
      <c r="P1391" s="2" t="s">
        <v>649</v>
      </c>
      <c r="Q1391" s="2" t="s">
        <v>351</v>
      </c>
      <c r="R1391" s="9">
        <v>29550</v>
      </c>
      <c r="S1391" s="9">
        <v>29550</v>
      </c>
      <c r="T1391" s="2" t="s">
        <v>732</v>
      </c>
      <c r="U1391" s="2" t="s">
        <v>732</v>
      </c>
      <c r="V1391" s="2" t="s">
        <v>732</v>
      </c>
      <c r="W1391" s="2" t="s">
        <v>732</v>
      </c>
      <c r="X1391" s="2" t="s">
        <v>8615</v>
      </c>
      <c r="Y1391" s="2" t="s">
        <v>8616</v>
      </c>
      <c r="Z1391" s="6"/>
      <c r="AA1391" s="2" t="s">
        <v>8617</v>
      </c>
      <c r="AB1391" s="2" t="s">
        <v>654</v>
      </c>
      <c r="AC1391" s="2" t="s">
        <v>632</v>
      </c>
      <c r="AD1391" s="10"/>
      <c r="AE1391" s="11"/>
      <c r="AF1391" s="11"/>
      <c r="AG1391" s="11">
        <v>88273687</v>
      </c>
      <c r="AH1391" s="11"/>
      <c r="AI1391" s="11"/>
      <c r="AJ1391" s="11">
        <v>88273687</v>
      </c>
      <c r="AK1391" s="12">
        <v>2</v>
      </c>
      <c r="AL1391" s="12" t="s">
        <v>7377</v>
      </c>
      <c r="AM1391" s="2">
        <v>0</v>
      </c>
      <c r="AN1391" s="2">
        <v>0</v>
      </c>
      <c r="AO1391" s="2">
        <v>0</v>
      </c>
      <c r="AP1391" s="2">
        <v>1</v>
      </c>
      <c r="AQ1391" s="2">
        <v>0</v>
      </c>
      <c r="AR1391" s="2">
        <v>0</v>
      </c>
      <c r="AS1391" s="2">
        <v>0</v>
      </c>
      <c r="AT1391" s="2">
        <v>0</v>
      </c>
      <c r="BB1391" s="2" t="str">
        <f>+PROPER(BD[[#This Row],[PRIMER_APELLIDO]])</f>
        <v>Moreira</v>
      </c>
    </row>
    <row r="1392" spans="1:54" x14ac:dyDescent="0.25">
      <c r="A1392" s="2">
        <v>1391</v>
      </c>
      <c r="B1392" s="2">
        <v>21988</v>
      </c>
      <c r="C1392" s="5" t="s">
        <v>619</v>
      </c>
      <c r="D1392" s="2" t="s">
        <v>620</v>
      </c>
      <c r="E1392" s="6" t="s">
        <v>8618</v>
      </c>
      <c r="F1392" s="6"/>
      <c r="G1392" s="3">
        <v>42</v>
      </c>
      <c r="I1392" s="7"/>
      <c r="J1392" s="7"/>
      <c r="K1392" s="8">
        <v>41.813698630136983</v>
      </c>
      <c r="L1392" s="2" t="s">
        <v>2234</v>
      </c>
      <c r="M1392" s="2" t="s">
        <v>2740</v>
      </c>
      <c r="N1392" s="2" t="s">
        <v>141</v>
      </c>
      <c r="O1392" s="2" t="s">
        <v>8619</v>
      </c>
      <c r="P1392" s="2" t="s">
        <v>649</v>
      </c>
      <c r="Q1392" s="2" t="s">
        <v>351</v>
      </c>
      <c r="R1392" s="9">
        <v>29534</v>
      </c>
      <c r="S1392" s="9">
        <v>29534</v>
      </c>
      <c r="T1392" s="2" t="s">
        <v>627</v>
      </c>
      <c r="U1392" s="2" t="s">
        <v>627</v>
      </c>
      <c r="V1392" s="2" t="s">
        <v>627</v>
      </c>
      <c r="W1392" s="2" t="s">
        <v>627</v>
      </c>
      <c r="X1392" s="2" t="s">
        <v>8620</v>
      </c>
      <c r="Y1392" s="2" t="s">
        <v>8621</v>
      </c>
      <c r="Z1392" s="6">
        <v>88030932</v>
      </c>
      <c r="AA1392" s="2" t="s">
        <v>8622</v>
      </c>
      <c r="AB1392" s="2" t="s">
        <v>654</v>
      </c>
      <c r="AC1392" s="2" t="s">
        <v>632</v>
      </c>
      <c r="AD1392" s="10">
        <v>88030932</v>
      </c>
      <c r="AE1392" s="11"/>
      <c r="AF1392" s="11"/>
      <c r="AG1392" s="11">
        <v>22686395</v>
      </c>
      <c r="AH1392" s="11"/>
      <c r="AI1392" s="11"/>
      <c r="AJ1392" s="11">
        <v>88030932</v>
      </c>
      <c r="AK1392" s="12">
        <v>3</v>
      </c>
      <c r="AL1392" s="12" t="s">
        <v>7377</v>
      </c>
      <c r="AM1392" s="2">
        <v>0</v>
      </c>
      <c r="AN1392" s="2">
        <v>0</v>
      </c>
      <c r="AO1392" s="2">
        <v>0</v>
      </c>
      <c r="AP1392" s="2">
        <v>1</v>
      </c>
      <c r="AQ1392" s="2">
        <v>0</v>
      </c>
      <c r="AR1392" s="2">
        <v>0</v>
      </c>
      <c r="AS1392" s="2">
        <v>0</v>
      </c>
      <c r="AT1392" s="2">
        <v>0</v>
      </c>
      <c r="AZ1392" s="2" t="s">
        <v>2843</v>
      </c>
      <c r="BB1392" s="2" t="str">
        <f>+PROPER(BD[[#This Row],[PRIMER_APELLIDO]])</f>
        <v>Aguilar</v>
      </c>
    </row>
    <row r="1393" spans="1:54" x14ac:dyDescent="0.25">
      <c r="A1393" s="2">
        <v>1392</v>
      </c>
      <c r="B1393" s="2">
        <v>74455</v>
      </c>
      <c r="C1393" s="5" t="s">
        <v>619</v>
      </c>
      <c r="D1393" s="2" t="s">
        <v>620</v>
      </c>
      <c r="E1393" s="6" t="s">
        <v>8623</v>
      </c>
      <c r="F1393" s="6"/>
      <c r="G1393" s="3">
        <v>42</v>
      </c>
      <c r="I1393" s="7"/>
      <c r="J1393" s="7"/>
      <c r="K1393" s="8">
        <v>41.813698630136983</v>
      </c>
      <c r="L1393" s="2" t="s">
        <v>8624</v>
      </c>
      <c r="M1393" s="2" t="s">
        <v>961</v>
      </c>
      <c r="N1393" s="2" t="s">
        <v>49</v>
      </c>
      <c r="O1393" s="2" t="s">
        <v>38</v>
      </c>
      <c r="P1393" s="2" t="s">
        <v>626</v>
      </c>
      <c r="Q1393" s="2" t="s">
        <v>351</v>
      </c>
      <c r="R1393" s="9">
        <v>29534</v>
      </c>
      <c r="S1393" s="9">
        <v>29534</v>
      </c>
      <c r="T1393" s="2" t="s">
        <v>669</v>
      </c>
      <c r="U1393" s="2" t="s">
        <v>669</v>
      </c>
      <c r="V1393" s="2" t="s">
        <v>2427</v>
      </c>
      <c r="W1393" s="2" t="s">
        <v>2427</v>
      </c>
      <c r="X1393" s="2" t="s">
        <v>8625</v>
      </c>
      <c r="Y1393" s="2" t="s">
        <v>8626</v>
      </c>
      <c r="Z1393" s="6">
        <v>84911449</v>
      </c>
      <c r="AA1393" s="2">
        <v>84944269</v>
      </c>
      <c r="AB1393" s="2" t="s">
        <v>642</v>
      </c>
      <c r="AC1393" s="2" t="s">
        <v>632</v>
      </c>
      <c r="AD1393" s="10">
        <v>84911449</v>
      </c>
      <c r="AE1393" s="11"/>
      <c r="AF1393" s="11">
        <v>84944269</v>
      </c>
      <c r="AG1393" s="11"/>
      <c r="AH1393" s="11"/>
      <c r="AI1393" s="11"/>
      <c r="AJ1393" s="11">
        <v>84911449</v>
      </c>
      <c r="AK1393" s="12">
        <v>2</v>
      </c>
      <c r="AL1393" s="12" t="s">
        <v>7377</v>
      </c>
      <c r="AM1393" s="2">
        <v>0</v>
      </c>
      <c r="AN1393" s="2">
        <v>0</v>
      </c>
      <c r="AO1393" s="2">
        <v>0</v>
      </c>
      <c r="AP1393" s="2">
        <v>1</v>
      </c>
      <c r="AQ1393" s="2">
        <v>0</v>
      </c>
      <c r="AR1393" s="2">
        <v>0</v>
      </c>
      <c r="AS1393" s="2">
        <v>0</v>
      </c>
      <c r="AT1393" s="2">
        <v>0</v>
      </c>
      <c r="AZ1393" s="2" t="s">
        <v>8627</v>
      </c>
      <c r="BB1393" s="2" t="str">
        <f>+PROPER(BD[[#This Row],[PRIMER_APELLIDO]])</f>
        <v>Rocha</v>
      </c>
    </row>
    <row r="1394" spans="1:54" x14ac:dyDescent="0.25">
      <c r="A1394" s="2">
        <v>1393</v>
      </c>
      <c r="B1394" s="2">
        <v>46517</v>
      </c>
      <c r="C1394" s="5" t="s">
        <v>619</v>
      </c>
      <c r="D1394" s="2" t="s">
        <v>620</v>
      </c>
      <c r="E1394" s="6" t="s">
        <v>8628</v>
      </c>
      <c r="F1394" s="6">
        <v>11782937</v>
      </c>
      <c r="G1394" s="3">
        <v>42</v>
      </c>
      <c r="I1394" s="7"/>
      <c r="J1394" s="7"/>
      <c r="K1394" s="8">
        <v>41.819178082191783</v>
      </c>
      <c r="L1394" s="2" t="s">
        <v>8536</v>
      </c>
      <c r="M1394" s="2" t="s">
        <v>4779</v>
      </c>
      <c r="N1394" s="2" t="s">
        <v>192</v>
      </c>
      <c r="O1394" s="2" t="s">
        <v>49</v>
      </c>
      <c r="P1394" s="2" t="s">
        <v>649</v>
      </c>
      <c r="Q1394" s="2" t="s">
        <v>351</v>
      </c>
      <c r="R1394" s="9">
        <v>29532</v>
      </c>
      <c r="S1394" s="9">
        <v>29532</v>
      </c>
      <c r="T1394" s="2" t="s">
        <v>780</v>
      </c>
      <c r="U1394" s="2" t="s">
        <v>780</v>
      </c>
      <c r="V1394" s="2" t="s">
        <v>1970</v>
      </c>
      <c r="W1394" s="2" t="s">
        <v>1970</v>
      </c>
      <c r="X1394" s="2" t="s">
        <v>8629</v>
      </c>
      <c r="Y1394" s="2" t="s">
        <v>8630</v>
      </c>
      <c r="Z1394" s="6"/>
      <c r="AA1394" s="2">
        <v>89187606</v>
      </c>
      <c r="AB1394" s="2" t="s">
        <v>654</v>
      </c>
      <c r="AC1394" s="2" t="s">
        <v>632</v>
      </c>
      <c r="AD1394" s="10"/>
      <c r="AE1394" s="11"/>
      <c r="AF1394" s="11">
        <v>89187606</v>
      </c>
      <c r="AG1394" s="11"/>
      <c r="AH1394" s="11"/>
      <c r="AI1394" s="11"/>
      <c r="AJ1394" s="11">
        <v>89187606</v>
      </c>
      <c r="AK1394" s="12">
        <v>1</v>
      </c>
      <c r="AL1394" s="12" t="s">
        <v>7377</v>
      </c>
      <c r="AM1394" s="2">
        <v>0</v>
      </c>
      <c r="AN1394" s="2">
        <v>0</v>
      </c>
      <c r="AO1394" s="2">
        <v>0</v>
      </c>
      <c r="AP1394" s="2">
        <v>1</v>
      </c>
      <c r="AQ1394" s="2">
        <v>0</v>
      </c>
      <c r="AR1394" s="2">
        <v>0</v>
      </c>
      <c r="AS1394" s="2">
        <v>0</v>
      </c>
      <c r="AT1394" s="2">
        <v>0</v>
      </c>
      <c r="BB1394" s="2" t="str">
        <f>+PROPER(BD[[#This Row],[PRIMER_APELLIDO]])</f>
        <v>Siles</v>
      </c>
    </row>
    <row r="1395" spans="1:54" x14ac:dyDescent="0.25">
      <c r="A1395" s="2">
        <v>1394</v>
      </c>
      <c r="B1395" s="2">
        <v>23864</v>
      </c>
      <c r="C1395" s="5" t="s">
        <v>619</v>
      </c>
      <c r="D1395" s="2" t="s">
        <v>620</v>
      </c>
      <c r="E1395" s="6" t="s">
        <v>8631</v>
      </c>
      <c r="F1395" s="6">
        <v>20633143</v>
      </c>
      <c r="G1395" s="3">
        <v>42</v>
      </c>
      <c r="I1395" s="7"/>
      <c r="J1395" s="7"/>
      <c r="K1395" s="8">
        <v>41.827397260273976</v>
      </c>
      <c r="L1395" s="2" t="s">
        <v>746</v>
      </c>
      <c r="M1395" s="2" t="s">
        <v>1163</v>
      </c>
      <c r="N1395" s="2" t="s">
        <v>58</v>
      </c>
      <c r="O1395" s="2" t="s">
        <v>141</v>
      </c>
      <c r="P1395" s="2" t="s">
        <v>626</v>
      </c>
      <c r="Q1395" s="2" t="s">
        <v>351</v>
      </c>
      <c r="R1395" s="9">
        <v>29529</v>
      </c>
      <c r="S1395" s="9">
        <v>29529</v>
      </c>
      <c r="U1395" s="2" t="s">
        <v>627</v>
      </c>
      <c r="W1395" s="2" t="s">
        <v>627</v>
      </c>
      <c r="X1395" s="2" t="s">
        <v>8632</v>
      </c>
      <c r="Y1395" s="2" t="s">
        <v>8633</v>
      </c>
      <c r="Z1395" s="6"/>
      <c r="AA1395" s="2" t="s">
        <v>8634</v>
      </c>
      <c r="AB1395" s="2" t="s">
        <v>642</v>
      </c>
      <c r="AC1395" s="2" t="s">
        <v>632</v>
      </c>
      <c r="AD1395" s="10"/>
      <c r="AE1395" s="11"/>
      <c r="AF1395" s="11"/>
      <c r="AG1395" s="11">
        <v>77432901</v>
      </c>
      <c r="AH1395" s="11"/>
      <c r="AI1395" s="11"/>
      <c r="AJ1395" s="11">
        <v>77432901</v>
      </c>
      <c r="AK1395" s="12">
        <v>2</v>
      </c>
      <c r="AL1395" s="12" t="s">
        <v>7377</v>
      </c>
      <c r="AM1395" s="2">
        <v>0</v>
      </c>
      <c r="AN1395" s="2">
        <v>0</v>
      </c>
      <c r="AO1395" s="2">
        <v>0</v>
      </c>
      <c r="AP1395" s="2">
        <v>1</v>
      </c>
      <c r="AQ1395" s="2">
        <v>0</v>
      </c>
      <c r="AR1395" s="2">
        <v>0</v>
      </c>
      <c r="AS1395" s="2">
        <v>0</v>
      </c>
      <c r="AT1395" s="2">
        <v>0</v>
      </c>
      <c r="BB1395" s="2" t="str">
        <f>+PROPER(BD[[#This Row],[PRIMER_APELLIDO]])</f>
        <v>Flores</v>
      </c>
    </row>
    <row r="1396" spans="1:54" x14ac:dyDescent="0.25">
      <c r="A1396" s="2">
        <v>1395</v>
      </c>
      <c r="B1396" s="2">
        <v>32009</v>
      </c>
      <c r="C1396" s="5" t="s">
        <v>619</v>
      </c>
      <c r="D1396" s="2" t="s">
        <v>620</v>
      </c>
      <c r="E1396" s="6" t="s">
        <v>8635</v>
      </c>
      <c r="F1396" s="6">
        <v>22165299</v>
      </c>
      <c r="G1396" s="3">
        <v>42</v>
      </c>
      <c r="I1396" s="7"/>
      <c r="J1396" s="7"/>
      <c r="K1396" s="8">
        <v>41.830136986301369</v>
      </c>
      <c r="L1396" s="2" t="s">
        <v>8636</v>
      </c>
      <c r="M1396" s="2" t="s">
        <v>975</v>
      </c>
      <c r="N1396" s="2" t="s">
        <v>32</v>
      </c>
      <c r="O1396" s="2" t="s">
        <v>109</v>
      </c>
      <c r="P1396" s="2" t="s">
        <v>649</v>
      </c>
      <c r="Q1396" s="2" t="s">
        <v>351</v>
      </c>
      <c r="R1396" s="9">
        <v>29528</v>
      </c>
      <c r="S1396" s="9">
        <v>29528</v>
      </c>
      <c r="T1396" s="2" t="s">
        <v>929</v>
      </c>
      <c r="U1396" s="2" t="s">
        <v>627</v>
      </c>
      <c r="V1396" s="2" t="s">
        <v>1653</v>
      </c>
      <c r="W1396" s="2" t="s">
        <v>627</v>
      </c>
      <c r="X1396" s="2" t="s">
        <v>8637</v>
      </c>
      <c r="Y1396" s="2" t="s">
        <v>8638</v>
      </c>
      <c r="Z1396" s="6">
        <v>82448486</v>
      </c>
      <c r="AA1396" s="2">
        <v>82118044</v>
      </c>
      <c r="AB1396" s="2" t="s">
        <v>654</v>
      </c>
      <c r="AC1396" s="2" t="s">
        <v>632</v>
      </c>
      <c r="AD1396" s="10">
        <v>82448486</v>
      </c>
      <c r="AE1396" s="11"/>
      <c r="AF1396" s="11">
        <v>82118044</v>
      </c>
      <c r="AG1396" s="11"/>
      <c r="AH1396" s="11"/>
      <c r="AI1396" s="11"/>
      <c r="AJ1396" s="11">
        <v>82448486</v>
      </c>
      <c r="AK1396" s="12">
        <v>2</v>
      </c>
      <c r="AL1396" s="12" t="s">
        <v>7377</v>
      </c>
      <c r="AM1396" s="2">
        <v>0</v>
      </c>
      <c r="AN1396" s="2">
        <v>0</v>
      </c>
      <c r="AO1396" s="2">
        <v>0</v>
      </c>
      <c r="AP1396" s="2">
        <v>1</v>
      </c>
      <c r="AQ1396" s="2">
        <v>0</v>
      </c>
      <c r="AR1396" s="2">
        <v>0</v>
      </c>
      <c r="AS1396" s="2">
        <v>0</v>
      </c>
      <c r="AT1396" s="2">
        <v>0</v>
      </c>
      <c r="AZ1396" s="2" t="s">
        <v>8639</v>
      </c>
      <c r="BB1396" s="2" t="str">
        <f>+PROPER(BD[[#This Row],[PRIMER_APELLIDO]])</f>
        <v>Cruz</v>
      </c>
    </row>
    <row r="1397" spans="1:54" x14ac:dyDescent="0.25">
      <c r="A1397" s="2">
        <v>1396</v>
      </c>
      <c r="B1397" s="2">
        <v>47019</v>
      </c>
      <c r="C1397" s="5" t="s">
        <v>619</v>
      </c>
      <c r="D1397" s="2" t="s">
        <v>620</v>
      </c>
      <c r="E1397" s="6" t="s">
        <v>8640</v>
      </c>
      <c r="F1397" s="6">
        <v>13706407</v>
      </c>
      <c r="G1397" s="3">
        <v>42</v>
      </c>
      <c r="I1397" s="7"/>
      <c r="J1397" s="7"/>
      <c r="K1397" s="8">
        <v>41.830136986301369</v>
      </c>
      <c r="L1397" s="2" t="s">
        <v>802</v>
      </c>
      <c r="M1397" s="2" t="s">
        <v>8641</v>
      </c>
      <c r="N1397" s="2" t="s">
        <v>380</v>
      </c>
      <c r="O1397" s="2" t="s">
        <v>8642</v>
      </c>
      <c r="P1397" s="2" t="s">
        <v>626</v>
      </c>
      <c r="Q1397" s="2" t="s">
        <v>351</v>
      </c>
      <c r="R1397" s="9">
        <v>29528</v>
      </c>
      <c r="S1397" s="9">
        <v>29528</v>
      </c>
      <c r="T1397" s="2" t="s">
        <v>627</v>
      </c>
      <c r="U1397" s="2" t="s">
        <v>780</v>
      </c>
      <c r="V1397" s="2" t="s">
        <v>627</v>
      </c>
      <c r="W1397" s="2" t="s">
        <v>781</v>
      </c>
      <c r="X1397" s="2" t="s">
        <v>8643</v>
      </c>
      <c r="Y1397" s="2" t="s">
        <v>8644</v>
      </c>
      <c r="Z1397" s="6"/>
      <c r="AA1397" s="2">
        <v>77511139</v>
      </c>
      <c r="AB1397" s="2" t="s">
        <v>2629</v>
      </c>
      <c r="AC1397" s="2" t="s">
        <v>632</v>
      </c>
      <c r="AD1397" s="10"/>
      <c r="AE1397" s="11"/>
      <c r="AF1397" s="11">
        <v>77511139</v>
      </c>
      <c r="AG1397" s="11"/>
      <c r="AH1397" s="11"/>
      <c r="AI1397" s="11"/>
      <c r="AJ1397" s="11">
        <v>77511139</v>
      </c>
      <c r="AK1397" s="12">
        <v>1</v>
      </c>
      <c r="AL1397" s="12" t="s">
        <v>7377</v>
      </c>
      <c r="AM1397" s="2">
        <v>0</v>
      </c>
      <c r="AN1397" s="2">
        <v>0</v>
      </c>
      <c r="AO1397" s="2">
        <v>0</v>
      </c>
      <c r="AP1397" s="2">
        <v>1</v>
      </c>
      <c r="AQ1397" s="2">
        <v>0</v>
      </c>
      <c r="AR1397" s="2">
        <v>0</v>
      </c>
      <c r="AS1397" s="2">
        <v>0</v>
      </c>
      <c r="AT1397" s="2">
        <v>0</v>
      </c>
      <c r="BB1397" s="2" t="str">
        <f>+PROPER(BD[[#This Row],[PRIMER_APELLIDO]])</f>
        <v>Downs</v>
      </c>
    </row>
    <row r="1398" spans="1:54" x14ac:dyDescent="0.25">
      <c r="A1398" s="2">
        <v>1397</v>
      </c>
      <c r="B1398" s="2">
        <v>47483</v>
      </c>
      <c r="C1398" s="5" t="s">
        <v>619</v>
      </c>
      <c r="D1398" s="2" t="s">
        <v>620</v>
      </c>
      <c r="E1398" s="6" t="s">
        <v>8645</v>
      </c>
      <c r="F1398" s="6">
        <v>16740819</v>
      </c>
      <c r="G1398" s="3">
        <v>42</v>
      </c>
      <c r="I1398" s="7"/>
      <c r="J1398" s="7"/>
      <c r="K1398" s="8">
        <v>41.832876712328769</v>
      </c>
      <c r="L1398" s="2" t="s">
        <v>8646</v>
      </c>
      <c r="M1398" s="2" t="s">
        <v>2634</v>
      </c>
      <c r="N1398" s="2" t="s">
        <v>15</v>
      </c>
      <c r="O1398" s="2" t="s">
        <v>32</v>
      </c>
      <c r="P1398" s="2" t="s">
        <v>626</v>
      </c>
      <c r="Q1398" s="2" t="s">
        <v>351</v>
      </c>
      <c r="R1398" s="9">
        <v>29527</v>
      </c>
      <c r="S1398" s="9">
        <v>29527</v>
      </c>
      <c r="T1398" s="2" t="s">
        <v>133</v>
      </c>
      <c r="U1398" s="2" t="s">
        <v>133</v>
      </c>
      <c r="V1398" s="2" t="s">
        <v>870</v>
      </c>
      <c r="W1398" s="2" t="s">
        <v>870</v>
      </c>
      <c r="X1398" s="2" t="s">
        <v>8647</v>
      </c>
      <c r="Y1398" s="2" t="s">
        <v>8648</v>
      </c>
      <c r="Z1398" s="6">
        <v>81307071</v>
      </c>
      <c r="AA1398" s="2">
        <v>81307071</v>
      </c>
      <c r="AB1398" s="2" t="s">
        <v>631</v>
      </c>
      <c r="AC1398" s="2" t="s">
        <v>632</v>
      </c>
      <c r="AD1398" s="10">
        <v>81307071</v>
      </c>
      <c r="AE1398" s="11"/>
      <c r="AF1398" s="11">
        <v>81307071</v>
      </c>
      <c r="AG1398" s="11"/>
      <c r="AH1398" s="11"/>
      <c r="AI1398" s="11"/>
      <c r="AJ1398" s="11">
        <v>81307071</v>
      </c>
      <c r="AK1398" s="12">
        <v>2</v>
      </c>
      <c r="AL1398" s="12" t="s">
        <v>7377</v>
      </c>
      <c r="AM1398" s="2">
        <v>0</v>
      </c>
      <c r="AN1398" s="2">
        <v>0</v>
      </c>
      <c r="AO1398" s="2">
        <v>0</v>
      </c>
      <c r="AP1398" s="2">
        <v>1</v>
      </c>
      <c r="AQ1398" s="2">
        <v>0</v>
      </c>
      <c r="AR1398" s="2">
        <v>0</v>
      </c>
      <c r="AS1398" s="2">
        <v>0</v>
      </c>
      <c r="AT1398" s="2">
        <v>0</v>
      </c>
      <c r="AZ1398" s="2" t="s">
        <v>8649</v>
      </c>
      <c r="BB1398" s="2" t="str">
        <f>+PROPER(BD[[#This Row],[PRIMER_APELLIDO]])</f>
        <v>Lopez</v>
      </c>
    </row>
    <row r="1399" spans="1:54" x14ac:dyDescent="0.25">
      <c r="A1399" s="2">
        <v>1398</v>
      </c>
      <c r="B1399" s="2">
        <v>44343</v>
      </c>
      <c r="C1399" s="5" t="s">
        <v>619</v>
      </c>
      <c r="D1399" s="2" t="s">
        <v>620</v>
      </c>
      <c r="E1399" s="6" t="s">
        <v>8650</v>
      </c>
      <c r="F1399" s="6">
        <v>30710889</v>
      </c>
      <c r="G1399" s="3">
        <v>42</v>
      </c>
      <c r="I1399" s="7"/>
      <c r="J1399" s="7"/>
      <c r="K1399" s="8">
        <v>41.835616438356162</v>
      </c>
      <c r="L1399" s="2" t="s">
        <v>1223</v>
      </c>
      <c r="M1399" s="2" t="s">
        <v>8651</v>
      </c>
      <c r="N1399" s="2" t="s">
        <v>44</v>
      </c>
      <c r="O1399" s="2" t="s">
        <v>171</v>
      </c>
      <c r="P1399" s="2" t="s">
        <v>649</v>
      </c>
      <c r="Q1399" s="2" t="s">
        <v>351</v>
      </c>
      <c r="R1399" s="9">
        <v>29526</v>
      </c>
      <c r="S1399" s="9">
        <v>29526</v>
      </c>
      <c r="T1399" s="2" t="s">
        <v>627</v>
      </c>
      <c r="U1399" s="2" t="s">
        <v>627</v>
      </c>
      <c r="V1399" s="2" t="s">
        <v>627</v>
      </c>
      <c r="W1399" s="2" t="s">
        <v>627</v>
      </c>
      <c r="X1399" s="2" t="s">
        <v>8652</v>
      </c>
      <c r="Y1399" s="2" t="s">
        <v>8653</v>
      </c>
      <c r="Z1399" s="6">
        <v>88079920</v>
      </c>
      <c r="AA1399" s="2" t="s">
        <v>8654</v>
      </c>
      <c r="AB1399" s="2" t="s">
        <v>654</v>
      </c>
      <c r="AC1399" s="2" t="s">
        <v>632</v>
      </c>
      <c r="AD1399" s="10">
        <v>88079920</v>
      </c>
      <c r="AE1399" s="11"/>
      <c r="AF1399" s="11"/>
      <c r="AG1399" s="11">
        <v>88079920</v>
      </c>
      <c r="AH1399" s="11"/>
      <c r="AI1399" s="11"/>
      <c r="AJ1399" s="11">
        <v>88079920</v>
      </c>
      <c r="AK1399" s="12">
        <v>3</v>
      </c>
      <c r="AL1399" s="12" t="s">
        <v>7377</v>
      </c>
      <c r="AM1399" s="2">
        <v>0</v>
      </c>
      <c r="AN1399" s="2">
        <v>0</v>
      </c>
      <c r="AO1399" s="2">
        <v>0</v>
      </c>
      <c r="AP1399" s="2">
        <v>1</v>
      </c>
      <c r="AQ1399" s="2">
        <v>0</v>
      </c>
      <c r="AR1399" s="2">
        <v>0</v>
      </c>
      <c r="AS1399" s="2">
        <v>0</v>
      </c>
      <c r="AT1399" s="2">
        <v>0</v>
      </c>
      <c r="AZ1399" s="2" t="s">
        <v>8655</v>
      </c>
      <c r="BA1399" s="2" t="s">
        <v>8656</v>
      </c>
      <c r="BB1399" s="2" t="str">
        <f>+PROPER(BD[[#This Row],[PRIMER_APELLIDO]])</f>
        <v>Martinez</v>
      </c>
    </row>
    <row r="1400" spans="1:54" x14ac:dyDescent="0.25">
      <c r="A1400" s="2">
        <v>1399</v>
      </c>
      <c r="B1400" s="2">
        <v>42525</v>
      </c>
      <c r="C1400" s="5" t="s">
        <v>619</v>
      </c>
      <c r="D1400" s="2" t="s">
        <v>620</v>
      </c>
      <c r="E1400" s="6" t="s">
        <v>8657</v>
      </c>
      <c r="F1400" s="6">
        <v>27062120</v>
      </c>
      <c r="G1400" s="3">
        <v>42</v>
      </c>
      <c r="I1400" s="7"/>
      <c r="J1400" s="7"/>
      <c r="K1400" s="8">
        <v>41.843835616438355</v>
      </c>
      <c r="L1400" s="2" t="s">
        <v>8658</v>
      </c>
      <c r="M1400" s="2" t="s">
        <v>1626</v>
      </c>
      <c r="N1400" s="2" t="s">
        <v>14</v>
      </c>
      <c r="O1400" s="2" t="s">
        <v>10</v>
      </c>
      <c r="P1400" s="2" t="s">
        <v>626</v>
      </c>
      <c r="Q1400" s="2" t="s">
        <v>351</v>
      </c>
      <c r="R1400" s="9">
        <v>29523</v>
      </c>
      <c r="S1400" s="9">
        <v>29523</v>
      </c>
      <c r="T1400" s="2" t="s">
        <v>740</v>
      </c>
      <c r="U1400" s="2" t="s">
        <v>740</v>
      </c>
      <c r="V1400" s="2" t="s">
        <v>5278</v>
      </c>
      <c r="W1400" s="2" t="s">
        <v>5278</v>
      </c>
      <c r="X1400" s="2" t="s">
        <v>8659</v>
      </c>
      <c r="Y1400" s="2" t="s">
        <v>8660</v>
      </c>
      <c r="Z1400" s="6"/>
      <c r="AA1400" s="2">
        <v>89305495</v>
      </c>
      <c r="AB1400" s="2" t="s">
        <v>642</v>
      </c>
      <c r="AC1400" s="2" t="s">
        <v>632</v>
      </c>
      <c r="AD1400" s="10"/>
      <c r="AE1400" s="11"/>
      <c r="AF1400" s="11">
        <v>89305495</v>
      </c>
      <c r="AG1400" s="11"/>
      <c r="AH1400" s="11"/>
      <c r="AI1400" s="11"/>
      <c r="AJ1400" s="11">
        <v>89305495</v>
      </c>
      <c r="AK1400" s="12">
        <v>1</v>
      </c>
      <c r="AL1400" s="12" t="s">
        <v>7377</v>
      </c>
      <c r="AM1400" s="2">
        <v>0</v>
      </c>
      <c r="AN1400" s="2">
        <v>0</v>
      </c>
      <c r="AO1400" s="2">
        <v>0</v>
      </c>
      <c r="AP1400" s="2">
        <v>1</v>
      </c>
      <c r="AQ1400" s="2">
        <v>0</v>
      </c>
      <c r="AR1400" s="2">
        <v>0</v>
      </c>
      <c r="AS1400" s="2">
        <v>0</v>
      </c>
      <c r="AT1400" s="2">
        <v>0</v>
      </c>
      <c r="BB1400" s="2" t="str">
        <f>+PROPER(BD[[#This Row],[PRIMER_APELLIDO]])</f>
        <v>Gonzalez</v>
      </c>
    </row>
    <row r="1401" spans="1:54" x14ac:dyDescent="0.25">
      <c r="A1401" s="2">
        <v>1400</v>
      </c>
      <c r="B1401" s="2">
        <v>22473</v>
      </c>
      <c r="C1401" s="5" t="s">
        <v>619</v>
      </c>
      <c r="D1401" s="2" t="s">
        <v>620</v>
      </c>
      <c r="E1401" s="6" t="s">
        <v>8661</v>
      </c>
      <c r="F1401" s="6">
        <v>19608039</v>
      </c>
      <c r="G1401" s="3">
        <v>42</v>
      </c>
      <c r="I1401" s="7"/>
      <c r="J1401" s="7"/>
      <c r="K1401" s="8">
        <v>41.846575342465755</v>
      </c>
      <c r="L1401" s="2" t="s">
        <v>860</v>
      </c>
      <c r="M1401" s="2" t="s">
        <v>714</v>
      </c>
      <c r="N1401" s="2" t="s">
        <v>228</v>
      </c>
      <c r="O1401" s="2" t="s">
        <v>234</v>
      </c>
      <c r="P1401" s="2" t="s">
        <v>626</v>
      </c>
      <c r="Q1401" s="2" t="s">
        <v>351</v>
      </c>
      <c r="R1401" s="9">
        <v>29522</v>
      </c>
      <c r="S1401" s="9">
        <v>29522</v>
      </c>
      <c r="T1401" s="2" t="s">
        <v>176</v>
      </c>
      <c r="U1401" s="2" t="s">
        <v>176</v>
      </c>
      <c r="V1401" s="2" t="s">
        <v>650</v>
      </c>
      <c r="W1401" s="2" t="s">
        <v>176</v>
      </c>
      <c r="X1401" s="2" t="s">
        <v>8662</v>
      </c>
      <c r="Y1401" s="2" t="s">
        <v>8663</v>
      </c>
      <c r="Z1401" s="6"/>
      <c r="AA1401" s="2" t="s">
        <v>8664</v>
      </c>
      <c r="AB1401" s="2" t="s">
        <v>642</v>
      </c>
      <c r="AC1401" s="2" t="s">
        <v>632</v>
      </c>
      <c r="AD1401" s="10"/>
      <c r="AE1401" s="11"/>
      <c r="AF1401" s="11"/>
      <c r="AG1401" s="11">
        <v>88512146</v>
      </c>
      <c r="AH1401" s="11"/>
      <c r="AI1401" s="11"/>
      <c r="AJ1401" s="11">
        <v>88512146</v>
      </c>
      <c r="AK1401" s="12">
        <v>2</v>
      </c>
      <c r="AL1401" s="12" t="s">
        <v>7377</v>
      </c>
      <c r="AM1401" s="2">
        <v>0</v>
      </c>
      <c r="AN1401" s="2">
        <v>0</v>
      </c>
      <c r="AO1401" s="2">
        <v>0</v>
      </c>
      <c r="AP1401" s="2">
        <v>1</v>
      </c>
      <c r="AQ1401" s="2">
        <v>0</v>
      </c>
      <c r="AR1401" s="2">
        <v>0</v>
      </c>
      <c r="AS1401" s="2">
        <v>0</v>
      </c>
      <c r="AT1401" s="2">
        <v>0</v>
      </c>
      <c r="BB1401" s="2" t="str">
        <f>+PROPER(BD[[#This Row],[PRIMER_APELLIDO]])</f>
        <v>Melendez</v>
      </c>
    </row>
    <row r="1402" spans="1:54" x14ac:dyDescent="0.25">
      <c r="A1402" s="2">
        <v>1401</v>
      </c>
      <c r="B1402" s="2">
        <v>23687</v>
      </c>
      <c r="C1402" s="5" t="s">
        <v>619</v>
      </c>
      <c r="D1402" s="2" t="s">
        <v>620</v>
      </c>
      <c r="E1402" s="6" t="s">
        <v>8665</v>
      </c>
      <c r="F1402" s="6">
        <v>19065014</v>
      </c>
      <c r="G1402" s="3">
        <v>42</v>
      </c>
      <c r="I1402" s="7"/>
      <c r="J1402" s="7"/>
      <c r="K1402" s="8">
        <v>41.854794520547948</v>
      </c>
      <c r="L1402" s="2" t="s">
        <v>860</v>
      </c>
      <c r="M1402" s="2" t="s">
        <v>747</v>
      </c>
      <c r="N1402" s="2" t="s">
        <v>75</v>
      </c>
      <c r="O1402" s="2" t="s">
        <v>1059</v>
      </c>
      <c r="P1402" s="2" t="s">
        <v>626</v>
      </c>
      <c r="Q1402" s="2" t="s">
        <v>351</v>
      </c>
      <c r="R1402" s="9">
        <v>29519</v>
      </c>
      <c r="S1402" s="9">
        <v>29519</v>
      </c>
      <c r="T1402" s="2" t="s">
        <v>186</v>
      </c>
      <c r="U1402" s="2" t="s">
        <v>186</v>
      </c>
      <c r="V1402" s="2" t="s">
        <v>186</v>
      </c>
      <c r="W1402" s="2" t="s">
        <v>186</v>
      </c>
      <c r="X1402" s="2" t="s">
        <v>8666</v>
      </c>
      <c r="Y1402" s="2" t="s">
        <v>8667</v>
      </c>
      <c r="Z1402" s="6">
        <v>89095673</v>
      </c>
      <c r="AA1402" s="2">
        <v>89095673</v>
      </c>
      <c r="AB1402" s="2" t="s">
        <v>642</v>
      </c>
      <c r="AC1402" s="2" t="s">
        <v>632</v>
      </c>
      <c r="AD1402" s="10">
        <v>89095673</v>
      </c>
      <c r="AE1402" s="11"/>
      <c r="AF1402" s="11">
        <v>89095673</v>
      </c>
      <c r="AG1402" s="11"/>
      <c r="AH1402" s="11"/>
      <c r="AI1402" s="11"/>
      <c r="AJ1402" s="11">
        <v>89095673</v>
      </c>
      <c r="AK1402" s="12">
        <v>2</v>
      </c>
      <c r="AL1402" s="12" t="s">
        <v>7377</v>
      </c>
      <c r="AM1402" s="2">
        <v>0</v>
      </c>
      <c r="AN1402" s="2">
        <v>0</v>
      </c>
      <c r="AO1402" s="2">
        <v>0</v>
      </c>
      <c r="AP1402" s="2">
        <v>1</v>
      </c>
      <c r="AQ1402" s="2">
        <v>0</v>
      </c>
      <c r="AR1402" s="2">
        <v>0</v>
      </c>
      <c r="AS1402" s="2">
        <v>0</v>
      </c>
      <c r="AT1402" s="2">
        <v>0</v>
      </c>
      <c r="BB1402" s="2" t="str">
        <f>+PROPER(BD[[#This Row],[PRIMER_APELLIDO]])</f>
        <v>Vanegas</v>
      </c>
    </row>
    <row r="1403" spans="1:54" x14ac:dyDescent="0.25">
      <c r="A1403" s="2">
        <v>1402</v>
      </c>
      <c r="B1403" s="2">
        <v>56773</v>
      </c>
      <c r="C1403" s="5" t="s">
        <v>619</v>
      </c>
      <c r="D1403" s="2" t="s">
        <v>620</v>
      </c>
      <c r="E1403" s="6" t="s">
        <v>8668</v>
      </c>
      <c r="F1403" s="6"/>
      <c r="G1403" s="3">
        <v>42</v>
      </c>
      <c r="I1403" s="7"/>
      <c r="J1403" s="7"/>
      <c r="K1403" s="8">
        <v>41.857534246575341</v>
      </c>
      <c r="L1403" s="2" t="s">
        <v>8106</v>
      </c>
      <c r="M1403" s="2" t="s">
        <v>8669</v>
      </c>
      <c r="N1403" s="2" t="s">
        <v>32</v>
      </c>
      <c r="O1403" s="2" t="s">
        <v>9</v>
      </c>
      <c r="P1403" s="2" t="s">
        <v>649</v>
      </c>
      <c r="Q1403" s="2" t="s">
        <v>351</v>
      </c>
      <c r="R1403" s="9">
        <v>29518</v>
      </c>
      <c r="S1403" s="9">
        <v>29518</v>
      </c>
      <c r="T1403" s="2" t="s">
        <v>1104</v>
      </c>
      <c r="U1403" s="2" t="s">
        <v>1104</v>
      </c>
      <c r="V1403" s="2" t="s">
        <v>3078</v>
      </c>
      <c r="W1403" s="2" t="s">
        <v>3078</v>
      </c>
      <c r="X1403" s="2" t="s">
        <v>8670</v>
      </c>
      <c r="Y1403" s="2" t="s">
        <v>8671</v>
      </c>
      <c r="Z1403" s="6">
        <v>88129361</v>
      </c>
      <c r="AB1403" s="2" t="s">
        <v>654</v>
      </c>
      <c r="AC1403" s="2" t="s">
        <v>632</v>
      </c>
      <c r="AD1403" s="10">
        <v>88129361</v>
      </c>
      <c r="AE1403" s="11"/>
      <c r="AF1403" s="11"/>
      <c r="AG1403" s="11"/>
      <c r="AH1403" s="11"/>
      <c r="AI1403" s="11"/>
      <c r="AJ1403" s="11">
        <v>88129361</v>
      </c>
      <c r="AK1403" s="12">
        <v>1</v>
      </c>
      <c r="AL1403" s="12" t="s">
        <v>7377</v>
      </c>
      <c r="AM1403" s="2">
        <v>0</v>
      </c>
      <c r="AN1403" s="2">
        <v>0</v>
      </c>
      <c r="AO1403" s="2">
        <v>0</v>
      </c>
      <c r="AP1403" s="2">
        <v>1</v>
      </c>
      <c r="AQ1403" s="2">
        <v>0</v>
      </c>
      <c r="AR1403" s="2">
        <v>0</v>
      </c>
      <c r="AS1403" s="2">
        <v>0</v>
      </c>
      <c r="AT1403" s="2">
        <v>0</v>
      </c>
      <c r="AZ1403" s="2" t="s">
        <v>8672</v>
      </c>
      <c r="BB1403" s="2" t="str">
        <f>+PROPER(BD[[#This Row],[PRIMER_APELLIDO]])</f>
        <v>Cruz</v>
      </c>
    </row>
    <row r="1404" spans="1:54" x14ac:dyDescent="0.25">
      <c r="A1404" s="2">
        <v>1403</v>
      </c>
      <c r="B1404" s="2">
        <v>22858</v>
      </c>
      <c r="C1404" s="5" t="s">
        <v>619</v>
      </c>
      <c r="D1404" s="2" t="s">
        <v>620</v>
      </c>
      <c r="E1404" s="6" t="s">
        <v>8673</v>
      </c>
      <c r="F1404" s="6">
        <v>19184506</v>
      </c>
      <c r="G1404" s="3">
        <v>42</v>
      </c>
      <c r="I1404" s="7"/>
      <c r="J1404" s="7"/>
      <c r="K1404" s="8">
        <v>41.865753424657534</v>
      </c>
      <c r="L1404" s="2" t="s">
        <v>724</v>
      </c>
      <c r="M1404" s="2" t="s">
        <v>243</v>
      </c>
      <c r="N1404" s="2" t="s">
        <v>189</v>
      </c>
      <c r="O1404" s="2" t="s">
        <v>311</v>
      </c>
      <c r="P1404" s="2" t="s">
        <v>626</v>
      </c>
      <c r="Q1404" s="2" t="s">
        <v>351</v>
      </c>
      <c r="R1404" s="9">
        <v>29515</v>
      </c>
      <c r="S1404" s="9">
        <v>29515</v>
      </c>
      <c r="T1404" s="2" t="s">
        <v>627</v>
      </c>
      <c r="U1404" s="2" t="s">
        <v>627</v>
      </c>
      <c r="V1404" s="2" t="s">
        <v>627</v>
      </c>
      <c r="W1404" s="2" t="s">
        <v>627</v>
      </c>
      <c r="X1404" s="2" t="s">
        <v>8674</v>
      </c>
      <c r="Y1404" s="2" t="s">
        <v>8675</v>
      </c>
      <c r="Z1404" s="6">
        <v>86817336</v>
      </c>
      <c r="AA1404" s="2" t="s">
        <v>8676</v>
      </c>
      <c r="AB1404" s="2" t="s">
        <v>642</v>
      </c>
      <c r="AC1404" s="2" t="s">
        <v>632</v>
      </c>
      <c r="AD1404" s="10">
        <v>86817336</v>
      </c>
      <c r="AE1404" s="11"/>
      <c r="AF1404" s="11">
        <v>89558690</v>
      </c>
      <c r="AG1404" s="11">
        <v>84741241</v>
      </c>
      <c r="AH1404" s="11"/>
      <c r="AI1404" s="11"/>
      <c r="AJ1404" s="11">
        <v>86817336</v>
      </c>
      <c r="AK1404" s="12">
        <v>3</v>
      </c>
      <c r="AL1404" s="12" t="s">
        <v>7377</v>
      </c>
      <c r="AM1404" s="2">
        <v>0</v>
      </c>
      <c r="AN1404" s="2">
        <v>0</v>
      </c>
      <c r="AO1404" s="2">
        <v>0</v>
      </c>
      <c r="AP1404" s="2">
        <v>1</v>
      </c>
      <c r="AQ1404" s="2">
        <v>0</v>
      </c>
      <c r="AR1404" s="2">
        <v>0</v>
      </c>
      <c r="AS1404" s="2">
        <v>0</v>
      </c>
      <c r="AT1404" s="2">
        <v>0</v>
      </c>
      <c r="BB1404" s="2" t="str">
        <f>+PROPER(BD[[#This Row],[PRIMER_APELLIDO]])</f>
        <v>Contreras</v>
      </c>
    </row>
    <row r="1405" spans="1:54" x14ac:dyDescent="0.25">
      <c r="A1405" s="2">
        <v>1404</v>
      </c>
      <c r="B1405" s="2">
        <v>23426</v>
      </c>
      <c r="C1405" s="5" t="s">
        <v>619</v>
      </c>
      <c r="D1405" s="2" t="s">
        <v>620</v>
      </c>
      <c r="E1405" s="6" t="s">
        <v>8677</v>
      </c>
      <c r="F1405" s="6">
        <v>20418562</v>
      </c>
      <c r="G1405" s="3">
        <v>42</v>
      </c>
      <c r="I1405" s="7"/>
      <c r="J1405" s="7"/>
      <c r="K1405" s="8">
        <v>41.868493150684934</v>
      </c>
      <c r="L1405" s="2" t="s">
        <v>6706</v>
      </c>
      <c r="M1405" s="2" t="s">
        <v>787</v>
      </c>
      <c r="N1405" s="2" t="s">
        <v>230</v>
      </c>
      <c r="O1405" s="2" t="s">
        <v>15</v>
      </c>
      <c r="P1405" s="2" t="s">
        <v>626</v>
      </c>
      <c r="Q1405" s="2" t="s">
        <v>351</v>
      </c>
      <c r="R1405" s="9">
        <v>29514</v>
      </c>
      <c r="S1405" s="9">
        <v>29514</v>
      </c>
      <c r="T1405" s="2" t="s">
        <v>133</v>
      </c>
      <c r="U1405" s="2" t="s">
        <v>133</v>
      </c>
      <c r="V1405" s="2" t="s">
        <v>869</v>
      </c>
      <c r="W1405" s="2" t="s">
        <v>869</v>
      </c>
      <c r="X1405" s="2" t="s">
        <v>8678</v>
      </c>
      <c r="Y1405" s="2" t="s">
        <v>8679</v>
      </c>
      <c r="Z1405" s="6">
        <v>82046115</v>
      </c>
      <c r="AB1405" s="2" t="s">
        <v>654</v>
      </c>
      <c r="AC1405" s="2" t="s">
        <v>632</v>
      </c>
      <c r="AD1405" s="10">
        <v>82046115</v>
      </c>
      <c r="AE1405" s="11"/>
      <c r="AF1405" s="11"/>
      <c r="AG1405" s="11"/>
      <c r="AH1405" s="11"/>
      <c r="AI1405" s="11"/>
      <c r="AJ1405" s="11">
        <v>82046115</v>
      </c>
      <c r="AK1405" s="12">
        <v>1</v>
      </c>
      <c r="AL1405" s="12" t="s">
        <v>7377</v>
      </c>
      <c r="AM1405" s="2">
        <v>0</v>
      </c>
      <c r="AN1405" s="2">
        <v>0</v>
      </c>
      <c r="AO1405" s="2">
        <v>0</v>
      </c>
      <c r="AP1405" s="2">
        <v>1</v>
      </c>
      <c r="AQ1405" s="2">
        <v>0</v>
      </c>
      <c r="AR1405" s="2">
        <v>0</v>
      </c>
      <c r="AS1405" s="2">
        <v>0</v>
      </c>
      <c r="AT1405" s="2">
        <v>0</v>
      </c>
      <c r="BB1405" s="2" t="str">
        <f>+PROPER(BD[[#This Row],[PRIMER_APELLIDO]])</f>
        <v>Brenes</v>
      </c>
    </row>
    <row r="1406" spans="1:54" x14ac:dyDescent="0.25">
      <c r="A1406" s="2">
        <v>1405</v>
      </c>
      <c r="B1406" s="2">
        <v>67794</v>
      </c>
      <c r="C1406" s="5" t="s">
        <v>619</v>
      </c>
      <c r="D1406" s="2" t="s">
        <v>620</v>
      </c>
      <c r="E1406" s="6" t="s">
        <v>8680</v>
      </c>
      <c r="F1406" s="6"/>
      <c r="G1406" s="3">
        <v>42</v>
      </c>
      <c r="I1406" s="7"/>
      <c r="J1406" s="7"/>
      <c r="K1406" s="8">
        <v>41.868493150684934</v>
      </c>
      <c r="L1406" s="2" t="s">
        <v>3958</v>
      </c>
      <c r="M1406" s="2" t="s">
        <v>2175</v>
      </c>
      <c r="N1406" s="2" t="s">
        <v>499</v>
      </c>
      <c r="O1406" s="2" t="s">
        <v>179</v>
      </c>
      <c r="P1406" s="2" t="s">
        <v>649</v>
      </c>
      <c r="Q1406" s="2" t="s">
        <v>351</v>
      </c>
      <c r="R1406" s="9">
        <v>29514</v>
      </c>
      <c r="S1406" s="9">
        <v>29514</v>
      </c>
      <c r="T1406" s="2" t="s">
        <v>627</v>
      </c>
      <c r="U1406" s="2" t="s">
        <v>732</v>
      </c>
      <c r="V1406" s="2" t="s">
        <v>627</v>
      </c>
      <c r="W1406" s="2" t="s">
        <v>848</v>
      </c>
      <c r="X1406" s="2" t="s">
        <v>8681</v>
      </c>
      <c r="Y1406" s="2" t="s">
        <v>8682</v>
      </c>
      <c r="Z1406" s="6">
        <v>86362500</v>
      </c>
      <c r="AA1406" s="2">
        <v>22225972</v>
      </c>
      <c r="AB1406" s="2" t="s">
        <v>894</v>
      </c>
      <c r="AC1406" s="2" t="s">
        <v>632</v>
      </c>
      <c r="AD1406" s="10">
        <v>86362500</v>
      </c>
      <c r="AE1406" s="11"/>
      <c r="AF1406" s="11"/>
      <c r="AG1406" s="11"/>
      <c r="AH1406" s="11"/>
      <c r="AI1406" s="11"/>
      <c r="AJ1406" s="11">
        <v>86362500</v>
      </c>
      <c r="AK1406" s="12">
        <v>2</v>
      </c>
      <c r="AL1406" s="12" t="s">
        <v>7377</v>
      </c>
      <c r="AM1406" s="2">
        <v>0</v>
      </c>
      <c r="AN1406" s="2">
        <v>0</v>
      </c>
      <c r="AO1406" s="2">
        <v>0</v>
      </c>
      <c r="AP1406" s="2">
        <v>1</v>
      </c>
      <c r="AQ1406" s="2">
        <v>0</v>
      </c>
      <c r="AR1406" s="2">
        <v>0</v>
      </c>
      <c r="AS1406" s="2">
        <v>0</v>
      </c>
      <c r="AT1406" s="2">
        <v>0</v>
      </c>
      <c r="AZ1406" s="2" t="s">
        <v>8683</v>
      </c>
      <c r="BB1406" s="2" t="str">
        <f>+PROPER(BD[[#This Row],[PRIMER_APELLIDO]])</f>
        <v>Debbe</v>
      </c>
    </row>
    <row r="1407" spans="1:54" x14ac:dyDescent="0.25">
      <c r="A1407" s="2">
        <v>1406</v>
      </c>
      <c r="B1407" s="2">
        <v>29424</v>
      </c>
      <c r="C1407" s="5" t="s">
        <v>619</v>
      </c>
      <c r="D1407" s="2" t="s">
        <v>620</v>
      </c>
      <c r="E1407" s="6" t="s">
        <v>8684</v>
      </c>
      <c r="F1407" s="6">
        <v>14010642</v>
      </c>
      <c r="G1407" s="3">
        <v>42</v>
      </c>
      <c r="I1407" s="7"/>
      <c r="J1407" s="7"/>
      <c r="K1407" s="8">
        <v>41.87945205479452</v>
      </c>
      <c r="L1407" s="2" t="s">
        <v>8685</v>
      </c>
      <c r="M1407" s="2" t="s">
        <v>1450</v>
      </c>
      <c r="N1407" s="2" t="s">
        <v>130</v>
      </c>
      <c r="O1407" s="2" t="s">
        <v>32</v>
      </c>
      <c r="P1407" s="2" t="s">
        <v>649</v>
      </c>
      <c r="Q1407" s="2" t="s">
        <v>351</v>
      </c>
      <c r="R1407" s="9">
        <v>29510</v>
      </c>
      <c r="S1407" s="9">
        <v>29510</v>
      </c>
      <c r="T1407" s="2" t="s">
        <v>732</v>
      </c>
      <c r="U1407" s="2" t="s">
        <v>732</v>
      </c>
      <c r="V1407" s="2" t="s">
        <v>732</v>
      </c>
      <c r="W1407" s="2" t="s">
        <v>732</v>
      </c>
      <c r="X1407" s="2" t="s">
        <v>8686</v>
      </c>
      <c r="Y1407" s="2" t="s">
        <v>8687</v>
      </c>
      <c r="Z1407" s="6">
        <v>86620054</v>
      </c>
      <c r="AB1407" s="2" t="s">
        <v>654</v>
      </c>
      <c r="AC1407" s="2" t="s">
        <v>632</v>
      </c>
      <c r="AD1407" s="10">
        <v>86620054</v>
      </c>
      <c r="AE1407" s="11"/>
      <c r="AF1407" s="11"/>
      <c r="AG1407" s="11"/>
      <c r="AH1407" s="11"/>
      <c r="AI1407" s="11"/>
      <c r="AJ1407" s="11">
        <v>86620054</v>
      </c>
      <c r="AK1407" s="12">
        <v>1</v>
      </c>
      <c r="AL1407" s="12" t="s">
        <v>7377</v>
      </c>
      <c r="AM1407" s="2">
        <v>0</v>
      </c>
      <c r="AN1407" s="2">
        <v>0</v>
      </c>
      <c r="AO1407" s="2">
        <v>0</v>
      </c>
      <c r="AP1407" s="2">
        <v>1</v>
      </c>
      <c r="AQ1407" s="2">
        <v>0</v>
      </c>
      <c r="AR1407" s="2">
        <v>0</v>
      </c>
      <c r="AS1407" s="2">
        <v>0</v>
      </c>
      <c r="AT1407" s="2">
        <v>0</v>
      </c>
      <c r="AZ1407" s="2" t="s">
        <v>8688</v>
      </c>
      <c r="BB1407" s="2" t="str">
        <f>+PROPER(BD[[#This Row],[PRIMER_APELLIDO]])</f>
        <v>Mejia</v>
      </c>
    </row>
    <row r="1408" spans="1:54" x14ac:dyDescent="0.25">
      <c r="A1408" s="2">
        <v>1407</v>
      </c>
      <c r="B1408" s="2">
        <v>25273</v>
      </c>
      <c r="C1408" s="5" t="s">
        <v>619</v>
      </c>
      <c r="D1408" s="2" t="s">
        <v>620</v>
      </c>
      <c r="E1408" s="6" t="s">
        <v>8689</v>
      </c>
      <c r="F1408" s="6">
        <v>23335552</v>
      </c>
      <c r="G1408" s="3">
        <v>42</v>
      </c>
      <c r="I1408" s="7"/>
      <c r="J1408" s="7"/>
      <c r="K1408" s="8">
        <v>41.884931506849313</v>
      </c>
      <c r="L1408" s="2" t="s">
        <v>714</v>
      </c>
      <c r="M1408" s="2" t="s">
        <v>3736</v>
      </c>
      <c r="N1408" s="2" t="s">
        <v>266</v>
      </c>
      <c r="O1408" s="2" t="s">
        <v>8690</v>
      </c>
      <c r="P1408" s="2" t="s">
        <v>626</v>
      </c>
      <c r="Q1408" s="2" t="s">
        <v>351</v>
      </c>
      <c r="R1408" s="9">
        <v>29508</v>
      </c>
      <c r="S1408" s="9">
        <v>29508</v>
      </c>
      <c r="U1408" s="2" t="s">
        <v>627</v>
      </c>
      <c r="W1408" s="2" t="s">
        <v>627</v>
      </c>
      <c r="Y1408" s="2" t="s">
        <v>8691</v>
      </c>
      <c r="Z1408" s="6"/>
      <c r="AA1408" s="2" t="s">
        <v>8692</v>
      </c>
      <c r="AB1408" s="2" t="s">
        <v>642</v>
      </c>
      <c r="AC1408" s="2" t="s">
        <v>632</v>
      </c>
      <c r="AD1408" s="10"/>
      <c r="AE1408" s="11"/>
      <c r="AF1408" s="11">
        <v>85661943</v>
      </c>
      <c r="AG1408" s="11">
        <v>82659528</v>
      </c>
      <c r="AH1408" s="11"/>
      <c r="AI1408" s="11"/>
      <c r="AJ1408" s="11">
        <v>85661943</v>
      </c>
      <c r="AK1408" s="12">
        <v>2</v>
      </c>
      <c r="AL1408" s="12" t="s">
        <v>7377</v>
      </c>
      <c r="AM1408" s="2">
        <v>0</v>
      </c>
      <c r="AN1408" s="2">
        <v>0</v>
      </c>
      <c r="AO1408" s="2">
        <v>0</v>
      </c>
      <c r="AP1408" s="2">
        <v>1</v>
      </c>
      <c r="AQ1408" s="2">
        <v>0</v>
      </c>
      <c r="AR1408" s="2">
        <v>0</v>
      </c>
      <c r="AS1408" s="2">
        <v>0</v>
      </c>
      <c r="AT1408" s="2">
        <v>0</v>
      </c>
      <c r="BB1408" s="2" t="str">
        <f>+PROPER(BD[[#This Row],[PRIMER_APELLIDO]])</f>
        <v>Conrado</v>
      </c>
    </row>
    <row r="1409" spans="1:54" x14ac:dyDescent="0.25">
      <c r="A1409" s="2">
        <v>1408</v>
      </c>
      <c r="B1409" s="2">
        <v>32757</v>
      </c>
      <c r="C1409" s="5" t="s">
        <v>619</v>
      </c>
      <c r="D1409" s="2" t="s">
        <v>620</v>
      </c>
      <c r="E1409" s="6" t="s">
        <v>8693</v>
      </c>
      <c r="F1409" s="6">
        <v>16369977</v>
      </c>
      <c r="G1409" s="3">
        <v>42</v>
      </c>
      <c r="I1409" s="7"/>
      <c r="J1409" s="7"/>
      <c r="K1409" s="8">
        <v>41.895890410958906</v>
      </c>
      <c r="L1409" s="2" t="s">
        <v>6706</v>
      </c>
      <c r="N1409" s="2" t="s">
        <v>348</v>
      </c>
      <c r="O1409" s="2" t="s">
        <v>8694</v>
      </c>
      <c r="P1409" s="2" t="s">
        <v>626</v>
      </c>
      <c r="Q1409" s="2" t="s">
        <v>351</v>
      </c>
      <c r="R1409" s="9">
        <v>29504</v>
      </c>
      <c r="S1409" s="9">
        <v>29504</v>
      </c>
      <c r="T1409" s="2" t="s">
        <v>627</v>
      </c>
      <c r="U1409" s="2" t="s">
        <v>627</v>
      </c>
      <c r="V1409" s="2" t="s">
        <v>1406</v>
      </c>
      <c r="W1409" s="2" t="s">
        <v>1406</v>
      </c>
      <c r="X1409" s="2" t="s">
        <v>8695</v>
      </c>
      <c r="Y1409" s="2" t="s">
        <v>8696</v>
      </c>
      <c r="Z1409" s="6"/>
      <c r="AA1409" s="2">
        <v>87419886</v>
      </c>
      <c r="AB1409" s="2" t="s">
        <v>654</v>
      </c>
      <c r="AC1409" s="2" t="s">
        <v>632</v>
      </c>
      <c r="AD1409" s="10"/>
      <c r="AE1409" s="11"/>
      <c r="AF1409" s="11">
        <v>87419886</v>
      </c>
      <c r="AG1409" s="11"/>
      <c r="AH1409" s="11"/>
      <c r="AI1409" s="11"/>
      <c r="AJ1409" s="11">
        <v>87419886</v>
      </c>
      <c r="AK1409" s="12">
        <v>1</v>
      </c>
      <c r="AL1409" s="12" t="s">
        <v>7377</v>
      </c>
      <c r="AM1409" s="2">
        <v>0</v>
      </c>
      <c r="AN1409" s="2">
        <v>0</v>
      </c>
      <c r="AO1409" s="2">
        <v>0</v>
      </c>
      <c r="AP1409" s="2">
        <v>1</v>
      </c>
      <c r="AQ1409" s="2">
        <v>0</v>
      </c>
      <c r="AR1409" s="2">
        <v>0</v>
      </c>
      <c r="AS1409" s="2">
        <v>0</v>
      </c>
      <c r="AT1409" s="2">
        <v>0</v>
      </c>
      <c r="BB1409" s="2" t="str">
        <f>+PROPER(BD[[#This Row],[PRIMER_APELLIDO]])</f>
        <v>Sequeira</v>
      </c>
    </row>
    <row r="1410" spans="1:54" x14ac:dyDescent="0.25">
      <c r="A1410" s="2">
        <v>1409</v>
      </c>
      <c r="B1410" s="2">
        <v>21377</v>
      </c>
      <c r="C1410" s="5" t="s">
        <v>619</v>
      </c>
      <c r="D1410" s="2" t="s">
        <v>620</v>
      </c>
      <c r="E1410" s="6" t="s">
        <v>8697</v>
      </c>
      <c r="F1410" s="6"/>
      <c r="G1410" s="3">
        <v>42</v>
      </c>
      <c r="I1410" s="7"/>
      <c r="J1410" s="7"/>
      <c r="K1410" s="8">
        <v>41.898630136986299</v>
      </c>
      <c r="L1410" s="2" t="s">
        <v>8698</v>
      </c>
      <c r="M1410" s="2" t="s">
        <v>975</v>
      </c>
      <c r="N1410" s="2" t="s">
        <v>160</v>
      </c>
      <c r="O1410" s="2" t="s">
        <v>201</v>
      </c>
      <c r="P1410" s="2" t="s">
        <v>649</v>
      </c>
      <c r="Q1410" s="2" t="s">
        <v>351</v>
      </c>
      <c r="R1410" s="9">
        <v>29503</v>
      </c>
      <c r="S1410" s="9">
        <v>29503</v>
      </c>
      <c r="T1410" s="2" t="s">
        <v>176</v>
      </c>
      <c r="U1410" s="2" t="s">
        <v>176</v>
      </c>
      <c r="V1410" s="2" t="s">
        <v>997</v>
      </c>
      <c r="W1410" s="2" t="s">
        <v>997</v>
      </c>
      <c r="X1410" s="2" t="s">
        <v>8699</v>
      </c>
      <c r="Y1410" s="2" t="s">
        <v>8700</v>
      </c>
      <c r="Z1410" s="6">
        <v>88031154</v>
      </c>
      <c r="AA1410" s="2" t="s">
        <v>8701</v>
      </c>
      <c r="AB1410" s="2" t="s">
        <v>654</v>
      </c>
      <c r="AC1410" s="2" t="s">
        <v>632</v>
      </c>
      <c r="AD1410" s="10">
        <v>88031154</v>
      </c>
      <c r="AE1410" s="11"/>
      <c r="AF1410" s="11"/>
      <c r="AG1410" s="11">
        <v>23131192</v>
      </c>
      <c r="AH1410" s="11">
        <v>57866008</v>
      </c>
      <c r="AI1410" s="11"/>
      <c r="AJ1410" s="11">
        <v>88031154</v>
      </c>
      <c r="AK1410" s="12">
        <v>4</v>
      </c>
      <c r="AL1410" s="12" t="s">
        <v>7377</v>
      </c>
      <c r="AM1410" s="2">
        <v>0</v>
      </c>
      <c r="AN1410" s="2">
        <v>0</v>
      </c>
      <c r="AO1410" s="2">
        <v>0</v>
      </c>
      <c r="AP1410" s="2">
        <v>1</v>
      </c>
      <c r="AQ1410" s="2">
        <v>0</v>
      </c>
      <c r="AR1410" s="2">
        <v>0</v>
      </c>
      <c r="AS1410" s="2">
        <v>0</v>
      </c>
      <c r="AT1410" s="2">
        <v>0</v>
      </c>
      <c r="AZ1410" s="2" t="s">
        <v>8702</v>
      </c>
      <c r="BB1410" s="2" t="str">
        <f>+PROPER(BD[[#This Row],[PRIMER_APELLIDO]])</f>
        <v>Novoa</v>
      </c>
    </row>
    <row r="1411" spans="1:54" x14ac:dyDescent="0.25">
      <c r="A1411" s="2">
        <v>1410</v>
      </c>
      <c r="B1411" s="2">
        <v>33686</v>
      </c>
      <c r="C1411" s="5" t="s">
        <v>619</v>
      </c>
      <c r="D1411" s="2" t="s">
        <v>620</v>
      </c>
      <c r="E1411" s="6" t="s">
        <v>8703</v>
      </c>
      <c r="F1411" s="6">
        <v>22199665</v>
      </c>
      <c r="G1411" s="3">
        <v>42</v>
      </c>
      <c r="I1411" s="7"/>
      <c r="J1411" s="7"/>
      <c r="K1411" s="8">
        <v>41.898630136986299</v>
      </c>
      <c r="L1411" s="2" t="s">
        <v>4597</v>
      </c>
      <c r="M1411" s="2" t="s">
        <v>1844</v>
      </c>
      <c r="N1411" s="2" t="s">
        <v>44</v>
      </c>
      <c r="O1411" s="2" t="s">
        <v>4386</v>
      </c>
      <c r="P1411" s="2" t="s">
        <v>626</v>
      </c>
      <c r="Q1411" s="2" t="s">
        <v>351</v>
      </c>
      <c r="R1411" s="9">
        <v>29503</v>
      </c>
      <c r="S1411" s="9">
        <v>29503</v>
      </c>
      <c r="T1411" s="2" t="s">
        <v>176</v>
      </c>
      <c r="U1411" s="2" t="s">
        <v>176</v>
      </c>
      <c r="V1411" s="2" t="s">
        <v>997</v>
      </c>
      <c r="W1411" s="2" t="s">
        <v>997</v>
      </c>
      <c r="X1411" s="2" t="s">
        <v>8704</v>
      </c>
      <c r="Y1411" s="2" t="s">
        <v>8705</v>
      </c>
      <c r="Z1411" s="6">
        <v>89256663</v>
      </c>
      <c r="AA1411" s="2" t="s">
        <v>8706</v>
      </c>
      <c r="AB1411" s="2" t="s">
        <v>631</v>
      </c>
      <c r="AC1411" s="2" t="s">
        <v>632</v>
      </c>
      <c r="AD1411" s="10">
        <v>89256663</v>
      </c>
      <c r="AE1411" s="11"/>
      <c r="AF1411" s="11"/>
      <c r="AG1411" s="11">
        <v>89256663</v>
      </c>
      <c r="AH1411" s="11"/>
      <c r="AI1411" s="11"/>
      <c r="AJ1411" s="11">
        <v>89256663</v>
      </c>
      <c r="AK1411" s="12">
        <v>3</v>
      </c>
      <c r="AL1411" s="12" t="s">
        <v>7377</v>
      </c>
      <c r="AM1411" s="2">
        <v>0</v>
      </c>
      <c r="AN1411" s="2">
        <v>0</v>
      </c>
      <c r="AO1411" s="2">
        <v>0</v>
      </c>
      <c r="AP1411" s="2">
        <v>1</v>
      </c>
      <c r="AQ1411" s="2">
        <v>0</v>
      </c>
      <c r="AR1411" s="2">
        <v>0</v>
      </c>
      <c r="AS1411" s="2">
        <v>0</v>
      </c>
      <c r="AT1411" s="2">
        <v>0</v>
      </c>
      <c r="AZ1411" s="2" t="s">
        <v>8707</v>
      </c>
      <c r="BB1411" s="2" t="str">
        <f>+PROPER(BD[[#This Row],[PRIMER_APELLIDO]])</f>
        <v>Martinez</v>
      </c>
    </row>
    <row r="1412" spans="1:54" x14ac:dyDescent="0.25">
      <c r="A1412" s="2">
        <v>1411</v>
      </c>
      <c r="B1412" s="2">
        <v>34466</v>
      </c>
      <c r="C1412" s="5" t="s">
        <v>619</v>
      </c>
      <c r="D1412" s="2" t="s">
        <v>620</v>
      </c>
      <c r="E1412" s="6" t="s">
        <v>8708</v>
      </c>
      <c r="F1412" s="6">
        <v>22684523</v>
      </c>
      <c r="G1412" s="3">
        <v>42</v>
      </c>
      <c r="I1412" s="7"/>
      <c r="J1412" s="7"/>
      <c r="K1412" s="8">
        <v>41.898630136986299</v>
      </c>
      <c r="L1412" s="2" t="s">
        <v>8709</v>
      </c>
      <c r="M1412" s="2" t="s">
        <v>1626</v>
      </c>
      <c r="N1412" s="2" t="s">
        <v>109</v>
      </c>
      <c r="O1412" s="2" t="s">
        <v>64</v>
      </c>
      <c r="P1412" s="2" t="s">
        <v>626</v>
      </c>
      <c r="Q1412" s="2" t="s">
        <v>351</v>
      </c>
      <c r="R1412" s="9">
        <v>29503</v>
      </c>
      <c r="S1412" s="9">
        <v>29503</v>
      </c>
      <c r="T1412" s="2" t="s">
        <v>669</v>
      </c>
      <c r="U1412" s="2" t="s">
        <v>627</v>
      </c>
      <c r="V1412" s="2" t="s">
        <v>670</v>
      </c>
      <c r="W1412" s="2" t="s">
        <v>627</v>
      </c>
      <c r="X1412" s="2" t="s">
        <v>8710</v>
      </c>
      <c r="Y1412" s="2" t="s">
        <v>8711</v>
      </c>
      <c r="Z1412" s="6">
        <v>86542772</v>
      </c>
      <c r="AB1412" s="2" t="s">
        <v>798</v>
      </c>
      <c r="AC1412" s="2" t="s">
        <v>632</v>
      </c>
      <c r="AD1412" s="10">
        <v>86542772</v>
      </c>
      <c r="AE1412" s="11"/>
      <c r="AF1412" s="11"/>
      <c r="AG1412" s="11"/>
      <c r="AH1412" s="11"/>
      <c r="AI1412" s="11"/>
      <c r="AJ1412" s="11">
        <v>86542772</v>
      </c>
      <c r="AK1412" s="12">
        <v>1</v>
      </c>
      <c r="AL1412" s="12" t="s">
        <v>7377</v>
      </c>
      <c r="AM1412" s="2">
        <v>0</v>
      </c>
      <c r="AN1412" s="2">
        <v>0</v>
      </c>
      <c r="AO1412" s="2">
        <v>0</v>
      </c>
      <c r="AP1412" s="2">
        <v>1</v>
      </c>
      <c r="AQ1412" s="2">
        <v>0</v>
      </c>
      <c r="AR1412" s="2">
        <v>0</v>
      </c>
      <c r="AS1412" s="2">
        <v>0</v>
      </c>
      <c r="AT1412" s="2">
        <v>0</v>
      </c>
      <c r="BB1412" s="2" t="str">
        <f>+PROPER(BD[[#This Row],[PRIMER_APELLIDO]])</f>
        <v>Ortiz</v>
      </c>
    </row>
    <row r="1413" spans="1:54" x14ac:dyDescent="0.25">
      <c r="A1413" s="2">
        <v>1412</v>
      </c>
      <c r="B1413" s="2">
        <v>20176</v>
      </c>
      <c r="C1413" s="5" t="s">
        <v>619</v>
      </c>
      <c r="D1413" s="2" t="s">
        <v>620</v>
      </c>
      <c r="E1413" s="6" t="s">
        <v>8712</v>
      </c>
      <c r="F1413" s="6">
        <v>16866421</v>
      </c>
      <c r="G1413" s="3">
        <v>42</v>
      </c>
      <c r="I1413" s="7"/>
      <c r="J1413" s="7"/>
      <c r="K1413" s="8">
        <v>41.906849315068492</v>
      </c>
      <c r="L1413" s="2" t="s">
        <v>8713</v>
      </c>
      <c r="M1413" s="2" t="s">
        <v>683</v>
      </c>
      <c r="N1413" s="2" t="s">
        <v>189</v>
      </c>
      <c r="O1413" s="2" t="s">
        <v>8619</v>
      </c>
      <c r="P1413" s="2" t="s">
        <v>626</v>
      </c>
      <c r="Q1413" s="2" t="s">
        <v>351</v>
      </c>
      <c r="R1413" s="9">
        <v>29500</v>
      </c>
      <c r="S1413" s="9">
        <v>29500</v>
      </c>
      <c r="T1413" s="2" t="s">
        <v>627</v>
      </c>
      <c r="U1413" s="2" t="s">
        <v>627</v>
      </c>
      <c r="V1413" s="2" t="s">
        <v>627</v>
      </c>
      <c r="W1413" s="2" t="s">
        <v>627</v>
      </c>
      <c r="X1413" s="2" t="s">
        <v>8714</v>
      </c>
      <c r="Y1413" s="2" t="s">
        <v>8715</v>
      </c>
      <c r="Z1413" s="6">
        <v>87538518</v>
      </c>
      <c r="AA1413" s="2">
        <v>87538518</v>
      </c>
      <c r="AB1413" s="2" t="s">
        <v>642</v>
      </c>
      <c r="AC1413" s="2" t="s">
        <v>632</v>
      </c>
      <c r="AD1413" s="10">
        <v>87538518</v>
      </c>
      <c r="AE1413" s="11"/>
      <c r="AF1413" s="11">
        <v>87538518</v>
      </c>
      <c r="AG1413" s="11"/>
      <c r="AH1413" s="11"/>
      <c r="AI1413" s="11"/>
      <c r="AJ1413" s="11">
        <v>87538518</v>
      </c>
      <c r="AK1413" s="12">
        <v>2</v>
      </c>
      <c r="AL1413" s="12" t="s">
        <v>7377</v>
      </c>
      <c r="AM1413" s="2">
        <v>0</v>
      </c>
      <c r="AN1413" s="2">
        <v>0</v>
      </c>
      <c r="AO1413" s="2">
        <v>0</v>
      </c>
      <c r="AP1413" s="2">
        <v>1</v>
      </c>
      <c r="AQ1413" s="2">
        <v>0</v>
      </c>
      <c r="AR1413" s="2">
        <v>0</v>
      </c>
      <c r="AS1413" s="2">
        <v>0</v>
      </c>
      <c r="AT1413" s="2">
        <v>0</v>
      </c>
      <c r="AZ1413" s="2" t="s">
        <v>8716</v>
      </c>
      <c r="BB1413" s="2" t="str">
        <f>+PROPER(BD[[#This Row],[PRIMER_APELLIDO]])</f>
        <v>Contreras</v>
      </c>
    </row>
    <row r="1414" spans="1:54" x14ac:dyDescent="0.25">
      <c r="A1414" s="2">
        <v>1413</v>
      </c>
      <c r="B1414" s="2">
        <v>24101</v>
      </c>
      <c r="C1414" s="5" t="s">
        <v>619</v>
      </c>
      <c r="D1414" s="2" t="s">
        <v>620</v>
      </c>
      <c r="E1414" s="6" t="s">
        <v>8717</v>
      </c>
      <c r="F1414" s="6">
        <v>13429968</v>
      </c>
      <c r="G1414" s="3">
        <v>42</v>
      </c>
      <c r="I1414" s="7"/>
      <c r="J1414" s="7"/>
      <c r="K1414" s="8">
        <v>41.906849315068492</v>
      </c>
      <c r="L1414" s="2" t="s">
        <v>8718</v>
      </c>
      <c r="M1414" s="2" t="s">
        <v>8719</v>
      </c>
      <c r="N1414" s="2" t="s">
        <v>189</v>
      </c>
      <c r="O1414" s="2" t="s">
        <v>8720</v>
      </c>
      <c r="P1414" s="2" t="s">
        <v>626</v>
      </c>
      <c r="Q1414" s="2" t="s">
        <v>351</v>
      </c>
      <c r="R1414" s="9">
        <v>29500</v>
      </c>
      <c r="S1414" s="9">
        <v>29500</v>
      </c>
      <c r="T1414" s="2" t="s">
        <v>627</v>
      </c>
      <c r="U1414" s="2" t="s">
        <v>627</v>
      </c>
      <c r="V1414" s="2" t="s">
        <v>627</v>
      </c>
      <c r="W1414" s="2" t="s">
        <v>627</v>
      </c>
      <c r="X1414" s="2" t="s">
        <v>8721</v>
      </c>
      <c r="Y1414" s="2" t="s">
        <v>8722</v>
      </c>
      <c r="Z1414" s="6">
        <v>22801310</v>
      </c>
      <c r="AA1414" s="2" t="s">
        <v>8723</v>
      </c>
      <c r="AB1414" s="2" t="s">
        <v>654</v>
      </c>
      <c r="AC1414" s="2" t="s">
        <v>632</v>
      </c>
      <c r="AD1414" s="10"/>
      <c r="AE1414" s="11"/>
      <c r="AF1414" s="11"/>
      <c r="AG1414" s="11"/>
      <c r="AH1414" s="11">
        <v>82396479</v>
      </c>
      <c r="AI1414" s="11"/>
      <c r="AJ1414" s="11"/>
      <c r="AK1414" s="12">
        <v>4</v>
      </c>
      <c r="AL1414" s="12" t="s">
        <v>7377</v>
      </c>
      <c r="AM1414" s="2">
        <v>0</v>
      </c>
      <c r="AN1414" s="2">
        <v>0</v>
      </c>
      <c r="AO1414" s="2">
        <v>0</v>
      </c>
      <c r="AP1414" s="2">
        <v>1</v>
      </c>
      <c r="AQ1414" s="2">
        <v>0</v>
      </c>
      <c r="AR1414" s="2">
        <v>0</v>
      </c>
      <c r="AS1414" s="2">
        <v>0</v>
      </c>
      <c r="AT1414" s="2">
        <v>0</v>
      </c>
      <c r="AZ1414" s="2" t="s">
        <v>8724</v>
      </c>
      <c r="BB1414" s="2" t="str">
        <f>+PROPER(BD[[#This Row],[PRIMER_APELLIDO]])</f>
        <v>Contreras</v>
      </c>
    </row>
    <row r="1415" spans="1:54" x14ac:dyDescent="0.25">
      <c r="A1415" s="2">
        <v>1414</v>
      </c>
      <c r="B1415" s="2">
        <v>23296</v>
      </c>
      <c r="C1415" s="5" t="s">
        <v>619</v>
      </c>
      <c r="D1415" s="2" t="s">
        <v>620</v>
      </c>
      <c r="E1415" s="6" t="s">
        <v>8725</v>
      </c>
      <c r="F1415" s="6">
        <v>20282330</v>
      </c>
      <c r="G1415" s="3">
        <v>42</v>
      </c>
      <c r="I1415" s="7"/>
      <c r="J1415" s="7"/>
      <c r="K1415" s="8">
        <v>41.909589041095892</v>
      </c>
      <c r="L1415" s="2" t="s">
        <v>242</v>
      </c>
      <c r="M1415" s="2" t="s">
        <v>647</v>
      </c>
      <c r="N1415" s="2" t="s">
        <v>523</v>
      </c>
      <c r="O1415" s="2" t="s">
        <v>88</v>
      </c>
      <c r="P1415" s="2" t="s">
        <v>649</v>
      </c>
      <c r="Q1415" s="2" t="s">
        <v>351</v>
      </c>
      <c r="R1415" s="9">
        <v>29499</v>
      </c>
      <c r="S1415" s="9">
        <v>29499</v>
      </c>
      <c r="U1415" s="2" t="s">
        <v>176</v>
      </c>
      <c r="W1415" s="2" t="s">
        <v>176</v>
      </c>
      <c r="X1415" s="2" t="s">
        <v>8726</v>
      </c>
      <c r="Y1415" s="2" t="s">
        <v>8727</v>
      </c>
      <c r="Z1415" s="6"/>
      <c r="AA1415" s="2">
        <v>23114262</v>
      </c>
      <c r="AB1415" s="2" t="s">
        <v>642</v>
      </c>
      <c r="AC1415" s="2" t="s">
        <v>632</v>
      </c>
      <c r="AD1415" s="10"/>
      <c r="AE1415" s="11"/>
      <c r="AF1415" s="11"/>
      <c r="AG1415" s="11"/>
      <c r="AH1415" s="11"/>
      <c r="AI1415" s="11"/>
      <c r="AJ1415" s="11"/>
      <c r="AK1415" s="12">
        <v>1</v>
      </c>
      <c r="AL1415" s="12" t="s">
        <v>7377</v>
      </c>
      <c r="AM1415" s="2">
        <v>0</v>
      </c>
      <c r="AN1415" s="2">
        <v>0</v>
      </c>
      <c r="AO1415" s="2">
        <v>0</v>
      </c>
      <c r="AP1415" s="2">
        <v>1</v>
      </c>
      <c r="AQ1415" s="2">
        <v>0</v>
      </c>
      <c r="AR1415" s="2">
        <v>0</v>
      </c>
      <c r="AS1415" s="2">
        <v>0</v>
      </c>
      <c r="AT1415" s="2">
        <v>0</v>
      </c>
      <c r="BB1415" s="2" t="str">
        <f>+PROPER(BD[[#This Row],[PRIMER_APELLIDO]])</f>
        <v>Sampson</v>
      </c>
    </row>
    <row r="1416" spans="1:54" x14ac:dyDescent="0.25">
      <c r="A1416" s="2">
        <v>1415</v>
      </c>
      <c r="B1416" s="2">
        <v>27242</v>
      </c>
      <c r="C1416" s="5" t="s">
        <v>619</v>
      </c>
      <c r="D1416" s="2" t="s">
        <v>620</v>
      </c>
      <c r="E1416" s="6" t="s">
        <v>8728</v>
      </c>
      <c r="F1416" s="6">
        <v>22129237</v>
      </c>
      <c r="G1416" s="3">
        <v>42</v>
      </c>
      <c r="I1416" s="7"/>
      <c r="J1416" s="7"/>
      <c r="K1416" s="8">
        <v>41.947945205479449</v>
      </c>
      <c r="L1416" s="2" t="s">
        <v>8729</v>
      </c>
      <c r="M1416" s="2" t="s">
        <v>5195</v>
      </c>
      <c r="N1416" s="2" t="s">
        <v>111</v>
      </c>
      <c r="O1416" s="2" t="s">
        <v>356</v>
      </c>
      <c r="P1416" s="2" t="s">
        <v>649</v>
      </c>
      <c r="Q1416" s="2" t="s">
        <v>351</v>
      </c>
      <c r="R1416" s="9">
        <v>29485</v>
      </c>
      <c r="S1416" s="9">
        <v>29485</v>
      </c>
      <c r="T1416" s="2" t="s">
        <v>186</v>
      </c>
      <c r="U1416" s="2" t="s">
        <v>186</v>
      </c>
      <c r="V1416" s="2" t="s">
        <v>186</v>
      </c>
      <c r="W1416" s="2" t="s">
        <v>186</v>
      </c>
      <c r="X1416" s="2" t="s">
        <v>8730</v>
      </c>
      <c r="Y1416" s="2" t="s">
        <v>8731</v>
      </c>
      <c r="Z1416" s="6">
        <v>84083324</v>
      </c>
      <c r="AA1416" s="2">
        <v>84083324</v>
      </c>
      <c r="AB1416" s="2" t="s">
        <v>654</v>
      </c>
      <c r="AC1416" s="2" t="s">
        <v>632</v>
      </c>
      <c r="AD1416" s="10">
        <v>84083324</v>
      </c>
      <c r="AE1416" s="11"/>
      <c r="AF1416" s="11">
        <v>84083324</v>
      </c>
      <c r="AG1416" s="11"/>
      <c r="AH1416" s="11"/>
      <c r="AI1416" s="11"/>
      <c r="AJ1416" s="11">
        <v>84083324</v>
      </c>
      <c r="AK1416" s="12">
        <v>2</v>
      </c>
      <c r="AL1416" s="12" t="s">
        <v>7377</v>
      </c>
      <c r="AM1416" s="2">
        <v>0</v>
      </c>
      <c r="AN1416" s="2">
        <v>0</v>
      </c>
      <c r="AO1416" s="2">
        <v>0</v>
      </c>
      <c r="AP1416" s="2">
        <v>1</v>
      </c>
      <c r="AQ1416" s="2">
        <v>0</v>
      </c>
      <c r="AR1416" s="2">
        <v>0</v>
      </c>
      <c r="AS1416" s="2">
        <v>0</v>
      </c>
      <c r="AT1416" s="2">
        <v>0</v>
      </c>
      <c r="AZ1416" s="2" t="s">
        <v>8732</v>
      </c>
      <c r="BA1416" s="2" t="s">
        <v>8733</v>
      </c>
      <c r="BB1416" s="2" t="str">
        <f>+PROPER(BD[[#This Row],[PRIMER_APELLIDO]])</f>
        <v>Solis</v>
      </c>
    </row>
    <row r="1417" spans="1:54" x14ac:dyDescent="0.25">
      <c r="A1417" s="2">
        <v>1416</v>
      </c>
      <c r="B1417" s="2">
        <v>38826</v>
      </c>
      <c r="C1417" s="5" t="s">
        <v>619</v>
      </c>
      <c r="D1417" s="2" t="s">
        <v>620</v>
      </c>
      <c r="E1417" s="6" t="s">
        <v>8734</v>
      </c>
      <c r="F1417" s="6">
        <v>23309362</v>
      </c>
      <c r="G1417" s="3">
        <v>42</v>
      </c>
      <c r="I1417" s="7"/>
      <c r="J1417" s="7"/>
      <c r="K1417" s="8">
        <v>41.947945205479449</v>
      </c>
      <c r="L1417" s="2" t="s">
        <v>826</v>
      </c>
      <c r="N1417" s="2" t="s">
        <v>74</v>
      </c>
      <c r="O1417" s="2" t="s">
        <v>116</v>
      </c>
      <c r="P1417" s="2" t="s">
        <v>649</v>
      </c>
      <c r="Q1417" s="2" t="s">
        <v>351</v>
      </c>
      <c r="R1417" s="9">
        <v>29485</v>
      </c>
      <c r="S1417" s="9">
        <v>29485</v>
      </c>
      <c r="T1417" s="2" t="s">
        <v>1005</v>
      </c>
      <c r="U1417" s="2" t="s">
        <v>1005</v>
      </c>
      <c r="V1417" s="2" t="s">
        <v>1184</v>
      </c>
      <c r="W1417" s="2" t="s">
        <v>1184</v>
      </c>
      <c r="X1417" s="2" t="s">
        <v>8735</v>
      </c>
      <c r="Y1417" s="2" t="s">
        <v>8736</v>
      </c>
      <c r="Z1417" s="6">
        <v>88367864</v>
      </c>
      <c r="AA1417" s="2">
        <v>88367864</v>
      </c>
      <c r="AB1417" s="2" t="s">
        <v>798</v>
      </c>
      <c r="AC1417" s="2" t="s">
        <v>632</v>
      </c>
      <c r="AD1417" s="10">
        <v>88367864</v>
      </c>
      <c r="AE1417" s="11"/>
      <c r="AF1417" s="11">
        <v>88367864</v>
      </c>
      <c r="AG1417" s="11"/>
      <c r="AH1417" s="11"/>
      <c r="AI1417" s="11"/>
      <c r="AJ1417" s="11">
        <v>88367864</v>
      </c>
      <c r="AK1417" s="12">
        <v>2</v>
      </c>
      <c r="AL1417" s="12" t="s">
        <v>7377</v>
      </c>
      <c r="AM1417" s="2">
        <v>0</v>
      </c>
      <c r="AN1417" s="2">
        <v>0</v>
      </c>
      <c r="AO1417" s="2">
        <v>0</v>
      </c>
      <c r="AP1417" s="2">
        <v>1</v>
      </c>
      <c r="AQ1417" s="2">
        <v>0</v>
      </c>
      <c r="AR1417" s="2">
        <v>0</v>
      </c>
      <c r="AS1417" s="2">
        <v>0</v>
      </c>
      <c r="AT1417" s="2">
        <v>0</v>
      </c>
      <c r="AZ1417" s="2" t="s">
        <v>8737</v>
      </c>
      <c r="BB1417" s="2" t="str">
        <f>+PROPER(BD[[#This Row],[PRIMER_APELLIDO]])</f>
        <v>Reyes</v>
      </c>
    </row>
    <row r="1418" spans="1:54" x14ac:dyDescent="0.25">
      <c r="A1418" s="2">
        <v>1417</v>
      </c>
      <c r="B1418" s="2">
        <v>25798</v>
      </c>
      <c r="C1418" s="5" t="s">
        <v>619</v>
      </c>
      <c r="D1418" s="2" t="s">
        <v>620</v>
      </c>
      <c r="E1418" s="6" t="s">
        <v>8738</v>
      </c>
      <c r="F1418" s="6">
        <v>22252302</v>
      </c>
      <c r="G1418" s="3">
        <v>42</v>
      </c>
      <c r="I1418" s="7"/>
      <c r="J1418" s="7"/>
      <c r="K1418" s="8">
        <v>41.967123287671235</v>
      </c>
      <c r="L1418" s="2" t="s">
        <v>6072</v>
      </c>
      <c r="M1418" s="2" t="s">
        <v>1881</v>
      </c>
      <c r="N1418" s="2" t="s">
        <v>524</v>
      </c>
      <c r="O1418" s="2" t="s">
        <v>8739</v>
      </c>
      <c r="P1418" s="2" t="s">
        <v>626</v>
      </c>
      <c r="Q1418" s="2" t="s">
        <v>351</v>
      </c>
      <c r="R1418" s="9">
        <v>29478</v>
      </c>
      <c r="S1418" s="9">
        <v>29478</v>
      </c>
      <c r="U1418" s="2" t="s">
        <v>176</v>
      </c>
      <c r="W1418" s="2" t="s">
        <v>176</v>
      </c>
      <c r="X1418" s="2" t="s">
        <v>8740</v>
      </c>
      <c r="Y1418" s="2" t="s">
        <v>8741</v>
      </c>
      <c r="Z1418" s="6"/>
      <c r="AA1418" s="2">
        <v>83804079</v>
      </c>
      <c r="AB1418" s="2" t="s">
        <v>654</v>
      </c>
      <c r="AC1418" s="2" t="s">
        <v>632</v>
      </c>
      <c r="AD1418" s="10"/>
      <c r="AE1418" s="11"/>
      <c r="AF1418" s="11">
        <v>83804079</v>
      </c>
      <c r="AG1418" s="11"/>
      <c r="AH1418" s="11"/>
      <c r="AI1418" s="11"/>
      <c r="AJ1418" s="11">
        <v>83804079</v>
      </c>
      <c r="AK1418" s="12">
        <v>1</v>
      </c>
      <c r="AL1418" s="12" t="s">
        <v>7377</v>
      </c>
      <c r="AM1418" s="2">
        <v>0</v>
      </c>
      <c r="AN1418" s="2">
        <v>0</v>
      </c>
      <c r="AO1418" s="2">
        <v>0</v>
      </c>
      <c r="AP1418" s="2">
        <v>1</v>
      </c>
      <c r="AQ1418" s="2">
        <v>0</v>
      </c>
      <c r="AR1418" s="2">
        <v>0</v>
      </c>
      <c r="AS1418" s="2">
        <v>0</v>
      </c>
      <c r="AT1418" s="2">
        <v>0</v>
      </c>
      <c r="BB1418" s="2" t="str">
        <f>+PROPER(BD[[#This Row],[PRIMER_APELLIDO]])</f>
        <v>Mejicanos</v>
      </c>
    </row>
    <row r="1419" spans="1:54" x14ac:dyDescent="0.25">
      <c r="A1419" s="2">
        <v>1418</v>
      </c>
      <c r="B1419" s="2">
        <v>21250</v>
      </c>
      <c r="C1419" s="5" t="s">
        <v>619</v>
      </c>
      <c r="D1419" s="2" t="s">
        <v>620</v>
      </c>
      <c r="E1419" s="6" t="s">
        <v>8742</v>
      </c>
      <c r="F1419" s="6">
        <v>18267053</v>
      </c>
      <c r="G1419" s="3">
        <v>42</v>
      </c>
      <c r="I1419" s="7"/>
      <c r="J1419" s="7"/>
      <c r="K1419" s="8">
        <v>41.972602739726028</v>
      </c>
      <c r="L1419" s="2" t="s">
        <v>8743</v>
      </c>
      <c r="M1419" s="2" t="s">
        <v>724</v>
      </c>
      <c r="N1419" s="2" t="s">
        <v>18</v>
      </c>
      <c r="O1419" s="2" t="s">
        <v>464</v>
      </c>
      <c r="P1419" s="2" t="s">
        <v>626</v>
      </c>
      <c r="Q1419" s="2" t="s">
        <v>351</v>
      </c>
      <c r="R1419" s="9">
        <v>29476</v>
      </c>
      <c r="S1419" s="9">
        <v>29476</v>
      </c>
      <c r="U1419" s="2" t="s">
        <v>627</v>
      </c>
      <c r="W1419" s="2" t="s">
        <v>627</v>
      </c>
      <c r="X1419" s="2" t="s">
        <v>8744</v>
      </c>
      <c r="Y1419" s="2" t="s">
        <v>8745</v>
      </c>
      <c r="Z1419" s="6"/>
      <c r="AA1419" s="2" t="s">
        <v>8746</v>
      </c>
      <c r="AB1419" s="2" t="s">
        <v>642</v>
      </c>
      <c r="AC1419" s="2" t="s">
        <v>632</v>
      </c>
      <c r="AD1419" s="10"/>
      <c r="AE1419" s="11"/>
      <c r="AF1419" s="11"/>
      <c r="AG1419" s="11">
        <v>89751156</v>
      </c>
      <c r="AH1419" s="11">
        <v>86036064</v>
      </c>
      <c r="AI1419" s="11"/>
      <c r="AJ1419" s="11">
        <v>89751156</v>
      </c>
      <c r="AK1419" s="12">
        <v>3</v>
      </c>
      <c r="AL1419" s="12" t="s">
        <v>7377</v>
      </c>
      <c r="AM1419" s="2">
        <v>0</v>
      </c>
      <c r="AN1419" s="2">
        <v>0</v>
      </c>
      <c r="AO1419" s="2">
        <v>0</v>
      </c>
      <c r="AP1419" s="2">
        <v>1</v>
      </c>
      <c r="AQ1419" s="2">
        <v>0</v>
      </c>
      <c r="AR1419" s="2">
        <v>0</v>
      </c>
      <c r="AS1419" s="2">
        <v>0</v>
      </c>
      <c r="AT1419" s="2">
        <v>0</v>
      </c>
      <c r="BB1419" s="2" t="str">
        <f>+PROPER(BD[[#This Row],[PRIMER_APELLIDO]])</f>
        <v>Alvarado</v>
      </c>
    </row>
    <row r="1420" spans="1:54" x14ac:dyDescent="0.25">
      <c r="A1420" s="2">
        <v>1419</v>
      </c>
      <c r="B1420" s="2">
        <v>29878</v>
      </c>
      <c r="C1420" s="5" t="s">
        <v>619</v>
      </c>
      <c r="D1420" s="2" t="s">
        <v>620</v>
      </c>
      <c r="E1420" s="6" t="s">
        <v>8747</v>
      </c>
      <c r="F1420" s="6">
        <v>21739561</v>
      </c>
      <c r="G1420" s="3">
        <v>42</v>
      </c>
      <c r="I1420" s="7"/>
      <c r="J1420" s="7"/>
      <c r="K1420" s="8">
        <v>41.978082191780821</v>
      </c>
      <c r="L1420" s="2" t="s">
        <v>8748</v>
      </c>
      <c r="M1420" s="2" t="s">
        <v>4072</v>
      </c>
      <c r="N1420" s="2" t="s">
        <v>121</v>
      </c>
      <c r="O1420" s="2" t="s">
        <v>56</v>
      </c>
      <c r="P1420" s="2" t="s">
        <v>626</v>
      </c>
      <c r="Q1420" s="2" t="s">
        <v>351</v>
      </c>
      <c r="R1420" s="9">
        <v>29474</v>
      </c>
      <c r="S1420" s="9">
        <v>29474</v>
      </c>
      <c r="T1420" s="2" t="s">
        <v>1104</v>
      </c>
      <c r="U1420" s="2" t="s">
        <v>627</v>
      </c>
      <c r="V1420" s="2" t="s">
        <v>1738</v>
      </c>
      <c r="W1420" s="2" t="s">
        <v>627</v>
      </c>
      <c r="X1420" s="2" t="s">
        <v>8749</v>
      </c>
      <c r="Y1420" s="2" t="s">
        <v>8750</v>
      </c>
      <c r="Z1420" s="6">
        <v>86485285</v>
      </c>
      <c r="AA1420" s="2" t="s">
        <v>8751</v>
      </c>
      <c r="AB1420" s="2" t="s">
        <v>654</v>
      </c>
      <c r="AC1420" s="2" t="s">
        <v>632</v>
      </c>
      <c r="AD1420" s="10">
        <v>86485285</v>
      </c>
      <c r="AE1420" s="11"/>
      <c r="AF1420" s="11"/>
      <c r="AG1420" s="11">
        <v>86485285</v>
      </c>
      <c r="AH1420" s="11">
        <v>88440308</v>
      </c>
      <c r="AI1420" s="11">
        <v>89345111</v>
      </c>
      <c r="AJ1420" s="11">
        <v>86485285</v>
      </c>
      <c r="AK1420" s="12">
        <v>6</v>
      </c>
      <c r="AL1420" s="12" t="s">
        <v>7377</v>
      </c>
      <c r="AM1420" s="2">
        <v>0</v>
      </c>
      <c r="AN1420" s="2">
        <v>0</v>
      </c>
      <c r="AO1420" s="2">
        <v>0</v>
      </c>
      <c r="AP1420" s="2">
        <v>1</v>
      </c>
      <c r="AQ1420" s="2">
        <v>0</v>
      </c>
      <c r="AR1420" s="2">
        <v>0</v>
      </c>
      <c r="AS1420" s="2">
        <v>0</v>
      </c>
      <c r="AT1420" s="2">
        <v>0</v>
      </c>
      <c r="AZ1420" s="2" t="s">
        <v>8752</v>
      </c>
      <c r="BB1420" s="2" t="str">
        <f>+PROPER(BD[[#This Row],[PRIMER_APELLIDO]])</f>
        <v>Narvaez</v>
      </c>
    </row>
    <row r="1421" spans="1:54" x14ac:dyDescent="0.25">
      <c r="A1421" s="2">
        <v>1420</v>
      </c>
      <c r="B1421" s="2">
        <v>31443</v>
      </c>
      <c r="C1421" s="5" t="s">
        <v>619</v>
      </c>
      <c r="D1421" s="2" t="s">
        <v>620</v>
      </c>
      <c r="E1421" s="6" t="s">
        <v>8753</v>
      </c>
      <c r="F1421" s="6">
        <v>17510510</v>
      </c>
      <c r="G1421" s="3">
        <v>42</v>
      </c>
      <c r="I1421" s="7"/>
      <c r="J1421" s="7"/>
      <c r="K1421" s="8">
        <v>41.983561643835614</v>
      </c>
      <c r="L1421" s="2" t="s">
        <v>8754</v>
      </c>
      <c r="M1421" s="2" t="s">
        <v>904</v>
      </c>
      <c r="N1421" s="2" t="s">
        <v>58</v>
      </c>
      <c r="O1421" s="2" t="s">
        <v>50</v>
      </c>
      <c r="P1421" s="2" t="s">
        <v>649</v>
      </c>
      <c r="Q1421" s="2" t="s">
        <v>351</v>
      </c>
      <c r="R1421" s="9">
        <v>29472</v>
      </c>
      <c r="S1421" s="9">
        <v>31663</v>
      </c>
      <c r="T1421" s="2" t="s">
        <v>176</v>
      </c>
      <c r="U1421" s="2" t="s">
        <v>1005</v>
      </c>
      <c r="V1421" s="2" t="s">
        <v>650</v>
      </c>
      <c r="W1421" s="2" t="s">
        <v>1184</v>
      </c>
      <c r="X1421" s="2" t="s">
        <v>8755</v>
      </c>
      <c r="Y1421" s="2" t="s">
        <v>8756</v>
      </c>
      <c r="Z1421" s="6">
        <v>88275036</v>
      </c>
      <c r="AA1421" s="2" t="s">
        <v>8757</v>
      </c>
      <c r="AB1421" s="2" t="s">
        <v>654</v>
      </c>
      <c r="AC1421" s="2" t="s">
        <v>632</v>
      </c>
      <c r="AD1421" s="10">
        <v>88275036</v>
      </c>
      <c r="AE1421" s="11"/>
      <c r="AF1421" s="11"/>
      <c r="AG1421" s="11">
        <v>88275036</v>
      </c>
      <c r="AH1421" s="11"/>
      <c r="AI1421" s="11"/>
      <c r="AJ1421" s="11">
        <v>88275036</v>
      </c>
      <c r="AK1421" s="12">
        <v>3</v>
      </c>
      <c r="AL1421" s="12" t="s">
        <v>7377</v>
      </c>
      <c r="AM1421" s="2">
        <v>0</v>
      </c>
      <c r="AN1421" s="2">
        <v>0</v>
      </c>
      <c r="AO1421" s="2">
        <v>0</v>
      </c>
      <c r="AP1421" s="2">
        <v>1</v>
      </c>
      <c r="AQ1421" s="2">
        <v>0</v>
      </c>
      <c r="AR1421" s="2">
        <v>0</v>
      </c>
      <c r="AS1421" s="2">
        <v>0</v>
      </c>
      <c r="AT1421" s="2">
        <v>0</v>
      </c>
      <c r="AZ1421" s="2" t="s">
        <v>8758</v>
      </c>
      <c r="BB1421" s="2" t="str">
        <f>+PROPER(BD[[#This Row],[PRIMER_APELLIDO]])</f>
        <v>Flores</v>
      </c>
    </row>
    <row r="1422" spans="1:54" x14ac:dyDescent="0.25">
      <c r="A1422" s="2">
        <v>1421</v>
      </c>
      <c r="B1422" s="2">
        <v>19802</v>
      </c>
      <c r="C1422" s="5" t="s">
        <v>619</v>
      </c>
      <c r="D1422" s="2" t="s">
        <v>620</v>
      </c>
      <c r="E1422" s="6" t="s">
        <v>8759</v>
      </c>
      <c r="F1422" s="6">
        <v>17121675</v>
      </c>
      <c r="G1422" s="3">
        <v>42</v>
      </c>
      <c r="I1422" s="7"/>
      <c r="J1422" s="7"/>
      <c r="K1422" s="8">
        <v>41.994520547945207</v>
      </c>
      <c r="L1422" s="2" t="s">
        <v>724</v>
      </c>
      <c r="M1422" s="2" t="s">
        <v>8760</v>
      </c>
      <c r="N1422" s="2" t="s">
        <v>525</v>
      </c>
      <c r="O1422" s="2" t="s">
        <v>1914</v>
      </c>
      <c r="P1422" s="2" t="s">
        <v>626</v>
      </c>
      <c r="Q1422" s="2" t="s">
        <v>351</v>
      </c>
      <c r="R1422" s="9">
        <v>29468</v>
      </c>
      <c r="S1422" s="9">
        <v>29468</v>
      </c>
      <c r="U1422" s="2" t="s">
        <v>627</v>
      </c>
      <c r="W1422" s="2" t="s">
        <v>627</v>
      </c>
      <c r="X1422" s="2" t="s">
        <v>8761</v>
      </c>
      <c r="Y1422" s="2" t="s">
        <v>8762</v>
      </c>
      <c r="Z1422" s="6"/>
      <c r="AA1422" s="2" t="s">
        <v>8763</v>
      </c>
      <c r="AB1422" s="2" t="s">
        <v>654</v>
      </c>
      <c r="AC1422" s="2" t="s">
        <v>632</v>
      </c>
      <c r="AD1422" s="10"/>
      <c r="AE1422" s="11"/>
      <c r="AF1422" s="11"/>
      <c r="AG1422" s="11">
        <v>87370354</v>
      </c>
      <c r="AH1422" s="11"/>
      <c r="AI1422" s="11"/>
      <c r="AJ1422" s="11">
        <v>87370354</v>
      </c>
      <c r="AK1422" s="12">
        <v>2</v>
      </c>
      <c r="AL1422" s="12" t="s">
        <v>7377</v>
      </c>
      <c r="AM1422" s="2">
        <v>0</v>
      </c>
      <c r="AN1422" s="2">
        <v>0</v>
      </c>
      <c r="AO1422" s="2">
        <v>0</v>
      </c>
      <c r="AP1422" s="2">
        <v>1</v>
      </c>
      <c r="AQ1422" s="2">
        <v>0</v>
      </c>
      <c r="AR1422" s="2">
        <v>0</v>
      </c>
      <c r="AS1422" s="2">
        <v>0</v>
      </c>
      <c r="AT1422" s="2">
        <v>0</v>
      </c>
      <c r="BB1422" s="2" t="str">
        <f>+PROPER(BD[[#This Row],[PRIMER_APELLIDO]])</f>
        <v>Vado</v>
      </c>
    </row>
    <row r="1423" spans="1:54" x14ac:dyDescent="0.25">
      <c r="A1423" s="2">
        <v>1422</v>
      </c>
      <c r="B1423" s="2">
        <v>51759</v>
      </c>
      <c r="C1423" s="5" t="s">
        <v>619</v>
      </c>
      <c r="D1423" s="2" t="s">
        <v>620</v>
      </c>
      <c r="E1423" s="6" t="s">
        <v>8764</v>
      </c>
      <c r="F1423" s="6">
        <v>15926212</v>
      </c>
      <c r="G1423" s="3">
        <v>42</v>
      </c>
      <c r="I1423" s="7"/>
      <c r="J1423" s="7"/>
      <c r="K1423" s="8">
        <v>41.994520547945207</v>
      </c>
      <c r="L1423" s="2" t="s">
        <v>1857</v>
      </c>
      <c r="M1423" s="2" t="s">
        <v>1480</v>
      </c>
      <c r="N1423" s="2" t="s">
        <v>91</v>
      </c>
      <c r="O1423" s="2" t="s">
        <v>198</v>
      </c>
      <c r="P1423" s="2" t="s">
        <v>649</v>
      </c>
      <c r="Q1423" s="2" t="s">
        <v>351</v>
      </c>
      <c r="R1423" s="9">
        <v>29468</v>
      </c>
      <c r="S1423" s="9">
        <v>29468</v>
      </c>
      <c r="T1423" s="2" t="s">
        <v>691</v>
      </c>
      <c r="U1423" s="2" t="s">
        <v>691</v>
      </c>
      <c r="V1423" s="2" t="s">
        <v>716</v>
      </c>
      <c r="W1423" s="2" t="s">
        <v>691</v>
      </c>
      <c r="X1423" s="2" t="s">
        <v>8765</v>
      </c>
      <c r="Y1423" s="2" t="s">
        <v>8766</v>
      </c>
      <c r="Z1423" s="6">
        <v>89215454</v>
      </c>
      <c r="AB1423" s="2" t="s">
        <v>798</v>
      </c>
      <c r="AC1423" s="2" t="s">
        <v>632</v>
      </c>
      <c r="AD1423" s="10">
        <v>89215454</v>
      </c>
      <c r="AE1423" s="11"/>
      <c r="AF1423" s="11"/>
      <c r="AG1423" s="11"/>
      <c r="AH1423" s="11"/>
      <c r="AI1423" s="11"/>
      <c r="AJ1423" s="11">
        <v>89215454</v>
      </c>
      <c r="AK1423" s="12">
        <v>1</v>
      </c>
      <c r="AL1423" s="12" t="s">
        <v>7377</v>
      </c>
      <c r="AM1423" s="2">
        <v>0</v>
      </c>
      <c r="AN1423" s="2">
        <v>0</v>
      </c>
      <c r="AO1423" s="2">
        <v>0</v>
      </c>
      <c r="AP1423" s="2">
        <v>1</v>
      </c>
      <c r="AQ1423" s="2">
        <v>0</v>
      </c>
      <c r="AR1423" s="2">
        <v>0</v>
      </c>
      <c r="AS1423" s="2">
        <v>0</v>
      </c>
      <c r="AT1423" s="2">
        <v>0</v>
      </c>
      <c r="BB1423" s="2" t="str">
        <f>+PROPER(BD[[#This Row],[PRIMER_APELLIDO]])</f>
        <v>Diaz</v>
      </c>
    </row>
    <row r="1424" spans="1:54" x14ac:dyDescent="0.25">
      <c r="A1424" s="2">
        <v>1423</v>
      </c>
      <c r="B1424" s="2">
        <v>23364</v>
      </c>
      <c r="C1424" s="5" t="s">
        <v>619</v>
      </c>
      <c r="D1424" s="2" t="s">
        <v>620</v>
      </c>
      <c r="E1424" s="6" t="s">
        <v>8767</v>
      </c>
      <c r="F1424" s="6">
        <v>20601117</v>
      </c>
      <c r="G1424" s="3">
        <v>42</v>
      </c>
      <c r="I1424" s="7"/>
      <c r="J1424" s="7"/>
      <c r="K1424" s="8">
        <v>41.9972602739726</v>
      </c>
      <c r="L1424" s="2" t="s">
        <v>2961</v>
      </c>
      <c r="N1424" s="2" t="s">
        <v>526</v>
      </c>
      <c r="O1424" s="2" t="s">
        <v>427</v>
      </c>
      <c r="P1424" s="2" t="s">
        <v>626</v>
      </c>
      <c r="Q1424" s="2" t="s">
        <v>351</v>
      </c>
      <c r="R1424" s="9">
        <v>29467</v>
      </c>
      <c r="S1424" s="9">
        <v>29467</v>
      </c>
      <c r="U1424" s="2" t="s">
        <v>627</v>
      </c>
      <c r="W1424" s="2" t="s">
        <v>627</v>
      </c>
      <c r="X1424" s="2" t="s">
        <v>8768</v>
      </c>
      <c r="Y1424" s="2" t="s">
        <v>8769</v>
      </c>
      <c r="Z1424" s="6"/>
      <c r="AA1424" s="2" t="s">
        <v>8770</v>
      </c>
      <c r="AB1424" s="2" t="s">
        <v>642</v>
      </c>
      <c r="AC1424" s="2" t="s">
        <v>632</v>
      </c>
      <c r="AD1424" s="10"/>
      <c r="AE1424" s="11"/>
      <c r="AF1424" s="11"/>
      <c r="AG1424" s="11"/>
      <c r="AH1424" s="11"/>
      <c r="AI1424" s="11"/>
      <c r="AJ1424" s="11"/>
      <c r="AK1424" s="12">
        <v>2</v>
      </c>
      <c r="AL1424" s="12" t="s">
        <v>7377</v>
      </c>
      <c r="AM1424" s="2">
        <v>0</v>
      </c>
      <c r="AN1424" s="2">
        <v>0</v>
      </c>
      <c r="AO1424" s="2">
        <v>0</v>
      </c>
      <c r="AP1424" s="2">
        <v>1</v>
      </c>
      <c r="AQ1424" s="2">
        <v>0</v>
      </c>
      <c r="AR1424" s="2">
        <v>0</v>
      </c>
      <c r="AS1424" s="2">
        <v>0</v>
      </c>
      <c r="AT1424" s="2">
        <v>0</v>
      </c>
      <c r="BB1424" s="2" t="str">
        <f>+PROPER(BD[[#This Row],[PRIMER_APELLIDO]])</f>
        <v>Flutsch</v>
      </c>
    </row>
    <row r="1425" spans="1:54" x14ac:dyDescent="0.25">
      <c r="A1425" s="2">
        <v>1424</v>
      </c>
      <c r="B1425" s="2">
        <v>25014</v>
      </c>
      <c r="C1425" s="5" t="s">
        <v>619</v>
      </c>
      <c r="D1425" s="2" t="s">
        <v>620</v>
      </c>
      <c r="E1425" s="6" t="s">
        <v>8771</v>
      </c>
      <c r="F1425" s="6"/>
      <c r="G1425" s="3">
        <v>42</v>
      </c>
      <c r="I1425" s="7"/>
      <c r="J1425" s="7"/>
      <c r="K1425" s="8">
        <v>42.0027397260274</v>
      </c>
      <c r="L1425" s="2" t="s">
        <v>8772</v>
      </c>
      <c r="M1425" s="2" t="s">
        <v>8773</v>
      </c>
      <c r="N1425" s="2" t="s">
        <v>407</v>
      </c>
      <c r="O1425" s="2" t="s">
        <v>185</v>
      </c>
      <c r="P1425" s="2" t="s">
        <v>626</v>
      </c>
      <c r="Q1425" s="2" t="s">
        <v>351</v>
      </c>
      <c r="R1425" s="9">
        <v>29465</v>
      </c>
      <c r="S1425" s="9">
        <v>29465</v>
      </c>
      <c r="T1425" s="2" t="s">
        <v>1005</v>
      </c>
      <c r="U1425" s="2" t="s">
        <v>1005</v>
      </c>
      <c r="V1425" s="2" t="s">
        <v>1006</v>
      </c>
      <c r="W1425" s="2" t="s">
        <v>1006</v>
      </c>
      <c r="X1425" s="2" t="s">
        <v>8774</v>
      </c>
      <c r="Y1425" s="2" t="s">
        <v>8775</v>
      </c>
      <c r="Z1425" s="6">
        <v>84359188</v>
      </c>
      <c r="AA1425" s="2" t="s">
        <v>8776</v>
      </c>
      <c r="AB1425" s="2" t="s">
        <v>1009</v>
      </c>
      <c r="AC1425" s="2" t="s">
        <v>632</v>
      </c>
      <c r="AD1425" s="10">
        <v>84359188</v>
      </c>
      <c r="AE1425" s="11"/>
      <c r="AF1425" s="11"/>
      <c r="AG1425" s="11">
        <v>84359188</v>
      </c>
      <c r="AH1425" s="11"/>
      <c r="AI1425" s="11"/>
      <c r="AJ1425" s="11">
        <v>84359188</v>
      </c>
      <c r="AK1425" s="12">
        <v>3</v>
      </c>
      <c r="AL1425" s="12" t="s">
        <v>7377</v>
      </c>
      <c r="AM1425" s="2">
        <v>0</v>
      </c>
      <c r="AN1425" s="2">
        <v>0</v>
      </c>
      <c r="AO1425" s="2">
        <v>0</v>
      </c>
      <c r="AP1425" s="2">
        <v>1</v>
      </c>
      <c r="AQ1425" s="2">
        <v>0</v>
      </c>
      <c r="AR1425" s="2">
        <v>0</v>
      </c>
      <c r="AS1425" s="2">
        <v>0</v>
      </c>
      <c r="AT1425" s="2">
        <v>0</v>
      </c>
      <c r="AZ1425" s="2" t="s">
        <v>8777</v>
      </c>
      <c r="BB1425" s="2" t="str">
        <f>+PROPER(BD[[#This Row],[PRIMER_APELLIDO]])</f>
        <v>Bonilla</v>
      </c>
    </row>
    <row r="1426" spans="1:54" x14ac:dyDescent="0.25">
      <c r="A1426" s="2">
        <v>1425</v>
      </c>
      <c r="B1426" s="2">
        <v>47715</v>
      </c>
      <c r="C1426" s="5" t="s">
        <v>619</v>
      </c>
      <c r="D1426" s="2" t="s">
        <v>620</v>
      </c>
      <c r="E1426" s="6" t="s">
        <v>8778</v>
      </c>
      <c r="F1426" s="6">
        <v>22732116</v>
      </c>
      <c r="G1426" s="3">
        <v>42</v>
      </c>
      <c r="I1426" s="7"/>
      <c r="J1426" s="7"/>
      <c r="K1426" s="8">
        <v>42.0027397260274</v>
      </c>
      <c r="L1426" s="2" t="s">
        <v>8779</v>
      </c>
      <c r="M1426" s="2" t="s">
        <v>8780</v>
      </c>
      <c r="N1426" s="2" t="s">
        <v>527</v>
      </c>
      <c r="P1426" s="2" t="s">
        <v>626</v>
      </c>
      <c r="Q1426" s="2" t="s">
        <v>351</v>
      </c>
      <c r="R1426" s="9">
        <v>29465</v>
      </c>
      <c r="S1426" s="9">
        <v>29465</v>
      </c>
      <c r="T1426" s="2" t="s">
        <v>627</v>
      </c>
      <c r="U1426" s="2" t="s">
        <v>627</v>
      </c>
      <c r="V1426" s="2" t="s">
        <v>627</v>
      </c>
      <c r="W1426" s="2" t="s">
        <v>627</v>
      </c>
      <c r="X1426" s="2" t="s">
        <v>8781</v>
      </c>
      <c r="Y1426" s="2" t="s">
        <v>8782</v>
      </c>
      <c r="Z1426" s="6"/>
      <c r="AA1426" s="2" t="s">
        <v>8783</v>
      </c>
      <c r="AB1426" s="2" t="s">
        <v>642</v>
      </c>
      <c r="AC1426" s="2" t="s">
        <v>632</v>
      </c>
      <c r="AD1426" s="10"/>
      <c r="AE1426" s="11"/>
      <c r="AF1426" s="11"/>
      <c r="AG1426" s="11">
        <v>85681935</v>
      </c>
      <c r="AH1426" s="11">
        <v>85105490</v>
      </c>
      <c r="AI1426" s="11"/>
      <c r="AJ1426" s="11">
        <v>85681935</v>
      </c>
      <c r="AK1426" s="12">
        <v>3</v>
      </c>
      <c r="AL1426" s="12" t="s">
        <v>7377</v>
      </c>
      <c r="AM1426" s="2">
        <v>0</v>
      </c>
      <c r="AN1426" s="2">
        <v>0</v>
      </c>
      <c r="AO1426" s="2">
        <v>0</v>
      </c>
      <c r="AP1426" s="2">
        <v>1</v>
      </c>
      <c r="AQ1426" s="2">
        <v>0</v>
      </c>
      <c r="AR1426" s="2">
        <v>0</v>
      </c>
      <c r="AS1426" s="2">
        <v>0</v>
      </c>
      <c r="AT1426" s="2">
        <v>0</v>
      </c>
      <c r="BB1426" s="2" t="str">
        <f>+PROPER(BD[[#This Row],[PRIMER_APELLIDO]])</f>
        <v>Williamson</v>
      </c>
    </row>
    <row r="1427" spans="1:54" x14ac:dyDescent="0.25">
      <c r="A1427" s="2">
        <v>1426</v>
      </c>
      <c r="B1427" s="2">
        <v>39623</v>
      </c>
      <c r="C1427" s="5" t="s">
        <v>619</v>
      </c>
      <c r="D1427" s="2" t="s">
        <v>620</v>
      </c>
      <c r="E1427" s="6" t="s">
        <v>8784</v>
      </c>
      <c r="F1427" s="6">
        <v>15668725</v>
      </c>
      <c r="G1427" s="3">
        <v>42</v>
      </c>
      <c r="I1427" s="7"/>
      <c r="J1427" s="7"/>
      <c r="K1427" s="8">
        <v>42.013698630136986</v>
      </c>
      <c r="L1427" s="2" t="s">
        <v>7637</v>
      </c>
      <c r="M1427" s="2" t="s">
        <v>8785</v>
      </c>
      <c r="N1427" s="2" t="s">
        <v>528</v>
      </c>
      <c r="O1427" s="2" t="s">
        <v>116</v>
      </c>
      <c r="P1427" s="2" t="s">
        <v>649</v>
      </c>
      <c r="Q1427" s="2" t="s">
        <v>351</v>
      </c>
      <c r="R1427" s="9">
        <v>29461</v>
      </c>
      <c r="S1427" s="9">
        <v>29461</v>
      </c>
      <c r="T1427" s="2" t="s">
        <v>691</v>
      </c>
      <c r="U1427" s="2" t="s">
        <v>691</v>
      </c>
      <c r="V1427" s="2" t="s">
        <v>716</v>
      </c>
      <c r="W1427" s="2" t="s">
        <v>691</v>
      </c>
      <c r="X1427" s="2" t="s">
        <v>8786</v>
      </c>
      <c r="Y1427" s="2" t="s">
        <v>8787</v>
      </c>
      <c r="Z1427" s="6"/>
      <c r="AA1427" s="2" t="s">
        <v>8788</v>
      </c>
      <c r="AB1427" s="2" t="s">
        <v>984</v>
      </c>
      <c r="AC1427" s="2" t="s">
        <v>632</v>
      </c>
      <c r="AD1427" s="10"/>
      <c r="AE1427" s="11"/>
      <c r="AF1427" s="11"/>
      <c r="AG1427" s="11">
        <v>83545317</v>
      </c>
      <c r="AH1427" s="11"/>
      <c r="AI1427" s="11"/>
      <c r="AJ1427" s="11">
        <v>83545317</v>
      </c>
      <c r="AK1427" s="12">
        <v>2</v>
      </c>
      <c r="AL1427" s="12" t="s">
        <v>7377</v>
      </c>
      <c r="AM1427" s="2">
        <v>0</v>
      </c>
      <c r="AN1427" s="2">
        <v>0</v>
      </c>
      <c r="AO1427" s="2">
        <v>0</v>
      </c>
      <c r="AP1427" s="2">
        <v>1</v>
      </c>
      <c r="AQ1427" s="2">
        <v>0</v>
      </c>
      <c r="AR1427" s="2">
        <v>0</v>
      </c>
      <c r="AS1427" s="2">
        <v>0</v>
      </c>
      <c r="AT1427" s="2">
        <v>0</v>
      </c>
      <c r="BB1427" s="2" t="str">
        <f>+PROPER(BD[[#This Row],[PRIMER_APELLIDO]])</f>
        <v>Florian</v>
      </c>
    </row>
    <row r="1428" spans="1:54" x14ac:dyDescent="0.25">
      <c r="A1428" s="2">
        <v>1427</v>
      </c>
      <c r="B1428" s="2">
        <v>22856</v>
      </c>
      <c r="C1428" s="5" t="s">
        <v>619</v>
      </c>
      <c r="D1428" s="2" t="s">
        <v>620</v>
      </c>
      <c r="E1428" s="6" t="s">
        <v>8789</v>
      </c>
      <c r="F1428" s="6">
        <v>19356354</v>
      </c>
      <c r="G1428" s="3">
        <v>42</v>
      </c>
      <c r="I1428" s="7"/>
      <c r="J1428" s="7"/>
      <c r="K1428" s="8">
        <v>42.016438356164386</v>
      </c>
      <c r="L1428" s="2" t="s">
        <v>860</v>
      </c>
      <c r="M1428" s="2" t="s">
        <v>1211</v>
      </c>
      <c r="N1428" s="2" t="s">
        <v>185</v>
      </c>
      <c r="O1428" s="2" t="s">
        <v>488</v>
      </c>
      <c r="P1428" s="2" t="s">
        <v>626</v>
      </c>
      <c r="Q1428" s="2" t="s">
        <v>351</v>
      </c>
      <c r="R1428" s="9">
        <v>29460</v>
      </c>
      <c r="S1428" s="9">
        <v>29460</v>
      </c>
      <c r="T1428" s="2" t="s">
        <v>627</v>
      </c>
      <c r="U1428" s="2" t="s">
        <v>627</v>
      </c>
      <c r="V1428" s="2" t="s">
        <v>627</v>
      </c>
      <c r="W1428" s="2" t="s">
        <v>627</v>
      </c>
      <c r="X1428" s="2" t="s">
        <v>8790</v>
      </c>
      <c r="Y1428" s="2" t="s">
        <v>8791</v>
      </c>
      <c r="Z1428" s="6"/>
      <c r="AA1428" s="2" t="s">
        <v>8792</v>
      </c>
      <c r="AB1428" s="2" t="s">
        <v>642</v>
      </c>
      <c r="AC1428" s="2" t="s">
        <v>632</v>
      </c>
      <c r="AD1428" s="10"/>
      <c r="AE1428" s="11"/>
      <c r="AF1428" s="11"/>
      <c r="AG1428" s="11">
        <v>87387886</v>
      </c>
      <c r="AH1428" s="11"/>
      <c r="AI1428" s="11"/>
      <c r="AJ1428" s="11">
        <v>87387886</v>
      </c>
      <c r="AK1428" s="12">
        <v>2</v>
      </c>
      <c r="AL1428" s="12" t="s">
        <v>7377</v>
      </c>
      <c r="AM1428" s="2">
        <v>0</v>
      </c>
      <c r="AN1428" s="2">
        <v>0</v>
      </c>
      <c r="AO1428" s="2">
        <v>0</v>
      </c>
      <c r="AP1428" s="2">
        <v>1</v>
      </c>
      <c r="AQ1428" s="2">
        <v>0</v>
      </c>
      <c r="AR1428" s="2">
        <v>0</v>
      </c>
      <c r="AS1428" s="2">
        <v>0</v>
      </c>
      <c r="AT1428" s="2">
        <v>0</v>
      </c>
      <c r="BB1428" s="2" t="str">
        <f>+PROPER(BD[[#This Row],[PRIMER_APELLIDO]])</f>
        <v>Rodriguez</v>
      </c>
    </row>
    <row r="1429" spans="1:54" x14ac:dyDescent="0.25">
      <c r="A1429" s="2">
        <v>1428</v>
      </c>
      <c r="B1429" s="2">
        <v>26554</v>
      </c>
      <c r="C1429" s="5" t="s">
        <v>619</v>
      </c>
      <c r="D1429" s="2" t="s">
        <v>620</v>
      </c>
      <c r="E1429" s="6" t="s">
        <v>8793</v>
      </c>
      <c r="F1429" s="6">
        <v>22943723</v>
      </c>
      <c r="G1429" s="3">
        <v>42</v>
      </c>
      <c r="I1429" s="7"/>
      <c r="J1429" s="7"/>
      <c r="K1429" s="8">
        <v>42.027397260273972</v>
      </c>
      <c r="L1429" s="2" t="s">
        <v>8794</v>
      </c>
      <c r="M1429" s="2" t="s">
        <v>8795</v>
      </c>
      <c r="N1429" s="2" t="s">
        <v>280</v>
      </c>
      <c r="O1429" s="2" t="s">
        <v>8796</v>
      </c>
      <c r="P1429" s="2" t="s">
        <v>626</v>
      </c>
      <c r="Q1429" s="2" t="s">
        <v>351</v>
      </c>
      <c r="R1429" s="9">
        <v>29456</v>
      </c>
      <c r="S1429" s="9">
        <v>29456</v>
      </c>
      <c r="T1429" s="2" t="s">
        <v>627</v>
      </c>
      <c r="U1429" s="2" t="s">
        <v>627</v>
      </c>
      <c r="V1429" s="2" t="s">
        <v>627</v>
      </c>
      <c r="W1429" s="2" t="s">
        <v>627</v>
      </c>
      <c r="X1429" s="2" t="s">
        <v>8797</v>
      </c>
      <c r="Y1429" s="2" t="s">
        <v>8798</v>
      </c>
      <c r="Z1429" s="6">
        <v>82032311</v>
      </c>
      <c r="AA1429" s="2">
        <v>89223883</v>
      </c>
      <c r="AB1429" s="2" t="s">
        <v>642</v>
      </c>
      <c r="AC1429" s="2" t="s">
        <v>632</v>
      </c>
      <c r="AD1429" s="10">
        <v>82032311</v>
      </c>
      <c r="AE1429" s="11"/>
      <c r="AF1429" s="11">
        <v>89223883</v>
      </c>
      <c r="AG1429" s="11"/>
      <c r="AH1429" s="11"/>
      <c r="AI1429" s="11"/>
      <c r="AJ1429" s="11">
        <v>82032311</v>
      </c>
      <c r="AK1429" s="12">
        <v>2</v>
      </c>
      <c r="AL1429" s="12" t="s">
        <v>7377</v>
      </c>
      <c r="AM1429" s="2">
        <v>0</v>
      </c>
      <c r="AN1429" s="2">
        <v>0</v>
      </c>
      <c r="AO1429" s="2">
        <v>0</v>
      </c>
      <c r="AP1429" s="2">
        <v>1</v>
      </c>
      <c r="AQ1429" s="2">
        <v>0</v>
      </c>
      <c r="AR1429" s="2">
        <v>0</v>
      </c>
      <c r="AS1429" s="2">
        <v>0</v>
      </c>
      <c r="AT1429" s="2">
        <v>0</v>
      </c>
      <c r="AZ1429" s="2" t="s">
        <v>8799</v>
      </c>
      <c r="BB1429" s="2" t="str">
        <f>+PROPER(BD[[#This Row],[PRIMER_APELLIDO]])</f>
        <v>Sevilla</v>
      </c>
    </row>
    <row r="1430" spans="1:54" x14ac:dyDescent="0.25">
      <c r="A1430" s="2">
        <v>1429</v>
      </c>
      <c r="B1430" s="2">
        <v>26346</v>
      </c>
      <c r="C1430" s="5" t="s">
        <v>619</v>
      </c>
      <c r="D1430" s="2" t="s">
        <v>620</v>
      </c>
      <c r="E1430" s="6" t="s">
        <v>8800</v>
      </c>
      <c r="F1430" s="6">
        <v>21523371</v>
      </c>
      <c r="G1430" s="3">
        <v>42</v>
      </c>
      <c r="I1430" s="7"/>
      <c r="J1430" s="7"/>
      <c r="K1430" s="8">
        <v>42.032876712328765</v>
      </c>
      <c r="L1430" s="2" t="s">
        <v>243</v>
      </c>
      <c r="M1430" s="2" t="s">
        <v>1692</v>
      </c>
      <c r="N1430" s="2" t="s">
        <v>195</v>
      </c>
      <c r="O1430" s="2" t="s">
        <v>22</v>
      </c>
      <c r="P1430" s="2" t="s">
        <v>649</v>
      </c>
      <c r="Q1430" s="2" t="s">
        <v>351</v>
      </c>
      <c r="R1430" s="9">
        <v>29454</v>
      </c>
      <c r="S1430" s="9">
        <v>29454</v>
      </c>
      <c r="T1430" s="2" t="s">
        <v>691</v>
      </c>
      <c r="U1430" s="2" t="s">
        <v>691</v>
      </c>
      <c r="V1430" s="2" t="s">
        <v>3571</v>
      </c>
      <c r="W1430" s="2" t="s">
        <v>3571</v>
      </c>
      <c r="X1430" s="2" t="s">
        <v>8801</v>
      </c>
      <c r="Y1430" s="2" t="s">
        <v>8802</v>
      </c>
      <c r="Z1430" s="6">
        <v>86260393</v>
      </c>
      <c r="AA1430" s="2">
        <v>86260393</v>
      </c>
      <c r="AB1430" s="2" t="s">
        <v>798</v>
      </c>
      <c r="AC1430" s="2" t="s">
        <v>632</v>
      </c>
      <c r="AD1430" s="10">
        <v>86260393</v>
      </c>
      <c r="AE1430" s="11"/>
      <c r="AF1430" s="11">
        <v>86260393</v>
      </c>
      <c r="AG1430" s="11"/>
      <c r="AH1430" s="11"/>
      <c r="AI1430" s="11"/>
      <c r="AJ1430" s="11">
        <v>86260393</v>
      </c>
      <c r="AK1430" s="12">
        <v>2</v>
      </c>
      <c r="AL1430" s="12" t="s">
        <v>7377</v>
      </c>
      <c r="AM1430" s="2">
        <v>0</v>
      </c>
      <c r="AN1430" s="2">
        <v>0</v>
      </c>
      <c r="AO1430" s="2">
        <v>0</v>
      </c>
      <c r="AP1430" s="2">
        <v>1</v>
      </c>
      <c r="AQ1430" s="2">
        <v>0</v>
      </c>
      <c r="AR1430" s="2">
        <v>0</v>
      </c>
      <c r="AS1430" s="2">
        <v>0</v>
      </c>
      <c r="AT1430" s="2">
        <v>0</v>
      </c>
      <c r="BB1430" s="2" t="str">
        <f>+PROPER(BD[[#This Row],[PRIMER_APELLIDO]])</f>
        <v>Videa</v>
      </c>
    </row>
    <row r="1431" spans="1:54" x14ac:dyDescent="0.25">
      <c r="A1431" s="2">
        <v>1430</v>
      </c>
      <c r="B1431" s="2">
        <v>37929</v>
      </c>
      <c r="C1431" s="5" t="s">
        <v>619</v>
      </c>
      <c r="D1431" s="2" t="s">
        <v>620</v>
      </c>
      <c r="E1431" s="6" t="s">
        <v>8803</v>
      </c>
      <c r="F1431" s="6">
        <v>21673920</v>
      </c>
      <c r="G1431" s="3">
        <v>42</v>
      </c>
      <c r="I1431" s="7"/>
      <c r="J1431" s="7"/>
      <c r="K1431" s="8">
        <v>42.035616438356165</v>
      </c>
      <c r="L1431" s="2" t="s">
        <v>1076</v>
      </c>
      <c r="M1431" s="2" t="s">
        <v>1699</v>
      </c>
      <c r="N1431" s="2" t="s">
        <v>48</v>
      </c>
      <c r="O1431" s="2" t="s">
        <v>5408</v>
      </c>
      <c r="P1431" s="2" t="s">
        <v>649</v>
      </c>
      <c r="Q1431" s="2" t="s">
        <v>351</v>
      </c>
      <c r="R1431" s="9">
        <v>29453</v>
      </c>
      <c r="S1431" s="9">
        <v>29453</v>
      </c>
      <c r="T1431" s="2" t="s">
        <v>627</v>
      </c>
      <c r="U1431" s="2" t="s">
        <v>627</v>
      </c>
      <c r="V1431" s="2" t="s">
        <v>627</v>
      </c>
      <c r="W1431" s="2" t="s">
        <v>627</v>
      </c>
      <c r="X1431" s="2" t="s">
        <v>8804</v>
      </c>
      <c r="Y1431" s="2" t="s">
        <v>8805</v>
      </c>
      <c r="Z1431" s="6"/>
      <c r="AA1431" s="2">
        <v>86337664</v>
      </c>
      <c r="AB1431" s="2" t="s">
        <v>654</v>
      </c>
      <c r="AC1431" s="2" t="s">
        <v>632</v>
      </c>
      <c r="AD1431" s="10"/>
      <c r="AE1431" s="11"/>
      <c r="AF1431" s="11">
        <v>86337664</v>
      </c>
      <c r="AG1431" s="11"/>
      <c r="AH1431" s="11"/>
      <c r="AI1431" s="11"/>
      <c r="AJ1431" s="11">
        <v>86337664</v>
      </c>
      <c r="AK1431" s="12">
        <v>1</v>
      </c>
      <c r="AL1431" s="12" t="s">
        <v>7377</v>
      </c>
      <c r="AM1431" s="2">
        <v>0</v>
      </c>
      <c r="AN1431" s="2">
        <v>0</v>
      </c>
      <c r="AO1431" s="2">
        <v>0</v>
      </c>
      <c r="AP1431" s="2">
        <v>1</v>
      </c>
      <c r="AQ1431" s="2">
        <v>0</v>
      </c>
      <c r="AR1431" s="2">
        <v>0</v>
      </c>
      <c r="AS1431" s="2">
        <v>0</v>
      </c>
      <c r="AT1431" s="2">
        <v>0</v>
      </c>
      <c r="BB1431" s="2" t="str">
        <f>+PROPER(BD[[#This Row],[PRIMER_APELLIDO]])</f>
        <v>Velasquez</v>
      </c>
    </row>
    <row r="1432" spans="1:54" x14ac:dyDescent="0.25">
      <c r="A1432" s="2">
        <v>1431</v>
      </c>
      <c r="B1432" s="2">
        <v>28194</v>
      </c>
      <c r="C1432" s="5" t="s">
        <v>619</v>
      </c>
      <c r="D1432" s="2" t="s">
        <v>620</v>
      </c>
      <c r="E1432" s="6" t="s">
        <v>8806</v>
      </c>
      <c r="F1432" s="6">
        <v>21954827</v>
      </c>
      <c r="G1432" s="3">
        <v>42</v>
      </c>
      <c r="I1432" s="7"/>
      <c r="J1432" s="7"/>
      <c r="K1432" s="8">
        <v>42.046575342465751</v>
      </c>
      <c r="L1432" s="2" t="s">
        <v>3255</v>
      </c>
      <c r="M1432" s="2" t="s">
        <v>243</v>
      </c>
      <c r="N1432" s="2" t="s">
        <v>186</v>
      </c>
      <c r="O1432" s="2" t="s">
        <v>385</v>
      </c>
      <c r="P1432" s="2" t="s">
        <v>649</v>
      </c>
      <c r="Q1432" s="2" t="s">
        <v>351</v>
      </c>
      <c r="R1432" s="9">
        <v>29449</v>
      </c>
      <c r="S1432" s="9">
        <v>29449</v>
      </c>
      <c r="T1432" s="2" t="s">
        <v>705</v>
      </c>
      <c r="U1432" s="2" t="s">
        <v>705</v>
      </c>
      <c r="V1432" s="2" t="s">
        <v>705</v>
      </c>
      <c r="W1432" s="2" t="s">
        <v>705</v>
      </c>
      <c r="X1432" s="2" t="s">
        <v>8807</v>
      </c>
      <c r="Y1432" s="2" t="s">
        <v>8808</v>
      </c>
      <c r="Z1432" s="6">
        <v>83780991</v>
      </c>
      <c r="AA1432" s="2">
        <v>83780991</v>
      </c>
      <c r="AB1432" s="2" t="s">
        <v>654</v>
      </c>
      <c r="AC1432" s="2" t="s">
        <v>632</v>
      </c>
      <c r="AD1432" s="10">
        <v>83780991</v>
      </c>
      <c r="AE1432" s="11"/>
      <c r="AF1432" s="11">
        <v>83780991</v>
      </c>
      <c r="AG1432" s="11"/>
      <c r="AH1432" s="11"/>
      <c r="AI1432" s="11"/>
      <c r="AJ1432" s="11">
        <v>83780991</v>
      </c>
      <c r="AK1432" s="12">
        <v>2</v>
      </c>
      <c r="AL1432" s="12" t="s">
        <v>7377</v>
      </c>
      <c r="AM1432" s="2">
        <v>0</v>
      </c>
      <c r="AN1432" s="2">
        <v>0</v>
      </c>
      <c r="AO1432" s="2">
        <v>0</v>
      </c>
      <c r="AP1432" s="2">
        <v>1</v>
      </c>
      <c r="AQ1432" s="2">
        <v>0</v>
      </c>
      <c r="AR1432" s="2">
        <v>0</v>
      </c>
      <c r="AS1432" s="2">
        <v>0</v>
      </c>
      <c r="AT1432" s="2">
        <v>0</v>
      </c>
      <c r="AZ1432" s="2" t="s">
        <v>8809</v>
      </c>
      <c r="BB1432" s="2" t="str">
        <f>+PROPER(BD[[#This Row],[PRIMER_APELLIDO]])</f>
        <v>Rivas</v>
      </c>
    </row>
    <row r="1433" spans="1:54" x14ac:dyDescent="0.25">
      <c r="A1433" s="2">
        <v>1432</v>
      </c>
      <c r="B1433" s="2">
        <v>24788</v>
      </c>
      <c r="C1433" s="5" t="s">
        <v>619</v>
      </c>
      <c r="D1433" s="2" t="s">
        <v>620</v>
      </c>
      <c r="E1433" s="6" t="s">
        <v>8810</v>
      </c>
      <c r="F1433" s="6">
        <v>21418448</v>
      </c>
      <c r="G1433" s="3">
        <v>42</v>
      </c>
      <c r="I1433" s="7"/>
      <c r="J1433" s="7"/>
      <c r="K1433" s="8">
        <v>42.049315068493151</v>
      </c>
      <c r="L1433" s="2" t="s">
        <v>6376</v>
      </c>
      <c r="M1433" s="2" t="s">
        <v>714</v>
      </c>
      <c r="N1433" s="2" t="s">
        <v>64</v>
      </c>
      <c r="O1433" s="2" t="s">
        <v>8811</v>
      </c>
      <c r="P1433" s="2" t="s">
        <v>626</v>
      </c>
      <c r="Q1433" s="2" t="s">
        <v>351</v>
      </c>
      <c r="R1433" s="9">
        <v>29448</v>
      </c>
      <c r="S1433" s="9">
        <v>29448</v>
      </c>
      <c r="U1433" s="2" t="s">
        <v>627</v>
      </c>
      <c r="W1433" s="2" t="s">
        <v>627</v>
      </c>
      <c r="X1433" s="2" t="s">
        <v>8812</v>
      </c>
      <c r="Y1433" s="2" t="s">
        <v>8813</v>
      </c>
      <c r="Z1433" s="6"/>
      <c r="AA1433" s="2" t="s">
        <v>8814</v>
      </c>
      <c r="AB1433" s="2" t="s">
        <v>654</v>
      </c>
      <c r="AC1433" s="2" t="s">
        <v>632</v>
      </c>
      <c r="AD1433" s="10"/>
      <c r="AE1433" s="11"/>
      <c r="AF1433" s="11"/>
      <c r="AG1433" s="11">
        <v>77361565</v>
      </c>
      <c r="AH1433" s="11">
        <v>86395545</v>
      </c>
      <c r="AI1433" s="11"/>
      <c r="AJ1433" s="11">
        <v>77361565</v>
      </c>
      <c r="AK1433" s="12">
        <v>3</v>
      </c>
      <c r="AL1433" s="12" t="s">
        <v>7377</v>
      </c>
      <c r="AM1433" s="2">
        <v>0</v>
      </c>
      <c r="AN1433" s="2">
        <v>0</v>
      </c>
      <c r="AO1433" s="2">
        <v>0</v>
      </c>
      <c r="AP1433" s="2">
        <v>1</v>
      </c>
      <c r="AQ1433" s="2">
        <v>0</v>
      </c>
      <c r="AR1433" s="2">
        <v>0</v>
      </c>
      <c r="AS1433" s="2">
        <v>0</v>
      </c>
      <c r="AT1433" s="2">
        <v>0</v>
      </c>
      <c r="BA1433" s="2" t="s">
        <v>8815</v>
      </c>
      <c r="BB1433" s="2" t="str">
        <f>+PROPER(BD[[#This Row],[PRIMER_APELLIDO]])</f>
        <v>Sandoval</v>
      </c>
    </row>
    <row r="1434" spans="1:54" x14ac:dyDescent="0.25">
      <c r="A1434" s="2">
        <v>1433</v>
      </c>
      <c r="B1434" s="2">
        <v>27630</v>
      </c>
      <c r="C1434" s="5" t="s">
        <v>619</v>
      </c>
      <c r="D1434" s="2" t="s">
        <v>620</v>
      </c>
      <c r="E1434" s="6" t="s">
        <v>8816</v>
      </c>
      <c r="F1434" s="6">
        <v>22123899</v>
      </c>
      <c r="G1434" s="3">
        <v>42</v>
      </c>
      <c r="I1434" s="7"/>
      <c r="J1434" s="7"/>
      <c r="K1434" s="8">
        <v>42.060273972602737</v>
      </c>
      <c r="L1434" s="2" t="s">
        <v>1881</v>
      </c>
      <c r="M1434" s="2" t="s">
        <v>961</v>
      </c>
      <c r="N1434" s="2" t="s">
        <v>529</v>
      </c>
      <c r="O1434" s="2" t="s">
        <v>257</v>
      </c>
      <c r="P1434" s="2" t="s">
        <v>626</v>
      </c>
      <c r="Q1434" s="2" t="s">
        <v>351</v>
      </c>
      <c r="R1434" s="9">
        <v>29444</v>
      </c>
      <c r="S1434" s="9">
        <v>29444</v>
      </c>
      <c r="T1434" s="2" t="s">
        <v>176</v>
      </c>
      <c r="U1434" s="2" t="s">
        <v>929</v>
      </c>
      <c r="V1434" s="2" t="s">
        <v>650</v>
      </c>
      <c r="W1434" s="2" t="s">
        <v>1653</v>
      </c>
      <c r="X1434" s="2" t="s">
        <v>8817</v>
      </c>
      <c r="Y1434" s="2" t="s">
        <v>8818</v>
      </c>
      <c r="Z1434" s="6">
        <v>86671775</v>
      </c>
      <c r="AA1434" s="2">
        <v>86671775</v>
      </c>
      <c r="AB1434" s="2" t="s">
        <v>654</v>
      </c>
      <c r="AC1434" s="2" t="s">
        <v>632</v>
      </c>
      <c r="AD1434" s="10">
        <v>86671775</v>
      </c>
      <c r="AE1434" s="11"/>
      <c r="AF1434" s="11">
        <v>86671775</v>
      </c>
      <c r="AG1434" s="11"/>
      <c r="AH1434" s="11"/>
      <c r="AI1434" s="11"/>
      <c r="AJ1434" s="11">
        <v>86671775</v>
      </c>
      <c r="AK1434" s="12">
        <v>2</v>
      </c>
      <c r="AL1434" s="12" t="s">
        <v>7377</v>
      </c>
      <c r="AM1434" s="2">
        <v>0</v>
      </c>
      <c r="AN1434" s="2">
        <v>0</v>
      </c>
      <c r="AO1434" s="2">
        <v>0</v>
      </c>
      <c r="AP1434" s="2">
        <v>1</v>
      </c>
      <c r="AQ1434" s="2">
        <v>0</v>
      </c>
      <c r="AR1434" s="2">
        <v>0</v>
      </c>
      <c r="AS1434" s="2">
        <v>0</v>
      </c>
      <c r="AT1434" s="2">
        <v>0</v>
      </c>
      <c r="BB1434" s="2" t="str">
        <f>+PROPER(BD[[#This Row],[PRIMER_APELLIDO]])</f>
        <v>Urey</v>
      </c>
    </row>
    <row r="1435" spans="1:54" x14ac:dyDescent="0.25">
      <c r="A1435" s="2">
        <v>1434</v>
      </c>
      <c r="B1435" s="2">
        <v>19077</v>
      </c>
      <c r="C1435" s="5" t="s">
        <v>619</v>
      </c>
      <c r="D1435" s="2" t="s">
        <v>620</v>
      </c>
      <c r="E1435" s="6" t="s">
        <v>8819</v>
      </c>
      <c r="F1435" s="6"/>
      <c r="G1435" s="3">
        <v>42</v>
      </c>
      <c r="I1435" s="7"/>
      <c r="J1435" s="7"/>
      <c r="K1435" s="8">
        <v>42.06849315068493</v>
      </c>
      <c r="L1435" s="2" t="s">
        <v>1076</v>
      </c>
      <c r="M1435" s="2" t="s">
        <v>1699</v>
      </c>
      <c r="N1435" s="2" t="s">
        <v>363</v>
      </c>
      <c r="O1435" s="2" t="s">
        <v>93</v>
      </c>
      <c r="P1435" s="2" t="s">
        <v>649</v>
      </c>
      <c r="Q1435" s="2" t="s">
        <v>351</v>
      </c>
      <c r="R1435" s="9">
        <v>29441</v>
      </c>
      <c r="S1435" s="9">
        <v>29441</v>
      </c>
      <c r="T1435" s="2" t="s">
        <v>176</v>
      </c>
      <c r="U1435" s="2" t="s">
        <v>1104</v>
      </c>
      <c r="V1435" s="2" t="s">
        <v>650</v>
      </c>
      <c r="W1435" s="2" t="s">
        <v>6268</v>
      </c>
      <c r="X1435" s="2" t="s">
        <v>8820</v>
      </c>
      <c r="Y1435" s="2" t="s">
        <v>8821</v>
      </c>
      <c r="Z1435" s="6">
        <v>85771076</v>
      </c>
      <c r="AA1435" s="2">
        <v>85771076</v>
      </c>
      <c r="AB1435" s="2" t="s">
        <v>654</v>
      </c>
      <c r="AC1435" s="2" t="s">
        <v>632</v>
      </c>
      <c r="AD1435" s="10">
        <v>85771076</v>
      </c>
      <c r="AE1435" s="11"/>
      <c r="AF1435" s="11">
        <v>85771076</v>
      </c>
      <c r="AG1435" s="11"/>
      <c r="AH1435" s="11"/>
      <c r="AI1435" s="11"/>
      <c r="AJ1435" s="11">
        <v>85771076</v>
      </c>
      <c r="AK1435" s="12">
        <v>2</v>
      </c>
      <c r="AL1435" s="12" t="s">
        <v>7377</v>
      </c>
      <c r="AM1435" s="2">
        <v>0</v>
      </c>
      <c r="AN1435" s="2">
        <v>0</v>
      </c>
      <c r="AO1435" s="2">
        <v>0</v>
      </c>
      <c r="AP1435" s="2">
        <v>1</v>
      </c>
      <c r="AQ1435" s="2">
        <v>0</v>
      </c>
      <c r="AR1435" s="2">
        <v>0</v>
      </c>
      <c r="AS1435" s="2">
        <v>0</v>
      </c>
      <c r="AT1435" s="2">
        <v>0</v>
      </c>
      <c r="AZ1435" s="2" t="s">
        <v>8822</v>
      </c>
      <c r="BB1435" s="2" t="str">
        <f>+PROPER(BD[[#This Row],[PRIMER_APELLIDO]])</f>
        <v>Delgado</v>
      </c>
    </row>
    <row r="1436" spans="1:54" x14ac:dyDescent="0.25">
      <c r="A1436" s="2">
        <v>1435</v>
      </c>
      <c r="B1436" s="2">
        <v>28405</v>
      </c>
      <c r="C1436" s="5" t="s">
        <v>619</v>
      </c>
      <c r="D1436" s="2" t="s">
        <v>620</v>
      </c>
      <c r="E1436" s="6" t="s">
        <v>8823</v>
      </c>
      <c r="F1436" s="6">
        <v>19449836</v>
      </c>
      <c r="G1436" s="3">
        <v>42</v>
      </c>
      <c r="I1436" s="7"/>
      <c r="J1436" s="7"/>
      <c r="K1436" s="8">
        <v>42.073972602739723</v>
      </c>
      <c r="L1436" s="2" t="s">
        <v>738</v>
      </c>
      <c r="M1436" s="2" t="s">
        <v>2057</v>
      </c>
      <c r="N1436" s="2" t="s">
        <v>469</v>
      </c>
      <c r="O1436" s="2" t="s">
        <v>379</v>
      </c>
      <c r="P1436" s="2" t="s">
        <v>649</v>
      </c>
      <c r="Q1436" s="2" t="s">
        <v>351</v>
      </c>
      <c r="R1436" s="9">
        <v>29439</v>
      </c>
      <c r="S1436" s="9">
        <v>29439</v>
      </c>
      <c r="T1436" s="2" t="s">
        <v>691</v>
      </c>
      <c r="U1436" s="2" t="s">
        <v>691</v>
      </c>
      <c r="V1436" s="2" t="s">
        <v>716</v>
      </c>
      <c r="W1436" s="2" t="s">
        <v>691</v>
      </c>
      <c r="X1436" s="2" t="s">
        <v>8824</v>
      </c>
      <c r="Y1436" s="2" t="s">
        <v>8825</v>
      </c>
      <c r="Z1436" s="6">
        <v>88394931</v>
      </c>
      <c r="AA1436" s="2">
        <v>88394931</v>
      </c>
      <c r="AB1436" s="2" t="s">
        <v>654</v>
      </c>
      <c r="AC1436" s="2" t="s">
        <v>632</v>
      </c>
      <c r="AD1436" s="10">
        <v>88394931</v>
      </c>
      <c r="AE1436" s="11"/>
      <c r="AF1436" s="11">
        <v>88394931</v>
      </c>
      <c r="AG1436" s="11"/>
      <c r="AH1436" s="11"/>
      <c r="AI1436" s="11"/>
      <c r="AJ1436" s="11">
        <v>88394931</v>
      </c>
      <c r="AK1436" s="12">
        <v>2</v>
      </c>
      <c r="AL1436" s="12" t="s">
        <v>7377</v>
      </c>
      <c r="AM1436" s="2">
        <v>0</v>
      </c>
      <c r="AN1436" s="2">
        <v>0</v>
      </c>
      <c r="AO1436" s="2">
        <v>0</v>
      </c>
      <c r="AP1436" s="2">
        <v>1</v>
      </c>
      <c r="AQ1436" s="2">
        <v>0</v>
      </c>
      <c r="AR1436" s="2">
        <v>0</v>
      </c>
      <c r="AS1436" s="2">
        <v>0</v>
      </c>
      <c r="AT1436" s="2">
        <v>0</v>
      </c>
      <c r="BB1436" s="2" t="str">
        <f>+PROPER(BD[[#This Row],[PRIMER_APELLIDO]])</f>
        <v>Wong</v>
      </c>
    </row>
    <row r="1437" spans="1:54" x14ac:dyDescent="0.25">
      <c r="A1437" s="2">
        <v>1436</v>
      </c>
      <c r="B1437" s="2">
        <v>23965</v>
      </c>
      <c r="C1437" s="5" t="s">
        <v>619</v>
      </c>
      <c r="D1437" s="2" t="s">
        <v>620</v>
      </c>
      <c r="E1437" s="6" t="s">
        <v>8826</v>
      </c>
      <c r="F1437" s="6">
        <v>20490410</v>
      </c>
      <c r="G1437" s="3">
        <v>42</v>
      </c>
      <c r="I1437" s="7"/>
      <c r="J1437" s="7"/>
      <c r="K1437" s="8">
        <v>42.076712328767123</v>
      </c>
      <c r="L1437" s="2" t="s">
        <v>8709</v>
      </c>
      <c r="M1437" s="2" t="s">
        <v>8827</v>
      </c>
      <c r="N1437" s="2" t="s">
        <v>159</v>
      </c>
      <c r="O1437" s="2" t="s">
        <v>235</v>
      </c>
      <c r="P1437" s="2" t="s">
        <v>626</v>
      </c>
      <c r="Q1437" s="2" t="s">
        <v>351</v>
      </c>
      <c r="R1437" s="9">
        <v>29438</v>
      </c>
      <c r="S1437" s="9">
        <v>29438</v>
      </c>
      <c r="T1437" s="2" t="s">
        <v>627</v>
      </c>
      <c r="U1437" s="2" t="s">
        <v>627</v>
      </c>
      <c r="V1437" s="2" t="s">
        <v>627</v>
      </c>
      <c r="W1437" s="2" t="s">
        <v>627</v>
      </c>
      <c r="X1437" s="2" t="s">
        <v>8828</v>
      </c>
      <c r="Y1437" s="2" t="s">
        <v>8829</v>
      </c>
      <c r="Z1437" s="6"/>
      <c r="AA1437" s="2" t="s">
        <v>8830</v>
      </c>
      <c r="AB1437" s="2" t="s">
        <v>642</v>
      </c>
      <c r="AC1437" s="2" t="s">
        <v>632</v>
      </c>
      <c r="AD1437" s="10"/>
      <c r="AE1437" s="11"/>
      <c r="AF1437" s="11"/>
      <c r="AG1437" s="11"/>
      <c r="AH1437" s="11"/>
      <c r="AI1437" s="11"/>
      <c r="AJ1437" s="11"/>
      <c r="AK1437" s="12">
        <v>2</v>
      </c>
      <c r="AL1437" s="12" t="s">
        <v>7377</v>
      </c>
      <c r="AM1437" s="2">
        <v>0</v>
      </c>
      <c r="AN1437" s="2">
        <v>0</v>
      </c>
      <c r="AO1437" s="2">
        <v>0</v>
      </c>
      <c r="AP1437" s="2">
        <v>1</v>
      </c>
      <c r="AQ1437" s="2">
        <v>0</v>
      </c>
      <c r="AR1437" s="2">
        <v>0</v>
      </c>
      <c r="AS1437" s="2">
        <v>0</v>
      </c>
      <c r="AT1437" s="2">
        <v>0</v>
      </c>
      <c r="BB1437" s="2" t="str">
        <f>+PROPER(BD[[#This Row],[PRIMER_APELLIDO]])</f>
        <v>Blandon</v>
      </c>
    </row>
    <row r="1438" spans="1:54" x14ac:dyDescent="0.25">
      <c r="A1438" s="2">
        <v>1437</v>
      </c>
      <c r="B1438" s="2">
        <v>25277</v>
      </c>
      <c r="C1438" s="5" t="s">
        <v>619</v>
      </c>
      <c r="D1438" s="2" t="s">
        <v>620</v>
      </c>
      <c r="E1438" s="6" t="s">
        <v>8831</v>
      </c>
      <c r="F1438" s="6">
        <v>20348407</v>
      </c>
      <c r="G1438" s="3">
        <v>42</v>
      </c>
      <c r="I1438" s="7"/>
      <c r="J1438" s="7"/>
      <c r="K1438" s="8">
        <v>42.084931506849315</v>
      </c>
      <c r="L1438" s="2" t="s">
        <v>1333</v>
      </c>
      <c r="M1438" s="2" t="s">
        <v>683</v>
      </c>
      <c r="N1438" s="2" t="s">
        <v>82</v>
      </c>
      <c r="O1438" s="2" t="s">
        <v>228</v>
      </c>
      <c r="P1438" s="2" t="s">
        <v>626</v>
      </c>
      <c r="Q1438" s="2" t="s">
        <v>351</v>
      </c>
      <c r="R1438" s="9">
        <v>29435</v>
      </c>
      <c r="S1438" s="9">
        <v>29435</v>
      </c>
      <c r="T1438" s="2" t="s">
        <v>176</v>
      </c>
      <c r="U1438" s="2" t="s">
        <v>627</v>
      </c>
      <c r="V1438" s="2" t="s">
        <v>650</v>
      </c>
      <c r="W1438" s="2" t="s">
        <v>627</v>
      </c>
      <c r="X1438" s="2" t="s">
        <v>8832</v>
      </c>
      <c r="Y1438" s="2" t="s">
        <v>8833</v>
      </c>
      <c r="Z1438" s="6">
        <v>86335729</v>
      </c>
      <c r="AA1438" s="2">
        <v>86335729</v>
      </c>
      <c r="AB1438" s="2" t="s">
        <v>654</v>
      </c>
      <c r="AC1438" s="2" t="s">
        <v>632</v>
      </c>
      <c r="AD1438" s="10">
        <v>86335729</v>
      </c>
      <c r="AE1438" s="11"/>
      <c r="AF1438" s="11">
        <v>86335729</v>
      </c>
      <c r="AG1438" s="11"/>
      <c r="AH1438" s="11"/>
      <c r="AI1438" s="11"/>
      <c r="AJ1438" s="11">
        <v>86335729</v>
      </c>
      <c r="AK1438" s="12">
        <v>2</v>
      </c>
      <c r="AL1438" s="12" t="s">
        <v>7377</v>
      </c>
      <c r="AM1438" s="2">
        <v>0</v>
      </c>
      <c r="AN1438" s="2">
        <v>0</v>
      </c>
      <c r="AO1438" s="2">
        <v>0</v>
      </c>
      <c r="AP1438" s="2">
        <v>1</v>
      </c>
      <c r="AQ1438" s="2">
        <v>0</v>
      </c>
      <c r="AR1438" s="2">
        <v>0</v>
      </c>
      <c r="AS1438" s="2">
        <v>0</v>
      </c>
      <c r="AT1438" s="2">
        <v>0</v>
      </c>
      <c r="AZ1438" s="2" t="s">
        <v>8834</v>
      </c>
      <c r="BB1438" s="2" t="str">
        <f>+PROPER(BD[[#This Row],[PRIMER_APELLIDO]])</f>
        <v>Morales</v>
      </c>
    </row>
    <row r="1439" spans="1:54" x14ac:dyDescent="0.25">
      <c r="A1439" s="2">
        <v>1438</v>
      </c>
      <c r="B1439" s="2">
        <v>19891</v>
      </c>
      <c r="C1439" s="5" t="s">
        <v>619</v>
      </c>
      <c r="D1439" s="2" t="s">
        <v>620</v>
      </c>
      <c r="E1439" s="6" t="s">
        <v>8835</v>
      </c>
      <c r="F1439" s="6">
        <v>17874663</v>
      </c>
      <c r="G1439" s="3">
        <v>42</v>
      </c>
      <c r="I1439" s="7"/>
      <c r="J1439" s="7"/>
      <c r="K1439" s="8">
        <v>42.090410958904108</v>
      </c>
      <c r="L1439" s="2" t="s">
        <v>1211</v>
      </c>
      <c r="M1439" s="2" t="s">
        <v>787</v>
      </c>
      <c r="N1439" s="2" t="s">
        <v>275</v>
      </c>
      <c r="O1439" s="2" t="s">
        <v>5408</v>
      </c>
      <c r="P1439" s="2" t="s">
        <v>626</v>
      </c>
      <c r="Q1439" s="2" t="s">
        <v>351</v>
      </c>
      <c r="R1439" s="9">
        <v>29433</v>
      </c>
      <c r="S1439" s="9">
        <v>29433</v>
      </c>
      <c r="T1439" s="2" t="s">
        <v>627</v>
      </c>
      <c r="U1439" s="2" t="s">
        <v>627</v>
      </c>
      <c r="V1439" s="2" t="s">
        <v>627</v>
      </c>
      <c r="W1439" s="2" t="s">
        <v>627</v>
      </c>
      <c r="X1439" s="2" t="s">
        <v>8836</v>
      </c>
      <c r="Y1439" s="2" t="s">
        <v>8837</v>
      </c>
      <c r="Z1439" s="6">
        <v>86518894</v>
      </c>
      <c r="AA1439" s="2">
        <v>22507650</v>
      </c>
      <c r="AB1439" s="2" t="s">
        <v>773</v>
      </c>
      <c r="AC1439" s="2" t="s">
        <v>632</v>
      </c>
      <c r="AD1439" s="10">
        <v>86518894</v>
      </c>
      <c r="AE1439" s="11"/>
      <c r="AF1439" s="11"/>
      <c r="AG1439" s="11"/>
      <c r="AH1439" s="11"/>
      <c r="AI1439" s="11"/>
      <c r="AJ1439" s="11">
        <v>86518894</v>
      </c>
      <c r="AK1439" s="12">
        <v>2</v>
      </c>
      <c r="AL1439" s="12" t="s">
        <v>7377</v>
      </c>
      <c r="AM1439" s="2">
        <v>0</v>
      </c>
      <c r="AN1439" s="2">
        <v>0</v>
      </c>
      <c r="AO1439" s="2">
        <v>0</v>
      </c>
      <c r="AP1439" s="2">
        <v>1</v>
      </c>
      <c r="AQ1439" s="2">
        <v>0</v>
      </c>
      <c r="AR1439" s="2">
        <v>0</v>
      </c>
      <c r="AS1439" s="2">
        <v>0</v>
      </c>
      <c r="AT1439" s="2">
        <v>0</v>
      </c>
      <c r="AZ1439" s="2" t="s">
        <v>8838</v>
      </c>
      <c r="BB1439" s="2" t="str">
        <f>+PROPER(BD[[#This Row],[PRIMER_APELLIDO]])</f>
        <v>Guerrero</v>
      </c>
    </row>
    <row r="1440" spans="1:54" x14ac:dyDescent="0.25">
      <c r="A1440" s="2">
        <v>1439</v>
      </c>
      <c r="B1440" s="2">
        <v>34806</v>
      </c>
      <c r="C1440" s="5" t="s">
        <v>619</v>
      </c>
      <c r="D1440" s="2" t="s">
        <v>620</v>
      </c>
      <c r="E1440" s="6" t="s">
        <v>8839</v>
      </c>
      <c r="F1440" s="6">
        <v>19761437</v>
      </c>
      <c r="G1440" s="3">
        <v>42</v>
      </c>
      <c r="I1440" s="7"/>
      <c r="J1440" s="7"/>
      <c r="K1440" s="8">
        <v>42.095890410958901</v>
      </c>
      <c r="L1440" s="2" t="s">
        <v>8840</v>
      </c>
      <c r="M1440" s="2" t="s">
        <v>724</v>
      </c>
      <c r="N1440" s="2" t="s">
        <v>25</v>
      </c>
      <c r="O1440" s="2" t="s">
        <v>343</v>
      </c>
      <c r="P1440" s="2" t="s">
        <v>626</v>
      </c>
      <c r="Q1440" s="2" t="s">
        <v>351</v>
      </c>
      <c r="R1440" s="9">
        <v>29431</v>
      </c>
      <c r="S1440" s="9">
        <v>29431</v>
      </c>
      <c r="T1440" s="2" t="s">
        <v>705</v>
      </c>
      <c r="U1440" s="2" t="s">
        <v>705</v>
      </c>
      <c r="V1440" s="2" t="s">
        <v>8841</v>
      </c>
      <c r="W1440" s="2" t="s">
        <v>8841</v>
      </c>
      <c r="X1440" s="2" t="s">
        <v>8842</v>
      </c>
      <c r="Y1440" s="2" t="s">
        <v>8843</v>
      </c>
      <c r="Z1440" s="6"/>
      <c r="AA1440" s="2" t="s">
        <v>8844</v>
      </c>
      <c r="AB1440" s="2" t="s">
        <v>642</v>
      </c>
      <c r="AC1440" s="2" t="s">
        <v>632</v>
      </c>
      <c r="AD1440" s="10"/>
      <c r="AE1440" s="11"/>
      <c r="AF1440" s="11"/>
      <c r="AG1440" s="11">
        <v>86479427</v>
      </c>
      <c r="AH1440" s="11"/>
      <c r="AI1440" s="11"/>
      <c r="AJ1440" s="11">
        <v>86479427</v>
      </c>
      <c r="AK1440" s="12">
        <v>2</v>
      </c>
      <c r="AL1440" s="12" t="s">
        <v>7377</v>
      </c>
      <c r="AM1440" s="2">
        <v>0</v>
      </c>
      <c r="AN1440" s="2">
        <v>0</v>
      </c>
      <c r="AO1440" s="2">
        <v>0</v>
      </c>
      <c r="AP1440" s="2">
        <v>1</v>
      </c>
      <c r="AQ1440" s="2">
        <v>0</v>
      </c>
      <c r="AR1440" s="2">
        <v>0</v>
      </c>
      <c r="AS1440" s="2">
        <v>0</v>
      </c>
      <c r="AT1440" s="2">
        <v>0</v>
      </c>
      <c r="BB1440" s="2" t="str">
        <f>+PROPER(BD[[#This Row],[PRIMER_APELLIDO]])</f>
        <v>Ulloa</v>
      </c>
    </row>
    <row r="1441" spans="1:54" x14ac:dyDescent="0.25">
      <c r="A1441" s="2">
        <v>1440</v>
      </c>
      <c r="B1441" s="2">
        <v>44079</v>
      </c>
      <c r="C1441" s="5" t="s">
        <v>619</v>
      </c>
      <c r="D1441" s="2" t="s">
        <v>620</v>
      </c>
      <c r="E1441" s="6" t="s">
        <v>8845</v>
      </c>
      <c r="F1441" s="6">
        <v>25820445</v>
      </c>
      <c r="G1441" s="3">
        <v>42</v>
      </c>
      <c r="I1441" s="7"/>
      <c r="J1441" s="7"/>
      <c r="K1441" s="8">
        <v>42.115068493150687</v>
      </c>
      <c r="L1441" s="2" t="s">
        <v>1692</v>
      </c>
      <c r="M1441" s="2" t="s">
        <v>2701</v>
      </c>
      <c r="N1441" s="2" t="s">
        <v>383</v>
      </c>
      <c r="O1441" s="2" t="s">
        <v>115</v>
      </c>
      <c r="P1441" s="2" t="s">
        <v>649</v>
      </c>
      <c r="Q1441" s="2" t="s">
        <v>351</v>
      </c>
      <c r="R1441" s="9">
        <v>29424</v>
      </c>
      <c r="S1441" s="9">
        <v>29424</v>
      </c>
      <c r="T1441" s="2" t="s">
        <v>133</v>
      </c>
      <c r="U1441" s="2" t="s">
        <v>133</v>
      </c>
      <c r="V1441" s="2" t="s">
        <v>869</v>
      </c>
      <c r="W1441" s="2" t="s">
        <v>869</v>
      </c>
      <c r="X1441" s="2" t="s">
        <v>8846</v>
      </c>
      <c r="Y1441" s="2" t="s">
        <v>8847</v>
      </c>
      <c r="Z1441" s="6">
        <v>58360838</v>
      </c>
      <c r="AA1441" s="2">
        <v>58360838</v>
      </c>
      <c r="AB1441" s="2" t="s">
        <v>642</v>
      </c>
      <c r="AC1441" s="2" t="s">
        <v>632</v>
      </c>
      <c r="AD1441" s="10">
        <v>58360838</v>
      </c>
      <c r="AE1441" s="11"/>
      <c r="AF1441" s="11">
        <v>58360838</v>
      </c>
      <c r="AG1441" s="11"/>
      <c r="AH1441" s="11"/>
      <c r="AI1441" s="11"/>
      <c r="AJ1441" s="11">
        <v>58360838</v>
      </c>
      <c r="AK1441" s="12">
        <v>2</v>
      </c>
      <c r="AL1441" s="12" t="s">
        <v>7377</v>
      </c>
      <c r="AM1441" s="2">
        <v>0</v>
      </c>
      <c r="AN1441" s="2">
        <v>0</v>
      </c>
      <c r="AO1441" s="2">
        <v>0</v>
      </c>
      <c r="AP1441" s="2">
        <v>1</v>
      </c>
      <c r="AQ1441" s="2">
        <v>0</v>
      </c>
      <c r="AR1441" s="2">
        <v>0</v>
      </c>
      <c r="AS1441" s="2">
        <v>0</v>
      </c>
      <c r="AT1441" s="2">
        <v>0</v>
      </c>
      <c r="AZ1441" s="2" t="s">
        <v>8848</v>
      </c>
      <c r="BB1441" s="2" t="str">
        <f>+PROPER(BD[[#This Row],[PRIMER_APELLIDO]])</f>
        <v>Ibarra</v>
      </c>
    </row>
    <row r="1442" spans="1:54" x14ac:dyDescent="0.25">
      <c r="A1442" s="2">
        <v>1441</v>
      </c>
      <c r="B1442" s="2">
        <v>31998</v>
      </c>
      <c r="C1442" s="5" t="s">
        <v>619</v>
      </c>
      <c r="D1442" s="2" t="s">
        <v>620</v>
      </c>
      <c r="E1442" s="6" t="s">
        <v>8849</v>
      </c>
      <c r="F1442" s="6">
        <v>21666353</v>
      </c>
      <c r="G1442" s="3">
        <v>42</v>
      </c>
      <c r="I1442" s="7"/>
      <c r="J1442" s="7"/>
      <c r="K1442" s="8">
        <v>42.145205479452052</v>
      </c>
      <c r="L1442" s="2" t="s">
        <v>8850</v>
      </c>
      <c r="M1442" s="2" t="s">
        <v>4999</v>
      </c>
      <c r="N1442" s="2" t="s">
        <v>348</v>
      </c>
      <c r="O1442" s="2" t="s">
        <v>271</v>
      </c>
      <c r="P1442" s="2" t="s">
        <v>626</v>
      </c>
      <c r="Q1442" s="2" t="s">
        <v>351</v>
      </c>
      <c r="R1442" s="9">
        <v>29413</v>
      </c>
      <c r="S1442" s="9">
        <v>29413</v>
      </c>
      <c r="T1442" s="2" t="s">
        <v>929</v>
      </c>
      <c r="U1442" s="2" t="s">
        <v>627</v>
      </c>
      <c r="V1442" s="2" t="s">
        <v>1882</v>
      </c>
      <c r="W1442" s="2" t="s">
        <v>1498</v>
      </c>
      <c r="Y1442" s="2" t="s">
        <v>8851</v>
      </c>
      <c r="Z1442" s="6"/>
      <c r="AA1442" s="2" t="s">
        <v>8852</v>
      </c>
      <c r="AB1442" s="2" t="s">
        <v>631</v>
      </c>
      <c r="AC1442" s="2" t="s">
        <v>632</v>
      </c>
      <c r="AD1442" s="10"/>
      <c r="AE1442" s="11"/>
      <c r="AF1442" s="11">
        <v>87876628</v>
      </c>
      <c r="AG1442" s="11">
        <v>89720608</v>
      </c>
      <c r="AH1442" s="11">
        <v>86206575</v>
      </c>
      <c r="AI1442" s="11"/>
      <c r="AJ1442" s="11">
        <v>87876628</v>
      </c>
      <c r="AK1442" s="12">
        <v>3</v>
      </c>
      <c r="AL1442" s="12" t="s">
        <v>7377</v>
      </c>
      <c r="AM1442" s="2">
        <v>0</v>
      </c>
      <c r="AN1442" s="2">
        <v>0</v>
      </c>
      <c r="AO1442" s="2">
        <v>0</v>
      </c>
      <c r="AP1442" s="2">
        <v>1</v>
      </c>
      <c r="AQ1442" s="2">
        <v>0</v>
      </c>
      <c r="AR1442" s="2">
        <v>0</v>
      </c>
      <c r="AS1442" s="2">
        <v>0</v>
      </c>
      <c r="AT1442" s="2">
        <v>0</v>
      </c>
      <c r="BB1442" s="2" t="str">
        <f>+PROPER(BD[[#This Row],[PRIMER_APELLIDO]])</f>
        <v>Sequeira</v>
      </c>
    </row>
    <row r="1443" spans="1:54" x14ac:dyDescent="0.25">
      <c r="A1443" s="2">
        <v>1442</v>
      </c>
      <c r="B1443" s="2">
        <v>22603</v>
      </c>
      <c r="C1443" s="5" t="s">
        <v>619</v>
      </c>
      <c r="D1443" s="2" t="s">
        <v>620</v>
      </c>
      <c r="E1443" s="6" t="s">
        <v>8853</v>
      </c>
      <c r="F1443" s="6">
        <v>20233574</v>
      </c>
      <c r="G1443" s="3">
        <v>42</v>
      </c>
      <c r="I1443" s="7"/>
      <c r="J1443" s="7"/>
      <c r="K1443" s="8">
        <v>42.156164383561645</v>
      </c>
      <c r="L1443" s="2" t="s">
        <v>2586</v>
      </c>
      <c r="M1443" s="2" t="s">
        <v>8854</v>
      </c>
      <c r="N1443" s="2" t="s">
        <v>201</v>
      </c>
      <c r="O1443" s="2" t="s">
        <v>459</v>
      </c>
      <c r="P1443" s="2" t="s">
        <v>626</v>
      </c>
      <c r="Q1443" s="2" t="s">
        <v>351</v>
      </c>
      <c r="R1443" s="9">
        <v>29409</v>
      </c>
      <c r="S1443" s="9">
        <v>29409</v>
      </c>
      <c r="U1443" s="2" t="s">
        <v>1104</v>
      </c>
      <c r="W1443" s="2" t="s">
        <v>3078</v>
      </c>
      <c r="Y1443" s="2" t="s">
        <v>8855</v>
      </c>
      <c r="Z1443" s="6"/>
      <c r="AA1443" s="2">
        <v>27790383</v>
      </c>
      <c r="AB1443" s="2" t="s">
        <v>642</v>
      </c>
      <c r="AC1443" s="2" t="s">
        <v>632</v>
      </c>
      <c r="AD1443" s="10"/>
      <c r="AE1443" s="11"/>
      <c r="AF1443" s="11"/>
      <c r="AG1443" s="11"/>
      <c r="AH1443" s="11"/>
      <c r="AI1443" s="11"/>
      <c r="AJ1443" s="11"/>
      <c r="AK1443" s="12">
        <v>1</v>
      </c>
      <c r="AL1443" s="12" t="s">
        <v>7377</v>
      </c>
      <c r="AM1443" s="2">
        <v>0</v>
      </c>
      <c r="AN1443" s="2">
        <v>0</v>
      </c>
      <c r="AO1443" s="2">
        <v>0</v>
      </c>
      <c r="AP1443" s="2">
        <v>1</v>
      </c>
      <c r="AQ1443" s="2">
        <v>0</v>
      </c>
      <c r="AR1443" s="2">
        <v>0</v>
      </c>
      <c r="AS1443" s="2">
        <v>0</v>
      </c>
      <c r="AT1443" s="2">
        <v>0</v>
      </c>
      <c r="BB1443" s="2" t="str">
        <f>+PROPER(BD[[#This Row],[PRIMER_APELLIDO]])</f>
        <v>Palacios</v>
      </c>
    </row>
    <row r="1444" spans="1:54" x14ac:dyDescent="0.25">
      <c r="A1444" s="2">
        <v>1443</v>
      </c>
      <c r="B1444" s="2">
        <v>21954</v>
      </c>
      <c r="C1444" s="5" t="s">
        <v>619</v>
      </c>
      <c r="D1444" s="2" t="s">
        <v>620</v>
      </c>
      <c r="E1444" s="6" t="s">
        <v>8856</v>
      </c>
      <c r="F1444" s="6"/>
      <c r="G1444" s="3">
        <v>42</v>
      </c>
      <c r="I1444" s="7"/>
      <c r="J1444" s="7"/>
      <c r="K1444" s="8">
        <v>42.164383561643838</v>
      </c>
      <c r="L1444" s="2" t="s">
        <v>243</v>
      </c>
      <c r="M1444" s="2" t="s">
        <v>3224</v>
      </c>
      <c r="N1444" s="2" t="s">
        <v>9</v>
      </c>
      <c r="O1444" s="2" t="s">
        <v>236</v>
      </c>
      <c r="P1444" s="2" t="s">
        <v>649</v>
      </c>
      <c r="Q1444" s="2" t="s">
        <v>351</v>
      </c>
      <c r="R1444" s="9">
        <v>29406</v>
      </c>
      <c r="S1444" s="9">
        <v>29406</v>
      </c>
      <c r="T1444" s="2" t="s">
        <v>627</v>
      </c>
      <c r="U1444" s="2" t="s">
        <v>1104</v>
      </c>
      <c r="V1444" s="2" t="s">
        <v>627</v>
      </c>
      <c r="W1444" s="2" t="s">
        <v>1104</v>
      </c>
      <c r="X1444" s="2" t="s">
        <v>8857</v>
      </c>
      <c r="Y1444" s="2" t="s">
        <v>8858</v>
      </c>
      <c r="Z1444" s="6">
        <v>57085726</v>
      </c>
      <c r="AA1444" s="2" t="s">
        <v>8859</v>
      </c>
      <c r="AB1444" s="2" t="s">
        <v>654</v>
      </c>
      <c r="AC1444" s="2" t="s">
        <v>632</v>
      </c>
      <c r="AD1444" s="10">
        <v>57085726</v>
      </c>
      <c r="AE1444" s="11"/>
      <c r="AF1444" s="11"/>
      <c r="AG1444" s="11"/>
      <c r="AH1444" s="11">
        <v>22281619</v>
      </c>
      <c r="AI1444" s="11"/>
      <c r="AJ1444" s="11">
        <v>57085726</v>
      </c>
      <c r="AK1444" s="12">
        <v>4</v>
      </c>
      <c r="AL1444" s="12" t="s">
        <v>7377</v>
      </c>
      <c r="AM1444" s="2">
        <v>0</v>
      </c>
      <c r="AN1444" s="2">
        <v>0</v>
      </c>
      <c r="AO1444" s="2">
        <v>0</v>
      </c>
      <c r="AP1444" s="2">
        <v>1</v>
      </c>
      <c r="AQ1444" s="2">
        <v>0</v>
      </c>
      <c r="AR1444" s="2">
        <v>0</v>
      </c>
      <c r="AS1444" s="2">
        <v>0</v>
      </c>
      <c r="AT1444" s="2">
        <v>0</v>
      </c>
      <c r="AZ1444" s="2" t="s">
        <v>8860</v>
      </c>
      <c r="BB1444" s="2" t="str">
        <f>+PROPER(BD[[#This Row],[PRIMER_APELLIDO]])</f>
        <v>Mendoza</v>
      </c>
    </row>
    <row r="1445" spans="1:54" x14ac:dyDescent="0.25">
      <c r="A1445" s="2">
        <v>1444</v>
      </c>
      <c r="B1445" s="2">
        <v>57423</v>
      </c>
      <c r="C1445" s="5" t="s">
        <v>619</v>
      </c>
      <c r="D1445" s="2" t="s">
        <v>620</v>
      </c>
      <c r="E1445" s="6" t="s">
        <v>8861</v>
      </c>
      <c r="F1445" s="6"/>
      <c r="G1445" s="3">
        <v>42</v>
      </c>
      <c r="I1445" s="7"/>
      <c r="J1445" s="7"/>
      <c r="K1445" s="8">
        <v>42.183561643835617</v>
      </c>
      <c r="L1445" s="2" t="s">
        <v>8862</v>
      </c>
      <c r="M1445" s="2" t="s">
        <v>8863</v>
      </c>
      <c r="N1445" s="2" t="s">
        <v>463</v>
      </c>
      <c r="O1445" s="2" t="s">
        <v>125</v>
      </c>
      <c r="P1445" s="2" t="s">
        <v>626</v>
      </c>
      <c r="Q1445" s="2" t="s">
        <v>351</v>
      </c>
      <c r="R1445" s="9">
        <v>29399</v>
      </c>
      <c r="S1445" s="9">
        <v>29399</v>
      </c>
      <c r="T1445" s="2" t="s">
        <v>691</v>
      </c>
      <c r="U1445" s="2" t="s">
        <v>691</v>
      </c>
      <c r="V1445" s="2" t="s">
        <v>716</v>
      </c>
      <c r="W1445" s="2" t="s">
        <v>691</v>
      </c>
      <c r="X1445" s="2" t="s">
        <v>8864</v>
      </c>
      <c r="Y1445" s="2" t="s">
        <v>8865</v>
      </c>
      <c r="Z1445" s="6">
        <v>27133688</v>
      </c>
      <c r="AA1445" s="2" t="s">
        <v>8866</v>
      </c>
      <c r="AB1445" s="2" t="s">
        <v>8867</v>
      </c>
      <c r="AC1445" s="2" t="s">
        <v>632</v>
      </c>
      <c r="AD1445" s="10"/>
      <c r="AE1445" s="11"/>
      <c r="AF1445" s="11">
        <v>88432438</v>
      </c>
      <c r="AG1445" s="11">
        <v>89264395</v>
      </c>
      <c r="AH1445" s="11"/>
      <c r="AI1445" s="11"/>
      <c r="AJ1445" s="11">
        <v>88432438</v>
      </c>
      <c r="AK1445" s="12">
        <v>3</v>
      </c>
      <c r="AL1445" s="12" t="s">
        <v>7377</v>
      </c>
      <c r="AM1445" s="2">
        <v>0</v>
      </c>
      <c r="AN1445" s="2">
        <v>0</v>
      </c>
      <c r="AO1445" s="2">
        <v>0</v>
      </c>
      <c r="AP1445" s="2">
        <v>1</v>
      </c>
      <c r="AQ1445" s="2">
        <v>0</v>
      </c>
      <c r="AR1445" s="2">
        <v>0</v>
      </c>
      <c r="AS1445" s="2">
        <v>0</v>
      </c>
      <c r="AT1445" s="2">
        <v>0</v>
      </c>
      <c r="BB1445" s="2" t="str">
        <f>+PROPER(BD[[#This Row],[PRIMER_APELLIDO]])</f>
        <v>Quiroz</v>
      </c>
    </row>
    <row r="1446" spans="1:54" x14ac:dyDescent="0.25">
      <c r="A1446" s="2">
        <v>1445</v>
      </c>
      <c r="B1446" s="2">
        <v>25645</v>
      </c>
      <c r="C1446" s="5" t="s">
        <v>619</v>
      </c>
      <c r="D1446" s="2" t="s">
        <v>620</v>
      </c>
      <c r="E1446" s="6" t="s">
        <v>8868</v>
      </c>
      <c r="F1446" s="6"/>
      <c r="G1446" s="3">
        <v>42</v>
      </c>
      <c r="I1446" s="7"/>
      <c r="J1446" s="7"/>
      <c r="K1446" s="8">
        <v>42.194520547945203</v>
      </c>
      <c r="L1446" s="2" t="s">
        <v>4057</v>
      </c>
      <c r="M1446" s="2" t="s">
        <v>1548</v>
      </c>
      <c r="N1446" s="2" t="s">
        <v>130</v>
      </c>
      <c r="O1446" s="2" t="s">
        <v>11</v>
      </c>
      <c r="P1446" s="2" t="s">
        <v>649</v>
      </c>
      <c r="Q1446" s="2" t="s">
        <v>351</v>
      </c>
      <c r="R1446" s="9">
        <v>29395</v>
      </c>
      <c r="S1446" s="9">
        <v>29395</v>
      </c>
      <c r="T1446" s="2" t="s">
        <v>176</v>
      </c>
      <c r="U1446" s="2" t="s">
        <v>176</v>
      </c>
      <c r="V1446" s="2" t="s">
        <v>3701</v>
      </c>
      <c r="W1446" s="2" t="s">
        <v>176</v>
      </c>
      <c r="Y1446" s="2" t="s">
        <v>8869</v>
      </c>
      <c r="Z1446" s="6"/>
      <c r="AA1446" s="2" t="s">
        <v>8870</v>
      </c>
      <c r="AB1446" s="2" t="s">
        <v>1891</v>
      </c>
      <c r="AC1446" s="2" t="s">
        <v>632</v>
      </c>
      <c r="AD1446" s="10"/>
      <c r="AE1446" s="11"/>
      <c r="AF1446" s="11"/>
      <c r="AG1446" s="11">
        <v>57074486</v>
      </c>
      <c r="AH1446" s="11"/>
      <c r="AI1446" s="11"/>
      <c r="AJ1446" s="11">
        <v>57074486</v>
      </c>
      <c r="AK1446" s="12">
        <v>2</v>
      </c>
      <c r="AL1446" s="12" t="s">
        <v>7377</v>
      </c>
      <c r="AM1446" s="2">
        <v>0</v>
      </c>
      <c r="AN1446" s="2">
        <v>0</v>
      </c>
      <c r="AO1446" s="2">
        <v>0</v>
      </c>
      <c r="AP1446" s="2">
        <v>1</v>
      </c>
      <c r="AQ1446" s="2">
        <v>0</v>
      </c>
      <c r="AR1446" s="2">
        <v>0</v>
      </c>
      <c r="AS1446" s="2">
        <v>0</v>
      </c>
      <c r="AT1446" s="2">
        <v>0</v>
      </c>
      <c r="BB1446" s="2" t="str">
        <f>+PROPER(BD[[#This Row],[PRIMER_APELLIDO]])</f>
        <v>Mejia</v>
      </c>
    </row>
    <row r="1447" spans="1:54" x14ac:dyDescent="0.25">
      <c r="A1447" s="2">
        <v>1446</v>
      </c>
      <c r="B1447" s="2">
        <v>18416</v>
      </c>
      <c r="C1447" s="5" t="s">
        <v>619</v>
      </c>
      <c r="D1447" s="2" t="s">
        <v>620</v>
      </c>
      <c r="E1447" s="6" t="s">
        <v>8871</v>
      </c>
      <c r="F1447" s="6">
        <v>16661619</v>
      </c>
      <c r="G1447" s="3">
        <v>42</v>
      </c>
      <c r="I1447" s="7"/>
      <c r="J1447" s="7"/>
      <c r="K1447" s="8">
        <v>42.202739726027396</v>
      </c>
      <c r="L1447" s="2" t="s">
        <v>8872</v>
      </c>
      <c r="M1447" s="2" t="s">
        <v>704</v>
      </c>
      <c r="N1447" s="2" t="s">
        <v>530</v>
      </c>
      <c r="P1447" s="2" t="s">
        <v>626</v>
      </c>
      <c r="Q1447" s="2" t="s">
        <v>351</v>
      </c>
      <c r="R1447" s="9">
        <v>29392</v>
      </c>
      <c r="S1447" s="9">
        <v>29392</v>
      </c>
      <c r="U1447" s="2" t="s">
        <v>176</v>
      </c>
      <c r="W1447" s="2" t="s">
        <v>176</v>
      </c>
      <c r="X1447" s="2" t="s">
        <v>8873</v>
      </c>
      <c r="Y1447" s="2" t="s">
        <v>8874</v>
      </c>
      <c r="Z1447" s="6"/>
      <c r="AA1447" s="2">
        <v>23152022</v>
      </c>
      <c r="AB1447" s="2" t="s">
        <v>654</v>
      </c>
      <c r="AC1447" s="2" t="s">
        <v>632</v>
      </c>
      <c r="AD1447" s="10"/>
      <c r="AE1447" s="11"/>
      <c r="AF1447" s="11"/>
      <c r="AG1447" s="11"/>
      <c r="AH1447" s="11"/>
      <c r="AI1447" s="11"/>
      <c r="AJ1447" s="11"/>
      <c r="AK1447" s="12">
        <v>1</v>
      </c>
      <c r="AL1447" s="12" t="s">
        <v>7377</v>
      </c>
      <c r="AM1447" s="2">
        <v>0</v>
      </c>
      <c r="AN1447" s="2">
        <v>0</v>
      </c>
      <c r="AO1447" s="2">
        <v>0</v>
      </c>
      <c r="AP1447" s="2">
        <v>1</v>
      </c>
      <c r="AQ1447" s="2">
        <v>0</v>
      </c>
      <c r="AR1447" s="2">
        <v>0</v>
      </c>
      <c r="AS1447" s="2">
        <v>0</v>
      </c>
      <c r="AT1447" s="2">
        <v>0</v>
      </c>
      <c r="BB1447" s="2" t="str">
        <f>+PROPER(BD[[#This Row],[PRIMER_APELLIDO]])</f>
        <v>Castrillo</v>
      </c>
    </row>
    <row r="1448" spans="1:54" x14ac:dyDescent="0.25">
      <c r="A1448" s="2">
        <v>1447</v>
      </c>
      <c r="B1448" s="2">
        <v>83015</v>
      </c>
      <c r="C1448" s="5" t="s">
        <v>619</v>
      </c>
      <c r="D1448" s="2" t="s">
        <v>620</v>
      </c>
      <c r="E1448" s="6">
        <v>170420200068</v>
      </c>
      <c r="F1448" s="6"/>
      <c r="G1448" s="3">
        <v>42</v>
      </c>
      <c r="I1448" s="7"/>
      <c r="J1448" s="7"/>
      <c r="K1448" s="8">
        <v>42.210958904109589</v>
      </c>
      <c r="L1448" s="2" t="s">
        <v>8875</v>
      </c>
      <c r="N1448" s="2" t="s">
        <v>91</v>
      </c>
      <c r="O1448" s="2" t="s">
        <v>8876</v>
      </c>
      <c r="P1448" s="2" t="s">
        <v>649</v>
      </c>
      <c r="Q1448" s="2" t="s">
        <v>3936</v>
      </c>
      <c r="R1448" s="9">
        <v>29389</v>
      </c>
      <c r="T1448" s="2" t="s">
        <v>627</v>
      </c>
      <c r="V1448" s="2" t="s">
        <v>692</v>
      </c>
      <c r="X1448" s="2" t="s">
        <v>8877</v>
      </c>
      <c r="Z1448" s="6">
        <v>87390264</v>
      </c>
      <c r="AB1448" s="2" t="s">
        <v>798</v>
      </c>
      <c r="AC1448" s="2" t="s">
        <v>632</v>
      </c>
      <c r="AD1448" s="10">
        <v>87390264</v>
      </c>
      <c r="AE1448" s="11"/>
      <c r="AF1448" s="11"/>
      <c r="AG1448" s="11"/>
      <c r="AH1448" s="11"/>
      <c r="AI1448" s="11"/>
      <c r="AJ1448" s="11">
        <v>87390264</v>
      </c>
      <c r="AK1448" s="12">
        <v>1</v>
      </c>
      <c r="AL1448" s="12" t="s">
        <v>7377</v>
      </c>
      <c r="AM1448" s="2">
        <v>0</v>
      </c>
      <c r="AN1448" s="2">
        <v>0</v>
      </c>
      <c r="AO1448" s="2">
        <v>0</v>
      </c>
      <c r="AP1448" s="2">
        <v>1</v>
      </c>
      <c r="AQ1448" s="2">
        <v>0</v>
      </c>
      <c r="AR1448" s="2">
        <v>0</v>
      </c>
      <c r="AS1448" s="2">
        <v>0</v>
      </c>
      <c r="AT1448" s="2">
        <v>0</v>
      </c>
      <c r="AZ1448" s="2" t="s">
        <v>8878</v>
      </c>
      <c r="BB1448" s="2" t="str">
        <f>+PROPER(BD[[#This Row],[PRIMER_APELLIDO]])</f>
        <v>Diaz</v>
      </c>
    </row>
    <row r="1449" spans="1:54" x14ac:dyDescent="0.25">
      <c r="A1449" s="2">
        <v>1448</v>
      </c>
      <c r="B1449" s="2">
        <v>23294</v>
      </c>
      <c r="C1449" s="5" t="s">
        <v>619</v>
      </c>
      <c r="D1449" s="2" t="s">
        <v>620</v>
      </c>
      <c r="E1449" s="6" t="s">
        <v>8879</v>
      </c>
      <c r="F1449" s="6">
        <v>18317512</v>
      </c>
      <c r="G1449" s="3">
        <v>42</v>
      </c>
      <c r="I1449" s="7"/>
      <c r="J1449" s="7"/>
      <c r="K1449" s="8">
        <v>42.221917808219175</v>
      </c>
      <c r="L1449" s="2" t="s">
        <v>1850</v>
      </c>
      <c r="M1449" s="2" t="s">
        <v>1626</v>
      </c>
      <c r="N1449" s="2" t="s">
        <v>315</v>
      </c>
      <c r="O1449" s="2" t="s">
        <v>9</v>
      </c>
      <c r="P1449" s="2" t="s">
        <v>626</v>
      </c>
      <c r="Q1449" s="2" t="s">
        <v>351</v>
      </c>
      <c r="R1449" s="9">
        <v>29385</v>
      </c>
      <c r="S1449" s="9">
        <v>29385</v>
      </c>
      <c r="T1449" s="2" t="s">
        <v>444</v>
      </c>
      <c r="U1449" s="2" t="s">
        <v>444</v>
      </c>
      <c r="V1449" s="2" t="s">
        <v>764</v>
      </c>
      <c r="W1449" s="2" t="s">
        <v>764</v>
      </c>
      <c r="X1449" s="2" t="s">
        <v>8880</v>
      </c>
      <c r="Y1449" s="2" t="s">
        <v>8881</v>
      </c>
      <c r="Z1449" s="6">
        <v>86955972</v>
      </c>
      <c r="AA1449" s="2">
        <v>86955972</v>
      </c>
      <c r="AB1449" s="2" t="s">
        <v>642</v>
      </c>
      <c r="AC1449" s="2" t="s">
        <v>632</v>
      </c>
      <c r="AD1449" s="10">
        <v>86955972</v>
      </c>
      <c r="AE1449" s="11"/>
      <c r="AF1449" s="11">
        <v>86955972</v>
      </c>
      <c r="AG1449" s="11"/>
      <c r="AH1449" s="11"/>
      <c r="AI1449" s="11"/>
      <c r="AJ1449" s="11">
        <v>86955972</v>
      </c>
      <c r="AK1449" s="12">
        <v>2</v>
      </c>
      <c r="AL1449" s="12" t="s">
        <v>7377</v>
      </c>
      <c r="AM1449" s="2">
        <v>0</v>
      </c>
      <c r="AN1449" s="2">
        <v>0</v>
      </c>
      <c r="AO1449" s="2">
        <v>0</v>
      </c>
      <c r="AP1449" s="2">
        <v>1</v>
      </c>
      <c r="AQ1449" s="2">
        <v>0</v>
      </c>
      <c r="AR1449" s="2">
        <v>0</v>
      </c>
      <c r="AS1449" s="2">
        <v>0</v>
      </c>
      <c r="AT1449" s="2">
        <v>0</v>
      </c>
      <c r="AZ1449" s="2" t="s">
        <v>8882</v>
      </c>
      <c r="BB1449" s="2" t="str">
        <f>+PROPER(BD[[#This Row],[PRIMER_APELLIDO]])</f>
        <v>Bermudez</v>
      </c>
    </row>
    <row r="1450" spans="1:54" x14ac:dyDescent="0.25">
      <c r="A1450" s="2">
        <v>1449</v>
      </c>
      <c r="B1450" s="2">
        <v>36407</v>
      </c>
      <c r="C1450" s="5" t="s">
        <v>619</v>
      </c>
      <c r="D1450" s="2" t="s">
        <v>620</v>
      </c>
      <c r="E1450" s="6" t="s">
        <v>8883</v>
      </c>
      <c r="F1450" s="6">
        <v>22983631</v>
      </c>
      <c r="G1450" s="3">
        <v>42</v>
      </c>
      <c r="I1450" s="7"/>
      <c r="J1450" s="7"/>
      <c r="K1450" s="8">
        <v>42.227397260273975</v>
      </c>
      <c r="L1450" s="2" t="s">
        <v>826</v>
      </c>
      <c r="M1450" s="2" t="s">
        <v>1857</v>
      </c>
      <c r="N1450" s="2" t="s">
        <v>63</v>
      </c>
      <c r="O1450" s="2" t="s">
        <v>38</v>
      </c>
      <c r="P1450" s="2" t="s">
        <v>649</v>
      </c>
      <c r="Q1450" s="2" t="s">
        <v>351</v>
      </c>
      <c r="R1450" s="9">
        <v>29383</v>
      </c>
      <c r="S1450" s="9">
        <v>29383</v>
      </c>
      <c r="T1450" s="2" t="s">
        <v>691</v>
      </c>
      <c r="U1450" s="2" t="s">
        <v>691</v>
      </c>
      <c r="V1450" s="2" t="s">
        <v>716</v>
      </c>
      <c r="W1450" s="2" t="s">
        <v>691</v>
      </c>
      <c r="X1450" s="2" t="s">
        <v>8884</v>
      </c>
      <c r="Y1450" s="2" t="s">
        <v>8885</v>
      </c>
      <c r="Z1450" s="6"/>
      <c r="AA1450" s="2">
        <v>27132369</v>
      </c>
      <c r="AB1450" s="2" t="s">
        <v>798</v>
      </c>
      <c r="AC1450" s="2" t="s">
        <v>632</v>
      </c>
      <c r="AD1450" s="10"/>
      <c r="AE1450" s="11"/>
      <c r="AF1450" s="11"/>
      <c r="AG1450" s="11"/>
      <c r="AH1450" s="11"/>
      <c r="AI1450" s="11"/>
      <c r="AJ1450" s="11"/>
      <c r="AK1450" s="12">
        <v>1</v>
      </c>
      <c r="AL1450" s="12" t="s">
        <v>7377</v>
      </c>
      <c r="AM1450" s="2">
        <v>0</v>
      </c>
      <c r="AN1450" s="2">
        <v>0</v>
      </c>
      <c r="AO1450" s="2">
        <v>0</v>
      </c>
      <c r="AP1450" s="2">
        <v>1</v>
      </c>
      <c r="AQ1450" s="2">
        <v>0</v>
      </c>
      <c r="AR1450" s="2">
        <v>0</v>
      </c>
      <c r="AS1450" s="2">
        <v>0</v>
      </c>
      <c r="AT1450" s="2">
        <v>0</v>
      </c>
      <c r="BB1450" s="2" t="str">
        <f>+PROPER(BD[[#This Row],[PRIMER_APELLIDO]])</f>
        <v>Molina</v>
      </c>
    </row>
    <row r="1451" spans="1:54" x14ac:dyDescent="0.25">
      <c r="A1451" s="2">
        <v>1450</v>
      </c>
      <c r="B1451" s="2">
        <v>31666</v>
      </c>
      <c r="C1451" s="5" t="s">
        <v>619</v>
      </c>
      <c r="D1451" s="2" t="s">
        <v>620</v>
      </c>
      <c r="E1451" s="6" t="s">
        <v>8886</v>
      </c>
      <c r="F1451" s="6">
        <v>13973492</v>
      </c>
      <c r="G1451" s="3">
        <v>42</v>
      </c>
      <c r="I1451" s="7"/>
      <c r="J1451" s="7"/>
      <c r="K1451" s="8">
        <v>42.230136986301368</v>
      </c>
      <c r="L1451" s="2" t="s">
        <v>738</v>
      </c>
      <c r="M1451" s="2" t="s">
        <v>3224</v>
      </c>
      <c r="N1451" s="2" t="s">
        <v>132</v>
      </c>
      <c r="O1451" s="2" t="s">
        <v>86</v>
      </c>
      <c r="P1451" s="2" t="s">
        <v>649</v>
      </c>
      <c r="Q1451" s="2" t="s">
        <v>351</v>
      </c>
      <c r="R1451" s="9">
        <v>29382</v>
      </c>
      <c r="S1451" s="9">
        <v>29382</v>
      </c>
      <c r="T1451" s="2" t="s">
        <v>691</v>
      </c>
      <c r="U1451" s="2" t="s">
        <v>691</v>
      </c>
      <c r="V1451" s="2" t="s">
        <v>716</v>
      </c>
      <c r="W1451" s="2" t="s">
        <v>691</v>
      </c>
      <c r="X1451" s="2" t="s">
        <v>8887</v>
      </c>
      <c r="Y1451" s="2" t="s">
        <v>8888</v>
      </c>
      <c r="Z1451" s="6">
        <v>89417394</v>
      </c>
      <c r="AA1451" s="2">
        <v>89417394</v>
      </c>
      <c r="AB1451" s="2" t="s">
        <v>798</v>
      </c>
      <c r="AC1451" s="2" t="s">
        <v>632</v>
      </c>
      <c r="AD1451" s="10">
        <v>89417394</v>
      </c>
      <c r="AE1451" s="11"/>
      <c r="AF1451" s="11">
        <v>89417394</v>
      </c>
      <c r="AG1451" s="11"/>
      <c r="AH1451" s="11"/>
      <c r="AI1451" s="11"/>
      <c r="AJ1451" s="11">
        <v>89417394</v>
      </c>
      <c r="AK1451" s="12">
        <v>2</v>
      </c>
      <c r="AL1451" s="12" t="s">
        <v>7377</v>
      </c>
      <c r="AM1451" s="2">
        <v>0</v>
      </c>
      <c r="AN1451" s="2">
        <v>0</v>
      </c>
      <c r="AO1451" s="2">
        <v>0</v>
      </c>
      <c r="AP1451" s="2">
        <v>1</v>
      </c>
      <c r="AQ1451" s="2">
        <v>0</v>
      </c>
      <c r="AR1451" s="2">
        <v>0</v>
      </c>
      <c r="AS1451" s="2">
        <v>0</v>
      </c>
      <c r="AT1451" s="2">
        <v>0</v>
      </c>
      <c r="AZ1451" s="2" t="s">
        <v>8889</v>
      </c>
      <c r="BB1451" s="2" t="str">
        <f>+PROPER(BD[[#This Row],[PRIMER_APELLIDO]])</f>
        <v>Torres</v>
      </c>
    </row>
    <row r="1452" spans="1:54" x14ac:dyDescent="0.25">
      <c r="A1452" s="2">
        <v>1451</v>
      </c>
      <c r="B1452" s="2">
        <v>19045</v>
      </c>
      <c r="C1452" s="5" t="s">
        <v>619</v>
      </c>
      <c r="D1452" s="2" t="s">
        <v>620</v>
      </c>
      <c r="E1452" s="6" t="s">
        <v>8890</v>
      </c>
      <c r="F1452" s="6">
        <v>16756441</v>
      </c>
      <c r="G1452" s="3">
        <v>42</v>
      </c>
      <c r="I1452" s="7"/>
      <c r="J1452" s="7"/>
      <c r="K1452" s="8">
        <v>42.252054794520546</v>
      </c>
      <c r="L1452" s="2" t="s">
        <v>8891</v>
      </c>
      <c r="M1452" s="2" t="s">
        <v>787</v>
      </c>
      <c r="N1452" s="2" t="s">
        <v>531</v>
      </c>
      <c r="O1452" s="2" t="s">
        <v>55</v>
      </c>
      <c r="P1452" s="2" t="s">
        <v>626</v>
      </c>
      <c r="Q1452" s="2" t="s">
        <v>351</v>
      </c>
      <c r="R1452" s="9">
        <v>29374</v>
      </c>
      <c r="S1452" s="9">
        <v>29374</v>
      </c>
      <c r="T1452" s="2" t="s">
        <v>627</v>
      </c>
      <c r="U1452" s="2" t="s">
        <v>627</v>
      </c>
      <c r="V1452" s="2" t="s">
        <v>627</v>
      </c>
      <c r="W1452" s="2" t="s">
        <v>627</v>
      </c>
      <c r="X1452" s="2" t="s">
        <v>8892</v>
      </c>
      <c r="Y1452" s="2" t="s">
        <v>8893</v>
      </c>
      <c r="Z1452" s="6">
        <v>84570811</v>
      </c>
      <c r="AA1452" s="2" t="s">
        <v>8894</v>
      </c>
      <c r="AB1452" s="2" t="s">
        <v>642</v>
      </c>
      <c r="AC1452" s="2" t="s">
        <v>632</v>
      </c>
      <c r="AD1452" s="10">
        <v>84570811</v>
      </c>
      <c r="AE1452" s="11"/>
      <c r="AF1452" s="11"/>
      <c r="AG1452" s="11">
        <v>84570811</v>
      </c>
      <c r="AH1452" s="11">
        <v>89933304</v>
      </c>
      <c r="AI1452" s="11"/>
      <c r="AJ1452" s="11">
        <v>84570811</v>
      </c>
      <c r="AK1452" s="12">
        <v>4</v>
      </c>
      <c r="AL1452" s="12" t="s">
        <v>7377</v>
      </c>
      <c r="AM1452" s="2">
        <v>0</v>
      </c>
      <c r="AN1452" s="2">
        <v>0</v>
      </c>
      <c r="AO1452" s="2">
        <v>0</v>
      </c>
      <c r="AP1452" s="2">
        <v>1</v>
      </c>
      <c r="AQ1452" s="2">
        <v>0</v>
      </c>
      <c r="AR1452" s="2">
        <v>0</v>
      </c>
      <c r="AS1452" s="2">
        <v>0</v>
      </c>
      <c r="AT1452" s="2">
        <v>0</v>
      </c>
      <c r="AZ1452" s="2" t="s">
        <v>8895</v>
      </c>
      <c r="BB1452" s="2" t="str">
        <f>+PROPER(BD[[#This Row],[PRIMER_APELLIDO]])</f>
        <v>Cardoza</v>
      </c>
    </row>
    <row r="1453" spans="1:54" x14ac:dyDescent="0.25">
      <c r="A1453" s="2">
        <v>1452</v>
      </c>
      <c r="B1453" s="2">
        <v>24639</v>
      </c>
      <c r="C1453" s="5" t="s">
        <v>619</v>
      </c>
      <c r="D1453" s="2" t="s">
        <v>620</v>
      </c>
      <c r="E1453" s="6" t="s">
        <v>8896</v>
      </c>
      <c r="F1453" s="6">
        <v>20931140</v>
      </c>
      <c r="G1453" s="3">
        <v>42</v>
      </c>
      <c r="I1453" s="7"/>
      <c r="J1453" s="7"/>
      <c r="K1453" s="8">
        <v>42.254794520547946</v>
      </c>
      <c r="L1453" s="2" t="s">
        <v>724</v>
      </c>
      <c r="M1453" s="2" t="s">
        <v>1211</v>
      </c>
      <c r="N1453" s="2" t="s">
        <v>82</v>
      </c>
      <c r="O1453" s="2" t="s">
        <v>8897</v>
      </c>
      <c r="P1453" s="2" t="s">
        <v>626</v>
      </c>
      <c r="Q1453" s="2" t="s">
        <v>351</v>
      </c>
      <c r="R1453" s="9">
        <v>29373</v>
      </c>
      <c r="S1453" s="9">
        <v>29373</v>
      </c>
      <c r="U1453" s="2" t="s">
        <v>627</v>
      </c>
      <c r="W1453" s="2" t="s">
        <v>627</v>
      </c>
      <c r="X1453" s="2" t="s">
        <v>8898</v>
      </c>
      <c r="Y1453" s="2" t="s">
        <v>8899</v>
      </c>
      <c r="Z1453" s="6"/>
      <c r="AA1453" s="2" t="s">
        <v>8900</v>
      </c>
      <c r="AB1453" s="2" t="s">
        <v>654</v>
      </c>
      <c r="AC1453" s="2" t="s">
        <v>632</v>
      </c>
      <c r="AD1453" s="10"/>
      <c r="AE1453" s="11"/>
      <c r="AF1453" s="11"/>
      <c r="AG1453" s="11"/>
      <c r="AH1453" s="11"/>
      <c r="AI1453" s="11"/>
      <c r="AJ1453" s="11"/>
      <c r="AK1453" s="12">
        <v>2</v>
      </c>
      <c r="AL1453" s="12" t="s">
        <v>7377</v>
      </c>
      <c r="AM1453" s="2">
        <v>0</v>
      </c>
      <c r="AN1453" s="2">
        <v>0</v>
      </c>
      <c r="AO1453" s="2">
        <v>0</v>
      </c>
      <c r="AP1453" s="2">
        <v>1</v>
      </c>
      <c r="AQ1453" s="2">
        <v>0</v>
      </c>
      <c r="AR1453" s="2">
        <v>0</v>
      </c>
      <c r="AS1453" s="2">
        <v>0</v>
      </c>
      <c r="AT1453" s="2">
        <v>0</v>
      </c>
      <c r="BB1453" s="2" t="str">
        <f>+PROPER(BD[[#This Row],[PRIMER_APELLIDO]])</f>
        <v>Morales</v>
      </c>
    </row>
    <row r="1454" spans="1:54" x14ac:dyDescent="0.25">
      <c r="A1454" s="2">
        <v>1453</v>
      </c>
      <c r="B1454" s="2">
        <v>35730</v>
      </c>
      <c r="C1454" s="5" t="s">
        <v>619</v>
      </c>
      <c r="D1454" s="2" t="s">
        <v>620</v>
      </c>
      <c r="E1454" s="6" t="s">
        <v>8901</v>
      </c>
      <c r="F1454" s="6">
        <v>21672840</v>
      </c>
      <c r="G1454" s="3">
        <v>42</v>
      </c>
      <c r="I1454" s="7"/>
      <c r="J1454" s="7"/>
      <c r="K1454" s="8">
        <v>42.268493150684932</v>
      </c>
      <c r="L1454" s="2" t="s">
        <v>8902</v>
      </c>
      <c r="M1454" s="2" t="s">
        <v>8903</v>
      </c>
      <c r="N1454" s="2" t="s">
        <v>324</v>
      </c>
      <c r="O1454" s="2" t="s">
        <v>262</v>
      </c>
      <c r="P1454" s="2" t="s">
        <v>626</v>
      </c>
      <c r="Q1454" s="2" t="s">
        <v>351</v>
      </c>
      <c r="R1454" s="9">
        <v>29368</v>
      </c>
      <c r="S1454" s="9">
        <v>29368</v>
      </c>
      <c r="T1454" s="2" t="s">
        <v>1005</v>
      </c>
      <c r="U1454" s="2" t="s">
        <v>1005</v>
      </c>
      <c r="V1454" s="2" t="s">
        <v>1006</v>
      </c>
      <c r="W1454" s="2" t="s">
        <v>1006</v>
      </c>
      <c r="X1454" s="2" t="s">
        <v>8904</v>
      </c>
      <c r="Y1454" s="2" t="s">
        <v>8905</v>
      </c>
      <c r="Z1454" s="6">
        <v>83231606</v>
      </c>
      <c r="AA1454" s="2" t="s">
        <v>8906</v>
      </c>
      <c r="AB1454" s="2" t="s">
        <v>631</v>
      </c>
      <c r="AC1454" s="2" t="s">
        <v>632</v>
      </c>
      <c r="AD1454" s="10">
        <v>83231606</v>
      </c>
      <c r="AE1454" s="11"/>
      <c r="AF1454" s="11"/>
      <c r="AG1454" s="11">
        <v>58171200</v>
      </c>
      <c r="AH1454" s="11"/>
      <c r="AI1454" s="11"/>
      <c r="AJ1454" s="11">
        <v>83231606</v>
      </c>
      <c r="AK1454" s="12">
        <v>3</v>
      </c>
      <c r="AL1454" s="12" t="s">
        <v>7377</v>
      </c>
      <c r="AM1454" s="2">
        <v>0</v>
      </c>
      <c r="AN1454" s="2">
        <v>0</v>
      </c>
      <c r="AO1454" s="2">
        <v>0</v>
      </c>
      <c r="AP1454" s="2">
        <v>1</v>
      </c>
      <c r="AQ1454" s="2">
        <v>0</v>
      </c>
      <c r="AR1454" s="2">
        <v>0</v>
      </c>
      <c r="AS1454" s="2">
        <v>0</v>
      </c>
      <c r="AT1454" s="2">
        <v>0</v>
      </c>
      <c r="AZ1454" s="2" t="s">
        <v>8907</v>
      </c>
      <c r="BB1454" s="2" t="str">
        <f>+PROPER(BD[[#This Row],[PRIMER_APELLIDO]])</f>
        <v>Chow</v>
      </c>
    </row>
    <row r="1455" spans="1:54" x14ac:dyDescent="0.25">
      <c r="A1455" s="2">
        <v>1454</v>
      </c>
      <c r="B1455" s="2">
        <v>18405</v>
      </c>
      <c r="C1455" s="5" t="s">
        <v>619</v>
      </c>
      <c r="D1455" s="2" t="s">
        <v>620</v>
      </c>
      <c r="E1455" s="6" t="s">
        <v>8908</v>
      </c>
      <c r="F1455" s="6">
        <v>20652029</v>
      </c>
      <c r="G1455" s="3">
        <v>42</v>
      </c>
      <c r="I1455" s="7"/>
      <c r="J1455" s="7"/>
      <c r="K1455" s="8">
        <v>42.273972602739725</v>
      </c>
      <c r="L1455" s="2" t="s">
        <v>826</v>
      </c>
      <c r="M1455" s="2" t="s">
        <v>2023</v>
      </c>
      <c r="N1455" s="2" t="s">
        <v>74</v>
      </c>
      <c r="O1455" s="2" t="s">
        <v>90</v>
      </c>
      <c r="P1455" s="2" t="s">
        <v>649</v>
      </c>
      <c r="Q1455" s="2" t="s">
        <v>351</v>
      </c>
      <c r="R1455" s="9">
        <v>29366</v>
      </c>
      <c r="S1455" s="9">
        <v>29366</v>
      </c>
      <c r="T1455" s="2" t="s">
        <v>627</v>
      </c>
      <c r="U1455" s="2" t="s">
        <v>176</v>
      </c>
      <c r="V1455" s="2" t="s">
        <v>627</v>
      </c>
      <c r="W1455" s="2" t="s">
        <v>176</v>
      </c>
      <c r="X1455" s="2" t="s">
        <v>8909</v>
      </c>
      <c r="Y1455" s="2" t="s">
        <v>8910</v>
      </c>
      <c r="Z1455" s="6"/>
      <c r="AA1455" s="2">
        <v>81064055</v>
      </c>
      <c r="AB1455" s="2" t="s">
        <v>654</v>
      </c>
      <c r="AC1455" s="2" t="s">
        <v>632</v>
      </c>
      <c r="AD1455" s="10"/>
      <c r="AE1455" s="11"/>
      <c r="AF1455" s="11">
        <v>81064055</v>
      </c>
      <c r="AG1455" s="11"/>
      <c r="AH1455" s="11"/>
      <c r="AI1455" s="11"/>
      <c r="AJ1455" s="11">
        <v>81064055</v>
      </c>
      <c r="AK1455" s="12">
        <v>1</v>
      </c>
      <c r="AL1455" s="12" t="s">
        <v>7377</v>
      </c>
      <c r="AM1455" s="2">
        <v>0</v>
      </c>
      <c r="AN1455" s="2">
        <v>0</v>
      </c>
      <c r="AO1455" s="2">
        <v>0</v>
      </c>
      <c r="AP1455" s="2">
        <v>1</v>
      </c>
      <c r="AQ1455" s="2">
        <v>0</v>
      </c>
      <c r="AR1455" s="2">
        <v>0</v>
      </c>
      <c r="AS1455" s="2">
        <v>0</v>
      </c>
      <c r="AT1455" s="2">
        <v>0</v>
      </c>
      <c r="BB1455" s="2" t="str">
        <f>+PROPER(BD[[#This Row],[PRIMER_APELLIDO]])</f>
        <v>Reyes</v>
      </c>
    </row>
    <row r="1456" spans="1:54" x14ac:dyDescent="0.25">
      <c r="A1456" s="2">
        <v>1455</v>
      </c>
      <c r="B1456" s="2">
        <v>19985</v>
      </c>
      <c r="C1456" s="5" t="s">
        <v>619</v>
      </c>
      <c r="D1456" s="2" t="s">
        <v>620</v>
      </c>
      <c r="E1456" s="6" t="s">
        <v>8911</v>
      </c>
      <c r="F1456" s="6">
        <v>17220156</v>
      </c>
      <c r="G1456" s="3">
        <v>42</v>
      </c>
      <c r="I1456" s="7"/>
      <c r="J1456" s="7"/>
      <c r="K1456" s="8">
        <v>42.293150684931504</v>
      </c>
      <c r="L1456" s="2" t="s">
        <v>638</v>
      </c>
      <c r="M1456" s="2" t="s">
        <v>970</v>
      </c>
      <c r="N1456" s="2" t="s">
        <v>74</v>
      </c>
      <c r="O1456" s="2" t="s">
        <v>140</v>
      </c>
      <c r="P1456" s="2" t="s">
        <v>626</v>
      </c>
      <c r="Q1456" s="2" t="s">
        <v>351</v>
      </c>
      <c r="R1456" s="9">
        <v>29359</v>
      </c>
      <c r="S1456" s="9">
        <v>29359</v>
      </c>
      <c r="U1456" s="2" t="s">
        <v>1191</v>
      </c>
      <c r="W1456" s="2" t="s">
        <v>3060</v>
      </c>
      <c r="X1456" s="2" t="s">
        <v>8912</v>
      </c>
      <c r="Y1456" s="2" t="s">
        <v>8913</v>
      </c>
      <c r="Z1456" s="6"/>
      <c r="AA1456" s="2" t="s">
        <v>8914</v>
      </c>
      <c r="AB1456" s="2" t="s">
        <v>654</v>
      </c>
      <c r="AC1456" s="2" t="s">
        <v>632</v>
      </c>
      <c r="AD1456" s="10"/>
      <c r="AE1456" s="11"/>
      <c r="AF1456" s="11">
        <v>88535348</v>
      </c>
      <c r="AG1456" s="11">
        <v>76003273</v>
      </c>
      <c r="AH1456" s="11">
        <v>86568846</v>
      </c>
      <c r="AI1456" s="11"/>
      <c r="AJ1456" s="11">
        <v>88535348</v>
      </c>
      <c r="AK1456" s="12">
        <v>3</v>
      </c>
      <c r="AL1456" s="12" t="s">
        <v>7377</v>
      </c>
      <c r="AM1456" s="2">
        <v>0</v>
      </c>
      <c r="AN1456" s="2">
        <v>0</v>
      </c>
      <c r="AO1456" s="2">
        <v>0</v>
      </c>
      <c r="AP1456" s="2">
        <v>1</v>
      </c>
      <c r="AQ1456" s="2">
        <v>0</v>
      </c>
      <c r="AR1456" s="2">
        <v>0</v>
      </c>
      <c r="AS1456" s="2">
        <v>0</v>
      </c>
      <c r="AT1456" s="2">
        <v>0</v>
      </c>
      <c r="BB1456" s="2" t="str">
        <f>+PROPER(BD[[#This Row],[PRIMER_APELLIDO]])</f>
        <v>Reyes</v>
      </c>
    </row>
    <row r="1457" spans="1:54" x14ac:dyDescent="0.25">
      <c r="A1457" s="2">
        <v>1456</v>
      </c>
      <c r="B1457" s="2">
        <v>25702</v>
      </c>
      <c r="C1457" s="5" t="s">
        <v>619</v>
      </c>
      <c r="D1457" s="2" t="s">
        <v>620</v>
      </c>
      <c r="E1457" s="6" t="s">
        <v>8915</v>
      </c>
      <c r="F1457" s="6">
        <v>21617632</v>
      </c>
      <c r="G1457" s="3">
        <v>42</v>
      </c>
      <c r="I1457" s="7"/>
      <c r="J1457" s="7"/>
      <c r="K1457" s="8">
        <v>42.30958904109589</v>
      </c>
      <c r="L1457" s="2" t="s">
        <v>8916</v>
      </c>
      <c r="M1457" s="2" t="s">
        <v>2269</v>
      </c>
      <c r="N1457" s="2" t="s">
        <v>15</v>
      </c>
      <c r="O1457" s="2" t="s">
        <v>8917</v>
      </c>
      <c r="P1457" s="2" t="s">
        <v>626</v>
      </c>
      <c r="Q1457" s="2" t="s">
        <v>351</v>
      </c>
      <c r="R1457" s="9">
        <v>29353</v>
      </c>
      <c r="S1457" s="9">
        <v>29353</v>
      </c>
      <c r="T1457" s="2" t="s">
        <v>780</v>
      </c>
      <c r="U1457" s="2" t="s">
        <v>780</v>
      </c>
      <c r="V1457" s="2" t="s">
        <v>781</v>
      </c>
      <c r="W1457" s="2" t="s">
        <v>781</v>
      </c>
      <c r="X1457" s="2" t="s">
        <v>8918</v>
      </c>
      <c r="Y1457" s="2" t="s">
        <v>8919</v>
      </c>
      <c r="Z1457" s="6">
        <v>84215178</v>
      </c>
      <c r="AA1457" s="2">
        <v>84215178</v>
      </c>
      <c r="AB1457" s="2" t="s">
        <v>631</v>
      </c>
      <c r="AC1457" s="2" t="s">
        <v>632</v>
      </c>
      <c r="AD1457" s="10">
        <v>84215178</v>
      </c>
      <c r="AE1457" s="11"/>
      <c r="AF1457" s="11">
        <v>84215178</v>
      </c>
      <c r="AG1457" s="11"/>
      <c r="AH1457" s="11"/>
      <c r="AI1457" s="11"/>
      <c r="AJ1457" s="11">
        <v>84215178</v>
      </c>
      <c r="AK1457" s="12">
        <v>2</v>
      </c>
      <c r="AL1457" s="12" t="s">
        <v>7377</v>
      </c>
      <c r="AM1457" s="2">
        <v>0</v>
      </c>
      <c r="AN1457" s="2">
        <v>0</v>
      </c>
      <c r="AO1457" s="2">
        <v>0</v>
      </c>
      <c r="AP1457" s="2">
        <v>1</v>
      </c>
      <c r="AQ1457" s="2">
        <v>0</v>
      </c>
      <c r="AR1457" s="2">
        <v>0</v>
      </c>
      <c r="AS1457" s="2">
        <v>0</v>
      </c>
      <c r="AT1457" s="2">
        <v>0</v>
      </c>
      <c r="BB1457" s="2" t="str">
        <f>+PROPER(BD[[#This Row],[PRIMER_APELLIDO]])</f>
        <v>Lopez</v>
      </c>
    </row>
    <row r="1458" spans="1:54" x14ac:dyDescent="0.25">
      <c r="A1458" s="2">
        <v>1457</v>
      </c>
      <c r="B1458" s="2">
        <v>34091</v>
      </c>
      <c r="C1458" s="5" t="s">
        <v>619</v>
      </c>
      <c r="D1458" s="2" t="s">
        <v>620</v>
      </c>
      <c r="E1458" s="6" t="s">
        <v>8920</v>
      </c>
      <c r="F1458" s="6">
        <v>21743632</v>
      </c>
      <c r="G1458" s="3">
        <v>42</v>
      </c>
      <c r="I1458" s="7"/>
      <c r="J1458" s="7"/>
      <c r="K1458" s="8">
        <v>42.31232876712329</v>
      </c>
      <c r="L1458" s="2" t="s">
        <v>826</v>
      </c>
      <c r="M1458" s="2" t="s">
        <v>3450</v>
      </c>
      <c r="N1458" s="2" t="s">
        <v>74</v>
      </c>
      <c r="O1458" s="2" t="s">
        <v>235</v>
      </c>
      <c r="P1458" s="2" t="s">
        <v>649</v>
      </c>
      <c r="Q1458" s="2" t="s">
        <v>351</v>
      </c>
      <c r="R1458" s="9">
        <v>29352</v>
      </c>
      <c r="S1458" s="9">
        <v>29352</v>
      </c>
      <c r="T1458" s="2" t="s">
        <v>176</v>
      </c>
      <c r="U1458" s="2" t="s">
        <v>176</v>
      </c>
      <c r="V1458" s="2" t="s">
        <v>650</v>
      </c>
      <c r="W1458" s="2" t="s">
        <v>176</v>
      </c>
      <c r="X1458" s="2" t="s">
        <v>8921</v>
      </c>
      <c r="Y1458" s="2" t="s">
        <v>8922</v>
      </c>
      <c r="Z1458" s="6"/>
      <c r="AA1458" s="2" t="s">
        <v>8923</v>
      </c>
      <c r="AB1458" s="2" t="s">
        <v>654</v>
      </c>
      <c r="AC1458" s="2" t="s">
        <v>632</v>
      </c>
      <c r="AD1458" s="10"/>
      <c r="AE1458" s="11"/>
      <c r="AF1458" s="11">
        <v>86969983</v>
      </c>
      <c r="AG1458" s="11">
        <v>57500563</v>
      </c>
      <c r="AH1458" s="11"/>
      <c r="AI1458" s="11"/>
      <c r="AJ1458" s="11">
        <v>86969983</v>
      </c>
      <c r="AK1458" s="12">
        <v>2</v>
      </c>
      <c r="AL1458" s="12" t="s">
        <v>7377</v>
      </c>
      <c r="AM1458" s="2">
        <v>0</v>
      </c>
      <c r="AN1458" s="2">
        <v>0</v>
      </c>
      <c r="AO1458" s="2">
        <v>0</v>
      </c>
      <c r="AP1458" s="2">
        <v>1</v>
      </c>
      <c r="AQ1458" s="2">
        <v>0</v>
      </c>
      <c r="AR1458" s="2">
        <v>0</v>
      </c>
      <c r="AS1458" s="2">
        <v>0</v>
      </c>
      <c r="AT1458" s="2">
        <v>0</v>
      </c>
      <c r="BB1458" s="2" t="str">
        <f>+PROPER(BD[[#This Row],[PRIMER_APELLIDO]])</f>
        <v>Reyes</v>
      </c>
    </row>
    <row r="1459" spans="1:54" x14ac:dyDescent="0.25">
      <c r="A1459" s="2">
        <v>1458</v>
      </c>
      <c r="B1459" s="2">
        <v>18045</v>
      </c>
      <c r="C1459" s="5" t="s">
        <v>619</v>
      </c>
      <c r="D1459" s="2" t="s">
        <v>620</v>
      </c>
      <c r="E1459" s="6" t="s">
        <v>8924</v>
      </c>
      <c r="F1459" s="6">
        <v>16404690</v>
      </c>
      <c r="G1459" s="3">
        <v>42</v>
      </c>
      <c r="I1459" s="7"/>
      <c r="J1459" s="7"/>
      <c r="K1459" s="8">
        <v>42.317808219178083</v>
      </c>
      <c r="L1459" s="2" t="s">
        <v>704</v>
      </c>
      <c r="M1459" s="2" t="s">
        <v>6807</v>
      </c>
      <c r="N1459" s="2" t="s">
        <v>414</v>
      </c>
      <c r="O1459" s="2" t="s">
        <v>15</v>
      </c>
      <c r="P1459" s="2" t="s">
        <v>626</v>
      </c>
      <c r="Q1459" s="2" t="s">
        <v>351</v>
      </c>
      <c r="R1459" s="9">
        <v>29350</v>
      </c>
      <c r="S1459" s="9">
        <v>29350</v>
      </c>
      <c r="U1459" s="2" t="s">
        <v>1104</v>
      </c>
      <c r="W1459" s="2" t="s">
        <v>1104</v>
      </c>
      <c r="X1459" s="2" t="s">
        <v>8925</v>
      </c>
      <c r="Y1459" s="2" t="s">
        <v>8926</v>
      </c>
      <c r="Z1459" s="6"/>
      <c r="AA1459" s="2" t="s">
        <v>8927</v>
      </c>
      <c r="AB1459" s="2" t="s">
        <v>654</v>
      </c>
      <c r="AC1459" s="2" t="s">
        <v>632</v>
      </c>
      <c r="AD1459" s="10"/>
      <c r="AE1459" s="11"/>
      <c r="AF1459" s="11"/>
      <c r="AG1459" s="11">
        <v>84966250</v>
      </c>
      <c r="AH1459" s="11"/>
      <c r="AI1459" s="11"/>
      <c r="AJ1459" s="11">
        <v>84966250</v>
      </c>
      <c r="AK1459" s="12">
        <v>2</v>
      </c>
      <c r="AL1459" s="12" t="s">
        <v>7377</v>
      </c>
      <c r="AM1459" s="2">
        <v>0</v>
      </c>
      <c r="AN1459" s="2">
        <v>0</v>
      </c>
      <c r="AO1459" s="2">
        <v>0</v>
      </c>
      <c r="AP1459" s="2">
        <v>1</v>
      </c>
      <c r="AQ1459" s="2">
        <v>0</v>
      </c>
      <c r="AR1459" s="2">
        <v>0</v>
      </c>
      <c r="AS1459" s="2">
        <v>0</v>
      </c>
      <c r="AT1459" s="2">
        <v>0</v>
      </c>
      <c r="BB1459" s="2" t="str">
        <f>+PROPER(BD[[#This Row],[PRIMER_APELLIDO]])</f>
        <v>Rizo</v>
      </c>
    </row>
    <row r="1460" spans="1:54" x14ac:dyDescent="0.25">
      <c r="A1460" s="2">
        <v>1459</v>
      </c>
      <c r="B1460" s="2">
        <v>25804</v>
      </c>
      <c r="C1460" s="5" t="s">
        <v>619</v>
      </c>
      <c r="D1460" s="2" t="s">
        <v>620</v>
      </c>
      <c r="E1460" s="6" t="s">
        <v>8928</v>
      </c>
      <c r="F1460" s="6">
        <v>21109786</v>
      </c>
      <c r="G1460" s="3">
        <v>42</v>
      </c>
      <c r="I1460" s="7"/>
      <c r="J1460" s="7"/>
      <c r="K1460" s="8">
        <v>42.323287671232876</v>
      </c>
      <c r="L1460" s="2" t="s">
        <v>2324</v>
      </c>
      <c r="M1460" s="2" t="s">
        <v>243</v>
      </c>
      <c r="N1460" s="2" t="s">
        <v>148</v>
      </c>
      <c r="O1460" s="2" t="s">
        <v>141</v>
      </c>
      <c r="P1460" s="2" t="s">
        <v>649</v>
      </c>
      <c r="Q1460" s="2" t="s">
        <v>351</v>
      </c>
      <c r="R1460" s="9">
        <v>29348</v>
      </c>
      <c r="S1460" s="9">
        <v>29348</v>
      </c>
      <c r="T1460" s="2" t="s">
        <v>929</v>
      </c>
      <c r="U1460" s="2" t="s">
        <v>929</v>
      </c>
      <c r="V1460" s="2" t="s">
        <v>3994</v>
      </c>
      <c r="W1460" s="2" t="s">
        <v>3995</v>
      </c>
      <c r="X1460" s="2" t="s">
        <v>8929</v>
      </c>
      <c r="Y1460" s="2" t="s">
        <v>8930</v>
      </c>
      <c r="Z1460" s="6"/>
      <c r="AA1460" s="2" t="s">
        <v>8931</v>
      </c>
      <c r="AB1460" s="2" t="s">
        <v>654</v>
      </c>
      <c r="AC1460" s="2" t="s">
        <v>632</v>
      </c>
      <c r="AD1460" s="10"/>
      <c r="AE1460" s="11"/>
      <c r="AF1460" s="11"/>
      <c r="AG1460" s="11"/>
      <c r="AH1460" s="11"/>
      <c r="AI1460" s="11"/>
      <c r="AJ1460" s="11"/>
      <c r="AK1460" s="12">
        <v>2</v>
      </c>
      <c r="AL1460" s="12" t="s">
        <v>7377</v>
      </c>
      <c r="AM1460" s="2">
        <v>0</v>
      </c>
      <c r="AN1460" s="2">
        <v>0</v>
      </c>
      <c r="AO1460" s="2">
        <v>0</v>
      </c>
      <c r="AP1460" s="2">
        <v>1</v>
      </c>
      <c r="AQ1460" s="2">
        <v>0</v>
      </c>
      <c r="AR1460" s="2">
        <v>0</v>
      </c>
      <c r="AS1460" s="2">
        <v>0</v>
      </c>
      <c r="AT1460" s="2">
        <v>0</v>
      </c>
      <c r="BB1460" s="2" t="str">
        <f>+PROPER(BD[[#This Row],[PRIMER_APELLIDO]])</f>
        <v>Lacayo</v>
      </c>
    </row>
    <row r="1461" spans="1:54" x14ac:dyDescent="0.25">
      <c r="A1461" s="2">
        <v>1460</v>
      </c>
      <c r="B1461" s="2">
        <v>22677</v>
      </c>
      <c r="C1461" s="5" t="s">
        <v>619</v>
      </c>
      <c r="D1461" s="2" t="s">
        <v>620</v>
      </c>
      <c r="E1461" s="6" t="s">
        <v>8932</v>
      </c>
      <c r="F1461" s="6">
        <v>13832791</v>
      </c>
      <c r="G1461" s="3">
        <v>42</v>
      </c>
      <c r="I1461" s="7"/>
      <c r="J1461" s="7"/>
      <c r="K1461" s="8">
        <v>42.326027397260276</v>
      </c>
      <c r="L1461" s="2" t="s">
        <v>8933</v>
      </c>
      <c r="M1461" s="2" t="s">
        <v>6686</v>
      </c>
      <c r="N1461" s="2" t="s">
        <v>532</v>
      </c>
      <c r="O1461" s="2" t="s">
        <v>8934</v>
      </c>
      <c r="P1461" s="2" t="s">
        <v>626</v>
      </c>
      <c r="Q1461" s="2" t="s">
        <v>351</v>
      </c>
      <c r="R1461" s="9">
        <v>29347</v>
      </c>
      <c r="S1461" s="9">
        <v>29347</v>
      </c>
      <c r="T1461" s="2" t="s">
        <v>732</v>
      </c>
      <c r="U1461" s="2" t="s">
        <v>732</v>
      </c>
      <c r="V1461" s="2" t="s">
        <v>732</v>
      </c>
      <c r="W1461" s="2" t="s">
        <v>732</v>
      </c>
      <c r="X1461" s="2" t="s">
        <v>8935</v>
      </c>
      <c r="Y1461" s="2" t="s">
        <v>8936</v>
      </c>
      <c r="Z1461" s="6">
        <v>78884190</v>
      </c>
      <c r="AA1461" s="2">
        <v>25221999</v>
      </c>
      <c r="AB1461" s="2" t="s">
        <v>642</v>
      </c>
      <c r="AC1461" s="2" t="s">
        <v>632</v>
      </c>
      <c r="AD1461" s="10">
        <v>78884190</v>
      </c>
      <c r="AE1461" s="11"/>
      <c r="AF1461" s="11"/>
      <c r="AG1461" s="11"/>
      <c r="AH1461" s="11"/>
      <c r="AI1461" s="11"/>
      <c r="AJ1461" s="11">
        <v>78884190</v>
      </c>
      <c r="AK1461" s="12">
        <v>2</v>
      </c>
      <c r="AL1461" s="12" t="s">
        <v>7377</v>
      </c>
      <c r="AM1461" s="2">
        <v>0</v>
      </c>
      <c r="AN1461" s="2">
        <v>0</v>
      </c>
      <c r="AO1461" s="2">
        <v>0</v>
      </c>
      <c r="AP1461" s="2">
        <v>1</v>
      </c>
      <c r="AQ1461" s="2">
        <v>0</v>
      </c>
      <c r="AR1461" s="2">
        <v>0</v>
      </c>
      <c r="AS1461" s="2">
        <v>0</v>
      </c>
      <c r="AT1461" s="2">
        <v>0</v>
      </c>
      <c r="AZ1461" s="2" t="s">
        <v>8937</v>
      </c>
      <c r="BB1461" s="2" t="str">
        <f>+PROPER(BD[[#This Row],[PRIMER_APELLIDO]])</f>
        <v>Latino</v>
      </c>
    </row>
    <row r="1462" spans="1:54" x14ac:dyDescent="0.25">
      <c r="A1462" s="2">
        <v>1461</v>
      </c>
      <c r="B1462" s="2">
        <v>74841</v>
      </c>
      <c r="C1462" s="5" t="s">
        <v>619</v>
      </c>
      <c r="D1462" s="2" t="s">
        <v>620</v>
      </c>
      <c r="E1462" s="6" t="s">
        <v>8938</v>
      </c>
      <c r="F1462" s="6"/>
      <c r="G1462" s="3">
        <v>42</v>
      </c>
      <c r="I1462" s="7"/>
      <c r="J1462" s="7"/>
      <c r="K1462" s="8">
        <v>42.328767123287669</v>
      </c>
      <c r="L1462" s="2" t="s">
        <v>746</v>
      </c>
      <c r="M1462" s="2" t="s">
        <v>1176</v>
      </c>
      <c r="N1462" s="2" t="s">
        <v>533</v>
      </c>
      <c r="O1462" s="2" t="s">
        <v>254</v>
      </c>
      <c r="P1462" s="2" t="s">
        <v>626</v>
      </c>
      <c r="Q1462" s="2" t="s">
        <v>351</v>
      </c>
      <c r="R1462" s="9">
        <v>29346</v>
      </c>
      <c r="S1462" s="9">
        <v>29346</v>
      </c>
      <c r="T1462" s="2" t="s">
        <v>627</v>
      </c>
      <c r="U1462" s="2" t="s">
        <v>627</v>
      </c>
      <c r="V1462" s="2" t="s">
        <v>627</v>
      </c>
      <c r="W1462" s="2" t="s">
        <v>627</v>
      </c>
      <c r="X1462" s="2" t="s">
        <v>8939</v>
      </c>
      <c r="Y1462" s="2" t="s">
        <v>8940</v>
      </c>
      <c r="Z1462" s="6">
        <v>84006378</v>
      </c>
      <c r="AB1462" s="2" t="s">
        <v>642</v>
      </c>
      <c r="AC1462" s="2" t="s">
        <v>632</v>
      </c>
      <c r="AD1462" s="10">
        <v>84006378</v>
      </c>
      <c r="AE1462" s="11"/>
      <c r="AF1462" s="11"/>
      <c r="AG1462" s="11"/>
      <c r="AH1462" s="11"/>
      <c r="AI1462" s="11"/>
      <c r="AJ1462" s="11">
        <v>84006378</v>
      </c>
      <c r="AK1462" s="12">
        <v>1</v>
      </c>
      <c r="AL1462" s="12" t="s">
        <v>7377</v>
      </c>
      <c r="AM1462" s="2">
        <v>0</v>
      </c>
      <c r="AN1462" s="2">
        <v>0</v>
      </c>
      <c r="AO1462" s="2">
        <v>0</v>
      </c>
      <c r="AP1462" s="2">
        <v>1</v>
      </c>
      <c r="AQ1462" s="2">
        <v>0</v>
      </c>
      <c r="AR1462" s="2">
        <v>0</v>
      </c>
      <c r="AS1462" s="2">
        <v>0</v>
      </c>
      <c r="AT1462" s="2">
        <v>0</v>
      </c>
      <c r="AZ1462" s="2" t="s">
        <v>8941</v>
      </c>
      <c r="BB1462" s="2" t="str">
        <f>+PROPER(BD[[#This Row],[PRIMER_APELLIDO]])</f>
        <v>Pastora</v>
      </c>
    </row>
    <row r="1463" spans="1:54" x14ac:dyDescent="0.25">
      <c r="A1463" s="2">
        <v>1462</v>
      </c>
      <c r="B1463" s="2">
        <v>24827</v>
      </c>
      <c r="C1463" s="5" t="s">
        <v>619</v>
      </c>
      <c r="D1463" s="2" t="s">
        <v>620</v>
      </c>
      <c r="E1463" s="6" t="s">
        <v>8942</v>
      </c>
      <c r="F1463" s="6">
        <v>20885544</v>
      </c>
      <c r="G1463" s="3">
        <v>42</v>
      </c>
      <c r="I1463" s="7"/>
      <c r="J1463" s="7"/>
      <c r="K1463" s="8">
        <v>42.331506849315069</v>
      </c>
      <c r="L1463" s="2" t="s">
        <v>2715</v>
      </c>
      <c r="M1463" s="2" t="s">
        <v>2716</v>
      </c>
      <c r="N1463" s="2" t="s">
        <v>359</v>
      </c>
      <c r="P1463" s="2" t="s">
        <v>649</v>
      </c>
      <c r="Q1463" s="2" t="s">
        <v>351</v>
      </c>
      <c r="R1463" s="9">
        <v>29345</v>
      </c>
      <c r="S1463" s="9">
        <v>29345</v>
      </c>
      <c r="T1463" s="2" t="s">
        <v>176</v>
      </c>
      <c r="U1463" s="2" t="s">
        <v>176</v>
      </c>
      <c r="V1463" s="2" t="s">
        <v>650</v>
      </c>
      <c r="W1463" s="2" t="s">
        <v>176</v>
      </c>
      <c r="X1463" s="2" t="s">
        <v>8943</v>
      </c>
      <c r="Y1463" s="2" t="s">
        <v>8944</v>
      </c>
      <c r="Z1463" s="6">
        <v>82298644</v>
      </c>
      <c r="AA1463" s="2">
        <v>23110206</v>
      </c>
      <c r="AB1463" s="2" t="s">
        <v>654</v>
      </c>
      <c r="AC1463" s="2" t="s">
        <v>632</v>
      </c>
      <c r="AD1463" s="10">
        <v>82298644</v>
      </c>
      <c r="AE1463" s="11"/>
      <c r="AF1463" s="11"/>
      <c r="AG1463" s="11"/>
      <c r="AH1463" s="11"/>
      <c r="AI1463" s="11"/>
      <c r="AJ1463" s="11">
        <v>82298644</v>
      </c>
      <c r="AK1463" s="12">
        <v>2</v>
      </c>
      <c r="AL1463" s="12" t="s">
        <v>7377</v>
      </c>
      <c r="AM1463" s="2">
        <v>0</v>
      </c>
      <c r="AN1463" s="2">
        <v>0</v>
      </c>
      <c r="AO1463" s="2">
        <v>0</v>
      </c>
      <c r="AP1463" s="2">
        <v>1</v>
      </c>
      <c r="AQ1463" s="2">
        <v>0</v>
      </c>
      <c r="AR1463" s="2">
        <v>0</v>
      </c>
      <c r="AS1463" s="2">
        <v>0</v>
      </c>
      <c r="AT1463" s="2">
        <v>0</v>
      </c>
      <c r="AZ1463" s="2" t="s">
        <v>8945</v>
      </c>
      <c r="BB1463" s="2" t="str">
        <f>+PROPER(BD[[#This Row],[PRIMER_APELLIDO]])</f>
        <v>Parajon</v>
      </c>
    </row>
    <row r="1464" spans="1:54" x14ac:dyDescent="0.25">
      <c r="A1464" s="2">
        <v>1463</v>
      </c>
      <c r="B1464" s="2">
        <v>28816</v>
      </c>
      <c r="C1464" s="5" t="s">
        <v>619</v>
      </c>
      <c r="D1464" s="2" t="s">
        <v>620</v>
      </c>
      <c r="E1464" s="6" t="s">
        <v>8946</v>
      </c>
      <c r="F1464" s="6">
        <v>21181911</v>
      </c>
      <c r="G1464" s="3">
        <v>42</v>
      </c>
      <c r="I1464" s="7"/>
      <c r="J1464" s="7"/>
      <c r="K1464" s="8">
        <v>42.347945205479455</v>
      </c>
      <c r="L1464" s="2" t="s">
        <v>6706</v>
      </c>
      <c r="M1464" s="2" t="s">
        <v>961</v>
      </c>
      <c r="N1464" s="2" t="s">
        <v>11</v>
      </c>
      <c r="O1464" s="2" t="s">
        <v>10</v>
      </c>
      <c r="P1464" s="2" t="s">
        <v>626</v>
      </c>
      <c r="Q1464" s="2" t="s">
        <v>351</v>
      </c>
      <c r="R1464" s="9">
        <v>29339</v>
      </c>
      <c r="S1464" s="9">
        <v>29339</v>
      </c>
      <c r="U1464" s="2" t="s">
        <v>732</v>
      </c>
      <c r="W1464" s="2" t="s">
        <v>732</v>
      </c>
      <c r="X1464" s="2" t="s">
        <v>8947</v>
      </c>
      <c r="Y1464" s="2" t="s">
        <v>8948</v>
      </c>
      <c r="Z1464" s="6"/>
      <c r="AA1464" s="2">
        <v>81305983</v>
      </c>
      <c r="AB1464" s="2" t="s">
        <v>642</v>
      </c>
      <c r="AC1464" s="2" t="s">
        <v>632</v>
      </c>
      <c r="AD1464" s="10"/>
      <c r="AE1464" s="11"/>
      <c r="AF1464" s="11">
        <v>81305983</v>
      </c>
      <c r="AG1464" s="11"/>
      <c r="AH1464" s="11"/>
      <c r="AI1464" s="11"/>
      <c r="AJ1464" s="11">
        <v>81305983</v>
      </c>
      <c r="AK1464" s="12">
        <v>1</v>
      </c>
      <c r="AL1464" s="12" t="s">
        <v>7377</v>
      </c>
      <c r="AM1464" s="2">
        <v>0</v>
      </c>
      <c r="AN1464" s="2">
        <v>0</v>
      </c>
      <c r="AO1464" s="2">
        <v>0</v>
      </c>
      <c r="AP1464" s="2">
        <v>1</v>
      </c>
      <c r="AQ1464" s="2">
        <v>0</v>
      </c>
      <c r="AR1464" s="2">
        <v>0</v>
      </c>
      <c r="AS1464" s="2">
        <v>0</v>
      </c>
      <c r="AT1464" s="2">
        <v>0</v>
      </c>
      <c r="BB1464" s="2" t="str">
        <f>+PROPER(BD[[#This Row],[PRIMER_APELLIDO]])</f>
        <v>Hernandez</v>
      </c>
    </row>
    <row r="1465" spans="1:54" x14ac:dyDescent="0.25">
      <c r="A1465" s="2">
        <v>1464</v>
      </c>
      <c r="B1465" s="2">
        <v>66297</v>
      </c>
      <c r="C1465" s="5" t="s">
        <v>619</v>
      </c>
      <c r="D1465" s="2" t="s">
        <v>620</v>
      </c>
      <c r="E1465" s="6" t="s">
        <v>8949</v>
      </c>
      <c r="F1465" s="6"/>
      <c r="G1465" s="3">
        <v>42</v>
      </c>
      <c r="I1465" s="7"/>
      <c r="J1465" s="7"/>
      <c r="K1465" s="8">
        <v>42.350684931506848</v>
      </c>
      <c r="L1465" s="2" t="s">
        <v>8950</v>
      </c>
      <c r="M1465" s="2" t="s">
        <v>747</v>
      </c>
      <c r="N1465" s="2" t="s">
        <v>407</v>
      </c>
      <c r="O1465" s="2" t="s">
        <v>90</v>
      </c>
      <c r="P1465" s="2" t="s">
        <v>626</v>
      </c>
      <c r="Q1465" s="2" t="s">
        <v>351</v>
      </c>
      <c r="R1465" s="9">
        <v>29338</v>
      </c>
      <c r="S1465" s="9">
        <v>29338</v>
      </c>
      <c r="T1465" s="2" t="s">
        <v>627</v>
      </c>
      <c r="U1465" s="2" t="s">
        <v>627</v>
      </c>
      <c r="V1465" s="2" t="s">
        <v>1026</v>
      </c>
      <c r="W1465" s="2" t="s">
        <v>627</v>
      </c>
      <c r="X1465" s="2" t="s">
        <v>8951</v>
      </c>
      <c r="Y1465" s="2" t="s">
        <v>8952</v>
      </c>
      <c r="Z1465" s="6">
        <v>88560057</v>
      </c>
      <c r="AA1465" s="2" t="s">
        <v>8953</v>
      </c>
      <c r="AB1465" s="2" t="s">
        <v>642</v>
      </c>
      <c r="AC1465" s="2" t="s">
        <v>632</v>
      </c>
      <c r="AD1465" s="10">
        <v>88560057</v>
      </c>
      <c r="AE1465" s="11"/>
      <c r="AF1465" s="11"/>
      <c r="AG1465" s="11">
        <v>89249140</v>
      </c>
      <c r="AH1465" s="11">
        <v>88577007</v>
      </c>
      <c r="AI1465" s="11"/>
      <c r="AJ1465" s="11">
        <v>88560057</v>
      </c>
      <c r="AK1465" s="12">
        <v>4</v>
      </c>
      <c r="AL1465" s="12" t="s">
        <v>7377</v>
      </c>
      <c r="AM1465" s="2">
        <v>0</v>
      </c>
      <c r="AN1465" s="2">
        <v>0</v>
      </c>
      <c r="AO1465" s="2">
        <v>0</v>
      </c>
      <c r="AP1465" s="2">
        <v>1</v>
      </c>
      <c r="AQ1465" s="2">
        <v>0</v>
      </c>
      <c r="AR1465" s="2">
        <v>0</v>
      </c>
      <c r="AS1465" s="2">
        <v>0</v>
      </c>
      <c r="AT1465" s="2">
        <v>0</v>
      </c>
      <c r="AZ1465" s="2" t="s">
        <v>8954</v>
      </c>
      <c r="BB1465" s="2" t="str">
        <f>+PROPER(BD[[#This Row],[PRIMER_APELLIDO]])</f>
        <v>Bonilla</v>
      </c>
    </row>
    <row r="1466" spans="1:54" x14ac:dyDescent="0.25">
      <c r="A1466" s="2">
        <v>1465</v>
      </c>
      <c r="B1466" s="2">
        <v>24682</v>
      </c>
      <c r="C1466" s="5" t="s">
        <v>619</v>
      </c>
      <c r="D1466" s="2" t="s">
        <v>620</v>
      </c>
      <c r="E1466" s="6" t="s">
        <v>8955</v>
      </c>
      <c r="F1466" s="6">
        <v>19349424</v>
      </c>
      <c r="G1466" s="3">
        <v>42</v>
      </c>
      <c r="I1466" s="7"/>
      <c r="J1466" s="7"/>
      <c r="K1466" s="8">
        <v>42.358904109589041</v>
      </c>
      <c r="L1466" s="2" t="s">
        <v>1596</v>
      </c>
      <c r="M1466" s="2" t="s">
        <v>3384</v>
      </c>
      <c r="N1466" s="2" t="s">
        <v>48</v>
      </c>
      <c r="O1466" s="2" t="s">
        <v>185</v>
      </c>
      <c r="P1466" s="2" t="s">
        <v>649</v>
      </c>
      <c r="Q1466" s="2" t="s">
        <v>351</v>
      </c>
      <c r="R1466" s="9">
        <v>29335</v>
      </c>
      <c r="S1466" s="9">
        <v>29335</v>
      </c>
      <c r="U1466" s="2" t="s">
        <v>659</v>
      </c>
      <c r="W1466" s="2" t="s">
        <v>1036</v>
      </c>
      <c r="Y1466" s="2" t="s">
        <v>8956</v>
      </c>
      <c r="Z1466" s="6"/>
      <c r="AA1466" s="2">
        <v>88567939</v>
      </c>
      <c r="AB1466" s="2" t="s">
        <v>642</v>
      </c>
      <c r="AC1466" s="2" t="s">
        <v>632</v>
      </c>
      <c r="AD1466" s="10"/>
      <c r="AE1466" s="11"/>
      <c r="AF1466" s="11">
        <v>88567939</v>
      </c>
      <c r="AG1466" s="11"/>
      <c r="AH1466" s="11"/>
      <c r="AI1466" s="11"/>
      <c r="AJ1466" s="11">
        <v>88567939</v>
      </c>
      <c r="AK1466" s="12">
        <v>1</v>
      </c>
      <c r="AL1466" s="12" t="s">
        <v>7377</v>
      </c>
      <c r="AM1466" s="2">
        <v>0</v>
      </c>
      <c r="AN1466" s="2">
        <v>0</v>
      </c>
      <c r="AO1466" s="2">
        <v>0</v>
      </c>
      <c r="AP1466" s="2">
        <v>1</v>
      </c>
      <c r="AQ1466" s="2">
        <v>0</v>
      </c>
      <c r="AR1466" s="2">
        <v>0</v>
      </c>
      <c r="AS1466" s="2">
        <v>0</v>
      </c>
      <c r="AT1466" s="2">
        <v>0</v>
      </c>
      <c r="BB1466" s="2" t="str">
        <f>+PROPER(BD[[#This Row],[PRIMER_APELLIDO]])</f>
        <v>Velasquez</v>
      </c>
    </row>
    <row r="1467" spans="1:54" x14ac:dyDescent="0.25">
      <c r="A1467" s="2">
        <v>1466</v>
      </c>
      <c r="B1467" s="2">
        <v>26017</v>
      </c>
      <c r="C1467" s="5" t="s">
        <v>619</v>
      </c>
      <c r="D1467" s="2" t="s">
        <v>620</v>
      </c>
      <c r="E1467" s="6" t="s">
        <v>8957</v>
      </c>
      <c r="F1467" s="6"/>
      <c r="G1467" s="3">
        <v>42</v>
      </c>
      <c r="I1467" s="7"/>
      <c r="J1467" s="7"/>
      <c r="K1467" s="8">
        <v>42.361643835616441</v>
      </c>
      <c r="L1467" s="2" t="s">
        <v>5641</v>
      </c>
      <c r="M1467" s="2" t="s">
        <v>2650</v>
      </c>
      <c r="N1467" s="2" t="s">
        <v>52</v>
      </c>
      <c r="O1467" s="2" t="s">
        <v>203</v>
      </c>
      <c r="P1467" s="2" t="s">
        <v>626</v>
      </c>
      <c r="Q1467" s="2" t="s">
        <v>351</v>
      </c>
      <c r="R1467" s="9">
        <v>29334</v>
      </c>
      <c r="S1467" s="9">
        <v>29334</v>
      </c>
      <c r="T1467" s="2" t="s">
        <v>627</v>
      </c>
      <c r="U1467" s="2" t="s">
        <v>627</v>
      </c>
      <c r="V1467" s="2" t="s">
        <v>627</v>
      </c>
      <c r="W1467" s="2" t="s">
        <v>627</v>
      </c>
      <c r="X1467" s="2" t="s">
        <v>8958</v>
      </c>
      <c r="Y1467" s="2" t="s">
        <v>8959</v>
      </c>
      <c r="Z1467" s="6">
        <v>86085987</v>
      </c>
      <c r="AA1467" s="2">
        <v>22704034</v>
      </c>
      <c r="AB1467" s="2" t="s">
        <v>642</v>
      </c>
      <c r="AC1467" s="2" t="s">
        <v>632</v>
      </c>
      <c r="AD1467" s="10">
        <v>86085987</v>
      </c>
      <c r="AE1467" s="11"/>
      <c r="AF1467" s="11"/>
      <c r="AG1467" s="11"/>
      <c r="AH1467" s="11"/>
      <c r="AI1467" s="11"/>
      <c r="AJ1467" s="11">
        <v>86085987</v>
      </c>
      <c r="AK1467" s="12">
        <v>2</v>
      </c>
      <c r="AL1467" s="12" t="s">
        <v>7377</v>
      </c>
      <c r="AM1467" s="2">
        <v>0</v>
      </c>
      <c r="AN1467" s="2">
        <v>0</v>
      </c>
      <c r="AO1467" s="2">
        <v>0</v>
      </c>
      <c r="AP1467" s="2">
        <v>1</v>
      </c>
      <c r="AQ1467" s="2">
        <v>0</v>
      </c>
      <c r="AR1467" s="2">
        <v>0</v>
      </c>
      <c r="AS1467" s="2">
        <v>0</v>
      </c>
      <c r="AT1467" s="2">
        <v>0</v>
      </c>
      <c r="AZ1467" s="2" t="s">
        <v>8960</v>
      </c>
      <c r="BB1467" s="2" t="str">
        <f>+PROPER(BD[[#This Row],[PRIMER_APELLIDO]])</f>
        <v>Vasquez</v>
      </c>
    </row>
    <row r="1468" spans="1:54" x14ac:dyDescent="0.25">
      <c r="A1468" s="2">
        <v>1467</v>
      </c>
      <c r="B1468" s="2">
        <v>35360</v>
      </c>
      <c r="C1468" s="5" t="s">
        <v>619</v>
      </c>
      <c r="D1468" s="2" t="s">
        <v>620</v>
      </c>
      <c r="E1468" s="6" t="s">
        <v>8961</v>
      </c>
      <c r="F1468" s="6">
        <v>21686520</v>
      </c>
      <c r="G1468" s="3">
        <v>42</v>
      </c>
      <c r="I1468" s="7"/>
      <c r="J1468" s="7"/>
      <c r="K1468" s="8">
        <v>42.361643835616441</v>
      </c>
      <c r="L1468" s="2" t="s">
        <v>8962</v>
      </c>
      <c r="M1468" s="2" t="s">
        <v>2996</v>
      </c>
      <c r="N1468" s="2" t="s">
        <v>430</v>
      </c>
      <c r="O1468" s="2" t="s">
        <v>412</v>
      </c>
      <c r="P1468" s="2" t="s">
        <v>649</v>
      </c>
      <c r="Q1468" s="2" t="s">
        <v>351</v>
      </c>
      <c r="R1468" s="9">
        <v>29334</v>
      </c>
      <c r="S1468" s="9">
        <v>29334</v>
      </c>
      <c r="T1468" s="2" t="s">
        <v>176</v>
      </c>
      <c r="U1468" s="2" t="s">
        <v>176</v>
      </c>
      <c r="V1468" s="2" t="s">
        <v>650</v>
      </c>
      <c r="W1468" s="2" t="s">
        <v>176</v>
      </c>
      <c r="X1468" s="2" t="s">
        <v>8963</v>
      </c>
      <c r="Y1468" s="2" t="s">
        <v>8964</v>
      </c>
      <c r="Z1468" s="6">
        <v>88545323</v>
      </c>
      <c r="AA1468" s="2">
        <v>88545323</v>
      </c>
      <c r="AB1468" s="2" t="s">
        <v>654</v>
      </c>
      <c r="AC1468" s="2" t="s">
        <v>632</v>
      </c>
      <c r="AD1468" s="10">
        <v>88545323</v>
      </c>
      <c r="AE1468" s="11"/>
      <c r="AF1468" s="11">
        <v>88545323</v>
      </c>
      <c r="AG1468" s="11"/>
      <c r="AH1468" s="11"/>
      <c r="AI1468" s="11"/>
      <c r="AJ1468" s="11">
        <v>88545323</v>
      </c>
      <c r="AK1468" s="12">
        <v>2</v>
      </c>
      <c r="AL1468" s="12" t="s">
        <v>7377</v>
      </c>
      <c r="AM1468" s="2">
        <v>0</v>
      </c>
      <c r="AN1468" s="2">
        <v>0</v>
      </c>
      <c r="AO1468" s="2">
        <v>0</v>
      </c>
      <c r="AP1468" s="2">
        <v>1</v>
      </c>
      <c r="AQ1468" s="2">
        <v>0</v>
      </c>
      <c r="AR1468" s="2">
        <v>0</v>
      </c>
      <c r="AS1468" s="2">
        <v>0</v>
      </c>
      <c r="AT1468" s="2">
        <v>0</v>
      </c>
      <c r="AZ1468" s="2" t="s">
        <v>8965</v>
      </c>
      <c r="BB1468" s="2" t="str">
        <f>+PROPER(BD[[#This Row],[PRIMER_APELLIDO]])</f>
        <v>Moreno</v>
      </c>
    </row>
    <row r="1469" spans="1:54" x14ac:dyDescent="0.25">
      <c r="A1469" s="2">
        <v>1468</v>
      </c>
      <c r="B1469" s="2">
        <v>35303</v>
      </c>
      <c r="C1469" s="5" t="s">
        <v>619</v>
      </c>
      <c r="D1469" s="2" t="s">
        <v>620</v>
      </c>
      <c r="E1469" s="6" t="s">
        <v>8966</v>
      </c>
      <c r="F1469" s="6">
        <v>22189101</v>
      </c>
      <c r="G1469" s="3">
        <v>42</v>
      </c>
      <c r="I1469" s="7"/>
      <c r="J1469" s="7"/>
      <c r="K1469" s="8">
        <v>42.38356164383562</v>
      </c>
      <c r="L1469" s="2" t="s">
        <v>8967</v>
      </c>
      <c r="M1469" s="2" t="s">
        <v>961</v>
      </c>
      <c r="N1469" s="2" t="s">
        <v>466</v>
      </c>
      <c r="O1469" s="2" t="s">
        <v>53</v>
      </c>
      <c r="P1469" s="2" t="s">
        <v>626</v>
      </c>
      <c r="Q1469" s="2" t="s">
        <v>351</v>
      </c>
      <c r="R1469" s="9">
        <v>29326</v>
      </c>
      <c r="S1469" s="9">
        <v>29326</v>
      </c>
      <c r="T1469" s="2" t="s">
        <v>627</v>
      </c>
      <c r="U1469" s="2" t="s">
        <v>627</v>
      </c>
      <c r="V1469" s="2" t="s">
        <v>627</v>
      </c>
      <c r="W1469" s="2" t="s">
        <v>627</v>
      </c>
      <c r="X1469" s="2" t="s">
        <v>8968</v>
      </c>
      <c r="Y1469" s="2" t="s">
        <v>8969</v>
      </c>
      <c r="Z1469" s="6">
        <v>86792170</v>
      </c>
      <c r="AA1469" s="2">
        <v>22640830</v>
      </c>
      <c r="AB1469" s="2" t="s">
        <v>642</v>
      </c>
      <c r="AC1469" s="2" t="s">
        <v>632</v>
      </c>
      <c r="AD1469" s="10">
        <v>86792170</v>
      </c>
      <c r="AE1469" s="11"/>
      <c r="AF1469" s="11"/>
      <c r="AG1469" s="11"/>
      <c r="AH1469" s="11"/>
      <c r="AI1469" s="11"/>
      <c r="AJ1469" s="11">
        <v>86792170</v>
      </c>
      <c r="AK1469" s="12">
        <v>2</v>
      </c>
      <c r="AL1469" s="12" t="s">
        <v>7377</v>
      </c>
      <c r="AM1469" s="2">
        <v>0</v>
      </c>
      <c r="AN1469" s="2">
        <v>0</v>
      </c>
      <c r="AO1469" s="2">
        <v>0</v>
      </c>
      <c r="AP1469" s="2">
        <v>1</v>
      </c>
      <c r="AQ1469" s="2">
        <v>0</v>
      </c>
      <c r="AR1469" s="2">
        <v>0</v>
      </c>
      <c r="AS1469" s="2">
        <v>0</v>
      </c>
      <c r="AT1469" s="2">
        <v>0</v>
      </c>
      <c r="AZ1469" s="2" t="s">
        <v>8970</v>
      </c>
      <c r="BB1469" s="2" t="str">
        <f>+PROPER(BD[[#This Row],[PRIMER_APELLIDO]])</f>
        <v>Solorzano</v>
      </c>
    </row>
    <row r="1470" spans="1:54" x14ac:dyDescent="0.25">
      <c r="A1470" s="2">
        <v>1469</v>
      </c>
      <c r="B1470" s="2">
        <v>25666</v>
      </c>
      <c r="C1470" s="5" t="s">
        <v>619</v>
      </c>
      <c r="D1470" s="2" t="s">
        <v>620</v>
      </c>
      <c r="E1470" s="6" t="s">
        <v>8971</v>
      </c>
      <c r="F1470" s="6">
        <v>19826521</v>
      </c>
      <c r="G1470" s="3">
        <v>42</v>
      </c>
      <c r="I1470" s="7"/>
      <c r="J1470" s="7"/>
      <c r="K1470" s="8">
        <v>42.394520547945206</v>
      </c>
      <c r="L1470" s="2" t="s">
        <v>1686</v>
      </c>
      <c r="M1470" s="2" t="s">
        <v>8972</v>
      </c>
      <c r="N1470" s="2" t="s">
        <v>9</v>
      </c>
      <c r="O1470" s="2" t="s">
        <v>11</v>
      </c>
      <c r="P1470" s="2" t="s">
        <v>649</v>
      </c>
      <c r="Q1470" s="2" t="s">
        <v>351</v>
      </c>
      <c r="R1470" s="9">
        <v>29322</v>
      </c>
      <c r="S1470" s="9">
        <v>29322</v>
      </c>
      <c r="T1470" s="2" t="s">
        <v>186</v>
      </c>
      <c r="U1470" s="2" t="s">
        <v>186</v>
      </c>
      <c r="V1470" s="2" t="s">
        <v>186</v>
      </c>
      <c r="W1470" s="2" t="s">
        <v>186</v>
      </c>
      <c r="X1470" s="2" t="s">
        <v>8973</v>
      </c>
      <c r="Y1470" s="2" t="s">
        <v>8974</v>
      </c>
      <c r="Z1470" s="6">
        <v>86020405</v>
      </c>
      <c r="AA1470" s="2" t="s">
        <v>8975</v>
      </c>
      <c r="AB1470" s="2" t="s">
        <v>654</v>
      </c>
      <c r="AC1470" s="2" t="s">
        <v>632</v>
      </c>
      <c r="AD1470" s="10">
        <v>86020405</v>
      </c>
      <c r="AE1470" s="11"/>
      <c r="AF1470" s="11"/>
      <c r="AG1470" s="11">
        <v>57015329</v>
      </c>
      <c r="AH1470" s="11"/>
      <c r="AI1470" s="11"/>
      <c r="AJ1470" s="11">
        <v>86020405</v>
      </c>
      <c r="AK1470" s="12">
        <v>3</v>
      </c>
      <c r="AL1470" s="12" t="s">
        <v>7377</v>
      </c>
      <c r="AM1470" s="2">
        <v>0</v>
      </c>
      <c r="AN1470" s="2">
        <v>0</v>
      </c>
      <c r="AO1470" s="2">
        <v>0</v>
      </c>
      <c r="AP1470" s="2">
        <v>1</v>
      </c>
      <c r="AQ1470" s="2">
        <v>0</v>
      </c>
      <c r="AR1470" s="2">
        <v>0</v>
      </c>
      <c r="AS1470" s="2">
        <v>0</v>
      </c>
      <c r="AT1470" s="2">
        <v>0</v>
      </c>
      <c r="AZ1470" s="2" t="s">
        <v>8976</v>
      </c>
      <c r="BB1470" s="2" t="str">
        <f>+PROPER(BD[[#This Row],[PRIMER_APELLIDO]])</f>
        <v>Mendoza</v>
      </c>
    </row>
    <row r="1471" spans="1:54" x14ac:dyDescent="0.25">
      <c r="A1471" s="2">
        <v>1470</v>
      </c>
      <c r="B1471" s="2">
        <v>33450</v>
      </c>
      <c r="C1471" s="5" t="s">
        <v>619</v>
      </c>
      <c r="D1471" s="2" t="s">
        <v>620</v>
      </c>
      <c r="E1471" s="6" t="s">
        <v>8977</v>
      </c>
      <c r="F1471" s="6">
        <v>20567079</v>
      </c>
      <c r="G1471" s="3">
        <v>42</v>
      </c>
      <c r="I1471" s="7"/>
      <c r="J1471" s="7"/>
      <c r="K1471" s="8">
        <v>42.397260273972606</v>
      </c>
      <c r="L1471" s="2" t="s">
        <v>826</v>
      </c>
      <c r="M1471" s="2" t="s">
        <v>1699</v>
      </c>
      <c r="N1471" s="2" t="s">
        <v>15</v>
      </c>
      <c r="O1471" s="2" t="s">
        <v>8978</v>
      </c>
      <c r="P1471" s="2" t="s">
        <v>649</v>
      </c>
      <c r="Q1471" s="2" t="s">
        <v>351</v>
      </c>
      <c r="R1471" s="9">
        <v>29321</v>
      </c>
      <c r="S1471" s="9">
        <v>29321</v>
      </c>
      <c r="T1471" s="2" t="s">
        <v>627</v>
      </c>
      <c r="U1471" s="2" t="s">
        <v>627</v>
      </c>
      <c r="V1471" s="2" t="s">
        <v>627</v>
      </c>
      <c r="W1471" s="2" t="s">
        <v>627</v>
      </c>
      <c r="X1471" s="2" t="s">
        <v>8979</v>
      </c>
      <c r="Y1471" s="2" t="s">
        <v>8980</v>
      </c>
      <c r="Z1471" s="6">
        <v>86214945</v>
      </c>
      <c r="AA1471" s="2">
        <v>86214945</v>
      </c>
      <c r="AB1471" s="2" t="s">
        <v>654</v>
      </c>
      <c r="AC1471" s="2" t="s">
        <v>632</v>
      </c>
      <c r="AD1471" s="10">
        <v>86214945</v>
      </c>
      <c r="AE1471" s="11"/>
      <c r="AF1471" s="11">
        <v>86214945</v>
      </c>
      <c r="AG1471" s="11"/>
      <c r="AH1471" s="11"/>
      <c r="AI1471" s="11"/>
      <c r="AJ1471" s="11">
        <v>86214945</v>
      </c>
      <c r="AK1471" s="12">
        <v>2</v>
      </c>
      <c r="AL1471" s="12" t="s">
        <v>7377</v>
      </c>
      <c r="AM1471" s="2">
        <v>0</v>
      </c>
      <c r="AN1471" s="2">
        <v>0</v>
      </c>
      <c r="AO1471" s="2">
        <v>0</v>
      </c>
      <c r="AP1471" s="2">
        <v>1</v>
      </c>
      <c r="AQ1471" s="2">
        <v>0</v>
      </c>
      <c r="AR1471" s="2">
        <v>0</v>
      </c>
      <c r="AS1471" s="2">
        <v>0</v>
      </c>
      <c r="AT1471" s="2">
        <v>0</v>
      </c>
      <c r="AZ1471" s="2" t="s">
        <v>8981</v>
      </c>
      <c r="BB1471" s="2" t="str">
        <f>+PROPER(BD[[#This Row],[PRIMER_APELLIDO]])</f>
        <v>Lopez</v>
      </c>
    </row>
    <row r="1472" spans="1:54" x14ac:dyDescent="0.25">
      <c r="A1472" s="2">
        <v>1471</v>
      </c>
      <c r="B1472" s="2">
        <v>29937</v>
      </c>
      <c r="C1472" s="5" t="s">
        <v>619</v>
      </c>
      <c r="D1472" s="2" t="s">
        <v>620</v>
      </c>
      <c r="E1472" s="6" t="s">
        <v>8982</v>
      </c>
      <c r="F1472" s="6">
        <v>21726857</v>
      </c>
      <c r="G1472" s="3">
        <v>42</v>
      </c>
      <c r="I1472" s="7"/>
      <c r="J1472" s="7"/>
      <c r="K1472" s="8">
        <v>42.402739726027399</v>
      </c>
      <c r="L1472" s="2" t="s">
        <v>8983</v>
      </c>
      <c r="M1472" s="2" t="s">
        <v>1699</v>
      </c>
      <c r="N1472" s="2" t="s">
        <v>460</v>
      </c>
      <c r="O1472" s="2" t="s">
        <v>247</v>
      </c>
      <c r="P1472" s="2" t="s">
        <v>649</v>
      </c>
      <c r="Q1472" s="2" t="s">
        <v>351</v>
      </c>
      <c r="R1472" s="9">
        <v>29319</v>
      </c>
      <c r="S1472" s="9">
        <v>29319</v>
      </c>
      <c r="T1472" s="2" t="s">
        <v>176</v>
      </c>
      <c r="U1472" s="2" t="s">
        <v>659</v>
      </c>
      <c r="V1472" s="2" t="s">
        <v>650</v>
      </c>
      <c r="W1472" s="2" t="s">
        <v>659</v>
      </c>
      <c r="X1472" s="2" t="s">
        <v>8984</v>
      </c>
      <c r="Y1472" s="2" t="s">
        <v>8985</v>
      </c>
      <c r="Z1472" s="6">
        <v>88231167</v>
      </c>
      <c r="AA1472" s="2">
        <v>88231167</v>
      </c>
      <c r="AB1472" s="2" t="s">
        <v>654</v>
      </c>
      <c r="AC1472" s="2" t="s">
        <v>632</v>
      </c>
      <c r="AD1472" s="10">
        <v>88231167</v>
      </c>
      <c r="AE1472" s="11"/>
      <c r="AF1472" s="11">
        <v>88231167</v>
      </c>
      <c r="AG1472" s="11"/>
      <c r="AH1472" s="11"/>
      <c r="AI1472" s="11"/>
      <c r="AJ1472" s="11">
        <v>88231167</v>
      </c>
      <c r="AK1472" s="12">
        <v>2</v>
      </c>
      <c r="AL1472" s="12" t="s">
        <v>7377</v>
      </c>
      <c r="AM1472" s="2">
        <v>0</v>
      </c>
      <c r="AN1472" s="2">
        <v>0</v>
      </c>
      <c r="AO1472" s="2">
        <v>0</v>
      </c>
      <c r="AP1472" s="2">
        <v>1</v>
      </c>
      <c r="AQ1472" s="2">
        <v>0</v>
      </c>
      <c r="AR1472" s="2">
        <v>0</v>
      </c>
      <c r="AS1472" s="2">
        <v>0</v>
      </c>
      <c r="AT1472" s="2">
        <v>0</v>
      </c>
      <c r="AZ1472" s="2" t="s">
        <v>8986</v>
      </c>
      <c r="BA1472" s="2" t="s">
        <v>8986</v>
      </c>
      <c r="BB1472" s="2" t="str">
        <f>+PROPER(BD[[#This Row],[PRIMER_APELLIDO]])</f>
        <v>Guido</v>
      </c>
    </row>
    <row r="1473" spans="1:54" x14ac:dyDescent="0.25">
      <c r="A1473" s="2">
        <v>1472</v>
      </c>
      <c r="B1473" s="2">
        <v>43438</v>
      </c>
      <c r="C1473" s="5" t="s">
        <v>619</v>
      </c>
      <c r="D1473" s="2" t="s">
        <v>620</v>
      </c>
      <c r="E1473" s="6" t="s">
        <v>8987</v>
      </c>
      <c r="F1473" s="6">
        <v>29409541</v>
      </c>
      <c r="G1473" s="3">
        <v>42</v>
      </c>
      <c r="I1473" s="7"/>
      <c r="J1473" s="7"/>
      <c r="K1473" s="8">
        <v>42.402739726027399</v>
      </c>
      <c r="L1473" s="2" t="s">
        <v>3616</v>
      </c>
      <c r="M1473" s="2" t="s">
        <v>8988</v>
      </c>
      <c r="N1473" s="2" t="s">
        <v>44</v>
      </c>
      <c r="O1473" s="2" t="s">
        <v>163</v>
      </c>
      <c r="P1473" s="2" t="s">
        <v>626</v>
      </c>
      <c r="Q1473" s="2" t="s">
        <v>351</v>
      </c>
      <c r="R1473" s="9">
        <v>29319</v>
      </c>
      <c r="S1473" s="9">
        <v>29319</v>
      </c>
      <c r="T1473" s="2" t="s">
        <v>627</v>
      </c>
      <c r="U1473" s="2" t="s">
        <v>627</v>
      </c>
      <c r="V1473" s="2" t="s">
        <v>627</v>
      </c>
      <c r="W1473" s="2" t="s">
        <v>627</v>
      </c>
      <c r="X1473" s="2" t="s">
        <v>8989</v>
      </c>
      <c r="Y1473" s="2" t="s">
        <v>8990</v>
      </c>
      <c r="Z1473" s="6"/>
      <c r="AA1473" s="2" t="s">
        <v>8991</v>
      </c>
      <c r="AB1473" s="2" t="s">
        <v>8992</v>
      </c>
      <c r="AC1473" s="2" t="s">
        <v>632</v>
      </c>
      <c r="AD1473" s="10"/>
      <c r="AE1473" s="11"/>
      <c r="AF1473" s="11"/>
      <c r="AG1473" s="11">
        <v>84722680</v>
      </c>
      <c r="AH1473" s="11"/>
      <c r="AI1473" s="11"/>
      <c r="AJ1473" s="11">
        <v>84722680</v>
      </c>
      <c r="AK1473" s="12">
        <v>2</v>
      </c>
      <c r="AL1473" s="12" t="s">
        <v>7377</v>
      </c>
      <c r="AM1473" s="2">
        <v>0</v>
      </c>
      <c r="AN1473" s="2">
        <v>0</v>
      </c>
      <c r="AO1473" s="2">
        <v>0</v>
      </c>
      <c r="AP1473" s="2">
        <v>1</v>
      </c>
      <c r="AQ1473" s="2">
        <v>0</v>
      </c>
      <c r="AR1473" s="2">
        <v>0</v>
      </c>
      <c r="AS1473" s="2">
        <v>0</v>
      </c>
      <c r="AT1473" s="2">
        <v>0</v>
      </c>
      <c r="BA1473" s="2" t="s">
        <v>8993</v>
      </c>
      <c r="BB1473" s="2" t="str">
        <f>+PROPER(BD[[#This Row],[PRIMER_APELLIDO]])</f>
        <v>Martinez</v>
      </c>
    </row>
    <row r="1474" spans="1:54" x14ac:dyDescent="0.25">
      <c r="A1474" s="2">
        <v>1473</v>
      </c>
      <c r="B1474" s="2">
        <v>21365</v>
      </c>
      <c r="C1474" s="5" t="s">
        <v>619</v>
      </c>
      <c r="D1474" s="2" t="s">
        <v>620</v>
      </c>
      <c r="E1474" s="6" t="s">
        <v>8994</v>
      </c>
      <c r="F1474" s="6">
        <v>18334951</v>
      </c>
      <c r="G1474" s="3">
        <v>42</v>
      </c>
      <c r="I1474" s="7"/>
      <c r="J1474" s="7"/>
      <c r="K1474" s="8">
        <v>42.408219178082192</v>
      </c>
      <c r="L1474" s="2" t="s">
        <v>6240</v>
      </c>
      <c r="M1474" s="2" t="s">
        <v>961</v>
      </c>
      <c r="N1474" s="2" t="s">
        <v>250</v>
      </c>
      <c r="O1474" s="2" t="s">
        <v>185</v>
      </c>
      <c r="P1474" s="2" t="s">
        <v>626</v>
      </c>
      <c r="Q1474" s="2" t="s">
        <v>351</v>
      </c>
      <c r="R1474" s="9">
        <v>29317</v>
      </c>
      <c r="S1474" s="9">
        <v>29317</v>
      </c>
      <c r="T1474" s="2" t="s">
        <v>705</v>
      </c>
      <c r="U1474" s="2" t="s">
        <v>705</v>
      </c>
      <c r="V1474" s="2" t="s">
        <v>1014</v>
      </c>
      <c r="W1474" s="2" t="s">
        <v>1014</v>
      </c>
      <c r="X1474" s="2" t="s">
        <v>8995</v>
      </c>
      <c r="Y1474" s="2" t="s">
        <v>8996</v>
      </c>
      <c r="Z1474" s="6">
        <v>82448992</v>
      </c>
      <c r="AA1474" s="2" t="s">
        <v>8997</v>
      </c>
      <c r="AB1474" s="2" t="s">
        <v>642</v>
      </c>
      <c r="AC1474" s="2" t="s">
        <v>632</v>
      </c>
      <c r="AD1474" s="10">
        <v>82448992</v>
      </c>
      <c r="AE1474" s="11"/>
      <c r="AF1474" s="11">
        <v>86942758</v>
      </c>
      <c r="AG1474" s="11">
        <v>84109819</v>
      </c>
      <c r="AH1474" s="11"/>
      <c r="AI1474" s="11"/>
      <c r="AJ1474" s="11">
        <v>82448992</v>
      </c>
      <c r="AK1474" s="12">
        <v>3</v>
      </c>
      <c r="AL1474" s="12" t="s">
        <v>7377</v>
      </c>
      <c r="AM1474" s="2">
        <v>0</v>
      </c>
      <c r="AN1474" s="2">
        <v>0</v>
      </c>
      <c r="AO1474" s="2">
        <v>0</v>
      </c>
      <c r="AP1474" s="2">
        <v>1</v>
      </c>
      <c r="AQ1474" s="2">
        <v>0</v>
      </c>
      <c r="AR1474" s="2">
        <v>0</v>
      </c>
      <c r="AS1474" s="2">
        <v>0</v>
      </c>
      <c r="AT1474" s="2">
        <v>0</v>
      </c>
      <c r="AZ1474" s="2" t="s">
        <v>8998</v>
      </c>
      <c r="BB1474" s="2" t="str">
        <f>+PROPER(BD[[#This Row],[PRIMER_APELLIDO]])</f>
        <v>Mercado</v>
      </c>
    </row>
    <row r="1475" spans="1:54" x14ac:dyDescent="0.25">
      <c r="A1475" s="2">
        <v>1474</v>
      </c>
      <c r="B1475" s="2">
        <v>21106</v>
      </c>
      <c r="C1475" s="5" t="s">
        <v>619</v>
      </c>
      <c r="D1475" s="2" t="s">
        <v>620</v>
      </c>
      <c r="E1475" s="6" t="s">
        <v>8999</v>
      </c>
      <c r="F1475" s="6"/>
      <c r="G1475" s="3">
        <v>42</v>
      </c>
      <c r="I1475" s="7"/>
      <c r="J1475" s="7"/>
      <c r="K1475" s="8">
        <v>42.424657534246577</v>
      </c>
      <c r="L1475" s="2" t="s">
        <v>8292</v>
      </c>
      <c r="M1475" s="2" t="s">
        <v>3450</v>
      </c>
      <c r="N1475" s="2" t="s">
        <v>11</v>
      </c>
      <c r="O1475" s="2" t="s">
        <v>86</v>
      </c>
      <c r="P1475" s="2" t="s">
        <v>649</v>
      </c>
      <c r="Q1475" s="2" t="s">
        <v>351</v>
      </c>
      <c r="R1475" s="9">
        <v>29311</v>
      </c>
      <c r="S1475" s="9">
        <v>29311</v>
      </c>
      <c r="T1475" s="2" t="s">
        <v>669</v>
      </c>
      <c r="U1475" s="2" t="s">
        <v>669</v>
      </c>
      <c r="V1475" s="2" t="s">
        <v>2427</v>
      </c>
      <c r="W1475" s="2" t="s">
        <v>2427</v>
      </c>
      <c r="X1475" s="2" t="s">
        <v>9000</v>
      </c>
      <c r="Y1475" s="2" t="s">
        <v>9001</v>
      </c>
      <c r="Z1475" s="6">
        <v>89183852</v>
      </c>
      <c r="AA1475" s="2">
        <v>89183852</v>
      </c>
      <c r="AB1475" s="2" t="s">
        <v>654</v>
      </c>
      <c r="AC1475" s="2" t="s">
        <v>632</v>
      </c>
      <c r="AD1475" s="10">
        <v>89183852</v>
      </c>
      <c r="AE1475" s="11"/>
      <c r="AF1475" s="11">
        <v>89183852</v>
      </c>
      <c r="AG1475" s="11"/>
      <c r="AH1475" s="11"/>
      <c r="AI1475" s="11"/>
      <c r="AJ1475" s="11">
        <v>89183852</v>
      </c>
      <c r="AK1475" s="12">
        <v>2</v>
      </c>
      <c r="AL1475" s="12" t="s">
        <v>7377</v>
      </c>
      <c r="AM1475" s="2">
        <v>0</v>
      </c>
      <c r="AN1475" s="2">
        <v>0</v>
      </c>
      <c r="AO1475" s="2">
        <v>0</v>
      </c>
      <c r="AP1475" s="2">
        <v>1</v>
      </c>
      <c r="AQ1475" s="2">
        <v>0</v>
      </c>
      <c r="AR1475" s="2">
        <v>0</v>
      </c>
      <c r="AS1475" s="2">
        <v>0</v>
      </c>
      <c r="AT1475" s="2">
        <v>0</v>
      </c>
      <c r="BA1475" s="2" t="s">
        <v>9002</v>
      </c>
      <c r="BB1475" s="2" t="str">
        <f>+PROPER(BD[[#This Row],[PRIMER_APELLIDO]])</f>
        <v>Hernandez</v>
      </c>
    </row>
    <row r="1476" spans="1:54" x14ac:dyDescent="0.25">
      <c r="A1476" s="2">
        <v>1475</v>
      </c>
      <c r="B1476" s="2">
        <v>42731</v>
      </c>
      <c r="C1476" s="5" t="s">
        <v>619</v>
      </c>
      <c r="D1476" s="2" t="s">
        <v>620</v>
      </c>
      <c r="E1476" s="6" t="s">
        <v>9003</v>
      </c>
      <c r="F1476" s="6">
        <v>21686506</v>
      </c>
      <c r="G1476" s="3">
        <v>42</v>
      </c>
      <c r="I1476" s="7"/>
      <c r="J1476" s="7"/>
      <c r="K1476" s="8">
        <v>42.43013698630137</v>
      </c>
      <c r="L1476" s="2" t="s">
        <v>2539</v>
      </c>
      <c r="M1476" s="2" t="s">
        <v>1659</v>
      </c>
      <c r="N1476" s="2" t="s">
        <v>468</v>
      </c>
      <c r="O1476" s="2" t="s">
        <v>98</v>
      </c>
      <c r="P1476" s="2" t="s">
        <v>649</v>
      </c>
      <c r="Q1476" s="2" t="s">
        <v>351</v>
      </c>
      <c r="R1476" s="9">
        <v>29309</v>
      </c>
      <c r="S1476" s="9">
        <v>29309</v>
      </c>
      <c r="T1476" s="2" t="s">
        <v>176</v>
      </c>
      <c r="U1476" s="2" t="s">
        <v>176</v>
      </c>
      <c r="V1476" s="2" t="s">
        <v>650</v>
      </c>
      <c r="W1476" s="2" t="s">
        <v>176</v>
      </c>
      <c r="X1476" s="2" t="s">
        <v>9004</v>
      </c>
      <c r="Y1476" s="2" t="s">
        <v>9005</v>
      </c>
      <c r="Z1476" s="6"/>
      <c r="AA1476" s="2">
        <v>57061633</v>
      </c>
      <c r="AB1476" s="2" t="s">
        <v>654</v>
      </c>
      <c r="AC1476" s="2" t="s">
        <v>632</v>
      </c>
      <c r="AD1476" s="10"/>
      <c r="AE1476" s="11"/>
      <c r="AF1476" s="11">
        <v>57061633</v>
      </c>
      <c r="AG1476" s="11"/>
      <c r="AH1476" s="11"/>
      <c r="AI1476" s="11"/>
      <c r="AJ1476" s="11">
        <v>57061633</v>
      </c>
      <c r="AK1476" s="12">
        <v>1</v>
      </c>
      <c r="AL1476" s="12" t="s">
        <v>7377</v>
      </c>
      <c r="AM1476" s="2">
        <v>0</v>
      </c>
      <c r="AN1476" s="2">
        <v>0</v>
      </c>
      <c r="AO1476" s="2">
        <v>0</v>
      </c>
      <c r="AP1476" s="2">
        <v>1</v>
      </c>
      <c r="AQ1476" s="2">
        <v>0</v>
      </c>
      <c r="AR1476" s="2">
        <v>0</v>
      </c>
      <c r="AS1476" s="2">
        <v>0</v>
      </c>
      <c r="AT1476" s="2">
        <v>0</v>
      </c>
      <c r="BB1476" s="2" t="str">
        <f>+PROPER(BD[[#This Row],[PRIMER_APELLIDO]])</f>
        <v>Alonso</v>
      </c>
    </row>
    <row r="1477" spans="1:54" x14ac:dyDescent="0.25">
      <c r="A1477" s="2">
        <v>1476</v>
      </c>
      <c r="B1477" s="2">
        <v>18292</v>
      </c>
      <c r="C1477" s="5" t="s">
        <v>619</v>
      </c>
      <c r="D1477" s="2" t="s">
        <v>620</v>
      </c>
      <c r="E1477" s="6" t="s">
        <v>9006</v>
      </c>
      <c r="F1477" s="6">
        <v>20162872</v>
      </c>
      <c r="G1477" s="3">
        <v>42</v>
      </c>
      <c r="I1477" s="7"/>
      <c r="J1477" s="7"/>
      <c r="K1477" s="8">
        <v>42.473972602739728</v>
      </c>
      <c r="L1477" s="2" t="s">
        <v>1479</v>
      </c>
      <c r="M1477" s="2" t="s">
        <v>1183</v>
      </c>
      <c r="N1477" s="2" t="s">
        <v>534</v>
      </c>
      <c r="O1477" s="2" t="s">
        <v>2950</v>
      </c>
      <c r="P1477" s="2" t="s">
        <v>649</v>
      </c>
      <c r="Q1477" s="2" t="s">
        <v>351</v>
      </c>
      <c r="R1477" s="9">
        <v>29293</v>
      </c>
      <c r="S1477" s="9">
        <v>29293</v>
      </c>
      <c r="U1477" s="2" t="s">
        <v>176</v>
      </c>
      <c r="W1477" s="2" t="s">
        <v>176</v>
      </c>
      <c r="X1477" s="2" t="s">
        <v>9007</v>
      </c>
      <c r="Y1477" s="2" t="s">
        <v>9008</v>
      </c>
      <c r="Z1477" s="6"/>
      <c r="AA1477" s="2">
        <v>23110843</v>
      </c>
      <c r="AB1477" s="2" t="s">
        <v>654</v>
      </c>
      <c r="AC1477" s="2" t="s">
        <v>632</v>
      </c>
      <c r="AD1477" s="10"/>
      <c r="AE1477" s="11"/>
      <c r="AF1477" s="11"/>
      <c r="AG1477" s="11"/>
      <c r="AH1477" s="11"/>
      <c r="AI1477" s="11"/>
      <c r="AJ1477" s="11"/>
      <c r="AK1477" s="12">
        <v>1</v>
      </c>
      <c r="AL1477" s="12" t="s">
        <v>7377</v>
      </c>
      <c r="AM1477" s="2">
        <v>0</v>
      </c>
      <c r="AN1477" s="2">
        <v>0</v>
      </c>
      <c r="AO1477" s="2">
        <v>0</v>
      </c>
      <c r="AP1477" s="2">
        <v>1</v>
      </c>
      <c r="AQ1477" s="2">
        <v>0</v>
      </c>
      <c r="AR1477" s="2">
        <v>0</v>
      </c>
      <c r="AS1477" s="2">
        <v>0</v>
      </c>
      <c r="AT1477" s="2">
        <v>0</v>
      </c>
      <c r="BB1477" s="2" t="str">
        <f>+PROPER(BD[[#This Row],[PRIMER_APELLIDO]])</f>
        <v>Peña</v>
      </c>
    </row>
    <row r="1478" spans="1:54" x14ac:dyDescent="0.25">
      <c r="A1478" s="2">
        <v>1477</v>
      </c>
      <c r="B1478" s="2">
        <v>22617</v>
      </c>
      <c r="C1478" s="5" t="s">
        <v>619</v>
      </c>
      <c r="D1478" s="2" t="s">
        <v>620</v>
      </c>
      <c r="E1478" s="6" t="s">
        <v>9009</v>
      </c>
      <c r="F1478" s="6">
        <v>13378561</v>
      </c>
      <c r="G1478" s="3">
        <v>42</v>
      </c>
      <c r="I1478" s="7"/>
      <c r="J1478" s="7"/>
      <c r="K1478" s="8">
        <v>42.473972602739728</v>
      </c>
      <c r="L1478" s="2" t="s">
        <v>9010</v>
      </c>
      <c r="M1478" s="2" t="s">
        <v>4535</v>
      </c>
      <c r="N1478" s="2" t="s">
        <v>23</v>
      </c>
      <c r="O1478" s="2" t="s">
        <v>188</v>
      </c>
      <c r="P1478" s="2" t="s">
        <v>626</v>
      </c>
      <c r="Q1478" s="2" t="s">
        <v>351</v>
      </c>
      <c r="R1478" s="9">
        <v>29293</v>
      </c>
      <c r="S1478" s="9">
        <v>29293</v>
      </c>
      <c r="T1478" s="2" t="s">
        <v>176</v>
      </c>
      <c r="U1478" s="2" t="s">
        <v>176</v>
      </c>
      <c r="V1478" s="2" t="s">
        <v>650</v>
      </c>
      <c r="W1478" s="2" t="s">
        <v>176</v>
      </c>
      <c r="X1478" s="2" t="s">
        <v>9011</v>
      </c>
      <c r="Y1478" s="2" t="s">
        <v>9012</v>
      </c>
      <c r="Z1478" s="6">
        <v>89103431</v>
      </c>
      <c r="AA1478" s="2">
        <v>23150079</v>
      </c>
      <c r="AB1478" s="2" t="s">
        <v>642</v>
      </c>
      <c r="AC1478" s="2" t="s">
        <v>632</v>
      </c>
      <c r="AD1478" s="10">
        <v>89103431</v>
      </c>
      <c r="AE1478" s="11"/>
      <c r="AF1478" s="11"/>
      <c r="AG1478" s="11"/>
      <c r="AH1478" s="11"/>
      <c r="AI1478" s="11"/>
      <c r="AJ1478" s="11">
        <v>89103431</v>
      </c>
      <c r="AK1478" s="12">
        <v>2</v>
      </c>
      <c r="AL1478" s="12" t="s">
        <v>7377</v>
      </c>
      <c r="AM1478" s="2">
        <v>0</v>
      </c>
      <c r="AN1478" s="2">
        <v>0</v>
      </c>
      <c r="AO1478" s="2">
        <v>0</v>
      </c>
      <c r="AP1478" s="2">
        <v>1</v>
      </c>
      <c r="AQ1478" s="2">
        <v>0</v>
      </c>
      <c r="AR1478" s="2">
        <v>0</v>
      </c>
      <c r="AS1478" s="2">
        <v>0</v>
      </c>
      <c r="AT1478" s="2">
        <v>0</v>
      </c>
      <c r="AZ1478" s="2" t="s">
        <v>9013</v>
      </c>
      <c r="BB1478" s="2" t="str">
        <f>+PROPER(BD[[#This Row],[PRIMER_APELLIDO]])</f>
        <v>Largaespada</v>
      </c>
    </row>
    <row r="1479" spans="1:54" x14ac:dyDescent="0.25">
      <c r="A1479" s="2">
        <v>1478</v>
      </c>
      <c r="B1479" s="2">
        <v>39105</v>
      </c>
      <c r="C1479" s="5" t="s">
        <v>619</v>
      </c>
      <c r="D1479" s="2" t="s">
        <v>620</v>
      </c>
      <c r="E1479" s="6" t="s">
        <v>9014</v>
      </c>
      <c r="F1479" s="6">
        <v>23144354</v>
      </c>
      <c r="G1479" s="3">
        <v>42</v>
      </c>
      <c r="I1479" s="7"/>
      <c r="J1479" s="7"/>
      <c r="K1479" s="8">
        <v>42.473972602739728</v>
      </c>
      <c r="L1479" s="2" t="s">
        <v>2164</v>
      </c>
      <c r="M1479" s="2" t="s">
        <v>9015</v>
      </c>
      <c r="N1479" s="2" t="s">
        <v>70</v>
      </c>
      <c r="O1479" s="2" t="s">
        <v>274</v>
      </c>
      <c r="P1479" s="2" t="s">
        <v>626</v>
      </c>
      <c r="Q1479" s="2" t="s">
        <v>351</v>
      </c>
      <c r="R1479" s="9">
        <v>29293</v>
      </c>
      <c r="S1479" s="9">
        <v>29293</v>
      </c>
      <c r="T1479" s="2" t="s">
        <v>732</v>
      </c>
      <c r="U1479" s="2" t="s">
        <v>732</v>
      </c>
      <c r="V1479" s="2" t="s">
        <v>732</v>
      </c>
      <c r="W1479" s="2" t="s">
        <v>732</v>
      </c>
      <c r="X1479" s="2" t="s">
        <v>9016</v>
      </c>
      <c r="Y1479" s="2" t="s">
        <v>9017</v>
      </c>
      <c r="Z1479" s="6"/>
      <c r="AA1479" s="2">
        <v>88090825</v>
      </c>
      <c r="AB1479" s="2" t="s">
        <v>642</v>
      </c>
      <c r="AC1479" s="2" t="s">
        <v>632</v>
      </c>
      <c r="AD1479" s="10"/>
      <c r="AE1479" s="11"/>
      <c r="AF1479" s="11">
        <v>88090825</v>
      </c>
      <c r="AG1479" s="11"/>
      <c r="AH1479" s="11"/>
      <c r="AI1479" s="11"/>
      <c r="AJ1479" s="11">
        <v>88090825</v>
      </c>
      <c r="AK1479" s="12">
        <v>1</v>
      </c>
      <c r="AL1479" s="12" t="s">
        <v>7377</v>
      </c>
      <c r="AM1479" s="2">
        <v>0</v>
      </c>
      <c r="AN1479" s="2">
        <v>0</v>
      </c>
      <c r="AO1479" s="2">
        <v>0</v>
      </c>
      <c r="AP1479" s="2">
        <v>1</v>
      </c>
      <c r="AQ1479" s="2">
        <v>0</v>
      </c>
      <c r="AR1479" s="2">
        <v>0</v>
      </c>
      <c r="AS1479" s="2">
        <v>0</v>
      </c>
      <c r="AT1479" s="2">
        <v>0</v>
      </c>
      <c r="BB1479" s="2" t="str">
        <f>+PROPER(BD[[#This Row],[PRIMER_APELLIDO]])</f>
        <v>Galeano</v>
      </c>
    </row>
    <row r="1480" spans="1:54" x14ac:dyDescent="0.25">
      <c r="A1480" s="2">
        <v>1479</v>
      </c>
      <c r="B1480" s="2">
        <v>23869</v>
      </c>
      <c r="C1480" s="5" t="s">
        <v>619</v>
      </c>
      <c r="D1480" s="2" t="s">
        <v>620</v>
      </c>
      <c r="E1480" s="6" t="s">
        <v>9018</v>
      </c>
      <c r="F1480" s="6">
        <v>19567947</v>
      </c>
      <c r="G1480" s="3">
        <v>42</v>
      </c>
      <c r="I1480" s="7"/>
      <c r="J1480" s="7"/>
      <c r="K1480" s="8">
        <v>42.490410958904107</v>
      </c>
      <c r="L1480" s="2" t="s">
        <v>8309</v>
      </c>
      <c r="M1480" s="2" t="s">
        <v>904</v>
      </c>
      <c r="N1480" s="2" t="s">
        <v>344</v>
      </c>
      <c r="O1480" s="2" t="s">
        <v>44</v>
      </c>
      <c r="P1480" s="2" t="s">
        <v>649</v>
      </c>
      <c r="Q1480" s="2" t="s">
        <v>351</v>
      </c>
      <c r="R1480" s="9">
        <v>29287</v>
      </c>
      <c r="S1480" s="9">
        <v>29287</v>
      </c>
      <c r="T1480" s="2" t="s">
        <v>176</v>
      </c>
      <c r="U1480" s="2" t="s">
        <v>669</v>
      </c>
      <c r="V1480" s="2" t="s">
        <v>650</v>
      </c>
      <c r="W1480" s="2" t="s">
        <v>669</v>
      </c>
      <c r="X1480" s="2" t="s">
        <v>9019</v>
      </c>
      <c r="Y1480" s="2" t="s">
        <v>9020</v>
      </c>
      <c r="Z1480" s="6">
        <v>86552706</v>
      </c>
      <c r="AA1480" s="2" t="s">
        <v>9021</v>
      </c>
      <c r="AB1480" s="2" t="s">
        <v>654</v>
      </c>
      <c r="AC1480" s="2" t="s">
        <v>632</v>
      </c>
      <c r="AD1480" s="10">
        <v>86552706</v>
      </c>
      <c r="AE1480" s="11"/>
      <c r="AF1480" s="11"/>
      <c r="AG1480" s="11">
        <v>86552706</v>
      </c>
      <c r="AH1480" s="11"/>
      <c r="AI1480" s="11"/>
      <c r="AJ1480" s="11">
        <v>86552706</v>
      </c>
      <c r="AK1480" s="12">
        <v>3</v>
      </c>
      <c r="AL1480" s="12" t="s">
        <v>7377</v>
      </c>
      <c r="AM1480" s="2">
        <v>0</v>
      </c>
      <c r="AN1480" s="2">
        <v>0</v>
      </c>
      <c r="AO1480" s="2">
        <v>0</v>
      </c>
      <c r="AP1480" s="2">
        <v>1</v>
      </c>
      <c r="AQ1480" s="2">
        <v>0</v>
      </c>
      <c r="AR1480" s="2">
        <v>0</v>
      </c>
      <c r="AS1480" s="2">
        <v>0</v>
      </c>
      <c r="AT1480" s="2">
        <v>0</v>
      </c>
      <c r="AZ1480" s="2" t="s">
        <v>9022</v>
      </c>
      <c r="BB1480" s="2" t="str">
        <f>+PROPER(BD[[#This Row],[PRIMER_APELLIDO]])</f>
        <v>Juarez</v>
      </c>
    </row>
    <row r="1481" spans="1:54" x14ac:dyDescent="0.25">
      <c r="A1481" s="2">
        <v>1480</v>
      </c>
      <c r="B1481" s="2">
        <v>62275</v>
      </c>
      <c r="C1481" s="5" t="s">
        <v>619</v>
      </c>
      <c r="D1481" s="2" t="s">
        <v>620</v>
      </c>
      <c r="E1481" s="6">
        <v>311020170192</v>
      </c>
      <c r="F1481" s="6"/>
      <c r="G1481" s="3">
        <v>42</v>
      </c>
      <c r="I1481" s="7"/>
      <c r="J1481" s="7"/>
      <c r="K1481" s="8">
        <v>42.4986301369863</v>
      </c>
      <c r="L1481" s="2" t="s">
        <v>704</v>
      </c>
      <c r="N1481" s="2" t="s">
        <v>535</v>
      </c>
      <c r="O1481" s="2" t="s">
        <v>38</v>
      </c>
      <c r="P1481" s="2" t="s">
        <v>626</v>
      </c>
      <c r="Q1481" s="2" t="s">
        <v>9023</v>
      </c>
      <c r="R1481" s="9">
        <v>29284</v>
      </c>
      <c r="T1481" s="2" t="s">
        <v>627</v>
      </c>
      <c r="V1481" s="2" t="s">
        <v>627</v>
      </c>
      <c r="X1481" s="2" t="s">
        <v>9024</v>
      </c>
      <c r="Z1481" s="6">
        <v>78707357</v>
      </c>
      <c r="AB1481" s="2" t="s">
        <v>4921</v>
      </c>
      <c r="AC1481" s="2" t="s">
        <v>632</v>
      </c>
      <c r="AD1481" s="10">
        <v>78707357</v>
      </c>
      <c r="AE1481" s="11"/>
      <c r="AF1481" s="11"/>
      <c r="AG1481" s="11"/>
      <c r="AH1481" s="11"/>
      <c r="AI1481" s="11"/>
      <c r="AJ1481" s="11">
        <v>78707357</v>
      </c>
      <c r="AK1481" s="12">
        <v>1</v>
      </c>
      <c r="AL1481" s="12" t="s">
        <v>7377</v>
      </c>
      <c r="AM1481" s="2">
        <v>0</v>
      </c>
      <c r="AN1481" s="2">
        <v>0</v>
      </c>
      <c r="AO1481" s="2">
        <v>0</v>
      </c>
      <c r="AP1481" s="2">
        <v>1</v>
      </c>
      <c r="AQ1481" s="2">
        <v>0</v>
      </c>
      <c r="AR1481" s="2">
        <v>0</v>
      </c>
      <c r="AS1481" s="2">
        <v>0</v>
      </c>
      <c r="AT1481" s="2">
        <v>0</v>
      </c>
      <c r="AZ1481" s="2" t="s">
        <v>9025</v>
      </c>
      <c r="BB1481" s="2" t="str">
        <f>+PROPER(BD[[#This Row],[PRIMER_APELLIDO]])</f>
        <v>Arrue</v>
      </c>
    </row>
    <row r="1482" spans="1:54" x14ac:dyDescent="0.25">
      <c r="A1482" s="2">
        <v>1481</v>
      </c>
      <c r="B1482" s="2">
        <v>18361</v>
      </c>
      <c r="C1482" s="5" t="s">
        <v>619</v>
      </c>
      <c r="D1482" s="2" t="s">
        <v>620</v>
      </c>
      <c r="E1482" s="6" t="s">
        <v>9026</v>
      </c>
      <c r="F1482" s="6">
        <v>16381795</v>
      </c>
      <c r="G1482" s="3">
        <v>42</v>
      </c>
      <c r="I1482" s="7"/>
      <c r="J1482" s="7"/>
      <c r="K1482" s="8">
        <v>42.5013698630137</v>
      </c>
      <c r="L1482" s="2" t="s">
        <v>1961</v>
      </c>
      <c r="M1482" s="2" t="s">
        <v>961</v>
      </c>
      <c r="N1482" s="2" t="s">
        <v>102</v>
      </c>
      <c r="O1482" s="2" t="s">
        <v>517</v>
      </c>
      <c r="P1482" s="2" t="s">
        <v>626</v>
      </c>
      <c r="Q1482" s="2" t="s">
        <v>351</v>
      </c>
      <c r="R1482" s="9">
        <v>29283</v>
      </c>
      <c r="S1482" s="9">
        <v>29283</v>
      </c>
      <c r="U1482" s="2" t="s">
        <v>176</v>
      </c>
      <c r="W1482" s="2" t="s">
        <v>176</v>
      </c>
      <c r="X1482" s="2" t="s">
        <v>9027</v>
      </c>
      <c r="Y1482" s="2" t="s">
        <v>9028</v>
      </c>
      <c r="Z1482" s="6"/>
      <c r="AA1482" s="2">
        <v>75499011</v>
      </c>
      <c r="AB1482" s="2" t="s">
        <v>654</v>
      </c>
      <c r="AC1482" s="2" t="s">
        <v>632</v>
      </c>
      <c r="AD1482" s="10"/>
      <c r="AE1482" s="11"/>
      <c r="AF1482" s="11">
        <v>75499011</v>
      </c>
      <c r="AG1482" s="11"/>
      <c r="AH1482" s="11"/>
      <c r="AI1482" s="11"/>
      <c r="AJ1482" s="11">
        <v>75499011</v>
      </c>
      <c r="AK1482" s="12">
        <v>1</v>
      </c>
      <c r="AL1482" s="12" t="s">
        <v>7377</v>
      </c>
      <c r="AM1482" s="2">
        <v>0</v>
      </c>
      <c r="AN1482" s="2">
        <v>0</v>
      </c>
      <c r="AO1482" s="2">
        <v>0</v>
      </c>
      <c r="AP1482" s="2">
        <v>1</v>
      </c>
      <c r="AQ1482" s="2">
        <v>0</v>
      </c>
      <c r="AR1482" s="2">
        <v>0</v>
      </c>
      <c r="AS1482" s="2">
        <v>0</v>
      </c>
      <c r="AT1482" s="2">
        <v>0</v>
      </c>
      <c r="BA1482" s="2" t="s">
        <v>9029</v>
      </c>
      <c r="BB1482" s="2" t="str">
        <f>+PROPER(BD[[#This Row],[PRIMER_APELLIDO]])</f>
        <v>Vallejos</v>
      </c>
    </row>
    <row r="1483" spans="1:54" x14ac:dyDescent="0.25">
      <c r="A1483" s="2">
        <v>1482</v>
      </c>
      <c r="B1483" s="2">
        <v>33694</v>
      </c>
      <c r="C1483" s="5" t="s">
        <v>619</v>
      </c>
      <c r="D1483" s="2" t="s">
        <v>620</v>
      </c>
      <c r="E1483" s="6" t="s">
        <v>9030</v>
      </c>
      <c r="F1483" s="6">
        <v>21663895</v>
      </c>
      <c r="G1483" s="3">
        <v>42</v>
      </c>
      <c r="I1483" s="7"/>
      <c r="J1483" s="7"/>
      <c r="K1483" s="8">
        <v>42.5013698630137</v>
      </c>
      <c r="L1483" s="2" t="s">
        <v>9031</v>
      </c>
      <c r="M1483" s="2" t="s">
        <v>243</v>
      </c>
      <c r="N1483" s="2" t="s">
        <v>74</v>
      </c>
      <c r="O1483" s="2" t="s">
        <v>9032</v>
      </c>
      <c r="P1483" s="2" t="s">
        <v>649</v>
      </c>
      <c r="Q1483" s="2" t="s">
        <v>351</v>
      </c>
      <c r="R1483" s="9">
        <v>29283</v>
      </c>
      <c r="S1483" s="9">
        <v>29283</v>
      </c>
      <c r="T1483" s="2" t="s">
        <v>929</v>
      </c>
      <c r="U1483" s="2" t="s">
        <v>929</v>
      </c>
      <c r="V1483" s="2" t="s">
        <v>3994</v>
      </c>
      <c r="W1483" s="2" t="s">
        <v>1360</v>
      </c>
      <c r="X1483" s="2" t="s">
        <v>9033</v>
      </c>
      <c r="Y1483" s="2" t="s">
        <v>9034</v>
      </c>
      <c r="Z1483" s="6">
        <v>83336475</v>
      </c>
      <c r="AA1483" s="2">
        <v>83336475</v>
      </c>
      <c r="AB1483" s="2" t="s">
        <v>654</v>
      </c>
      <c r="AC1483" s="2" t="s">
        <v>632</v>
      </c>
      <c r="AD1483" s="10">
        <v>83336475</v>
      </c>
      <c r="AE1483" s="11"/>
      <c r="AF1483" s="11">
        <v>83336475</v>
      </c>
      <c r="AG1483" s="11"/>
      <c r="AH1483" s="11"/>
      <c r="AI1483" s="11"/>
      <c r="AJ1483" s="11">
        <v>83336475</v>
      </c>
      <c r="AK1483" s="12">
        <v>2</v>
      </c>
      <c r="AL1483" s="12" t="s">
        <v>7377</v>
      </c>
      <c r="AM1483" s="2">
        <v>0</v>
      </c>
      <c r="AN1483" s="2">
        <v>0</v>
      </c>
      <c r="AO1483" s="2">
        <v>0</v>
      </c>
      <c r="AP1483" s="2">
        <v>1</v>
      </c>
      <c r="AQ1483" s="2">
        <v>0</v>
      </c>
      <c r="AR1483" s="2">
        <v>0</v>
      </c>
      <c r="AS1483" s="2">
        <v>0</v>
      </c>
      <c r="AT1483" s="2">
        <v>0</v>
      </c>
      <c r="AZ1483" s="2" t="s">
        <v>9035</v>
      </c>
      <c r="BB1483" s="2" t="str">
        <f>+PROPER(BD[[#This Row],[PRIMER_APELLIDO]])</f>
        <v>Reyes</v>
      </c>
    </row>
    <row r="1484" spans="1:54" x14ac:dyDescent="0.25">
      <c r="A1484" s="2">
        <v>1483</v>
      </c>
      <c r="B1484" s="2">
        <v>19519</v>
      </c>
      <c r="C1484" s="5" t="s">
        <v>619</v>
      </c>
      <c r="D1484" s="2" t="s">
        <v>620</v>
      </c>
      <c r="E1484" s="6" t="s">
        <v>9036</v>
      </c>
      <c r="F1484" s="6">
        <v>19229340</v>
      </c>
      <c r="G1484" s="3">
        <v>42</v>
      </c>
      <c r="I1484" s="7"/>
      <c r="J1484" s="7"/>
      <c r="K1484" s="8">
        <v>42.517808219178079</v>
      </c>
      <c r="L1484" s="2" t="s">
        <v>9037</v>
      </c>
      <c r="M1484" s="2" t="s">
        <v>9038</v>
      </c>
      <c r="N1484" s="2" t="s">
        <v>536</v>
      </c>
      <c r="O1484" s="2" t="s">
        <v>9039</v>
      </c>
      <c r="P1484" s="2" t="s">
        <v>626</v>
      </c>
      <c r="Q1484" s="2" t="s">
        <v>351</v>
      </c>
      <c r="R1484" s="9">
        <v>29277</v>
      </c>
      <c r="S1484" s="9">
        <v>29277</v>
      </c>
      <c r="T1484" s="2" t="s">
        <v>780</v>
      </c>
      <c r="U1484" s="2" t="s">
        <v>780</v>
      </c>
      <c r="V1484" s="2" t="s">
        <v>781</v>
      </c>
      <c r="W1484" s="2" t="s">
        <v>781</v>
      </c>
      <c r="X1484" s="2" t="s">
        <v>9040</v>
      </c>
      <c r="Y1484" s="2" t="s">
        <v>9041</v>
      </c>
      <c r="Z1484" s="6"/>
      <c r="AA1484" s="2" t="s">
        <v>9042</v>
      </c>
      <c r="AB1484" s="2" t="s">
        <v>654</v>
      </c>
      <c r="AC1484" s="2" t="s">
        <v>632</v>
      </c>
      <c r="AD1484" s="10"/>
      <c r="AE1484" s="11"/>
      <c r="AF1484" s="11"/>
      <c r="AG1484" s="11">
        <v>88541234</v>
      </c>
      <c r="AH1484" s="11">
        <v>85110363</v>
      </c>
      <c r="AI1484" s="11"/>
      <c r="AJ1484" s="11">
        <v>88541234</v>
      </c>
      <c r="AK1484" s="12">
        <v>3</v>
      </c>
      <c r="AL1484" s="12" t="s">
        <v>7377</v>
      </c>
      <c r="AM1484" s="2">
        <v>0</v>
      </c>
      <c r="AN1484" s="2">
        <v>0</v>
      </c>
      <c r="AO1484" s="2">
        <v>0</v>
      </c>
      <c r="AP1484" s="2">
        <v>1</v>
      </c>
      <c r="AQ1484" s="2">
        <v>0</v>
      </c>
      <c r="AR1484" s="2">
        <v>0</v>
      </c>
      <c r="AS1484" s="2">
        <v>0</v>
      </c>
      <c r="AT1484" s="2">
        <v>0</v>
      </c>
      <c r="BB1484" s="2" t="str">
        <f>+PROPER(BD[[#This Row],[PRIMER_APELLIDO]])</f>
        <v>Bacon</v>
      </c>
    </row>
    <row r="1485" spans="1:54" x14ac:dyDescent="0.25">
      <c r="A1485" s="2">
        <v>1484</v>
      </c>
      <c r="B1485" s="2">
        <v>18398</v>
      </c>
      <c r="C1485" s="5" t="s">
        <v>619</v>
      </c>
      <c r="D1485" s="2" t="s">
        <v>620</v>
      </c>
      <c r="E1485" s="6" t="s">
        <v>9043</v>
      </c>
      <c r="F1485" s="6">
        <v>16380992</v>
      </c>
      <c r="G1485" s="3">
        <v>42</v>
      </c>
      <c r="I1485" s="7"/>
      <c r="J1485" s="7"/>
      <c r="K1485" s="8">
        <v>42.531506849315072</v>
      </c>
      <c r="L1485" s="2" t="s">
        <v>724</v>
      </c>
      <c r="M1485" s="2" t="s">
        <v>2707</v>
      </c>
      <c r="N1485" s="2" t="s">
        <v>456</v>
      </c>
      <c r="O1485" s="2" t="s">
        <v>114</v>
      </c>
      <c r="P1485" s="2" t="s">
        <v>626</v>
      </c>
      <c r="Q1485" s="2" t="s">
        <v>351</v>
      </c>
      <c r="R1485" s="9">
        <v>29272</v>
      </c>
      <c r="S1485" s="9">
        <v>29272</v>
      </c>
      <c r="T1485" s="2" t="s">
        <v>705</v>
      </c>
      <c r="U1485" s="2" t="s">
        <v>705</v>
      </c>
      <c r="V1485" s="2" t="s">
        <v>725</v>
      </c>
      <c r="W1485" s="2" t="s">
        <v>725</v>
      </c>
      <c r="X1485" s="2" t="s">
        <v>9044</v>
      </c>
      <c r="Y1485" s="2" t="s">
        <v>9045</v>
      </c>
      <c r="Z1485" s="6">
        <v>82735977</v>
      </c>
      <c r="AA1485" s="2">
        <v>82735977</v>
      </c>
      <c r="AB1485" s="2" t="s">
        <v>642</v>
      </c>
      <c r="AC1485" s="2" t="s">
        <v>632</v>
      </c>
      <c r="AD1485" s="10">
        <v>82735977</v>
      </c>
      <c r="AE1485" s="11"/>
      <c r="AF1485" s="11">
        <v>82735977</v>
      </c>
      <c r="AG1485" s="11"/>
      <c r="AH1485" s="11"/>
      <c r="AI1485" s="11"/>
      <c r="AJ1485" s="11">
        <v>82735977</v>
      </c>
      <c r="AK1485" s="12">
        <v>2</v>
      </c>
      <c r="AL1485" s="12" t="s">
        <v>7377</v>
      </c>
      <c r="AM1485" s="2">
        <v>0</v>
      </c>
      <c r="AN1485" s="2">
        <v>0</v>
      </c>
      <c r="AO1485" s="2">
        <v>0</v>
      </c>
      <c r="AP1485" s="2">
        <v>1</v>
      </c>
      <c r="AQ1485" s="2">
        <v>0</v>
      </c>
      <c r="AR1485" s="2">
        <v>0</v>
      </c>
      <c r="AS1485" s="2">
        <v>0</v>
      </c>
      <c r="AT1485" s="2">
        <v>0</v>
      </c>
      <c r="BB1485" s="2" t="str">
        <f>+PROPER(BD[[#This Row],[PRIMER_APELLIDO]])</f>
        <v>Alvarez</v>
      </c>
    </row>
    <row r="1486" spans="1:54" x14ac:dyDescent="0.25">
      <c r="A1486" s="2">
        <v>1485</v>
      </c>
      <c r="B1486" s="2">
        <v>25448</v>
      </c>
      <c r="C1486" s="5" t="s">
        <v>619</v>
      </c>
      <c r="D1486" s="2" t="s">
        <v>620</v>
      </c>
      <c r="E1486" s="6" t="s">
        <v>9046</v>
      </c>
      <c r="F1486" s="6">
        <v>21102998</v>
      </c>
      <c r="G1486" s="3">
        <v>42</v>
      </c>
      <c r="I1486" s="7"/>
      <c r="J1486" s="7"/>
      <c r="K1486" s="8">
        <v>42.545205479452058</v>
      </c>
      <c r="L1486" s="2" t="s">
        <v>9047</v>
      </c>
      <c r="M1486" s="2" t="s">
        <v>8115</v>
      </c>
      <c r="N1486" s="2" t="s">
        <v>72</v>
      </c>
      <c r="O1486" s="2" t="s">
        <v>9</v>
      </c>
      <c r="P1486" s="2" t="s">
        <v>626</v>
      </c>
      <c r="Q1486" s="2" t="s">
        <v>351</v>
      </c>
      <c r="R1486" s="9">
        <v>29267</v>
      </c>
      <c r="S1486" s="9">
        <v>29267</v>
      </c>
      <c r="T1486" s="2" t="s">
        <v>1044</v>
      </c>
      <c r="U1486" s="2" t="s">
        <v>1044</v>
      </c>
      <c r="V1486" s="2" t="s">
        <v>1838</v>
      </c>
      <c r="W1486" s="2" t="s">
        <v>1838</v>
      </c>
      <c r="X1486" s="2" t="s">
        <v>9048</v>
      </c>
      <c r="Y1486" s="2" t="s">
        <v>9049</v>
      </c>
      <c r="Z1486" s="6">
        <v>84395072</v>
      </c>
      <c r="AB1486" s="2" t="s">
        <v>642</v>
      </c>
      <c r="AC1486" s="2" t="s">
        <v>632</v>
      </c>
      <c r="AD1486" s="10">
        <v>84395072</v>
      </c>
      <c r="AE1486" s="11"/>
      <c r="AF1486" s="11"/>
      <c r="AG1486" s="11"/>
      <c r="AH1486" s="11"/>
      <c r="AI1486" s="11"/>
      <c r="AJ1486" s="11">
        <v>84395072</v>
      </c>
      <c r="AK1486" s="12">
        <v>1</v>
      </c>
      <c r="AL1486" s="12" t="s">
        <v>7377</v>
      </c>
      <c r="AM1486" s="2">
        <v>0</v>
      </c>
      <c r="AN1486" s="2">
        <v>0</v>
      </c>
      <c r="AO1486" s="2">
        <v>0</v>
      </c>
      <c r="AP1486" s="2">
        <v>1</v>
      </c>
      <c r="AQ1486" s="2">
        <v>0</v>
      </c>
      <c r="AR1486" s="2">
        <v>0</v>
      </c>
      <c r="AS1486" s="2">
        <v>0</v>
      </c>
      <c r="AT1486" s="2">
        <v>0</v>
      </c>
      <c r="AZ1486" s="2" t="s">
        <v>9050</v>
      </c>
      <c r="BB1486" s="2" t="str">
        <f>+PROPER(BD[[#This Row],[PRIMER_APELLIDO]])</f>
        <v>Zelaya</v>
      </c>
    </row>
    <row r="1487" spans="1:54" x14ac:dyDescent="0.25">
      <c r="A1487" s="2">
        <v>1486</v>
      </c>
      <c r="B1487" s="2">
        <v>26673</v>
      </c>
      <c r="C1487" s="5" t="s">
        <v>619</v>
      </c>
      <c r="D1487" s="2" t="s">
        <v>620</v>
      </c>
      <c r="E1487" s="6" t="s">
        <v>9051</v>
      </c>
      <c r="F1487" s="6">
        <v>21815386</v>
      </c>
      <c r="G1487" s="3">
        <v>42</v>
      </c>
      <c r="I1487" s="7"/>
      <c r="J1487" s="7"/>
      <c r="K1487" s="8">
        <v>42.547945205479451</v>
      </c>
      <c r="L1487" s="2" t="s">
        <v>1490</v>
      </c>
      <c r="M1487" s="2" t="s">
        <v>9052</v>
      </c>
      <c r="N1487" s="2" t="s">
        <v>10</v>
      </c>
      <c r="O1487" s="2" t="s">
        <v>2189</v>
      </c>
      <c r="P1487" s="2" t="s">
        <v>626</v>
      </c>
      <c r="Q1487" s="2" t="s">
        <v>351</v>
      </c>
      <c r="R1487" s="9">
        <v>29266</v>
      </c>
      <c r="S1487" s="9">
        <v>29266</v>
      </c>
      <c r="U1487" s="2" t="s">
        <v>627</v>
      </c>
      <c r="W1487" s="2" t="s">
        <v>627</v>
      </c>
      <c r="X1487" s="2" t="s">
        <v>9053</v>
      </c>
      <c r="Y1487" s="2" t="s">
        <v>9054</v>
      </c>
      <c r="Z1487" s="6"/>
      <c r="AA1487" s="2" t="s">
        <v>9055</v>
      </c>
      <c r="AB1487" s="2" t="s">
        <v>631</v>
      </c>
      <c r="AC1487" s="2" t="s">
        <v>632</v>
      </c>
      <c r="AD1487" s="10"/>
      <c r="AE1487" s="11"/>
      <c r="AF1487" s="11">
        <v>78217979</v>
      </c>
      <c r="AG1487" s="11">
        <v>84071091</v>
      </c>
      <c r="AH1487" s="11"/>
      <c r="AI1487" s="11"/>
      <c r="AJ1487" s="11">
        <v>78217979</v>
      </c>
      <c r="AK1487" s="12">
        <v>2</v>
      </c>
      <c r="AL1487" s="12" t="s">
        <v>7377</v>
      </c>
      <c r="AM1487" s="2">
        <v>0</v>
      </c>
      <c r="AN1487" s="2">
        <v>0</v>
      </c>
      <c r="AO1487" s="2">
        <v>0</v>
      </c>
      <c r="AP1487" s="2">
        <v>1</v>
      </c>
      <c r="AQ1487" s="2">
        <v>0</v>
      </c>
      <c r="AR1487" s="2">
        <v>0</v>
      </c>
      <c r="AS1487" s="2">
        <v>0</v>
      </c>
      <c r="AT1487" s="2">
        <v>0</v>
      </c>
      <c r="BB1487" s="2" t="str">
        <f>+PROPER(BD[[#This Row],[PRIMER_APELLIDO]])</f>
        <v>Garcia</v>
      </c>
    </row>
    <row r="1488" spans="1:54" x14ac:dyDescent="0.25">
      <c r="A1488" s="2">
        <v>1487</v>
      </c>
      <c r="B1488" s="2">
        <v>19132</v>
      </c>
      <c r="C1488" s="5" t="s">
        <v>619</v>
      </c>
      <c r="D1488" s="2" t="s">
        <v>620</v>
      </c>
      <c r="E1488" s="6" t="s">
        <v>9056</v>
      </c>
      <c r="F1488" s="6">
        <v>17136518</v>
      </c>
      <c r="G1488" s="3">
        <v>42</v>
      </c>
      <c r="I1488" s="7"/>
      <c r="J1488" s="7"/>
      <c r="K1488" s="8">
        <v>42.556164383561644</v>
      </c>
      <c r="L1488" s="2" t="s">
        <v>1091</v>
      </c>
      <c r="M1488" s="2" t="s">
        <v>9057</v>
      </c>
      <c r="N1488" s="2" t="s">
        <v>179</v>
      </c>
      <c r="O1488" s="2" t="s">
        <v>556</v>
      </c>
      <c r="P1488" s="2" t="s">
        <v>626</v>
      </c>
      <c r="Q1488" s="2" t="s">
        <v>351</v>
      </c>
      <c r="R1488" s="9">
        <v>29263</v>
      </c>
      <c r="S1488" s="9">
        <v>29263</v>
      </c>
      <c r="U1488" s="2" t="s">
        <v>627</v>
      </c>
      <c r="W1488" s="2" t="s">
        <v>627</v>
      </c>
      <c r="X1488" s="2" t="s">
        <v>9058</v>
      </c>
      <c r="Y1488" s="2" t="s">
        <v>9059</v>
      </c>
      <c r="Z1488" s="6"/>
      <c r="AA1488" s="2" t="s">
        <v>9060</v>
      </c>
      <c r="AB1488" s="2" t="s">
        <v>654</v>
      </c>
      <c r="AC1488" s="2" t="s">
        <v>632</v>
      </c>
      <c r="AD1488" s="10"/>
      <c r="AE1488" s="11"/>
      <c r="AF1488" s="11"/>
      <c r="AG1488" s="11"/>
      <c r="AH1488" s="11">
        <v>88772117</v>
      </c>
      <c r="AI1488" s="11"/>
      <c r="AJ1488" s="11"/>
      <c r="AK1488" s="12">
        <v>3</v>
      </c>
      <c r="AL1488" s="12" t="s">
        <v>7377</v>
      </c>
      <c r="AM1488" s="2">
        <v>0</v>
      </c>
      <c r="AN1488" s="2">
        <v>0</v>
      </c>
      <c r="AO1488" s="2">
        <v>0</v>
      </c>
      <c r="AP1488" s="2">
        <v>1</v>
      </c>
      <c r="AQ1488" s="2">
        <v>0</v>
      </c>
      <c r="AR1488" s="2">
        <v>0</v>
      </c>
      <c r="AS1488" s="2">
        <v>0</v>
      </c>
      <c r="AT1488" s="2">
        <v>0</v>
      </c>
      <c r="BB1488" s="2" t="str">
        <f>+PROPER(BD[[#This Row],[PRIMER_APELLIDO]])</f>
        <v>Herrera</v>
      </c>
    </row>
    <row r="1489" spans="1:54" x14ac:dyDescent="0.25">
      <c r="A1489" s="2">
        <v>1488</v>
      </c>
      <c r="B1489" s="2">
        <v>27648</v>
      </c>
      <c r="C1489" s="5" t="s">
        <v>619</v>
      </c>
      <c r="D1489" s="2" t="s">
        <v>620</v>
      </c>
      <c r="E1489" s="6" t="s">
        <v>9061</v>
      </c>
      <c r="F1489" s="6"/>
      <c r="G1489" s="3">
        <v>42</v>
      </c>
      <c r="I1489" s="7"/>
      <c r="J1489" s="7"/>
      <c r="K1489" s="8">
        <v>42.556164383561644</v>
      </c>
      <c r="L1489" s="2" t="s">
        <v>6370</v>
      </c>
      <c r="M1489" s="2" t="s">
        <v>9062</v>
      </c>
      <c r="N1489" s="2" t="s">
        <v>85</v>
      </c>
      <c r="O1489" s="2" t="s">
        <v>11</v>
      </c>
      <c r="P1489" s="2" t="s">
        <v>626</v>
      </c>
      <c r="Q1489" s="2" t="s">
        <v>351</v>
      </c>
      <c r="R1489" s="9">
        <v>29263</v>
      </c>
      <c r="S1489" s="9">
        <v>29263</v>
      </c>
      <c r="T1489" s="2" t="s">
        <v>691</v>
      </c>
      <c r="U1489" s="2" t="s">
        <v>691</v>
      </c>
      <c r="V1489" s="2" t="s">
        <v>716</v>
      </c>
      <c r="W1489" s="2" t="s">
        <v>691</v>
      </c>
      <c r="X1489" s="2" t="s">
        <v>9063</v>
      </c>
      <c r="Y1489" s="2" t="s">
        <v>9064</v>
      </c>
      <c r="Z1489" s="6">
        <v>88366752</v>
      </c>
      <c r="AA1489" s="2">
        <v>27790548</v>
      </c>
      <c r="AB1489" s="2" t="s">
        <v>654</v>
      </c>
      <c r="AC1489" s="2" t="s">
        <v>632</v>
      </c>
      <c r="AD1489" s="10">
        <v>88366752</v>
      </c>
      <c r="AE1489" s="11"/>
      <c r="AF1489" s="11"/>
      <c r="AG1489" s="11"/>
      <c r="AH1489" s="11"/>
      <c r="AI1489" s="11"/>
      <c r="AJ1489" s="11">
        <v>88366752</v>
      </c>
      <c r="AK1489" s="12">
        <v>2</v>
      </c>
      <c r="AL1489" s="12" t="s">
        <v>7377</v>
      </c>
      <c r="AM1489" s="2">
        <v>0</v>
      </c>
      <c r="AN1489" s="2">
        <v>0</v>
      </c>
      <c r="AO1489" s="2">
        <v>0</v>
      </c>
      <c r="AP1489" s="2">
        <v>1</v>
      </c>
      <c r="AQ1489" s="2">
        <v>0</v>
      </c>
      <c r="AR1489" s="2">
        <v>0</v>
      </c>
      <c r="AS1489" s="2">
        <v>0</v>
      </c>
      <c r="AT1489" s="2">
        <v>0</v>
      </c>
      <c r="AZ1489" s="2" t="s">
        <v>9065</v>
      </c>
      <c r="BB1489" s="2" t="str">
        <f>+PROPER(BD[[#This Row],[PRIMER_APELLIDO]])</f>
        <v>Jarquin</v>
      </c>
    </row>
    <row r="1490" spans="1:54" x14ac:dyDescent="0.25">
      <c r="A1490" s="2">
        <v>1489</v>
      </c>
      <c r="B1490" s="2">
        <v>29921</v>
      </c>
      <c r="C1490" s="5" t="s">
        <v>619</v>
      </c>
      <c r="D1490" s="2" t="s">
        <v>620</v>
      </c>
      <c r="E1490" s="6" t="s">
        <v>9066</v>
      </c>
      <c r="F1490" s="6">
        <v>21725362</v>
      </c>
      <c r="G1490" s="3">
        <v>42</v>
      </c>
      <c r="I1490" s="7"/>
      <c r="J1490" s="7"/>
      <c r="K1490" s="8">
        <v>42.558904109589044</v>
      </c>
      <c r="L1490" s="2" t="s">
        <v>1258</v>
      </c>
      <c r="M1490" s="2" t="s">
        <v>961</v>
      </c>
      <c r="N1490" s="2" t="s">
        <v>356</v>
      </c>
      <c r="O1490" s="2" t="s">
        <v>54</v>
      </c>
      <c r="P1490" s="2" t="s">
        <v>626</v>
      </c>
      <c r="Q1490" s="2" t="s">
        <v>351</v>
      </c>
      <c r="R1490" s="9">
        <v>29262</v>
      </c>
      <c r="S1490" s="9">
        <v>29262</v>
      </c>
      <c r="T1490" s="2" t="s">
        <v>732</v>
      </c>
      <c r="U1490" s="2" t="s">
        <v>659</v>
      </c>
      <c r="V1490" s="2" t="s">
        <v>732</v>
      </c>
      <c r="W1490" s="2" t="s">
        <v>659</v>
      </c>
      <c r="X1490" s="2" t="s">
        <v>9067</v>
      </c>
      <c r="Y1490" s="2" t="s">
        <v>9068</v>
      </c>
      <c r="Z1490" s="6">
        <v>82396116</v>
      </c>
      <c r="AA1490" s="2" t="s">
        <v>9069</v>
      </c>
      <c r="AB1490" s="2" t="s">
        <v>642</v>
      </c>
      <c r="AC1490" s="2" t="s">
        <v>632</v>
      </c>
      <c r="AD1490" s="10">
        <v>82396116</v>
      </c>
      <c r="AE1490" s="11"/>
      <c r="AF1490" s="11"/>
      <c r="AG1490" s="11">
        <v>82396116</v>
      </c>
      <c r="AH1490" s="11"/>
      <c r="AI1490" s="11"/>
      <c r="AJ1490" s="11">
        <v>82396116</v>
      </c>
      <c r="AK1490" s="12">
        <v>3</v>
      </c>
      <c r="AL1490" s="12" t="s">
        <v>7377</v>
      </c>
      <c r="AM1490" s="2">
        <v>0</v>
      </c>
      <c r="AN1490" s="2">
        <v>0</v>
      </c>
      <c r="AO1490" s="2">
        <v>0</v>
      </c>
      <c r="AP1490" s="2">
        <v>1</v>
      </c>
      <c r="AQ1490" s="2">
        <v>0</v>
      </c>
      <c r="AR1490" s="2">
        <v>0</v>
      </c>
      <c r="AS1490" s="2">
        <v>0</v>
      </c>
      <c r="AT1490" s="2">
        <v>0</v>
      </c>
      <c r="AZ1490" s="2" t="s">
        <v>9070</v>
      </c>
      <c r="BB1490" s="2" t="str">
        <f>+PROPER(BD[[#This Row],[PRIMER_APELLIDO]])</f>
        <v>Muñoz</v>
      </c>
    </row>
    <row r="1491" spans="1:54" x14ac:dyDescent="0.25">
      <c r="A1491" s="2">
        <v>1490</v>
      </c>
      <c r="B1491" s="2">
        <v>25813</v>
      </c>
      <c r="C1491" s="5" t="s">
        <v>619</v>
      </c>
      <c r="D1491" s="2" t="s">
        <v>620</v>
      </c>
      <c r="E1491" s="6" t="s">
        <v>9071</v>
      </c>
      <c r="F1491" s="6">
        <v>20920942</v>
      </c>
      <c r="G1491" s="3">
        <v>42</v>
      </c>
      <c r="I1491" s="7"/>
      <c r="J1491" s="7"/>
      <c r="K1491" s="8">
        <v>42.564383561643837</v>
      </c>
      <c r="L1491" s="2" t="s">
        <v>1298</v>
      </c>
      <c r="M1491" s="2" t="s">
        <v>5267</v>
      </c>
      <c r="N1491" s="2" t="s">
        <v>148</v>
      </c>
      <c r="O1491" s="2" t="s">
        <v>3782</v>
      </c>
      <c r="P1491" s="2" t="s">
        <v>649</v>
      </c>
      <c r="Q1491" s="2" t="s">
        <v>351</v>
      </c>
      <c r="R1491" s="9">
        <v>29260</v>
      </c>
      <c r="S1491" s="9">
        <v>29260</v>
      </c>
      <c r="T1491" s="2" t="s">
        <v>176</v>
      </c>
      <c r="U1491" s="2" t="s">
        <v>705</v>
      </c>
      <c r="V1491" s="2" t="s">
        <v>650</v>
      </c>
      <c r="W1491" s="2" t="s">
        <v>1014</v>
      </c>
      <c r="X1491" s="2" t="s">
        <v>9072</v>
      </c>
      <c r="Y1491" s="2" t="s">
        <v>9073</v>
      </c>
      <c r="Z1491" s="6" t="s">
        <v>9074</v>
      </c>
      <c r="AA1491" s="2" t="s">
        <v>9075</v>
      </c>
      <c r="AB1491" s="2" t="s">
        <v>654</v>
      </c>
      <c r="AC1491" s="2" t="s">
        <v>632</v>
      </c>
      <c r="AD1491" s="10">
        <v>75397043</v>
      </c>
      <c r="AE1491" s="11">
        <v>81885739</v>
      </c>
      <c r="AF1491" s="11"/>
      <c r="AG1491" s="11"/>
      <c r="AH1491" s="11"/>
      <c r="AI1491" s="11"/>
      <c r="AJ1491" s="11">
        <v>75397043</v>
      </c>
      <c r="AK1491" s="12">
        <v>4</v>
      </c>
      <c r="AL1491" s="12" t="s">
        <v>7377</v>
      </c>
      <c r="AM1491" s="2">
        <v>0</v>
      </c>
      <c r="AN1491" s="2">
        <v>0</v>
      </c>
      <c r="AO1491" s="2">
        <v>0</v>
      </c>
      <c r="AP1491" s="2">
        <v>1</v>
      </c>
      <c r="AQ1491" s="2">
        <v>0</v>
      </c>
      <c r="AR1491" s="2">
        <v>0</v>
      </c>
      <c r="AS1491" s="2">
        <v>0</v>
      </c>
      <c r="AT1491" s="2">
        <v>0</v>
      </c>
      <c r="BA1491" s="2" t="s">
        <v>9076</v>
      </c>
      <c r="BB1491" s="2" t="str">
        <f>+PROPER(BD[[#This Row],[PRIMER_APELLIDO]])</f>
        <v>Lacayo</v>
      </c>
    </row>
    <row r="1492" spans="1:54" x14ac:dyDescent="0.25">
      <c r="A1492" s="2">
        <v>1491</v>
      </c>
      <c r="B1492" s="2">
        <v>19368</v>
      </c>
      <c r="C1492" s="5" t="s">
        <v>619</v>
      </c>
      <c r="D1492" s="2" t="s">
        <v>620</v>
      </c>
      <c r="E1492" s="6" t="s">
        <v>9077</v>
      </c>
      <c r="F1492" s="6">
        <v>16937538</v>
      </c>
      <c r="G1492" s="3">
        <v>42</v>
      </c>
      <c r="I1492" s="7"/>
      <c r="J1492" s="7"/>
      <c r="K1492" s="8">
        <v>42.583561643835615</v>
      </c>
      <c r="L1492" s="2" t="s">
        <v>9078</v>
      </c>
      <c r="M1492" s="2" t="s">
        <v>4312</v>
      </c>
      <c r="N1492" s="2" t="s">
        <v>166</v>
      </c>
      <c r="O1492" s="2" t="s">
        <v>130</v>
      </c>
      <c r="P1492" s="2" t="s">
        <v>626</v>
      </c>
      <c r="Q1492" s="2" t="s">
        <v>351</v>
      </c>
      <c r="R1492" s="9">
        <v>29253</v>
      </c>
      <c r="S1492" s="9">
        <v>29253</v>
      </c>
      <c r="T1492" s="2" t="s">
        <v>705</v>
      </c>
      <c r="U1492" s="2" t="s">
        <v>705</v>
      </c>
      <c r="V1492" s="2" t="s">
        <v>725</v>
      </c>
      <c r="W1492" s="2" t="s">
        <v>725</v>
      </c>
      <c r="X1492" s="2" t="s">
        <v>9079</v>
      </c>
      <c r="Y1492" s="2" t="s">
        <v>9080</v>
      </c>
      <c r="Z1492" s="6"/>
      <c r="AA1492" s="2" t="s">
        <v>9081</v>
      </c>
      <c r="AB1492" s="2" t="s">
        <v>654</v>
      </c>
      <c r="AC1492" s="2" t="s">
        <v>632</v>
      </c>
      <c r="AD1492" s="10"/>
      <c r="AE1492" s="11"/>
      <c r="AF1492" s="11"/>
      <c r="AG1492" s="11"/>
      <c r="AH1492" s="11">
        <v>86038084</v>
      </c>
      <c r="AI1492" s="11"/>
      <c r="AJ1492" s="11"/>
      <c r="AK1492" s="12">
        <v>3</v>
      </c>
      <c r="AL1492" s="12" t="s">
        <v>7377</v>
      </c>
      <c r="AM1492" s="2">
        <v>0</v>
      </c>
      <c r="AN1492" s="2">
        <v>0</v>
      </c>
      <c r="AO1492" s="2">
        <v>0</v>
      </c>
      <c r="AP1492" s="2">
        <v>1</v>
      </c>
      <c r="AQ1492" s="2">
        <v>0</v>
      </c>
      <c r="AR1492" s="2">
        <v>0</v>
      </c>
      <c r="AS1492" s="2">
        <v>0</v>
      </c>
      <c r="AT1492" s="2">
        <v>0</v>
      </c>
      <c r="BB1492" s="2" t="str">
        <f>+PROPER(BD[[#This Row],[PRIMER_APELLIDO]])</f>
        <v>Nuñez</v>
      </c>
    </row>
    <row r="1493" spans="1:54" x14ac:dyDescent="0.25">
      <c r="A1493" s="2">
        <v>1492</v>
      </c>
      <c r="B1493" s="2">
        <v>19496</v>
      </c>
      <c r="C1493" s="5" t="s">
        <v>619</v>
      </c>
      <c r="D1493" s="2" t="s">
        <v>620</v>
      </c>
      <c r="E1493" s="6" t="s">
        <v>9082</v>
      </c>
      <c r="F1493" s="6">
        <v>16981313</v>
      </c>
      <c r="G1493" s="3">
        <v>42</v>
      </c>
      <c r="I1493" s="7"/>
      <c r="J1493" s="7"/>
      <c r="K1493" s="8">
        <v>42.597260273972601</v>
      </c>
      <c r="L1493" s="2" t="s">
        <v>9083</v>
      </c>
      <c r="M1493" s="2" t="s">
        <v>8780</v>
      </c>
      <c r="N1493" s="2" t="s">
        <v>537</v>
      </c>
      <c r="O1493" s="2" t="s">
        <v>9084</v>
      </c>
      <c r="P1493" s="2" t="s">
        <v>626</v>
      </c>
      <c r="Q1493" s="2" t="s">
        <v>351</v>
      </c>
      <c r="R1493" s="9">
        <v>29248</v>
      </c>
      <c r="S1493" s="9">
        <v>29248</v>
      </c>
      <c r="T1493" s="2" t="s">
        <v>780</v>
      </c>
      <c r="U1493" s="2" t="s">
        <v>659</v>
      </c>
      <c r="V1493" s="2" t="s">
        <v>781</v>
      </c>
      <c r="W1493" s="2" t="s">
        <v>659</v>
      </c>
      <c r="X1493" s="2" t="s">
        <v>9085</v>
      </c>
      <c r="Y1493" s="2" t="s">
        <v>9086</v>
      </c>
      <c r="Z1493" s="6">
        <v>88364932</v>
      </c>
      <c r="AA1493" s="2">
        <v>88364932</v>
      </c>
      <c r="AB1493" s="2" t="s">
        <v>642</v>
      </c>
      <c r="AC1493" s="2" t="s">
        <v>632</v>
      </c>
      <c r="AD1493" s="10">
        <v>88364932</v>
      </c>
      <c r="AE1493" s="11"/>
      <c r="AF1493" s="11">
        <v>88364932</v>
      </c>
      <c r="AG1493" s="11"/>
      <c r="AH1493" s="11"/>
      <c r="AI1493" s="11"/>
      <c r="AJ1493" s="11">
        <v>88364932</v>
      </c>
      <c r="AK1493" s="12">
        <v>2</v>
      </c>
      <c r="AL1493" s="12" t="s">
        <v>7377</v>
      </c>
      <c r="AM1493" s="2">
        <v>0</v>
      </c>
      <c r="AN1493" s="2">
        <v>0</v>
      </c>
      <c r="AO1493" s="2">
        <v>0</v>
      </c>
      <c r="AP1493" s="2">
        <v>1</v>
      </c>
      <c r="AQ1493" s="2">
        <v>0</v>
      </c>
      <c r="AR1493" s="2">
        <v>0</v>
      </c>
      <c r="AS1493" s="2">
        <v>0</v>
      </c>
      <c r="AT1493" s="2">
        <v>0</v>
      </c>
      <c r="AZ1493" s="2" t="s">
        <v>9087</v>
      </c>
      <c r="BB1493" s="2" t="str">
        <f>+PROPER(BD[[#This Row],[PRIMER_APELLIDO]])</f>
        <v>Kelly</v>
      </c>
    </row>
    <row r="1494" spans="1:54" x14ac:dyDescent="0.25">
      <c r="A1494" s="2">
        <v>1493</v>
      </c>
      <c r="B1494" s="2">
        <v>21242</v>
      </c>
      <c r="C1494" s="5" t="s">
        <v>619</v>
      </c>
      <c r="D1494" s="2" t="s">
        <v>620</v>
      </c>
      <c r="E1494" s="6" t="s">
        <v>9088</v>
      </c>
      <c r="F1494" s="6">
        <v>18234435</v>
      </c>
      <c r="G1494" s="3">
        <v>42</v>
      </c>
      <c r="I1494" s="7"/>
      <c r="J1494" s="7"/>
      <c r="K1494" s="8">
        <v>42.602739726027394</v>
      </c>
      <c r="L1494" s="2" t="s">
        <v>9089</v>
      </c>
      <c r="M1494" s="2" t="s">
        <v>1359</v>
      </c>
      <c r="N1494" s="2" t="s">
        <v>443</v>
      </c>
      <c r="O1494" s="2" t="s">
        <v>44</v>
      </c>
      <c r="P1494" s="2" t="s">
        <v>626</v>
      </c>
      <c r="Q1494" s="2" t="s">
        <v>351</v>
      </c>
      <c r="R1494" s="9">
        <v>29246</v>
      </c>
      <c r="S1494" s="9">
        <v>29246</v>
      </c>
      <c r="U1494" s="2" t="s">
        <v>705</v>
      </c>
      <c r="W1494" s="2" t="s">
        <v>705</v>
      </c>
      <c r="X1494" s="2" t="s">
        <v>9090</v>
      </c>
      <c r="Y1494" s="2" t="s">
        <v>9091</v>
      </c>
      <c r="Z1494" s="6"/>
      <c r="AA1494" s="2">
        <v>88091601</v>
      </c>
      <c r="AB1494" s="2" t="s">
        <v>642</v>
      </c>
      <c r="AC1494" s="2" t="s">
        <v>632</v>
      </c>
      <c r="AD1494" s="10"/>
      <c r="AE1494" s="11"/>
      <c r="AF1494" s="11">
        <v>88091601</v>
      </c>
      <c r="AG1494" s="11"/>
      <c r="AH1494" s="11"/>
      <c r="AI1494" s="11"/>
      <c r="AJ1494" s="11">
        <v>88091601</v>
      </c>
      <c r="AK1494" s="12">
        <v>1</v>
      </c>
      <c r="AL1494" s="12" t="s">
        <v>7377</v>
      </c>
      <c r="AM1494" s="2">
        <v>0</v>
      </c>
      <c r="AN1494" s="2">
        <v>0</v>
      </c>
      <c r="AO1494" s="2">
        <v>0</v>
      </c>
      <c r="AP1494" s="2">
        <v>1</v>
      </c>
      <c r="AQ1494" s="2">
        <v>0</v>
      </c>
      <c r="AR1494" s="2">
        <v>0</v>
      </c>
      <c r="AS1494" s="2">
        <v>0</v>
      </c>
      <c r="AT1494" s="2">
        <v>0</v>
      </c>
      <c r="BB1494" s="2" t="str">
        <f>+PROPER(BD[[#This Row],[PRIMER_APELLIDO]])</f>
        <v>Briceño</v>
      </c>
    </row>
    <row r="1495" spans="1:54" x14ac:dyDescent="0.25">
      <c r="A1495" s="2">
        <v>1494</v>
      </c>
      <c r="B1495" s="2">
        <v>45969</v>
      </c>
      <c r="C1495" s="5" t="s">
        <v>619</v>
      </c>
      <c r="D1495" s="2" t="s">
        <v>620</v>
      </c>
      <c r="E1495" s="6" t="s">
        <v>9092</v>
      </c>
      <c r="F1495" s="6">
        <v>20425250</v>
      </c>
      <c r="G1495" s="3">
        <v>42</v>
      </c>
      <c r="I1495" s="7"/>
      <c r="J1495" s="7"/>
      <c r="K1495" s="8">
        <v>42.608219178082194</v>
      </c>
      <c r="L1495" s="2" t="s">
        <v>996</v>
      </c>
      <c r="M1495" s="2" t="s">
        <v>243</v>
      </c>
      <c r="N1495" s="2" t="s">
        <v>538</v>
      </c>
      <c r="P1495" s="2" t="s">
        <v>649</v>
      </c>
      <c r="Q1495" s="2" t="s">
        <v>351</v>
      </c>
      <c r="R1495" s="9">
        <v>29244</v>
      </c>
      <c r="S1495" s="9">
        <v>29244</v>
      </c>
      <c r="T1495" s="2" t="s">
        <v>627</v>
      </c>
      <c r="U1495" s="2" t="s">
        <v>627</v>
      </c>
      <c r="V1495" s="2" t="s">
        <v>627</v>
      </c>
      <c r="W1495" s="2" t="s">
        <v>627</v>
      </c>
      <c r="Y1495" s="2" t="s">
        <v>9093</v>
      </c>
      <c r="Z1495" s="6"/>
      <c r="AA1495" s="2" t="s">
        <v>9094</v>
      </c>
      <c r="AB1495" s="2" t="s">
        <v>654</v>
      </c>
      <c r="AC1495" s="2" t="s">
        <v>632</v>
      </c>
      <c r="AD1495" s="10"/>
      <c r="AE1495" s="11"/>
      <c r="AF1495" s="11"/>
      <c r="AG1495" s="11"/>
      <c r="AH1495" s="11">
        <v>22507121</v>
      </c>
      <c r="AI1495" s="11">
        <v>84510442</v>
      </c>
      <c r="AJ1495" s="11"/>
      <c r="AK1495" s="12">
        <v>4</v>
      </c>
      <c r="AL1495" s="12" t="s">
        <v>7377</v>
      </c>
      <c r="AM1495" s="2">
        <v>0</v>
      </c>
      <c r="AN1495" s="2">
        <v>0</v>
      </c>
      <c r="AO1495" s="2">
        <v>0</v>
      </c>
      <c r="AP1495" s="2">
        <v>1</v>
      </c>
      <c r="AQ1495" s="2">
        <v>0</v>
      </c>
      <c r="AR1495" s="2">
        <v>0</v>
      </c>
      <c r="AS1495" s="2">
        <v>0</v>
      </c>
      <c r="AT1495" s="2">
        <v>0</v>
      </c>
      <c r="BB1495" s="2" t="str">
        <f>+PROPER(BD[[#This Row],[PRIMER_APELLIDO]])</f>
        <v>Isaguirre</v>
      </c>
    </row>
    <row r="1496" spans="1:54" x14ac:dyDescent="0.25">
      <c r="A1496" s="2">
        <v>1495</v>
      </c>
      <c r="B1496" s="2">
        <v>23570</v>
      </c>
      <c r="C1496" s="5" t="s">
        <v>619</v>
      </c>
      <c r="D1496" s="2" t="s">
        <v>620</v>
      </c>
      <c r="E1496" s="6" t="s">
        <v>9095</v>
      </c>
      <c r="F1496" s="6">
        <v>20200008</v>
      </c>
      <c r="G1496" s="3">
        <v>42</v>
      </c>
      <c r="I1496" s="7"/>
      <c r="J1496" s="7"/>
      <c r="K1496" s="8">
        <v>42.610958904109587</v>
      </c>
      <c r="L1496" s="2" t="s">
        <v>9096</v>
      </c>
      <c r="M1496" s="2" t="s">
        <v>904</v>
      </c>
      <c r="N1496" s="2" t="s">
        <v>319</v>
      </c>
      <c r="O1496" s="2" t="s">
        <v>9097</v>
      </c>
      <c r="P1496" s="2" t="s">
        <v>649</v>
      </c>
      <c r="Q1496" s="2" t="s">
        <v>351</v>
      </c>
      <c r="R1496" s="9">
        <v>29243</v>
      </c>
      <c r="S1496" s="9">
        <v>29243</v>
      </c>
      <c r="T1496" s="2" t="s">
        <v>740</v>
      </c>
      <c r="U1496" s="2" t="s">
        <v>740</v>
      </c>
      <c r="V1496" s="2" t="s">
        <v>740</v>
      </c>
      <c r="W1496" s="2" t="s">
        <v>740</v>
      </c>
      <c r="X1496" s="2" t="s">
        <v>9098</v>
      </c>
      <c r="Y1496" s="2" t="s">
        <v>9099</v>
      </c>
      <c r="Z1496" s="6">
        <v>83808199</v>
      </c>
      <c r="AB1496" s="2" t="s">
        <v>654</v>
      </c>
      <c r="AC1496" s="2" t="s">
        <v>632</v>
      </c>
      <c r="AD1496" s="10">
        <v>83808199</v>
      </c>
      <c r="AE1496" s="11"/>
      <c r="AF1496" s="11"/>
      <c r="AG1496" s="11"/>
      <c r="AH1496" s="11"/>
      <c r="AI1496" s="11"/>
      <c r="AJ1496" s="11">
        <v>83808199</v>
      </c>
      <c r="AK1496" s="12">
        <v>1</v>
      </c>
      <c r="AL1496" s="12" t="s">
        <v>7377</v>
      </c>
      <c r="AM1496" s="2">
        <v>0</v>
      </c>
      <c r="AN1496" s="2">
        <v>0</v>
      </c>
      <c r="AO1496" s="2">
        <v>0</v>
      </c>
      <c r="AP1496" s="2">
        <v>1</v>
      </c>
      <c r="AQ1496" s="2">
        <v>0</v>
      </c>
      <c r="AR1496" s="2">
        <v>0</v>
      </c>
      <c r="AS1496" s="2">
        <v>0</v>
      </c>
      <c r="AT1496" s="2">
        <v>0</v>
      </c>
      <c r="AZ1496" s="2" t="s">
        <v>9100</v>
      </c>
      <c r="BB1496" s="2" t="str">
        <f>+PROPER(BD[[#This Row],[PRIMER_APELLIDO]])</f>
        <v>Mena</v>
      </c>
    </row>
    <row r="1497" spans="1:54" x14ac:dyDescent="0.25">
      <c r="A1497" s="2">
        <v>1496</v>
      </c>
      <c r="B1497" s="2">
        <v>18685</v>
      </c>
      <c r="C1497" s="5" t="s">
        <v>619</v>
      </c>
      <c r="D1497" s="2" t="s">
        <v>620</v>
      </c>
      <c r="E1497" s="6" t="s">
        <v>9101</v>
      </c>
      <c r="F1497" s="6">
        <v>16805138</v>
      </c>
      <c r="G1497" s="3">
        <v>42</v>
      </c>
      <c r="I1497" s="7"/>
      <c r="J1497" s="7"/>
      <c r="K1497" s="8">
        <v>42.613698630136987</v>
      </c>
      <c r="L1497" s="2" t="s">
        <v>724</v>
      </c>
      <c r="M1497" s="2" t="s">
        <v>243</v>
      </c>
      <c r="N1497" s="2" t="s">
        <v>235</v>
      </c>
      <c r="O1497" s="2" t="s">
        <v>480</v>
      </c>
      <c r="P1497" s="2" t="s">
        <v>626</v>
      </c>
      <c r="Q1497" s="2" t="s">
        <v>351</v>
      </c>
      <c r="R1497" s="9">
        <v>29242</v>
      </c>
      <c r="S1497" s="9">
        <v>29242</v>
      </c>
      <c r="U1497" s="2" t="s">
        <v>627</v>
      </c>
      <c r="W1497" s="2" t="s">
        <v>627</v>
      </c>
      <c r="X1497" s="2" t="s">
        <v>9102</v>
      </c>
      <c r="Y1497" s="2" t="s">
        <v>9103</v>
      </c>
      <c r="Z1497" s="6"/>
      <c r="AA1497" s="2" t="s">
        <v>9104</v>
      </c>
      <c r="AB1497" s="2" t="s">
        <v>642</v>
      </c>
      <c r="AC1497" s="2" t="s">
        <v>632</v>
      </c>
      <c r="AD1497" s="10"/>
      <c r="AE1497" s="11"/>
      <c r="AF1497" s="11"/>
      <c r="AG1497" s="11">
        <v>88847842</v>
      </c>
      <c r="AH1497" s="11"/>
      <c r="AI1497" s="11"/>
      <c r="AJ1497" s="11">
        <v>88847842</v>
      </c>
      <c r="AK1497" s="12">
        <v>2</v>
      </c>
      <c r="AL1497" s="12" t="s">
        <v>7377</v>
      </c>
      <c r="AM1497" s="2">
        <v>0</v>
      </c>
      <c r="AN1497" s="2">
        <v>0</v>
      </c>
      <c r="AO1497" s="2">
        <v>0</v>
      </c>
      <c r="AP1497" s="2">
        <v>1</v>
      </c>
      <c r="AQ1497" s="2">
        <v>0</v>
      </c>
      <c r="AR1497" s="2">
        <v>0</v>
      </c>
      <c r="AS1497" s="2">
        <v>0</v>
      </c>
      <c r="AT1497" s="2">
        <v>0</v>
      </c>
      <c r="BA1497" s="2" t="s">
        <v>9105</v>
      </c>
      <c r="BB1497" s="2" t="str">
        <f>+PROPER(BD[[#This Row],[PRIMER_APELLIDO]])</f>
        <v>Espinoza</v>
      </c>
    </row>
    <row r="1498" spans="1:54" x14ac:dyDescent="0.25">
      <c r="A1498" s="2">
        <v>1497</v>
      </c>
      <c r="B1498" s="2">
        <v>24763</v>
      </c>
      <c r="C1498" s="5" t="s">
        <v>619</v>
      </c>
      <c r="D1498" s="2" t="s">
        <v>620</v>
      </c>
      <c r="E1498" s="6" t="s">
        <v>9106</v>
      </c>
      <c r="F1498" s="6">
        <v>20853196</v>
      </c>
      <c r="G1498" s="3">
        <v>42</v>
      </c>
      <c r="I1498" s="7"/>
      <c r="J1498" s="7"/>
      <c r="K1498" s="8">
        <v>42.613698630136987</v>
      </c>
      <c r="L1498" s="2" t="s">
        <v>9107</v>
      </c>
      <c r="M1498" s="2" t="s">
        <v>9108</v>
      </c>
      <c r="N1498" s="2" t="s">
        <v>141</v>
      </c>
      <c r="O1498" s="2" t="s">
        <v>118</v>
      </c>
      <c r="P1498" s="2" t="s">
        <v>649</v>
      </c>
      <c r="Q1498" s="2" t="s">
        <v>351</v>
      </c>
      <c r="R1498" s="9">
        <v>29242</v>
      </c>
      <c r="S1498" s="9">
        <v>29242</v>
      </c>
      <c r="T1498" s="2" t="s">
        <v>627</v>
      </c>
      <c r="U1498" s="2" t="s">
        <v>627</v>
      </c>
      <c r="V1498" s="2" t="s">
        <v>692</v>
      </c>
      <c r="W1498" s="2" t="s">
        <v>692</v>
      </c>
      <c r="X1498" s="2" t="s">
        <v>9109</v>
      </c>
      <c r="Y1498" s="2" t="s">
        <v>9110</v>
      </c>
      <c r="Z1498" s="6">
        <v>84274455</v>
      </c>
      <c r="AA1498" s="2" t="s">
        <v>9111</v>
      </c>
      <c r="AB1498" s="2" t="s">
        <v>654</v>
      </c>
      <c r="AC1498" s="2" t="s">
        <v>632</v>
      </c>
      <c r="AD1498" s="10">
        <v>84274455</v>
      </c>
      <c r="AE1498" s="11"/>
      <c r="AF1498" s="11"/>
      <c r="AG1498" s="11">
        <v>84274455</v>
      </c>
      <c r="AH1498" s="11"/>
      <c r="AI1498" s="11"/>
      <c r="AJ1498" s="11">
        <v>84274455</v>
      </c>
      <c r="AK1498" s="12">
        <v>3</v>
      </c>
      <c r="AL1498" s="12" t="s">
        <v>7377</v>
      </c>
      <c r="AM1498" s="2">
        <v>0</v>
      </c>
      <c r="AN1498" s="2">
        <v>0</v>
      </c>
      <c r="AO1498" s="2">
        <v>0</v>
      </c>
      <c r="AP1498" s="2">
        <v>1</v>
      </c>
      <c r="AQ1498" s="2">
        <v>0</v>
      </c>
      <c r="AR1498" s="2">
        <v>0</v>
      </c>
      <c r="AS1498" s="2">
        <v>0</v>
      </c>
      <c r="AT1498" s="2">
        <v>0</v>
      </c>
      <c r="AZ1498" s="2" t="s">
        <v>9112</v>
      </c>
      <c r="BB1498" s="2" t="str">
        <f>+PROPER(BD[[#This Row],[PRIMER_APELLIDO]])</f>
        <v>Aguilar</v>
      </c>
    </row>
    <row r="1499" spans="1:54" x14ac:dyDescent="0.25">
      <c r="A1499" s="2">
        <v>1498</v>
      </c>
      <c r="B1499" s="2">
        <v>21929</v>
      </c>
      <c r="C1499" s="5" t="s">
        <v>619</v>
      </c>
      <c r="D1499" s="2" t="s">
        <v>620</v>
      </c>
      <c r="E1499" s="6" t="s">
        <v>9113</v>
      </c>
      <c r="F1499" s="6">
        <v>19113036</v>
      </c>
      <c r="G1499" s="3">
        <v>42</v>
      </c>
      <c r="I1499" s="7"/>
      <c r="J1499" s="7"/>
      <c r="K1499" s="8">
        <v>42.624657534246573</v>
      </c>
      <c r="L1499" s="2" t="s">
        <v>4851</v>
      </c>
      <c r="M1499" s="2" t="s">
        <v>4779</v>
      </c>
      <c r="N1499" s="2" t="s">
        <v>84</v>
      </c>
      <c r="O1499" s="2" t="s">
        <v>9</v>
      </c>
      <c r="P1499" s="2" t="s">
        <v>649</v>
      </c>
      <c r="Q1499" s="2" t="s">
        <v>351</v>
      </c>
      <c r="R1499" s="9">
        <v>29238</v>
      </c>
      <c r="S1499" s="9">
        <v>29238</v>
      </c>
      <c r="T1499" s="2" t="s">
        <v>444</v>
      </c>
      <c r="U1499" s="2" t="s">
        <v>1044</v>
      </c>
      <c r="V1499" s="2" t="s">
        <v>947</v>
      </c>
      <c r="W1499" s="2" t="s">
        <v>1838</v>
      </c>
      <c r="X1499" s="2" t="s">
        <v>9114</v>
      </c>
      <c r="Y1499" s="2" t="s">
        <v>9115</v>
      </c>
      <c r="Z1499" s="6">
        <v>86998904</v>
      </c>
      <c r="AA1499" s="2">
        <v>86998904</v>
      </c>
      <c r="AB1499" s="2" t="s">
        <v>654</v>
      </c>
      <c r="AC1499" s="2" t="s">
        <v>632</v>
      </c>
      <c r="AD1499" s="10">
        <v>86998904</v>
      </c>
      <c r="AE1499" s="11"/>
      <c r="AF1499" s="11">
        <v>86998904</v>
      </c>
      <c r="AG1499" s="11"/>
      <c r="AH1499" s="11"/>
      <c r="AI1499" s="11"/>
      <c r="AJ1499" s="11">
        <v>86998904</v>
      </c>
      <c r="AK1499" s="12">
        <v>2</v>
      </c>
      <c r="AL1499" s="12" t="s">
        <v>7377</v>
      </c>
      <c r="AM1499" s="2">
        <v>0</v>
      </c>
      <c r="AN1499" s="2">
        <v>0</v>
      </c>
      <c r="AO1499" s="2">
        <v>0</v>
      </c>
      <c r="AP1499" s="2">
        <v>1</v>
      </c>
      <c r="AQ1499" s="2">
        <v>0</v>
      </c>
      <c r="AR1499" s="2">
        <v>0</v>
      </c>
      <c r="AS1499" s="2">
        <v>0</v>
      </c>
      <c r="AT1499" s="2">
        <v>0</v>
      </c>
      <c r="AZ1499" s="2" t="s">
        <v>9116</v>
      </c>
      <c r="BB1499" s="2" t="str">
        <f>+PROPER(BD[[#This Row],[PRIMER_APELLIDO]])</f>
        <v>Ruiz</v>
      </c>
    </row>
    <row r="1500" spans="1:54" x14ac:dyDescent="0.25">
      <c r="A1500" s="2">
        <v>1499</v>
      </c>
      <c r="B1500" s="2">
        <v>25053</v>
      </c>
      <c r="C1500" s="5" t="s">
        <v>619</v>
      </c>
      <c r="D1500" s="2" t="s">
        <v>620</v>
      </c>
      <c r="E1500" s="6" t="s">
        <v>9117</v>
      </c>
      <c r="F1500" s="6">
        <v>18258925</v>
      </c>
      <c r="G1500" s="3">
        <v>42</v>
      </c>
      <c r="I1500" s="7"/>
      <c r="J1500" s="7"/>
      <c r="K1500" s="8">
        <v>42.643835616438359</v>
      </c>
      <c r="L1500" s="2" t="s">
        <v>1850</v>
      </c>
      <c r="M1500" s="2" t="s">
        <v>724</v>
      </c>
      <c r="N1500" s="2" t="s">
        <v>446</v>
      </c>
      <c r="P1500" s="2" t="s">
        <v>626</v>
      </c>
      <c r="Q1500" s="2" t="s">
        <v>351</v>
      </c>
      <c r="R1500" s="9">
        <v>29231</v>
      </c>
      <c r="S1500" s="9">
        <v>29231</v>
      </c>
      <c r="T1500" s="2" t="s">
        <v>740</v>
      </c>
      <c r="U1500" s="2" t="s">
        <v>740</v>
      </c>
      <c r="V1500" s="2" t="s">
        <v>740</v>
      </c>
      <c r="W1500" s="2" t="s">
        <v>740</v>
      </c>
      <c r="X1500" s="2" t="s">
        <v>9118</v>
      </c>
      <c r="Y1500" s="2" t="s">
        <v>9119</v>
      </c>
      <c r="Z1500" s="6">
        <v>88470477</v>
      </c>
      <c r="AA1500" s="2">
        <v>88470477</v>
      </c>
      <c r="AB1500" s="2" t="s">
        <v>642</v>
      </c>
      <c r="AC1500" s="2" t="s">
        <v>632</v>
      </c>
      <c r="AD1500" s="10">
        <v>88470477</v>
      </c>
      <c r="AE1500" s="11"/>
      <c r="AF1500" s="11">
        <v>88470477</v>
      </c>
      <c r="AG1500" s="11"/>
      <c r="AH1500" s="11"/>
      <c r="AI1500" s="11"/>
      <c r="AJ1500" s="11">
        <v>88470477</v>
      </c>
      <c r="AK1500" s="12">
        <v>2</v>
      </c>
      <c r="AL1500" s="12" t="s">
        <v>7377</v>
      </c>
      <c r="AM1500" s="2">
        <v>0</v>
      </c>
      <c r="AN1500" s="2">
        <v>0</v>
      </c>
      <c r="AO1500" s="2">
        <v>0</v>
      </c>
      <c r="AP1500" s="2">
        <v>1</v>
      </c>
      <c r="AQ1500" s="2">
        <v>0</v>
      </c>
      <c r="AR1500" s="2">
        <v>0</v>
      </c>
      <c r="AS1500" s="2">
        <v>0</v>
      </c>
      <c r="AT1500" s="2">
        <v>0</v>
      </c>
      <c r="AZ1500" s="2" t="s">
        <v>9120</v>
      </c>
      <c r="BB1500" s="2" t="str">
        <f>+PROPER(BD[[#This Row],[PRIMER_APELLIDO]])</f>
        <v>Canton</v>
      </c>
    </row>
    <row r="1501" spans="1:54" x14ac:dyDescent="0.25">
      <c r="A1501" s="2">
        <v>1500</v>
      </c>
      <c r="B1501" s="2">
        <v>25763</v>
      </c>
      <c r="C1501" s="5" t="s">
        <v>619</v>
      </c>
      <c r="D1501" s="2" t="s">
        <v>620</v>
      </c>
      <c r="E1501" s="6" t="s">
        <v>9121</v>
      </c>
      <c r="F1501" s="6">
        <v>20612706</v>
      </c>
      <c r="G1501" s="3">
        <v>42</v>
      </c>
      <c r="I1501" s="7"/>
      <c r="J1501" s="7"/>
      <c r="K1501" s="8">
        <v>42.654794520547945</v>
      </c>
      <c r="L1501" s="2" t="s">
        <v>826</v>
      </c>
      <c r="M1501" s="2" t="s">
        <v>975</v>
      </c>
      <c r="N1501" s="2" t="s">
        <v>86</v>
      </c>
      <c r="O1501" s="2" t="s">
        <v>326</v>
      </c>
      <c r="P1501" s="2" t="s">
        <v>649</v>
      </c>
      <c r="Q1501" s="2" t="s">
        <v>351</v>
      </c>
      <c r="R1501" s="9">
        <v>29227</v>
      </c>
      <c r="S1501" s="9">
        <v>29227</v>
      </c>
      <c r="T1501" s="2" t="s">
        <v>1191</v>
      </c>
      <c r="U1501" s="2" t="s">
        <v>1191</v>
      </c>
      <c r="V1501" s="2" t="s">
        <v>1300</v>
      </c>
      <c r="W1501" s="2" t="s">
        <v>1300</v>
      </c>
      <c r="X1501" s="2" t="s">
        <v>9122</v>
      </c>
      <c r="Y1501" s="2" t="s">
        <v>9123</v>
      </c>
      <c r="Z1501" s="6" t="s">
        <v>9124</v>
      </c>
      <c r="AA1501" s="2" t="s">
        <v>9125</v>
      </c>
      <c r="AB1501" s="2" t="s">
        <v>654</v>
      </c>
      <c r="AC1501" s="2" t="s">
        <v>632</v>
      </c>
      <c r="AD1501" s="10"/>
      <c r="AE1501" s="11">
        <v>84148719</v>
      </c>
      <c r="AF1501" s="11"/>
      <c r="AG1501" s="11">
        <v>84148719</v>
      </c>
      <c r="AH1501" s="11"/>
      <c r="AI1501" s="11"/>
      <c r="AJ1501" s="11">
        <v>84148719</v>
      </c>
      <c r="AK1501" s="12">
        <v>4</v>
      </c>
      <c r="AL1501" s="12" t="s">
        <v>7377</v>
      </c>
      <c r="AM1501" s="2">
        <v>0</v>
      </c>
      <c r="AN1501" s="2">
        <v>0</v>
      </c>
      <c r="AO1501" s="2">
        <v>0</v>
      </c>
      <c r="AP1501" s="2">
        <v>1</v>
      </c>
      <c r="AQ1501" s="2">
        <v>0</v>
      </c>
      <c r="AR1501" s="2">
        <v>0</v>
      </c>
      <c r="AS1501" s="2">
        <v>0</v>
      </c>
      <c r="AT1501" s="2">
        <v>0</v>
      </c>
      <c r="AZ1501" s="2" t="s">
        <v>9126</v>
      </c>
      <c r="BA1501" s="2" t="s">
        <v>9126</v>
      </c>
      <c r="BB1501" s="2" t="str">
        <f>+PROPER(BD[[#This Row],[PRIMER_APELLIDO]])</f>
        <v>Urbina</v>
      </c>
    </row>
    <row r="1502" spans="1:54" x14ac:dyDescent="0.25">
      <c r="A1502" s="2">
        <v>1501</v>
      </c>
      <c r="B1502" s="2">
        <v>24823</v>
      </c>
      <c r="C1502" s="5" t="s">
        <v>619</v>
      </c>
      <c r="D1502" s="2" t="s">
        <v>620</v>
      </c>
      <c r="E1502" s="6" t="s">
        <v>9127</v>
      </c>
      <c r="F1502" s="6">
        <v>21222584</v>
      </c>
      <c r="G1502" s="3">
        <v>42</v>
      </c>
      <c r="I1502" s="7"/>
      <c r="J1502" s="7"/>
      <c r="K1502" s="8">
        <v>42.657534246575345</v>
      </c>
      <c r="L1502" s="2" t="s">
        <v>9128</v>
      </c>
      <c r="M1502" s="2" t="s">
        <v>9129</v>
      </c>
      <c r="N1502" s="2" t="s">
        <v>461</v>
      </c>
      <c r="O1502" s="2" t="s">
        <v>14</v>
      </c>
      <c r="P1502" s="2" t="s">
        <v>626</v>
      </c>
      <c r="Q1502" s="2" t="s">
        <v>351</v>
      </c>
      <c r="R1502" s="9">
        <v>29226</v>
      </c>
      <c r="S1502" s="9">
        <v>29226</v>
      </c>
      <c r="U1502" s="2" t="s">
        <v>627</v>
      </c>
      <c r="W1502" s="2" t="s">
        <v>627</v>
      </c>
      <c r="Y1502" s="2" t="s">
        <v>9130</v>
      </c>
      <c r="Z1502" s="6"/>
      <c r="AA1502" s="2" t="s">
        <v>9131</v>
      </c>
      <c r="AB1502" s="2" t="s">
        <v>642</v>
      </c>
      <c r="AC1502" s="2" t="s">
        <v>632</v>
      </c>
      <c r="AD1502" s="10"/>
      <c r="AE1502" s="11"/>
      <c r="AF1502" s="11"/>
      <c r="AG1502" s="11">
        <v>82678688</v>
      </c>
      <c r="AH1502" s="11"/>
      <c r="AI1502" s="11"/>
      <c r="AJ1502" s="11">
        <v>82678688</v>
      </c>
      <c r="AK1502" s="12">
        <v>2</v>
      </c>
      <c r="AL1502" s="12" t="s">
        <v>7377</v>
      </c>
      <c r="AM1502" s="2">
        <v>0</v>
      </c>
      <c r="AN1502" s="2">
        <v>0</v>
      </c>
      <c r="AO1502" s="2">
        <v>0</v>
      </c>
      <c r="AP1502" s="2">
        <v>1</v>
      </c>
      <c r="AQ1502" s="2">
        <v>0</v>
      </c>
      <c r="AR1502" s="2">
        <v>0</v>
      </c>
      <c r="AS1502" s="2">
        <v>0</v>
      </c>
      <c r="AT1502" s="2">
        <v>0</v>
      </c>
      <c r="BB1502" s="2" t="str">
        <f>+PROPER(BD[[#This Row],[PRIMER_APELLIDO]])</f>
        <v>Corrales</v>
      </c>
    </row>
    <row r="1503" spans="1:54" x14ac:dyDescent="0.25">
      <c r="A1503" s="2">
        <v>1502</v>
      </c>
      <c r="B1503" s="2">
        <v>23225</v>
      </c>
      <c r="C1503" s="5" t="s">
        <v>619</v>
      </c>
      <c r="D1503" s="2" t="s">
        <v>620</v>
      </c>
      <c r="E1503" s="6" t="s">
        <v>9132</v>
      </c>
      <c r="F1503" s="6"/>
      <c r="G1503" s="3">
        <v>42</v>
      </c>
      <c r="I1503" s="7"/>
      <c r="J1503" s="7"/>
      <c r="K1503" s="8">
        <v>42.663013698630138</v>
      </c>
      <c r="L1503" s="2" t="s">
        <v>769</v>
      </c>
      <c r="M1503" s="2" t="s">
        <v>1753</v>
      </c>
      <c r="N1503" s="2" t="s">
        <v>319</v>
      </c>
      <c r="O1503" s="2" t="s">
        <v>139</v>
      </c>
      <c r="P1503" s="2" t="s">
        <v>626</v>
      </c>
      <c r="Q1503" s="2" t="s">
        <v>351</v>
      </c>
      <c r="R1503" s="9">
        <v>29224</v>
      </c>
      <c r="S1503" s="9">
        <v>29224</v>
      </c>
      <c r="T1503" s="2" t="s">
        <v>740</v>
      </c>
      <c r="U1503" s="2" t="s">
        <v>740</v>
      </c>
      <c r="V1503" s="2" t="s">
        <v>1334</v>
      </c>
      <c r="W1503" s="2" t="s">
        <v>1334</v>
      </c>
      <c r="X1503" s="2" t="s">
        <v>9133</v>
      </c>
      <c r="Y1503" s="2" t="s">
        <v>9134</v>
      </c>
      <c r="Z1503" s="6"/>
      <c r="AA1503" s="2">
        <v>86599426</v>
      </c>
      <c r="AB1503" s="2" t="s">
        <v>654</v>
      </c>
      <c r="AC1503" s="2" t="s">
        <v>632</v>
      </c>
      <c r="AD1503" s="10"/>
      <c r="AE1503" s="11"/>
      <c r="AF1503" s="11">
        <v>86599426</v>
      </c>
      <c r="AG1503" s="11"/>
      <c r="AH1503" s="11"/>
      <c r="AI1503" s="11"/>
      <c r="AJ1503" s="11">
        <v>86599426</v>
      </c>
      <c r="AK1503" s="12">
        <v>1</v>
      </c>
      <c r="AL1503" s="12" t="s">
        <v>7377</v>
      </c>
      <c r="AM1503" s="2">
        <v>0</v>
      </c>
      <c r="AN1503" s="2">
        <v>0</v>
      </c>
      <c r="AO1503" s="2">
        <v>0</v>
      </c>
      <c r="AP1503" s="2">
        <v>1</v>
      </c>
      <c r="AQ1503" s="2">
        <v>0</v>
      </c>
      <c r="AR1503" s="2">
        <v>0</v>
      </c>
      <c r="AS1503" s="2">
        <v>0</v>
      </c>
      <c r="AT1503" s="2">
        <v>0</v>
      </c>
      <c r="BB1503" s="2" t="str">
        <f>+PROPER(BD[[#This Row],[PRIMER_APELLIDO]])</f>
        <v>Mena</v>
      </c>
    </row>
    <row r="1504" spans="1:54" x14ac:dyDescent="0.25">
      <c r="A1504" s="2">
        <v>1503</v>
      </c>
      <c r="B1504" s="2">
        <v>23572</v>
      </c>
      <c r="C1504" s="5" t="s">
        <v>619</v>
      </c>
      <c r="D1504" s="2" t="s">
        <v>620</v>
      </c>
      <c r="E1504" s="6" t="s">
        <v>9135</v>
      </c>
      <c r="F1504" s="6">
        <v>20114044</v>
      </c>
      <c r="G1504" s="3">
        <v>42</v>
      </c>
      <c r="I1504" s="7"/>
      <c r="J1504" s="7"/>
      <c r="K1504" s="8">
        <v>42.671232876712331</v>
      </c>
      <c r="L1504" s="2" t="s">
        <v>9136</v>
      </c>
      <c r="M1504" s="2" t="s">
        <v>2176</v>
      </c>
      <c r="N1504" s="2" t="s">
        <v>126</v>
      </c>
      <c r="O1504" s="2" t="s">
        <v>9137</v>
      </c>
      <c r="P1504" s="2" t="s">
        <v>649</v>
      </c>
      <c r="Q1504" s="2" t="s">
        <v>351</v>
      </c>
      <c r="R1504" s="9">
        <v>29221</v>
      </c>
      <c r="S1504" s="9">
        <v>29221</v>
      </c>
      <c r="T1504" s="2" t="s">
        <v>176</v>
      </c>
      <c r="U1504" s="2" t="s">
        <v>176</v>
      </c>
      <c r="V1504" s="2" t="s">
        <v>650</v>
      </c>
      <c r="W1504" s="2" t="s">
        <v>176</v>
      </c>
      <c r="X1504" s="2" t="s">
        <v>9138</v>
      </c>
      <c r="Y1504" s="2" t="s">
        <v>9139</v>
      </c>
      <c r="Z1504" s="6"/>
      <c r="AA1504" s="2">
        <v>83728105</v>
      </c>
      <c r="AB1504" s="2" t="s">
        <v>9140</v>
      </c>
      <c r="AC1504" s="2" t="s">
        <v>632</v>
      </c>
      <c r="AD1504" s="10"/>
      <c r="AE1504" s="11"/>
      <c r="AF1504" s="11">
        <v>83728105</v>
      </c>
      <c r="AG1504" s="11"/>
      <c r="AH1504" s="11"/>
      <c r="AI1504" s="11"/>
      <c r="AJ1504" s="11">
        <v>83728105</v>
      </c>
      <c r="AK1504" s="12">
        <v>1</v>
      </c>
      <c r="AL1504" s="12" t="s">
        <v>7377</v>
      </c>
      <c r="AM1504" s="2">
        <v>0</v>
      </c>
      <c r="AN1504" s="2">
        <v>0</v>
      </c>
      <c r="AO1504" s="2">
        <v>0</v>
      </c>
      <c r="AP1504" s="2">
        <v>1</v>
      </c>
      <c r="AQ1504" s="2">
        <v>0</v>
      </c>
      <c r="AR1504" s="2">
        <v>0</v>
      </c>
      <c r="AS1504" s="2">
        <v>0</v>
      </c>
      <c r="AT1504" s="2">
        <v>0</v>
      </c>
      <c r="BB1504" s="2" t="str">
        <f>+PROPER(BD[[#This Row],[PRIMER_APELLIDO]])</f>
        <v>Salgado</v>
      </c>
    </row>
    <row r="1505" spans="1:54" x14ac:dyDescent="0.25">
      <c r="A1505" s="2">
        <v>1504</v>
      </c>
      <c r="B1505" s="2">
        <v>43461</v>
      </c>
      <c r="C1505" s="5" t="s">
        <v>619</v>
      </c>
      <c r="D1505" s="2" t="s">
        <v>620</v>
      </c>
      <c r="E1505" s="6" t="s">
        <v>9141</v>
      </c>
      <c r="F1505" s="6">
        <v>12941597</v>
      </c>
      <c r="G1505" s="3">
        <v>43</v>
      </c>
      <c r="I1505" s="7"/>
      <c r="J1505" s="7"/>
      <c r="K1505" s="8">
        <v>42.69315068493151</v>
      </c>
      <c r="L1505" s="2" t="s">
        <v>9142</v>
      </c>
      <c r="M1505" s="2" t="s">
        <v>9143</v>
      </c>
      <c r="N1505" s="2" t="s">
        <v>179</v>
      </c>
      <c r="O1505" s="2" t="s">
        <v>78</v>
      </c>
      <c r="P1505" s="2" t="s">
        <v>649</v>
      </c>
      <c r="Q1505" s="2" t="s">
        <v>351</v>
      </c>
      <c r="R1505" s="9">
        <v>29213</v>
      </c>
      <c r="S1505" s="9">
        <v>29213</v>
      </c>
      <c r="T1505" s="2" t="s">
        <v>659</v>
      </c>
      <c r="U1505" s="2" t="s">
        <v>659</v>
      </c>
      <c r="V1505" s="2" t="s">
        <v>1819</v>
      </c>
      <c r="W1505" s="2" t="s">
        <v>4547</v>
      </c>
      <c r="X1505" s="2" t="s">
        <v>9144</v>
      </c>
      <c r="Y1505" s="2" t="s">
        <v>9145</v>
      </c>
      <c r="Z1505" s="6"/>
      <c r="AA1505" s="2">
        <v>57752003</v>
      </c>
      <c r="AB1505" s="2" t="s">
        <v>798</v>
      </c>
      <c r="AC1505" s="2" t="s">
        <v>632</v>
      </c>
      <c r="AD1505" s="10"/>
      <c r="AE1505" s="11"/>
      <c r="AF1505" s="11">
        <v>57752003</v>
      </c>
      <c r="AG1505" s="11"/>
      <c r="AH1505" s="11"/>
      <c r="AI1505" s="11"/>
      <c r="AJ1505" s="11">
        <v>57752003</v>
      </c>
      <c r="AK1505" s="12">
        <v>1</v>
      </c>
      <c r="AL1505" s="12" t="s">
        <v>7377</v>
      </c>
      <c r="AM1505" s="2">
        <v>0</v>
      </c>
      <c r="AN1505" s="2">
        <v>0</v>
      </c>
      <c r="AO1505" s="2">
        <v>0</v>
      </c>
      <c r="AP1505" s="2">
        <v>1</v>
      </c>
      <c r="AQ1505" s="2">
        <v>0</v>
      </c>
      <c r="AR1505" s="2">
        <v>0</v>
      </c>
      <c r="AS1505" s="2">
        <v>0</v>
      </c>
      <c r="AT1505" s="2">
        <v>0</v>
      </c>
      <c r="BB1505" s="2" t="str">
        <f>+PROPER(BD[[#This Row],[PRIMER_APELLIDO]])</f>
        <v>Herrera</v>
      </c>
    </row>
    <row r="1506" spans="1:54" x14ac:dyDescent="0.25">
      <c r="A1506" s="2">
        <v>1505</v>
      </c>
      <c r="B1506" s="2">
        <v>33078</v>
      </c>
      <c r="C1506" s="5" t="s">
        <v>619</v>
      </c>
      <c r="D1506" s="2" t="s">
        <v>620</v>
      </c>
      <c r="E1506" s="6" t="s">
        <v>9146</v>
      </c>
      <c r="F1506" s="6">
        <v>21669129</v>
      </c>
      <c r="G1506" s="3">
        <v>43</v>
      </c>
      <c r="I1506" s="7"/>
      <c r="J1506" s="7"/>
      <c r="K1506" s="8">
        <v>42.695890410958903</v>
      </c>
      <c r="L1506" s="2" t="s">
        <v>7612</v>
      </c>
      <c r="M1506" s="2" t="s">
        <v>1554</v>
      </c>
      <c r="N1506" s="2" t="s">
        <v>23</v>
      </c>
      <c r="O1506" s="2" t="s">
        <v>24</v>
      </c>
      <c r="P1506" s="2" t="s">
        <v>649</v>
      </c>
      <c r="Q1506" s="2" t="s">
        <v>351</v>
      </c>
      <c r="R1506" s="9">
        <v>29212</v>
      </c>
      <c r="S1506" s="9">
        <v>29212</v>
      </c>
      <c r="T1506" s="2" t="s">
        <v>627</v>
      </c>
      <c r="U1506" s="2" t="s">
        <v>627</v>
      </c>
      <c r="V1506" s="2" t="s">
        <v>627</v>
      </c>
      <c r="W1506" s="2" t="s">
        <v>627</v>
      </c>
      <c r="X1506" s="2" t="s">
        <v>9147</v>
      </c>
      <c r="Y1506" s="2" t="s">
        <v>9148</v>
      </c>
      <c r="Z1506" s="6">
        <v>88214898</v>
      </c>
      <c r="AA1506" s="2">
        <v>88214898</v>
      </c>
      <c r="AB1506" s="2" t="s">
        <v>654</v>
      </c>
      <c r="AC1506" s="2" t="s">
        <v>632</v>
      </c>
      <c r="AD1506" s="10">
        <v>88214898</v>
      </c>
      <c r="AE1506" s="11"/>
      <c r="AF1506" s="11">
        <v>88214898</v>
      </c>
      <c r="AG1506" s="11"/>
      <c r="AH1506" s="11"/>
      <c r="AI1506" s="11"/>
      <c r="AJ1506" s="11">
        <v>88214898</v>
      </c>
      <c r="AK1506" s="12">
        <v>2</v>
      </c>
      <c r="AL1506" s="12" t="s">
        <v>7377</v>
      </c>
      <c r="AM1506" s="2">
        <v>0</v>
      </c>
      <c r="AN1506" s="2">
        <v>0</v>
      </c>
      <c r="AO1506" s="2">
        <v>0</v>
      </c>
      <c r="AP1506" s="2">
        <v>1</v>
      </c>
      <c r="AQ1506" s="2">
        <v>0</v>
      </c>
      <c r="AR1506" s="2">
        <v>0</v>
      </c>
      <c r="AS1506" s="2">
        <v>0</v>
      </c>
      <c r="AT1506" s="2">
        <v>0</v>
      </c>
      <c r="AZ1506" s="2" t="s">
        <v>9149</v>
      </c>
      <c r="BB1506" s="2" t="str">
        <f>+PROPER(BD[[#This Row],[PRIMER_APELLIDO]])</f>
        <v>Largaespada</v>
      </c>
    </row>
    <row r="1507" spans="1:54" x14ac:dyDescent="0.25">
      <c r="A1507" s="2">
        <v>1506</v>
      </c>
      <c r="B1507" s="2">
        <v>19532</v>
      </c>
      <c r="C1507" s="5" t="s">
        <v>619</v>
      </c>
      <c r="D1507" s="2" t="s">
        <v>620</v>
      </c>
      <c r="E1507" s="6" t="s">
        <v>9150</v>
      </c>
      <c r="F1507" s="6">
        <v>16802234</v>
      </c>
      <c r="G1507" s="3">
        <v>43</v>
      </c>
      <c r="I1507" s="7"/>
      <c r="J1507" s="7"/>
      <c r="K1507" s="8">
        <v>42.698630136986303</v>
      </c>
      <c r="L1507" s="2" t="s">
        <v>2715</v>
      </c>
      <c r="M1507" s="2" t="s">
        <v>953</v>
      </c>
      <c r="N1507" s="2" t="s">
        <v>431</v>
      </c>
      <c r="O1507" s="2" t="s">
        <v>52</v>
      </c>
      <c r="P1507" s="2" t="s">
        <v>649</v>
      </c>
      <c r="Q1507" s="2" t="s">
        <v>351</v>
      </c>
      <c r="R1507" s="9">
        <v>29211</v>
      </c>
      <c r="S1507" s="9">
        <v>29211</v>
      </c>
      <c r="T1507" s="2" t="s">
        <v>627</v>
      </c>
      <c r="U1507" s="2" t="s">
        <v>627</v>
      </c>
      <c r="V1507" s="2" t="s">
        <v>627</v>
      </c>
      <c r="W1507" s="2" t="s">
        <v>627</v>
      </c>
      <c r="X1507" s="2" t="s">
        <v>9151</v>
      </c>
      <c r="Y1507" s="2" t="s">
        <v>9152</v>
      </c>
      <c r="Z1507" s="6">
        <v>82678322</v>
      </c>
      <c r="AA1507" s="2">
        <v>82678322</v>
      </c>
      <c r="AB1507" s="2" t="s">
        <v>654</v>
      </c>
      <c r="AC1507" s="2" t="s">
        <v>632</v>
      </c>
      <c r="AD1507" s="10">
        <v>82678322</v>
      </c>
      <c r="AE1507" s="11"/>
      <c r="AF1507" s="11">
        <v>82678322</v>
      </c>
      <c r="AG1507" s="11"/>
      <c r="AH1507" s="11"/>
      <c r="AI1507" s="11"/>
      <c r="AJ1507" s="11">
        <v>82678322</v>
      </c>
      <c r="AK1507" s="12">
        <v>2</v>
      </c>
      <c r="AL1507" s="12" t="s">
        <v>7377</v>
      </c>
      <c r="AM1507" s="2">
        <v>0</v>
      </c>
      <c r="AN1507" s="2">
        <v>0</v>
      </c>
      <c r="AO1507" s="2">
        <v>0</v>
      </c>
      <c r="AP1507" s="2">
        <v>1</v>
      </c>
      <c r="AQ1507" s="2">
        <v>0</v>
      </c>
      <c r="AR1507" s="2">
        <v>0</v>
      </c>
      <c r="AS1507" s="2">
        <v>0</v>
      </c>
      <c r="AT1507" s="2">
        <v>0</v>
      </c>
      <c r="AZ1507" s="2" t="s">
        <v>9153</v>
      </c>
      <c r="BA1507" s="2" t="s">
        <v>9153</v>
      </c>
      <c r="BB1507" s="2" t="str">
        <f>+PROPER(BD[[#This Row],[PRIMER_APELLIDO]])</f>
        <v>Tijerino</v>
      </c>
    </row>
    <row r="1508" spans="1:54" x14ac:dyDescent="0.25">
      <c r="A1508" s="2">
        <v>1507</v>
      </c>
      <c r="B1508" s="2">
        <v>22172</v>
      </c>
      <c r="C1508" s="5" t="s">
        <v>619</v>
      </c>
      <c r="D1508" s="2" t="s">
        <v>620</v>
      </c>
      <c r="E1508" s="6" t="s">
        <v>9154</v>
      </c>
      <c r="F1508" s="6"/>
      <c r="G1508" s="3">
        <v>43</v>
      </c>
      <c r="I1508" s="7"/>
      <c r="J1508" s="7"/>
      <c r="K1508" s="8">
        <v>42.698630136986303</v>
      </c>
      <c r="L1508" s="2" t="s">
        <v>4340</v>
      </c>
      <c r="M1508" s="2" t="s">
        <v>1025</v>
      </c>
      <c r="N1508" s="2" t="s">
        <v>539</v>
      </c>
      <c r="O1508" s="2" t="s">
        <v>5339</v>
      </c>
      <c r="P1508" s="2" t="s">
        <v>649</v>
      </c>
      <c r="Q1508" s="2" t="s">
        <v>9155</v>
      </c>
      <c r="R1508" s="9">
        <v>29211</v>
      </c>
      <c r="S1508" s="9">
        <v>29211</v>
      </c>
      <c r="T1508" s="2" t="s">
        <v>176</v>
      </c>
      <c r="U1508" s="2" t="s">
        <v>176</v>
      </c>
      <c r="V1508" s="2" t="s">
        <v>650</v>
      </c>
      <c r="W1508" s="2" t="s">
        <v>176</v>
      </c>
      <c r="X1508" s="2" t="s">
        <v>9156</v>
      </c>
      <c r="Y1508" s="2" t="s">
        <v>9157</v>
      </c>
      <c r="Z1508" s="6">
        <v>89325669</v>
      </c>
      <c r="AA1508" s="2" t="s">
        <v>9158</v>
      </c>
      <c r="AB1508" s="2" t="s">
        <v>654</v>
      </c>
      <c r="AC1508" s="2" t="s">
        <v>632</v>
      </c>
      <c r="AD1508" s="10">
        <v>89325669</v>
      </c>
      <c r="AE1508" s="11"/>
      <c r="AF1508" s="11"/>
      <c r="AG1508" s="11">
        <v>89325669</v>
      </c>
      <c r="AH1508" s="11"/>
      <c r="AI1508" s="11"/>
      <c r="AJ1508" s="11">
        <v>89325669</v>
      </c>
      <c r="AK1508" s="12">
        <v>3</v>
      </c>
      <c r="AL1508" s="12" t="s">
        <v>7377</v>
      </c>
      <c r="AM1508" s="2">
        <v>0</v>
      </c>
      <c r="AN1508" s="2">
        <v>0</v>
      </c>
      <c r="AO1508" s="2">
        <v>0</v>
      </c>
      <c r="AP1508" s="2">
        <v>1</v>
      </c>
      <c r="AQ1508" s="2">
        <v>0</v>
      </c>
      <c r="AR1508" s="2">
        <v>0</v>
      </c>
      <c r="AS1508" s="2">
        <v>0</v>
      </c>
      <c r="AT1508" s="2">
        <v>0</v>
      </c>
      <c r="AZ1508" s="2" t="s">
        <v>9159</v>
      </c>
      <c r="BA1508" s="2" t="s">
        <v>9160</v>
      </c>
      <c r="BB1508" s="2" t="str">
        <f>+PROPER(BD[[#This Row],[PRIMER_APELLIDO]])</f>
        <v>Antón</v>
      </c>
    </row>
    <row r="1509" spans="1:54" x14ac:dyDescent="0.25">
      <c r="A1509" s="2">
        <v>1508</v>
      </c>
      <c r="B1509" s="2">
        <v>32487</v>
      </c>
      <c r="C1509" s="5" t="s">
        <v>619</v>
      </c>
      <c r="D1509" s="2" t="s">
        <v>620</v>
      </c>
      <c r="E1509" s="6" t="s">
        <v>9161</v>
      </c>
      <c r="F1509" s="6">
        <v>24471286</v>
      </c>
      <c r="G1509" s="3">
        <v>43</v>
      </c>
      <c r="I1509" s="7"/>
      <c r="J1509" s="7"/>
      <c r="K1509" s="8">
        <v>42.698630136986303</v>
      </c>
      <c r="L1509" s="2" t="s">
        <v>724</v>
      </c>
      <c r="M1509" s="2" t="s">
        <v>1795</v>
      </c>
      <c r="N1509" s="2" t="s">
        <v>266</v>
      </c>
      <c r="O1509" s="2" t="s">
        <v>280</v>
      </c>
      <c r="P1509" s="2" t="s">
        <v>626</v>
      </c>
      <c r="Q1509" s="2" t="s">
        <v>351</v>
      </c>
      <c r="R1509" s="9">
        <v>29211</v>
      </c>
      <c r="S1509" s="9">
        <v>29211</v>
      </c>
      <c r="T1509" s="2" t="s">
        <v>133</v>
      </c>
      <c r="U1509" s="2" t="s">
        <v>133</v>
      </c>
      <c r="V1509" s="2" t="s">
        <v>869</v>
      </c>
      <c r="W1509" s="2" t="s">
        <v>869</v>
      </c>
      <c r="X1509" s="2" t="s">
        <v>9162</v>
      </c>
      <c r="Y1509" s="2" t="s">
        <v>9163</v>
      </c>
      <c r="Z1509" s="6"/>
      <c r="AA1509" s="2">
        <v>89231764</v>
      </c>
      <c r="AB1509" s="2" t="s">
        <v>642</v>
      </c>
      <c r="AC1509" s="2" t="s">
        <v>632</v>
      </c>
      <c r="AD1509" s="10"/>
      <c r="AE1509" s="11"/>
      <c r="AF1509" s="11">
        <v>89231764</v>
      </c>
      <c r="AG1509" s="11"/>
      <c r="AH1509" s="11"/>
      <c r="AI1509" s="11"/>
      <c r="AJ1509" s="11">
        <v>89231764</v>
      </c>
      <c r="AK1509" s="12">
        <v>1</v>
      </c>
      <c r="AL1509" s="12" t="s">
        <v>7377</v>
      </c>
      <c r="AM1509" s="2">
        <v>0</v>
      </c>
      <c r="AN1509" s="2">
        <v>0</v>
      </c>
      <c r="AO1509" s="2">
        <v>0</v>
      </c>
      <c r="AP1509" s="2">
        <v>1</v>
      </c>
      <c r="AQ1509" s="2">
        <v>0</v>
      </c>
      <c r="AR1509" s="2">
        <v>0</v>
      </c>
      <c r="AS1509" s="2">
        <v>0</v>
      </c>
      <c r="AT1509" s="2">
        <v>0</v>
      </c>
      <c r="BB1509" s="2" t="str">
        <f>+PROPER(BD[[#This Row],[PRIMER_APELLIDO]])</f>
        <v>Conrado</v>
      </c>
    </row>
    <row r="1510" spans="1:54" x14ac:dyDescent="0.25">
      <c r="A1510" s="2">
        <v>1509</v>
      </c>
      <c r="B1510" s="2">
        <v>20569</v>
      </c>
      <c r="C1510" s="5" t="s">
        <v>619</v>
      </c>
      <c r="D1510" s="2" t="s">
        <v>620</v>
      </c>
      <c r="E1510" s="6" t="s">
        <v>9164</v>
      </c>
      <c r="F1510" s="6">
        <v>19085876</v>
      </c>
      <c r="G1510" s="3">
        <v>43</v>
      </c>
      <c r="I1510" s="7"/>
      <c r="J1510" s="7"/>
      <c r="K1510" s="8">
        <v>42.704109589041096</v>
      </c>
      <c r="L1510" s="2" t="s">
        <v>2195</v>
      </c>
      <c r="M1510" s="2" t="s">
        <v>1554</v>
      </c>
      <c r="N1510" s="2" t="s">
        <v>78</v>
      </c>
      <c r="O1510" s="2" t="s">
        <v>1308</v>
      </c>
      <c r="P1510" s="2" t="s">
        <v>649</v>
      </c>
      <c r="Q1510" s="2" t="s">
        <v>351</v>
      </c>
      <c r="R1510" s="9">
        <v>29209</v>
      </c>
      <c r="S1510" s="9">
        <v>29209</v>
      </c>
      <c r="U1510" s="2" t="s">
        <v>176</v>
      </c>
      <c r="W1510" s="2" t="s">
        <v>176</v>
      </c>
      <c r="X1510" s="2" t="s">
        <v>9165</v>
      </c>
      <c r="Y1510" s="2" t="s">
        <v>9166</v>
      </c>
      <c r="Z1510" s="6"/>
      <c r="AA1510" s="2" t="s">
        <v>9167</v>
      </c>
      <c r="AB1510" s="2" t="s">
        <v>654</v>
      </c>
      <c r="AC1510" s="2" t="s">
        <v>632</v>
      </c>
      <c r="AD1510" s="10"/>
      <c r="AE1510" s="11"/>
      <c r="AF1510" s="11"/>
      <c r="AG1510" s="11">
        <v>87457373</v>
      </c>
      <c r="AH1510" s="11"/>
      <c r="AI1510" s="11"/>
      <c r="AJ1510" s="11">
        <v>87457373</v>
      </c>
      <c r="AK1510" s="12">
        <v>2</v>
      </c>
      <c r="AL1510" s="12" t="s">
        <v>7377</v>
      </c>
      <c r="AM1510" s="2">
        <v>0</v>
      </c>
      <c r="AN1510" s="2">
        <v>0</v>
      </c>
      <c r="AO1510" s="2">
        <v>0</v>
      </c>
      <c r="AP1510" s="2">
        <v>1</v>
      </c>
      <c r="AQ1510" s="2">
        <v>0</v>
      </c>
      <c r="AR1510" s="2">
        <v>0</v>
      </c>
      <c r="AS1510" s="2">
        <v>0</v>
      </c>
      <c r="AT1510" s="2">
        <v>0</v>
      </c>
      <c r="BB1510" s="2" t="str">
        <f>+PROPER(BD[[#This Row],[PRIMER_APELLIDO]])</f>
        <v>Palma</v>
      </c>
    </row>
    <row r="1511" spans="1:54" x14ac:dyDescent="0.25">
      <c r="A1511" s="2">
        <v>1510</v>
      </c>
      <c r="B1511" s="2">
        <v>24951</v>
      </c>
      <c r="C1511" s="5" t="s">
        <v>619</v>
      </c>
      <c r="D1511" s="2" t="s">
        <v>620</v>
      </c>
      <c r="E1511" s="6" t="s">
        <v>9168</v>
      </c>
      <c r="F1511" s="6">
        <v>19988645</v>
      </c>
      <c r="G1511" s="3">
        <v>43</v>
      </c>
      <c r="I1511" s="7"/>
      <c r="J1511" s="7"/>
      <c r="K1511" s="8">
        <v>42.709589041095889</v>
      </c>
      <c r="L1511" s="2" t="s">
        <v>8506</v>
      </c>
      <c r="M1511" s="2" t="s">
        <v>9169</v>
      </c>
      <c r="N1511" s="2" t="s">
        <v>151</v>
      </c>
      <c r="O1511" s="2" t="s">
        <v>474</v>
      </c>
      <c r="P1511" s="2" t="s">
        <v>649</v>
      </c>
      <c r="Q1511" s="2" t="s">
        <v>351</v>
      </c>
      <c r="R1511" s="9">
        <v>29207</v>
      </c>
      <c r="S1511" s="9">
        <v>29207</v>
      </c>
      <c r="T1511" s="2" t="s">
        <v>691</v>
      </c>
      <c r="U1511" s="2" t="s">
        <v>691</v>
      </c>
      <c r="V1511" s="2" t="s">
        <v>716</v>
      </c>
      <c r="W1511" s="2" t="s">
        <v>691</v>
      </c>
      <c r="X1511" s="2" t="s">
        <v>9170</v>
      </c>
      <c r="Y1511" s="2" t="s">
        <v>9171</v>
      </c>
      <c r="Z1511" s="6">
        <v>84024516</v>
      </c>
      <c r="AA1511" s="2" t="s">
        <v>9172</v>
      </c>
      <c r="AB1511" s="2" t="s">
        <v>654</v>
      </c>
      <c r="AC1511" s="2" t="s">
        <v>632</v>
      </c>
      <c r="AD1511" s="10">
        <v>84024516</v>
      </c>
      <c r="AE1511" s="11"/>
      <c r="AF1511" s="11"/>
      <c r="AG1511" s="11">
        <v>84024516</v>
      </c>
      <c r="AH1511" s="11"/>
      <c r="AI1511" s="11"/>
      <c r="AJ1511" s="11">
        <v>84024516</v>
      </c>
      <c r="AK1511" s="12">
        <v>3</v>
      </c>
      <c r="AL1511" s="12" t="s">
        <v>7377</v>
      </c>
      <c r="AM1511" s="2">
        <v>0</v>
      </c>
      <c r="AN1511" s="2">
        <v>0</v>
      </c>
      <c r="AO1511" s="2">
        <v>0</v>
      </c>
      <c r="AP1511" s="2">
        <v>1</v>
      </c>
      <c r="AQ1511" s="2">
        <v>0</v>
      </c>
      <c r="AR1511" s="2">
        <v>0</v>
      </c>
      <c r="AS1511" s="2">
        <v>0</v>
      </c>
      <c r="AT1511" s="2">
        <v>0</v>
      </c>
      <c r="AZ1511" s="2" t="s">
        <v>9173</v>
      </c>
      <c r="BB1511" s="2" t="str">
        <f>+PROPER(BD[[#This Row],[PRIMER_APELLIDO]])</f>
        <v>Zeledon</v>
      </c>
    </row>
    <row r="1512" spans="1:54" x14ac:dyDescent="0.25">
      <c r="A1512" s="2">
        <v>1511</v>
      </c>
      <c r="B1512" s="2">
        <v>23916</v>
      </c>
      <c r="C1512" s="5" t="s">
        <v>619</v>
      </c>
      <c r="D1512" s="2" t="s">
        <v>620</v>
      </c>
      <c r="E1512" s="6" t="s">
        <v>9174</v>
      </c>
      <c r="F1512" s="6">
        <v>20052733</v>
      </c>
      <c r="G1512" s="3">
        <v>43</v>
      </c>
      <c r="I1512" s="7"/>
      <c r="J1512" s="7"/>
      <c r="K1512" s="8">
        <v>42.712328767123289</v>
      </c>
      <c r="L1512" s="2" t="s">
        <v>4328</v>
      </c>
      <c r="M1512" s="2" t="s">
        <v>903</v>
      </c>
      <c r="N1512" s="2" t="s">
        <v>540</v>
      </c>
      <c r="O1512" s="2" t="s">
        <v>9175</v>
      </c>
      <c r="P1512" s="2" t="s">
        <v>649</v>
      </c>
      <c r="Q1512" s="2" t="s">
        <v>351</v>
      </c>
      <c r="R1512" s="9">
        <v>29206</v>
      </c>
      <c r="S1512" s="9">
        <v>29206</v>
      </c>
      <c r="T1512" s="2" t="s">
        <v>1005</v>
      </c>
      <c r="U1512" s="2" t="s">
        <v>1005</v>
      </c>
      <c r="V1512" s="2" t="s">
        <v>1006</v>
      </c>
      <c r="W1512" s="2" t="s">
        <v>1006</v>
      </c>
      <c r="X1512" s="2" t="s">
        <v>9176</v>
      </c>
      <c r="Y1512" s="2" t="s">
        <v>9177</v>
      </c>
      <c r="Z1512" s="6"/>
      <c r="AA1512" s="2">
        <v>85657797</v>
      </c>
      <c r="AB1512" s="2" t="s">
        <v>654</v>
      </c>
      <c r="AC1512" s="2" t="s">
        <v>632</v>
      </c>
      <c r="AD1512" s="10"/>
      <c r="AE1512" s="11"/>
      <c r="AF1512" s="11">
        <v>85657797</v>
      </c>
      <c r="AG1512" s="11"/>
      <c r="AH1512" s="11"/>
      <c r="AI1512" s="11"/>
      <c r="AJ1512" s="11">
        <v>85657797</v>
      </c>
      <c r="AK1512" s="12">
        <v>1</v>
      </c>
      <c r="AL1512" s="12" t="s">
        <v>7377</v>
      </c>
      <c r="AM1512" s="2">
        <v>0</v>
      </c>
      <c r="AN1512" s="2">
        <v>0</v>
      </c>
      <c r="AO1512" s="2">
        <v>0</v>
      </c>
      <c r="AP1512" s="2">
        <v>1</v>
      </c>
      <c r="AQ1512" s="2">
        <v>0</v>
      </c>
      <c r="AR1512" s="2">
        <v>0</v>
      </c>
      <c r="AS1512" s="2">
        <v>0</v>
      </c>
      <c r="AT1512" s="2">
        <v>0</v>
      </c>
      <c r="BB1512" s="2" t="str">
        <f>+PROPER(BD[[#This Row],[PRIMER_APELLIDO]])</f>
        <v>Penglas</v>
      </c>
    </row>
    <row r="1513" spans="1:54" x14ac:dyDescent="0.25">
      <c r="A1513" s="2">
        <v>1512</v>
      </c>
      <c r="B1513" s="2">
        <v>23968</v>
      </c>
      <c r="C1513" s="5" t="s">
        <v>619</v>
      </c>
      <c r="D1513" s="2" t="s">
        <v>620</v>
      </c>
      <c r="E1513" s="6" t="s">
        <v>9178</v>
      </c>
      <c r="F1513" s="6">
        <v>19831699</v>
      </c>
      <c r="G1513" s="3">
        <v>43</v>
      </c>
      <c r="I1513" s="7"/>
      <c r="J1513" s="7"/>
      <c r="K1513" s="8">
        <v>42.723287671232875</v>
      </c>
      <c r="L1513" s="2" t="s">
        <v>1169</v>
      </c>
      <c r="M1513" s="2" t="s">
        <v>667</v>
      </c>
      <c r="N1513" s="2" t="s">
        <v>63</v>
      </c>
      <c r="O1513" s="2" t="s">
        <v>356</v>
      </c>
      <c r="P1513" s="2" t="s">
        <v>626</v>
      </c>
      <c r="Q1513" s="2" t="s">
        <v>351</v>
      </c>
      <c r="R1513" s="9">
        <v>29202</v>
      </c>
      <c r="S1513" s="9">
        <v>29202</v>
      </c>
      <c r="T1513" s="2" t="s">
        <v>627</v>
      </c>
      <c r="U1513" s="2" t="s">
        <v>1044</v>
      </c>
      <c r="V1513" s="2" t="s">
        <v>627</v>
      </c>
      <c r="W1513" s="2" t="s">
        <v>5662</v>
      </c>
      <c r="X1513" s="2" t="s">
        <v>9179</v>
      </c>
      <c r="Y1513" s="2" t="s">
        <v>9180</v>
      </c>
      <c r="Z1513" s="6">
        <v>57354782</v>
      </c>
      <c r="AA1513" s="2">
        <v>82712976</v>
      </c>
      <c r="AB1513" s="2" t="s">
        <v>642</v>
      </c>
      <c r="AC1513" s="2" t="s">
        <v>632</v>
      </c>
      <c r="AD1513" s="10">
        <v>57354782</v>
      </c>
      <c r="AE1513" s="11"/>
      <c r="AF1513" s="11">
        <v>82712976</v>
      </c>
      <c r="AG1513" s="11"/>
      <c r="AH1513" s="11"/>
      <c r="AI1513" s="11"/>
      <c r="AJ1513" s="11">
        <v>57354782</v>
      </c>
      <c r="AK1513" s="12">
        <v>2</v>
      </c>
      <c r="AL1513" s="12" t="s">
        <v>7377</v>
      </c>
      <c r="AM1513" s="2">
        <v>0</v>
      </c>
      <c r="AN1513" s="2">
        <v>0</v>
      </c>
      <c r="AO1513" s="2">
        <v>0</v>
      </c>
      <c r="AP1513" s="2">
        <v>1</v>
      </c>
      <c r="AQ1513" s="2">
        <v>0</v>
      </c>
      <c r="AR1513" s="2">
        <v>0</v>
      </c>
      <c r="AS1513" s="2">
        <v>0</v>
      </c>
      <c r="AT1513" s="2">
        <v>0</v>
      </c>
      <c r="AZ1513" s="2" t="s">
        <v>9181</v>
      </c>
      <c r="BB1513" s="2" t="str">
        <f>+PROPER(BD[[#This Row],[PRIMER_APELLIDO]])</f>
        <v>Molina</v>
      </c>
    </row>
    <row r="1514" spans="1:54" x14ac:dyDescent="0.25">
      <c r="A1514" s="2">
        <v>1513</v>
      </c>
      <c r="B1514" s="2">
        <v>31496</v>
      </c>
      <c r="C1514" s="5" t="s">
        <v>619</v>
      </c>
      <c r="D1514" s="2" t="s">
        <v>620</v>
      </c>
      <c r="E1514" s="6" t="s">
        <v>9182</v>
      </c>
      <c r="F1514" s="6">
        <v>21669385</v>
      </c>
      <c r="G1514" s="3">
        <v>43</v>
      </c>
      <c r="I1514" s="7"/>
      <c r="J1514" s="7"/>
      <c r="K1514" s="8">
        <v>42.739726027397261</v>
      </c>
      <c r="L1514" s="2" t="s">
        <v>9183</v>
      </c>
      <c r="M1514" s="2" t="s">
        <v>9184</v>
      </c>
      <c r="N1514" s="2" t="s">
        <v>10</v>
      </c>
      <c r="O1514" s="2" t="s">
        <v>138</v>
      </c>
      <c r="P1514" s="2" t="s">
        <v>626</v>
      </c>
      <c r="Q1514" s="2" t="s">
        <v>351</v>
      </c>
      <c r="R1514" s="9">
        <v>29196</v>
      </c>
      <c r="S1514" s="9">
        <v>29196</v>
      </c>
      <c r="T1514" s="2" t="s">
        <v>176</v>
      </c>
      <c r="U1514" s="2" t="s">
        <v>176</v>
      </c>
      <c r="V1514" s="2" t="s">
        <v>650</v>
      </c>
      <c r="W1514" s="2" t="s">
        <v>176</v>
      </c>
      <c r="X1514" s="2" t="s">
        <v>9185</v>
      </c>
      <c r="Y1514" s="2" t="s">
        <v>9186</v>
      </c>
      <c r="Z1514" s="6">
        <v>83384490</v>
      </c>
      <c r="AA1514" s="2">
        <v>88119994</v>
      </c>
      <c r="AB1514" s="2" t="s">
        <v>642</v>
      </c>
      <c r="AC1514" s="2" t="s">
        <v>632</v>
      </c>
      <c r="AD1514" s="10">
        <v>83384490</v>
      </c>
      <c r="AE1514" s="11"/>
      <c r="AF1514" s="11">
        <v>88119994</v>
      </c>
      <c r="AG1514" s="11"/>
      <c r="AH1514" s="11"/>
      <c r="AI1514" s="11"/>
      <c r="AJ1514" s="11">
        <v>83384490</v>
      </c>
      <c r="AK1514" s="12">
        <v>2</v>
      </c>
      <c r="AL1514" s="12" t="s">
        <v>7377</v>
      </c>
      <c r="AM1514" s="2">
        <v>0</v>
      </c>
      <c r="AN1514" s="2">
        <v>0</v>
      </c>
      <c r="AO1514" s="2">
        <v>0</v>
      </c>
      <c r="AP1514" s="2">
        <v>1</v>
      </c>
      <c r="AQ1514" s="2">
        <v>0</v>
      </c>
      <c r="AR1514" s="2">
        <v>0</v>
      </c>
      <c r="AS1514" s="2">
        <v>0</v>
      </c>
      <c r="AT1514" s="2">
        <v>0</v>
      </c>
      <c r="AZ1514" s="2" t="s">
        <v>9187</v>
      </c>
      <c r="BB1514" s="2" t="str">
        <f>+PROPER(BD[[#This Row],[PRIMER_APELLIDO]])</f>
        <v>Garcia</v>
      </c>
    </row>
    <row r="1515" spans="1:54" x14ac:dyDescent="0.25">
      <c r="A1515" s="2">
        <v>1514</v>
      </c>
      <c r="B1515" s="2">
        <v>34940</v>
      </c>
      <c r="C1515" s="5" t="s">
        <v>619</v>
      </c>
      <c r="D1515" s="2" t="s">
        <v>620</v>
      </c>
      <c r="E1515" s="6" t="s">
        <v>9188</v>
      </c>
      <c r="F1515" s="6">
        <v>22736190</v>
      </c>
      <c r="G1515" s="3">
        <v>43</v>
      </c>
      <c r="I1515" s="7"/>
      <c r="J1515" s="7"/>
      <c r="K1515" s="8">
        <v>42.745205479452054</v>
      </c>
      <c r="L1515" s="2" t="s">
        <v>9189</v>
      </c>
      <c r="M1515" s="2" t="s">
        <v>9190</v>
      </c>
      <c r="N1515" s="2" t="s">
        <v>27</v>
      </c>
      <c r="O1515" s="2" t="s">
        <v>247</v>
      </c>
      <c r="P1515" s="2" t="s">
        <v>649</v>
      </c>
      <c r="Q1515" s="2" t="s">
        <v>351</v>
      </c>
      <c r="R1515" s="9">
        <v>29194</v>
      </c>
      <c r="S1515" s="9">
        <v>29194</v>
      </c>
      <c r="T1515" s="2" t="s">
        <v>1044</v>
      </c>
      <c r="U1515" s="2" t="s">
        <v>627</v>
      </c>
      <c r="V1515" s="2" t="s">
        <v>1045</v>
      </c>
      <c r="W1515" s="2" t="s">
        <v>1498</v>
      </c>
      <c r="X1515" s="2" t="s">
        <v>9191</v>
      </c>
      <c r="Y1515" s="2" t="s">
        <v>9192</v>
      </c>
      <c r="Z1515" s="6"/>
      <c r="AA1515" s="2">
        <v>22710095</v>
      </c>
      <c r="AB1515" s="2" t="s">
        <v>798</v>
      </c>
      <c r="AC1515" s="2" t="s">
        <v>632</v>
      </c>
      <c r="AD1515" s="10"/>
      <c r="AE1515" s="11"/>
      <c r="AF1515" s="11"/>
      <c r="AG1515" s="11"/>
      <c r="AH1515" s="11"/>
      <c r="AI1515" s="11"/>
      <c r="AJ1515" s="11"/>
      <c r="AK1515" s="12">
        <v>1</v>
      </c>
      <c r="AL1515" s="12" t="s">
        <v>7377</v>
      </c>
      <c r="AM1515" s="2">
        <v>0</v>
      </c>
      <c r="AN1515" s="2">
        <v>0</v>
      </c>
      <c r="AO1515" s="2">
        <v>0</v>
      </c>
      <c r="AP1515" s="2">
        <v>1</v>
      </c>
      <c r="AQ1515" s="2">
        <v>0</v>
      </c>
      <c r="AR1515" s="2">
        <v>0</v>
      </c>
      <c r="AS1515" s="2">
        <v>0</v>
      </c>
      <c r="AT1515" s="2">
        <v>0</v>
      </c>
      <c r="BB1515" s="2" t="str">
        <f>+PROPER(BD[[#This Row],[PRIMER_APELLIDO]])</f>
        <v>Montalvan</v>
      </c>
    </row>
    <row r="1516" spans="1:54" x14ac:dyDescent="0.25">
      <c r="A1516" s="2">
        <v>1515</v>
      </c>
      <c r="B1516" s="2">
        <v>20201</v>
      </c>
      <c r="C1516" s="5" t="s">
        <v>619</v>
      </c>
      <c r="D1516" s="2" t="s">
        <v>620</v>
      </c>
      <c r="E1516" s="6" t="s">
        <v>9193</v>
      </c>
      <c r="F1516" s="6">
        <v>17423601</v>
      </c>
      <c r="G1516" s="3">
        <v>43</v>
      </c>
      <c r="I1516" s="7"/>
      <c r="J1516" s="7"/>
      <c r="K1516" s="8">
        <v>42.758904109589039</v>
      </c>
      <c r="L1516" s="2" t="s">
        <v>4738</v>
      </c>
      <c r="M1516" s="2" t="s">
        <v>4357</v>
      </c>
      <c r="N1516" s="2" t="s">
        <v>185</v>
      </c>
      <c r="O1516" s="2" t="s">
        <v>207</v>
      </c>
      <c r="P1516" s="2" t="s">
        <v>626</v>
      </c>
      <c r="Q1516" s="2" t="s">
        <v>351</v>
      </c>
      <c r="R1516" s="9">
        <v>29189</v>
      </c>
      <c r="S1516" s="9">
        <v>29189</v>
      </c>
      <c r="T1516" s="2" t="s">
        <v>176</v>
      </c>
      <c r="U1516" s="2" t="s">
        <v>176</v>
      </c>
      <c r="V1516" s="2" t="s">
        <v>650</v>
      </c>
      <c r="W1516" s="2" t="s">
        <v>176</v>
      </c>
      <c r="X1516" s="2" t="s">
        <v>9194</v>
      </c>
      <c r="Y1516" s="2" t="s">
        <v>9195</v>
      </c>
      <c r="Z1516" s="6">
        <v>78623043</v>
      </c>
      <c r="AA1516" s="2">
        <v>86805948</v>
      </c>
      <c r="AB1516" s="2" t="s">
        <v>654</v>
      </c>
      <c r="AC1516" s="2" t="s">
        <v>632</v>
      </c>
      <c r="AD1516" s="10">
        <v>78623043</v>
      </c>
      <c r="AE1516" s="11"/>
      <c r="AF1516" s="11">
        <v>86805948</v>
      </c>
      <c r="AG1516" s="11"/>
      <c r="AH1516" s="11"/>
      <c r="AI1516" s="11"/>
      <c r="AJ1516" s="11">
        <v>78623043</v>
      </c>
      <c r="AK1516" s="12">
        <v>2</v>
      </c>
      <c r="AL1516" s="12" t="s">
        <v>7377</v>
      </c>
      <c r="AM1516" s="2">
        <v>0</v>
      </c>
      <c r="AN1516" s="2">
        <v>0</v>
      </c>
      <c r="AO1516" s="2">
        <v>0</v>
      </c>
      <c r="AP1516" s="2">
        <v>1</v>
      </c>
      <c r="AQ1516" s="2">
        <v>0</v>
      </c>
      <c r="AR1516" s="2">
        <v>0</v>
      </c>
      <c r="AS1516" s="2">
        <v>0</v>
      </c>
      <c r="AT1516" s="2">
        <v>0</v>
      </c>
      <c r="AZ1516" s="2" t="s">
        <v>9196</v>
      </c>
      <c r="BB1516" s="2" t="str">
        <f>+PROPER(BD[[#This Row],[PRIMER_APELLIDO]])</f>
        <v>Rodriguez</v>
      </c>
    </row>
    <row r="1517" spans="1:54" x14ac:dyDescent="0.25">
      <c r="A1517" s="2">
        <v>1516</v>
      </c>
      <c r="B1517" s="2">
        <v>24892</v>
      </c>
      <c r="C1517" s="5" t="s">
        <v>619</v>
      </c>
      <c r="D1517" s="2" t="s">
        <v>620</v>
      </c>
      <c r="E1517" s="6" t="s">
        <v>9197</v>
      </c>
      <c r="F1517" s="6">
        <v>20892962</v>
      </c>
      <c r="G1517" s="3">
        <v>43</v>
      </c>
      <c r="I1517" s="7"/>
      <c r="J1517" s="7"/>
      <c r="K1517" s="8">
        <v>42.761643835616439</v>
      </c>
      <c r="L1517" s="2" t="s">
        <v>1378</v>
      </c>
      <c r="M1517" s="2" t="s">
        <v>724</v>
      </c>
      <c r="N1517" s="2" t="s">
        <v>14</v>
      </c>
      <c r="O1517" s="2" t="s">
        <v>445</v>
      </c>
      <c r="P1517" s="2" t="s">
        <v>626</v>
      </c>
      <c r="Q1517" s="2" t="s">
        <v>351</v>
      </c>
      <c r="R1517" s="9">
        <v>29188</v>
      </c>
      <c r="S1517" s="9">
        <v>29188</v>
      </c>
      <c r="T1517" s="2" t="s">
        <v>176</v>
      </c>
      <c r="U1517" s="2" t="s">
        <v>176</v>
      </c>
      <c r="V1517" s="2" t="s">
        <v>650</v>
      </c>
      <c r="W1517" s="2" t="s">
        <v>176</v>
      </c>
      <c r="X1517" s="2" t="s">
        <v>9198</v>
      </c>
      <c r="Y1517" s="2" t="s">
        <v>9199</v>
      </c>
      <c r="Z1517" s="6">
        <v>77673083</v>
      </c>
      <c r="AA1517" s="2">
        <v>88340492</v>
      </c>
      <c r="AB1517" s="2" t="s">
        <v>654</v>
      </c>
      <c r="AC1517" s="2" t="s">
        <v>632</v>
      </c>
      <c r="AD1517" s="10">
        <v>77673083</v>
      </c>
      <c r="AE1517" s="11"/>
      <c r="AF1517" s="11">
        <v>88340492</v>
      </c>
      <c r="AG1517" s="11"/>
      <c r="AH1517" s="11"/>
      <c r="AI1517" s="11"/>
      <c r="AJ1517" s="11">
        <v>77673083</v>
      </c>
      <c r="AK1517" s="12">
        <v>2</v>
      </c>
      <c r="AL1517" s="12" t="s">
        <v>7377</v>
      </c>
      <c r="AM1517" s="2">
        <v>0</v>
      </c>
      <c r="AN1517" s="2">
        <v>0</v>
      </c>
      <c r="AO1517" s="2">
        <v>0</v>
      </c>
      <c r="AP1517" s="2">
        <v>1</v>
      </c>
      <c r="AQ1517" s="2">
        <v>0</v>
      </c>
      <c r="AR1517" s="2">
        <v>0</v>
      </c>
      <c r="AS1517" s="2">
        <v>0</v>
      </c>
      <c r="AT1517" s="2">
        <v>0</v>
      </c>
      <c r="AZ1517" s="2" t="s">
        <v>9200</v>
      </c>
      <c r="BB1517" s="2" t="str">
        <f>+PROPER(BD[[#This Row],[PRIMER_APELLIDO]])</f>
        <v>Gonzalez</v>
      </c>
    </row>
    <row r="1518" spans="1:54" x14ac:dyDescent="0.25">
      <c r="A1518" s="2">
        <v>1517</v>
      </c>
      <c r="B1518" s="2">
        <v>55259</v>
      </c>
      <c r="C1518" s="5" t="s">
        <v>619</v>
      </c>
      <c r="D1518" s="2" t="s">
        <v>620</v>
      </c>
      <c r="E1518" s="6" t="s">
        <v>9201</v>
      </c>
      <c r="F1518" s="6"/>
      <c r="G1518" s="3">
        <v>43</v>
      </c>
      <c r="I1518" s="7"/>
      <c r="J1518" s="7"/>
      <c r="K1518" s="8">
        <v>42.767123287671232</v>
      </c>
      <c r="L1518" s="2" t="s">
        <v>4328</v>
      </c>
      <c r="M1518" s="2" t="s">
        <v>904</v>
      </c>
      <c r="N1518" s="2" t="s">
        <v>541</v>
      </c>
      <c r="O1518" s="2" t="s">
        <v>9202</v>
      </c>
      <c r="P1518" s="2" t="s">
        <v>649</v>
      </c>
      <c r="Q1518" s="2" t="s">
        <v>351</v>
      </c>
      <c r="R1518" s="9">
        <v>29186</v>
      </c>
      <c r="S1518" s="9">
        <v>29186</v>
      </c>
      <c r="T1518" s="2" t="s">
        <v>669</v>
      </c>
      <c r="U1518" s="2" t="s">
        <v>669</v>
      </c>
      <c r="V1518" s="2" t="s">
        <v>669</v>
      </c>
      <c r="W1518" s="2" t="s">
        <v>669</v>
      </c>
      <c r="X1518" s="2" t="s">
        <v>9203</v>
      </c>
      <c r="Y1518" s="2" t="s">
        <v>9204</v>
      </c>
      <c r="Z1518" s="6">
        <v>57057179</v>
      </c>
      <c r="AA1518" s="2">
        <v>57057179</v>
      </c>
      <c r="AB1518" s="2" t="s">
        <v>1030</v>
      </c>
      <c r="AC1518" s="2" t="s">
        <v>632</v>
      </c>
      <c r="AD1518" s="10">
        <v>57057179</v>
      </c>
      <c r="AE1518" s="11"/>
      <c r="AF1518" s="11">
        <v>57057179</v>
      </c>
      <c r="AG1518" s="11"/>
      <c r="AH1518" s="11"/>
      <c r="AI1518" s="11"/>
      <c r="AJ1518" s="11">
        <v>57057179</v>
      </c>
      <c r="AK1518" s="12">
        <v>2</v>
      </c>
      <c r="AL1518" s="12" t="s">
        <v>7377</v>
      </c>
      <c r="AM1518" s="2">
        <v>0</v>
      </c>
      <c r="AN1518" s="2">
        <v>0</v>
      </c>
      <c r="AO1518" s="2">
        <v>0</v>
      </c>
      <c r="AP1518" s="2">
        <v>1</v>
      </c>
      <c r="AQ1518" s="2">
        <v>0</v>
      </c>
      <c r="AR1518" s="2">
        <v>0</v>
      </c>
      <c r="AS1518" s="2">
        <v>0</v>
      </c>
      <c r="AT1518" s="2">
        <v>0</v>
      </c>
      <c r="AZ1518" s="2" t="s">
        <v>9205</v>
      </c>
      <c r="BB1518" s="2" t="str">
        <f>+PROPER(BD[[#This Row],[PRIMER_APELLIDO]])</f>
        <v>Leal</v>
      </c>
    </row>
    <row r="1519" spans="1:54" x14ac:dyDescent="0.25">
      <c r="A1519" s="2">
        <v>1518</v>
      </c>
      <c r="B1519" s="2">
        <v>68668</v>
      </c>
      <c r="C1519" s="5" t="s">
        <v>619</v>
      </c>
      <c r="D1519" s="2" t="s">
        <v>620</v>
      </c>
      <c r="E1519" s="6" t="s">
        <v>9206</v>
      </c>
      <c r="F1519" s="6"/>
      <c r="G1519" s="3">
        <v>43</v>
      </c>
      <c r="I1519" s="7"/>
      <c r="J1519" s="7"/>
      <c r="K1519" s="8">
        <v>42.772602739726025</v>
      </c>
      <c r="L1519" s="2" t="s">
        <v>647</v>
      </c>
      <c r="M1519" s="2" t="s">
        <v>904</v>
      </c>
      <c r="N1519" s="2" t="s">
        <v>50</v>
      </c>
      <c r="O1519" s="2" t="s">
        <v>218</v>
      </c>
      <c r="P1519" s="2" t="s">
        <v>649</v>
      </c>
      <c r="Q1519" s="2" t="s">
        <v>351</v>
      </c>
      <c r="R1519" s="9">
        <v>29184</v>
      </c>
      <c r="S1519" s="9">
        <v>29184</v>
      </c>
      <c r="T1519" s="2" t="s">
        <v>705</v>
      </c>
      <c r="U1519" s="2" t="s">
        <v>705</v>
      </c>
      <c r="V1519" s="2" t="s">
        <v>8841</v>
      </c>
      <c r="W1519" s="2" t="s">
        <v>8841</v>
      </c>
      <c r="X1519" s="2" t="s">
        <v>9207</v>
      </c>
      <c r="Y1519" s="2" t="s">
        <v>9208</v>
      </c>
      <c r="Z1519" s="6">
        <v>76138420</v>
      </c>
      <c r="AA1519" s="2">
        <v>76138420</v>
      </c>
      <c r="AB1519" s="2" t="s">
        <v>798</v>
      </c>
      <c r="AC1519" s="2" t="s">
        <v>632</v>
      </c>
      <c r="AD1519" s="10">
        <v>76138420</v>
      </c>
      <c r="AE1519" s="11"/>
      <c r="AF1519" s="11">
        <v>76138420</v>
      </c>
      <c r="AG1519" s="11"/>
      <c r="AH1519" s="11"/>
      <c r="AI1519" s="11"/>
      <c r="AJ1519" s="11">
        <v>76138420</v>
      </c>
      <c r="AK1519" s="12">
        <v>2</v>
      </c>
      <c r="AL1519" s="12" t="s">
        <v>7377</v>
      </c>
      <c r="AM1519" s="2">
        <v>0</v>
      </c>
      <c r="AN1519" s="2">
        <v>0</v>
      </c>
      <c r="AO1519" s="2">
        <v>0</v>
      </c>
      <c r="AP1519" s="2">
        <v>1</v>
      </c>
      <c r="AQ1519" s="2">
        <v>0</v>
      </c>
      <c r="AR1519" s="2">
        <v>0</v>
      </c>
      <c r="AS1519" s="2">
        <v>0</v>
      </c>
      <c r="AT1519" s="2">
        <v>0</v>
      </c>
      <c r="AZ1519" s="2" t="s">
        <v>9209</v>
      </c>
      <c r="BB1519" s="2" t="str">
        <f>+PROPER(BD[[#This Row],[PRIMER_APELLIDO]])</f>
        <v>Somarriba</v>
      </c>
    </row>
    <row r="1520" spans="1:54" x14ac:dyDescent="0.25">
      <c r="A1520" s="2">
        <v>1519</v>
      </c>
      <c r="B1520" s="2">
        <v>24359</v>
      </c>
      <c r="C1520" s="5" t="s">
        <v>619</v>
      </c>
      <c r="D1520" s="2" t="s">
        <v>620</v>
      </c>
      <c r="E1520" s="6" t="s">
        <v>9210</v>
      </c>
      <c r="F1520" s="6">
        <v>17275125</v>
      </c>
      <c r="G1520" s="3">
        <v>43</v>
      </c>
      <c r="I1520" s="7"/>
      <c r="J1520" s="7"/>
      <c r="K1520" s="8">
        <v>42.778082191780825</v>
      </c>
      <c r="L1520" s="2" t="s">
        <v>9211</v>
      </c>
      <c r="M1520" s="2" t="s">
        <v>961</v>
      </c>
      <c r="N1520" s="2" t="s">
        <v>195</v>
      </c>
      <c r="O1520" s="2" t="s">
        <v>85</v>
      </c>
      <c r="P1520" s="2" t="s">
        <v>626</v>
      </c>
      <c r="Q1520" s="2" t="s">
        <v>351</v>
      </c>
      <c r="R1520" s="9">
        <v>29182</v>
      </c>
      <c r="S1520" s="9">
        <v>29182</v>
      </c>
      <c r="U1520" s="2" t="s">
        <v>1104</v>
      </c>
      <c r="W1520" s="2" t="s">
        <v>1106</v>
      </c>
      <c r="X1520" s="2" t="s">
        <v>9212</v>
      </c>
      <c r="Y1520" s="2" t="s">
        <v>9213</v>
      </c>
      <c r="Z1520" s="6"/>
      <c r="AA1520" s="2">
        <v>87443567</v>
      </c>
      <c r="AB1520" s="2" t="s">
        <v>798</v>
      </c>
      <c r="AC1520" s="2" t="s">
        <v>632</v>
      </c>
      <c r="AD1520" s="10"/>
      <c r="AE1520" s="11"/>
      <c r="AF1520" s="11">
        <v>87443567</v>
      </c>
      <c r="AG1520" s="11"/>
      <c r="AH1520" s="11"/>
      <c r="AI1520" s="11"/>
      <c r="AJ1520" s="11">
        <v>87443567</v>
      </c>
      <c r="AK1520" s="12">
        <v>1</v>
      </c>
      <c r="AL1520" s="12" t="s">
        <v>7377</v>
      </c>
      <c r="AM1520" s="2">
        <v>0</v>
      </c>
      <c r="AN1520" s="2">
        <v>0</v>
      </c>
      <c r="AO1520" s="2">
        <v>0</v>
      </c>
      <c r="AP1520" s="2">
        <v>1</v>
      </c>
      <c r="AQ1520" s="2">
        <v>0</v>
      </c>
      <c r="AR1520" s="2">
        <v>0</v>
      </c>
      <c r="AS1520" s="2">
        <v>0</v>
      </c>
      <c r="AT1520" s="2">
        <v>0</v>
      </c>
      <c r="BB1520" s="2" t="str">
        <f>+PROPER(BD[[#This Row],[PRIMER_APELLIDO]])</f>
        <v>Videa</v>
      </c>
    </row>
    <row r="1521" spans="1:54" x14ac:dyDescent="0.25">
      <c r="A1521" s="2">
        <v>1520</v>
      </c>
      <c r="B1521" s="2">
        <v>22910</v>
      </c>
      <c r="C1521" s="5" t="s">
        <v>619</v>
      </c>
      <c r="D1521" s="2" t="s">
        <v>620</v>
      </c>
      <c r="E1521" s="6" t="s">
        <v>9214</v>
      </c>
      <c r="F1521" s="6">
        <v>20256126</v>
      </c>
      <c r="G1521" s="3">
        <v>43</v>
      </c>
      <c r="I1521" s="7"/>
      <c r="J1521" s="7"/>
      <c r="K1521" s="8">
        <v>42.780821917808218</v>
      </c>
      <c r="L1521" s="2" t="s">
        <v>648</v>
      </c>
      <c r="M1521" s="2" t="s">
        <v>1699</v>
      </c>
      <c r="N1521" s="2" t="s">
        <v>542</v>
      </c>
      <c r="O1521" s="2" t="s">
        <v>102</v>
      </c>
      <c r="P1521" s="2" t="s">
        <v>649</v>
      </c>
      <c r="Q1521" s="2" t="s">
        <v>351</v>
      </c>
      <c r="R1521" s="9">
        <v>29181</v>
      </c>
      <c r="S1521" s="9">
        <v>29181</v>
      </c>
      <c r="T1521" s="2" t="s">
        <v>705</v>
      </c>
      <c r="U1521" s="2" t="s">
        <v>705</v>
      </c>
      <c r="V1521" s="2" t="s">
        <v>725</v>
      </c>
      <c r="W1521" s="2" t="s">
        <v>725</v>
      </c>
      <c r="X1521" s="2" t="s">
        <v>9215</v>
      </c>
      <c r="Y1521" s="2" t="s">
        <v>9216</v>
      </c>
      <c r="Z1521" s="6">
        <v>88314879</v>
      </c>
      <c r="AA1521" s="2">
        <v>88314879</v>
      </c>
      <c r="AB1521" s="2" t="s">
        <v>654</v>
      </c>
      <c r="AC1521" s="2" t="s">
        <v>632</v>
      </c>
      <c r="AD1521" s="10">
        <v>88314879</v>
      </c>
      <c r="AE1521" s="11"/>
      <c r="AF1521" s="11">
        <v>88314879</v>
      </c>
      <c r="AG1521" s="11"/>
      <c r="AH1521" s="11"/>
      <c r="AI1521" s="11"/>
      <c r="AJ1521" s="11">
        <v>88314879</v>
      </c>
      <c r="AK1521" s="12">
        <v>2</v>
      </c>
      <c r="AL1521" s="12" t="s">
        <v>7377</v>
      </c>
      <c r="AM1521" s="2">
        <v>0</v>
      </c>
      <c r="AN1521" s="2">
        <v>0</v>
      </c>
      <c r="AO1521" s="2">
        <v>0</v>
      </c>
      <c r="AP1521" s="2">
        <v>1</v>
      </c>
      <c r="AQ1521" s="2">
        <v>0</v>
      </c>
      <c r="AR1521" s="2">
        <v>0</v>
      </c>
      <c r="AS1521" s="2">
        <v>0</v>
      </c>
      <c r="AT1521" s="2">
        <v>0</v>
      </c>
      <c r="AZ1521" s="2" t="s">
        <v>9217</v>
      </c>
      <c r="BB1521" s="2" t="str">
        <f>+PROPER(BD[[#This Row],[PRIMER_APELLIDO]])</f>
        <v>Millon</v>
      </c>
    </row>
    <row r="1522" spans="1:54" x14ac:dyDescent="0.25">
      <c r="A1522" s="2">
        <v>1521</v>
      </c>
      <c r="B1522" s="2">
        <v>22599</v>
      </c>
      <c r="C1522" s="5" t="s">
        <v>619</v>
      </c>
      <c r="D1522" s="2" t="s">
        <v>620</v>
      </c>
      <c r="E1522" s="6" t="s">
        <v>9218</v>
      </c>
      <c r="F1522" s="6">
        <v>20402127</v>
      </c>
      <c r="G1522" s="3">
        <v>43</v>
      </c>
      <c r="I1522" s="7"/>
      <c r="J1522" s="7"/>
      <c r="K1522" s="8">
        <v>42.783561643835618</v>
      </c>
      <c r="L1522" s="2" t="s">
        <v>9219</v>
      </c>
      <c r="M1522" s="2" t="s">
        <v>243</v>
      </c>
      <c r="N1522" s="2" t="s">
        <v>44</v>
      </c>
      <c r="O1522" s="2" t="s">
        <v>274</v>
      </c>
      <c r="P1522" s="2" t="s">
        <v>649</v>
      </c>
      <c r="Q1522" s="2" t="s">
        <v>351</v>
      </c>
      <c r="R1522" s="9">
        <v>29180</v>
      </c>
      <c r="S1522" s="9">
        <v>29180</v>
      </c>
      <c r="T1522" s="2" t="s">
        <v>176</v>
      </c>
      <c r="U1522" s="2" t="s">
        <v>176</v>
      </c>
      <c r="V1522" s="2" t="s">
        <v>650</v>
      </c>
      <c r="W1522" s="2" t="s">
        <v>176</v>
      </c>
      <c r="Y1522" s="2" t="s">
        <v>9220</v>
      </c>
      <c r="Z1522" s="6"/>
      <c r="AA1522" s="2">
        <v>23116616</v>
      </c>
      <c r="AB1522" s="2" t="s">
        <v>654</v>
      </c>
      <c r="AC1522" s="2" t="s">
        <v>632</v>
      </c>
      <c r="AD1522" s="10"/>
      <c r="AE1522" s="11"/>
      <c r="AF1522" s="11"/>
      <c r="AG1522" s="11"/>
      <c r="AH1522" s="11"/>
      <c r="AI1522" s="11"/>
      <c r="AJ1522" s="11"/>
      <c r="AK1522" s="12">
        <v>1</v>
      </c>
      <c r="AL1522" s="12" t="s">
        <v>7377</v>
      </c>
      <c r="AM1522" s="2">
        <v>0</v>
      </c>
      <c r="AN1522" s="2">
        <v>0</v>
      </c>
      <c r="AO1522" s="2">
        <v>0</v>
      </c>
      <c r="AP1522" s="2">
        <v>1</v>
      </c>
      <c r="AQ1522" s="2">
        <v>0</v>
      </c>
      <c r="AR1522" s="2">
        <v>0</v>
      </c>
      <c r="AS1522" s="2">
        <v>0</v>
      </c>
      <c r="AT1522" s="2">
        <v>0</v>
      </c>
      <c r="BB1522" s="2" t="str">
        <f>+PROPER(BD[[#This Row],[PRIMER_APELLIDO]])</f>
        <v>Martinez</v>
      </c>
    </row>
    <row r="1523" spans="1:54" x14ac:dyDescent="0.25">
      <c r="A1523" s="2">
        <v>1522</v>
      </c>
      <c r="B1523" s="2">
        <v>25520</v>
      </c>
      <c r="C1523" s="5" t="s">
        <v>619</v>
      </c>
      <c r="D1523" s="2" t="s">
        <v>620</v>
      </c>
      <c r="E1523" s="6" t="s">
        <v>9221</v>
      </c>
      <c r="F1523" s="6">
        <v>19022482</v>
      </c>
      <c r="G1523" s="3">
        <v>43</v>
      </c>
      <c r="I1523" s="7"/>
      <c r="J1523" s="7"/>
      <c r="K1523" s="8">
        <v>42.789041095890411</v>
      </c>
      <c r="L1523" s="2" t="s">
        <v>9222</v>
      </c>
      <c r="M1523" s="2" t="s">
        <v>769</v>
      </c>
      <c r="N1523" s="2" t="s">
        <v>32</v>
      </c>
      <c r="O1523" s="2" t="s">
        <v>85</v>
      </c>
      <c r="P1523" s="2" t="s">
        <v>626</v>
      </c>
      <c r="Q1523" s="2" t="s">
        <v>351</v>
      </c>
      <c r="R1523" s="9">
        <v>29178</v>
      </c>
      <c r="S1523" s="9">
        <v>29178</v>
      </c>
      <c r="U1523" s="2" t="s">
        <v>705</v>
      </c>
      <c r="W1523" s="2" t="s">
        <v>705</v>
      </c>
      <c r="X1523" s="2" t="s">
        <v>9223</v>
      </c>
      <c r="Y1523" s="2" t="s">
        <v>9224</v>
      </c>
      <c r="Z1523" s="6"/>
      <c r="AA1523" s="2" t="s">
        <v>9225</v>
      </c>
      <c r="AB1523" s="2" t="s">
        <v>642</v>
      </c>
      <c r="AC1523" s="2" t="s">
        <v>632</v>
      </c>
      <c r="AD1523" s="10"/>
      <c r="AE1523" s="11"/>
      <c r="AF1523" s="11"/>
      <c r="AG1523" s="11">
        <v>89950864</v>
      </c>
      <c r="AH1523" s="11"/>
      <c r="AI1523" s="11"/>
      <c r="AJ1523" s="11">
        <v>89950864</v>
      </c>
      <c r="AK1523" s="12">
        <v>2</v>
      </c>
      <c r="AL1523" s="12" t="s">
        <v>7377</v>
      </c>
      <c r="AM1523" s="2">
        <v>0</v>
      </c>
      <c r="AN1523" s="2">
        <v>0</v>
      </c>
      <c r="AO1523" s="2">
        <v>0</v>
      </c>
      <c r="AP1523" s="2">
        <v>1</v>
      </c>
      <c r="AQ1523" s="2">
        <v>0</v>
      </c>
      <c r="AR1523" s="2">
        <v>0</v>
      </c>
      <c r="AS1523" s="2">
        <v>0</v>
      </c>
      <c r="AT1523" s="2">
        <v>0</v>
      </c>
      <c r="BB1523" s="2" t="str">
        <f>+PROPER(BD[[#This Row],[PRIMER_APELLIDO]])</f>
        <v>Cruz</v>
      </c>
    </row>
    <row r="1524" spans="1:54" x14ac:dyDescent="0.25">
      <c r="A1524" s="2">
        <v>1523</v>
      </c>
      <c r="B1524" s="2">
        <v>20770</v>
      </c>
      <c r="C1524" s="5" t="s">
        <v>619</v>
      </c>
      <c r="D1524" s="2" t="s">
        <v>620</v>
      </c>
      <c r="E1524" s="6" t="s">
        <v>9226</v>
      </c>
      <c r="F1524" s="6">
        <v>17790420</v>
      </c>
      <c r="G1524" s="3">
        <v>43</v>
      </c>
      <c r="I1524" s="7"/>
      <c r="J1524" s="7"/>
      <c r="K1524" s="8">
        <v>42.794520547945204</v>
      </c>
      <c r="L1524" s="2" t="s">
        <v>5481</v>
      </c>
      <c r="M1524" s="2" t="s">
        <v>724</v>
      </c>
      <c r="N1524" s="2" t="s">
        <v>100</v>
      </c>
      <c r="O1524" s="2" t="s">
        <v>185</v>
      </c>
      <c r="P1524" s="2" t="s">
        <v>626</v>
      </c>
      <c r="Q1524" s="2" t="s">
        <v>351</v>
      </c>
      <c r="R1524" s="9">
        <v>29176</v>
      </c>
      <c r="S1524" s="9">
        <v>29176</v>
      </c>
      <c r="U1524" s="2" t="s">
        <v>732</v>
      </c>
      <c r="W1524" s="2" t="s">
        <v>848</v>
      </c>
      <c r="Y1524" s="2" t="s">
        <v>9227</v>
      </c>
      <c r="Z1524" s="6"/>
      <c r="AA1524" s="2">
        <v>22252922</v>
      </c>
      <c r="AB1524" s="2" t="s">
        <v>642</v>
      </c>
      <c r="AC1524" s="2" t="s">
        <v>632</v>
      </c>
      <c r="AD1524" s="10"/>
      <c r="AE1524" s="11"/>
      <c r="AF1524" s="11"/>
      <c r="AG1524" s="11"/>
      <c r="AH1524" s="11"/>
      <c r="AI1524" s="11"/>
      <c r="AJ1524" s="11"/>
      <c r="AK1524" s="12">
        <v>1</v>
      </c>
      <c r="AL1524" s="12" t="s">
        <v>7377</v>
      </c>
      <c r="AM1524" s="2">
        <v>0</v>
      </c>
      <c r="AN1524" s="2">
        <v>0</v>
      </c>
      <c r="AO1524" s="2">
        <v>0</v>
      </c>
      <c r="AP1524" s="2">
        <v>1</v>
      </c>
      <c r="AQ1524" s="2">
        <v>0</v>
      </c>
      <c r="AR1524" s="2">
        <v>0</v>
      </c>
      <c r="AS1524" s="2">
        <v>0</v>
      </c>
      <c r="AT1524" s="2">
        <v>0</v>
      </c>
      <c r="BB1524" s="2" t="str">
        <f>+PROPER(BD[[#This Row],[PRIMER_APELLIDO]])</f>
        <v>Castillo</v>
      </c>
    </row>
    <row r="1525" spans="1:54" x14ac:dyDescent="0.25">
      <c r="A1525" s="2">
        <v>1524</v>
      </c>
      <c r="B1525" s="2">
        <v>29926</v>
      </c>
      <c r="C1525" s="5" t="s">
        <v>619</v>
      </c>
      <c r="D1525" s="2" t="s">
        <v>620</v>
      </c>
      <c r="E1525" s="6" t="s">
        <v>9228</v>
      </c>
      <c r="F1525" s="6">
        <v>13597375</v>
      </c>
      <c r="G1525" s="3">
        <v>43</v>
      </c>
      <c r="I1525" s="7"/>
      <c r="J1525" s="7"/>
      <c r="K1525" s="8">
        <v>42.81095890410959</v>
      </c>
      <c r="L1525" s="2" t="s">
        <v>4040</v>
      </c>
      <c r="N1525" s="2" t="s">
        <v>36</v>
      </c>
      <c r="O1525" s="2" t="s">
        <v>9229</v>
      </c>
      <c r="P1525" s="2" t="s">
        <v>626</v>
      </c>
      <c r="Q1525" s="2" t="s">
        <v>351</v>
      </c>
      <c r="R1525" s="9">
        <v>29170</v>
      </c>
      <c r="S1525" s="9">
        <v>29170</v>
      </c>
      <c r="T1525" s="2" t="s">
        <v>1104</v>
      </c>
      <c r="U1525" s="2" t="s">
        <v>1104</v>
      </c>
      <c r="V1525" s="2" t="s">
        <v>9230</v>
      </c>
      <c r="W1525" s="2" t="s">
        <v>9230</v>
      </c>
      <c r="X1525" s="2" t="s">
        <v>9231</v>
      </c>
      <c r="Y1525" s="2" t="s">
        <v>9232</v>
      </c>
      <c r="Z1525" s="6">
        <v>86454518</v>
      </c>
      <c r="AA1525" s="2">
        <v>86454518</v>
      </c>
      <c r="AB1525" s="2" t="s">
        <v>642</v>
      </c>
      <c r="AC1525" s="2" t="s">
        <v>632</v>
      </c>
      <c r="AD1525" s="10">
        <v>86454518</v>
      </c>
      <c r="AE1525" s="11"/>
      <c r="AF1525" s="11">
        <v>86454518</v>
      </c>
      <c r="AG1525" s="11"/>
      <c r="AH1525" s="11"/>
      <c r="AI1525" s="11"/>
      <c r="AJ1525" s="11">
        <v>86454518</v>
      </c>
      <c r="AK1525" s="12">
        <v>2</v>
      </c>
      <c r="AL1525" s="12" t="s">
        <v>7377</v>
      </c>
      <c r="AM1525" s="2">
        <v>0</v>
      </c>
      <c r="AN1525" s="2">
        <v>0</v>
      </c>
      <c r="AO1525" s="2">
        <v>0</v>
      </c>
      <c r="AP1525" s="2">
        <v>1</v>
      </c>
      <c r="AQ1525" s="2">
        <v>0</v>
      </c>
      <c r="AR1525" s="2">
        <v>0</v>
      </c>
      <c r="AS1525" s="2">
        <v>0</v>
      </c>
      <c r="AT1525" s="2">
        <v>0</v>
      </c>
      <c r="AZ1525" s="2" t="s">
        <v>9233</v>
      </c>
      <c r="BB1525" s="2" t="str">
        <f>+PROPER(BD[[#This Row],[PRIMER_APELLIDO]])</f>
        <v>Zeas</v>
      </c>
    </row>
    <row r="1526" spans="1:54" x14ac:dyDescent="0.25">
      <c r="A1526" s="2">
        <v>1525</v>
      </c>
      <c r="B1526" s="2">
        <v>18185</v>
      </c>
      <c r="C1526" s="5" t="s">
        <v>619</v>
      </c>
      <c r="D1526" s="2" t="s">
        <v>620</v>
      </c>
      <c r="E1526" s="6" t="s">
        <v>9234</v>
      </c>
      <c r="F1526" s="6">
        <v>16798810</v>
      </c>
      <c r="G1526" s="3">
        <v>43</v>
      </c>
      <c r="I1526" s="7"/>
      <c r="J1526" s="7"/>
      <c r="K1526" s="8">
        <v>42.813698630136983</v>
      </c>
      <c r="L1526" s="2" t="s">
        <v>9235</v>
      </c>
      <c r="M1526" s="2" t="s">
        <v>1464</v>
      </c>
      <c r="N1526" s="2" t="s">
        <v>487</v>
      </c>
      <c r="O1526" s="2" t="s">
        <v>383</v>
      </c>
      <c r="P1526" s="2" t="s">
        <v>626</v>
      </c>
      <c r="Q1526" s="2" t="s">
        <v>351</v>
      </c>
      <c r="R1526" s="9">
        <v>29169</v>
      </c>
      <c r="S1526" s="9">
        <v>29169</v>
      </c>
      <c r="T1526" s="2" t="s">
        <v>176</v>
      </c>
      <c r="U1526" s="2" t="s">
        <v>705</v>
      </c>
      <c r="V1526" s="2" t="s">
        <v>748</v>
      </c>
      <c r="W1526" s="2" t="s">
        <v>705</v>
      </c>
      <c r="X1526" s="2" t="s">
        <v>9236</v>
      </c>
      <c r="Y1526" s="2" t="s">
        <v>9237</v>
      </c>
      <c r="Z1526" s="6"/>
      <c r="AA1526" s="2" t="s">
        <v>9238</v>
      </c>
      <c r="AB1526" s="2" t="s">
        <v>654</v>
      </c>
      <c r="AC1526" s="2" t="s">
        <v>632</v>
      </c>
      <c r="AD1526" s="10"/>
      <c r="AE1526" s="11"/>
      <c r="AF1526" s="11"/>
      <c r="AG1526" s="11">
        <v>77001083</v>
      </c>
      <c r="AH1526" s="11"/>
      <c r="AI1526" s="11"/>
      <c r="AJ1526" s="11">
        <v>77001083</v>
      </c>
      <c r="AK1526" s="12">
        <v>2</v>
      </c>
      <c r="AL1526" s="12" t="s">
        <v>7377</v>
      </c>
      <c r="AM1526" s="2">
        <v>0</v>
      </c>
      <c r="AN1526" s="2">
        <v>0</v>
      </c>
      <c r="AO1526" s="2">
        <v>0</v>
      </c>
      <c r="AP1526" s="2">
        <v>1</v>
      </c>
      <c r="AQ1526" s="2">
        <v>0</v>
      </c>
      <c r="AR1526" s="2">
        <v>0</v>
      </c>
      <c r="AS1526" s="2">
        <v>0</v>
      </c>
      <c r="AT1526" s="2">
        <v>0</v>
      </c>
      <c r="BB1526" s="2" t="str">
        <f>+PROPER(BD[[#This Row],[PRIMER_APELLIDO]])</f>
        <v>Urroz</v>
      </c>
    </row>
    <row r="1527" spans="1:54" x14ac:dyDescent="0.25">
      <c r="A1527" s="2">
        <v>1526</v>
      </c>
      <c r="B1527" s="2">
        <v>47955</v>
      </c>
      <c r="C1527" s="5" t="s">
        <v>619</v>
      </c>
      <c r="D1527" s="2" t="s">
        <v>620</v>
      </c>
      <c r="E1527" s="6" t="s">
        <v>9239</v>
      </c>
      <c r="F1527" s="6">
        <v>24233233</v>
      </c>
      <c r="G1527" s="3">
        <v>43</v>
      </c>
      <c r="I1527" s="7"/>
      <c r="J1527" s="7"/>
      <c r="K1527" s="8">
        <v>42.816438356164383</v>
      </c>
      <c r="L1527" s="2" t="s">
        <v>4632</v>
      </c>
      <c r="M1527" s="2" t="s">
        <v>961</v>
      </c>
      <c r="N1527" s="2" t="s">
        <v>543</v>
      </c>
      <c r="O1527" s="2" t="s">
        <v>15</v>
      </c>
      <c r="P1527" s="2" t="s">
        <v>626</v>
      </c>
      <c r="Q1527" s="2" t="s">
        <v>351</v>
      </c>
      <c r="R1527" s="9">
        <v>29168</v>
      </c>
      <c r="S1527" s="9">
        <v>29168</v>
      </c>
      <c r="T1527" s="2" t="s">
        <v>627</v>
      </c>
      <c r="U1527" s="2" t="s">
        <v>627</v>
      </c>
      <c r="V1527" s="2" t="s">
        <v>627</v>
      </c>
      <c r="W1527" s="2" t="s">
        <v>692</v>
      </c>
      <c r="X1527" s="2" t="s">
        <v>9240</v>
      </c>
      <c r="Y1527" s="2" t="s">
        <v>9241</v>
      </c>
      <c r="Z1527" s="6">
        <v>84586213</v>
      </c>
      <c r="AA1527" s="2">
        <v>75488298</v>
      </c>
      <c r="AB1527" s="2" t="s">
        <v>642</v>
      </c>
      <c r="AC1527" s="2" t="s">
        <v>632</v>
      </c>
      <c r="AD1527" s="10">
        <v>84586213</v>
      </c>
      <c r="AE1527" s="11"/>
      <c r="AF1527" s="11">
        <v>75488298</v>
      </c>
      <c r="AG1527" s="11"/>
      <c r="AH1527" s="11"/>
      <c r="AI1527" s="11"/>
      <c r="AJ1527" s="11">
        <v>84586213</v>
      </c>
      <c r="AK1527" s="12">
        <v>2</v>
      </c>
      <c r="AL1527" s="12" t="s">
        <v>7377</v>
      </c>
      <c r="AM1527" s="2">
        <v>0</v>
      </c>
      <c r="AN1527" s="2">
        <v>0</v>
      </c>
      <c r="AO1527" s="2">
        <v>0</v>
      </c>
      <c r="AP1527" s="2">
        <v>1</v>
      </c>
      <c r="AQ1527" s="2">
        <v>0</v>
      </c>
      <c r="AR1527" s="2">
        <v>0</v>
      </c>
      <c r="AS1527" s="2">
        <v>0</v>
      </c>
      <c r="AT1527" s="2">
        <v>0</v>
      </c>
      <c r="AZ1527" s="2" t="s">
        <v>9242</v>
      </c>
      <c r="BB1527" s="2" t="str">
        <f>+PROPER(BD[[#This Row],[PRIMER_APELLIDO]])</f>
        <v>Alduvin</v>
      </c>
    </row>
    <row r="1528" spans="1:54" x14ac:dyDescent="0.25">
      <c r="A1528" s="2">
        <v>1527</v>
      </c>
      <c r="B1528" s="2">
        <v>68948</v>
      </c>
      <c r="C1528" s="5" t="s">
        <v>619</v>
      </c>
      <c r="D1528" s="2" t="s">
        <v>620</v>
      </c>
      <c r="E1528" s="6" t="s">
        <v>9243</v>
      </c>
      <c r="F1528" s="6"/>
      <c r="G1528" s="3">
        <v>43</v>
      </c>
      <c r="I1528" s="7"/>
      <c r="J1528" s="7"/>
      <c r="K1528" s="8">
        <v>42.827397260273976</v>
      </c>
      <c r="L1528" s="2" t="s">
        <v>724</v>
      </c>
      <c r="M1528" s="2" t="s">
        <v>1881</v>
      </c>
      <c r="N1528" s="2" t="s">
        <v>133</v>
      </c>
      <c r="O1528" s="2" t="s">
        <v>185</v>
      </c>
      <c r="P1528" s="2" t="s">
        <v>626</v>
      </c>
      <c r="Q1528" s="2" t="s">
        <v>351</v>
      </c>
      <c r="R1528" s="9">
        <v>29164</v>
      </c>
      <c r="S1528" s="9">
        <v>29164</v>
      </c>
      <c r="T1528" s="2" t="s">
        <v>659</v>
      </c>
      <c r="U1528" s="2" t="s">
        <v>659</v>
      </c>
      <c r="V1528" s="2" t="s">
        <v>5168</v>
      </c>
      <c r="W1528" s="2" t="s">
        <v>5168</v>
      </c>
      <c r="X1528" s="2" t="s">
        <v>9244</v>
      </c>
      <c r="Y1528" s="2" t="s">
        <v>9245</v>
      </c>
      <c r="Z1528" s="6">
        <v>57032432</v>
      </c>
      <c r="AB1528" s="2" t="s">
        <v>9246</v>
      </c>
      <c r="AC1528" s="2" t="s">
        <v>632</v>
      </c>
      <c r="AD1528" s="10">
        <v>57032432</v>
      </c>
      <c r="AE1528" s="11"/>
      <c r="AF1528" s="11"/>
      <c r="AG1528" s="11"/>
      <c r="AH1528" s="11"/>
      <c r="AI1528" s="11"/>
      <c r="AJ1528" s="11">
        <v>57032432</v>
      </c>
      <c r="AK1528" s="12">
        <v>1</v>
      </c>
      <c r="AL1528" s="12" t="s">
        <v>7377</v>
      </c>
      <c r="AM1528" s="2">
        <v>0</v>
      </c>
      <c r="AN1528" s="2">
        <v>0</v>
      </c>
      <c r="AO1528" s="2">
        <v>0</v>
      </c>
      <c r="AP1528" s="2">
        <v>1</v>
      </c>
      <c r="AQ1528" s="2">
        <v>0</v>
      </c>
      <c r="AR1528" s="2">
        <v>0</v>
      </c>
      <c r="AS1528" s="2">
        <v>0</v>
      </c>
      <c r="AT1528" s="2">
        <v>0</v>
      </c>
      <c r="AZ1528" s="2" t="s">
        <v>9247</v>
      </c>
      <c r="BB1528" s="2" t="str">
        <f>+PROPER(BD[[#This Row],[PRIMER_APELLIDO]])</f>
        <v>Carazo</v>
      </c>
    </row>
    <row r="1529" spans="1:54" x14ac:dyDescent="0.25">
      <c r="A1529" s="2">
        <v>1528</v>
      </c>
      <c r="B1529" s="2">
        <v>29846</v>
      </c>
      <c r="C1529" s="5" t="s">
        <v>619</v>
      </c>
      <c r="D1529" s="2" t="s">
        <v>620</v>
      </c>
      <c r="E1529" s="6" t="s">
        <v>9248</v>
      </c>
      <c r="F1529" s="6">
        <v>14987733</v>
      </c>
      <c r="G1529" s="3">
        <v>43</v>
      </c>
      <c r="I1529" s="7"/>
      <c r="J1529" s="7"/>
      <c r="K1529" s="8">
        <v>42.830136986301369</v>
      </c>
      <c r="L1529" s="2" t="s">
        <v>2996</v>
      </c>
      <c r="M1529" s="2" t="s">
        <v>904</v>
      </c>
      <c r="N1529" s="2" t="s">
        <v>363</v>
      </c>
      <c r="O1529" s="2" t="s">
        <v>10</v>
      </c>
      <c r="P1529" s="2" t="s">
        <v>649</v>
      </c>
      <c r="Q1529" s="2" t="s">
        <v>351</v>
      </c>
      <c r="R1529" s="9">
        <v>29163</v>
      </c>
      <c r="S1529" s="9">
        <v>29163</v>
      </c>
      <c r="T1529" s="2" t="s">
        <v>176</v>
      </c>
      <c r="U1529" s="2" t="s">
        <v>627</v>
      </c>
      <c r="V1529" s="2" t="s">
        <v>650</v>
      </c>
      <c r="W1529" s="2" t="s">
        <v>627</v>
      </c>
      <c r="X1529" s="2" t="s">
        <v>9249</v>
      </c>
      <c r="Y1529" s="2" t="s">
        <v>9250</v>
      </c>
      <c r="Z1529" s="6"/>
      <c r="AA1529" s="2" t="s">
        <v>9251</v>
      </c>
      <c r="AB1529" s="2" t="s">
        <v>654</v>
      </c>
      <c r="AC1529" s="2" t="s">
        <v>632</v>
      </c>
      <c r="AD1529" s="10"/>
      <c r="AE1529" s="11"/>
      <c r="AF1529" s="11"/>
      <c r="AG1529" s="11">
        <v>88777591</v>
      </c>
      <c r="AH1529" s="11"/>
      <c r="AI1529" s="11"/>
      <c r="AJ1529" s="11">
        <v>88777591</v>
      </c>
      <c r="AK1529" s="12">
        <v>2</v>
      </c>
      <c r="AL1529" s="12" t="s">
        <v>7377</v>
      </c>
      <c r="AM1529" s="2">
        <v>0</v>
      </c>
      <c r="AN1529" s="2">
        <v>0</v>
      </c>
      <c r="AO1529" s="2">
        <v>0</v>
      </c>
      <c r="AP1529" s="2">
        <v>1</v>
      </c>
      <c r="AQ1529" s="2">
        <v>0</v>
      </c>
      <c r="AR1529" s="2">
        <v>0</v>
      </c>
      <c r="AS1529" s="2">
        <v>0</v>
      </c>
      <c r="AT1529" s="2">
        <v>0</v>
      </c>
      <c r="BB1529" s="2" t="str">
        <f>+PROPER(BD[[#This Row],[PRIMER_APELLIDO]])</f>
        <v>Delgado</v>
      </c>
    </row>
    <row r="1530" spans="1:54" x14ac:dyDescent="0.25">
      <c r="A1530" s="2">
        <v>1529</v>
      </c>
      <c r="B1530" s="2">
        <v>18049</v>
      </c>
      <c r="C1530" s="5" t="s">
        <v>619</v>
      </c>
      <c r="D1530" s="2" t="s">
        <v>620</v>
      </c>
      <c r="E1530" s="6" t="s">
        <v>9252</v>
      </c>
      <c r="F1530" s="6">
        <v>16232565</v>
      </c>
      <c r="G1530" s="3">
        <v>43</v>
      </c>
      <c r="I1530" s="7"/>
      <c r="J1530" s="7"/>
      <c r="K1530" s="8">
        <v>42.835616438356162</v>
      </c>
      <c r="L1530" s="2" t="s">
        <v>9253</v>
      </c>
      <c r="M1530" s="2" t="s">
        <v>1881</v>
      </c>
      <c r="N1530" s="2" t="s">
        <v>11</v>
      </c>
      <c r="O1530" s="2" t="s">
        <v>467</v>
      </c>
      <c r="P1530" s="2" t="s">
        <v>626</v>
      </c>
      <c r="Q1530" s="2" t="s">
        <v>351</v>
      </c>
      <c r="R1530" s="9">
        <v>29161</v>
      </c>
      <c r="S1530" s="9">
        <v>29161</v>
      </c>
      <c r="T1530" s="2" t="s">
        <v>627</v>
      </c>
      <c r="U1530" s="2" t="s">
        <v>627</v>
      </c>
      <c r="V1530" s="2" t="s">
        <v>627</v>
      </c>
      <c r="W1530" s="2" t="s">
        <v>627</v>
      </c>
      <c r="X1530" s="2" t="s">
        <v>9254</v>
      </c>
      <c r="Y1530" s="2" t="s">
        <v>9255</v>
      </c>
      <c r="Z1530" s="6">
        <v>87300709</v>
      </c>
      <c r="AA1530" s="2" t="s">
        <v>9256</v>
      </c>
      <c r="AB1530" s="2" t="s">
        <v>654</v>
      </c>
      <c r="AC1530" s="2" t="s">
        <v>632</v>
      </c>
      <c r="AD1530" s="10">
        <v>87300709</v>
      </c>
      <c r="AE1530" s="11"/>
      <c r="AF1530" s="11">
        <v>84301153</v>
      </c>
      <c r="AG1530" s="11">
        <v>83398694</v>
      </c>
      <c r="AH1530" s="11"/>
      <c r="AI1530" s="11"/>
      <c r="AJ1530" s="11">
        <v>87300709</v>
      </c>
      <c r="AK1530" s="12">
        <v>3</v>
      </c>
      <c r="AL1530" s="12" t="s">
        <v>7377</v>
      </c>
      <c r="AM1530" s="2">
        <v>0</v>
      </c>
      <c r="AN1530" s="2">
        <v>0</v>
      </c>
      <c r="AO1530" s="2">
        <v>0</v>
      </c>
      <c r="AP1530" s="2">
        <v>1</v>
      </c>
      <c r="AQ1530" s="2">
        <v>0</v>
      </c>
      <c r="AR1530" s="2">
        <v>0</v>
      </c>
      <c r="AS1530" s="2">
        <v>0</v>
      </c>
      <c r="AT1530" s="2">
        <v>0</v>
      </c>
      <c r="AZ1530" s="2" t="s">
        <v>9257</v>
      </c>
      <c r="BA1530" s="2" t="s">
        <v>9258</v>
      </c>
      <c r="BB1530" s="2" t="str">
        <f>+PROPER(BD[[#This Row],[PRIMER_APELLIDO]])</f>
        <v>Hernandez</v>
      </c>
    </row>
    <row r="1531" spans="1:54" x14ac:dyDescent="0.25">
      <c r="A1531" s="2">
        <v>1530</v>
      </c>
      <c r="B1531" s="2">
        <v>29167</v>
      </c>
      <c r="C1531" s="5" t="s">
        <v>619</v>
      </c>
      <c r="D1531" s="2" t="s">
        <v>620</v>
      </c>
      <c r="E1531" s="6" t="s">
        <v>9259</v>
      </c>
      <c r="F1531" s="6">
        <v>21587001</v>
      </c>
      <c r="G1531" s="3">
        <v>43</v>
      </c>
      <c r="I1531" s="7"/>
      <c r="J1531" s="7"/>
      <c r="K1531" s="8">
        <v>42.838356164383562</v>
      </c>
      <c r="L1531" s="2" t="s">
        <v>9260</v>
      </c>
      <c r="M1531" s="2" t="s">
        <v>724</v>
      </c>
      <c r="N1531" s="2" t="s">
        <v>544</v>
      </c>
      <c r="O1531" s="2" t="s">
        <v>9261</v>
      </c>
      <c r="P1531" s="2" t="s">
        <v>626</v>
      </c>
      <c r="Q1531" s="2" t="s">
        <v>351</v>
      </c>
      <c r="R1531" s="9">
        <v>29160</v>
      </c>
      <c r="S1531" s="9">
        <v>29160</v>
      </c>
      <c r="T1531" s="2" t="s">
        <v>444</v>
      </c>
      <c r="U1531" s="2" t="s">
        <v>444</v>
      </c>
      <c r="V1531" s="2" t="s">
        <v>764</v>
      </c>
      <c r="W1531" s="2" t="s">
        <v>764</v>
      </c>
      <c r="X1531" s="2" t="s">
        <v>9262</v>
      </c>
      <c r="Y1531" s="2" t="s">
        <v>9263</v>
      </c>
      <c r="Z1531" s="6">
        <v>89069162</v>
      </c>
      <c r="AA1531" s="2">
        <v>89069162</v>
      </c>
      <c r="AB1531" s="2" t="s">
        <v>654</v>
      </c>
      <c r="AC1531" s="2" t="s">
        <v>632</v>
      </c>
      <c r="AD1531" s="10">
        <v>89069162</v>
      </c>
      <c r="AE1531" s="11"/>
      <c r="AF1531" s="11">
        <v>89069162</v>
      </c>
      <c r="AG1531" s="11"/>
      <c r="AH1531" s="11"/>
      <c r="AI1531" s="11"/>
      <c r="AJ1531" s="11">
        <v>89069162</v>
      </c>
      <c r="AK1531" s="12">
        <v>2</v>
      </c>
      <c r="AL1531" s="12" t="s">
        <v>7377</v>
      </c>
      <c r="AM1531" s="2">
        <v>0</v>
      </c>
      <c r="AN1531" s="2">
        <v>0</v>
      </c>
      <c r="AO1531" s="2">
        <v>0</v>
      </c>
      <c r="AP1531" s="2">
        <v>1</v>
      </c>
      <c r="AQ1531" s="2">
        <v>0</v>
      </c>
      <c r="AR1531" s="2">
        <v>0</v>
      </c>
      <c r="AS1531" s="2">
        <v>0</v>
      </c>
      <c r="AT1531" s="2">
        <v>0</v>
      </c>
      <c r="AZ1531" s="2" t="s">
        <v>9264</v>
      </c>
      <c r="BB1531" s="2" t="str">
        <f>+PROPER(BD[[#This Row],[PRIMER_APELLIDO]])</f>
        <v>Morazan</v>
      </c>
    </row>
    <row r="1532" spans="1:54" x14ac:dyDescent="0.25">
      <c r="A1532" s="2">
        <v>1531</v>
      </c>
      <c r="B1532" s="2">
        <v>39496</v>
      </c>
      <c r="C1532" s="5" t="s">
        <v>619</v>
      </c>
      <c r="D1532" s="2" t="s">
        <v>620</v>
      </c>
      <c r="E1532" s="6" t="s">
        <v>9265</v>
      </c>
      <c r="F1532" s="6">
        <v>19728106</v>
      </c>
      <c r="G1532" s="3">
        <v>43</v>
      </c>
      <c r="I1532" s="7"/>
      <c r="J1532" s="7"/>
      <c r="K1532" s="8">
        <v>42.838356164383562</v>
      </c>
      <c r="L1532" s="2" t="s">
        <v>9266</v>
      </c>
      <c r="M1532" s="2" t="s">
        <v>9267</v>
      </c>
      <c r="N1532" s="2" t="s">
        <v>281</v>
      </c>
      <c r="O1532" s="2" t="s">
        <v>235</v>
      </c>
      <c r="P1532" s="2" t="s">
        <v>626</v>
      </c>
      <c r="Q1532" s="2" t="s">
        <v>351</v>
      </c>
      <c r="R1532" s="9">
        <v>29160</v>
      </c>
      <c r="S1532" s="9">
        <v>29160</v>
      </c>
      <c r="T1532" s="2" t="s">
        <v>659</v>
      </c>
      <c r="U1532" s="2" t="s">
        <v>659</v>
      </c>
      <c r="V1532" s="2" t="s">
        <v>659</v>
      </c>
      <c r="W1532" s="2" t="s">
        <v>659</v>
      </c>
      <c r="X1532" s="2" t="s">
        <v>9268</v>
      </c>
      <c r="Y1532" s="2" t="s">
        <v>9269</v>
      </c>
      <c r="Z1532" s="6"/>
      <c r="AA1532" s="2">
        <v>27822793</v>
      </c>
      <c r="AB1532" s="2" t="s">
        <v>642</v>
      </c>
      <c r="AC1532" s="2" t="s">
        <v>632</v>
      </c>
      <c r="AD1532" s="10"/>
      <c r="AE1532" s="11"/>
      <c r="AF1532" s="11"/>
      <c r="AG1532" s="11"/>
      <c r="AH1532" s="11"/>
      <c r="AI1532" s="11"/>
      <c r="AJ1532" s="11"/>
      <c r="AK1532" s="12">
        <v>1</v>
      </c>
      <c r="AL1532" s="12" t="s">
        <v>7377</v>
      </c>
      <c r="AM1532" s="2">
        <v>0</v>
      </c>
      <c r="AN1532" s="2">
        <v>0</v>
      </c>
      <c r="AO1532" s="2">
        <v>0</v>
      </c>
      <c r="AP1532" s="2">
        <v>1</v>
      </c>
      <c r="AQ1532" s="2">
        <v>0</v>
      </c>
      <c r="AR1532" s="2">
        <v>0</v>
      </c>
      <c r="AS1532" s="2">
        <v>0</v>
      </c>
      <c r="AT1532" s="2">
        <v>0</v>
      </c>
      <c r="BB1532" s="2" t="str">
        <f>+PROPER(BD[[#This Row],[PRIMER_APELLIDO]])</f>
        <v>Amador</v>
      </c>
    </row>
    <row r="1533" spans="1:54" x14ac:dyDescent="0.25">
      <c r="A1533" s="2">
        <v>1532</v>
      </c>
      <c r="B1533" s="2">
        <v>18377</v>
      </c>
      <c r="C1533" s="5" t="s">
        <v>619</v>
      </c>
      <c r="D1533" s="2" t="s">
        <v>620</v>
      </c>
      <c r="E1533" s="6" t="s">
        <v>9270</v>
      </c>
      <c r="F1533" s="6">
        <v>16803608</v>
      </c>
      <c r="G1533" s="3">
        <v>43</v>
      </c>
      <c r="I1533" s="7"/>
      <c r="J1533" s="7"/>
      <c r="K1533" s="8">
        <v>42.843835616438355</v>
      </c>
      <c r="L1533" s="2" t="s">
        <v>2497</v>
      </c>
      <c r="N1533" s="2" t="s">
        <v>363</v>
      </c>
      <c r="O1533" s="2" t="s">
        <v>9271</v>
      </c>
      <c r="P1533" s="2" t="s">
        <v>626</v>
      </c>
      <c r="Q1533" s="2" t="s">
        <v>351</v>
      </c>
      <c r="R1533" s="9">
        <v>29158</v>
      </c>
      <c r="S1533" s="9">
        <v>29158</v>
      </c>
      <c r="T1533" s="2" t="s">
        <v>627</v>
      </c>
      <c r="U1533" s="2" t="s">
        <v>627</v>
      </c>
      <c r="V1533" s="2" t="s">
        <v>627</v>
      </c>
      <c r="W1533" s="2" t="s">
        <v>627</v>
      </c>
      <c r="X1533" s="2" t="s">
        <v>9272</v>
      </c>
      <c r="Y1533" s="2" t="s">
        <v>9273</v>
      </c>
      <c r="Z1533" s="6"/>
      <c r="AA1533" s="2" t="s">
        <v>9274</v>
      </c>
      <c r="AB1533" s="2" t="s">
        <v>654</v>
      </c>
      <c r="AC1533" s="2" t="s">
        <v>632</v>
      </c>
      <c r="AD1533" s="10"/>
      <c r="AE1533" s="11"/>
      <c r="AF1533" s="11"/>
      <c r="AG1533" s="11"/>
      <c r="AH1533" s="11">
        <v>88831281</v>
      </c>
      <c r="AI1533" s="11">
        <v>88877211</v>
      </c>
      <c r="AJ1533" s="11"/>
      <c r="AK1533" s="12">
        <v>5</v>
      </c>
      <c r="AL1533" s="12" t="s">
        <v>7377</v>
      </c>
      <c r="AM1533" s="2">
        <v>0</v>
      </c>
      <c r="AN1533" s="2">
        <v>0</v>
      </c>
      <c r="AO1533" s="2">
        <v>0</v>
      </c>
      <c r="AP1533" s="2">
        <v>1</v>
      </c>
      <c r="AQ1533" s="2">
        <v>0</v>
      </c>
      <c r="AR1533" s="2">
        <v>0</v>
      </c>
      <c r="AS1533" s="2">
        <v>0</v>
      </c>
      <c r="AT1533" s="2">
        <v>0</v>
      </c>
      <c r="BB1533" s="2" t="str">
        <f>+PROPER(BD[[#This Row],[PRIMER_APELLIDO]])</f>
        <v>Delgado</v>
      </c>
    </row>
    <row r="1534" spans="1:54" x14ac:dyDescent="0.25">
      <c r="A1534" s="2">
        <v>1533</v>
      </c>
      <c r="B1534" s="2">
        <v>23424</v>
      </c>
      <c r="C1534" s="5" t="s">
        <v>619</v>
      </c>
      <c r="D1534" s="2" t="s">
        <v>620</v>
      </c>
      <c r="E1534" s="6" t="s">
        <v>9275</v>
      </c>
      <c r="F1534" s="6">
        <v>20347424</v>
      </c>
      <c r="G1534" s="3">
        <v>43</v>
      </c>
      <c r="I1534" s="7"/>
      <c r="J1534" s="7"/>
      <c r="K1534" s="8">
        <v>42.854794520547948</v>
      </c>
      <c r="L1534" s="2" t="s">
        <v>1258</v>
      </c>
      <c r="M1534" s="2" t="s">
        <v>961</v>
      </c>
      <c r="N1534" s="2" t="s">
        <v>88</v>
      </c>
      <c r="O1534" s="2" t="s">
        <v>3647</v>
      </c>
      <c r="P1534" s="2" t="s">
        <v>626</v>
      </c>
      <c r="Q1534" s="2" t="s">
        <v>351</v>
      </c>
      <c r="R1534" s="9">
        <v>29154</v>
      </c>
      <c r="S1534" s="9">
        <v>29154</v>
      </c>
      <c r="T1534" s="2" t="s">
        <v>627</v>
      </c>
      <c r="U1534" s="2" t="s">
        <v>627</v>
      </c>
      <c r="V1534" s="2" t="s">
        <v>627</v>
      </c>
      <c r="W1534" s="2" t="s">
        <v>627</v>
      </c>
      <c r="X1534" s="2" t="s">
        <v>9276</v>
      </c>
      <c r="Y1534" s="2" t="s">
        <v>9277</v>
      </c>
      <c r="Z1534" s="6">
        <v>82404570</v>
      </c>
      <c r="AA1534" s="2" t="s">
        <v>9278</v>
      </c>
      <c r="AB1534" s="2" t="s">
        <v>642</v>
      </c>
      <c r="AC1534" s="2" t="s">
        <v>632</v>
      </c>
      <c r="AD1534" s="10">
        <v>82404570</v>
      </c>
      <c r="AE1534" s="11"/>
      <c r="AF1534" s="11"/>
      <c r="AG1534" s="11">
        <v>86552823</v>
      </c>
      <c r="AH1534" s="11">
        <v>82404570</v>
      </c>
      <c r="AI1534" s="11"/>
      <c r="AJ1534" s="11">
        <v>82404570</v>
      </c>
      <c r="AK1534" s="12">
        <v>4</v>
      </c>
      <c r="AL1534" s="12" t="s">
        <v>7377</v>
      </c>
      <c r="AM1534" s="2">
        <v>0</v>
      </c>
      <c r="AN1534" s="2">
        <v>0</v>
      </c>
      <c r="AO1534" s="2">
        <v>0</v>
      </c>
      <c r="AP1534" s="2">
        <v>1</v>
      </c>
      <c r="AQ1534" s="2">
        <v>0</v>
      </c>
      <c r="AR1534" s="2">
        <v>0</v>
      </c>
      <c r="AS1534" s="2">
        <v>0</v>
      </c>
      <c r="AT1534" s="2">
        <v>0</v>
      </c>
      <c r="AZ1534" s="2" t="s">
        <v>9279</v>
      </c>
      <c r="BB1534" s="2" t="str">
        <f>+PROPER(BD[[#This Row],[PRIMER_APELLIDO]])</f>
        <v>Davila</v>
      </c>
    </row>
    <row r="1535" spans="1:54" x14ac:dyDescent="0.25">
      <c r="A1535" s="2">
        <v>1534</v>
      </c>
      <c r="B1535" s="2">
        <v>24739</v>
      </c>
      <c r="C1535" s="5" t="s">
        <v>619</v>
      </c>
      <c r="D1535" s="2" t="s">
        <v>620</v>
      </c>
      <c r="E1535" s="6" t="s">
        <v>9280</v>
      </c>
      <c r="F1535" s="6">
        <v>21183887</v>
      </c>
      <c r="G1535" s="3">
        <v>43</v>
      </c>
      <c r="I1535" s="7"/>
      <c r="J1535" s="7"/>
      <c r="K1535" s="8">
        <v>42.871232876712327</v>
      </c>
      <c r="L1535" s="2" t="s">
        <v>1320</v>
      </c>
      <c r="M1535" s="2" t="s">
        <v>904</v>
      </c>
      <c r="N1535" s="2" t="s">
        <v>91</v>
      </c>
      <c r="O1535" s="2" t="s">
        <v>8287</v>
      </c>
      <c r="P1535" s="2" t="s">
        <v>649</v>
      </c>
      <c r="Q1535" s="2" t="s">
        <v>351</v>
      </c>
      <c r="R1535" s="9">
        <v>29148</v>
      </c>
      <c r="S1535" s="9">
        <v>29148</v>
      </c>
      <c r="T1535" s="2" t="s">
        <v>740</v>
      </c>
      <c r="U1535" s="2" t="s">
        <v>740</v>
      </c>
      <c r="V1535" s="2" t="s">
        <v>740</v>
      </c>
      <c r="W1535" s="2" t="s">
        <v>740</v>
      </c>
      <c r="X1535" s="2" t="s">
        <v>9281</v>
      </c>
      <c r="Y1535" s="2" t="s">
        <v>9282</v>
      </c>
      <c r="Z1535" s="6">
        <v>83876557</v>
      </c>
      <c r="AB1535" s="2" t="s">
        <v>654</v>
      </c>
      <c r="AC1535" s="2" t="s">
        <v>632</v>
      </c>
      <c r="AD1535" s="10">
        <v>83876557</v>
      </c>
      <c r="AE1535" s="11"/>
      <c r="AF1535" s="11"/>
      <c r="AG1535" s="11"/>
      <c r="AH1535" s="11"/>
      <c r="AI1535" s="11"/>
      <c r="AJ1535" s="11">
        <v>83876557</v>
      </c>
      <c r="AK1535" s="12">
        <v>1</v>
      </c>
      <c r="AL1535" s="12" t="s">
        <v>7377</v>
      </c>
      <c r="AM1535" s="2">
        <v>0</v>
      </c>
      <c r="AN1535" s="2">
        <v>0</v>
      </c>
      <c r="AO1535" s="2">
        <v>0</v>
      </c>
      <c r="AP1535" s="2">
        <v>1</v>
      </c>
      <c r="AQ1535" s="2">
        <v>0</v>
      </c>
      <c r="AR1535" s="2">
        <v>0</v>
      </c>
      <c r="AS1535" s="2">
        <v>0</v>
      </c>
      <c r="AT1535" s="2">
        <v>0</v>
      </c>
      <c r="AZ1535" s="2" t="s">
        <v>9283</v>
      </c>
      <c r="BB1535" s="2" t="str">
        <f>+PROPER(BD[[#This Row],[PRIMER_APELLIDO]])</f>
        <v>Diaz</v>
      </c>
    </row>
    <row r="1536" spans="1:54" x14ac:dyDescent="0.25">
      <c r="A1536" s="2">
        <v>1535</v>
      </c>
      <c r="B1536" s="2">
        <v>18067</v>
      </c>
      <c r="C1536" s="5" t="s">
        <v>619</v>
      </c>
      <c r="D1536" s="2" t="s">
        <v>620</v>
      </c>
      <c r="E1536" s="6" t="s">
        <v>9284</v>
      </c>
      <c r="F1536" s="6">
        <v>16753855</v>
      </c>
      <c r="G1536" s="3">
        <v>43</v>
      </c>
      <c r="I1536" s="7"/>
      <c r="J1536" s="7"/>
      <c r="K1536" s="8">
        <v>42.873972602739727</v>
      </c>
      <c r="L1536" s="2" t="s">
        <v>624</v>
      </c>
      <c r="M1536" s="2" t="s">
        <v>769</v>
      </c>
      <c r="N1536" s="2" t="s">
        <v>74</v>
      </c>
      <c r="O1536" s="2" t="s">
        <v>38</v>
      </c>
      <c r="P1536" s="2" t="s">
        <v>626</v>
      </c>
      <c r="Q1536" s="2" t="s">
        <v>351</v>
      </c>
      <c r="R1536" s="9">
        <v>29147</v>
      </c>
      <c r="S1536" s="9">
        <v>29147</v>
      </c>
      <c r="U1536" s="2" t="s">
        <v>176</v>
      </c>
      <c r="W1536" s="2" t="s">
        <v>176</v>
      </c>
      <c r="X1536" s="2" t="s">
        <v>9285</v>
      </c>
      <c r="Y1536" s="2" t="s">
        <v>9286</v>
      </c>
      <c r="Z1536" s="6"/>
      <c r="AA1536" s="2">
        <v>88258025</v>
      </c>
      <c r="AB1536" s="2" t="s">
        <v>654</v>
      </c>
      <c r="AC1536" s="2" t="s">
        <v>632</v>
      </c>
      <c r="AD1536" s="10"/>
      <c r="AE1536" s="11"/>
      <c r="AF1536" s="11">
        <v>88258025</v>
      </c>
      <c r="AG1536" s="11"/>
      <c r="AH1536" s="11"/>
      <c r="AI1536" s="11"/>
      <c r="AJ1536" s="11">
        <v>88258025</v>
      </c>
      <c r="AK1536" s="12">
        <v>1</v>
      </c>
      <c r="AL1536" s="12" t="s">
        <v>7377</v>
      </c>
      <c r="AM1536" s="2">
        <v>0</v>
      </c>
      <c r="AN1536" s="2">
        <v>0</v>
      </c>
      <c r="AO1536" s="2">
        <v>0</v>
      </c>
      <c r="AP1536" s="2">
        <v>1</v>
      </c>
      <c r="AQ1536" s="2">
        <v>0</v>
      </c>
      <c r="AR1536" s="2">
        <v>0</v>
      </c>
      <c r="AS1536" s="2">
        <v>0</v>
      </c>
      <c r="AT1536" s="2">
        <v>0</v>
      </c>
      <c r="BB1536" s="2" t="str">
        <f>+PROPER(BD[[#This Row],[PRIMER_APELLIDO]])</f>
        <v>Reyes</v>
      </c>
    </row>
    <row r="1537" spans="1:54" x14ac:dyDescent="0.25">
      <c r="A1537" s="2">
        <v>1536</v>
      </c>
      <c r="B1537" s="2">
        <v>39244</v>
      </c>
      <c r="C1537" s="5" t="s">
        <v>619</v>
      </c>
      <c r="D1537" s="2" t="s">
        <v>620</v>
      </c>
      <c r="E1537" s="6" t="s">
        <v>9287</v>
      </c>
      <c r="F1537" s="6">
        <v>23720420</v>
      </c>
      <c r="G1537" s="3">
        <v>43</v>
      </c>
      <c r="I1537" s="7"/>
      <c r="J1537" s="7"/>
      <c r="K1537" s="8">
        <v>42.873972602739727</v>
      </c>
      <c r="L1537" s="2" t="s">
        <v>2839</v>
      </c>
      <c r="M1537" s="2" t="s">
        <v>4183</v>
      </c>
      <c r="N1537" s="2" t="s">
        <v>44</v>
      </c>
      <c r="O1537" s="2" t="s">
        <v>9288</v>
      </c>
      <c r="P1537" s="2" t="s">
        <v>649</v>
      </c>
      <c r="Q1537" s="2" t="s">
        <v>351</v>
      </c>
      <c r="R1537" s="9">
        <v>29147</v>
      </c>
      <c r="S1537" s="9">
        <v>29147</v>
      </c>
      <c r="T1537" s="2" t="s">
        <v>1191</v>
      </c>
      <c r="U1537" s="2" t="s">
        <v>1191</v>
      </c>
      <c r="V1537" s="2" t="s">
        <v>3060</v>
      </c>
      <c r="W1537" s="2" t="s">
        <v>1300</v>
      </c>
      <c r="X1537" s="2" t="s">
        <v>9289</v>
      </c>
      <c r="Y1537" s="2" t="s">
        <v>9290</v>
      </c>
      <c r="Z1537" s="6">
        <v>85190097</v>
      </c>
      <c r="AA1537" s="2">
        <v>87303863</v>
      </c>
      <c r="AB1537" s="2" t="s">
        <v>798</v>
      </c>
      <c r="AC1537" s="2" t="s">
        <v>632</v>
      </c>
      <c r="AD1537" s="10">
        <v>85190097</v>
      </c>
      <c r="AE1537" s="11"/>
      <c r="AF1537" s="11">
        <v>87303863</v>
      </c>
      <c r="AG1537" s="11"/>
      <c r="AH1537" s="11"/>
      <c r="AI1537" s="11"/>
      <c r="AJ1537" s="11">
        <v>85190097</v>
      </c>
      <c r="AK1537" s="12">
        <v>2</v>
      </c>
      <c r="AL1537" s="12" t="s">
        <v>7377</v>
      </c>
      <c r="AM1537" s="2">
        <v>0</v>
      </c>
      <c r="AN1537" s="2">
        <v>0</v>
      </c>
      <c r="AO1537" s="2">
        <v>0</v>
      </c>
      <c r="AP1537" s="2">
        <v>1</v>
      </c>
      <c r="AQ1537" s="2">
        <v>0</v>
      </c>
      <c r="AR1537" s="2">
        <v>0</v>
      </c>
      <c r="AS1537" s="2">
        <v>0</v>
      </c>
      <c r="AT1537" s="2">
        <v>0</v>
      </c>
      <c r="AZ1537" s="2" t="s">
        <v>9291</v>
      </c>
      <c r="BB1537" s="2" t="str">
        <f>+PROPER(BD[[#This Row],[PRIMER_APELLIDO]])</f>
        <v>Martinez</v>
      </c>
    </row>
    <row r="1538" spans="1:54" x14ac:dyDescent="0.25">
      <c r="A1538" s="2">
        <v>1537</v>
      </c>
      <c r="B1538" s="2">
        <v>25594</v>
      </c>
      <c r="C1538" s="5" t="s">
        <v>619</v>
      </c>
      <c r="D1538" s="2" t="s">
        <v>620</v>
      </c>
      <c r="E1538" s="6" t="s">
        <v>9292</v>
      </c>
      <c r="F1538" s="6">
        <v>21459595</v>
      </c>
      <c r="G1538" s="3">
        <v>43</v>
      </c>
      <c r="I1538" s="7"/>
      <c r="J1538" s="7"/>
      <c r="K1538" s="8">
        <v>42.88219178082192</v>
      </c>
      <c r="L1538" s="2" t="s">
        <v>3742</v>
      </c>
      <c r="M1538" s="2" t="s">
        <v>724</v>
      </c>
      <c r="N1538" s="2" t="s">
        <v>38</v>
      </c>
      <c r="O1538" s="2" t="s">
        <v>86</v>
      </c>
      <c r="P1538" s="2" t="s">
        <v>626</v>
      </c>
      <c r="Q1538" s="2" t="s">
        <v>351</v>
      </c>
      <c r="R1538" s="9">
        <v>29144</v>
      </c>
      <c r="S1538" s="9">
        <v>29144</v>
      </c>
      <c r="T1538" s="2" t="s">
        <v>627</v>
      </c>
      <c r="U1538" s="2" t="s">
        <v>627</v>
      </c>
      <c r="V1538" s="2" t="s">
        <v>627</v>
      </c>
      <c r="W1538" s="2" t="s">
        <v>627</v>
      </c>
      <c r="X1538" s="2" t="s">
        <v>9293</v>
      </c>
      <c r="Y1538" s="2" t="s">
        <v>9294</v>
      </c>
      <c r="Z1538" s="6"/>
      <c r="AA1538" s="2" t="s">
        <v>9295</v>
      </c>
      <c r="AB1538" s="2" t="s">
        <v>642</v>
      </c>
      <c r="AC1538" s="2" t="s">
        <v>632</v>
      </c>
      <c r="AD1538" s="10"/>
      <c r="AE1538" s="11"/>
      <c r="AF1538" s="11"/>
      <c r="AG1538" s="11">
        <v>84259754</v>
      </c>
      <c r="AH1538" s="11"/>
      <c r="AI1538" s="11"/>
      <c r="AJ1538" s="11">
        <v>84259754</v>
      </c>
      <c r="AK1538" s="12">
        <v>2</v>
      </c>
      <c r="AL1538" s="12" t="s">
        <v>7377</v>
      </c>
      <c r="AM1538" s="2">
        <v>0</v>
      </c>
      <c r="AN1538" s="2">
        <v>0</v>
      </c>
      <c r="AO1538" s="2">
        <v>0</v>
      </c>
      <c r="AP1538" s="2">
        <v>1</v>
      </c>
      <c r="AQ1538" s="2">
        <v>0</v>
      </c>
      <c r="AR1538" s="2">
        <v>0</v>
      </c>
      <c r="AS1538" s="2">
        <v>0</v>
      </c>
      <c r="AT1538" s="2">
        <v>0</v>
      </c>
      <c r="BA1538" s="2" t="s">
        <v>9296</v>
      </c>
      <c r="BB1538" s="2" t="str">
        <f>+PROPER(BD[[#This Row],[PRIMER_APELLIDO]])</f>
        <v>Ramirez</v>
      </c>
    </row>
    <row r="1539" spans="1:54" x14ac:dyDescent="0.25">
      <c r="A1539" s="2">
        <v>1538</v>
      </c>
      <c r="B1539" s="2">
        <v>19355</v>
      </c>
      <c r="C1539" s="5" t="s">
        <v>619</v>
      </c>
      <c r="D1539" s="2" t="s">
        <v>620</v>
      </c>
      <c r="E1539" s="6" t="s">
        <v>9297</v>
      </c>
      <c r="F1539" s="6"/>
      <c r="G1539" s="3">
        <v>43</v>
      </c>
      <c r="I1539" s="7"/>
      <c r="J1539" s="7"/>
      <c r="K1539" s="8">
        <v>42.895890410958906</v>
      </c>
      <c r="L1539" s="2" t="s">
        <v>4232</v>
      </c>
      <c r="M1539" s="2" t="s">
        <v>961</v>
      </c>
      <c r="N1539" s="2" t="s">
        <v>44</v>
      </c>
      <c r="O1539" s="2" t="s">
        <v>86</v>
      </c>
      <c r="P1539" s="2" t="s">
        <v>626</v>
      </c>
      <c r="Q1539" s="2" t="s">
        <v>351</v>
      </c>
      <c r="R1539" s="9">
        <v>29139</v>
      </c>
      <c r="S1539" s="9">
        <v>29139</v>
      </c>
      <c r="T1539" s="2" t="s">
        <v>691</v>
      </c>
      <c r="U1539" s="2" t="s">
        <v>691</v>
      </c>
      <c r="V1539" s="2" t="s">
        <v>716</v>
      </c>
      <c r="W1539" s="2" t="s">
        <v>691</v>
      </c>
      <c r="X1539" s="2" t="s">
        <v>9298</v>
      </c>
      <c r="Y1539" s="2" t="s">
        <v>9299</v>
      </c>
      <c r="Z1539" s="6">
        <v>86595930</v>
      </c>
      <c r="AA1539" s="2">
        <v>86595930</v>
      </c>
      <c r="AB1539" s="2" t="s">
        <v>654</v>
      </c>
      <c r="AC1539" s="2" t="s">
        <v>632</v>
      </c>
      <c r="AD1539" s="10">
        <v>86595930</v>
      </c>
      <c r="AE1539" s="11"/>
      <c r="AF1539" s="11">
        <v>86595930</v>
      </c>
      <c r="AG1539" s="11"/>
      <c r="AH1539" s="11"/>
      <c r="AI1539" s="11"/>
      <c r="AJ1539" s="11">
        <v>86595930</v>
      </c>
      <c r="AK1539" s="12">
        <v>2</v>
      </c>
      <c r="AL1539" s="12" t="s">
        <v>7377</v>
      </c>
      <c r="AM1539" s="2">
        <v>0</v>
      </c>
      <c r="AN1539" s="2">
        <v>0</v>
      </c>
      <c r="AO1539" s="2">
        <v>0</v>
      </c>
      <c r="AP1539" s="2">
        <v>1</v>
      </c>
      <c r="AQ1539" s="2">
        <v>0</v>
      </c>
      <c r="AR1539" s="2">
        <v>0</v>
      </c>
      <c r="AS1539" s="2">
        <v>0</v>
      </c>
      <c r="AT1539" s="2">
        <v>0</v>
      </c>
      <c r="AZ1539" s="2" t="s">
        <v>9300</v>
      </c>
      <c r="BB1539" s="2" t="str">
        <f>+PROPER(BD[[#This Row],[PRIMER_APELLIDO]])</f>
        <v>Martinez</v>
      </c>
    </row>
    <row r="1540" spans="1:54" x14ac:dyDescent="0.25">
      <c r="A1540" s="2">
        <v>1539</v>
      </c>
      <c r="B1540" s="2">
        <v>19021</v>
      </c>
      <c r="C1540" s="5" t="s">
        <v>619</v>
      </c>
      <c r="D1540" s="2" t="s">
        <v>620</v>
      </c>
      <c r="E1540" s="6" t="s">
        <v>9301</v>
      </c>
      <c r="F1540" s="6">
        <v>16853298</v>
      </c>
      <c r="G1540" s="3">
        <v>43</v>
      </c>
      <c r="I1540" s="7"/>
      <c r="J1540" s="7"/>
      <c r="K1540" s="8">
        <v>42.898630136986299</v>
      </c>
      <c r="L1540" s="2" t="s">
        <v>1163</v>
      </c>
      <c r="M1540" s="2" t="s">
        <v>4535</v>
      </c>
      <c r="N1540" s="2" t="s">
        <v>10</v>
      </c>
      <c r="O1540" s="2" t="s">
        <v>9</v>
      </c>
      <c r="P1540" s="2" t="s">
        <v>626</v>
      </c>
      <c r="Q1540" s="2" t="s">
        <v>351</v>
      </c>
      <c r="R1540" s="9">
        <v>29138</v>
      </c>
      <c r="S1540" s="9">
        <v>29138</v>
      </c>
      <c r="U1540" s="2" t="s">
        <v>176</v>
      </c>
      <c r="W1540" s="2" t="s">
        <v>748</v>
      </c>
      <c r="X1540" s="2" t="s">
        <v>9302</v>
      </c>
      <c r="Y1540" s="2" t="s">
        <v>9303</v>
      </c>
      <c r="Z1540" s="6"/>
      <c r="AA1540" s="2" t="s">
        <v>9304</v>
      </c>
      <c r="AB1540" s="2" t="s">
        <v>654</v>
      </c>
      <c r="AC1540" s="2" t="s">
        <v>632</v>
      </c>
      <c r="AD1540" s="10"/>
      <c r="AE1540" s="11"/>
      <c r="AF1540" s="11"/>
      <c r="AG1540" s="11">
        <v>86434181</v>
      </c>
      <c r="AH1540" s="11">
        <v>88355436</v>
      </c>
      <c r="AI1540" s="11"/>
      <c r="AJ1540" s="11">
        <v>86434181</v>
      </c>
      <c r="AK1540" s="12">
        <v>3</v>
      </c>
      <c r="AL1540" s="12" t="s">
        <v>7377</v>
      </c>
      <c r="AM1540" s="2">
        <v>0</v>
      </c>
      <c r="AN1540" s="2">
        <v>0</v>
      </c>
      <c r="AO1540" s="2">
        <v>0</v>
      </c>
      <c r="AP1540" s="2">
        <v>1</v>
      </c>
      <c r="AQ1540" s="2">
        <v>0</v>
      </c>
      <c r="AR1540" s="2">
        <v>0</v>
      </c>
      <c r="AS1540" s="2">
        <v>0</v>
      </c>
      <c r="AT1540" s="2">
        <v>0</v>
      </c>
      <c r="BB1540" s="2" t="str">
        <f>+PROPER(BD[[#This Row],[PRIMER_APELLIDO]])</f>
        <v>Garcia</v>
      </c>
    </row>
    <row r="1541" spans="1:54" x14ac:dyDescent="0.25">
      <c r="A1541" s="2">
        <v>1540</v>
      </c>
      <c r="B1541" s="2">
        <v>23871</v>
      </c>
      <c r="C1541" s="5" t="s">
        <v>619</v>
      </c>
      <c r="D1541" s="2" t="s">
        <v>620</v>
      </c>
      <c r="E1541" s="6" t="s">
        <v>9305</v>
      </c>
      <c r="F1541" s="6">
        <v>19065827</v>
      </c>
      <c r="G1541" s="3">
        <v>43</v>
      </c>
      <c r="I1541" s="7"/>
      <c r="J1541" s="7"/>
      <c r="K1541" s="8">
        <v>42.901369863013699</v>
      </c>
      <c r="L1541" s="2" t="s">
        <v>6706</v>
      </c>
      <c r="M1541" s="2" t="s">
        <v>1163</v>
      </c>
      <c r="N1541" s="2" t="s">
        <v>235</v>
      </c>
      <c r="O1541" s="2" t="s">
        <v>117</v>
      </c>
      <c r="P1541" s="2" t="s">
        <v>626</v>
      </c>
      <c r="Q1541" s="2" t="s">
        <v>351</v>
      </c>
      <c r="R1541" s="9">
        <v>29137</v>
      </c>
      <c r="S1541" s="9">
        <v>29137</v>
      </c>
      <c r="T1541" s="2" t="s">
        <v>659</v>
      </c>
      <c r="U1541" s="2" t="s">
        <v>659</v>
      </c>
      <c r="V1541" s="2" t="s">
        <v>659</v>
      </c>
      <c r="W1541" s="2" t="s">
        <v>659</v>
      </c>
      <c r="X1541" s="2" t="s">
        <v>9306</v>
      </c>
      <c r="Y1541" s="2" t="s">
        <v>9307</v>
      </c>
      <c r="Z1541" s="6">
        <v>88307442</v>
      </c>
      <c r="AA1541" s="2">
        <v>88307442</v>
      </c>
      <c r="AB1541" s="2" t="s">
        <v>642</v>
      </c>
      <c r="AC1541" s="2" t="s">
        <v>632</v>
      </c>
      <c r="AD1541" s="10">
        <v>88307442</v>
      </c>
      <c r="AE1541" s="11"/>
      <c r="AF1541" s="11">
        <v>88307442</v>
      </c>
      <c r="AG1541" s="11"/>
      <c r="AH1541" s="11"/>
      <c r="AI1541" s="11"/>
      <c r="AJ1541" s="11">
        <v>88307442</v>
      </c>
      <c r="AK1541" s="12">
        <v>2</v>
      </c>
      <c r="AL1541" s="12" t="s">
        <v>7377</v>
      </c>
      <c r="AM1541" s="2">
        <v>0</v>
      </c>
      <c r="AN1541" s="2">
        <v>0</v>
      </c>
      <c r="AO1541" s="2">
        <v>0</v>
      </c>
      <c r="AP1541" s="2">
        <v>1</v>
      </c>
      <c r="AQ1541" s="2">
        <v>0</v>
      </c>
      <c r="AR1541" s="2">
        <v>0</v>
      </c>
      <c r="AS1541" s="2">
        <v>0</v>
      </c>
      <c r="AT1541" s="2">
        <v>0</v>
      </c>
      <c r="AZ1541" s="2" t="s">
        <v>9308</v>
      </c>
      <c r="BB1541" s="2" t="str">
        <f>+PROPER(BD[[#This Row],[PRIMER_APELLIDO]])</f>
        <v>Espinoza</v>
      </c>
    </row>
    <row r="1542" spans="1:54" x14ac:dyDescent="0.25">
      <c r="A1542" s="2">
        <v>1541</v>
      </c>
      <c r="B1542" s="2">
        <v>22891</v>
      </c>
      <c r="C1542" s="5" t="s">
        <v>619</v>
      </c>
      <c r="D1542" s="2" t="s">
        <v>620</v>
      </c>
      <c r="E1542" s="6" t="s">
        <v>9309</v>
      </c>
      <c r="F1542" s="6">
        <v>19751814</v>
      </c>
      <c r="G1542" s="3">
        <v>43</v>
      </c>
      <c r="I1542" s="7"/>
      <c r="J1542" s="7"/>
      <c r="K1542" s="8">
        <v>42.923287671232877</v>
      </c>
      <c r="L1542" s="2" t="s">
        <v>7046</v>
      </c>
      <c r="M1542" s="2" t="s">
        <v>1525</v>
      </c>
      <c r="N1542" s="2" t="s">
        <v>11</v>
      </c>
      <c r="O1542" s="2" t="s">
        <v>8545</v>
      </c>
      <c r="P1542" s="2" t="s">
        <v>626</v>
      </c>
      <c r="Q1542" s="2" t="s">
        <v>351</v>
      </c>
      <c r="R1542" s="9">
        <v>29129</v>
      </c>
      <c r="S1542" s="9">
        <v>29129</v>
      </c>
      <c r="T1542" s="2" t="s">
        <v>732</v>
      </c>
      <c r="U1542" s="2" t="s">
        <v>732</v>
      </c>
      <c r="V1542" s="2" t="s">
        <v>732</v>
      </c>
      <c r="W1542" s="2" t="s">
        <v>732</v>
      </c>
      <c r="X1542" s="2" t="s">
        <v>9310</v>
      </c>
      <c r="Y1542" s="2" t="s">
        <v>9311</v>
      </c>
      <c r="Z1542" s="6"/>
      <c r="AA1542" s="2">
        <v>82027933</v>
      </c>
      <c r="AB1542" s="2" t="s">
        <v>642</v>
      </c>
      <c r="AC1542" s="2" t="s">
        <v>632</v>
      </c>
      <c r="AD1542" s="10"/>
      <c r="AE1542" s="11"/>
      <c r="AF1542" s="11">
        <v>82027933</v>
      </c>
      <c r="AG1542" s="11"/>
      <c r="AH1542" s="11"/>
      <c r="AI1542" s="11"/>
      <c r="AJ1542" s="11">
        <v>82027933</v>
      </c>
      <c r="AK1542" s="12">
        <v>1</v>
      </c>
      <c r="AL1542" s="12" t="s">
        <v>7377</v>
      </c>
      <c r="AM1542" s="2">
        <v>0</v>
      </c>
      <c r="AN1542" s="2">
        <v>0</v>
      </c>
      <c r="AO1542" s="2">
        <v>0</v>
      </c>
      <c r="AP1542" s="2">
        <v>1</v>
      </c>
      <c r="AQ1542" s="2">
        <v>0</v>
      </c>
      <c r="AR1542" s="2">
        <v>0</v>
      </c>
      <c r="AS1542" s="2">
        <v>0</v>
      </c>
      <c r="AT1542" s="2">
        <v>0</v>
      </c>
      <c r="BA1542" s="2" t="s">
        <v>9312</v>
      </c>
      <c r="BB1542" s="2" t="str">
        <f>+PROPER(BD[[#This Row],[PRIMER_APELLIDO]])</f>
        <v>Hernandez</v>
      </c>
    </row>
    <row r="1543" spans="1:54" x14ac:dyDescent="0.25">
      <c r="A1543" s="2">
        <v>1542</v>
      </c>
      <c r="B1543" s="2">
        <v>23824</v>
      </c>
      <c r="C1543" s="5" t="s">
        <v>619</v>
      </c>
      <c r="D1543" s="2" t="s">
        <v>620</v>
      </c>
      <c r="E1543" s="6" t="s">
        <v>9313</v>
      </c>
      <c r="F1543" s="6">
        <v>17886228</v>
      </c>
      <c r="G1543" s="3">
        <v>43</v>
      </c>
      <c r="I1543" s="7"/>
      <c r="J1543" s="7"/>
      <c r="K1543" s="8">
        <v>42.956164383561642</v>
      </c>
      <c r="L1543" s="2" t="s">
        <v>624</v>
      </c>
      <c r="M1543" s="2" t="s">
        <v>1170</v>
      </c>
      <c r="N1543" s="2" t="s">
        <v>88</v>
      </c>
      <c r="O1543" s="2" t="s">
        <v>329</v>
      </c>
      <c r="P1543" s="2" t="s">
        <v>626</v>
      </c>
      <c r="Q1543" s="2" t="s">
        <v>351</v>
      </c>
      <c r="R1543" s="9">
        <v>29117</v>
      </c>
      <c r="S1543" s="9">
        <v>29117</v>
      </c>
      <c r="U1543" s="2" t="s">
        <v>176</v>
      </c>
      <c r="W1543" s="2" t="s">
        <v>176</v>
      </c>
      <c r="X1543" s="2" t="s">
        <v>9314</v>
      </c>
      <c r="Y1543" s="2" t="s">
        <v>9315</v>
      </c>
      <c r="Z1543" s="6"/>
      <c r="AA1543" s="2">
        <v>87963715</v>
      </c>
      <c r="AB1543" s="2" t="s">
        <v>654</v>
      </c>
      <c r="AC1543" s="2" t="s">
        <v>632</v>
      </c>
      <c r="AD1543" s="10"/>
      <c r="AE1543" s="11"/>
      <c r="AF1543" s="11">
        <v>87963715</v>
      </c>
      <c r="AG1543" s="11"/>
      <c r="AH1543" s="11"/>
      <c r="AI1543" s="11"/>
      <c r="AJ1543" s="11">
        <v>87963715</v>
      </c>
      <c r="AK1543" s="12">
        <v>1</v>
      </c>
      <c r="AL1543" s="12" t="s">
        <v>7377</v>
      </c>
      <c r="AM1543" s="2">
        <v>0</v>
      </c>
      <c r="AN1543" s="2">
        <v>0</v>
      </c>
      <c r="AO1543" s="2">
        <v>0</v>
      </c>
      <c r="AP1543" s="2">
        <v>1</v>
      </c>
      <c r="AQ1543" s="2">
        <v>0</v>
      </c>
      <c r="AR1543" s="2">
        <v>0</v>
      </c>
      <c r="AS1543" s="2">
        <v>0</v>
      </c>
      <c r="AT1543" s="2">
        <v>0</v>
      </c>
      <c r="BB1543" s="2" t="str">
        <f>+PROPER(BD[[#This Row],[PRIMER_APELLIDO]])</f>
        <v>Davila</v>
      </c>
    </row>
    <row r="1544" spans="1:54" x14ac:dyDescent="0.25">
      <c r="A1544" s="2">
        <v>1543</v>
      </c>
      <c r="B1544" s="2">
        <v>48068</v>
      </c>
      <c r="C1544" s="5" t="s">
        <v>619</v>
      </c>
      <c r="D1544" s="2" t="s">
        <v>620</v>
      </c>
      <c r="E1544" s="6" t="s">
        <v>9316</v>
      </c>
      <c r="F1544" s="6">
        <v>20813330</v>
      </c>
      <c r="G1544" s="3">
        <v>43</v>
      </c>
      <c r="I1544" s="7"/>
      <c r="J1544" s="7"/>
      <c r="K1544" s="8">
        <v>42.964383561643835</v>
      </c>
      <c r="L1544" s="2" t="s">
        <v>1378</v>
      </c>
      <c r="M1544" s="2" t="s">
        <v>3736</v>
      </c>
      <c r="N1544" s="2" t="s">
        <v>219</v>
      </c>
      <c r="O1544" s="2" t="s">
        <v>44</v>
      </c>
      <c r="P1544" s="2" t="s">
        <v>626</v>
      </c>
      <c r="Q1544" s="2" t="s">
        <v>351</v>
      </c>
      <c r="R1544" s="9">
        <v>29114</v>
      </c>
      <c r="S1544" s="9">
        <v>29114</v>
      </c>
      <c r="T1544" s="2" t="s">
        <v>176</v>
      </c>
      <c r="U1544" s="2" t="s">
        <v>1044</v>
      </c>
      <c r="V1544" s="2" t="s">
        <v>1796</v>
      </c>
      <c r="W1544" s="2" t="s">
        <v>1838</v>
      </c>
      <c r="X1544" s="2" t="s">
        <v>9317</v>
      </c>
      <c r="Y1544" s="2" t="s">
        <v>9318</v>
      </c>
      <c r="Z1544" s="6">
        <v>87056632</v>
      </c>
      <c r="AA1544" s="2">
        <v>87056632</v>
      </c>
      <c r="AB1544" s="2" t="s">
        <v>631</v>
      </c>
      <c r="AC1544" s="2" t="s">
        <v>632</v>
      </c>
      <c r="AD1544" s="10">
        <v>87056632</v>
      </c>
      <c r="AE1544" s="11"/>
      <c r="AF1544" s="11">
        <v>87056632</v>
      </c>
      <c r="AG1544" s="11"/>
      <c r="AH1544" s="11"/>
      <c r="AI1544" s="11"/>
      <c r="AJ1544" s="11">
        <v>87056632</v>
      </c>
      <c r="AK1544" s="12">
        <v>2</v>
      </c>
      <c r="AL1544" s="12" t="s">
        <v>7377</v>
      </c>
      <c r="AM1544" s="2">
        <v>0</v>
      </c>
      <c r="AN1544" s="2">
        <v>0</v>
      </c>
      <c r="AO1544" s="2">
        <v>0</v>
      </c>
      <c r="AP1544" s="2">
        <v>1</v>
      </c>
      <c r="AQ1544" s="2">
        <v>0</v>
      </c>
      <c r="AR1544" s="2">
        <v>0</v>
      </c>
      <c r="AS1544" s="2">
        <v>0</v>
      </c>
      <c r="AT1544" s="2">
        <v>0</v>
      </c>
      <c r="AZ1544" s="2" t="s">
        <v>9319</v>
      </c>
      <c r="BB1544" s="2" t="str">
        <f>+PROPER(BD[[#This Row],[PRIMER_APELLIDO]])</f>
        <v>Huete</v>
      </c>
    </row>
    <row r="1545" spans="1:54" x14ac:dyDescent="0.25">
      <c r="A1545" s="2">
        <v>1544</v>
      </c>
      <c r="B1545" s="2">
        <v>21158</v>
      </c>
      <c r="C1545" s="5" t="s">
        <v>619</v>
      </c>
      <c r="D1545" s="2" t="s">
        <v>620</v>
      </c>
      <c r="E1545" s="6" t="s">
        <v>9320</v>
      </c>
      <c r="F1545" s="6"/>
      <c r="G1545" s="3">
        <v>43</v>
      </c>
      <c r="I1545" s="7"/>
      <c r="J1545" s="7"/>
      <c r="K1545" s="8">
        <v>42.975342465753428</v>
      </c>
      <c r="L1545" s="2" t="s">
        <v>1640</v>
      </c>
      <c r="M1545" s="2" t="s">
        <v>1692</v>
      </c>
      <c r="N1545" s="2" t="s">
        <v>203</v>
      </c>
      <c r="O1545" s="2" t="s">
        <v>100</v>
      </c>
      <c r="P1545" s="2" t="s">
        <v>649</v>
      </c>
      <c r="Q1545" s="2" t="s">
        <v>351</v>
      </c>
      <c r="R1545" s="9">
        <v>29110</v>
      </c>
      <c r="S1545" s="9">
        <v>29110</v>
      </c>
      <c r="T1545" s="2" t="s">
        <v>176</v>
      </c>
      <c r="U1545" s="2" t="s">
        <v>780</v>
      </c>
      <c r="V1545" s="2" t="s">
        <v>650</v>
      </c>
      <c r="W1545" s="2" t="s">
        <v>2868</v>
      </c>
      <c r="X1545" s="2" t="s">
        <v>9321</v>
      </c>
      <c r="Y1545" s="2" t="s">
        <v>2868</v>
      </c>
      <c r="Z1545" s="6">
        <v>23114059</v>
      </c>
      <c r="AA1545" s="2">
        <v>83154059</v>
      </c>
      <c r="AB1545" s="2" t="s">
        <v>654</v>
      </c>
      <c r="AC1545" s="2" t="s">
        <v>632</v>
      </c>
      <c r="AD1545" s="10"/>
      <c r="AE1545" s="11"/>
      <c r="AF1545" s="11">
        <v>83154059</v>
      </c>
      <c r="AG1545" s="11"/>
      <c r="AH1545" s="11"/>
      <c r="AI1545" s="11"/>
      <c r="AJ1545" s="11">
        <v>83154059</v>
      </c>
      <c r="AK1545" s="12">
        <v>2</v>
      </c>
      <c r="AL1545" s="12" t="s">
        <v>7377</v>
      </c>
      <c r="AM1545" s="2">
        <v>0</v>
      </c>
      <c r="AN1545" s="2">
        <v>0</v>
      </c>
      <c r="AO1545" s="2">
        <v>0</v>
      </c>
      <c r="AP1545" s="2">
        <v>1</v>
      </c>
      <c r="AQ1545" s="2">
        <v>0</v>
      </c>
      <c r="AR1545" s="2">
        <v>0</v>
      </c>
      <c r="AS1545" s="2">
        <v>0</v>
      </c>
      <c r="AT1545" s="2">
        <v>0</v>
      </c>
      <c r="AZ1545" s="2" t="s">
        <v>9322</v>
      </c>
      <c r="BB1545" s="2" t="str">
        <f>+PROPER(BD[[#This Row],[PRIMER_APELLIDO]])</f>
        <v>Mendez</v>
      </c>
    </row>
    <row r="1546" spans="1:54" x14ac:dyDescent="0.25">
      <c r="A1546" s="2">
        <v>1545</v>
      </c>
      <c r="B1546" s="2">
        <v>72214</v>
      </c>
      <c r="C1546" s="5" t="s">
        <v>619</v>
      </c>
      <c r="D1546" s="2" t="s">
        <v>620</v>
      </c>
      <c r="E1546" s="6" t="s">
        <v>9323</v>
      </c>
      <c r="F1546" s="6"/>
      <c r="G1546" s="3">
        <v>43</v>
      </c>
      <c r="I1546" s="7"/>
      <c r="J1546" s="7"/>
      <c r="K1546" s="8">
        <v>42.975342465753428</v>
      </c>
      <c r="L1546" s="2" t="s">
        <v>3923</v>
      </c>
      <c r="M1546" s="2" t="s">
        <v>1223</v>
      </c>
      <c r="N1546" s="2" t="s">
        <v>11</v>
      </c>
      <c r="O1546" s="2" t="s">
        <v>232</v>
      </c>
      <c r="P1546" s="2" t="s">
        <v>649</v>
      </c>
      <c r="Q1546" s="2" t="s">
        <v>351</v>
      </c>
      <c r="R1546" s="9">
        <v>29110</v>
      </c>
      <c r="T1546" s="2" t="s">
        <v>133</v>
      </c>
      <c r="V1546" s="2" t="s">
        <v>869</v>
      </c>
      <c r="X1546" s="2" t="s">
        <v>9324</v>
      </c>
      <c r="Z1546" s="6">
        <v>86611247</v>
      </c>
      <c r="AB1546" s="2" t="s">
        <v>654</v>
      </c>
      <c r="AC1546" s="2" t="s">
        <v>632</v>
      </c>
      <c r="AD1546" s="10">
        <v>86611247</v>
      </c>
      <c r="AE1546" s="11"/>
      <c r="AF1546" s="11"/>
      <c r="AG1546" s="11"/>
      <c r="AH1546" s="11"/>
      <c r="AI1546" s="11"/>
      <c r="AJ1546" s="11">
        <v>86611247</v>
      </c>
      <c r="AK1546" s="12">
        <v>1</v>
      </c>
      <c r="AL1546" s="12" t="s">
        <v>7377</v>
      </c>
      <c r="AM1546" s="2">
        <v>0</v>
      </c>
      <c r="AN1546" s="2">
        <v>0</v>
      </c>
      <c r="AO1546" s="2">
        <v>0</v>
      </c>
      <c r="AP1546" s="2">
        <v>1</v>
      </c>
      <c r="AQ1546" s="2">
        <v>0</v>
      </c>
      <c r="AR1546" s="2">
        <v>0</v>
      </c>
      <c r="AS1546" s="2">
        <v>0</v>
      </c>
      <c r="AT1546" s="2">
        <v>0</v>
      </c>
      <c r="AZ1546" s="2" t="s">
        <v>9325</v>
      </c>
      <c r="BB1546" s="2" t="str">
        <f>+PROPER(BD[[#This Row],[PRIMER_APELLIDO]])</f>
        <v>Hernandez</v>
      </c>
    </row>
    <row r="1547" spans="1:54" x14ac:dyDescent="0.25">
      <c r="A1547" s="2">
        <v>1546</v>
      </c>
      <c r="B1547" s="2">
        <v>23352</v>
      </c>
      <c r="C1547" s="5" t="s">
        <v>619</v>
      </c>
      <c r="D1547" s="2" t="s">
        <v>620</v>
      </c>
      <c r="E1547" s="6" t="s">
        <v>9326</v>
      </c>
      <c r="F1547" s="6">
        <v>17844198</v>
      </c>
      <c r="G1547" s="3">
        <v>43</v>
      </c>
      <c r="I1547" s="7"/>
      <c r="J1547" s="7"/>
      <c r="K1547" s="8">
        <v>42.980821917808221</v>
      </c>
      <c r="L1547" s="2" t="s">
        <v>4201</v>
      </c>
      <c r="M1547" s="2" t="s">
        <v>1464</v>
      </c>
      <c r="N1547" s="2" t="s">
        <v>383</v>
      </c>
      <c r="O1547" s="2" t="s">
        <v>347</v>
      </c>
      <c r="P1547" s="2" t="s">
        <v>626</v>
      </c>
      <c r="Q1547" s="2" t="s">
        <v>351</v>
      </c>
      <c r="R1547" s="9">
        <v>29108</v>
      </c>
      <c r="S1547" s="9">
        <v>29108</v>
      </c>
      <c r="T1547" s="2" t="s">
        <v>705</v>
      </c>
      <c r="U1547" s="2" t="s">
        <v>705</v>
      </c>
      <c r="V1547" s="2" t="s">
        <v>4722</v>
      </c>
      <c r="W1547" s="2" t="s">
        <v>4722</v>
      </c>
      <c r="X1547" s="2" t="s">
        <v>9327</v>
      </c>
      <c r="Y1547" s="2" t="s">
        <v>9328</v>
      </c>
      <c r="Z1547" s="6">
        <v>85928484</v>
      </c>
      <c r="AA1547" s="2">
        <v>85928484</v>
      </c>
      <c r="AB1547" s="2" t="s">
        <v>642</v>
      </c>
      <c r="AC1547" s="2" t="s">
        <v>632</v>
      </c>
      <c r="AD1547" s="10">
        <v>85928484</v>
      </c>
      <c r="AE1547" s="11"/>
      <c r="AF1547" s="11">
        <v>85928484</v>
      </c>
      <c r="AG1547" s="11"/>
      <c r="AH1547" s="11"/>
      <c r="AI1547" s="11"/>
      <c r="AJ1547" s="11">
        <v>85928484</v>
      </c>
      <c r="AK1547" s="12">
        <v>2</v>
      </c>
      <c r="AL1547" s="12" t="s">
        <v>7377</v>
      </c>
      <c r="AM1547" s="2">
        <v>0</v>
      </c>
      <c r="AN1547" s="2">
        <v>0</v>
      </c>
      <c r="AO1547" s="2">
        <v>0</v>
      </c>
      <c r="AP1547" s="2">
        <v>1</v>
      </c>
      <c r="AQ1547" s="2">
        <v>0</v>
      </c>
      <c r="AR1547" s="2">
        <v>0</v>
      </c>
      <c r="AS1547" s="2">
        <v>0</v>
      </c>
      <c r="AT1547" s="2">
        <v>0</v>
      </c>
      <c r="AZ1547" s="2" t="s">
        <v>9329</v>
      </c>
      <c r="BB1547" s="2" t="str">
        <f>+PROPER(BD[[#This Row],[PRIMER_APELLIDO]])</f>
        <v>Ibarra</v>
      </c>
    </row>
    <row r="1548" spans="1:54" x14ac:dyDescent="0.25">
      <c r="A1548" s="2">
        <v>1547</v>
      </c>
      <c r="B1548" s="2">
        <v>20756</v>
      </c>
      <c r="C1548" s="5" t="s">
        <v>619</v>
      </c>
      <c r="D1548" s="2" t="s">
        <v>620</v>
      </c>
      <c r="E1548" s="6" t="s">
        <v>9330</v>
      </c>
      <c r="F1548" s="6">
        <v>16458901</v>
      </c>
      <c r="G1548" s="3">
        <v>43</v>
      </c>
      <c r="I1548" s="7"/>
      <c r="J1548" s="7"/>
      <c r="K1548" s="8">
        <v>42.989041095890414</v>
      </c>
      <c r="L1548" s="2" t="s">
        <v>2071</v>
      </c>
      <c r="M1548" s="2" t="s">
        <v>3450</v>
      </c>
      <c r="N1548" s="2" t="s">
        <v>44</v>
      </c>
      <c r="P1548" s="2" t="s">
        <v>649</v>
      </c>
      <c r="Q1548" s="2" t="s">
        <v>351</v>
      </c>
      <c r="R1548" s="9">
        <v>29105</v>
      </c>
      <c r="S1548" s="9">
        <v>29105</v>
      </c>
      <c r="T1548" s="2" t="s">
        <v>176</v>
      </c>
      <c r="U1548" s="2" t="s">
        <v>176</v>
      </c>
      <c r="V1548" s="2" t="s">
        <v>650</v>
      </c>
      <c r="W1548" s="2" t="s">
        <v>176</v>
      </c>
      <c r="X1548" s="2" t="s">
        <v>9331</v>
      </c>
      <c r="Y1548" s="2" t="s">
        <v>9332</v>
      </c>
      <c r="Z1548" s="6"/>
      <c r="AA1548" s="2" t="s">
        <v>9333</v>
      </c>
      <c r="AB1548" s="2" t="s">
        <v>654</v>
      </c>
      <c r="AC1548" s="2" t="s">
        <v>632</v>
      </c>
      <c r="AD1548" s="10"/>
      <c r="AE1548" s="11"/>
      <c r="AF1548" s="11"/>
      <c r="AG1548" s="11">
        <v>87377816</v>
      </c>
      <c r="AH1548" s="11"/>
      <c r="AI1548" s="11"/>
      <c r="AJ1548" s="11">
        <v>87377816</v>
      </c>
      <c r="AK1548" s="12">
        <v>2</v>
      </c>
      <c r="AL1548" s="12" t="s">
        <v>7377</v>
      </c>
      <c r="AM1548" s="2">
        <v>0</v>
      </c>
      <c r="AN1548" s="2">
        <v>0</v>
      </c>
      <c r="AO1548" s="2">
        <v>0</v>
      </c>
      <c r="AP1548" s="2">
        <v>1</v>
      </c>
      <c r="AQ1548" s="2">
        <v>0</v>
      </c>
      <c r="AR1548" s="2">
        <v>0</v>
      </c>
      <c r="AS1548" s="2">
        <v>0</v>
      </c>
      <c r="AT1548" s="2">
        <v>0</v>
      </c>
      <c r="BB1548" s="2" t="str">
        <f>+PROPER(BD[[#This Row],[PRIMER_APELLIDO]])</f>
        <v>Martinez</v>
      </c>
    </row>
    <row r="1549" spans="1:54" x14ac:dyDescent="0.25">
      <c r="A1549" s="2">
        <v>1548</v>
      </c>
      <c r="B1549" s="2">
        <v>18033</v>
      </c>
      <c r="C1549" s="5" t="s">
        <v>619</v>
      </c>
      <c r="D1549" s="2" t="s">
        <v>620</v>
      </c>
      <c r="E1549" s="6" t="s">
        <v>9334</v>
      </c>
      <c r="F1549" s="6">
        <v>16165425</v>
      </c>
      <c r="G1549" s="3">
        <v>43</v>
      </c>
      <c r="I1549" s="7"/>
      <c r="J1549" s="7"/>
      <c r="K1549" s="8">
        <v>42.991780821917807</v>
      </c>
      <c r="L1549" s="2" t="s">
        <v>9335</v>
      </c>
      <c r="M1549" s="2" t="s">
        <v>937</v>
      </c>
      <c r="N1549" s="2" t="s">
        <v>34</v>
      </c>
      <c r="O1549" s="2" t="s">
        <v>274</v>
      </c>
      <c r="P1549" s="2" t="s">
        <v>626</v>
      </c>
      <c r="Q1549" s="2" t="s">
        <v>351</v>
      </c>
      <c r="R1549" s="9">
        <v>29104</v>
      </c>
      <c r="S1549" s="9">
        <v>29104</v>
      </c>
      <c r="T1549" s="2" t="s">
        <v>176</v>
      </c>
      <c r="U1549" s="2" t="s">
        <v>1104</v>
      </c>
      <c r="V1549" s="2" t="s">
        <v>650</v>
      </c>
      <c r="W1549" s="2" t="s">
        <v>1104</v>
      </c>
      <c r="X1549" s="2" t="s">
        <v>9336</v>
      </c>
      <c r="Y1549" s="2" t="s">
        <v>9337</v>
      </c>
      <c r="Z1549" s="6">
        <v>88525506</v>
      </c>
      <c r="AA1549" s="2" t="s">
        <v>9338</v>
      </c>
      <c r="AB1549" s="2" t="s">
        <v>773</v>
      </c>
      <c r="AC1549" s="2" t="s">
        <v>632</v>
      </c>
      <c r="AD1549" s="10">
        <v>88525506</v>
      </c>
      <c r="AE1549" s="11"/>
      <c r="AF1549" s="11"/>
      <c r="AG1549" s="11">
        <v>88525506</v>
      </c>
      <c r="AH1549" s="11"/>
      <c r="AI1549" s="11"/>
      <c r="AJ1549" s="11">
        <v>88525506</v>
      </c>
      <c r="AK1549" s="12">
        <v>3</v>
      </c>
      <c r="AL1549" s="12" t="s">
        <v>7377</v>
      </c>
      <c r="AM1549" s="2">
        <v>0</v>
      </c>
      <c r="AN1549" s="2">
        <v>0</v>
      </c>
      <c r="AO1549" s="2">
        <v>0</v>
      </c>
      <c r="AP1549" s="2">
        <v>1</v>
      </c>
      <c r="AQ1549" s="2">
        <v>0</v>
      </c>
      <c r="AR1549" s="2">
        <v>0</v>
      </c>
      <c r="AS1549" s="2">
        <v>0</v>
      </c>
      <c r="AT1549" s="2">
        <v>0</v>
      </c>
      <c r="AZ1549" s="2" t="s">
        <v>9339</v>
      </c>
      <c r="BB1549" s="2" t="str">
        <f>+PROPER(BD[[#This Row],[PRIMER_APELLIDO]])</f>
        <v>Vargas</v>
      </c>
    </row>
    <row r="1550" spans="1:54" x14ac:dyDescent="0.25">
      <c r="A1550" s="2">
        <v>1549</v>
      </c>
      <c r="B1550" s="2">
        <v>43356</v>
      </c>
      <c r="C1550" s="5" t="s">
        <v>619</v>
      </c>
      <c r="D1550" s="2" t="s">
        <v>620</v>
      </c>
      <c r="E1550" s="6" t="s">
        <v>9340</v>
      </c>
      <c r="F1550" s="6">
        <v>24233686</v>
      </c>
      <c r="G1550" s="3">
        <v>43</v>
      </c>
      <c r="I1550" s="7"/>
      <c r="J1550" s="7"/>
      <c r="K1550" s="8">
        <v>43.005479452054793</v>
      </c>
      <c r="L1550" s="2" t="s">
        <v>3218</v>
      </c>
      <c r="M1550" s="2" t="s">
        <v>2551</v>
      </c>
      <c r="N1550" s="2" t="s">
        <v>247</v>
      </c>
      <c r="O1550" s="2" t="s">
        <v>15</v>
      </c>
      <c r="P1550" s="2" t="s">
        <v>649</v>
      </c>
      <c r="Q1550" s="2" t="s">
        <v>351</v>
      </c>
      <c r="R1550" s="9">
        <v>29099</v>
      </c>
      <c r="S1550" s="9">
        <v>29099</v>
      </c>
      <c r="T1550" s="2" t="s">
        <v>133</v>
      </c>
      <c r="U1550" s="2" t="s">
        <v>133</v>
      </c>
      <c r="V1550" s="2" t="s">
        <v>841</v>
      </c>
      <c r="W1550" s="2" t="s">
        <v>841</v>
      </c>
      <c r="X1550" s="2" t="s">
        <v>9341</v>
      </c>
      <c r="Y1550" s="2" t="s">
        <v>9342</v>
      </c>
      <c r="Z1550" s="6">
        <v>85294616</v>
      </c>
      <c r="AA1550" s="2">
        <v>85294616</v>
      </c>
      <c r="AB1550" s="2" t="s">
        <v>654</v>
      </c>
      <c r="AC1550" s="2" t="s">
        <v>632</v>
      </c>
      <c r="AD1550" s="10">
        <v>85294616</v>
      </c>
      <c r="AE1550" s="11"/>
      <c r="AF1550" s="11">
        <v>85294616</v>
      </c>
      <c r="AG1550" s="11"/>
      <c r="AH1550" s="11"/>
      <c r="AI1550" s="11"/>
      <c r="AJ1550" s="11">
        <v>85294616</v>
      </c>
      <c r="AK1550" s="12">
        <v>2</v>
      </c>
      <c r="AL1550" s="12" t="s">
        <v>7377</v>
      </c>
      <c r="AM1550" s="2">
        <v>0</v>
      </c>
      <c r="AN1550" s="2">
        <v>0</v>
      </c>
      <c r="AO1550" s="2">
        <v>0</v>
      </c>
      <c r="AP1550" s="2">
        <v>1</v>
      </c>
      <c r="AQ1550" s="2">
        <v>0</v>
      </c>
      <c r="AR1550" s="2">
        <v>0</v>
      </c>
      <c r="AS1550" s="2">
        <v>0</v>
      </c>
      <c r="AT1550" s="2">
        <v>0</v>
      </c>
      <c r="BB1550" s="2" t="str">
        <f>+PROPER(BD[[#This Row],[PRIMER_APELLIDO]])</f>
        <v>Ramos</v>
      </c>
    </row>
    <row r="1551" spans="1:54" x14ac:dyDescent="0.25">
      <c r="A1551" s="2">
        <v>1550</v>
      </c>
      <c r="B1551" s="2">
        <v>66386</v>
      </c>
      <c r="C1551" s="5" t="s">
        <v>619</v>
      </c>
      <c r="D1551" s="2" t="s">
        <v>620</v>
      </c>
      <c r="E1551" s="6" t="s">
        <v>9343</v>
      </c>
      <c r="F1551" s="6"/>
      <c r="G1551" s="3">
        <v>43</v>
      </c>
      <c r="I1551" s="7"/>
      <c r="J1551" s="7"/>
      <c r="K1551" s="8">
        <v>43.005479452054793</v>
      </c>
      <c r="L1551" s="2" t="s">
        <v>9344</v>
      </c>
      <c r="M1551" s="2" t="s">
        <v>2176</v>
      </c>
      <c r="N1551" s="2" t="s">
        <v>175</v>
      </c>
      <c r="O1551" s="2" t="s">
        <v>185</v>
      </c>
      <c r="P1551" s="2" t="s">
        <v>626</v>
      </c>
      <c r="Q1551" s="2" t="s">
        <v>351</v>
      </c>
      <c r="R1551" s="9">
        <v>29099</v>
      </c>
      <c r="S1551" s="9">
        <v>29099</v>
      </c>
      <c r="T1551" s="2" t="s">
        <v>1104</v>
      </c>
      <c r="U1551" s="2" t="s">
        <v>1104</v>
      </c>
      <c r="V1551" s="2" t="s">
        <v>1104</v>
      </c>
      <c r="W1551" s="2" t="s">
        <v>1104</v>
      </c>
      <c r="X1551" s="2" t="s">
        <v>9345</v>
      </c>
      <c r="Y1551" s="2" t="s">
        <v>9346</v>
      </c>
      <c r="Z1551" s="6">
        <v>88484184</v>
      </c>
      <c r="AA1551" s="2" t="s">
        <v>9347</v>
      </c>
      <c r="AB1551" s="2" t="s">
        <v>654</v>
      </c>
      <c r="AC1551" s="2" t="s">
        <v>632</v>
      </c>
      <c r="AD1551" s="10">
        <v>88484184</v>
      </c>
      <c r="AE1551" s="11"/>
      <c r="AF1551" s="11"/>
      <c r="AG1551" s="11">
        <v>84131797</v>
      </c>
      <c r="AH1551" s="11"/>
      <c r="AI1551" s="11"/>
      <c r="AJ1551" s="11">
        <v>88484184</v>
      </c>
      <c r="AK1551" s="12">
        <v>3</v>
      </c>
      <c r="AL1551" s="12" t="s">
        <v>7377</v>
      </c>
      <c r="AM1551" s="2">
        <v>0</v>
      </c>
      <c r="AN1551" s="2">
        <v>0</v>
      </c>
      <c r="AO1551" s="2">
        <v>0</v>
      </c>
      <c r="AP1551" s="2">
        <v>1</v>
      </c>
      <c r="AQ1551" s="2">
        <v>0</v>
      </c>
      <c r="AR1551" s="2">
        <v>0</v>
      </c>
      <c r="AS1551" s="2">
        <v>0</v>
      </c>
      <c r="AT1551" s="2">
        <v>0</v>
      </c>
      <c r="AZ1551" s="2" t="s">
        <v>9348</v>
      </c>
      <c r="BB1551" s="2" t="str">
        <f>+PROPER(BD[[#This Row],[PRIMER_APELLIDO]])</f>
        <v>Tercero</v>
      </c>
    </row>
    <row r="1552" spans="1:54" x14ac:dyDescent="0.25">
      <c r="A1552" s="2">
        <v>1551</v>
      </c>
      <c r="B1552" s="2">
        <v>33611</v>
      </c>
      <c r="C1552" s="5" t="s">
        <v>619</v>
      </c>
      <c r="D1552" s="2" t="s">
        <v>620</v>
      </c>
      <c r="E1552" s="6" t="s">
        <v>9349</v>
      </c>
      <c r="F1552" s="6">
        <v>22306689</v>
      </c>
      <c r="G1552" s="3">
        <v>43</v>
      </c>
      <c r="I1552" s="7"/>
      <c r="J1552" s="7"/>
      <c r="K1552" s="8">
        <v>43.010958904109586</v>
      </c>
      <c r="L1552" s="2" t="s">
        <v>860</v>
      </c>
      <c r="M1552" s="2" t="s">
        <v>9350</v>
      </c>
      <c r="N1552" s="2" t="s">
        <v>38</v>
      </c>
      <c r="O1552" s="2" t="s">
        <v>10</v>
      </c>
      <c r="P1552" s="2" t="s">
        <v>626</v>
      </c>
      <c r="Q1552" s="2" t="s">
        <v>351</v>
      </c>
      <c r="R1552" s="9">
        <v>29097</v>
      </c>
      <c r="S1552" s="9">
        <v>29097</v>
      </c>
      <c r="T1552" s="2" t="s">
        <v>1044</v>
      </c>
      <c r="U1552" s="2" t="s">
        <v>1044</v>
      </c>
      <c r="V1552" s="2" t="s">
        <v>1838</v>
      </c>
      <c r="W1552" s="2" t="s">
        <v>1838</v>
      </c>
      <c r="X1552" s="2" t="s">
        <v>9351</v>
      </c>
      <c r="Y1552" s="2" t="s">
        <v>9352</v>
      </c>
      <c r="Z1552" s="6"/>
      <c r="AA1552" s="2" t="s">
        <v>9353</v>
      </c>
      <c r="AB1552" s="2" t="s">
        <v>654</v>
      </c>
      <c r="AC1552" s="2" t="s">
        <v>632</v>
      </c>
      <c r="AD1552" s="10"/>
      <c r="AE1552" s="11"/>
      <c r="AF1552" s="11"/>
      <c r="AG1552" s="11">
        <v>86284580</v>
      </c>
      <c r="AH1552" s="11"/>
      <c r="AI1552" s="11"/>
      <c r="AJ1552" s="11">
        <v>86284580</v>
      </c>
      <c r="AK1552" s="12">
        <v>2</v>
      </c>
      <c r="AL1552" s="12" t="s">
        <v>7377</v>
      </c>
      <c r="AM1552" s="2">
        <v>0</v>
      </c>
      <c r="AN1552" s="2">
        <v>0</v>
      </c>
      <c r="AO1552" s="2">
        <v>0</v>
      </c>
      <c r="AP1552" s="2">
        <v>1</v>
      </c>
      <c r="AQ1552" s="2">
        <v>0</v>
      </c>
      <c r="AR1552" s="2">
        <v>0</v>
      </c>
      <c r="AS1552" s="2">
        <v>0</v>
      </c>
      <c r="AT1552" s="2">
        <v>0</v>
      </c>
      <c r="BB1552" s="2" t="str">
        <f>+PROPER(BD[[#This Row],[PRIMER_APELLIDO]])</f>
        <v>Ramirez</v>
      </c>
    </row>
    <row r="1553" spans="1:54" x14ac:dyDescent="0.25">
      <c r="A1553" s="2">
        <v>1552</v>
      </c>
      <c r="B1553" s="2">
        <v>21244</v>
      </c>
      <c r="C1553" s="5" t="s">
        <v>619</v>
      </c>
      <c r="D1553" s="2" t="s">
        <v>620</v>
      </c>
      <c r="E1553" s="6" t="s">
        <v>9354</v>
      </c>
      <c r="F1553" s="6">
        <v>17724647</v>
      </c>
      <c r="G1553" s="3">
        <v>43</v>
      </c>
      <c r="I1553" s="7"/>
      <c r="J1553" s="7"/>
      <c r="K1553" s="8">
        <v>43.013698630136986</v>
      </c>
      <c r="L1553" s="2" t="s">
        <v>3824</v>
      </c>
      <c r="M1553" s="2" t="s">
        <v>9355</v>
      </c>
      <c r="N1553" s="2" t="s">
        <v>493</v>
      </c>
      <c r="O1553" s="2" t="s">
        <v>252</v>
      </c>
      <c r="P1553" s="2" t="s">
        <v>649</v>
      </c>
      <c r="Q1553" s="2" t="s">
        <v>351</v>
      </c>
      <c r="R1553" s="9">
        <v>29096</v>
      </c>
      <c r="S1553" s="9">
        <v>29096</v>
      </c>
      <c r="U1553" s="2" t="s">
        <v>691</v>
      </c>
      <c r="W1553" s="2" t="s">
        <v>691</v>
      </c>
      <c r="X1553" s="2" t="s">
        <v>9356</v>
      </c>
      <c r="Y1553" s="2" t="s">
        <v>9357</v>
      </c>
      <c r="Z1553" s="6"/>
      <c r="AA1553" s="2" t="s">
        <v>9358</v>
      </c>
      <c r="AB1553" s="2" t="s">
        <v>642</v>
      </c>
      <c r="AC1553" s="2" t="s">
        <v>632</v>
      </c>
      <c r="AD1553" s="10"/>
      <c r="AE1553" s="11"/>
      <c r="AF1553" s="11"/>
      <c r="AG1553" s="11">
        <v>86461370</v>
      </c>
      <c r="AH1553" s="11"/>
      <c r="AI1553" s="11"/>
      <c r="AJ1553" s="11">
        <v>86461370</v>
      </c>
      <c r="AK1553" s="12">
        <v>2</v>
      </c>
      <c r="AL1553" s="12" t="s">
        <v>7377</v>
      </c>
      <c r="AM1553" s="2">
        <v>0</v>
      </c>
      <c r="AN1553" s="2">
        <v>0</v>
      </c>
      <c r="AO1553" s="2">
        <v>0</v>
      </c>
      <c r="AP1553" s="2">
        <v>1</v>
      </c>
      <c r="AQ1553" s="2">
        <v>0</v>
      </c>
      <c r="AR1553" s="2">
        <v>0</v>
      </c>
      <c r="AS1553" s="2">
        <v>0</v>
      </c>
      <c r="AT1553" s="2">
        <v>0</v>
      </c>
      <c r="BB1553" s="2" t="str">
        <f>+PROPER(BD[[#This Row],[PRIMER_APELLIDO]])</f>
        <v>Gadea</v>
      </c>
    </row>
    <row r="1554" spans="1:54" x14ac:dyDescent="0.25">
      <c r="A1554" s="2">
        <v>1553</v>
      </c>
      <c r="B1554" s="2">
        <v>26672</v>
      </c>
      <c r="C1554" s="5" t="s">
        <v>619</v>
      </c>
      <c r="D1554" s="2" t="s">
        <v>620</v>
      </c>
      <c r="E1554" s="6" t="s">
        <v>9359</v>
      </c>
      <c r="F1554" s="6">
        <v>21813254</v>
      </c>
      <c r="G1554" s="3">
        <v>43</v>
      </c>
      <c r="I1554" s="7"/>
      <c r="J1554" s="7"/>
      <c r="K1554" s="8">
        <v>43.035616438356165</v>
      </c>
      <c r="L1554" s="2" t="s">
        <v>9360</v>
      </c>
      <c r="M1554" s="2" t="s">
        <v>904</v>
      </c>
      <c r="N1554" s="2" t="s">
        <v>115</v>
      </c>
      <c r="O1554" s="2" t="s">
        <v>121</v>
      </c>
      <c r="P1554" s="2" t="s">
        <v>649</v>
      </c>
      <c r="Q1554" s="2" t="s">
        <v>351</v>
      </c>
      <c r="R1554" s="9">
        <v>29088</v>
      </c>
      <c r="S1554" s="9">
        <v>29088</v>
      </c>
      <c r="T1554" s="2" t="s">
        <v>627</v>
      </c>
      <c r="U1554" s="2" t="s">
        <v>627</v>
      </c>
      <c r="V1554" s="2" t="s">
        <v>627</v>
      </c>
      <c r="W1554" s="2" t="s">
        <v>627</v>
      </c>
      <c r="X1554" s="2" t="s">
        <v>9053</v>
      </c>
      <c r="Y1554" s="2" t="s">
        <v>9361</v>
      </c>
      <c r="Z1554" s="6">
        <v>86248000</v>
      </c>
      <c r="AA1554" s="2">
        <v>87797578</v>
      </c>
      <c r="AB1554" s="2" t="s">
        <v>798</v>
      </c>
      <c r="AC1554" s="2" t="s">
        <v>632</v>
      </c>
      <c r="AD1554" s="10">
        <v>86248000</v>
      </c>
      <c r="AE1554" s="11"/>
      <c r="AF1554" s="11">
        <v>87797578</v>
      </c>
      <c r="AG1554" s="11"/>
      <c r="AH1554" s="11"/>
      <c r="AI1554" s="11"/>
      <c r="AJ1554" s="11">
        <v>86248000</v>
      </c>
      <c r="AK1554" s="12">
        <v>2</v>
      </c>
      <c r="AL1554" s="12" t="s">
        <v>7377</v>
      </c>
      <c r="AM1554" s="2">
        <v>0</v>
      </c>
      <c r="AN1554" s="2">
        <v>0</v>
      </c>
      <c r="AO1554" s="2">
        <v>0</v>
      </c>
      <c r="AP1554" s="2">
        <v>1</v>
      </c>
      <c r="AQ1554" s="2">
        <v>0</v>
      </c>
      <c r="AR1554" s="2">
        <v>0</v>
      </c>
      <c r="AS1554" s="2">
        <v>0</v>
      </c>
      <c r="AT1554" s="2">
        <v>0</v>
      </c>
      <c r="AZ1554" s="2" t="s">
        <v>9362</v>
      </c>
      <c r="BB1554" s="2" t="str">
        <f>+PROPER(BD[[#This Row],[PRIMER_APELLIDO]])</f>
        <v>Navarro</v>
      </c>
    </row>
    <row r="1555" spans="1:54" x14ac:dyDescent="0.25">
      <c r="A1555" s="2">
        <v>1554</v>
      </c>
      <c r="B1555" s="2">
        <v>18473</v>
      </c>
      <c r="C1555" s="5" t="s">
        <v>619</v>
      </c>
      <c r="D1555" s="2" t="s">
        <v>620</v>
      </c>
      <c r="E1555" s="6" t="s">
        <v>9363</v>
      </c>
      <c r="F1555" s="6">
        <v>16618578</v>
      </c>
      <c r="G1555" s="3">
        <v>43</v>
      </c>
      <c r="I1555" s="7"/>
      <c r="J1555" s="7"/>
      <c r="K1555" s="8">
        <v>43.052054794520551</v>
      </c>
      <c r="L1555" s="2" t="s">
        <v>1442</v>
      </c>
      <c r="M1555" s="2" t="s">
        <v>1070</v>
      </c>
      <c r="N1555" s="2" t="s">
        <v>110</v>
      </c>
      <c r="O1555" s="2" t="s">
        <v>194</v>
      </c>
      <c r="P1555" s="2" t="s">
        <v>626</v>
      </c>
      <c r="Q1555" s="2" t="s">
        <v>351</v>
      </c>
      <c r="R1555" s="9">
        <v>29082</v>
      </c>
      <c r="S1555" s="9">
        <v>29082</v>
      </c>
      <c r="T1555" s="2" t="s">
        <v>444</v>
      </c>
      <c r="U1555" s="2" t="s">
        <v>444</v>
      </c>
      <c r="V1555" s="2" t="s">
        <v>764</v>
      </c>
      <c r="W1555" s="2" t="s">
        <v>764</v>
      </c>
      <c r="X1555" s="2" t="s">
        <v>9364</v>
      </c>
      <c r="Y1555" s="2" t="s">
        <v>9365</v>
      </c>
      <c r="Z1555" s="6">
        <v>84443811</v>
      </c>
      <c r="AA1555" s="2">
        <v>84443811</v>
      </c>
      <c r="AB1555" s="2" t="s">
        <v>642</v>
      </c>
      <c r="AC1555" s="2" t="s">
        <v>632</v>
      </c>
      <c r="AD1555" s="10">
        <v>84443811</v>
      </c>
      <c r="AE1555" s="11"/>
      <c r="AF1555" s="11">
        <v>84443811</v>
      </c>
      <c r="AG1555" s="11"/>
      <c r="AH1555" s="11"/>
      <c r="AI1555" s="11"/>
      <c r="AJ1555" s="11">
        <v>84443811</v>
      </c>
      <c r="AK1555" s="12">
        <v>2</v>
      </c>
      <c r="AL1555" s="12" t="s">
        <v>7377</v>
      </c>
      <c r="AM1555" s="2">
        <v>0</v>
      </c>
      <c r="AN1555" s="2">
        <v>0</v>
      </c>
      <c r="AO1555" s="2">
        <v>0</v>
      </c>
      <c r="AP1555" s="2">
        <v>1</v>
      </c>
      <c r="AQ1555" s="2">
        <v>0</v>
      </c>
      <c r="AR1555" s="2">
        <v>0</v>
      </c>
      <c r="AS1555" s="2">
        <v>0</v>
      </c>
      <c r="AT1555" s="2">
        <v>0</v>
      </c>
      <c r="AZ1555" s="2" t="s">
        <v>9366</v>
      </c>
      <c r="BB1555" s="2" t="str">
        <f>+PROPER(BD[[#This Row],[PRIMER_APELLIDO]])</f>
        <v>Zuniga</v>
      </c>
    </row>
    <row r="1556" spans="1:54" x14ac:dyDescent="0.25">
      <c r="A1556" s="2">
        <v>1555</v>
      </c>
      <c r="B1556" s="2">
        <v>27891</v>
      </c>
      <c r="C1556" s="5" t="s">
        <v>619</v>
      </c>
      <c r="D1556" s="2" t="s">
        <v>620</v>
      </c>
      <c r="E1556" s="6" t="s">
        <v>9367</v>
      </c>
      <c r="F1556" s="6">
        <v>20893855</v>
      </c>
      <c r="G1556" s="3">
        <v>43</v>
      </c>
      <c r="I1556" s="7"/>
      <c r="J1556" s="7"/>
      <c r="K1556" s="8">
        <v>43.06849315068493</v>
      </c>
      <c r="L1556" s="2" t="s">
        <v>697</v>
      </c>
      <c r="M1556" s="2" t="s">
        <v>7173</v>
      </c>
      <c r="N1556" s="2" t="s">
        <v>141</v>
      </c>
      <c r="O1556" s="2" t="s">
        <v>9368</v>
      </c>
      <c r="P1556" s="2" t="s">
        <v>649</v>
      </c>
      <c r="Q1556" s="2" t="s">
        <v>351</v>
      </c>
      <c r="R1556" s="9">
        <v>29076</v>
      </c>
      <c r="S1556" s="9">
        <v>29076</v>
      </c>
      <c r="U1556" s="2" t="s">
        <v>705</v>
      </c>
      <c r="W1556" s="2" t="s">
        <v>705</v>
      </c>
      <c r="X1556" s="2" t="s">
        <v>9369</v>
      </c>
      <c r="Y1556" s="2" t="s">
        <v>9370</v>
      </c>
      <c r="Z1556" s="6"/>
      <c r="AA1556" s="2" t="s">
        <v>9371</v>
      </c>
      <c r="AB1556" s="2" t="s">
        <v>654</v>
      </c>
      <c r="AC1556" s="2" t="s">
        <v>632</v>
      </c>
      <c r="AD1556" s="10"/>
      <c r="AE1556" s="11"/>
      <c r="AF1556" s="11"/>
      <c r="AG1556" s="11">
        <v>84780696</v>
      </c>
      <c r="AH1556" s="11"/>
      <c r="AI1556" s="11"/>
      <c r="AJ1556" s="11">
        <v>84780696</v>
      </c>
      <c r="AK1556" s="12">
        <v>2</v>
      </c>
      <c r="AL1556" s="12" t="s">
        <v>7377</v>
      </c>
      <c r="AM1556" s="2">
        <v>0</v>
      </c>
      <c r="AN1556" s="2">
        <v>0</v>
      </c>
      <c r="AO1556" s="2">
        <v>0</v>
      </c>
      <c r="AP1556" s="2">
        <v>1</v>
      </c>
      <c r="AQ1556" s="2">
        <v>0</v>
      </c>
      <c r="AR1556" s="2">
        <v>0</v>
      </c>
      <c r="AS1556" s="2">
        <v>0</v>
      </c>
      <c r="AT1556" s="2">
        <v>0</v>
      </c>
      <c r="BB1556" s="2" t="str">
        <f>+PROPER(BD[[#This Row],[PRIMER_APELLIDO]])</f>
        <v>Aguilar</v>
      </c>
    </row>
    <row r="1557" spans="1:54" x14ac:dyDescent="0.25">
      <c r="A1557" s="2">
        <v>1556</v>
      </c>
      <c r="B1557" s="2">
        <v>38680</v>
      </c>
      <c r="C1557" s="5" t="s">
        <v>619</v>
      </c>
      <c r="D1557" s="2" t="s">
        <v>620</v>
      </c>
      <c r="E1557" s="6" t="s">
        <v>9372</v>
      </c>
      <c r="F1557" s="6">
        <v>22118842</v>
      </c>
      <c r="G1557" s="3">
        <v>43</v>
      </c>
      <c r="I1557" s="7"/>
      <c r="J1557" s="7"/>
      <c r="K1557" s="8">
        <v>43.076712328767123</v>
      </c>
      <c r="L1557" s="2" t="s">
        <v>1156</v>
      </c>
      <c r="M1557" s="2" t="s">
        <v>2522</v>
      </c>
      <c r="N1557" s="2" t="s">
        <v>545</v>
      </c>
      <c r="O1557" s="2" t="s">
        <v>82</v>
      </c>
      <c r="P1557" s="2" t="s">
        <v>649</v>
      </c>
      <c r="Q1557" s="2" t="s">
        <v>351</v>
      </c>
      <c r="R1557" s="9">
        <v>29073</v>
      </c>
      <c r="S1557" s="9">
        <v>29073</v>
      </c>
      <c r="T1557" s="2" t="s">
        <v>732</v>
      </c>
      <c r="U1557" s="2" t="s">
        <v>732</v>
      </c>
      <c r="V1557" s="2" t="s">
        <v>732</v>
      </c>
      <c r="W1557" s="2" t="s">
        <v>732</v>
      </c>
      <c r="X1557" s="2" t="s">
        <v>9373</v>
      </c>
      <c r="Y1557" s="2" t="s">
        <v>9374</v>
      </c>
      <c r="Z1557" s="6">
        <v>25224580</v>
      </c>
      <c r="AA1557" s="2">
        <v>81072690</v>
      </c>
      <c r="AB1557" s="2" t="s">
        <v>654</v>
      </c>
      <c r="AC1557" s="2" t="s">
        <v>632</v>
      </c>
      <c r="AD1557" s="10"/>
      <c r="AE1557" s="11"/>
      <c r="AF1557" s="11">
        <v>81072690</v>
      </c>
      <c r="AG1557" s="11"/>
      <c r="AH1557" s="11"/>
      <c r="AI1557" s="11"/>
      <c r="AJ1557" s="11">
        <v>81072690</v>
      </c>
      <c r="AK1557" s="12">
        <v>2</v>
      </c>
      <c r="AL1557" s="12" t="s">
        <v>7377</v>
      </c>
      <c r="AM1557" s="2">
        <v>0</v>
      </c>
      <c r="AN1557" s="2">
        <v>0</v>
      </c>
      <c r="AO1557" s="2">
        <v>0</v>
      </c>
      <c r="AP1557" s="2">
        <v>1</v>
      </c>
      <c r="AQ1557" s="2">
        <v>0</v>
      </c>
      <c r="AR1557" s="2">
        <v>0</v>
      </c>
      <c r="AS1557" s="2">
        <v>0</v>
      </c>
      <c r="AT1557" s="2">
        <v>0</v>
      </c>
      <c r="AZ1557" s="2" t="s">
        <v>9375</v>
      </c>
      <c r="BA1557" s="2" t="s">
        <v>9375</v>
      </c>
      <c r="BB1557" s="2" t="str">
        <f>+PROPER(BD[[#This Row],[PRIMER_APELLIDO]])</f>
        <v>Cucalon</v>
      </c>
    </row>
    <row r="1558" spans="1:54" x14ac:dyDescent="0.25">
      <c r="A1558" s="2">
        <v>1557</v>
      </c>
      <c r="B1558" s="2">
        <v>32391</v>
      </c>
      <c r="C1558" s="5" t="s">
        <v>619</v>
      </c>
      <c r="D1558" s="2" t="s">
        <v>620</v>
      </c>
      <c r="E1558" s="6" t="s">
        <v>9376</v>
      </c>
      <c r="F1558" s="6">
        <v>17203696</v>
      </c>
      <c r="G1558" s="3">
        <v>43</v>
      </c>
      <c r="I1558" s="7"/>
      <c r="J1558" s="7"/>
      <c r="K1558" s="8">
        <v>43.084931506849315</v>
      </c>
      <c r="L1558" s="2" t="s">
        <v>723</v>
      </c>
      <c r="M1558" s="2" t="s">
        <v>1666</v>
      </c>
      <c r="N1558" s="2" t="s">
        <v>44</v>
      </c>
      <c r="O1558" s="2" t="s">
        <v>82</v>
      </c>
      <c r="P1558" s="2" t="s">
        <v>626</v>
      </c>
      <c r="Q1558" s="2" t="s">
        <v>351</v>
      </c>
      <c r="R1558" s="9">
        <v>29070</v>
      </c>
      <c r="S1558" s="9">
        <v>29070</v>
      </c>
      <c r="T1558" s="2" t="s">
        <v>627</v>
      </c>
      <c r="U1558" s="2" t="s">
        <v>627</v>
      </c>
      <c r="V1558" s="2" t="s">
        <v>627</v>
      </c>
      <c r="W1558" s="2" t="s">
        <v>627</v>
      </c>
      <c r="X1558" s="2" t="s">
        <v>9377</v>
      </c>
      <c r="Y1558" s="2" t="s">
        <v>9378</v>
      </c>
      <c r="Z1558" s="6">
        <v>85721700</v>
      </c>
      <c r="AA1558" s="2" t="s">
        <v>9379</v>
      </c>
      <c r="AB1558" s="2" t="s">
        <v>642</v>
      </c>
      <c r="AC1558" s="2" t="s">
        <v>632</v>
      </c>
      <c r="AD1558" s="10">
        <v>85721700</v>
      </c>
      <c r="AE1558" s="11"/>
      <c r="AF1558" s="11">
        <v>85721700</v>
      </c>
      <c r="AG1558" s="11">
        <v>88080859</v>
      </c>
      <c r="AH1558" s="11"/>
      <c r="AI1558" s="11"/>
      <c r="AJ1558" s="11">
        <v>85721700</v>
      </c>
      <c r="AK1558" s="12">
        <v>3</v>
      </c>
      <c r="AL1558" s="12" t="s">
        <v>7377</v>
      </c>
      <c r="AM1558" s="2">
        <v>0</v>
      </c>
      <c r="AN1558" s="2">
        <v>0</v>
      </c>
      <c r="AO1558" s="2">
        <v>0</v>
      </c>
      <c r="AP1558" s="2">
        <v>1</v>
      </c>
      <c r="AQ1558" s="2">
        <v>0</v>
      </c>
      <c r="AR1558" s="2">
        <v>0</v>
      </c>
      <c r="AS1558" s="2">
        <v>0</v>
      </c>
      <c r="AT1558" s="2">
        <v>0</v>
      </c>
      <c r="AZ1558" s="2" t="s">
        <v>9380</v>
      </c>
      <c r="BB1558" s="2" t="str">
        <f>+PROPER(BD[[#This Row],[PRIMER_APELLIDO]])</f>
        <v>Martinez</v>
      </c>
    </row>
    <row r="1559" spans="1:54" x14ac:dyDescent="0.25">
      <c r="A1559" s="2">
        <v>1558</v>
      </c>
      <c r="B1559" s="2">
        <v>23776</v>
      </c>
      <c r="C1559" s="5" t="s">
        <v>619</v>
      </c>
      <c r="D1559" s="2" t="s">
        <v>620</v>
      </c>
      <c r="E1559" s="6" t="s">
        <v>9381</v>
      </c>
      <c r="F1559" s="6">
        <v>22716006</v>
      </c>
      <c r="G1559" s="3">
        <v>43</v>
      </c>
      <c r="I1559" s="7"/>
      <c r="J1559" s="7"/>
      <c r="K1559" s="8">
        <v>43.093150684931508</v>
      </c>
      <c r="L1559" s="2" t="s">
        <v>2099</v>
      </c>
      <c r="M1559" s="2" t="s">
        <v>1340</v>
      </c>
      <c r="N1559" s="2" t="s">
        <v>233</v>
      </c>
      <c r="O1559" s="2" t="s">
        <v>379</v>
      </c>
      <c r="P1559" s="2" t="s">
        <v>626</v>
      </c>
      <c r="Q1559" s="2" t="s">
        <v>351</v>
      </c>
      <c r="R1559" s="9">
        <v>29067</v>
      </c>
      <c r="S1559" s="9">
        <v>29067</v>
      </c>
      <c r="T1559" s="2" t="s">
        <v>176</v>
      </c>
      <c r="U1559" s="2" t="s">
        <v>176</v>
      </c>
      <c r="V1559" s="2" t="s">
        <v>650</v>
      </c>
      <c r="W1559" s="2" t="s">
        <v>176</v>
      </c>
      <c r="X1559" s="2" t="s">
        <v>9382</v>
      </c>
      <c r="Y1559" s="2" t="s">
        <v>9383</v>
      </c>
      <c r="Z1559" s="6">
        <v>83966942</v>
      </c>
      <c r="AA1559" s="2">
        <v>83966942</v>
      </c>
      <c r="AB1559" s="2" t="s">
        <v>654</v>
      </c>
      <c r="AC1559" s="2" t="s">
        <v>632</v>
      </c>
      <c r="AD1559" s="10">
        <v>83966942</v>
      </c>
      <c r="AE1559" s="11"/>
      <c r="AF1559" s="11">
        <v>83966942</v>
      </c>
      <c r="AG1559" s="11"/>
      <c r="AH1559" s="11"/>
      <c r="AI1559" s="11"/>
      <c r="AJ1559" s="11">
        <v>83966942</v>
      </c>
      <c r="AK1559" s="12">
        <v>2</v>
      </c>
      <c r="AL1559" s="12" t="s">
        <v>7377</v>
      </c>
      <c r="AM1559" s="2">
        <v>0</v>
      </c>
      <c r="AN1559" s="2">
        <v>0</v>
      </c>
      <c r="AO1559" s="2">
        <v>0</v>
      </c>
      <c r="AP1559" s="2">
        <v>1</v>
      </c>
      <c r="AQ1559" s="2">
        <v>0</v>
      </c>
      <c r="AR1559" s="2">
        <v>0</v>
      </c>
      <c r="AS1559" s="2">
        <v>0</v>
      </c>
      <c r="AT1559" s="2">
        <v>0</v>
      </c>
      <c r="AZ1559" s="2" t="s">
        <v>9384</v>
      </c>
      <c r="BB1559" s="2" t="str">
        <f>+PROPER(BD[[#This Row],[PRIMER_APELLIDO]])</f>
        <v>Esquivel</v>
      </c>
    </row>
    <row r="1560" spans="1:54" x14ac:dyDescent="0.25">
      <c r="A1560" s="2">
        <v>1559</v>
      </c>
      <c r="B1560" s="2">
        <v>25495</v>
      </c>
      <c r="C1560" s="5" t="s">
        <v>619</v>
      </c>
      <c r="D1560" s="2" t="s">
        <v>620</v>
      </c>
      <c r="E1560" s="6" t="s">
        <v>9385</v>
      </c>
      <c r="F1560" s="6">
        <v>21315004</v>
      </c>
      <c r="G1560" s="3">
        <v>43</v>
      </c>
      <c r="I1560" s="7"/>
      <c r="J1560" s="7"/>
      <c r="K1560" s="8">
        <v>43.109589041095887</v>
      </c>
      <c r="L1560" s="2" t="s">
        <v>1640</v>
      </c>
      <c r="M1560" s="2" t="s">
        <v>1673</v>
      </c>
      <c r="N1560" s="2" t="s">
        <v>56</v>
      </c>
      <c r="O1560" s="2" t="s">
        <v>51</v>
      </c>
      <c r="P1560" s="2" t="s">
        <v>649</v>
      </c>
      <c r="Q1560" s="2" t="s">
        <v>351</v>
      </c>
      <c r="R1560" s="9">
        <v>29061</v>
      </c>
      <c r="S1560" s="9">
        <v>29061</v>
      </c>
      <c r="T1560" s="2" t="s">
        <v>732</v>
      </c>
      <c r="U1560" s="2" t="s">
        <v>732</v>
      </c>
      <c r="V1560" s="2" t="s">
        <v>1060</v>
      </c>
      <c r="W1560" s="2" t="s">
        <v>1061</v>
      </c>
      <c r="X1560" s="2" t="s">
        <v>9386</v>
      </c>
      <c r="Y1560" s="2" t="s">
        <v>9387</v>
      </c>
      <c r="Z1560" s="6">
        <v>84286456</v>
      </c>
      <c r="AA1560" s="2" t="s">
        <v>9388</v>
      </c>
      <c r="AB1560" s="2" t="s">
        <v>654</v>
      </c>
      <c r="AC1560" s="2" t="s">
        <v>632</v>
      </c>
      <c r="AD1560" s="10">
        <v>84286456</v>
      </c>
      <c r="AE1560" s="11"/>
      <c r="AF1560" s="11"/>
      <c r="AG1560" s="11">
        <v>84286456</v>
      </c>
      <c r="AH1560" s="11"/>
      <c r="AI1560" s="11"/>
      <c r="AJ1560" s="11">
        <v>84286456</v>
      </c>
      <c r="AK1560" s="12">
        <v>3</v>
      </c>
      <c r="AL1560" s="12" t="s">
        <v>7377</v>
      </c>
      <c r="AM1560" s="2">
        <v>0</v>
      </c>
      <c r="AN1560" s="2">
        <v>0</v>
      </c>
      <c r="AO1560" s="2">
        <v>0</v>
      </c>
      <c r="AP1560" s="2">
        <v>1</v>
      </c>
      <c r="AQ1560" s="2">
        <v>0</v>
      </c>
      <c r="AR1560" s="2">
        <v>0</v>
      </c>
      <c r="AS1560" s="2">
        <v>0</v>
      </c>
      <c r="AT1560" s="2">
        <v>0</v>
      </c>
      <c r="AZ1560" s="2" t="s">
        <v>9389</v>
      </c>
      <c r="BB1560" s="2" t="str">
        <f>+PROPER(BD[[#This Row],[PRIMER_APELLIDO]])</f>
        <v>Miranda</v>
      </c>
    </row>
    <row r="1561" spans="1:54" x14ac:dyDescent="0.25">
      <c r="A1561" s="2">
        <v>1560</v>
      </c>
      <c r="B1561" s="2">
        <v>18484</v>
      </c>
      <c r="C1561" s="5" t="s">
        <v>619</v>
      </c>
      <c r="D1561" s="2" t="s">
        <v>620</v>
      </c>
      <c r="E1561" s="6" t="s">
        <v>9390</v>
      </c>
      <c r="F1561" s="6">
        <v>16901009</v>
      </c>
      <c r="G1561" s="3">
        <v>43</v>
      </c>
      <c r="I1561" s="7"/>
      <c r="J1561" s="7"/>
      <c r="K1561" s="8">
        <v>43.126027397260273</v>
      </c>
      <c r="L1561" s="2" t="s">
        <v>6376</v>
      </c>
      <c r="M1561" s="2" t="s">
        <v>2765</v>
      </c>
      <c r="N1561" s="2" t="s">
        <v>482</v>
      </c>
      <c r="O1561" s="2" t="s">
        <v>363</v>
      </c>
      <c r="P1561" s="2" t="s">
        <v>626</v>
      </c>
      <c r="Q1561" s="2" t="s">
        <v>351</v>
      </c>
      <c r="R1561" s="9">
        <v>29055</v>
      </c>
      <c r="S1561" s="9">
        <v>29055</v>
      </c>
      <c r="T1561" s="2" t="s">
        <v>705</v>
      </c>
      <c r="U1561" s="2" t="s">
        <v>705</v>
      </c>
      <c r="V1561" s="2" t="s">
        <v>705</v>
      </c>
      <c r="W1561" s="2" t="s">
        <v>705</v>
      </c>
      <c r="X1561" s="2" t="s">
        <v>9391</v>
      </c>
      <c r="Y1561" s="2" t="s">
        <v>9392</v>
      </c>
      <c r="Z1561" s="6"/>
      <c r="AA1561" s="2" t="s">
        <v>9393</v>
      </c>
      <c r="AB1561" s="2" t="s">
        <v>654</v>
      </c>
      <c r="AC1561" s="2" t="s">
        <v>632</v>
      </c>
      <c r="AD1561" s="10"/>
      <c r="AE1561" s="11"/>
      <c r="AF1561" s="11">
        <v>86901013</v>
      </c>
      <c r="AG1561" s="11">
        <v>86024333</v>
      </c>
      <c r="AH1561" s="11"/>
      <c r="AI1561" s="11"/>
      <c r="AJ1561" s="11">
        <v>86901013</v>
      </c>
      <c r="AK1561" s="12">
        <v>2</v>
      </c>
      <c r="AL1561" s="12" t="s">
        <v>7377</v>
      </c>
      <c r="AM1561" s="2">
        <v>0</v>
      </c>
      <c r="AN1561" s="2">
        <v>0</v>
      </c>
      <c r="AO1561" s="2">
        <v>0</v>
      </c>
      <c r="AP1561" s="2">
        <v>1</v>
      </c>
      <c r="AQ1561" s="2">
        <v>0</v>
      </c>
      <c r="AR1561" s="2">
        <v>0</v>
      </c>
      <c r="AS1561" s="2">
        <v>0</v>
      </c>
      <c r="AT1561" s="2">
        <v>0</v>
      </c>
      <c r="BB1561" s="2" t="str">
        <f>+PROPER(BD[[#This Row],[PRIMER_APELLIDO]])</f>
        <v>Maradiaga</v>
      </c>
    </row>
    <row r="1562" spans="1:54" x14ac:dyDescent="0.25">
      <c r="A1562" s="2">
        <v>1561</v>
      </c>
      <c r="B1562" s="2">
        <v>25787</v>
      </c>
      <c r="C1562" s="5" t="s">
        <v>619</v>
      </c>
      <c r="D1562" s="2" t="s">
        <v>620</v>
      </c>
      <c r="E1562" s="6" t="s">
        <v>9394</v>
      </c>
      <c r="F1562" s="6">
        <v>20921084</v>
      </c>
      <c r="G1562" s="3">
        <v>43</v>
      </c>
      <c r="I1562" s="7"/>
      <c r="J1562" s="7"/>
      <c r="K1562" s="8">
        <v>43.139726027397259</v>
      </c>
      <c r="L1562" s="2" t="s">
        <v>975</v>
      </c>
      <c r="M1562" s="2" t="s">
        <v>9395</v>
      </c>
      <c r="N1562" s="2" t="s">
        <v>331</v>
      </c>
      <c r="O1562" s="2" t="s">
        <v>396</v>
      </c>
      <c r="P1562" s="2" t="s">
        <v>649</v>
      </c>
      <c r="Q1562" s="2" t="s">
        <v>351</v>
      </c>
      <c r="R1562" s="9">
        <v>29050</v>
      </c>
      <c r="S1562" s="9">
        <v>29050</v>
      </c>
      <c r="T1562" s="2" t="s">
        <v>1005</v>
      </c>
      <c r="U1562" s="2" t="s">
        <v>1005</v>
      </c>
      <c r="V1562" s="2" t="s">
        <v>1006</v>
      </c>
      <c r="W1562" s="2" t="s">
        <v>1006</v>
      </c>
      <c r="X1562" s="2" t="s">
        <v>9396</v>
      </c>
      <c r="Y1562" s="2" t="s">
        <v>9397</v>
      </c>
      <c r="Z1562" s="6">
        <v>88364926</v>
      </c>
      <c r="AA1562" s="2">
        <v>88364926</v>
      </c>
      <c r="AB1562" s="2" t="s">
        <v>798</v>
      </c>
      <c r="AC1562" s="2" t="s">
        <v>632</v>
      </c>
      <c r="AD1562" s="10">
        <v>88364926</v>
      </c>
      <c r="AE1562" s="11"/>
      <c r="AF1562" s="11">
        <v>88364926</v>
      </c>
      <c r="AG1562" s="11"/>
      <c r="AH1562" s="11"/>
      <c r="AI1562" s="11"/>
      <c r="AJ1562" s="11">
        <v>88364926</v>
      </c>
      <c r="AK1562" s="12">
        <v>2</v>
      </c>
      <c r="AL1562" s="12" t="s">
        <v>7377</v>
      </c>
      <c r="AM1562" s="2">
        <v>0</v>
      </c>
      <c r="AN1562" s="2">
        <v>0</v>
      </c>
      <c r="AO1562" s="2">
        <v>0</v>
      </c>
      <c r="AP1562" s="2">
        <v>1</v>
      </c>
      <c r="AQ1562" s="2">
        <v>0</v>
      </c>
      <c r="AR1562" s="2">
        <v>0</v>
      </c>
      <c r="AS1562" s="2">
        <v>0</v>
      </c>
      <c r="AT1562" s="2">
        <v>0</v>
      </c>
      <c r="AZ1562" s="2" t="s">
        <v>9398</v>
      </c>
      <c r="BB1562" s="2" t="str">
        <f>+PROPER(BD[[#This Row],[PRIMER_APELLIDO]])</f>
        <v>Rosales</v>
      </c>
    </row>
    <row r="1563" spans="1:54" x14ac:dyDescent="0.25">
      <c r="A1563" s="2">
        <v>1562</v>
      </c>
      <c r="B1563" s="2">
        <v>24212</v>
      </c>
      <c r="C1563" s="5" t="s">
        <v>619</v>
      </c>
      <c r="D1563" s="2" t="s">
        <v>620</v>
      </c>
      <c r="E1563" s="6" t="s">
        <v>9399</v>
      </c>
      <c r="F1563" s="6">
        <v>21030905</v>
      </c>
      <c r="G1563" s="3">
        <v>43</v>
      </c>
      <c r="I1563" s="7"/>
      <c r="J1563" s="7"/>
      <c r="K1563" s="8">
        <v>43.150684931506852</v>
      </c>
      <c r="L1563" s="2" t="s">
        <v>1223</v>
      </c>
      <c r="M1563" s="2" t="s">
        <v>468</v>
      </c>
      <c r="N1563" s="2" t="s">
        <v>546</v>
      </c>
      <c r="O1563" s="2" t="s">
        <v>58</v>
      </c>
      <c r="P1563" s="2" t="s">
        <v>649</v>
      </c>
      <c r="Q1563" s="2" t="s">
        <v>351</v>
      </c>
      <c r="R1563" s="9">
        <v>29046</v>
      </c>
      <c r="S1563" s="9">
        <v>29046</v>
      </c>
      <c r="U1563" s="2" t="s">
        <v>176</v>
      </c>
      <c r="W1563" s="2" t="s">
        <v>176</v>
      </c>
      <c r="Y1563" s="2" t="s">
        <v>9400</v>
      </c>
      <c r="Z1563" s="6"/>
      <c r="AA1563" s="2" t="s">
        <v>9401</v>
      </c>
      <c r="AB1563" s="2" t="s">
        <v>654</v>
      </c>
      <c r="AC1563" s="2" t="s">
        <v>632</v>
      </c>
      <c r="AD1563" s="10"/>
      <c r="AE1563" s="11"/>
      <c r="AF1563" s="11">
        <v>87062011</v>
      </c>
      <c r="AG1563" s="11"/>
      <c r="AH1563" s="11"/>
      <c r="AI1563" s="11"/>
      <c r="AJ1563" s="11">
        <v>87062011</v>
      </c>
      <c r="AK1563" s="12">
        <v>2</v>
      </c>
      <c r="AL1563" s="12" t="s">
        <v>7377</v>
      </c>
      <c r="AM1563" s="2">
        <v>0</v>
      </c>
      <c r="AN1563" s="2">
        <v>0</v>
      </c>
      <c r="AO1563" s="2">
        <v>0</v>
      </c>
      <c r="AP1563" s="2">
        <v>1</v>
      </c>
      <c r="AQ1563" s="2">
        <v>0</v>
      </c>
      <c r="AR1563" s="2">
        <v>0</v>
      </c>
      <c r="AS1563" s="2">
        <v>0</v>
      </c>
      <c r="AT1563" s="2">
        <v>0</v>
      </c>
      <c r="BA1563" s="2" t="s">
        <v>9402</v>
      </c>
      <c r="BB1563" s="2" t="str">
        <f>+PROPER(BD[[#This Row],[PRIMER_APELLIDO]])</f>
        <v>Portillo</v>
      </c>
    </row>
    <row r="1564" spans="1:54" x14ac:dyDescent="0.25">
      <c r="A1564" s="2">
        <v>1563</v>
      </c>
      <c r="B1564" s="2">
        <v>27998</v>
      </c>
      <c r="C1564" s="5" t="s">
        <v>619</v>
      </c>
      <c r="D1564" s="2" t="s">
        <v>620</v>
      </c>
      <c r="E1564" s="6" t="s">
        <v>9403</v>
      </c>
      <c r="F1564" s="6">
        <v>15360939</v>
      </c>
      <c r="G1564" s="3">
        <v>43</v>
      </c>
      <c r="I1564" s="7"/>
      <c r="J1564" s="7"/>
      <c r="K1564" s="8">
        <v>43.158904109589038</v>
      </c>
      <c r="L1564" s="2" t="s">
        <v>9404</v>
      </c>
      <c r="M1564" s="2" t="s">
        <v>1881</v>
      </c>
      <c r="N1564" s="2" t="s">
        <v>430</v>
      </c>
      <c r="O1564" s="2" t="s">
        <v>186</v>
      </c>
      <c r="P1564" s="2" t="s">
        <v>626</v>
      </c>
      <c r="Q1564" s="2" t="s">
        <v>351</v>
      </c>
      <c r="R1564" s="9">
        <v>29043</v>
      </c>
      <c r="S1564" s="9">
        <v>29043</v>
      </c>
      <c r="T1564" s="2" t="s">
        <v>691</v>
      </c>
      <c r="U1564" s="2" t="s">
        <v>691</v>
      </c>
      <c r="V1564" s="2" t="s">
        <v>716</v>
      </c>
      <c r="W1564" s="2" t="s">
        <v>691</v>
      </c>
      <c r="X1564" s="2" t="s">
        <v>9405</v>
      </c>
      <c r="Y1564" s="2" t="s">
        <v>9406</v>
      </c>
      <c r="Z1564" s="6">
        <v>84422364</v>
      </c>
      <c r="AA1564" s="2">
        <v>27137662</v>
      </c>
      <c r="AB1564" s="2" t="s">
        <v>984</v>
      </c>
      <c r="AC1564" s="2" t="s">
        <v>632</v>
      </c>
      <c r="AD1564" s="10">
        <v>84422364</v>
      </c>
      <c r="AE1564" s="11"/>
      <c r="AF1564" s="11"/>
      <c r="AG1564" s="11"/>
      <c r="AH1564" s="11"/>
      <c r="AI1564" s="11"/>
      <c r="AJ1564" s="11">
        <v>84422364</v>
      </c>
      <c r="AK1564" s="12">
        <v>2</v>
      </c>
      <c r="AL1564" s="12" t="s">
        <v>7377</v>
      </c>
      <c r="AM1564" s="2">
        <v>0</v>
      </c>
      <c r="AN1564" s="2">
        <v>0</v>
      </c>
      <c r="AO1564" s="2">
        <v>0</v>
      </c>
      <c r="AP1564" s="2">
        <v>1</v>
      </c>
      <c r="AQ1564" s="2">
        <v>0</v>
      </c>
      <c r="AR1564" s="2">
        <v>0</v>
      </c>
      <c r="AS1564" s="2">
        <v>0</v>
      </c>
      <c r="AT1564" s="2">
        <v>0</v>
      </c>
      <c r="AZ1564" s="2" t="s">
        <v>9407</v>
      </c>
      <c r="BB1564" s="2" t="str">
        <f>+PROPER(BD[[#This Row],[PRIMER_APELLIDO]])</f>
        <v>Moreno</v>
      </c>
    </row>
    <row r="1565" spans="1:54" x14ac:dyDescent="0.25">
      <c r="A1565" s="2">
        <v>1564</v>
      </c>
      <c r="B1565" s="2">
        <v>37692</v>
      </c>
      <c r="C1565" s="5" t="s">
        <v>619</v>
      </c>
      <c r="D1565" s="2" t="s">
        <v>620</v>
      </c>
      <c r="E1565" s="6" t="s">
        <v>9408</v>
      </c>
      <c r="F1565" s="6">
        <v>22697033</v>
      </c>
      <c r="G1565" s="3">
        <v>43</v>
      </c>
      <c r="I1565" s="7"/>
      <c r="J1565" s="7"/>
      <c r="K1565" s="8">
        <v>43.175342465753424</v>
      </c>
      <c r="L1565" s="2" t="s">
        <v>9409</v>
      </c>
      <c r="M1565" s="2" t="s">
        <v>9410</v>
      </c>
      <c r="N1565" s="2" t="s">
        <v>547</v>
      </c>
      <c r="O1565" s="2" t="s">
        <v>126</v>
      </c>
      <c r="P1565" s="2" t="s">
        <v>649</v>
      </c>
      <c r="Q1565" s="2" t="s">
        <v>351</v>
      </c>
      <c r="R1565" s="9">
        <v>29037</v>
      </c>
      <c r="S1565" s="9">
        <v>29037</v>
      </c>
      <c r="T1565" s="2" t="s">
        <v>705</v>
      </c>
      <c r="U1565" s="2" t="s">
        <v>705</v>
      </c>
      <c r="V1565" s="2" t="s">
        <v>705</v>
      </c>
      <c r="W1565" s="2" t="s">
        <v>705</v>
      </c>
      <c r="X1565" s="2" t="s">
        <v>9411</v>
      </c>
      <c r="Y1565" s="2" t="s">
        <v>9412</v>
      </c>
      <c r="Z1565" s="6">
        <v>89955309</v>
      </c>
      <c r="AA1565" s="2" t="s">
        <v>9413</v>
      </c>
      <c r="AB1565" s="2" t="s">
        <v>798</v>
      </c>
      <c r="AC1565" s="2" t="s">
        <v>632</v>
      </c>
      <c r="AD1565" s="10">
        <v>89955309</v>
      </c>
      <c r="AE1565" s="11"/>
      <c r="AF1565" s="11">
        <v>89955309</v>
      </c>
      <c r="AG1565" s="11">
        <v>88598862</v>
      </c>
      <c r="AH1565" s="11"/>
      <c r="AI1565" s="11"/>
      <c r="AJ1565" s="11">
        <v>89955309</v>
      </c>
      <c r="AK1565" s="12">
        <v>3</v>
      </c>
      <c r="AL1565" s="12" t="s">
        <v>7377</v>
      </c>
      <c r="AM1565" s="2">
        <v>0</v>
      </c>
      <c r="AN1565" s="2">
        <v>0</v>
      </c>
      <c r="AO1565" s="2">
        <v>0</v>
      </c>
      <c r="AP1565" s="2">
        <v>1</v>
      </c>
      <c r="AQ1565" s="2">
        <v>0</v>
      </c>
      <c r="AR1565" s="2">
        <v>0</v>
      </c>
      <c r="AS1565" s="2">
        <v>0</v>
      </c>
      <c r="AT1565" s="2">
        <v>0</v>
      </c>
      <c r="AZ1565" s="2" t="s">
        <v>9414</v>
      </c>
      <c r="BB1565" s="2" t="str">
        <f>+PROPER(BD[[#This Row],[PRIMER_APELLIDO]])</f>
        <v>Belly</v>
      </c>
    </row>
    <row r="1566" spans="1:54" x14ac:dyDescent="0.25">
      <c r="A1566" s="2">
        <v>1565</v>
      </c>
      <c r="B1566" s="2">
        <v>25595</v>
      </c>
      <c r="C1566" s="5" t="s">
        <v>619</v>
      </c>
      <c r="D1566" s="2" t="s">
        <v>620</v>
      </c>
      <c r="E1566" s="6" t="s">
        <v>9415</v>
      </c>
      <c r="F1566" s="6">
        <v>21483110</v>
      </c>
      <c r="G1566" s="3">
        <v>43</v>
      </c>
      <c r="I1566" s="7"/>
      <c r="J1566" s="7"/>
      <c r="K1566" s="8">
        <v>43.183561643835617</v>
      </c>
      <c r="L1566" s="2" t="s">
        <v>5257</v>
      </c>
      <c r="M1566" s="2" t="s">
        <v>9416</v>
      </c>
      <c r="N1566" s="2" t="s">
        <v>65</v>
      </c>
      <c r="O1566" s="2" t="s">
        <v>82</v>
      </c>
      <c r="P1566" s="2" t="s">
        <v>626</v>
      </c>
      <c r="Q1566" s="2" t="s">
        <v>351</v>
      </c>
      <c r="R1566" s="9">
        <v>29034</v>
      </c>
      <c r="S1566" s="9">
        <v>29034</v>
      </c>
      <c r="U1566" s="2" t="s">
        <v>627</v>
      </c>
      <c r="W1566" s="2" t="s">
        <v>627</v>
      </c>
      <c r="X1566" s="2" t="s">
        <v>9417</v>
      </c>
      <c r="Y1566" s="2" t="s">
        <v>9418</v>
      </c>
      <c r="Z1566" s="6"/>
      <c r="AA1566" s="2">
        <v>22333673</v>
      </c>
      <c r="AB1566" s="2" t="s">
        <v>642</v>
      </c>
      <c r="AC1566" s="2" t="s">
        <v>632</v>
      </c>
      <c r="AD1566" s="10"/>
      <c r="AE1566" s="11"/>
      <c r="AF1566" s="11"/>
      <c r="AG1566" s="11"/>
      <c r="AH1566" s="11"/>
      <c r="AI1566" s="11"/>
      <c r="AJ1566" s="11"/>
      <c r="AK1566" s="12">
        <v>1</v>
      </c>
      <c r="AL1566" s="12" t="s">
        <v>7377</v>
      </c>
      <c r="AM1566" s="2">
        <v>0</v>
      </c>
      <c r="AN1566" s="2">
        <v>0</v>
      </c>
      <c r="AO1566" s="2">
        <v>0</v>
      </c>
      <c r="AP1566" s="2">
        <v>1</v>
      </c>
      <c r="AQ1566" s="2">
        <v>0</v>
      </c>
      <c r="AR1566" s="2">
        <v>0</v>
      </c>
      <c r="AS1566" s="2">
        <v>0</v>
      </c>
      <c r="AT1566" s="2">
        <v>0</v>
      </c>
      <c r="BB1566" s="2" t="str">
        <f>+PROPER(BD[[#This Row],[PRIMER_APELLIDO]])</f>
        <v>Matus</v>
      </c>
    </row>
    <row r="1567" spans="1:54" x14ac:dyDescent="0.25">
      <c r="A1567" s="2">
        <v>1566</v>
      </c>
      <c r="B1567" s="2">
        <v>25589</v>
      </c>
      <c r="C1567" s="5" t="s">
        <v>619</v>
      </c>
      <c r="D1567" s="2" t="s">
        <v>620</v>
      </c>
      <c r="E1567" s="6" t="s">
        <v>9419</v>
      </c>
      <c r="F1567" s="6">
        <v>24768777</v>
      </c>
      <c r="G1567" s="3">
        <v>43</v>
      </c>
      <c r="I1567" s="7"/>
      <c r="J1567" s="7"/>
      <c r="K1567" s="8">
        <v>43.194520547945203</v>
      </c>
      <c r="L1567" s="2" t="s">
        <v>5455</v>
      </c>
      <c r="N1567" s="2" t="s">
        <v>90</v>
      </c>
      <c r="O1567" s="2" t="s">
        <v>315</v>
      </c>
      <c r="P1567" s="2" t="s">
        <v>626</v>
      </c>
      <c r="Q1567" s="2" t="s">
        <v>351</v>
      </c>
      <c r="R1567" s="9">
        <v>29030</v>
      </c>
      <c r="S1567" s="9">
        <v>29030</v>
      </c>
      <c r="T1567" s="2" t="s">
        <v>176</v>
      </c>
      <c r="U1567" s="2" t="s">
        <v>176</v>
      </c>
      <c r="V1567" s="2" t="s">
        <v>650</v>
      </c>
      <c r="W1567" s="2" t="s">
        <v>176</v>
      </c>
      <c r="X1567" s="2" t="s">
        <v>9420</v>
      </c>
      <c r="Y1567" s="2" t="s">
        <v>9421</v>
      </c>
      <c r="Z1567" s="6"/>
      <c r="AA1567" s="2" t="s">
        <v>9422</v>
      </c>
      <c r="AB1567" s="2" t="s">
        <v>642</v>
      </c>
      <c r="AC1567" s="2" t="s">
        <v>632</v>
      </c>
      <c r="AD1567" s="10"/>
      <c r="AE1567" s="11"/>
      <c r="AF1567" s="11"/>
      <c r="AG1567" s="11">
        <v>88423004</v>
      </c>
      <c r="AH1567" s="11"/>
      <c r="AI1567" s="11"/>
      <c r="AJ1567" s="11">
        <v>88423004</v>
      </c>
      <c r="AK1567" s="12">
        <v>2</v>
      </c>
      <c r="AL1567" s="12" t="s">
        <v>7377</v>
      </c>
      <c r="AM1567" s="2">
        <v>0</v>
      </c>
      <c r="AN1567" s="2">
        <v>0</v>
      </c>
      <c r="AO1567" s="2">
        <v>0</v>
      </c>
      <c r="AP1567" s="2">
        <v>1</v>
      </c>
      <c r="AQ1567" s="2">
        <v>0</v>
      </c>
      <c r="AR1567" s="2">
        <v>0</v>
      </c>
      <c r="AS1567" s="2">
        <v>0</v>
      </c>
      <c r="AT1567" s="2">
        <v>0</v>
      </c>
      <c r="BB1567" s="2" t="str">
        <f>+PROPER(BD[[#This Row],[PRIMER_APELLIDO]])</f>
        <v>Sanchez</v>
      </c>
    </row>
    <row r="1568" spans="1:54" x14ac:dyDescent="0.25">
      <c r="A1568" s="2">
        <v>1567</v>
      </c>
      <c r="B1568" s="2">
        <v>31319</v>
      </c>
      <c r="C1568" s="5" t="s">
        <v>619</v>
      </c>
      <c r="D1568" s="2" t="s">
        <v>620</v>
      </c>
      <c r="E1568" s="6" t="s">
        <v>9423</v>
      </c>
      <c r="F1568" s="6">
        <v>17113876</v>
      </c>
      <c r="G1568" s="3">
        <v>43</v>
      </c>
      <c r="I1568" s="7"/>
      <c r="J1568" s="7"/>
      <c r="K1568" s="8">
        <v>43.202739726027396</v>
      </c>
      <c r="L1568" s="2" t="s">
        <v>9424</v>
      </c>
      <c r="M1568" s="2" t="s">
        <v>1464</v>
      </c>
      <c r="N1568" s="2" t="s">
        <v>548</v>
      </c>
      <c r="O1568" s="2" t="s">
        <v>171</v>
      </c>
      <c r="P1568" s="2" t="s">
        <v>626</v>
      </c>
      <c r="Q1568" s="2" t="s">
        <v>351</v>
      </c>
      <c r="R1568" s="9">
        <v>29027</v>
      </c>
      <c r="S1568" s="9">
        <v>29027</v>
      </c>
      <c r="T1568" s="2" t="s">
        <v>627</v>
      </c>
      <c r="U1568" s="2" t="s">
        <v>732</v>
      </c>
      <c r="V1568" s="2" t="s">
        <v>627</v>
      </c>
      <c r="W1568" s="2" t="s">
        <v>732</v>
      </c>
      <c r="X1568" s="2" t="s">
        <v>9425</v>
      </c>
      <c r="Y1568" s="2" t="s">
        <v>9426</v>
      </c>
      <c r="Z1568" s="6"/>
      <c r="AA1568" s="2" t="s">
        <v>9427</v>
      </c>
      <c r="AB1568" s="2" t="s">
        <v>642</v>
      </c>
      <c r="AC1568" s="2" t="s">
        <v>632</v>
      </c>
      <c r="AD1568" s="10"/>
      <c r="AE1568" s="11"/>
      <c r="AF1568" s="11"/>
      <c r="AG1568" s="11">
        <v>84656171</v>
      </c>
      <c r="AH1568" s="11"/>
      <c r="AI1568" s="11"/>
      <c r="AJ1568" s="11">
        <v>84656171</v>
      </c>
      <c r="AK1568" s="12">
        <v>2</v>
      </c>
      <c r="AL1568" s="12" t="s">
        <v>7377</v>
      </c>
      <c r="AM1568" s="2">
        <v>0</v>
      </c>
      <c r="AN1568" s="2">
        <v>0</v>
      </c>
      <c r="AO1568" s="2">
        <v>0</v>
      </c>
      <c r="AP1568" s="2">
        <v>1</v>
      </c>
      <c r="AQ1568" s="2">
        <v>0</v>
      </c>
      <c r="AR1568" s="2">
        <v>0</v>
      </c>
      <c r="AS1568" s="2">
        <v>0</v>
      </c>
      <c r="AT1568" s="2">
        <v>0</v>
      </c>
      <c r="BB1568" s="2" t="str">
        <f>+PROPER(BD[[#This Row],[PRIMER_APELLIDO]])</f>
        <v>Napal</v>
      </c>
    </row>
    <row r="1569" spans="1:54" x14ac:dyDescent="0.25">
      <c r="A1569" s="2">
        <v>1568</v>
      </c>
      <c r="B1569" s="2">
        <v>38620</v>
      </c>
      <c r="C1569" s="5" t="s">
        <v>619</v>
      </c>
      <c r="D1569" s="2" t="s">
        <v>620</v>
      </c>
      <c r="E1569" s="6" t="s">
        <v>9428</v>
      </c>
      <c r="F1569" s="6">
        <v>22046468</v>
      </c>
      <c r="G1569" s="3">
        <v>43</v>
      </c>
      <c r="I1569" s="7"/>
      <c r="J1569" s="7"/>
      <c r="K1569" s="8">
        <v>43.205479452054796</v>
      </c>
      <c r="L1569" s="2" t="s">
        <v>1076</v>
      </c>
      <c r="M1569" s="2" t="s">
        <v>5195</v>
      </c>
      <c r="N1569" s="2" t="s">
        <v>491</v>
      </c>
      <c r="O1569" s="2" t="s">
        <v>107</v>
      </c>
      <c r="P1569" s="2" t="s">
        <v>649</v>
      </c>
      <c r="Q1569" s="2" t="s">
        <v>351</v>
      </c>
      <c r="R1569" s="9">
        <v>29026</v>
      </c>
      <c r="S1569" s="9">
        <v>29026</v>
      </c>
      <c r="T1569" s="2" t="s">
        <v>627</v>
      </c>
      <c r="U1569" s="2" t="s">
        <v>929</v>
      </c>
      <c r="V1569" s="2" t="s">
        <v>627</v>
      </c>
      <c r="W1569" s="2" t="s">
        <v>2885</v>
      </c>
      <c r="X1569" s="2" t="s">
        <v>9429</v>
      </c>
      <c r="Y1569" s="2" t="s">
        <v>9430</v>
      </c>
      <c r="Z1569" s="6">
        <v>86418278</v>
      </c>
      <c r="AA1569" s="2">
        <v>86418278</v>
      </c>
      <c r="AB1569" s="2" t="s">
        <v>654</v>
      </c>
      <c r="AC1569" s="2" t="s">
        <v>632</v>
      </c>
      <c r="AD1569" s="10">
        <v>86418278</v>
      </c>
      <c r="AE1569" s="11"/>
      <c r="AF1569" s="11">
        <v>86418278</v>
      </c>
      <c r="AG1569" s="11"/>
      <c r="AH1569" s="11"/>
      <c r="AI1569" s="11"/>
      <c r="AJ1569" s="11">
        <v>86418278</v>
      </c>
      <c r="AK1569" s="12">
        <v>2</v>
      </c>
      <c r="AL1569" s="12" t="s">
        <v>7377</v>
      </c>
      <c r="AM1569" s="2">
        <v>0</v>
      </c>
      <c r="AN1569" s="2">
        <v>0</v>
      </c>
      <c r="AO1569" s="2">
        <v>0</v>
      </c>
      <c r="AP1569" s="2">
        <v>1</v>
      </c>
      <c r="AQ1569" s="2">
        <v>0</v>
      </c>
      <c r="AR1569" s="2">
        <v>0</v>
      </c>
      <c r="AS1569" s="2">
        <v>0</v>
      </c>
      <c r="AT1569" s="2">
        <v>0</v>
      </c>
      <c r="AZ1569" s="2" t="s">
        <v>9431</v>
      </c>
      <c r="BB1569" s="2" t="str">
        <f>+PROPER(BD[[#This Row],[PRIMER_APELLIDO]])</f>
        <v>Plata</v>
      </c>
    </row>
    <row r="1570" spans="1:54" x14ac:dyDescent="0.25">
      <c r="A1570" s="2">
        <v>1569</v>
      </c>
      <c r="B1570" s="2">
        <v>29059</v>
      </c>
      <c r="C1570" s="5" t="s">
        <v>619</v>
      </c>
      <c r="D1570" s="2" t="s">
        <v>620</v>
      </c>
      <c r="E1570" s="6" t="s">
        <v>9432</v>
      </c>
      <c r="F1570" s="6">
        <v>22177771</v>
      </c>
      <c r="G1570" s="3">
        <v>43</v>
      </c>
      <c r="I1570" s="7"/>
      <c r="J1570" s="7"/>
      <c r="K1570" s="8">
        <v>43.210958904109589</v>
      </c>
      <c r="L1570" s="2" t="s">
        <v>937</v>
      </c>
      <c r="M1570" s="2" t="s">
        <v>891</v>
      </c>
      <c r="N1570" s="2" t="s">
        <v>24</v>
      </c>
      <c r="O1570" s="2" t="s">
        <v>114</v>
      </c>
      <c r="P1570" s="2" t="s">
        <v>626</v>
      </c>
      <c r="Q1570" s="2" t="s">
        <v>351</v>
      </c>
      <c r="R1570" s="9">
        <v>29024</v>
      </c>
      <c r="S1570" s="9">
        <v>29024</v>
      </c>
      <c r="T1570" s="2" t="s">
        <v>740</v>
      </c>
      <c r="U1570" s="2" t="s">
        <v>740</v>
      </c>
      <c r="V1570" s="2" t="s">
        <v>1334</v>
      </c>
      <c r="W1570" s="2" t="s">
        <v>1789</v>
      </c>
      <c r="X1570" s="2" t="s">
        <v>9433</v>
      </c>
      <c r="Y1570" s="2" t="s">
        <v>9434</v>
      </c>
      <c r="Z1570" s="6"/>
      <c r="AA1570" s="2">
        <v>83274763</v>
      </c>
      <c r="AB1570" s="2" t="s">
        <v>654</v>
      </c>
      <c r="AC1570" s="2" t="s">
        <v>632</v>
      </c>
      <c r="AD1570" s="10"/>
      <c r="AE1570" s="11"/>
      <c r="AF1570" s="11">
        <v>83274763</v>
      </c>
      <c r="AG1570" s="11"/>
      <c r="AH1570" s="11"/>
      <c r="AI1570" s="11"/>
      <c r="AJ1570" s="11">
        <v>83274763</v>
      </c>
      <c r="AK1570" s="12">
        <v>1</v>
      </c>
      <c r="AL1570" s="12" t="s">
        <v>7377</v>
      </c>
      <c r="AM1570" s="2">
        <v>0</v>
      </c>
      <c r="AN1570" s="2">
        <v>0</v>
      </c>
      <c r="AO1570" s="2">
        <v>0</v>
      </c>
      <c r="AP1570" s="2">
        <v>1</v>
      </c>
      <c r="AQ1570" s="2">
        <v>0</v>
      </c>
      <c r="AR1570" s="2">
        <v>0</v>
      </c>
      <c r="AS1570" s="2">
        <v>0</v>
      </c>
      <c r="AT1570" s="2">
        <v>0</v>
      </c>
      <c r="BB1570" s="2" t="str">
        <f>+PROPER(BD[[#This Row],[PRIMER_APELLIDO]])</f>
        <v>Perez</v>
      </c>
    </row>
    <row r="1571" spans="1:54" x14ac:dyDescent="0.25">
      <c r="A1571" s="2">
        <v>1570</v>
      </c>
      <c r="B1571" s="2">
        <v>25634</v>
      </c>
      <c r="C1571" s="5" t="s">
        <v>619</v>
      </c>
      <c r="D1571" s="2" t="s">
        <v>620</v>
      </c>
      <c r="E1571" s="6" t="s">
        <v>9435</v>
      </c>
      <c r="F1571" s="6">
        <v>19054238</v>
      </c>
      <c r="G1571" s="3">
        <v>43</v>
      </c>
      <c r="I1571" s="7"/>
      <c r="J1571" s="7"/>
      <c r="K1571" s="8">
        <v>43.224657534246575</v>
      </c>
      <c r="L1571" s="2" t="s">
        <v>9436</v>
      </c>
      <c r="M1571" s="2" t="s">
        <v>904</v>
      </c>
      <c r="N1571" s="2" t="s">
        <v>343</v>
      </c>
      <c r="O1571" s="2" t="s">
        <v>91</v>
      </c>
      <c r="P1571" s="2" t="s">
        <v>649</v>
      </c>
      <c r="Q1571" s="2" t="s">
        <v>351</v>
      </c>
      <c r="R1571" s="9">
        <v>29019</v>
      </c>
      <c r="S1571" s="9">
        <v>29019</v>
      </c>
      <c r="T1571" s="2" t="s">
        <v>627</v>
      </c>
      <c r="U1571" s="2" t="s">
        <v>627</v>
      </c>
      <c r="V1571" s="2" t="s">
        <v>627</v>
      </c>
      <c r="W1571" s="2" t="s">
        <v>627</v>
      </c>
      <c r="X1571" s="2" t="s">
        <v>9437</v>
      </c>
      <c r="Y1571" s="2" t="s">
        <v>9438</v>
      </c>
      <c r="Z1571" s="6"/>
      <c r="AA1571" s="2" t="s">
        <v>9439</v>
      </c>
      <c r="AB1571" s="2" t="s">
        <v>654</v>
      </c>
      <c r="AC1571" s="2" t="s">
        <v>632</v>
      </c>
      <c r="AD1571" s="10"/>
      <c r="AE1571" s="11"/>
      <c r="AF1571" s="11"/>
      <c r="AG1571" s="11">
        <v>75563061</v>
      </c>
      <c r="AH1571" s="11"/>
      <c r="AI1571" s="11"/>
      <c r="AJ1571" s="11">
        <v>75563061</v>
      </c>
      <c r="AK1571" s="12">
        <v>2</v>
      </c>
      <c r="AL1571" s="12" t="s">
        <v>7377</v>
      </c>
      <c r="AM1571" s="2">
        <v>0</v>
      </c>
      <c r="AN1571" s="2">
        <v>0</v>
      </c>
      <c r="AO1571" s="2">
        <v>0</v>
      </c>
      <c r="AP1571" s="2">
        <v>1</v>
      </c>
      <c r="AQ1571" s="2">
        <v>0</v>
      </c>
      <c r="AR1571" s="2">
        <v>0</v>
      </c>
      <c r="AS1571" s="2">
        <v>0</v>
      </c>
      <c r="AT1571" s="2">
        <v>0</v>
      </c>
      <c r="BB1571" s="2" t="str">
        <f>+PROPER(BD[[#This Row],[PRIMER_APELLIDO]])</f>
        <v>Ordoñez</v>
      </c>
    </row>
    <row r="1572" spans="1:54" x14ac:dyDescent="0.25">
      <c r="A1572" s="2">
        <v>1571</v>
      </c>
      <c r="B1572" s="2">
        <v>24121</v>
      </c>
      <c r="C1572" s="5" t="s">
        <v>619</v>
      </c>
      <c r="D1572" s="2" t="s">
        <v>620</v>
      </c>
      <c r="E1572" s="6" t="s">
        <v>9440</v>
      </c>
      <c r="F1572" s="6">
        <v>20319797</v>
      </c>
      <c r="G1572" s="3">
        <v>43</v>
      </c>
      <c r="I1572" s="7"/>
      <c r="J1572" s="7"/>
      <c r="K1572" s="8">
        <v>43.241095890410961</v>
      </c>
      <c r="L1572" s="2" t="s">
        <v>826</v>
      </c>
      <c r="M1572" s="2" t="s">
        <v>1692</v>
      </c>
      <c r="N1572" s="2" t="s">
        <v>42</v>
      </c>
      <c r="O1572" s="2" t="s">
        <v>113</v>
      </c>
      <c r="P1572" s="2" t="s">
        <v>649</v>
      </c>
      <c r="Q1572" s="2" t="s">
        <v>351</v>
      </c>
      <c r="R1572" s="9">
        <v>29013</v>
      </c>
      <c r="S1572" s="9">
        <v>29013</v>
      </c>
      <c r="T1572" s="2" t="s">
        <v>176</v>
      </c>
      <c r="U1572" s="2" t="s">
        <v>1044</v>
      </c>
      <c r="V1572" s="2" t="s">
        <v>1796</v>
      </c>
      <c r="W1572" s="2" t="s">
        <v>1838</v>
      </c>
      <c r="X1572" s="2" t="s">
        <v>9441</v>
      </c>
      <c r="Y1572" s="2" t="s">
        <v>9442</v>
      </c>
      <c r="Z1572" s="6">
        <v>89289215</v>
      </c>
      <c r="AB1572" s="2" t="s">
        <v>654</v>
      </c>
      <c r="AC1572" s="2" t="s">
        <v>632</v>
      </c>
      <c r="AD1572" s="10">
        <v>89289215</v>
      </c>
      <c r="AE1572" s="11"/>
      <c r="AF1572" s="11"/>
      <c r="AG1572" s="11"/>
      <c r="AH1572" s="11"/>
      <c r="AI1572" s="11"/>
      <c r="AJ1572" s="11">
        <v>89289215</v>
      </c>
      <c r="AK1572" s="12">
        <v>1</v>
      </c>
      <c r="AL1572" s="12" t="s">
        <v>7377</v>
      </c>
      <c r="AM1572" s="2">
        <v>0</v>
      </c>
      <c r="AN1572" s="2">
        <v>0</v>
      </c>
      <c r="AO1572" s="2">
        <v>0</v>
      </c>
      <c r="AP1572" s="2">
        <v>1</v>
      </c>
      <c r="AQ1572" s="2">
        <v>0</v>
      </c>
      <c r="AR1572" s="2">
        <v>0</v>
      </c>
      <c r="AS1572" s="2">
        <v>0</v>
      </c>
      <c r="AT1572" s="2">
        <v>0</v>
      </c>
      <c r="AZ1572" s="2" t="s">
        <v>9443</v>
      </c>
      <c r="BB1572" s="2" t="str">
        <f>+PROPER(BD[[#This Row],[PRIMER_APELLIDO]])</f>
        <v>Acosta</v>
      </c>
    </row>
    <row r="1573" spans="1:54" x14ac:dyDescent="0.25">
      <c r="A1573" s="2">
        <v>1572</v>
      </c>
      <c r="B1573" s="2">
        <v>22732</v>
      </c>
      <c r="C1573" s="5" t="s">
        <v>619</v>
      </c>
      <c r="D1573" s="2" t="s">
        <v>620</v>
      </c>
      <c r="E1573" s="6" t="s">
        <v>9444</v>
      </c>
      <c r="F1573" s="6">
        <v>14051007</v>
      </c>
      <c r="G1573" s="3">
        <v>43</v>
      </c>
      <c r="I1573" s="7"/>
      <c r="J1573" s="7"/>
      <c r="K1573" s="8">
        <v>43.246575342465754</v>
      </c>
      <c r="L1573" s="2" t="s">
        <v>6113</v>
      </c>
      <c r="M1573" s="2" t="s">
        <v>243</v>
      </c>
      <c r="N1573" s="2" t="s">
        <v>466</v>
      </c>
      <c r="O1573" s="2" t="s">
        <v>90</v>
      </c>
      <c r="P1573" s="2" t="s">
        <v>649</v>
      </c>
      <c r="Q1573" s="2" t="s">
        <v>351</v>
      </c>
      <c r="R1573" s="9">
        <v>29011</v>
      </c>
      <c r="S1573" s="9">
        <v>29011</v>
      </c>
      <c r="T1573" s="2" t="s">
        <v>627</v>
      </c>
      <c r="U1573" s="2" t="s">
        <v>627</v>
      </c>
      <c r="V1573" s="2" t="s">
        <v>1406</v>
      </c>
      <c r="W1573" s="2" t="s">
        <v>1406</v>
      </c>
      <c r="X1573" s="2" t="s">
        <v>9445</v>
      </c>
      <c r="Y1573" s="2" t="s">
        <v>9446</v>
      </c>
      <c r="Z1573" s="6">
        <v>89775260</v>
      </c>
      <c r="AA1573" s="2" t="s">
        <v>9447</v>
      </c>
      <c r="AB1573" s="2" t="s">
        <v>654</v>
      </c>
      <c r="AC1573" s="2" t="s">
        <v>632</v>
      </c>
      <c r="AD1573" s="10">
        <v>89775260</v>
      </c>
      <c r="AE1573" s="11"/>
      <c r="AF1573" s="11"/>
      <c r="AG1573" s="11">
        <v>89775260</v>
      </c>
      <c r="AH1573" s="11"/>
      <c r="AI1573" s="11"/>
      <c r="AJ1573" s="11">
        <v>89775260</v>
      </c>
      <c r="AK1573" s="12">
        <v>3</v>
      </c>
      <c r="AL1573" s="12" t="s">
        <v>7377</v>
      </c>
      <c r="AM1573" s="2">
        <v>0</v>
      </c>
      <c r="AN1573" s="2">
        <v>0</v>
      </c>
      <c r="AO1573" s="2">
        <v>0</v>
      </c>
      <c r="AP1573" s="2">
        <v>1</v>
      </c>
      <c r="AQ1573" s="2">
        <v>0</v>
      </c>
      <c r="AR1573" s="2">
        <v>0</v>
      </c>
      <c r="AS1573" s="2">
        <v>0</v>
      </c>
      <c r="AT1573" s="2">
        <v>0</v>
      </c>
      <c r="AZ1573" s="2" t="s">
        <v>9448</v>
      </c>
      <c r="BB1573" s="2" t="str">
        <f>+PROPER(BD[[#This Row],[PRIMER_APELLIDO]])</f>
        <v>Solorzano</v>
      </c>
    </row>
    <row r="1574" spans="1:54" x14ac:dyDescent="0.25">
      <c r="A1574" s="2">
        <v>1573</v>
      </c>
      <c r="B1574" s="2">
        <v>28801</v>
      </c>
      <c r="C1574" s="5" t="s">
        <v>619</v>
      </c>
      <c r="D1574" s="2" t="s">
        <v>620</v>
      </c>
      <c r="E1574" s="6" t="s">
        <v>9449</v>
      </c>
      <c r="F1574" s="6">
        <v>20884381</v>
      </c>
      <c r="G1574" s="3">
        <v>43</v>
      </c>
      <c r="I1574" s="7"/>
      <c r="J1574" s="7"/>
      <c r="K1574" s="8">
        <v>43.268493150684932</v>
      </c>
      <c r="L1574" s="2" t="s">
        <v>3040</v>
      </c>
      <c r="M1574" s="2" t="s">
        <v>975</v>
      </c>
      <c r="N1574" s="2" t="s">
        <v>130</v>
      </c>
      <c r="O1574" s="2" t="s">
        <v>250</v>
      </c>
      <c r="P1574" s="2" t="s">
        <v>649</v>
      </c>
      <c r="Q1574" s="2" t="s">
        <v>351</v>
      </c>
      <c r="R1574" s="9">
        <v>29003</v>
      </c>
      <c r="S1574" s="9">
        <v>29003</v>
      </c>
      <c r="T1574" s="2" t="s">
        <v>176</v>
      </c>
      <c r="U1574" s="2" t="s">
        <v>176</v>
      </c>
      <c r="V1574" s="2" t="s">
        <v>650</v>
      </c>
      <c r="W1574" s="2" t="s">
        <v>176</v>
      </c>
      <c r="X1574" s="2" t="s">
        <v>9450</v>
      </c>
      <c r="Y1574" s="2" t="s">
        <v>9451</v>
      </c>
      <c r="Z1574" s="6">
        <v>86690519</v>
      </c>
      <c r="AA1574" s="2" t="s">
        <v>9452</v>
      </c>
      <c r="AB1574" s="2" t="s">
        <v>654</v>
      </c>
      <c r="AC1574" s="2" t="s">
        <v>632</v>
      </c>
      <c r="AD1574" s="10">
        <v>86690519</v>
      </c>
      <c r="AE1574" s="11"/>
      <c r="AF1574" s="11">
        <v>86690519</v>
      </c>
      <c r="AG1574" s="11">
        <v>88585050</v>
      </c>
      <c r="AH1574" s="11"/>
      <c r="AI1574" s="11"/>
      <c r="AJ1574" s="11">
        <v>86690519</v>
      </c>
      <c r="AK1574" s="12">
        <v>3</v>
      </c>
      <c r="AL1574" s="12" t="s">
        <v>7377</v>
      </c>
      <c r="AM1574" s="2">
        <v>0</v>
      </c>
      <c r="AN1574" s="2">
        <v>0</v>
      </c>
      <c r="AO1574" s="2">
        <v>0</v>
      </c>
      <c r="AP1574" s="2">
        <v>1</v>
      </c>
      <c r="AQ1574" s="2">
        <v>0</v>
      </c>
      <c r="AR1574" s="2">
        <v>0</v>
      </c>
      <c r="AS1574" s="2">
        <v>0</v>
      </c>
      <c r="AT1574" s="2">
        <v>0</v>
      </c>
      <c r="BB1574" s="2" t="str">
        <f>+PROPER(BD[[#This Row],[PRIMER_APELLIDO]])</f>
        <v>Mejia</v>
      </c>
    </row>
    <row r="1575" spans="1:54" x14ac:dyDescent="0.25">
      <c r="A1575" s="2">
        <v>1574</v>
      </c>
      <c r="B1575" s="2">
        <v>23901</v>
      </c>
      <c r="C1575" s="5" t="s">
        <v>619</v>
      </c>
      <c r="D1575" s="2" t="s">
        <v>620</v>
      </c>
      <c r="E1575" s="6" t="s">
        <v>9453</v>
      </c>
      <c r="F1575" s="6">
        <v>19065104</v>
      </c>
      <c r="G1575" s="3">
        <v>43</v>
      </c>
      <c r="I1575" s="7"/>
      <c r="J1575" s="7"/>
      <c r="K1575" s="8">
        <v>43.287671232876711</v>
      </c>
      <c r="L1575" s="2" t="s">
        <v>1686</v>
      </c>
      <c r="M1575" s="2" t="s">
        <v>3450</v>
      </c>
      <c r="N1575" s="2" t="s">
        <v>549</v>
      </c>
      <c r="O1575" s="2" t="s">
        <v>14</v>
      </c>
      <c r="P1575" s="2" t="s">
        <v>649</v>
      </c>
      <c r="Q1575" s="2" t="s">
        <v>351</v>
      </c>
      <c r="R1575" s="9">
        <v>28996</v>
      </c>
      <c r="S1575" s="9">
        <v>28996</v>
      </c>
      <c r="T1575" s="2" t="s">
        <v>176</v>
      </c>
      <c r="U1575" s="2" t="s">
        <v>176</v>
      </c>
      <c r="V1575" s="2" t="s">
        <v>650</v>
      </c>
      <c r="W1575" s="2" t="s">
        <v>176</v>
      </c>
      <c r="X1575" s="2" t="s">
        <v>9454</v>
      </c>
      <c r="Y1575" s="2" t="s">
        <v>9455</v>
      </c>
      <c r="Z1575" s="6">
        <v>86009807</v>
      </c>
      <c r="AB1575" s="2" t="s">
        <v>654</v>
      </c>
      <c r="AC1575" s="2" t="s">
        <v>632</v>
      </c>
      <c r="AD1575" s="10">
        <v>86009807</v>
      </c>
      <c r="AE1575" s="11"/>
      <c r="AF1575" s="11"/>
      <c r="AG1575" s="11"/>
      <c r="AH1575" s="11"/>
      <c r="AI1575" s="11"/>
      <c r="AJ1575" s="11">
        <v>86009807</v>
      </c>
      <c r="AK1575" s="12">
        <v>1</v>
      </c>
      <c r="AL1575" s="12" t="s">
        <v>7377</v>
      </c>
      <c r="AM1575" s="2">
        <v>0</v>
      </c>
      <c r="AN1575" s="2">
        <v>0</v>
      </c>
      <c r="AO1575" s="2">
        <v>0</v>
      </c>
      <c r="AP1575" s="2">
        <v>1</v>
      </c>
      <c r="AQ1575" s="2">
        <v>0</v>
      </c>
      <c r="AR1575" s="2">
        <v>0</v>
      </c>
      <c r="AS1575" s="2">
        <v>0</v>
      </c>
      <c r="AT1575" s="2">
        <v>0</v>
      </c>
      <c r="AZ1575" s="2" t="s">
        <v>9456</v>
      </c>
      <c r="BB1575" s="2" t="str">
        <f>+PROPER(BD[[#This Row],[PRIMER_APELLIDO]])</f>
        <v>Macklien</v>
      </c>
    </row>
    <row r="1576" spans="1:54" x14ac:dyDescent="0.25">
      <c r="A1576" s="2">
        <v>1575</v>
      </c>
      <c r="B1576" s="2">
        <v>33519</v>
      </c>
      <c r="C1576" s="5" t="s">
        <v>619</v>
      </c>
      <c r="D1576" s="2" t="s">
        <v>620</v>
      </c>
      <c r="E1576" s="6" t="s">
        <v>9457</v>
      </c>
      <c r="F1576" s="6">
        <v>13206893</v>
      </c>
      <c r="G1576" s="3">
        <v>43</v>
      </c>
      <c r="I1576" s="7"/>
      <c r="J1576" s="7"/>
      <c r="K1576" s="8">
        <v>43.301369863013697</v>
      </c>
      <c r="L1576" s="2" t="s">
        <v>1314</v>
      </c>
      <c r="M1576" s="2" t="s">
        <v>648</v>
      </c>
      <c r="N1576" s="2" t="s">
        <v>480</v>
      </c>
      <c r="O1576" s="2" t="s">
        <v>85</v>
      </c>
      <c r="P1576" s="2" t="s">
        <v>649</v>
      </c>
      <c r="Q1576" s="2" t="s">
        <v>351</v>
      </c>
      <c r="R1576" s="9">
        <v>28991</v>
      </c>
      <c r="S1576" s="9">
        <v>28991</v>
      </c>
      <c r="T1576" s="2" t="s">
        <v>929</v>
      </c>
      <c r="U1576" s="2" t="s">
        <v>929</v>
      </c>
      <c r="V1576" s="2" t="s">
        <v>1653</v>
      </c>
      <c r="W1576" s="2" t="s">
        <v>1653</v>
      </c>
      <c r="X1576" s="2" t="s">
        <v>9458</v>
      </c>
      <c r="Y1576" s="2" t="s">
        <v>9459</v>
      </c>
      <c r="Z1576" s="6"/>
      <c r="AA1576" s="2">
        <v>88479834</v>
      </c>
      <c r="AB1576" s="2" t="s">
        <v>654</v>
      </c>
      <c r="AC1576" s="2" t="s">
        <v>632</v>
      </c>
      <c r="AD1576" s="10"/>
      <c r="AE1576" s="11"/>
      <c r="AF1576" s="11">
        <v>88479834</v>
      </c>
      <c r="AG1576" s="11"/>
      <c r="AH1576" s="11"/>
      <c r="AI1576" s="11"/>
      <c r="AJ1576" s="11">
        <v>88479834</v>
      </c>
      <c r="AK1576" s="12">
        <v>1</v>
      </c>
      <c r="AL1576" s="12" t="s">
        <v>7377</v>
      </c>
      <c r="AM1576" s="2">
        <v>0</v>
      </c>
      <c r="AN1576" s="2">
        <v>0</v>
      </c>
      <c r="AO1576" s="2">
        <v>0</v>
      </c>
      <c r="AP1576" s="2">
        <v>1</v>
      </c>
      <c r="AQ1576" s="2">
        <v>0</v>
      </c>
      <c r="AR1576" s="2">
        <v>0</v>
      </c>
      <c r="AS1576" s="2">
        <v>0</v>
      </c>
      <c r="AT1576" s="2">
        <v>0</v>
      </c>
      <c r="BB1576" s="2" t="str">
        <f>+PROPER(BD[[#This Row],[PRIMER_APELLIDO]])</f>
        <v>Marin</v>
      </c>
    </row>
    <row r="1577" spans="1:54" x14ac:dyDescent="0.25">
      <c r="A1577" s="2">
        <v>1576</v>
      </c>
      <c r="B1577" s="2">
        <v>40844</v>
      </c>
      <c r="C1577" s="5" t="s">
        <v>619</v>
      </c>
      <c r="D1577" s="2" t="s">
        <v>620</v>
      </c>
      <c r="E1577" s="6" t="s">
        <v>9460</v>
      </c>
      <c r="F1577" s="6">
        <v>23113024</v>
      </c>
      <c r="G1577" s="3">
        <v>43</v>
      </c>
      <c r="I1577" s="7"/>
      <c r="J1577" s="7"/>
      <c r="K1577" s="8">
        <v>43.301369863013697</v>
      </c>
      <c r="L1577" s="2" t="s">
        <v>9461</v>
      </c>
      <c r="M1577" s="2" t="s">
        <v>904</v>
      </c>
      <c r="N1577" s="2" t="s">
        <v>329</v>
      </c>
      <c r="O1577" s="2" t="s">
        <v>93</v>
      </c>
      <c r="P1577" s="2" t="s">
        <v>649</v>
      </c>
      <c r="Q1577" s="2" t="s">
        <v>351</v>
      </c>
      <c r="R1577" s="9">
        <v>28991</v>
      </c>
      <c r="S1577" s="9">
        <v>28991</v>
      </c>
      <c r="T1577" s="2" t="s">
        <v>627</v>
      </c>
      <c r="U1577" s="2" t="s">
        <v>627</v>
      </c>
      <c r="V1577" s="2" t="s">
        <v>627</v>
      </c>
      <c r="W1577" s="2" t="s">
        <v>627</v>
      </c>
      <c r="X1577" s="2" t="s">
        <v>9462</v>
      </c>
      <c r="Y1577" s="2" t="s">
        <v>9463</v>
      </c>
      <c r="Z1577" s="6"/>
      <c r="AA1577" s="2">
        <v>88807730</v>
      </c>
      <c r="AB1577" s="2" t="s">
        <v>654</v>
      </c>
      <c r="AC1577" s="2" t="s">
        <v>632</v>
      </c>
      <c r="AD1577" s="10"/>
      <c r="AE1577" s="11"/>
      <c r="AF1577" s="11">
        <v>88807730</v>
      </c>
      <c r="AG1577" s="11"/>
      <c r="AH1577" s="11"/>
      <c r="AI1577" s="11"/>
      <c r="AJ1577" s="11">
        <v>88807730</v>
      </c>
      <c r="AK1577" s="12">
        <v>1</v>
      </c>
      <c r="AL1577" s="12" t="s">
        <v>7377</v>
      </c>
      <c r="AM1577" s="2">
        <v>0</v>
      </c>
      <c r="AN1577" s="2">
        <v>0</v>
      </c>
      <c r="AO1577" s="2">
        <v>0</v>
      </c>
      <c r="AP1577" s="2">
        <v>1</v>
      </c>
      <c r="AQ1577" s="2">
        <v>0</v>
      </c>
      <c r="AR1577" s="2">
        <v>0</v>
      </c>
      <c r="AS1577" s="2">
        <v>0</v>
      </c>
      <c r="AT1577" s="2">
        <v>0</v>
      </c>
      <c r="BB1577" s="2" t="str">
        <f>+PROPER(BD[[#This Row],[PRIMER_APELLIDO]])</f>
        <v>Luna</v>
      </c>
    </row>
    <row r="1578" spans="1:54" x14ac:dyDescent="0.25">
      <c r="A1578" s="2">
        <v>1577</v>
      </c>
      <c r="B1578" s="2">
        <v>18716</v>
      </c>
      <c r="C1578" s="5" t="s">
        <v>619</v>
      </c>
      <c r="D1578" s="2" t="s">
        <v>620</v>
      </c>
      <c r="E1578" s="6" t="s">
        <v>9464</v>
      </c>
      <c r="F1578" s="6">
        <v>16812103</v>
      </c>
      <c r="G1578" s="3">
        <v>43</v>
      </c>
      <c r="I1578" s="7"/>
      <c r="J1578" s="7"/>
      <c r="K1578" s="8">
        <v>43.30684931506849</v>
      </c>
      <c r="L1578" s="2" t="s">
        <v>9465</v>
      </c>
      <c r="M1578" s="2" t="s">
        <v>724</v>
      </c>
      <c r="N1578" s="2" t="s">
        <v>550</v>
      </c>
      <c r="O1578" s="2" t="s">
        <v>235</v>
      </c>
      <c r="P1578" s="2" t="s">
        <v>626</v>
      </c>
      <c r="Q1578" s="2" t="s">
        <v>351</v>
      </c>
      <c r="R1578" s="9">
        <v>28989</v>
      </c>
      <c r="S1578" s="9">
        <v>28989</v>
      </c>
      <c r="U1578" s="2" t="s">
        <v>176</v>
      </c>
      <c r="W1578" s="2" t="s">
        <v>176</v>
      </c>
      <c r="X1578" s="2" t="s">
        <v>9466</v>
      </c>
      <c r="Y1578" s="2" t="s">
        <v>9467</v>
      </c>
      <c r="Z1578" s="6"/>
      <c r="AA1578" s="2" t="s">
        <v>9468</v>
      </c>
      <c r="AB1578" s="2" t="s">
        <v>654</v>
      </c>
      <c r="AC1578" s="2" t="s">
        <v>632</v>
      </c>
      <c r="AD1578" s="10"/>
      <c r="AE1578" s="11"/>
      <c r="AF1578" s="11">
        <v>84330465</v>
      </c>
      <c r="AG1578" s="11"/>
      <c r="AH1578" s="11"/>
      <c r="AI1578" s="11"/>
      <c r="AJ1578" s="11">
        <v>84330465</v>
      </c>
      <c r="AK1578" s="12">
        <v>2</v>
      </c>
      <c r="AL1578" s="12" t="s">
        <v>7377</v>
      </c>
      <c r="AM1578" s="2">
        <v>0</v>
      </c>
      <c r="AN1578" s="2">
        <v>0</v>
      </c>
      <c r="AO1578" s="2">
        <v>0</v>
      </c>
      <c r="AP1578" s="2">
        <v>1</v>
      </c>
      <c r="AQ1578" s="2">
        <v>0</v>
      </c>
      <c r="AR1578" s="2">
        <v>0</v>
      </c>
      <c r="AS1578" s="2">
        <v>0</v>
      </c>
      <c r="AT1578" s="2">
        <v>0</v>
      </c>
      <c r="BB1578" s="2" t="str">
        <f>+PROPER(BD[[#This Row],[PRIMER_APELLIDO]])</f>
        <v>Grijalba</v>
      </c>
    </row>
    <row r="1579" spans="1:54" x14ac:dyDescent="0.25">
      <c r="A1579" s="2">
        <v>1578</v>
      </c>
      <c r="B1579" s="2">
        <v>33356</v>
      </c>
      <c r="C1579" s="5" t="s">
        <v>619</v>
      </c>
      <c r="D1579" s="2" t="s">
        <v>620</v>
      </c>
      <c r="E1579" s="6" t="s">
        <v>9469</v>
      </c>
      <c r="F1579" s="6">
        <v>23090413</v>
      </c>
      <c r="G1579" s="3">
        <v>43</v>
      </c>
      <c r="I1579" s="7"/>
      <c r="J1579" s="7"/>
      <c r="K1579" s="8">
        <v>43.31232876712329</v>
      </c>
      <c r="L1579" s="2" t="s">
        <v>746</v>
      </c>
      <c r="M1579" s="2" t="s">
        <v>4116</v>
      </c>
      <c r="N1579" s="2" t="s">
        <v>14</v>
      </c>
      <c r="O1579" s="2" t="s">
        <v>250</v>
      </c>
      <c r="P1579" s="2" t="s">
        <v>626</v>
      </c>
      <c r="Q1579" s="2" t="s">
        <v>351</v>
      </c>
      <c r="R1579" s="9">
        <v>28987</v>
      </c>
      <c r="S1579" s="9">
        <v>28987</v>
      </c>
      <c r="T1579" s="2" t="s">
        <v>176</v>
      </c>
      <c r="U1579" s="2" t="s">
        <v>176</v>
      </c>
      <c r="V1579" s="2" t="s">
        <v>650</v>
      </c>
      <c r="W1579" s="2" t="s">
        <v>176</v>
      </c>
      <c r="X1579" s="2" t="s">
        <v>9470</v>
      </c>
      <c r="Y1579" s="2" t="s">
        <v>9471</v>
      </c>
      <c r="Z1579" s="6">
        <v>57979113</v>
      </c>
      <c r="AA1579" s="2" t="s">
        <v>9472</v>
      </c>
      <c r="AB1579" s="2" t="s">
        <v>642</v>
      </c>
      <c r="AC1579" s="2" t="s">
        <v>632</v>
      </c>
      <c r="AD1579" s="10">
        <v>57979113</v>
      </c>
      <c r="AE1579" s="11"/>
      <c r="AF1579" s="11"/>
      <c r="AG1579" s="11">
        <v>85419592</v>
      </c>
      <c r="AH1579" s="11"/>
      <c r="AI1579" s="11"/>
      <c r="AJ1579" s="11">
        <v>57979113</v>
      </c>
      <c r="AK1579" s="12">
        <v>3</v>
      </c>
      <c r="AL1579" s="12" t="s">
        <v>7377</v>
      </c>
      <c r="AM1579" s="2">
        <v>0</v>
      </c>
      <c r="AN1579" s="2">
        <v>0</v>
      </c>
      <c r="AO1579" s="2">
        <v>0</v>
      </c>
      <c r="AP1579" s="2">
        <v>1</v>
      </c>
      <c r="AQ1579" s="2">
        <v>0</v>
      </c>
      <c r="AR1579" s="2">
        <v>0</v>
      </c>
      <c r="AS1579" s="2">
        <v>0</v>
      </c>
      <c r="AT1579" s="2">
        <v>0</v>
      </c>
      <c r="AZ1579" s="2" t="s">
        <v>9473</v>
      </c>
      <c r="BB1579" s="2" t="str">
        <f>+PROPER(BD[[#This Row],[PRIMER_APELLIDO]])</f>
        <v>Gonzalez</v>
      </c>
    </row>
    <row r="1580" spans="1:54" x14ac:dyDescent="0.25">
      <c r="A1580" s="2">
        <v>1579</v>
      </c>
      <c r="B1580" s="2">
        <v>33723</v>
      </c>
      <c r="C1580" s="5" t="s">
        <v>619</v>
      </c>
      <c r="D1580" s="2" t="s">
        <v>620</v>
      </c>
      <c r="E1580" s="6" t="s">
        <v>9474</v>
      </c>
      <c r="F1580" s="6">
        <v>21734272</v>
      </c>
      <c r="G1580" s="3">
        <v>43</v>
      </c>
      <c r="I1580" s="7"/>
      <c r="J1580" s="7"/>
      <c r="K1580" s="8">
        <v>43.31232876712329</v>
      </c>
      <c r="L1580" s="2" t="s">
        <v>3456</v>
      </c>
      <c r="M1580" s="2" t="s">
        <v>1614</v>
      </c>
      <c r="N1580" s="2" t="s">
        <v>82</v>
      </c>
      <c r="O1580" s="2" t="s">
        <v>194</v>
      </c>
      <c r="P1580" s="2" t="s">
        <v>626</v>
      </c>
      <c r="Q1580" s="2" t="s">
        <v>351</v>
      </c>
      <c r="R1580" s="9">
        <v>28987</v>
      </c>
      <c r="S1580" s="9">
        <v>28987</v>
      </c>
      <c r="T1580" s="2" t="s">
        <v>732</v>
      </c>
      <c r="U1580" s="2" t="s">
        <v>732</v>
      </c>
      <c r="V1580" s="2" t="s">
        <v>732</v>
      </c>
      <c r="W1580" s="2" t="s">
        <v>732</v>
      </c>
      <c r="X1580" s="2" t="s">
        <v>9475</v>
      </c>
      <c r="Y1580" s="2" t="s">
        <v>9476</v>
      </c>
      <c r="Z1580" s="6">
        <v>82669511</v>
      </c>
      <c r="AA1580" s="2" t="s">
        <v>9477</v>
      </c>
      <c r="AB1580" s="2" t="s">
        <v>9478</v>
      </c>
      <c r="AC1580" s="2" t="s">
        <v>632</v>
      </c>
      <c r="AD1580" s="10">
        <v>82669511</v>
      </c>
      <c r="AE1580" s="11"/>
      <c r="AF1580" s="11"/>
      <c r="AG1580" s="11">
        <v>57198964</v>
      </c>
      <c r="AH1580" s="11">
        <v>85633969</v>
      </c>
      <c r="AI1580" s="11"/>
      <c r="AJ1580" s="11">
        <v>82669511</v>
      </c>
      <c r="AK1580" s="12">
        <v>4</v>
      </c>
      <c r="AL1580" s="12" t="s">
        <v>7377</v>
      </c>
      <c r="AM1580" s="2">
        <v>0</v>
      </c>
      <c r="AN1580" s="2">
        <v>0</v>
      </c>
      <c r="AO1580" s="2">
        <v>0</v>
      </c>
      <c r="AP1580" s="2">
        <v>1</v>
      </c>
      <c r="AQ1580" s="2">
        <v>0</v>
      </c>
      <c r="AR1580" s="2">
        <v>0</v>
      </c>
      <c r="AS1580" s="2">
        <v>0</v>
      </c>
      <c r="AT1580" s="2">
        <v>0</v>
      </c>
      <c r="AZ1580" s="2" t="s">
        <v>9479</v>
      </c>
      <c r="BB1580" s="2" t="str">
        <f>+PROPER(BD[[#This Row],[PRIMER_APELLIDO]])</f>
        <v>Morales</v>
      </c>
    </row>
    <row r="1581" spans="1:54" x14ac:dyDescent="0.25">
      <c r="A1581" s="2">
        <v>1580</v>
      </c>
      <c r="B1581" s="2">
        <v>23378</v>
      </c>
      <c r="C1581" s="5" t="s">
        <v>619</v>
      </c>
      <c r="D1581" s="2" t="s">
        <v>620</v>
      </c>
      <c r="E1581" s="6" t="s">
        <v>9480</v>
      </c>
      <c r="F1581" s="6">
        <v>17108106</v>
      </c>
      <c r="G1581" s="3">
        <v>43</v>
      </c>
      <c r="I1581" s="7"/>
      <c r="J1581" s="7"/>
      <c r="K1581" s="8">
        <v>43.317808219178083</v>
      </c>
      <c r="L1581" s="2" t="s">
        <v>1391</v>
      </c>
      <c r="M1581" s="2" t="s">
        <v>3850</v>
      </c>
      <c r="N1581" s="2" t="s">
        <v>123</v>
      </c>
      <c r="O1581" s="2" t="s">
        <v>326</v>
      </c>
      <c r="P1581" s="2" t="s">
        <v>649</v>
      </c>
      <c r="Q1581" s="2" t="s">
        <v>351</v>
      </c>
      <c r="R1581" s="9">
        <v>28985</v>
      </c>
      <c r="S1581" s="9">
        <v>28985</v>
      </c>
      <c r="T1581" s="2" t="s">
        <v>627</v>
      </c>
      <c r="U1581" s="2" t="s">
        <v>627</v>
      </c>
      <c r="V1581" s="2" t="s">
        <v>627</v>
      </c>
      <c r="W1581" s="2" t="s">
        <v>627</v>
      </c>
      <c r="X1581" s="2" t="s">
        <v>9481</v>
      </c>
      <c r="Y1581" s="2" t="s">
        <v>9482</v>
      </c>
      <c r="Z1581" s="6"/>
      <c r="AA1581" s="2" t="s">
        <v>9483</v>
      </c>
      <c r="AB1581" s="2" t="s">
        <v>654</v>
      </c>
      <c r="AC1581" s="2" t="s">
        <v>632</v>
      </c>
      <c r="AD1581" s="10"/>
      <c r="AE1581" s="11"/>
      <c r="AF1581" s="11"/>
      <c r="AG1581" s="11">
        <v>83619343</v>
      </c>
      <c r="AH1581" s="11"/>
      <c r="AI1581" s="11"/>
      <c r="AJ1581" s="11">
        <v>83619343</v>
      </c>
      <c r="AK1581" s="12">
        <v>2</v>
      </c>
      <c r="AL1581" s="12" t="s">
        <v>7377</v>
      </c>
      <c r="AM1581" s="2">
        <v>0</v>
      </c>
      <c r="AN1581" s="2">
        <v>0</v>
      </c>
      <c r="AO1581" s="2">
        <v>0</v>
      </c>
      <c r="AP1581" s="2">
        <v>1</v>
      </c>
      <c r="AQ1581" s="2">
        <v>0</v>
      </c>
      <c r="AR1581" s="2">
        <v>0</v>
      </c>
      <c r="AS1581" s="2">
        <v>0</v>
      </c>
      <c r="AT1581" s="2">
        <v>0</v>
      </c>
      <c r="BA1581" s="2" t="s">
        <v>9484</v>
      </c>
      <c r="BB1581" s="2" t="str">
        <f>+PROPER(BD[[#This Row],[PRIMER_APELLIDO]])</f>
        <v>Baca</v>
      </c>
    </row>
    <row r="1582" spans="1:54" x14ac:dyDescent="0.25">
      <c r="A1582" s="2">
        <v>1581</v>
      </c>
      <c r="B1582" s="2">
        <v>42693</v>
      </c>
      <c r="C1582" s="5" t="s">
        <v>619</v>
      </c>
      <c r="D1582" s="2" t="s">
        <v>620</v>
      </c>
      <c r="E1582" s="6" t="s">
        <v>9485</v>
      </c>
      <c r="F1582" s="6">
        <v>28874605</v>
      </c>
      <c r="G1582" s="3">
        <v>43</v>
      </c>
      <c r="I1582" s="7"/>
      <c r="J1582" s="7"/>
      <c r="K1582" s="8">
        <v>43.336986301369862</v>
      </c>
      <c r="L1582" s="2" t="s">
        <v>825</v>
      </c>
      <c r="M1582" s="2" t="s">
        <v>3218</v>
      </c>
      <c r="N1582" s="2" t="s">
        <v>14</v>
      </c>
      <c r="O1582" s="2" t="s">
        <v>9486</v>
      </c>
      <c r="P1582" s="2" t="s">
        <v>649</v>
      </c>
      <c r="Q1582" s="2" t="s">
        <v>351</v>
      </c>
      <c r="R1582" s="9">
        <v>28978</v>
      </c>
      <c r="S1582" s="9">
        <v>28978</v>
      </c>
      <c r="T1582" s="2" t="s">
        <v>732</v>
      </c>
      <c r="U1582" s="2" t="s">
        <v>732</v>
      </c>
      <c r="V1582" s="2" t="s">
        <v>732</v>
      </c>
      <c r="W1582" s="2" t="s">
        <v>732</v>
      </c>
      <c r="X1582" s="2" t="s">
        <v>9487</v>
      </c>
      <c r="Y1582" s="2" t="s">
        <v>9488</v>
      </c>
      <c r="Z1582" s="6">
        <v>86166715</v>
      </c>
      <c r="AA1582" s="2">
        <v>78236530</v>
      </c>
      <c r="AB1582" s="2" t="s">
        <v>9489</v>
      </c>
      <c r="AC1582" s="2" t="s">
        <v>632</v>
      </c>
      <c r="AD1582" s="10">
        <v>86166715</v>
      </c>
      <c r="AE1582" s="11"/>
      <c r="AF1582" s="11">
        <v>78236530</v>
      </c>
      <c r="AG1582" s="11"/>
      <c r="AH1582" s="11"/>
      <c r="AI1582" s="11"/>
      <c r="AJ1582" s="11">
        <v>86166715</v>
      </c>
      <c r="AK1582" s="12">
        <v>2</v>
      </c>
      <c r="AL1582" s="12" t="s">
        <v>7377</v>
      </c>
      <c r="AM1582" s="2">
        <v>0</v>
      </c>
      <c r="AN1582" s="2">
        <v>0</v>
      </c>
      <c r="AO1582" s="2">
        <v>0</v>
      </c>
      <c r="AP1582" s="2">
        <v>1</v>
      </c>
      <c r="AQ1582" s="2">
        <v>0</v>
      </c>
      <c r="AR1582" s="2">
        <v>0</v>
      </c>
      <c r="AS1582" s="2">
        <v>0</v>
      </c>
      <c r="AT1582" s="2">
        <v>0</v>
      </c>
      <c r="BB1582" s="2" t="str">
        <f>+PROPER(BD[[#This Row],[PRIMER_APELLIDO]])</f>
        <v>Gonzalez</v>
      </c>
    </row>
    <row r="1583" spans="1:54" x14ac:dyDescent="0.25">
      <c r="A1583" s="2">
        <v>1582</v>
      </c>
      <c r="B1583" s="2">
        <v>72431</v>
      </c>
      <c r="C1583" s="5" t="s">
        <v>619</v>
      </c>
      <c r="D1583" s="2" t="s">
        <v>620</v>
      </c>
      <c r="E1583" s="6" t="s">
        <v>9490</v>
      </c>
      <c r="F1583" s="6"/>
      <c r="G1583" s="3">
        <v>43</v>
      </c>
      <c r="I1583" s="7"/>
      <c r="J1583" s="7"/>
      <c r="K1583" s="8">
        <v>43.350684931506848</v>
      </c>
      <c r="L1583" s="2" t="s">
        <v>2079</v>
      </c>
      <c r="N1583" s="2" t="s">
        <v>149</v>
      </c>
      <c r="O1583" s="2" t="s">
        <v>98</v>
      </c>
      <c r="P1583" s="2" t="s">
        <v>626</v>
      </c>
      <c r="Q1583" s="2" t="s">
        <v>351</v>
      </c>
      <c r="R1583" s="9">
        <v>28973</v>
      </c>
      <c r="S1583" s="9">
        <v>28973</v>
      </c>
      <c r="T1583" s="2" t="s">
        <v>627</v>
      </c>
      <c r="U1583" s="2" t="s">
        <v>1044</v>
      </c>
      <c r="V1583" s="2" t="s">
        <v>627</v>
      </c>
      <c r="W1583" s="2" t="s">
        <v>1045</v>
      </c>
      <c r="X1583" s="2" t="s">
        <v>9491</v>
      </c>
      <c r="Y1583" s="2" t="s">
        <v>9492</v>
      </c>
      <c r="Z1583" s="6">
        <v>84207629</v>
      </c>
      <c r="AB1583" s="2" t="s">
        <v>2629</v>
      </c>
      <c r="AC1583" s="2" t="s">
        <v>632</v>
      </c>
      <c r="AD1583" s="10">
        <v>84207629</v>
      </c>
      <c r="AE1583" s="11"/>
      <c r="AF1583" s="11"/>
      <c r="AG1583" s="11"/>
      <c r="AH1583" s="11"/>
      <c r="AI1583" s="11"/>
      <c r="AJ1583" s="11">
        <v>84207629</v>
      </c>
      <c r="AK1583" s="12">
        <v>1</v>
      </c>
      <c r="AL1583" s="12" t="s">
        <v>7377</v>
      </c>
      <c r="AM1583" s="2">
        <v>0</v>
      </c>
      <c r="AN1583" s="2">
        <v>0</v>
      </c>
      <c r="AO1583" s="2">
        <v>0</v>
      </c>
      <c r="AP1583" s="2">
        <v>1</v>
      </c>
      <c r="AQ1583" s="2">
        <v>0</v>
      </c>
      <c r="AR1583" s="2">
        <v>0</v>
      </c>
      <c r="AS1583" s="2">
        <v>0</v>
      </c>
      <c r="AT1583" s="2">
        <v>0</v>
      </c>
      <c r="AZ1583" s="2" t="s">
        <v>9493</v>
      </c>
      <c r="BB1583" s="2" t="str">
        <f>+PROPER(BD[[#This Row],[PRIMER_APELLIDO]])</f>
        <v>Zamora</v>
      </c>
    </row>
    <row r="1584" spans="1:54" x14ac:dyDescent="0.25">
      <c r="A1584" s="2">
        <v>1583</v>
      </c>
      <c r="B1584" s="2">
        <v>20182</v>
      </c>
      <c r="C1584" s="5" t="s">
        <v>619</v>
      </c>
      <c r="D1584" s="2" t="s">
        <v>620</v>
      </c>
      <c r="E1584" s="6" t="s">
        <v>9494</v>
      </c>
      <c r="F1584" s="6">
        <v>17189206</v>
      </c>
      <c r="G1584" s="3">
        <v>43</v>
      </c>
      <c r="I1584" s="7"/>
      <c r="J1584" s="7"/>
      <c r="K1584" s="8">
        <v>43.356164383561641</v>
      </c>
      <c r="L1584" s="2" t="s">
        <v>1464</v>
      </c>
      <c r="M1584" s="2" t="s">
        <v>9495</v>
      </c>
      <c r="N1584" s="2" t="s">
        <v>165</v>
      </c>
      <c r="O1584" s="2" t="s">
        <v>149</v>
      </c>
      <c r="P1584" s="2" t="s">
        <v>626</v>
      </c>
      <c r="Q1584" s="2" t="s">
        <v>351</v>
      </c>
      <c r="R1584" s="9">
        <v>28971</v>
      </c>
      <c r="S1584" s="9">
        <v>28971</v>
      </c>
      <c r="U1584" s="2" t="s">
        <v>444</v>
      </c>
      <c r="W1584" s="2" t="s">
        <v>764</v>
      </c>
      <c r="X1584" s="2" t="s">
        <v>9496</v>
      </c>
      <c r="Y1584" s="2" t="s">
        <v>9497</v>
      </c>
      <c r="Z1584" s="6"/>
      <c r="AA1584" s="2">
        <v>86449149</v>
      </c>
      <c r="AB1584" s="2" t="s">
        <v>654</v>
      </c>
      <c r="AC1584" s="2" t="s">
        <v>632</v>
      </c>
      <c r="AD1584" s="10"/>
      <c r="AE1584" s="11"/>
      <c r="AF1584" s="11">
        <v>86449149</v>
      </c>
      <c r="AG1584" s="11"/>
      <c r="AH1584" s="11"/>
      <c r="AI1584" s="11"/>
      <c r="AJ1584" s="11">
        <v>86449149</v>
      </c>
      <c r="AK1584" s="12">
        <v>1</v>
      </c>
      <c r="AL1584" s="12" t="s">
        <v>7377</v>
      </c>
      <c r="AM1584" s="2">
        <v>0</v>
      </c>
      <c r="AN1584" s="2">
        <v>0</v>
      </c>
      <c r="AO1584" s="2">
        <v>0</v>
      </c>
      <c r="AP1584" s="2">
        <v>1</v>
      </c>
      <c r="AQ1584" s="2">
        <v>0</v>
      </c>
      <c r="AR1584" s="2">
        <v>0</v>
      </c>
      <c r="AS1584" s="2">
        <v>0</v>
      </c>
      <c r="AT1584" s="2">
        <v>0</v>
      </c>
      <c r="BB1584" s="2" t="str">
        <f>+PROPER(BD[[#This Row],[PRIMER_APELLIDO]])</f>
        <v>Salazar</v>
      </c>
    </row>
    <row r="1585" spans="1:54" x14ac:dyDescent="0.25">
      <c r="A1585" s="2">
        <v>1584</v>
      </c>
      <c r="B1585" s="2">
        <v>20687</v>
      </c>
      <c r="C1585" s="5" t="s">
        <v>619</v>
      </c>
      <c r="D1585" s="2" t="s">
        <v>620</v>
      </c>
      <c r="E1585" s="6" t="s">
        <v>9498</v>
      </c>
      <c r="F1585" s="6">
        <v>17076678</v>
      </c>
      <c r="G1585" s="3">
        <v>43</v>
      </c>
      <c r="I1585" s="7"/>
      <c r="J1585" s="7"/>
      <c r="K1585" s="8">
        <v>43.386301369863013</v>
      </c>
      <c r="L1585" s="2" t="s">
        <v>975</v>
      </c>
      <c r="M1585" s="2" t="s">
        <v>1554</v>
      </c>
      <c r="N1585" s="2" t="s">
        <v>287</v>
      </c>
      <c r="O1585" s="2" t="s">
        <v>9499</v>
      </c>
      <c r="P1585" s="2" t="s">
        <v>649</v>
      </c>
      <c r="Q1585" s="2" t="s">
        <v>351</v>
      </c>
      <c r="R1585" s="9">
        <v>28960</v>
      </c>
      <c r="S1585" s="9">
        <v>28960</v>
      </c>
      <c r="T1585" s="2" t="s">
        <v>627</v>
      </c>
      <c r="U1585" s="2" t="s">
        <v>627</v>
      </c>
      <c r="V1585" s="2" t="s">
        <v>627</v>
      </c>
      <c r="W1585" s="2" t="s">
        <v>627</v>
      </c>
      <c r="X1585" s="2" t="s">
        <v>9500</v>
      </c>
      <c r="Y1585" s="2" t="s">
        <v>9501</v>
      </c>
      <c r="Z1585" s="6">
        <v>89227508</v>
      </c>
      <c r="AA1585" s="2">
        <v>22681975</v>
      </c>
      <c r="AB1585" s="2" t="s">
        <v>654</v>
      </c>
      <c r="AC1585" s="2" t="s">
        <v>632</v>
      </c>
      <c r="AD1585" s="10">
        <v>89227508</v>
      </c>
      <c r="AE1585" s="11"/>
      <c r="AF1585" s="11"/>
      <c r="AG1585" s="11"/>
      <c r="AH1585" s="11"/>
      <c r="AI1585" s="11"/>
      <c r="AJ1585" s="11">
        <v>89227508</v>
      </c>
      <c r="AK1585" s="12">
        <v>2</v>
      </c>
      <c r="AL1585" s="12" t="s">
        <v>7377</v>
      </c>
      <c r="AM1585" s="2">
        <v>0</v>
      </c>
      <c r="AN1585" s="2">
        <v>0</v>
      </c>
      <c r="AO1585" s="2">
        <v>0</v>
      </c>
      <c r="AP1585" s="2">
        <v>1</v>
      </c>
      <c r="AQ1585" s="2">
        <v>0</v>
      </c>
      <c r="AR1585" s="2">
        <v>0</v>
      </c>
      <c r="AS1585" s="2">
        <v>0</v>
      </c>
      <c r="AT1585" s="2">
        <v>0</v>
      </c>
      <c r="AZ1585" s="2" t="s">
        <v>9502</v>
      </c>
      <c r="BB1585" s="2" t="str">
        <f>+PROPER(BD[[#This Row],[PRIMER_APELLIDO]])</f>
        <v>Bravo</v>
      </c>
    </row>
    <row r="1586" spans="1:54" x14ac:dyDescent="0.25">
      <c r="A1586" s="2">
        <v>1585</v>
      </c>
      <c r="B1586" s="2">
        <v>20590</v>
      </c>
      <c r="C1586" s="5" t="s">
        <v>619</v>
      </c>
      <c r="D1586" s="2" t="s">
        <v>620</v>
      </c>
      <c r="E1586" s="6" t="s">
        <v>9503</v>
      </c>
      <c r="F1586" s="6">
        <v>17590471</v>
      </c>
      <c r="G1586" s="3">
        <v>43</v>
      </c>
      <c r="I1586" s="7"/>
      <c r="J1586" s="7"/>
      <c r="K1586" s="8">
        <v>43.391780821917806</v>
      </c>
      <c r="L1586" s="2" t="s">
        <v>9504</v>
      </c>
      <c r="M1586" s="2" t="s">
        <v>1554</v>
      </c>
      <c r="N1586" s="2" t="s">
        <v>280</v>
      </c>
      <c r="O1586" s="2" t="s">
        <v>8796</v>
      </c>
      <c r="P1586" s="2" t="s">
        <v>649</v>
      </c>
      <c r="Q1586" s="2" t="s">
        <v>351</v>
      </c>
      <c r="R1586" s="9">
        <v>28958</v>
      </c>
      <c r="S1586" s="9">
        <v>28958</v>
      </c>
      <c r="U1586" s="2" t="s">
        <v>929</v>
      </c>
      <c r="W1586" s="2" t="s">
        <v>1882</v>
      </c>
      <c r="X1586" s="2" t="s">
        <v>9505</v>
      </c>
      <c r="Y1586" s="2" t="s">
        <v>9506</v>
      </c>
      <c r="Z1586" s="6"/>
      <c r="AA1586" s="2" t="s">
        <v>9507</v>
      </c>
      <c r="AB1586" s="2" t="s">
        <v>654</v>
      </c>
      <c r="AC1586" s="2" t="s">
        <v>632</v>
      </c>
      <c r="AD1586" s="10"/>
      <c r="AE1586" s="11"/>
      <c r="AF1586" s="11"/>
      <c r="AG1586" s="11"/>
      <c r="AH1586" s="11">
        <v>25120616</v>
      </c>
      <c r="AI1586" s="11"/>
      <c r="AJ1586" s="11"/>
      <c r="AK1586" s="12">
        <v>3</v>
      </c>
      <c r="AL1586" s="12" t="s">
        <v>7377</v>
      </c>
      <c r="AM1586" s="2">
        <v>0</v>
      </c>
      <c r="AN1586" s="2">
        <v>0</v>
      </c>
      <c r="AO1586" s="2">
        <v>0</v>
      </c>
      <c r="AP1586" s="2">
        <v>1</v>
      </c>
      <c r="AQ1586" s="2">
        <v>0</v>
      </c>
      <c r="AR1586" s="2">
        <v>0</v>
      </c>
      <c r="AS1586" s="2">
        <v>0</v>
      </c>
      <c r="AT1586" s="2">
        <v>0</v>
      </c>
      <c r="BB1586" s="2" t="str">
        <f>+PROPER(BD[[#This Row],[PRIMER_APELLIDO]])</f>
        <v>Sevilla</v>
      </c>
    </row>
    <row r="1587" spans="1:54" x14ac:dyDescent="0.25">
      <c r="A1587" s="2">
        <v>1586</v>
      </c>
      <c r="B1587" s="2">
        <v>25942</v>
      </c>
      <c r="C1587" s="5" t="s">
        <v>619</v>
      </c>
      <c r="D1587" s="2" t="s">
        <v>620</v>
      </c>
      <c r="E1587" s="6" t="s">
        <v>9508</v>
      </c>
      <c r="F1587" s="6">
        <v>21594979</v>
      </c>
      <c r="G1587" s="3">
        <v>43</v>
      </c>
      <c r="I1587" s="7"/>
      <c r="J1587" s="7"/>
      <c r="K1587" s="8">
        <v>43.4</v>
      </c>
      <c r="L1587" s="2" t="s">
        <v>9509</v>
      </c>
      <c r="M1587" s="2" t="s">
        <v>648</v>
      </c>
      <c r="N1587" s="2" t="s">
        <v>528</v>
      </c>
      <c r="O1587" s="2" t="s">
        <v>116</v>
      </c>
      <c r="P1587" s="2" t="s">
        <v>649</v>
      </c>
      <c r="Q1587" s="2" t="s">
        <v>351</v>
      </c>
      <c r="R1587" s="9">
        <v>28955</v>
      </c>
      <c r="S1587" s="9">
        <v>28955</v>
      </c>
      <c r="T1587" s="2" t="s">
        <v>691</v>
      </c>
      <c r="U1587" s="2" t="s">
        <v>691</v>
      </c>
      <c r="V1587" s="2" t="s">
        <v>716</v>
      </c>
      <c r="W1587" s="2" t="s">
        <v>691</v>
      </c>
      <c r="X1587" s="2" t="s">
        <v>9510</v>
      </c>
      <c r="Y1587" s="2" t="s">
        <v>9511</v>
      </c>
      <c r="Z1587" s="6">
        <v>83324409</v>
      </c>
      <c r="AA1587" s="2" t="s">
        <v>9512</v>
      </c>
      <c r="AB1587" s="2" t="s">
        <v>798</v>
      </c>
      <c r="AC1587" s="2" t="s">
        <v>632</v>
      </c>
      <c r="AD1587" s="10">
        <v>83324409</v>
      </c>
      <c r="AE1587" s="11"/>
      <c r="AF1587" s="11"/>
      <c r="AG1587" s="11">
        <v>89101945</v>
      </c>
      <c r="AH1587" s="11"/>
      <c r="AI1587" s="11"/>
      <c r="AJ1587" s="11">
        <v>83324409</v>
      </c>
      <c r="AK1587" s="12">
        <v>3</v>
      </c>
      <c r="AL1587" s="12" t="s">
        <v>7377</v>
      </c>
      <c r="AM1587" s="2">
        <v>0</v>
      </c>
      <c r="AN1587" s="2">
        <v>0</v>
      </c>
      <c r="AO1587" s="2">
        <v>0</v>
      </c>
      <c r="AP1587" s="2">
        <v>1</v>
      </c>
      <c r="AQ1587" s="2">
        <v>0</v>
      </c>
      <c r="AR1587" s="2">
        <v>0</v>
      </c>
      <c r="AS1587" s="2">
        <v>0</v>
      </c>
      <c r="AT1587" s="2">
        <v>0</v>
      </c>
      <c r="AZ1587" s="2" t="s">
        <v>9513</v>
      </c>
      <c r="BB1587" s="2" t="str">
        <f>+PROPER(BD[[#This Row],[PRIMER_APELLIDO]])</f>
        <v>Florian</v>
      </c>
    </row>
    <row r="1588" spans="1:54" x14ac:dyDescent="0.25">
      <c r="A1588" s="2">
        <v>1587</v>
      </c>
      <c r="B1588" s="2">
        <v>23068</v>
      </c>
      <c r="C1588" s="5" t="s">
        <v>619</v>
      </c>
      <c r="D1588" s="2" t="s">
        <v>620</v>
      </c>
      <c r="E1588" s="6" t="s">
        <v>9514</v>
      </c>
      <c r="F1588" s="6"/>
      <c r="G1588" s="3">
        <v>43</v>
      </c>
      <c r="I1588" s="7"/>
      <c r="J1588" s="7"/>
      <c r="K1588" s="8">
        <v>43.413698630136984</v>
      </c>
      <c r="L1588" s="2" t="s">
        <v>4465</v>
      </c>
      <c r="M1588" s="2" t="s">
        <v>1554</v>
      </c>
      <c r="N1588" s="2" t="s">
        <v>11</v>
      </c>
      <c r="O1588" s="2" t="s">
        <v>199</v>
      </c>
      <c r="P1588" s="2" t="s">
        <v>649</v>
      </c>
      <c r="Q1588" s="2" t="s">
        <v>351</v>
      </c>
      <c r="R1588" s="9">
        <v>28950</v>
      </c>
      <c r="S1588" s="9">
        <v>28950</v>
      </c>
      <c r="T1588" s="2" t="s">
        <v>176</v>
      </c>
      <c r="U1588" s="2" t="s">
        <v>691</v>
      </c>
      <c r="V1588" s="2" t="s">
        <v>650</v>
      </c>
      <c r="W1588" s="2" t="s">
        <v>691</v>
      </c>
      <c r="X1588" s="2" t="s">
        <v>9515</v>
      </c>
      <c r="Y1588" s="2" t="s">
        <v>9516</v>
      </c>
      <c r="Z1588" s="6">
        <v>85324553</v>
      </c>
      <c r="AA1588" s="2">
        <v>85324553</v>
      </c>
      <c r="AB1588" s="2" t="s">
        <v>654</v>
      </c>
      <c r="AC1588" s="2" t="s">
        <v>632</v>
      </c>
      <c r="AD1588" s="10">
        <v>85324553</v>
      </c>
      <c r="AE1588" s="11"/>
      <c r="AF1588" s="11">
        <v>85324553</v>
      </c>
      <c r="AG1588" s="11"/>
      <c r="AH1588" s="11"/>
      <c r="AI1588" s="11"/>
      <c r="AJ1588" s="11">
        <v>85324553</v>
      </c>
      <c r="AK1588" s="12">
        <v>2</v>
      </c>
      <c r="AL1588" s="12" t="s">
        <v>7377</v>
      </c>
      <c r="AM1588" s="2">
        <v>0</v>
      </c>
      <c r="AN1588" s="2">
        <v>0</v>
      </c>
      <c r="AO1588" s="2">
        <v>0</v>
      </c>
      <c r="AP1588" s="2">
        <v>1</v>
      </c>
      <c r="AQ1588" s="2">
        <v>0</v>
      </c>
      <c r="AR1588" s="2">
        <v>0</v>
      </c>
      <c r="AS1588" s="2">
        <v>0</v>
      </c>
      <c r="AT1588" s="2">
        <v>0</v>
      </c>
      <c r="AZ1588" s="2" t="s">
        <v>9517</v>
      </c>
      <c r="BB1588" s="2" t="str">
        <f>+PROPER(BD[[#This Row],[PRIMER_APELLIDO]])</f>
        <v>Hernandez</v>
      </c>
    </row>
    <row r="1589" spans="1:54" x14ac:dyDescent="0.25">
      <c r="A1589" s="2">
        <v>1588</v>
      </c>
      <c r="B1589" s="2">
        <v>18472</v>
      </c>
      <c r="C1589" s="5" t="s">
        <v>619</v>
      </c>
      <c r="D1589" s="2" t="s">
        <v>620</v>
      </c>
      <c r="E1589" s="6" t="s">
        <v>9518</v>
      </c>
      <c r="F1589" s="6">
        <v>16503780</v>
      </c>
      <c r="G1589" s="3">
        <v>43</v>
      </c>
      <c r="I1589" s="7"/>
      <c r="J1589" s="7"/>
      <c r="K1589" s="8">
        <v>43.421917808219177</v>
      </c>
      <c r="L1589" s="2" t="s">
        <v>9519</v>
      </c>
      <c r="M1589" s="2" t="s">
        <v>9520</v>
      </c>
      <c r="N1589" s="2" t="s">
        <v>38</v>
      </c>
      <c r="O1589" s="2" t="s">
        <v>58</v>
      </c>
      <c r="P1589" s="2" t="s">
        <v>626</v>
      </c>
      <c r="Q1589" s="2" t="s">
        <v>351</v>
      </c>
      <c r="R1589" s="9">
        <v>28947</v>
      </c>
      <c r="S1589" s="9">
        <v>28947</v>
      </c>
      <c r="U1589" s="2" t="s">
        <v>705</v>
      </c>
      <c r="W1589" s="2" t="s">
        <v>705</v>
      </c>
      <c r="X1589" s="2" t="s">
        <v>9521</v>
      </c>
      <c r="Y1589" s="2" t="s">
        <v>9522</v>
      </c>
      <c r="Z1589" s="6"/>
      <c r="AA1589" s="2" t="s">
        <v>9523</v>
      </c>
      <c r="AB1589" s="2" t="s">
        <v>642</v>
      </c>
      <c r="AC1589" s="2" t="s">
        <v>632</v>
      </c>
      <c r="AD1589" s="10"/>
      <c r="AE1589" s="11"/>
      <c r="AF1589" s="11"/>
      <c r="AG1589" s="11">
        <v>78195215</v>
      </c>
      <c r="AH1589" s="11"/>
      <c r="AI1589" s="11"/>
      <c r="AJ1589" s="11">
        <v>78195215</v>
      </c>
      <c r="AK1589" s="12">
        <v>2</v>
      </c>
      <c r="AL1589" s="12" t="s">
        <v>7377</v>
      </c>
      <c r="AM1589" s="2">
        <v>0</v>
      </c>
      <c r="AN1589" s="2">
        <v>0</v>
      </c>
      <c r="AO1589" s="2">
        <v>0</v>
      </c>
      <c r="AP1589" s="2">
        <v>1</v>
      </c>
      <c r="AQ1589" s="2">
        <v>0</v>
      </c>
      <c r="AR1589" s="2">
        <v>0</v>
      </c>
      <c r="AS1589" s="2">
        <v>0</v>
      </c>
      <c r="AT1589" s="2">
        <v>0</v>
      </c>
      <c r="BB1589" s="2" t="str">
        <f>+PROPER(BD[[#This Row],[PRIMER_APELLIDO]])</f>
        <v>Ramirez</v>
      </c>
    </row>
    <row r="1590" spans="1:54" x14ac:dyDescent="0.25">
      <c r="A1590" s="2">
        <v>1589</v>
      </c>
      <c r="B1590" s="2">
        <v>20228</v>
      </c>
      <c r="C1590" s="5" t="s">
        <v>619</v>
      </c>
      <c r="D1590" s="2" t="s">
        <v>620</v>
      </c>
      <c r="E1590" s="6" t="s">
        <v>9524</v>
      </c>
      <c r="F1590" s="6">
        <v>17596684</v>
      </c>
      <c r="G1590" s="3">
        <v>43</v>
      </c>
      <c r="I1590" s="7"/>
      <c r="J1590" s="7"/>
      <c r="K1590" s="8">
        <v>43.421917808219177</v>
      </c>
      <c r="L1590" s="2" t="s">
        <v>4356</v>
      </c>
      <c r="M1590" s="2" t="s">
        <v>1163</v>
      </c>
      <c r="N1590" s="2" t="s">
        <v>551</v>
      </c>
      <c r="O1590" s="2" t="s">
        <v>225</v>
      </c>
      <c r="P1590" s="2" t="s">
        <v>626</v>
      </c>
      <c r="Q1590" s="2" t="s">
        <v>351</v>
      </c>
      <c r="R1590" s="9">
        <v>28947</v>
      </c>
      <c r="S1590" s="9">
        <v>28947</v>
      </c>
      <c r="U1590" s="2" t="s">
        <v>627</v>
      </c>
      <c r="W1590" s="2" t="s">
        <v>627</v>
      </c>
      <c r="X1590" s="2" t="s">
        <v>9525</v>
      </c>
      <c r="Y1590" s="2" t="s">
        <v>9526</v>
      </c>
      <c r="Z1590" s="6"/>
      <c r="AA1590" s="2">
        <v>87091594</v>
      </c>
      <c r="AB1590" s="2" t="s">
        <v>642</v>
      </c>
      <c r="AC1590" s="2" t="s">
        <v>632</v>
      </c>
      <c r="AD1590" s="10"/>
      <c r="AE1590" s="11"/>
      <c r="AF1590" s="11">
        <v>87091594</v>
      </c>
      <c r="AG1590" s="11"/>
      <c r="AH1590" s="11"/>
      <c r="AI1590" s="11"/>
      <c r="AJ1590" s="11">
        <v>87091594</v>
      </c>
      <c r="AK1590" s="12">
        <v>1</v>
      </c>
      <c r="AL1590" s="12" t="s">
        <v>7377</v>
      </c>
      <c r="AM1590" s="2">
        <v>0</v>
      </c>
      <c r="AN1590" s="2">
        <v>0</v>
      </c>
      <c r="AO1590" s="2">
        <v>0</v>
      </c>
      <c r="AP1590" s="2">
        <v>1</v>
      </c>
      <c r="AQ1590" s="2">
        <v>0</v>
      </c>
      <c r="AR1590" s="2">
        <v>0</v>
      </c>
      <c r="AS1590" s="2">
        <v>0</v>
      </c>
      <c r="AT1590" s="2">
        <v>0</v>
      </c>
      <c r="BB1590" s="2" t="str">
        <f>+PROPER(BD[[#This Row],[PRIMER_APELLIDO]])</f>
        <v>Maltez</v>
      </c>
    </row>
    <row r="1591" spans="1:54" x14ac:dyDescent="0.25">
      <c r="A1591" s="2">
        <v>1590</v>
      </c>
      <c r="B1591" s="2">
        <v>15937</v>
      </c>
      <c r="C1591" s="5" t="s">
        <v>619</v>
      </c>
      <c r="D1591" s="2" t="s">
        <v>620</v>
      </c>
      <c r="E1591" s="6" t="s">
        <v>9527</v>
      </c>
      <c r="F1591" s="6">
        <v>15793081</v>
      </c>
      <c r="G1591" s="3">
        <v>43</v>
      </c>
      <c r="I1591" s="7"/>
      <c r="J1591" s="7"/>
      <c r="K1591" s="8">
        <v>43.43013698630137</v>
      </c>
      <c r="L1591" s="2" t="s">
        <v>1961</v>
      </c>
      <c r="M1591" s="2" t="s">
        <v>1746</v>
      </c>
      <c r="N1591" s="2" t="s">
        <v>552</v>
      </c>
      <c r="O1591" s="2" t="s">
        <v>98</v>
      </c>
      <c r="P1591" s="2" t="s">
        <v>626</v>
      </c>
      <c r="Q1591" s="2" t="s">
        <v>351</v>
      </c>
      <c r="R1591" s="9">
        <v>28944</v>
      </c>
      <c r="S1591" s="9">
        <v>28944</v>
      </c>
      <c r="T1591" s="2" t="s">
        <v>627</v>
      </c>
      <c r="U1591" s="2" t="s">
        <v>627</v>
      </c>
      <c r="V1591" s="2" t="s">
        <v>627</v>
      </c>
      <c r="W1591" s="2" t="s">
        <v>627</v>
      </c>
      <c r="X1591" s="2" t="s">
        <v>9528</v>
      </c>
      <c r="Y1591" s="2" t="s">
        <v>9529</v>
      </c>
      <c r="Z1591" s="6">
        <v>22785925</v>
      </c>
      <c r="AA1591" s="2" t="s">
        <v>9530</v>
      </c>
      <c r="AB1591" s="2" t="s">
        <v>654</v>
      </c>
      <c r="AC1591" s="2" t="s">
        <v>632</v>
      </c>
      <c r="AD1591" s="10"/>
      <c r="AE1591" s="11"/>
      <c r="AF1591" s="11"/>
      <c r="AG1591" s="11">
        <v>88442867</v>
      </c>
      <c r="AH1591" s="11"/>
      <c r="AI1591" s="11"/>
      <c r="AJ1591" s="11">
        <v>88442867</v>
      </c>
      <c r="AK1591" s="12">
        <v>3</v>
      </c>
      <c r="AL1591" s="12" t="s">
        <v>7377</v>
      </c>
      <c r="AM1591" s="2">
        <v>0</v>
      </c>
      <c r="AN1591" s="2">
        <v>0</v>
      </c>
      <c r="AO1591" s="2">
        <v>0</v>
      </c>
      <c r="AP1591" s="2">
        <v>1</v>
      </c>
      <c r="AQ1591" s="2">
        <v>0</v>
      </c>
      <c r="AR1591" s="2">
        <v>0</v>
      </c>
      <c r="AS1591" s="2">
        <v>0</v>
      </c>
      <c r="AT1591" s="2">
        <v>0</v>
      </c>
      <c r="AZ1591" s="2" t="s">
        <v>9531</v>
      </c>
      <c r="BB1591" s="2" t="str">
        <f>+PROPER(BD[[#This Row],[PRIMER_APELLIDO]])</f>
        <v>Triguero</v>
      </c>
    </row>
    <row r="1592" spans="1:54" x14ac:dyDescent="0.25">
      <c r="A1592" s="2">
        <v>1591</v>
      </c>
      <c r="B1592" s="2">
        <v>24336</v>
      </c>
      <c r="C1592" s="5" t="s">
        <v>619</v>
      </c>
      <c r="D1592" s="2" t="s">
        <v>620</v>
      </c>
      <c r="E1592" s="6" t="s">
        <v>9532</v>
      </c>
      <c r="F1592" s="6">
        <v>20688828</v>
      </c>
      <c r="G1592" s="3">
        <v>43</v>
      </c>
      <c r="I1592" s="7"/>
      <c r="J1592" s="7"/>
      <c r="K1592" s="8">
        <v>43.465753424657535</v>
      </c>
      <c r="L1592" s="2" t="s">
        <v>793</v>
      </c>
      <c r="M1592" s="2" t="s">
        <v>243</v>
      </c>
      <c r="N1592" s="2" t="s">
        <v>282</v>
      </c>
      <c r="O1592" s="2" t="s">
        <v>271</v>
      </c>
      <c r="P1592" s="2" t="s">
        <v>649</v>
      </c>
      <c r="Q1592" s="2" t="s">
        <v>351</v>
      </c>
      <c r="R1592" s="9">
        <v>28931</v>
      </c>
      <c r="S1592" s="9">
        <v>28931</v>
      </c>
      <c r="U1592" s="2" t="s">
        <v>1104</v>
      </c>
      <c r="W1592" s="2" t="s">
        <v>1104</v>
      </c>
      <c r="Y1592" s="2" t="s">
        <v>9533</v>
      </c>
      <c r="Z1592" s="6"/>
      <c r="AA1592" s="2" t="s">
        <v>9534</v>
      </c>
      <c r="AB1592" s="2" t="s">
        <v>654</v>
      </c>
      <c r="AC1592" s="2" t="s">
        <v>632</v>
      </c>
      <c r="AD1592" s="10"/>
      <c r="AE1592" s="11"/>
      <c r="AF1592" s="11"/>
      <c r="AG1592" s="11"/>
      <c r="AH1592" s="11">
        <v>84976677</v>
      </c>
      <c r="AI1592" s="11"/>
      <c r="AJ1592" s="11"/>
      <c r="AK1592" s="12">
        <v>3</v>
      </c>
      <c r="AL1592" s="12" t="s">
        <v>7377</v>
      </c>
      <c r="AM1592" s="2">
        <v>0</v>
      </c>
      <c r="AN1592" s="2">
        <v>0</v>
      </c>
      <c r="AO1592" s="2">
        <v>0</v>
      </c>
      <c r="AP1592" s="2">
        <v>1</v>
      </c>
      <c r="AQ1592" s="2">
        <v>0</v>
      </c>
      <c r="AR1592" s="2">
        <v>0</v>
      </c>
      <c r="AS1592" s="2">
        <v>0</v>
      </c>
      <c r="AT1592" s="2">
        <v>0</v>
      </c>
      <c r="BB1592" s="2" t="str">
        <f>+PROPER(BD[[#This Row],[PRIMER_APELLIDO]])</f>
        <v>Montenegro</v>
      </c>
    </row>
    <row r="1593" spans="1:54" x14ac:dyDescent="0.25">
      <c r="A1593" s="2">
        <v>1592</v>
      </c>
      <c r="B1593" s="2">
        <v>21175</v>
      </c>
      <c r="C1593" s="5" t="s">
        <v>619</v>
      </c>
      <c r="D1593" s="2" t="s">
        <v>620</v>
      </c>
      <c r="E1593" s="6" t="s">
        <v>9535</v>
      </c>
      <c r="F1593" s="6"/>
      <c r="G1593" s="3">
        <v>43</v>
      </c>
      <c r="I1593" s="7"/>
      <c r="J1593" s="7"/>
      <c r="K1593" s="8">
        <v>43.468493150684928</v>
      </c>
      <c r="L1593" s="2" t="s">
        <v>1378</v>
      </c>
      <c r="M1593" s="2" t="s">
        <v>747</v>
      </c>
      <c r="N1593" s="2" t="s">
        <v>396</v>
      </c>
      <c r="O1593" s="2" t="s">
        <v>123</v>
      </c>
      <c r="P1593" s="2" t="s">
        <v>626</v>
      </c>
      <c r="Q1593" s="2" t="s">
        <v>351</v>
      </c>
      <c r="R1593" s="9">
        <v>28930</v>
      </c>
      <c r="S1593" s="9">
        <v>28930</v>
      </c>
      <c r="T1593" s="2" t="s">
        <v>691</v>
      </c>
      <c r="U1593" s="2" t="s">
        <v>691</v>
      </c>
      <c r="V1593" s="2" t="s">
        <v>3571</v>
      </c>
      <c r="W1593" s="2" t="s">
        <v>3571</v>
      </c>
      <c r="X1593" s="2" t="s">
        <v>9536</v>
      </c>
      <c r="Y1593" s="2" t="s">
        <v>9537</v>
      </c>
      <c r="Z1593" s="6">
        <v>88409344</v>
      </c>
      <c r="AA1593" s="2" t="s">
        <v>9538</v>
      </c>
      <c r="AB1593" s="2" t="s">
        <v>642</v>
      </c>
      <c r="AC1593" s="2" t="s">
        <v>632</v>
      </c>
      <c r="AD1593" s="10">
        <v>88409344</v>
      </c>
      <c r="AE1593" s="11"/>
      <c r="AF1593" s="11"/>
      <c r="AG1593" s="11">
        <v>88409344</v>
      </c>
      <c r="AH1593" s="11"/>
      <c r="AI1593" s="11"/>
      <c r="AJ1593" s="11">
        <v>88409344</v>
      </c>
      <c r="AK1593" s="12">
        <v>3</v>
      </c>
      <c r="AL1593" s="12" t="s">
        <v>7377</v>
      </c>
      <c r="AM1593" s="2">
        <v>0</v>
      </c>
      <c r="AN1593" s="2">
        <v>0</v>
      </c>
      <c r="AO1593" s="2">
        <v>0</v>
      </c>
      <c r="AP1593" s="2">
        <v>1</v>
      </c>
      <c r="AQ1593" s="2">
        <v>0</v>
      </c>
      <c r="AR1593" s="2">
        <v>0</v>
      </c>
      <c r="AS1593" s="2">
        <v>0</v>
      </c>
      <c r="AT1593" s="2">
        <v>0</v>
      </c>
      <c r="AZ1593" s="2" t="s">
        <v>9539</v>
      </c>
      <c r="BA1593" s="2" t="s">
        <v>9539</v>
      </c>
      <c r="BB1593" s="2" t="str">
        <f>+PROPER(BD[[#This Row],[PRIMER_APELLIDO]])</f>
        <v>Peralta</v>
      </c>
    </row>
    <row r="1594" spans="1:54" x14ac:dyDescent="0.25">
      <c r="A1594" s="2">
        <v>1593</v>
      </c>
      <c r="B1594" s="2">
        <v>20147</v>
      </c>
      <c r="C1594" s="5" t="s">
        <v>619</v>
      </c>
      <c r="D1594" s="2" t="s">
        <v>620</v>
      </c>
      <c r="E1594" s="6" t="s">
        <v>9540</v>
      </c>
      <c r="F1594" s="6">
        <v>16367755</v>
      </c>
      <c r="G1594" s="3">
        <v>43</v>
      </c>
      <c r="I1594" s="7"/>
      <c r="J1594" s="7"/>
      <c r="K1594" s="8">
        <v>43.471232876712328</v>
      </c>
      <c r="L1594" s="2" t="s">
        <v>2996</v>
      </c>
      <c r="M1594" s="2" t="s">
        <v>904</v>
      </c>
      <c r="N1594" s="2" t="s">
        <v>319</v>
      </c>
      <c r="O1594" s="2" t="s">
        <v>54</v>
      </c>
      <c r="P1594" s="2" t="s">
        <v>649</v>
      </c>
      <c r="Q1594" s="2" t="s">
        <v>351</v>
      </c>
      <c r="R1594" s="9">
        <v>28929</v>
      </c>
      <c r="S1594" s="9">
        <v>28929</v>
      </c>
      <c r="U1594" s="2" t="s">
        <v>732</v>
      </c>
      <c r="W1594" s="2" t="s">
        <v>732</v>
      </c>
      <c r="X1594" s="2" t="s">
        <v>9541</v>
      </c>
      <c r="Y1594" s="2" t="s">
        <v>9542</v>
      </c>
      <c r="Z1594" s="6"/>
      <c r="AA1594" s="2">
        <v>25223646</v>
      </c>
      <c r="AB1594" s="2" t="s">
        <v>654</v>
      </c>
      <c r="AC1594" s="2" t="s">
        <v>632</v>
      </c>
      <c r="AD1594" s="10"/>
      <c r="AE1594" s="11"/>
      <c r="AF1594" s="11"/>
      <c r="AG1594" s="11"/>
      <c r="AH1594" s="11"/>
      <c r="AI1594" s="11"/>
      <c r="AJ1594" s="11"/>
      <c r="AK1594" s="12">
        <v>1</v>
      </c>
      <c r="AL1594" s="12" t="s">
        <v>7377</v>
      </c>
      <c r="AM1594" s="2">
        <v>0</v>
      </c>
      <c r="AN1594" s="2">
        <v>0</v>
      </c>
      <c r="AO1594" s="2">
        <v>0</v>
      </c>
      <c r="AP1594" s="2">
        <v>1</v>
      </c>
      <c r="AQ1594" s="2">
        <v>0</v>
      </c>
      <c r="AR1594" s="2">
        <v>0</v>
      </c>
      <c r="AS1594" s="2">
        <v>0</v>
      </c>
      <c r="AT1594" s="2">
        <v>0</v>
      </c>
      <c r="BB1594" s="2" t="str">
        <f>+PROPER(BD[[#This Row],[PRIMER_APELLIDO]])</f>
        <v>Mena</v>
      </c>
    </row>
    <row r="1595" spans="1:54" x14ac:dyDescent="0.25">
      <c r="A1595" s="2">
        <v>1594</v>
      </c>
      <c r="B1595" s="2">
        <v>18224</v>
      </c>
      <c r="C1595" s="5" t="s">
        <v>619</v>
      </c>
      <c r="D1595" s="2" t="s">
        <v>620</v>
      </c>
      <c r="E1595" s="6" t="s">
        <v>9543</v>
      </c>
      <c r="F1595" s="6">
        <v>16801462</v>
      </c>
      <c r="G1595" s="3">
        <v>43</v>
      </c>
      <c r="I1595" s="7"/>
      <c r="J1595" s="7"/>
      <c r="K1595" s="8">
        <v>43.473972602739728</v>
      </c>
      <c r="L1595" s="2" t="s">
        <v>1222</v>
      </c>
      <c r="M1595" s="2" t="s">
        <v>648</v>
      </c>
      <c r="N1595" s="2" t="s">
        <v>474</v>
      </c>
      <c r="O1595" s="2" t="s">
        <v>363</v>
      </c>
      <c r="P1595" s="2" t="s">
        <v>649</v>
      </c>
      <c r="Q1595" s="2" t="s">
        <v>351</v>
      </c>
      <c r="R1595" s="9">
        <v>28928</v>
      </c>
      <c r="S1595" s="9">
        <v>28928</v>
      </c>
      <c r="T1595" s="2" t="s">
        <v>176</v>
      </c>
      <c r="U1595" s="2" t="s">
        <v>176</v>
      </c>
      <c r="V1595" s="2" t="s">
        <v>1105</v>
      </c>
      <c r="W1595" s="2" t="s">
        <v>176</v>
      </c>
      <c r="X1595" s="2" t="s">
        <v>9544</v>
      </c>
      <c r="Y1595" s="2" t="s">
        <v>9545</v>
      </c>
      <c r="Z1595" s="6">
        <v>87147156</v>
      </c>
      <c r="AA1595" s="2" t="s">
        <v>9546</v>
      </c>
      <c r="AB1595" s="2" t="s">
        <v>654</v>
      </c>
      <c r="AC1595" s="2" t="s">
        <v>632</v>
      </c>
      <c r="AD1595" s="10">
        <v>87147156</v>
      </c>
      <c r="AE1595" s="11"/>
      <c r="AF1595" s="11"/>
      <c r="AG1595" s="11">
        <v>25830049</v>
      </c>
      <c r="AH1595" s="11">
        <v>89024723</v>
      </c>
      <c r="AI1595" s="11"/>
      <c r="AJ1595" s="11">
        <v>87147156</v>
      </c>
      <c r="AK1595" s="12">
        <v>4</v>
      </c>
      <c r="AL1595" s="12" t="s">
        <v>7377</v>
      </c>
      <c r="AM1595" s="2">
        <v>0</v>
      </c>
      <c r="AN1595" s="2">
        <v>0</v>
      </c>
      <c r="AO1595" s="2">
        <v>0</v>
      </c>
      <c r="AP1595" s="2">
        <v>1</v>
      </c>
      <c r="AQ1595" s="2">
        <v>0</v>
      </c>
      <c r="AR1595" s="2">
        <v>0</v>
      </c>
      <c r="AS1595" s="2">
        <v>0</v>
      </c>
      <c r="AT1595" s="2">
        <v>0</v>
      </c>
      <c r="AZ1595" s="2" t="s">
        <v>9547</v>
      </c>
      <c r="BB1595" s="2" t="str">
        <f>+PROPER(BD[[#This Row],[PRIMER_APELLIDO]])</f>
        <v>Calderon</v>
      </c>
    </row>
    <row r="1596" spans="1:54" x14ac:dyDescent="0.25">
      <c r="A1596" s="2">
        <v>1595</v>
      </c>
      <c r="B1596" s="2">
        <v>29987</v>
      </c>
      <c r="C1596" s="5" t="s">
        <v>619</v>
      </c>
      <c r="D1596" s="2" t="s">
        <v>620</v>
      </c>
      <c r="E1596" s="6" t="s">
        <v>9548</v>
      </c>
      <c r="F1596" s="6">
        <v>21809820</v>
      </c>
      <c r="G1596" s="3">
        <v>43</v>
      </c>
      <c r="I1596" s="7"/>
      <c r="J1596" s="7"/>
      <c r="K1596" s="8">
        <v>43.484931506849314</v>
      </c>
      <c r="L1596" s="2" t="s">
        <v>1554</v>
      </c>
      <c r="M1596" s="2" t="s">
        <v>1103</v>
      </c>
      <c r="N1596" s="2" t="s">
        <v>148</v>
      </c>
      <c r="P1596" s="2" t="s">
        <v>649</v>
      </c>
      <c r="Q1596" s="2" t="s">
        <v>351</v>
      </c>
      <c r="R1596" s="9">
        <v>28924</v>
      </c>
      <c r="S1596" s="9">
        <v>28924</v>
      </c>
      <c r="T1596" s="2" t="s">
        <v>627</v>
      </c>
      <c r="U1596" s="2" t="s">
        <v>627</v>
      </c>
      <c r="V1596" s="2" t="s">
        <v>627</v>
      </c>
      <c r="W1596" s="2" t="s">
        <v>627</v>
      </c>
      <c r="X1596" s="2" t="s">
        <v>9549</v>
      </c>
      <c r="Y1596" s="2" t="s">
        <v>9550</v>
      </c>
      <c r="Z1596" s="6"/>
      <c r="AA1596" s="2" t="s">
        <v>9551</v>
      </c>
      <c r="AB1596" s="2" t="s">
        <v>654</v>
      </c>
      <c r="AC1596" s="2" t="s">
        <v>632</v>
      </c>
      <c r="AD1596" s="10"/>
      <c r="AE1596" s="11"/>
      <c r="AF1596" s="11"/>
      <c r="AG1596" s="11">
        <v>81004944</v>
      </c>
      <c r="AH1596" s="11"/>
      <c r="AI1596" s="11"/>
      <c r="AJ1596" s="11">
        <v>81004944</v>
      </c>
      <c r="AK1596" s="12">
        <v>2</v>
      </c>
      <c r="AL1596" s="12" t="s">
        <v>7377</v>
      </c>
      <c r="AM1596" s="2">
        <v>0</v>
      </c>
      <c r="AN1596" s="2">
        <v>0</v>
      </c>
      <c r="AO1596" s="2">
        <v>0</v>
      </c>
      <c r="AP1596" s="2">
        <v>1</v>
      </c>
      <c r="AQ1596" s="2">
        <v>0</v>
      </c>
      <c r="AR1596" s="2">
        <v>0</v>
      </c>
      <c r="AS1596" s="2">
        <v>0</v>
      </c>
      <c r="AT1596" s="2">
        <v>0</v>
      </c>
      <c r="BB1596" s="2" t="str">
        <f>+PROPER(BD[[#This Row],[PRIMER_APELLIDO]])</f>
        <v>Lacayo</v>
      </c>
    </row>
    <row r="1597" spans="1:54" x14ac:dyDescent="0.25">
      <c r="A1597" s="2">
        <v>1596</v>
      </c>
      <c r="B1597" s="2">
        <v>18463</v>
      </c>
      <c r="C1597" s="5" t="s">
        <v>619</v>
      </c>
      <c r="D1597" s="2" t="s">
        <v>620</v>
      </c>
      <c r="E1597" s="6" t="s">
        <v>9552</v>
      </c>
      <c r="F1597" s="6">
        <v>16494932</v>
      </c>
      <c r="G1597" s="3">
        <v>43</v>
      </c>
      <c r="I1597" s="7"/>
      <c r="J1597" s="7"/>
      <c r="K1597" s="8">
        <v>43.493150684931507</v>
      </c>
      <c r="L1597" s="2" t="s">
        <v>9553</v>
      </c>
      <c r="M1597" s="2" t="s">
        <v>1263</v>
      </c>
      <c r="N1597" s="2" t="s">
        <v>148</v>
      </c>
      <c r="O1597" s="2" t="s">
        <v>28</v>
      </c>
      <c r="P1597" s="2" t="s">
        <v>626</v>
      </c>
      <c r="Q1597" s="2" t="s">
        <v>351</v>
      </c>
      <c r="R1597" s="9">
        <v>28921</v>
      </c>
      <c r="S1597" s="9">
        <v>28921</v>
      </c>
      <c r="T1597" s="2" t="s">
        <v>176</v>
      </c>
      <c r="U1597" s="2" t="s">
        <v>176</v>
      </c>
      <c r="V1597" s="2" t="s">
        <v>650</v>
      </c>
      <c r="W1597" s="2" t="s">
        <v>176</v>
      </c>
      <c r="X1597" s="2" t="s">
        <v>9554</v>
      </c>
      <c r="Y1597" s="2" t="s">
        <v>9555</v>
      </c>
      <c r="Z1597" s="6">
        <v>86002982</v>
      </c>
      <c r="AA1597" s="2">
        <v>23115818</v>
      </c>
      <c r="AB1597" s="2" t="s">
        <v>654</v>
      </c>
      <c r="AC1597" s="2" t="s">
        <v>632</v>
      </c>
      <c r="AD1597" s="10">
        <v>86002982</v>
      </c>
      <c r="AE1597" s="11"/>
      <c r="AF1597" s="11"/>
      <c r="AG1597" s="11"/>
      <c r="AH1597" s="11"/>
      <c r="AI1597" s="11"/>
      <c r="AJ1597" s="11">
        <v>86002982</v>
      </c>
      <c r="AK1597" s="12">
        <v>2</v>
      </c>
      <c r="AL1597" s="12" t="s">
        <v>7377</v>
      </c>
      <c r="AM1597" s="2">
        <v>0</v>
      </c>
      <c r="AN1597" s="2">
        <v>0</v>
      </c>
      <c r="AO1597" s="2">
        <v>0</v>
      </c>
      <c r="AP1597" s="2">
        <v>1</v>
      </c>
      <c r="AQ1597" s="2">
        <v>0</v>
      </c>
      <c r="AR1597" s="2">
        <v>0</v>
      </c>
      <c r="AS1597" s="2">
        <v>0</v>
      </c>
      <c r="AT1597" s="2">
        <v>0</v>
      </c>
      <c r="BB1597" s="2" t="str">
        <f>+PROPER(BD[[#This Row],[PRIMER_APELLIDO]])</f>
        <v>Lacayo</v>
      </c>
    </row>
    <row r="1598" spans="1:54" x14ac:dyDescent="0.25">
      <c r="A1598" s="2">
        <v>1597</v>
      </c>
      <c r="B1598" s="2">
        <v>20021</v>
      </c>
      <c r="C1598" s="5" t="s">
        <v>619</v>
      </c>
      <c r="D1598" s="2" t="s">
        <v>620</v>
      </c>
      <c r="E1598" s="6" t="s">
        <v>9556</v>
      </c>
      <c r="F1598" s="6">
        <v>17238661</v>
      </c>
      <c r="G1598" s="3">
        <v>43</v>
      </c>
      <c r="I1598" s="7"/>
      <c r="J1598" s="7"/>
      <c r="K1598" s="8">
        <v>43.5013698630137</v>
      </c>
      <c r="L1598" s="2" t="s">
        <v>3095</v>
      </c>
      <c r="M1598" s="2" t="s">
        <v>787</v>
      </c>
      <c r="N1598" s="2" t="s">
        <v>264</v>
      </c>
      <c r="O1598" s="2" t="s">
        <v>179</v>
      </c>
      <c r="P1598" s="2" t="s">
        <v>626</v>
      </c>
      <c r="Q1598" s="2" t="s">
        <v>351</v>
      </c>
      <c r="R1598" s="9">
        <v>28918</v>
      </c>
      <c r="S1598" s="9">
        <v>28918</v>
      </c>
      <c r="T1598" s="2" t="s">
        <v>627</v>
      </c>
      <c r="U1598" s="2" t="s">
        <v>627</v>
      </c>
      <c r="V1598" s="2" t="s">
        <v>627</v>
      </c>
      <c r="W1598" s="2" t="s">
        <v>627</v>
      </c>
      <c r="X1598" s="2" t="s">
        <v>9557</v>
      </c>
      <c r="Y1598" s="2" t="s">
        <v>9558</v>
      </c>
      <c r="Z1598" s="6"/>
      <c r="AA1598" s="2">
        <v>22782549</v>
      </c>
      <c r="AB1598" s="2" t="s">
        <v>642</v>
      </c>
      <c r="AC1598" s="2" t="s">
        <v>632</v>
      </c>
      <c r="AD1598" s="10"/>
      <c r="AE1598" s="11"/>
      <c r="AF1598" s="11"/>
      <c r="AG1598" s="11"/>
      <c r="AH1598" s="11"/>
      <c r="AI1598" s="11"/>
      <c r="AJ1598" s="11"/>
      <c r="AK1598" s="12">
        <v>1</v>
      </c>
      <c r="AL1598" s="12" t="s">
        <v>7377</v>
      </c>
      <c r="AM1598" s="2">
        <v>0</v>
      </c>
      <c r="AN1598" s="2">
        <v>0</v>
      </c>
      <c r="AO1598" s="2">
        <v>0</v>
      </c>
      <c r="AP1598" s="2">
        <v>1</v>
      </c>
      <c r="AQ1598" s="2">
        <v>0</v>
      </c>
      <c r="AR1598" s="2">
        <v>0</v>
      </c>
      <c r="AS1598" s="2">
        <v>0</v>
      </c>
      <c r="AT1598" s="2">
        <v>0</v>
      </c>
      <c r="BB1598" s="2" t="str">
        <f>+PROPER(BD[[#This Row],[PRIMER_APELLIDO]])</f>
        <v>Zepeda</v>
      </c>
    </row>
    <row r="1599" spans="1:54" x14ac:dyDescent="0.25">
      <c r="A1599" s="2">
        <v>1598</v>
      </c>
      <c r="B1599" s="2">
        <v>27683</v>
      </c>
      <c r="C1599" s="5" t="s">
        <v>619</v>
      </c>
      <c r="D1599" s="2" t="s">
        <v>620</v>
      </c>
      <c r="E1599" s="6" t="s">
        <v>9559</v>
      </c>
      <c r="F1599" s="6">
        <v>23336632</v>
      </c>
      <c r="G1599" s="3">
        <v>43</v>
      </c>
      <c r="I1599" s="7"/>
      <c r="J1599" s="7"/>
      <c r="K1599" s="8">
        <v>43.5013698630137</v>
      </c>
      <c r="L1599" s="2" t="s">
        <v>724</v>
      </c>
      <c r="M1599" s="2" t="s">
        <v>683</v>
      </c>
      <c r="N1599" s="2" t="s">
        <v>455</v>
      </c>
      <c r="O1599" s="2" t="s">
        <v>24</v>
      </c>
      <c r="P1599" s="2" t="s">
        <v>626</v>
      </c>
      <c r="Q1599" s="2" t="s">
        <v>351</v>
      </c>
      <c r="R1599" s="9">
        <v>28918</v>
      </c>
      <c r="S1599" s="9">
        <v>28918</v>
      </c>
      <c r="T1599" s="2" t="s">
        <v>176</v>
      </c>
      <c r="U1599" s="2" t="s">
        <v>176</v>
      </c>
      <c r="V1599" s="2" t="s">
        <v>650</v>
      </c>
      <c r="W1599" s="2" t="s">
        <v>176</v>
      </c>
      <c r="X1599" s="2" t="s">
        <v>9560</v>
      </c>
      <c r="Y1599" s="2" t="s">
        <v>9561</v>
      </c>
      <c r="Z1599" s="6">
        <v>58404008</v>
      </c>
      <c r="AA1599" s="2">
        <v>86907822</v>
      </c>
      <c r="AB1599" s="2" t="s">
        <v>654</v>
      </c>
      <c r="AC1599" s="2" t="s">
        <v>632</v>
      </c>
      <c r="AD1599" s="10">
        <v>58404008</v>
      </c>
      <c r="AE1599" s="11"/>
      <c r="AF1599" s="11">
        <v>86907822</v>
      </c>
      <c r="AG1599" s="11"/>
      <c r="AH1599" s="11"/>
      <c r="AI1599" s="11"/>
      <c r="AJ1599" s="11">
        <v>58404008</v>
      </c>
      <c r="AK1599" s="12">
        <v>2</v>
      </c>
      <c r="AL1599" s="12" t="s">
        <v>7377</v>
      </c>
      <c r="AM1599" s="2">
        <v>0</v>
      </c>
      <c r="AN1599" s="2">
        <v>0</v>
      </c>
      <c r="AO1599" s="2">
        <v>0</v>
      </c>
      <c r="AP1599" s="2">
        <v>1</v>
      </c>
      <c r="AQ1599" s="2">
        <v>0</v>
      </c>
      <c r="AR1599" s="2">
        <v>0</v>
      </c>
      <c r="AS1599" s="2">
        <v>0</v>
      </c>
      <c r="AT1599" s="2">
        <v>0</v>
      </c>
      <c r="BB1599" s="2" t="str">
        <f>+PROPER(BD[[#This Row],[PRIMER_APELLIDO]])</f>
        <v>Pacheco</v>
      </c>
    </row>
    <row r="1600" spans="1:54" x14ac:dyDescent="0.25">
      <c r="A1600" s="2">
        <v>1599</v>
      </c>
      <c r="B1600" s="2">
        <v>17346</v>
      </c>
      <c r="C1600" s="5" t="s">
        <v>619</v>
      </c>
      <c r="D1600" s="2" t="s">
        <v>620</v>
      </c>
      <c r="E1600" s="6" t="s">
        <v>9562</v>
      </c>
      <c r="F1600" s="6">
        <v>16084238</v>
      </c>
      <c r="G1600" s="3">
        <v>43</v>
      </c>
      <c r="I1600" s="7"/>
      <c r="J1600" s="7"/>
      <c r="K1600" s="8">
        <v>43.515068493150686</v>
      </c>
      <c r="L1600" s="2" t="s">
        <v>860</v>
      </c>
      <c r="M1600" s="2" t="s">
        <v>9563</v>
      </c>
      <c r="N1600" s="2" t="s">
        <v>462</v>
      </c>
      <c r="O1600" s="2" t="s">
        <v>11</v>
      </c>
      <c r="P1600" s="2" t="s">
        <v>626</v>
      </c>
      <c r="Q1600" s="2" t="s">
        <v>351</v>
      </c>
      <c r="R1600" s="9">
        <v>28913</v>
      </c>
      <c r="S1600" s="9">
        <v>28913</v>
      </c>
      <c r="T1600" s="2" t="s">
        <v>705</v>
      </c>
      <c r="U1600" s="2" t="s">
        <v>705</v>
      </c>
      <c r="V1600" s="2" t="s">
        <v>705</v>
      </c>
      <c r="W1600" s="2" t="s">
        <v>705</v>
      </c>
      <c r="X1600" s="2" t="s">
        <v>9564</v>
      </c>
      <c r="Y1600" s="2" t="s">
        <v>9565</v>
      </c>
      <c r="Z1600" s="6">
        <v>81022800</v>
      </c>
      <c r="AA1600" s="2" t="s">
        <v>9566</v>
      </c>
      <c r="AB1600" s="2" t="s">
        <v>642</v>
      </c>
      <c r="AC1600" s="2" t="s">
        <v>632</v>
      </c>
      <c r="AD1600" s="10">
        <v>81022800</v>
      </c>
      <c r="AE1600" s="11"/>
      <c r="AF1600" s="11"/>
      <c r="AG1600" s="11"/>
      <c r="AH1600" s="11"/>
      <c r="AI1600" s="11"/>
      <c r="AJ1600" s="11">
        <v>81022800</v>
      </c>
      <c r="AK1600" s="12">
        <v>3</v>
      </c>
      <c r="AL1600" s="12" t="s">
        <v>7377</v>
      </c>
      <c r="AM1600" s="2">
        <v>0</v>
      </c>
      <c r="AN1600" s="2">
        <v>0</v>
      </c>
      <c r="AO1600" s="2">
        <v>0</v>
      </c>
      <c r="AP1600" s="2">
        <v>1</v>
      </c>
      <c r="AQ1600" s="2">
        <v>0</v>
      </c>
      <c r="AR1600" s="2">
        <v>0</v>
      </c>
      <c r="AS1600" s="2">
        <v>0</v>
      </c>
      <c r="AT1600" s="2">
        <v>0</v>
      </c>
      <c r="AZ1600" s="2" t="s">
        <v>9567</v>
      </c>
      <c r="BB1600" s="2" t="str">
        <f>+PROPER(BD[[#This Row],[PRIMER_APELLIDO]])</f>
        <v>Aviles</v>
      </c>
    </row>
    <row r="1601" spans="1:54" x14ac:dyDescent="0.25">
      <c r="A1601" s="2">
        <v>1600</v>
      </c>
      <c r="B1601" s="2">
        <v>18036</v>
      </c>
      <c r="C1601" s="5" t="s">
        <v>619</v>
      </c>
      <c r="D1601" s="2" t="s">
        <v>620</v>
      </c>
      <c r="E1601" s="6" t="s">
        <v>9568</v>
      </c>
      <c r="F1601" s="6">
        <v>27538953</v>
      </c>
      <c r="G1601" s="3">
        <v>43</v>
      </c>
      <c r="I1601" s="7"/>
      <c r="J1601" s="7"/>
      <c r="K1601" s="8">
        <v>43.517808219178079</v>
      </c>
      <c r="L1601" s="2" t="s">
        <v>746</v>
      </c>
      <c r="M1601" s="2" t="s">
        <v>3713</v>
      </c>
      <c r="N1601" s="2" t="s">
        <v>454</v>
      </c>
      <c r="O1601" s="2" t="s">
        <v>261</v>
      </c>
      <c r="P1601" s="2" t="s">
        <v>626</v>
      </c>
      <c r="Q1601" s="2" t="s">
        <v>351</v>
      </c>
      <c r="R1601" s="9">
        <v>28912</v>
      </c>
      <c r="S1601" s="9">
        <v>28912</v>
      </c>
      <c r="T1601" s="2" t="s">
        <v>176</v>
      </c>
      <c r="U1601" s="2" t="s">
        <v>176</v>
      </c>
      <c r="V1601" s="2" t="s">
        <v>650</v>
      </c>
      <c r="W1601" s="2" t="s">
        <v>176</v>
      </c>
      <c r="X1601" s="2" t="s">
        <v>9569</v>
      </c>
      <c r="Y1601" s="2" t="s">
        <v>9570</v>
      </c>
      <c r="Z1601" s="6"/>
      <c r="AA1601" s="2" t="s">
        <v>9571</v>
      </c>
      <c r="AB1601" s="2" t="s">
        <v>642</v>
      </c>
      <c r="AC1601" s="2" t="s">
        <v>632</v>
      </c>
      <c r="AD1601" s="10"/>
      <c r="AE1601" s="11"/>
      <c r="AF1601" s="11"/>
      <c r="AG1601" s="11">
        <v>83881745</v>
      </c>
      <c r="AH1601" s="11"/>
      <c r="AI1601" s="11"/>
      <c r="AJ1601" s="11">
        <v>83881745</v>
      </c>
      <c r="AK1601" s="12">
        <v>2</v>
      </c>
      <c r="AL1601" s="12" t="s">
        <v>7377</v>
      </c>
      <c r="AM1601" s="2">
        <v>0</v>
      </c>
      <c r="AN1601" s="2">
        <v>0</v>
      </c>
      <c r="AO1601" s="2">
        <v>0</v>
      </c>
      <c r="AP1601" s="2">
        <v>1</v>
      </c>
      <c r="AQ1601" s="2">
        <v>0</v>
      </c>
      <c r="AR1601" s="2">
        <v>0</v>
      </c>
      <c r="AS1601" s="2">
        <v>0</v>
      </c>
      <c r="AT1601" s="2">
        <v>0</v>
      </c>
      <c r="BA1601" s="2" t="s">
        <v>9572</v>
      </c>
      <c r="BB1601" s="2" t="str">
        <f>+PROPER(BD[[#This Row],[PRIMER_APELLIDO]])</f>
        <v>Bustillo</v>
      </c>
    </row>
    <row r="1602" spans="1:54" x14ac:dyDescent="0.25">
      <c r="A1602" s="2">
        <v>1601</v>
      </c>
      <c r="B1602" s="2">
        <v>24745</v>
      </c>
      <c r="C1602" s="5" t="s">
        <v>619</v>
      </c>
      <c r="D1602" s="2" t="s">
        <v>620</v>
      </c>
      <c r="E1602" s="6" t="s">
        <v>9573</v>
      </c>
      <c r="F1602" s="6">
        <v>19860091</v>
      </c>
      <c r="G1602" s="3">
        <v>43</v>
      </c>
      <c r="I1602" s="7"/>
      <c r="J1602" s="7"/>
      <c r="K1602" s="8">
        <v>43.520547945205479</v>
      </c>
      <c r="L1602" s="2" t="s">
        <v>1204</v>
      </c>
      <c r="M1602" s="2" t="s">
        <v>9574</v>
      </c>
      <c r="N1602" s="2" t="s">
        <v>21</v>
      </c>
      <c r="O1602" s="2" t="s">
        <v>21</v>
      </c>
      <c r="P1602" s="2" t="s">
        <v>649</v>
      </c>
      <c r="Q1602" s="2" t="s">
        <v>351</v>
      </c>
      <c r="R1602" s="9">
        <v>28911</v>
      </c>
      <c r="S1602" s="9">
        <v>28911</v>
      </c>
      <c r="T1602" s="2" t="s">
        <v>176</v>
      </c>
      <c r="U1602" s="2" t="s">
        <v>176</v>
      </c>
      <c r="V1602" s="2" t="s">
        <v>650</v>
      </c>
      <c r="W1602" s="2" t="s">
        <v>176</v>
      </c>
      <c r="X1602" s="2" t="s">
        <v>9575</v>
      </c>
      <c r="Y1602" s="2" t="s">
        <v>9576</v>
      </c>
      <c r="Z1602" s="6"/>
      <c r="AA1602" s="2" t="s">
        <v>9577</v>
      </c>
      <c r="AB1602" s="2" t="s">
        <v>654</v>
      </c>
      <c r="AC1602" s="2" t="s">
        <v>632</v>
      </c>
      <c r="AD1602" s="10"/>
      <c r="AE1602" s="11"/>
      <c r="AF1602" s="11">
        <v>89298967</v>
      </c>
      <c r="AG1602" s="11">
        <v>89270952</v>
      </c>
      <c r="AH1602" s="11"/>
      <c r="AI1602" s="11"/>
      <c r="AJ1602" s="11">
        <v>89298967</v>
      </c>
      <c r="AK1602" s="12">
        <v>2</v>
      </c>
      <c r="AL1602" s="12" t="s">
        <v>7377</v>
      </c>
      <c r="AM1602" s="2">
        <v>0</v>
      </c>
      <c r="AN1602" s="2">
        <v>0</v>
      </c>
      <c r="AO1602" s="2">
        <v>0</v>
      </c>
      <c r="AP1602" s="2">
        <v>1</v>
      </c>
      <c r="AQ1602" s="2">
        <v>0</v>
      </c>
      <c r="AR1602" s="2">
        <v>0</v>
      </c>
      <c r="AS1602" s="2">
        <v>0</v>
      </c>
      <c r="AT1602" s="2">
        <v>0</v>
      </c>
      <c r="BB1602" s="2" t="str">
        <f>+PROPER(BD[[#This Row],[PRIMER_APELLIDO]])</f>
        <v>Roque</v>
      </c>
    </row>
    <row r="1603" spans="1:54" x14ac:dyDescent="0.25">
      <c r="A1603" s="2">
        <v>1602</v>
      </c>
      <c r="B1603" s="2">
        <v>17309</v>
      </c>
      <c r="C1603" s="5" t="s">
        <v>619</v>
      </c>
      <c r="D1603" s="2" t="s">
        <v>620</v>
      </c>
      <c r="E1603" s="6" t="s">
        <v>9578</v>
      </c>
      <c r="F1603" s="6"/>
      <c r="G1603" s="3">
        <v>43</v>
      </c>
      <c r="I1603" s="7"/>
      <c r="J1603" s="7"/>
      <c r="K1603" s="8">
        <v>43.528767123287672</v>
      </c>
      <c r="L1603" s="2" t="s">
        <v>4632</v>
      </c>
      <c r="M1603" s="2" t="s">
        <v>724</v>
      </c>
      <c r="N1603" s="2" t="s">
        <v>14</v>
      </c>
      <c r="O1603" s="2" t="s">
        <v>90</v>
      </c>
      <c r="P1603" s="2" t="s">
        <v>626</v>
      </c>
      <c r="Q1603" s="2" t="s">
        <v>351</v>
      </c>
      <c r="R1603" s="9">
        <v>28908</v>
      </c>
      <c r="S1603" s="9">
        <v>28908</v>
      </c>
      <c r="T1603" s="2" t="s">
        <v>732</v>
      </c>
      <c r="U1603" s="2" t="s">
        <v>732</v>
      </c>
      <c r="V1603" s="2" t="s">
        <v>732</v>
      </c>
      <c r="W1603" s="2" t="s">
        <v>732</v>
      </c>
      <c r="X1603" s="2" t="s">
        <v>9579</v>
      </c>
      <c r="Y1603" s="2" t="s">
        <v>9580</v>
      </c>
      <c r="Z1603" s="6">
        <v>88135865</v>
      </c>
      <c r="AA1603" s="2" t="s">
        <v>9581</v>
      </c>
      <c r="AB1603" s="2" t="s">
        <v>654</v>
      </c>
      <c r="AC1603" s="2" t="s">
        <v>632</v>
      </c>
      <c r="AD1603" s="10">
        <v>88135865</v>
      </c>
      <c r="AE1603" s="11"/>
      <c r="AF1603" s="11"/>
      <c r="AG1603" s="11">
        <v>84462519</v>
      </c>
      <c r="AH1603" s="11"/>
      <c r="AI1603" s="11"/>
      <c r="AJ1603" s="11">
        <v>88135865</v>
      </c>
      <c r="AK1603" s="12">
        <v>3</v>
      </c>
      <c r="AL1603" s="12" t="s">
        <v>7377</v>
      </c>
      <c r="AM1603" s="2">
        <v>0</v>
      </c>
      <c r="AN1603" s="2">
        <v>0</v>
      </c>
      <c r="AO1603" s="2">
        <v>0</v>
      </c>
      <c r="AP1603" s="2">
        <v>1</v>
      </c>
      <c r="AQ1603" s="2">
        <v>0</v>
      </c>
      <c r="AR1603" s="2">
        <v>0</v>
      </c>
      <c r="AS1603" s="2">
        <v>0</v>
      </c>
      <c r="AT1603" s="2">
        <v>0</v>
      </c>
      <c r="AZ1603" s="2" t="s">
        <v>9582</v>
      </c>
      <c r="BB1603" s="2" t="str">
        <f>+PROPER(BD[[#This Row],[PRIMER_APELLIDO]])</f>
        <v>Gonzalez</v>
      </c>
    </row>
    <row r="1604" spans="1:54" x14ac:dyDescent="0.25">
      <c r="A1604" s="2">
        <v>1603</v>
      </c>
      <c r="B1604" s="2">
        <v>20030</v>
      </c>
      <c r="C1604" s="5" t="s">
        <v>619</v>
      </c>
      <c r="D1604" s="2" t="s">
        <v>620</v>
      </c>
      <c r="E1604" s="6" t="s">
        <v>9583</v>
      </c>
      <c r="F1604" s="6">
        <v>20932749</v>
      </c>
      <c r="G1604" s="3">
        <v>43</v>
      </c>
      <c r="I1604" s="7"/>
      <c r="J1604" s="7"/>
      <c r="K1604" s="8">
        <v>43.528767123287672</v>
      </c>
      <c r="L1604" s="2" t="s">
        <v>826</v>
      </c>
      <c r="M1604" s="2" t="s">
        <v>953</v>
      </c>
      <c r="N1604" s="2" t="s">
        <v>58</v>
      </c>
      <c r="O1604" s="2" t="s">
        <v>104</v>
      </c>
      <c r="P1604" s="2" t="s">
        <v>649</v>
      </c>
      <c r="Q1604" s="2" t="s">
        <v>351</v>
      </c>
      <c r="R1604" s="9">
        <v>28908</v>
      </c>
      <c r="S1604" s="9">
        <v>28908</v>
      </c>
      <c r="T1604" s="2" t="s">
        <v>669</v>
      </c>
      <c r="U1604" s="2" t="s">
        <v>669</v>
      </c>
      <c r="V1604" s="2" t="s">
        <v>670</v>
      </c>
      <c r="W1604" s="2" t="s">
        <v>670</v>
      </c>
      <c r="X1604" s="2" t="s">
        <v>9584</v>
      </c>
      <c r="Y1604" s="2" t="s">
        <v>9585</v>
      </c>
      <c r="Z1604" s="6"/>
      <c r="AA1604" s="2" t="s">
        <v>9586</v>
      </c>
      <c r="AB1604" s="2" t="s">
        <v>654</v>
      </c>
      <c r="AC1604" s="2" t="s">
        <v>632</v>
      </c>
      <c r="AD1604" s="10"/>
      <c r="AE1604" s="11"/>
      <c r="AF1604" s="11"/>
      <c r="AG1604" s="11"/>
      <c r="AH1604" s="11"/>
      <c r="AI1604" s="11"/>
      <c r="AJ1604" s="11"/>
      <c r="AK1604" s="12">
        <v>2</v>
      </c>
      <c r="AL1604" s="12" t="s">
        <v>7377</v>
      </c>
      <c r="AM1604" s="2">
        <v>0</v>
      </c>
      <c r="AN1604" s="2">
        <v>0</v>
      </c>
      <c r="AO1604" s="2">
        <v>0</v>
      </c>
      <c r="AP1604" s="2">
        <v>1</v>
      </c>
      <c r="AQ1604" s="2">
        <v>0</v>
      </c>
      <c r="AR1604" s="2">
        <v>0</v>
      </c>
      <c r="AS1604" s="2">
        <v>0</v>
      </c>
      <c r="AT1604" s="2">
        <v>0</v>
      </c>
      <c r="BB1604" s="2" t="str">
        <f>+PROPER(BD[[#This Row],[PRIMER_APELLIDO]])</f>
        <v>Flores</v>
      </c>
    </row>
    <row r="1605" spans="1:54" x14ac:dyDescent="0.25">
      <c r="A1605" s="2">
        <v>1604</v>
      </c>
      <c r="B1605" s="2">
        <v>82567</v>
      </c>
      <c r="C1605" s="5" t="s">
        <v>619</v>
      </c>
      <c r="D1605" s="2" t="s">
        <v>620</v>
      </c>
      <c r="E1605" s="6" t="s">
        <v>9587</v>
      </c>
      <c r="F1605" s="6"/>
      <c r="G1605" s="3">
        <v>43</v>
      </c>
      <c r="I1605" s="7"/>
      <c r="J1605" s="7"/>
      <c r="K1605" s="8">
        <v>43.528767123287672</v>
      </c>
      <c r="L1605" s="2" t="s">
        <v>8319</v>
      </c>
      <c r="M1605" s="2" t="s">
        <v>904</v>
      </c>
      <c r="N1605" s="2" t="s">
        <v>235</v>
      </c>
      <c r="O1605" s="2" t="s">
        <v>90</v>
      </c>
      <c r="P1605" s="2" t="s">
        <v>649</v>
      </c>
      <c r="Q1605" s="2" t="s">
        <v>351</v>
      </c>
      <c r="R1605" s="9">
        <v>28908</v>
      </c>
      <c r="S1605" s="9">
        <v>28908</v>
      </c>
      <c r="T1605" s="2" t="s">
        <v>133</v>
      </c>
      <c r="U1605" s="2" t="s">
        <v>133</v>
      </c>
      <c r="V1605" s="2" t="s">
        <v>841</v>
      </c>
      <c r="W1605" s="2" t="s">
        <v>841</v>
      </c>
      <c r="X1605" s="2" t="s">
        <v>9588</v>
      </c>
      <c r="Y1605" s="2" t="s">
        <v>9589</v>
      </c>
      <c r="Z1605" s="6">
        <v>58690729</v>
      </c>
      <c r="AA1605" s="2">
        <v>58690729</v>
      </c>
      <c r="AB1605" s="2" t="s">
        <v>9590</v>
      </c>
      <c r="AC1605" s="2" t="s">
        <v>632</v>
      </c>
      <c r="AD1605" s="10">
        <v>58690729</v>
      </c>
      <c r="AE1605" s="11"/>
      <c r="AF1605" s="11">
        <v>58690729</v>
      </c>
      <c r="AG1605" s="11"/>
      <c r="AH1605" s="11"/>
      <c r="AI1605" s="11"/>
      <c r="AJ1605" s="11">
        <v>58690729</v>
      </c>
      <c r="AK1605" s="12">
        <v>2</v>
      </c>
      <c r="AL1605" s="12" t="s">
        <v>7377</v>
      </c>
      <c r="AM1605" s="2">
        <v>0</v>
      </c>
      <c r="AN1605" s="2">
        <v>0</v>
      </c>
      <c r="AO1605" s="2">
        <v>0</v>
      </c>
      <c r="AP1605" s="2">
        <v>1</v>
      </c>
      <c r="AQ1605" s="2">
        <v>0</v>
      </c>
      <c r="AR1605" s="2">
        <v>0</v>
      </c>
      <c r="AS1605" s="2">
        <v>0</v>
      </c>
      <c r="AT1605" s="2">
        <v>0</v>
      </c>
      <c r="AZ1605" s="2" t="s">
        <v>9591</v>
      </c>
      <c r="BA1605" s="2" t="s">
        <v>9592</v>
      </c>
      <c r="BB1605" s="2" t="str">
        <f>+PROPER(BD[[#This Row],[PRIMER_APELLIDO]])</f>
        <v>Espinoza</v>
      </c>
    </row>
    <row r="1606" spans="1:54" x14ac:dyDescent="0.25">
      <c r="A1606" s="2">
        <v>1605</v>
      </c>
      <c r="B1606" s="2">
        <v>20223</v>
      </c>
      <c r="C1606" s="5" t="s">
        <v>619</v>
      </c>
      <c r="D1606" s="2" t="s">
        <v>620</v>
      </c>
      <c r="E1606" s="6" t="s">
        <v>9593</v>
      </c>
      <c r="F1606" s="6">
        <v>17320430</v>
      </c>
      <c r="G1606" s="3">
        <v>43</v>
      </c>
      <c r="I1606" s="7"/>
      <c r="J1606" s="7"/>
      <c r="K1606" s="8">
        <v>43.531506849315072</v>
      </c>
      <c r="L1606" s="2" t="s">
        <v>9594</v>
      </c>
      <c r="M1606" s="2" t="s">
        <v>1857</v>
      </c>
      <c r="N1606" s="2" t="s">
        <v>29</v>
      </c>
      <c r="O1606" s="2" t="s">
        <v>254</v>
      </c>
      <c r="P1606" s="2" t="s">
        <v>649</v>
      </c>
      <c r="Q1606" s="2" t="s">
        <v>351</v>
      </c>
      <c r="R1606" s="9">
        <v>28907</v>
      </c>
      <c r="S1606" s="9">
        <v>28907</v>
      </c>
      <c r="U1606" s="2" t="s">
        <v>627</v>
      </c>
      <c r="W1606" s="2" t="s">
        <v>627</v>
      </c>
      <c r="X1606" s="2" t="s">
        <v>9595</v>
      </c>
      <c r="Y1606" s="2" t="s">
        <v>9596</v>
      </c>
      <c r="Z1606" s="6"/>
      <c r="AA1606" s="2">
        <v>87257742</v>
      </c>
      <c r="AB1606" s="2" t="s">
        <v>1330</v>
      </c>
      <c r="AC1606" s="2" t="s">
        <v>632</v>
      </c>
      <c r="AD1606" s="10"/>
      <c r="AE1606" s="11"/>
      <c r="AF1606" s="11">
        <v>87257742</v>
      </c>
      <c r="AG1606" s="11"/>
      <c r="AH1606" s="11"/>
      <c r="AI1606" s="11"/>
      <c r="AJ1606" s="11">
        <v>87257742</v>
      </c>
      <c r="AK1606" s="12">
        <v>1</v>
      </c>
      <c r="AL1606" s="12" t="s">
        <v>7377</v>
      </c>
      <c r="AM1606" s="2">
        <v>0</v>
      </c>
      <c r="AN1606" s="2">
        <v>0</v>
      </c>
      <c r="AO1606" s="2">
        <v>0</v>
      </c>
      <c r="AP1606" s="2">
        <v>1</v>
      </c>
      <c r="AQ1606" s="2">
        <v>0</v>
      </c>
      <c r="AR1606" s="2">
        <v>0</v>
      </c>
      <c r="AS1606" s="2">
        <v>0</v>
      </c>
      <c r="AT1606" s="2">
        <v>0</v>
      </c>
      <c r="BB1606" s="2" t="str">
        <f>+PROPER(BD[[#This Row],[PRIMER_APELLIDO]])</f>
        <v>Ortega</v>
      </c>
    </row>
    <row r="1607" spans="1:54" x14ac:dyDescent="0.25">
      <c r="A1607" s="2">
        <v>1606</v>
      </c>
      <c r="B1607" s="2">
        <v>28003</v>
      </c>
      <c r="C1607" s="5" t="s">
        <v>619</v>
      </c>
      <c r="D1607" s="2" t="s">
        <v>620</v>
      </c>
      <c r="E1607" s="6" t="s">
        <v>9597</v>
      </c>
      <c r="F1607" s="6">
        <v>13728768</v>
      </c>
      <c r="G1607" s="3">
        <v>43</v>
      </c>
      <c r="I1607" s="7"/>
      <c r="J1607" s="7"/>
      <c r="K1607" s="8">
        <v>43.536986301369865</v>
      </c>
      <c r="L1607" s="2" t="s">
        <v>9598</v>
      </c>
      <c r="M1607" s="2" t="s">
        <v>787</v>
      </c>
      <c r="N1607" s="2" t="s">
        <v>145</v>
      </c>
      <c r="P1607" s="2" t="s">
        <v>626</v>
      </c>
      <c r="Q1607" s="2" t="s">
        <v>351</v>
      </c>
      <c r="R1607" s="9">
        <v>28905</v>
      </c>
      <c r="S1607" s="9">
        <v>28905</v>
      </c>
      <c r="T1607" s="2" t="s">
        <v>1104</v>
      </c>
      <c r="U1607" s="2" t="s">
        <v>627</v>
      </c>
      <c r="V1607" s="2" t="s">
        <v>1104</v>
      </c>
      <c r="W1607" s="2" t="s">
        <v>1026</v>
      </c>
      <c r="X1607" s="2" t="s">
        <v>9599</v>
      </c>
      <c r="Y1607" s="2" t="s">
        <v>9600</v>
      </c>
      <c r="Z1607" s="6">
        <v>86573334</v>
      </c>
      <c r="AA1607" s="2" t="s">
        <v>9601</v>
      </c>
      <c r="AB1607" s="2" t="s">
        <v>642</v>
      </c>
      <c r="AC1607" s="2" t="s">
        <v>632</v>
      </c>
      <c r="AD1607" s="10">
        <v>86573334</v>
      </c>
      <c r="AE1607" s="11"/>
      <c r="AF1607" s="11"/>
      <c r="AG1607" s="11">
        <v>86573334</v>
      </c>
      <c r="AH1607" s="11"/>
      <c r="AI1607" s="11"/>
      <c r="AJ1607" s="11">
        <v>86573334</v>
      </c>
      <c r="AK1607" s="12">
        <v>3</v>
      </c>
      <c r="AL1607" s="12" t="s">
        <v>7377</v>
      </c>
      <c r="AM1607" s="2">
        <v>0</v>
      </c>
      <c r="AN1607" s="2">
        <v>0</v>
      </c>
      <c r="AO1607" s="2">
        <v>0</v>
      </c>
      <c r="AP1607" s="2">
        <v>1</v>
      </c>
      <c r="AQ1607" s="2">
        <v>0</v>
      </c>
      <c r="AR1607" s="2">
        <v>0</v>
      </c>
      <c r="AS1607" s="2">
        <v>0</v>
      </c>
      <c r="AT1607" s="2">
        <v>0</v>
      </c>
      <c r="AZ1607" s="2" t="s">
        <v>9602</v>
      </c>
      <c r="BB1607" s="2" t="str">
        <f>+PROPER(BD[[#This Row],[PRIMER_APELLIDO]])</f>
        <v>Bello</v>
      </c>
    </row>
    <row r="1608" spans="1:54" x14ac:dyDescent="0.25">
      <c r="A1608" s="2">
        <v>1607</v>
      </c>
      <c r="B1608" s="2">
        <v>24085</v>
      </c>
      <c r="C1608" s="5" t="s">
        <v>619</v>
      </c>
      <c r="D1608" s="2" t="s">
        <v>620</v>
      </c>
      <c r="E1608" s="6" t="s">
        <v>9603</v>
      </c>
      <c r="F1608" s="6">
        <v>20162962</v>
      </c>
      <c r="G1608" s="3">
        <v>43</v>
      </c>
      <c r="I1608" s="7"/>
      <c r="J1608" s="7"/>
      <c r="K1608" s="8">
        <v>43.545205479452058</v>
      </c>
      <c r="L1608" s="2" t="s">
        <v>243</v>
      </c>
      <c r="M1608" s="2" t="s">
        <v>3218</v>
      </c>
      <c r="N1608" s="2" t="s">
        <v>101</v>
      </c>
      <c r="O1608" s="2" t="s">
        <v>9604</v>
      </c>
      <c r="P1608" s="2" t="s">
        <v>649</v>
      </c>
      <c r="Q1608" s="2" t="s">
        <v>351</v>
      </c>
      <c r="R1608" s="9">
        <v>28902</v>
      </c>
      <c r="S1608" s="9">
        <v>28902</v>
      </c>
      <c r="T1608" s="2" t="s">
        <v>176</v>
      </c>
      <c r="U1608" s="2" t="s">
        <v>176</v>
      </c>
      <c r="V1608" s="2" t="s">
        <v>650</v>
      </c>
      <c r="W1608" s="2" t="s">
        <v>176</v>
      </c>
      <c r="X1608" s="2" t="s">
        <v>9605</v>
      </c>
      <c r="Y1608" s="2" t="s">
        <v>9606</v>
      </c>
      <c r="Z1608" s="6">
        <v>87482892</v>
      </c>
      <c r="AA1608" s="2">
        <v>87482892</v>
      </c>
      <c r="AB1608" s="2" t="s">
        <v>654</v>
      </c>
      <c r="AC1608" s="2" t="s">
        <v>632</v>
      </c>
      <c r="AD1608" s="10">
        <v>87482892</v>
      </c>
      <c r="AE1608" s="11"/>
      <c r="AF1608" s="11">
        <v>87482892</v>
      </c>
      <c r="AG1608" s="11"/>
      <c r="AH1608" s="11"/>
      <c r="AI1608" s="11"/>
      <c r="AJ1608" s="11">
        <v>87482892</v>
      </c>
      <c r="AK1608" s="12">
        <v>2</v>
      </c>
      <c r="AL1608" s="12" t="s">
        <v>7377</v>
      </c>
      <c r="AM1608" s="2">
        <v>0</v>
      </c>
      <c r="AN1608" s="2">
        <v>0</v>
      </c>
      <c r="AO1608" s="2">
        <v>0</v>
      </c>
      <c r="AP1608" s="2">
        <v>1</v>
      </c>
      <c r="AQ1608" s="2">
        <v>0</v>
      </c>
      <c r="AR1608" s="2">
        <v>0</v>
      </c>
      <c r="AS1608" s="2">
        <v>0</v>
      </c>
      <c r="AT1608" s="2">
        <v>0</v>
      </c>
      <c r="AZ1608" s="2" t="s">
        <v>9607</v>
      </c>
      <c r="BB1608" s="2" t="str">
        <f>+PROPER(BD[[#This Row],[PRIMER_APELLIDO]])</f>
        <v>Avendaño</v>
      </c>
    </row>
    <row r="1609" spans="1:54" x14ac:dyDescent="0.25">
      <c r="A1609" s="2">
        <v>1608</v>
      </c>
      <c r="B1609" s="2">
        <v>24479</v>
      </c>
      <c r="C1609" s="5" t="s">
        <v>619</v>
      </c>
      <c r="D1609" s="2" t="s">
        <v>620</v>
      </c>
      <c r="E1609" s="6" t="s">
        <v>9608</v>
      </c>
      <c r="F1609" s="6">
        <v>20670441</v>
      </c>
      <c r="G1609" s="3">
        <v>43</v>
      </c>
      <c r="I1609" s="7"/>
      <c r="J1609" s="7"/>
      <c r="K1609" s="8">
        <v>43.564383561643837</v>
      </c>
      <c r="L1609" s="2" t="s">
        <v>1069</v>
      </c>
      <c r="M1609" s="2" t="s">
        <v>747</v>
      </c>
      <c r="N1609" s="2" t="s">
        <v>235</v>
      </c>
      <c r="O1609" s="2" t="s">
        <v>174</v>
      </c>
      <c r="P1609" s="2" t="s">
        <v>626</v>
      </c>
      <c r="Q1609" s="2" t="s">
        <v>351</v>
      </c>
      <c r="R1609" s="9">
        <v>28895</v>
      </c>
      <c r="S1609" s="9">
        <v>28895</v>
      </c>
      <c r="T1609" s="2" t="s">
        <v>133</v>
      </c>
      <c r="U1609" s="2" t="s">
        <v>133</v>
      </c>
      <c r="V1609" s="2" t="s">
        <v>869</v>
      </c>
      <c r="W1609" s="2" t="s">
        <v>869</v>
      </c>
      <c r="X1609" s="2" t="s">
        <v>9609</v>
      </c>
      <c r="Y1609" s="2" t="s">
        <v>9610</v>
      </c>
      <c r="Z1609" s="6">
        <v>87964981</v>
      </c>
      <c r="AA1609" s="2">
        <v>87964981</v>
      </c>
      <c r="AB1609" s="2" t="s">
        <v>642</v>
      </c>
      <c r="AC1609" s="2" t="s">
        <v>632</v>
      </c>
      <c r="AD1609" s="10">
        <v>87964981</v>
      </c>
      <c r="AE1609" s="11"/>
      <c r="AF1609" s="11">
        <v>87964981</v>
      </c>
      <c r="AG1609" s="11"/>
      <c r="AH1609" s="11"/>
      <c r="AI1609" s="11"/>
      <c r="AJ1609" s="11">
        <v>87964981</v>
      </c>
      <c r="AK1609" s="12">
        <v>2</v>
      </c>
      <c r="AL1609" s="12" t="s">
        <v>7377</v>
      </c>
      <c r="AM1609" s="2">
        <v>0</v>
      </c>
      <c r="AN1609" s="2">
        <v>0</v>
      </c>
      <c r="AO1609" s="2">
        <v>0</v>
      </c>
      <c r="AP1609" s="2">
        <v>1</v>
      </c>
      <c r="AQ1609" s="2">
        <v>0</v>
      </c>
      <c r="AR1609" s="2">
        <v>0</v>
      </c>
      <c r="AS1609" s="2">
        <v>0</v>
      </c>
      <c r="AT1609" s="2">
        <v>0</v>
      </c>
      <c r="AZ1609" s="2" t="s">
        <v>9611</v>
      </c>
      <c r="BB1609" s="2" t="str">
        <f>+PROPER(BD[[#This Row],[PRIMER_APELLIDO]])</f>
        <v>Espinoza</v>
      </c>
    </row>
    <row r="1610" spans="1:54" x14ac:dyDescent="0.25">
      <c r="A1610" s="2">
        <v>1609</v>
      </c>
      <c r="B1610" s="2">
        <v>33212</v>
      </c>
      <c r="C1610" s="5" t="s">
        <v>619</v>
      </c>
      <c r="D1610" s="2" t="s">
        <v>620</v>
      </c>
      <c r="E1610" s="6" t="s">
        <v>9612</v>
      </c>
      <c r="F1610" s="6">
        <v>11531678</v>
      </c>
      <c r="G1610" s="3">
        <v>43</v>
      </c>
      <c r="I1610" s="7"/>
      <c r="J1610" s="7"/>
      <c r="K1610" s="8">
        <v>43.594520547945208</v>
      </c>
      <c r="L1610" s="2" t="s">
        <v>825</v>
      </c>
      <c r="M1610" s="2" t="s">
        <v>243</v>
      </c>
      <c r="N1610" s="2" t="s">
        <v>315</v>
      </c>
      <c r="O1610" s="2" t="s">
        <v>90</v>
      </c>
      <c r="P1610" s="2" t="s">
        <v>649</v>
      </c>
      <c r="Q1610" s="2" t="s">
        <v>351</v>
      </c>
      <c r="R1610" s="9">
        <v>28884</v>
      </c>
      <c r="S1610" s="9">
        <v>28884</v>
      </c>
      <c r="T1610" s="2" t="s">
        <v>176</v>
      </c>
      <c r="U1610" s="2" t="s">
        <v>176</v>
      </c>
      <c r="V1610" s="2" t="s">
        <v>997</v>
      </c>
      <c r="W1610" s="2" t="s">
        <v>997</v>
      </c>
      <c r="X1610" s="2" t="s">
        <v>9613</v>
      </c>
      <c r="Y1610" s="2" t="s">
        <v>9614</v>
      </c>
      <c r="Z1610" s="6">
        <v>89277095</v>
      </c>
      <c r="AA1610" s="2" t="s">
        <v>9615</v>
      </c>
      <c r="AB1610" s="2" t="s">
        <v>654</v>
      </c>
      <c r="AC1610" s="2" t="s">
        <v>632</v>
      </c>
      <c r="AD1610" s="10">
        <v>89277095</v>
      </c>
      <c r="AE1610" s="11"/>
      <c r="AF1610" s="11">
        <v>86595493</v>
      </c>
      <c r="AG1610" s="11">
        <v>89172509</v>
      </c>
      <c r="AH1610" s="11"/>
      <c r="AI1610" s="11"/>
      <c r="AJ1610" s="11">
        <v>89277095</v>
      </c>
      <c r="AK1610" s="12">
        <v>3</v>
      </c>
      <c r="AL1610" s="12" t="s">
        <v>7377</v>
      </c>
      <c r="AM1610" s="2">
        <v>0</v>
      </c>
      <c r="AN1610" s="2">
        <v>0</v>
      </c>
      <c r="AO1610" s="2">
        <v>0</v>
      </c>
      <c r="AP1610" s="2">
        <v>1</v>
      </c>
      <c r="AQ1610" s="2">
        <v>0</v>
      </c>
      <c r="AR1610" s="2">
        <v>0</v>
      </c>
      <c r="AS1610" s="2">
        <v>0</v>
      </c>
      <c r="AT1610" s="2">
        <v>0</v>
      </c>
      <c r="AZ1610" s="2" t="s">
        <v>9616</v>
      </c>
      <c r="BB1610" s="2" t="str">
        <f>+PROPER(BD[[#This Row],[PRIMER_APELLIDO]])</f>
        <v>Bermudez</v>
      </c>
    </row>
    <row r="1611" spans="1:54" x14ac:dyDescent="0.25">
      <c r="A1611" s="2">
        <v>1610</v>
      </c>
      <c r="B1611" s="2">
        <v>28760</v>
      </c>
      <c r="C1611" s="5" t="s">
        <v>619</v>
      </c>
      <c r="D1611" s="2" t="s">
        <v>620</v>
      </c>
      <c r="E1611" s="6" t="s">
        <v>9617</v>
      </c>
      <c r="F1611" s="6">
        <v>21427057</v>
      </c>
      <c r="G1611" s="3">
        <v>43</v>
      </c>
      <c r="I1611" s="7"/>
      <c r="J1611" s="7"/>
      <c r="K1611" s="8">
        <v>43.61643835616438</v>
      </c>
      <c r="L1611" s="2" t="s">
        <v>6807</v>
      </c>
      <c r="M1611" s="2" t="s">
        <v>961</v>
      </c>
      <c r="N1611" s="2" t="s">
        <v>141</v>
      </c>
      <c r="O1611" s="2" t="s">
        <v>13</v>
      </c>
      <c r="P1611" s="2" t="s">
        <v>626</v>
      </c>
      <c r="Q1611" s="2" t="s">
        <v>351</v>
      </c>
      <c r="R1611" s="9">
        <v>28876</v>
      </c>
      <c r="S1611" s="9">
        <v>28876</v>
      </c>
      <c r="U1611" s="2" t="s">
        <v>1104</v>
      </c>
      <c r="W1611" s="2" t="s">
        <v>1104</v>
      </c>
      <c r="X1611" s="2" t="s">
        <v>9618</v>
      </c>
      <c r="Y1611" s="2" t="s">
        <v>9619</v>
      </c>
      <c r="Z1611" s="6"/>
      <c r="AA1611" s="2">
        <v>27726140</v>
      </c>
      <c r="AB1611" s="2" t="s">
        <v>631</v>
      </c>
      <c r="AC1611" s="2" t="s">
        <v>632</v>
      </c>
      <c r="AD1611" s="10"/>
      <c r="AE1611" s="11"/>
      <c r="AF1611" s="11"/>
      <c r="AG1611" s="11"/>
      <c r="AH1611" s="11"/>
      <c r="AI1611" s="11"/>
      <c r="AJ1611" s="11"/>
      <c r="AK1611" s="12">
        <v>1</v>
      </c>
      <c r="AL1611" s="12" t="s">
        <v>7377</v>
      </c>
      <c r="AM1611" s="2">
        <v>0</v>
      </c>
      <c r="AN1611" s="2">
        <v>0</v>
      </c>
      <c r="AO1611" s="2">
        <v>0</v>
      </c>
      <c r="AP1611" s="2">
        <v>1</v>
      </c>
      <c r="AQ1611" s="2">
        <v>0</v>
      </c>
      <c r="AR1611" s="2">
        <v>0</v>
      </c>
      <c r="AS1611" s="2">
        <v>0</v>
      </c>
      <c r="AT1611" s="2">
        <v>0</v>
      </c>
      <c r="BB1611" s="2" t="str">
        <f>+PROPER(BD[[#This Row],[PRIMER_APELLIDO]])</f>
        <v>Aguilar</v>
      </c>
    </row>
    <row r="1612" spans="1:54" x14ac:dyDescent="0.25">
      <c r="A1612" s="2">
        <v>1611</v>
      </c>
      <c r="B1612" s="2">
        <v>17824</v>
      </c>
      <c r="C1612" s="5" t="s">
        <v>619</v>
      </c>
      <c r="D1612" s="2" t="s">
        <v>620</v>
      </c>
      <c r="E1612" s="6" t="s">
        <v>9620</v>
      </c>
      <c r="F1612" s="6">
        <v>17005506</v>
      </c>
      <c r="G1612" s="3">
        <v>43</v>
      </c>
      <c r="I1612" s="7"/>
      <c r="J1612" s="7"/>
      <c r="K1612" s="8">
        <v>43.627397260273973</v>
      </c>
      <c r="L1612" s="2" t="s">
        <v>4057</v>
      </c>
      <c r="M1612" s="2" t="s">
        <v>904</v>
      </c>
      <c r="N1612" s="2" t="s">
        <v>235</v>
      </c>
      <c r="O1612" s="2" t="s">
        <v>1914</v>
      </c>
      <c r="P1612" s="2" t="s">
        <v>649</v>
      </c>
      <c r="Q1612" s="2" t="s">
        <v>351</v>
      </c>
      <c r="R1612" s="9">
        <v>28872</v>
      </c>
      <c r="S1612" s="9">
        <v>28872</v>
      </c>
      <c r="U1612" s="2" t="s">
        <v>627</v>
      </c>
      <c r="W1612" s="2" t="s">
        <v>627</v>
      </c>
      <c r="X1612" s="2" t="s">
        <v>9621</v>
      </c>
      <c r="Y1612" s="2" t="s">
        <v>9622</v>
      </c>
      <c r="Z1612" s="6"/>
      <c r="AA1612" s="2" t="s">
        <v>9623</v>
      </c>
      <c r="AB1612" s="2" t="s">
        <v>654</v>
      </c>
      <c r="AC1612" s="2" t="s">
        <v>632</v>
      </c>
      <c r="AD1612" s="10"/>
      <c r="AE1612" s="11"/>
      <c r="AF1612" s="11"/>
      <c r="AG1612" s="11">
        <v>83242636</v>
      </c>
      <c r="AH1612" s="11"/>
      <c r="AI1612" s="11"/>
      <c r="AJ1612" s="11">
        <v>83242636</v>
      </c>
      <c r="AK1612" s="12">
        <v>2</v>
      </c>
      <c r="AL1612" s="12" t="s">
        <v>7377</v>
      </c>
      <c r="AM1612" s="2">
        <v>0</v>
      </c>
      <c r="AN1612" s="2">
        <v>0</v>
      </c>
      <c r="AO1612" s="2">
        <v>0</v>
      </c>
      <c r="AP1612" s="2">
        <v>1</v>
      </c>
      <c r="AQ1612" s="2">
        <v>0</v>
      </c>
      <c r="AR1612" s="2">
        <v>0</v>
      </c>
      <c r="AS1612" s="2">
        <v>0</v>
      </c>
      <c r="AT1612" s="2">
        <v>0</v>
      </c>
      <c r="BB1612" s="2" t="str">
        <f>+PROPER(BD[[#This Row],[PRIMER_APELLIDO]])</f>
        <v>Espinoza</v>
      </c>
    </row>
    <row r="1613" spans="1:54" x14ac:dyDescent="0.25">
      <c r="A1613" s="2">
        <v>1612</v>
      </c>
      <c r="B1613" s="2">
        <v>17491</v>
      </c>
      <c r="C1613" s="5" t="s">
        <v>619</v>
      </c>
      <c r="D1613" s="2" t="s">
        <v>620</v>
      </c>
      <c r="E1613" s="6" t="s">
        <v>9624</v>
      </c>
      <c r="F1613" s="6">
        <v>16137286</v>
      </c>
      <c r="G1613" s="3">
        <v>43</v>
      </c>
      <c r="I1613" s="7"/>
      <c r="J1613" s="7"/>
      <c r="K1613" s="8">
        <v>43.638356164383559</v>
      </c>
      <c r="L1613" s="2" t="s">
        <v>4597</v>
      </c>
      <c r="M1613" s="2" t="s">
        <v>4039</v>
      </c>
      <c r="N1613" s="2" t="s">
        <v>132</v>
      </c>
      <c r="O1613" s="2" t="s">
        <v>15</v>
      </c>
      <c r="P1613" s="2" t="s">
        <v>626</v>
      </c>
      <c r="Q1613" s="2" t="s">
        <v>351</v>
      </c>
      <c r="R1613" s="9">
        <v>28868</v>
      </c>
      <c r="S1613" s="9">
        <v>28868</v>
      </c>
      <c r="T1613" s="2" t="s">
        <v>627</v>
      </c>
      <c r="U1613" s="2" t="s">
        <v>627</v>
      </c>
      <c r="V1613" s="2" t="s">
        <v>627</v>
      </c>
      <c r="W1613" s="2" t="s">
        <v>627</v>
      </c>
      <c r="X1613" s="2" t="s">
        <v>9625</v>
      </c>
      <c r="Y1613" s="2" t="s">
        <v>9626</v>
      </c>
      <c r="Z1613" s="6">
        <v>89734165</v>
      </c>
      <c r="AA1613" s="2" t="s">
        <v>9627</v>
      </c>
      <c r="AB1613" s="2" t="s">
        <v>654</v>
      </c>
      <c r="AC1613" s="2" t="s">
        <v>632</v>
      </c>
      <c r="AD1613" s="10">
        <v>89734165</v>
      </c>
      <c r="AE1613" s="11"/>
      <c r="AF1613" s="11"/>
      <c r="AG1613" s="11">
        <v>89734165</v>
      </c>
      <c r="AH1613" s="11"/>
      <c r="AI1613" s="11"/>
      <c r="AJ1613" s="11">
        <v>89734165</v>
      </c>
      <c r="AK1613" s="12">
        <v>3</v>
      </c>
      <c r="AL1613" s="12" t="s">
        <v>7377</v>
      </c>
      <c r="AM1613" s="2">
        <v>0</v>
      </c>
      <c r="AN1613" s="2">
        <v>0</v>
      </c>
      <c r="AO1613" s="2">
        <v>0</v>
      </c>
      <c r="AP1613" s="2">
        <v>1</v>
      </c>
      <c r="AQ1613" s="2">
        <v>0</v>
      </c>
      <c r="AR1613" s="2">
        <v>0</v>
      </c>
      <c r="AS1613" s="2">
        <v>0</v>
      </c>
      <c r="AT1613" s="2">
        <v>0</v>
      </c>
      <c r="AZ1613" s="2" t="s">
        <v>9628</v>
      </c>
      <c r="BB1613" s="2" t="str">
        <f>+PROPER(BD[[#This Row],[PRIMER_APELLIDO]])</f>
        <v>Torres</v>
      </c>
    </row>
    <row r="1614" spans="1:54" x14ac:dyDescent="0.25">
      <c r="A1614" s="2">
        <v>1613</v>
      </c>
      <c r="B1614" s="2">
        <v>24237</v>
      </c>
      <c r="C1614" s="5" t="s">
        <v>619</v>
      </c>
      <c r="D1614" s="2" t="s">
        <v>620</v>
      </c>
      <c r="E1614" s="6" t="s">
        <v>9629</v>
      </c>
      <c r="F1614" s="6"/>
      <c r="G1614" s="3">
        <v>43</v>
      </c>
      <c r="I1614" s="7"/>
      <c r="J1614" s="7"/>
      <c r="K1614" s="8">
        <v>43.643835616438359</v>
      </c>
      <c r="L1614" s="2" t="s">
        <v>747</v>
      </c>
      <c r="M1614" s="2" t="s">
        <v>243</v>
      </c>
      <c r="N1614" s="2" t="s">
        <v>348</v>
      </c>
      <c r="O1614" s="2" t="s">
        <v>149</v>
      </c>
      <c r="P1614" s="2" t="s">
        <v>626</v>
      </c>
      <c r="Q1614" s="2" t="s">
        <v>351</v>
      </c>
      <c r="R1614" s="9">
        <v>28866</v>
      </c>
      <c r="S1614" s="9">
        <v>28866</v>
      </c>
      <c r="T1614" s="2" t="s">
        <v>627</v>
      </c>
      <c r="U1614" s="2" t="s">
        <v>627</v>
      </c>
      <c r="V1614" s="2" t="s">
        <v>627</v>
      </c>
      <c r="W1614" s="2" t="s">
        <v>627</v>
      </c>
      <c r="X1614" s="2" t="s">
        <v>9630</v>
      </c>
      <c r="Y1614" s="2" t="s">
        <v>9631</v>
      </c>
      <c r="Z1614" s="6">
        <v>87633661</v>
      </c>
      <c r="AA1614" s="2" t="s">
        <v>9632</v>
      </c>
      <c r="AB1614" s="2" t="s">
        <v>642</v>
      </c>
      <c r="AC1614" s="2" t="s">
        <v>632</v>
      </c>
      <c r="AD1614" s="10">
        <v>87633661</v>
      </c>
      <c r="AE1614" s="11"/>
      <c r="AF1614" s="11">
        <v>87633661</v>
      </c>
      <c r="AG1614" s="11">
        <v>87875429</v>
      </c>
      <c r="AH1614" s="11"/>
      <c r="AI1614" s="11"/>
      <c r="AJ1614" s="11">
        <v>87633661</v>
      </c>
      <c r="AK1614" s="12">
        <v>3</v>
      </c>
      <c r="AL1614" s="12" t="s">
        <v>7377</v>
      </c>
      <c r="AM1614" s="2">
        <v>0</v>
      </c>
      <c r="AN1614" s="2">
        <v>0</v>
      </c>
      <c r="AO1614" s="2">
        <v>0</v>
      </c>
      <c r="AP1614" s="2">
        <v>1</v>
      </c>
      <c r="AQ1614" s="2">
        <v>0</v>
      </c>
      <c r="AR1614" s="2">
        <v>0</v>
      </c>
      <c r="AS1614" s="2">
        <v>0</v>
      </c>
      <c r="AT1614" s="2">
        <v>0</v>
      </c>
      <c r="AZ1614" s="2" t="s">
        <v>9633</v>
      </c>
      <c r="BB1614" s="2" t="str">
        <f>+PROPER(BD[[#This Row],[PRIMER_APELLIDO]])</f>
        <v>Sequeira</v>
      </c>
    </row>
    <row r="1615" spans="1:54" x14ac:dyDescent="0.25">
      <c r="A1615" s="2">
        <v>1614</v>
      </c>
      <c r="B1615" s="2">
        <v>82000</v>
      </c>
      <c r="C1615" s="5" t="s">
        <v>619</v>
      </c>
      <c r="D1615" s="2" t="s">
        <v>620</v>
      </c>
      <c r="E1615" s="6" t="s">
        <v>9634</v>
      </c>
      <c r="F1615" s="6"/>
      <c r="G1615" s="3">
        <v>43</v>
      </c>
      <c r="I1615" s="7"/>
      <c r="J1615" s="7"/>
      <c r="K1615" s="8">
        <v>43.643835616438359</v>
      </c>
      <c r="L1615" s="2" t="s">
        <v>1692</v>
      </c>
      <c r="M1615" s="2" t="s">
        <v>1058</v>
      </c>
      <c r="N1615" s="2" t="s">
        <v>11</v>
      </c>
      <c r="O1615" s="2" t="s">
        <v>141</v>
      </c>
      <c r="P1615" s="2" t="s">
        <v>649</v>
      </c>
      <c r="Q1615" s="2" t="s">
        <v>351</v>
      </c>
      <c r="R1615" s="9">
        <v>28866</v>
      </c>
      <c r="S1615" s="9">
        <v>28866</v>
      </c>
      <c r="T1615" s="2" t="s">
        <v>732</v>
      </c>
      <c r="U1615" s="2" t="s">
        <v>732</v>
      </c>
      <c r="V1615" s="2" t="s">
        <v>1060</v>
      </c>
      <c r="W1615" s="2" t="s">
        <v>1061</v>
      </c>
      <c r="X1615" s="2" t="s">
        <v>9635</v>
      </c>
      <c r="Y1615" s="2" t="s">
        <v>9636</v>
      </c>
      <c r="Z1615" s="6">
        <v>78006401</v>
      </c>
      <c r="AB1615" s="2" t="s">
        <v>2629</v>
      </c>
      <c r="AC1615" s="2" t="s">
        <v>632</v>
      </c>
      <c r="AD1615" s="10">
        <v>78006401</v>
      </c>
      <c r="AE1615" s="11"/>
      <c r="AF1615" s="11"/>
      <c r="AG1615" s="11"/>
      <c r="AH1615" s="11"/>
      <c r="AI1615" s="11"/>
      <c r="AJ1615" s="11">
        <v>78006401</v>
      </c>
      <c r="AK1615" s="12">
        <v>1</v>
      </c>
      <c r="AL1615" s="12" t="s">
        <v>7377</v>
      </c>
      <c r="AM1615" s="2">
        <v>0</v>
      </c>
      <c r="AN1615" s="2">
        <v>0</v>
      </c>
      <c r="AO1615" s="2">
        <v>0</v>
      </c>
      <c r="AP1615" s="2">
        <v>1</v>
      </c>
      <c r="AQ1615" s="2">
        <v>0</v>
      </c>
      <c r="AR1615" s="2">
        <v>0</v>
      </c>
      <c r="AS1615" s="2">
        <v>0</v>
      </c>
      <c r="AT1615" s="2">
        <v>0</v>
      </c>
      <c r="AZ1615" s="2" t="s">
        <v>9637</v>
      </c>
      <c r="BB1615" s="2" t="str">
        <f>+PROPER(BD[[#This Row],[PRIMER_APELLIDO]])</f>
        <v>Hernandez</v>
      </c>
    </row>
    <row r="1616" spans="1:54" x14ac:dyDescent="0.25">
      <c r="A1616" s="2">
        <v>1615</v>
      </c>
      <c r="B1616" s="2">
        <v>20994</v>
      </c>
      <c r="C1616" s="5" t="s">
        <v>619</v>
      </c>
      <c r="D1616" s="2" t="s">
        <v>620</v>
      </c>
      <c r="E1616" s="6" t="s">
        <v>9638</v>
      </c>
      <c r="F1616" s="6">
        <v>19554873</v>
      </c>
      <c r="G1616" s="3">
        <v>43</v>
      </c>
      <c r="I1616" s="7"/>
      <c r="J1616" s="7"/>
      <c r="K1616" s="8">
        <v>43.652054794520545</v>
      </c>
      <c r="L1616" s="2" t="s">
        <v>624</v>
      </c>
      <c r="M1616" s="2" t="s">
        <v>9639</v>
      </c>
      <c r="N1616" s="2" t="s">
        <v>109</v>
      </c>
      <c r="O1616" s="2" t="s">
        <v>15</v>
      </c>
      <c r="P1616" s="2" t="s">
        <v>626</v>
      </c>
      <c r="Q1616" s="2" t="s">
        <v>351</v>
      </c>
      <c r="R1616" s="9">
        <v>28863</v>
      </c>
      <c r="S1616" s="9">
        <v>28863</v>
      </c>
      <c r="T1616" s="2" t="s">
        <v>732</v>
      </c>
      <c r="U1616" s="2" t="s">
        <v>732</v>
      </c>
      <c r="V1616" s="2" t="s">
        <v>732</v>
      </c>
      <c r="W1616" s="2" t="s">
        <v>732</v>
      </c>
      <c r="X1616" s="2" t="s">
        <v>9640</v>
      </c>
      <c r="Y1616" s="2" t="s">
        <v>9641</v>
      </c>
      <c r="Z1616" s="6">
        <v>83960848</v>
      </c>
      <c r="AB1616" s="2" t="s">
        <v>642</v>
      </c>
      <c r="AC1616" s="2" t="s">
        <v>632</v>
      </c>
      <c r="AD1616" s="10">
        <v>83960848</v>
      </c>
      <c r="AE1616" s="11"/>
      <c r="AF1616" s="11"/>
      <c r="AG1616" s="11"/>
      <c r="AH1616" s="11"/>
      <c r="AI1616" s="11"/>
      <c r="AJ1616" s="11">
        <v>83960848</v>
      </c>
      <c r="AK1616" s="12">
        <v>1</v>
      </c>
      <c r="AL1616" s="12" t="s">
        <v>7377</v>
      </c>
      <c r="AM1616" s="2">
        <v>0</v>
      </c>
      <c r="AN1616" s="2">
        <v>0</v>
      </c>
      <c r="AO1616" s="2">
        <v>0</v>
      </c>
      <c r="AP1616" s="2">
        <v>1</v>
      </c>
      <c r="AQ1616" s="2">
        <v>0</v>
      </c>
      <c r="AR1616" s="2">
        <v>0</v>
      </c>
      <c r="AS1616" s="2">
        <v>0</v>
      </c>
      <c r="AT1616" s="2">
        <v>0</v>
      </c>
      <c r="AZ1616" s="2" t="s">
        <v>9642</v>
      </c>
      <c r="BB1616" s="2" t="str">
        <f>+PROPER(BD[[#This Row],[PRIMER_APELLIDO]])</f>
        <v>Ortiz</v>
      </c>
    </row>
    <row r="1617" spans="1:54" x14ac:dyDescent="0.25">
      <c r="A1617" s="2">
        <v>1616</v>
      </c>
      <c r="B1617" s="2">
        <v>20395</v>
      </c>
      <c r="C1617" s="5" t="s">
        <v>619</v>
      </c>
      <c r="D1617" s="2" t="s">
        <v>620</v>
      </c>
      <c r="E1617" s="6" t="s">
        <v>9643</v>
      </c>
      <c r="F1617" s="6">
        <v>17069236</v>
      </c>
      <c r="G1617" s="3">
        <v>43</v>
      </c>
      <c r="I1617" s="7"/>
      <c r="J1617" s="7"/>
      <c r="K1617" s="8">
        <v>43.663013698630138</v>
      </c>
      <c r="L1617" s="2" t="s">
        <v>5828</v>
      </c>
      <c r="M1617" s="2" t="s">
        <v>787</v>
      </c>
      <c r="N1617" s="2" t="s">
        <v>14</v>
      </c>
      <c r="O1617" s="2" t="s">
        <v>104</v>
      </c>
      <c r="P1617" s="2" t="s">
        <v>626</v>
      </c>
      <c r="Q1617" s="2" t="s">
        <v>351</v>
      </c>
      <c r="R1617" s="9">
        <v>28859</v>
      </c>
      <c r="S1617" s="9">
        <v>28859</v>
      </c>
      <c r="U1617" s="2" t="s">
        <v>627</v>
      </c>
      <c r="W1617" s="2" t="s">
        <v>627</v>
      </c>
      <c r="X1617" s="2" t="s">
        <v>9644</v>
      </c>
      <c r="Y1617" s="2" t="s">
        <v>9645</v>
      </c>
      <c r="Z1617" s="6"/>
      <c r="AA1617" s="2" t="s">
        <v>9646</v>
      </c>
      <c r="AB1617" s="2" t="s">
        <v>642</v>
      </c>
      <c r="AC1617" s="2" t="s">
        <v>632</v>
      </c>
      <c r="AD1617" s="10"/>
      <c r="AE1617" s="11"/>
      <c r="AF1617" s="11"/>
      <c r="AG1617" s="11"/>
      <c r="AH1617" s="11"/>
      <c r="AI1617" s="11"/>
      <c r="AJ1617" s="11"/>
      <c r="AK1617" s="12">
        <v>2</v>
      </c>
      <c r="AL1617" s="12" t="s">
        <v>7377</v>
      </c>
      <c r="AM1617" s="2">
        <v>0</v>
      </c>
      <c r="AN1617" s="2">
        <v>0</v>
      </c>
      <c r="AO1617" s="2">
        <v>0</v>
      </c>
      <c r="AP1617" s="2">
        <v>1</v>
      </c>
      <c r="AQ1617" s="2">
        <v>0</v>
      </c>
      <c r="AR1617" s="2">
        <v>0</v>
      </c>
      <c r="AS1617" s="2">
        <v>0</v>
      </c>
      <c r="AT1617" s="2">
        <v>0</v>
      </c>
      <c r="BB1617" s="2" t="str">
        <f>+PROPER(BD[[#This Row],[PRIMER_APELLIDO]])</f>
        <v>Gonzalez</v>
      </c>
    </row>
    <row r="1618" spans="1:54" x14ac:dyDescent="0.25">
      <c r="A1618" s="2">
        <v>1617</v>
      </c>
      <c r="B1618" s="2">
        <v>42088</v>
      </c>
      <c r="C1618" s="5" t="s">
        <v>619</v>
      </c>
      <c r="D1618" s="2" t="s">
        <v>620</v>
      </c>
      <c r="E1618" s="6" t="s">
        <v>9647</v>
      </c>
      <c r="F1618" s="6">
        <v>15340281</v>
      </c>
      <c r="G1618" s="3">
        <v>43</v>
      </c>
      <c r="I1618" s="7"/>
      <c r="J1618" s="7"/>
      <c r="K1618" s="8">
        <v>43.665753424657531</v>
      </c>
      <c r="L1618" s="2" t="s">
        <v>9648</v>
      </c>
      <c r="N1618" s="2" t="s">
        <v>100</v>
      </c>
      <c r="O1618" s="2" t="s">
        <v>185</v>
      </c>
      <c r="P1618" s="2" t="s">
        <v>649</v>
      </c>
      <c r="Q1618" s="2" t="s">
        <v>351</v>
      </c>
      <c r="R1618" s="9">
        <v>28858</v>
      </c>
      <c r="S1618" s="9">
        <v>28858</v>
      </c>
      <c r="T1618" s="2" t="s">
        <v>691</v>
      </c>
      <c r="U1618" s="2" t="s">
        <v>627</v>
      </c>
      <c r="V1618" s="2" t="s">
        <v>1399</v>
      </c>
      <c r="W1618" s="2" t="s">
        <v>627</v>
      </c>
      <c r="X1618" s="2" t="s">
        <v>9649</v>
      </c>
      <c r="Y1618" s="2" t="s">
        <v>9650</v>
      </c>
      <c r="Z1618" s="6"/>
      <c r="AA1618" s="2">
        <v>82426480</v>
      </c>
      <c r="AB1618" s="2" t="s">
        <v>798</v>
      </c>
      <c r="AC1618" s="2" t="s">
        <v>632</v>
      </c>
      <c r="AD1618" s="10"/>
      <c r="AE1618" s="11"/>
      <c r="AF1618" s="11">
        <v>82426480</v>
      </c>
      <c r="AG1618" s="11"/>
      <c r="AH1618" s="11"/>
      <c r="AI1618" s="11"/>
      <c r="AJ1618" s="11">
        <v>82426480</v>
      </c>
      <c r="AK1618" s="12">
        <v>1</v>
      </c>
      <c r="AL1618" s="12" t="s">
        <v>7377</v>
      </c>
      <c r="AM1618" s="2">
        <v>0</v>
      </c>
      <c r="AN1618" s="2">
        <v>0</v>
      </c>
      <c r="AO1618" s="2">
        <v>0</v>
      </c>
      <c r="AP1618" s="2">
        <v>1</v>
      </c>
      <c r="AQ1618" s="2">
        <v>0</v>
      </c>
      <c r="AR1618" s="2">
        <v>0</v>
      </c>
      <c r="AS1618" s="2">
        <v>0</v>
      </c>
      <c r="AT1618" s="2">
        <v>0</v>
      </c>
      <c r="BA1618" s="2" t="s">
        <v>9651</v>
      </c>
      <c r="BB1618" s="2" t="str">
        <f>+PROPER(BD[[#This Row],[PRIMER_APELLIDO]])</f>
        <v>Castillo</v>
      </c>
    </row>
    <row r="1619" spans="1:54" x14ac:dyDescent="0.25">
      <c r="A1619" s="2">
        <v>1618</v>
      </c>
      <c r="B1619" s="2">
        <v>18032</v>
      </c>
      <c r="C1619" s="5" t="s">
        <v>619</v>
      </c>
      <c r="D1619" s="2" t="s">
        <v>620</v>
      </c>
      <c r="E1619" s="6" t="s">
        <v>9652</v>
      </c>
      <c r="F1619" s="6">
        <v>16408605</v>
      </c>
      <c r="G1619" s="3">
        <v>44</v>
      </c>
      <c r="I1619" s="7"/>
      <c r="J1619" s="7"/>
      <c r="K1619" s="8">
        <v>43.673972602739724</v>
      </c>
      <c r="L1619" s="2" t="s">
        <v>2324</v>
      </c>
      <c r="M1619" s="2" t="s">
        <v>1548</v>
      </c>
      <c r="N1619" s="2" t="s">
        <v>114</v>
      </c>
      <c r="O1619" s="2" t="s">
        <v>42</v>
      </c>
      <c r="P1619" s="2" t="s">
        <v>649</v>
      </c>
      <c r="Q1619" s="2" t="s">
        <v>351</v>
      </c>
      <c r="R1619" s="9">
        <v>28855</v>
      </c>
      <c r="S1619" s="9">
        <v>28855</v>
      </c>
      <c r="T1619" s="2" t="s">
        <v>176</v>
      </c>
      <c r="U1619" s="2" t="s">
        <v>732</v>
      </c>
      <c r="V1619" s="2" t="s">
        <v>650</v>
      </c>
      <c r="W1619" s="2" t="s">
        <v>732</v>
      </c>
      <c r="X1619" s="2" t="s">
        <v>9653</v>
      </c>
      <c r="Y1619" s="2" t="s">
        <v>9654</v>
      </c>
      <c r="Z1619" s="6"/>
      <c r="AA1619" s="2" t="s">
        <v>9655</v>
      </c>
      <c r="AB1619" s="2" t="s">
        <v>654</v>
      </c>
      <c r="AC1619" s="2" t="s">
        <v>632</v>
      </c>
      <c r="AD1619" s="10"/>
      <c r="AE1619" s="11"/>
      <c r="AF1619" s="11"/>
      <c r="AG1619" s="11">
        <v>86707312</v>
      </c>
      <c r="AH1619" s="11"/>
      <c r="AI1619" s="11"/>
      <c r="AJ1619" s="11">
        <v>86707312</v>
      </c>
      <c r="AK1619" s="12">
        <v>2</v>
      </c>
      <c r="AL1619" s="12" t="s">
        <v>7377</v>
      </c>
      <c r="AM1619" s="2">
        <v>0</v>
      </c>
      <c r="AN1619" s="2">
        <v>0</v>
      </c>
      <c r="AO1619" s="2">
        <v>0</v>
      </c>
      <c r="AP1619" s="2">
        <v>1</v>
      </c>
      <c r="AQ1619" s="2">
        <v>0</v>
      </c>
      <c r="AR1619" s="2">
        <v>0</v>
      </c>
      <c r="AS1619" s="2">
        <v>0</v>
      </c>
      <c r="AT1619" s="2">
        <v>0</v>
      </c>
      <c r="BB1619" s="2" t="str">
        <f>+PROPER(BD[[#This Row],[PRIMER_APELLIDO]])</f>
        <v>Salinas</v>
      </c>
    </row>
    <row r="1620" spans="1:54" x14ac:dyDescent="0.25">
      <c r="A1620" s="2">
        <v>1619</v>
      </c>
      <c r="B1620" s="2">
        <v>20179</v>
      </c>
      <c r="C1620" s="5" t="s">
        <v>619</v>
      </c>
      <c r="D1620" s="2" t="s">
        <v>620</v>
      </c>
      <c r="E1620" s="6" t="s">
        <v>9656</v>
      </c>
      <c r="F1620" s="6">
        <v>17232344</v>
      </c>
      <c r="G1620" s="3">
        <v>44</v>
      </c>
      <c r="I1620" s="7"/>
      <c r="J1620" s="7"/>
      <c r="K1620" s="8">
        <v>43.676712328767124</v>
      </c>
      <c r="L1620" s="2" t="s">
        <v>6283</v>
      </c>
      <c r="M1620" s="2" t="s">
        <v>904</v>
      </c>
      <c r="N1620" s="2" t="s">
        <v>163</v>
      </c>
      <c r="O1620" s="2" t="s">
        <v>227</v>
      </c>
      <c r="P1620" s="2" t="s">
        <v>649</v>
      </c>
      <c r="Q1620" s="2" t="s">
        <v>351</v>
      </c>
      <c r="R1620" s="9">
        <v>28854</v>
      </c>
      <c r="S1620" s="9">
        <v>28854</v>
      </c>
      <c r="T1620" s="2" t="s">
        <v>1044</v>
      </c>
      <c r="U1620" s="2" t="s">
        <v>1044</v>
      </c>
      <c r="V1620" s="2" t="s">
        <v>1045</v>
      </c>
      <c r="W1620" s="2" t="s">
        <v>1045</v>
      </c>
      <c r="X1620" s="2" t="s">
        <v>9657</v>
      </c>
      <c r="Y1620" s="2" t="s">
        <v>9658</v>
      </c>
      <c r="Z1620" s="6">
        <v>84161935</v>
      </c>
      <c r="AA1620" s="2">
        <v>84161935</v>
      </c>
      <c r="AB1620" s="2" t="s">
        <v>654</v>
      </c>
      <c r="AC1620" s="2" t="s">
        <v>632</v>
      </c>
      <c r="AD1620" s="10">
        <v>84161935</v>
      </c>
      <c r="AE1620" s="11"/>
      <c r="AF1620" s="11">
        <v>84161935</v>
      </c>
      <c r="AG1620" s="11"/>
      <c r="AH1620" s="11"/>
      <c r="AI1620" s="11"/>
      <c r="AJ1620" s="11">
        <v>84161935</v>
      </c>
      <c r="AK1620" s="12">
        <v>2</v>
      </c>
      <c r="AL1620" s="12" t="s">
        <v>7377</v>
      </c>
      <c r="AM1620" s="2">
        <v>0</v>
      </c>
      <c r="AN1620" s="2">
        <v>0</v>
      </c>
      <c r="AO1620" s="2">
        <v>0</v>
      </c>
      <c r="AP1620" s="2">
        <v>1</v>
      </c>
      <c r="AQ1620" s="2">
        <v>0</v>
      </c>
      <c r="AR1620" s="2">
        <v>0</v>
      </c>
      <c r="AS1620" s="2">
        <v>0</v>
      </c>
      <c r="AT1620" s="2">
        <v>0</v>
      </c>
      <c r="BB1620" s="2" t="str">
        <f>+PROPER(BD[[#This Row],[PRIMER_APELLIDO]])</f>
        <v>Castro</v>
      </c>
    </row>
    <row r="1621" spans="1:54" x14ac:dyDescent="0.25">
      <c r="A1621" s="2">
        <v>1620</v>
      </c>
      <c r="B1621" s="2">
        <v>21061</v>
      </c>
      <c r="C1621" s="5" t="s">
        <v>619</v>
      </c>
      <c r="D1621" s="2" t="s">
        <v>620</v>
      </c>
      <c r="E1621" s="6" t="s">
        <v>9659</v>
      </c>
      <c r="F1621" s="6"/>
      <c r="G1621" s="3">
        <v>44</v>
      </c>
      <c r="I1621" s="7"/>
      <c r="J1621" s="7"/>
      <c r="K1621" s="8">
        <v>43.682191780821917</v>
      </c>
      <c r="L1621" s="2" t="s">
        <v>5236</v>
      </c>
      <c r="M1621" s="2" t="s">
        <v>243</v>
      </c>
      <c r="N1621" s="2" t="s">
        <v>41</v>
      </c>
      <c r="O1621" s="2" t="s">
        <v>58</v>
      </c>
      <c r="P1621" s="2" t="s">
        <v>626</v>
      </c>
      <c r="Q1621" s="2" t="s">
        <v>351</v>
      </c>
      <c r="R1621" s="9">
        <v>28852</v>
      </c>
      <c r="S1621" s="9">
        <v>28852</v>
      </c>
      <c r="T1621" s="2" t="s">
        <v>627</v>
      </c>
      <c r="U1621" s="2" t="s">
        <v>627</v>
      </c>
      <c r="V1621" s="2" t="s">
        <v>627</v>
      </c>
      <c r="W1621" s="2" t="s">
        <v>627</v>
      </c>
      <c r="X1621" s="2" t="s">
        <v>9660</v>
      </c>
      <c r="Y1621" s="2" t="s">
        <v>9661</v>
      </c>
      <c r="Z1621" s="6">
        <v>89710300</v>
      </c>
      <c r="AA1621" s="2" t="s">
        <v>9662</v>
      </c>
      <c r="AB1621" s="2" t="s">
        <v>642</v>
      </c>
      <c r="AC1621" s="2" t="s">
        <v>632</v>
      </c>
      <c r="AD1621" s="10">
        <v>89710300</v>
      </c>
      <c r="AE1621" s="11"/>
      <c r="AF1621" s="11"/>
      <c r="AG1621" s="11">
        <v>84106252</v>
      </c>
      <c r="AH1621" s="11">
        <v>88239162</v>
      </c>
      <c r="AI1621" s="11"/>
      <c r="AJ1621" s="11">
        <v>89710300</v>
      </c>
      <c r="AK1621" s="12">
        <v>4</v>
      </c>
      <c r="AL1621" s="12" t="s">
        <v>7377</v>
      </c>
      <c r="AM1621" s="2">
        <v>0</v>
      </c>
      <c r="AN1621" s="2">
        <v>0</v>
      </c>
      <c r="AO1621" s="2">
        <v>0</v>
      </c>
      <c r="AP1621" s="2">
        <v>1</v>
      </c>
      <c r="AQ1621" s="2">
        <v>0</v>
      </c>
      <c r="AR1621" s="2">
        <v>0</v>
      </c>
      <c r="AS1621" s="2">
        <v>0</v>
      </c>
      <c r="AT1621" s="2">
        <v>0</v>
      </c>
      <c r="AZ1621" s="2" t="s">
        <v>9663</v>
      </c>
      <c r="BB1621" s="2" t="str">
        <f>+PROPER(BD[[#This Row],[PRIMER_APELLIDO]])</f>
        <v>Romero</v>
      </c>
    </row>
    <row r="1622" spans="1:54" x14ac:dyDescent="0.25">
      <c r="A1622" s="2">
        <v>1621</v>
      </c>
      <c r="B1622" s="2">
        <v>18027</v>
      </c>
      <c r="C1622" s="5" t="s">
        <v>619</v>
      </c>
      <c r="D1622" s="2" t="s">
        <v>620</v>
      </c>
      <c r="E1622" s="6" t="s">
        <v>9664</v>
      </c>
      <c r="F1622" s="6"/>
      <c r="G1622" s="3">
        <v>44</v>
      </c>
      <c r="I1622" s="7"/>
      <c r="J1622" s="7"/>
      <c r="K1622" s="8">
        <v>43.684931506849317</v>
      </c>
      <c r="L1622" s="2" t="s">
        <v>667</v>
      </c>
      <c r="M1622" s="2" t="s">
        <v>9665</v>
      </c>
      <c r="N1622" s="2" t="s">
        <v>261</v>
      </c>
      <c r="O1622" s="2" t="s">
        <v>58</v>
      </c>
      <c r="P1622" s="2" t="s">
        <v>626</v>
      </c>
      <c r="Q1622" s="2" t="s">
        <v>351</v>
      </c>
      <c r="R1622" s="9">
        <v>28851</v>
      </c>
      <c r="S1622" s="9">
        <v>28851</v>
      </c>
      <c r="T1622" s="2" t="s">
        <v>691</v>
      </c>
      <c r="U1622" s="2" t="s">
        <v>691</v>
      </c>
      <c r="V1622" s="2" t="s">
        <v>716</v>
      </c>
      <c r="W1622" s="2" t="s">
        <v>691</v>
      </c>
      <c r="X1622" s="2" t="s">
        <v>9666</v>
      </c>
      <c r="Y1622" s="2" t="s">
        <v>9667</v>
      </c>
      <c r="Z1622" s="6">
        <v>89251924</v>
      </c>
      <c r="AA1622" s="2" t="s">
        <v>9668</v>
      </c>
      <c r="AB1622" s="2" t="s">
        <v>654</v>
      </c>
      <c r="AC1622" s="2" t="s">
        <v>632</v>
      </c>
      <c r="AD1622" s="10">
        <v>89251924</v>
      </c>
      <c r="AE1622" s="11"/>
      <c r="AF1622" s="11"/>
      <c r="AG1622" s="11">
        <v>89251924</v>
      </c>
      <c r="AH1622" s="11"/>
      <c r="AI1622" s="11"/>
      <c r="AJ1622" s="11">
        <v>89251924</v>
      </c>
      <c r="AK1622" s="12">
        <v>3</v>
      </c>
      <c r="AL1622" s="12" t="s">
        <v>7377</v>
      </c>
      <c r="AM1622" s="2">
        <v>0</v>
      </c>
      <c r="AN1622" s="2">
        <v>0</v>
      </c>
      <c r="AO1622" s="2">
        <v>0</v>
      </c>
      <c r="AP1622" s="2">
        <v>1</v>
      </c>
      <c r="AQ1622" s="2">
        <v>0</v>
      </c>
      <c r="AR1622" s="2">
        <v>0</v>
      </c>
      <c r="AS1622" s="2">
        <v>0</v>
      </c>
      <c r="AT1622" s="2">
        <v>0</v>
      </c>
      <c r="AZ1622" s="2" t="s">
        <v>9669</v>
      </c>
      <c r="BB1622" s="2" t="str">
        <f>+PROPER(BD[[#This Row],[PRIMER_APELLIDO]])</f>
        <v>Acevedo</v>
      </c>
    </row>
    <row r="1623" spans="1:54" x14ac:dyDescent="0.25">
      <c r="A1623" s="2">
        <v>1622</v>
      </c>
      <c r="B1623" s="2">
        <v>47682</v>
      </c>
      <c r="C1623" s="5" t="s">
        <v>619</v>
      </c>
      <c r="D1623" s="2" t="s">
        <v>620</v>
      </c>
      <c r="E1623" s="6" t="s">
        <v>9670</v>
      </c>
      <c r="F1623" s="6">
        <v>27429842</v>
      </c>
      <c r="G1623" s="3">
        <v>44</v>
      </c>
      <c r="I1623" s="7"/>
      <c r="J1623" s="7"/>
      <c r="K1623" s="8">
        <v>43.706849315068496</v>
      </c>
      <c r="L1623" s="2" t="s">
        <v>9671</v>
      </c>
      <c r="M1623" s="2" t="s">
        <v>714</v>
      </c>
      <c r="N1623" s="2" t="s">
        <v>179</v>
      </c>
      <c r="O1623" s="2" t="s">
        <v>102</v>
      </c>
      <c r="P1623" s="2" t="s">
        <v>626</v>
      </c>
      <c r="Q1623" s="2" t="s">
        <v>351</v>
      </c>
      <c r="R1623" s="9">
        <v>28843</v>
      </c>
      <c r="S1623" s="9">
        <v>28843</v>
      </c>
      <c r="T1623" s="2" t="s">
        <v>1104</v>
      </c>
      <c r="U1623" s="2" t="s">
        <v>1104</v>
      </c>
      <c r="V1623" s="2" t="s">
        <v>1104</v>
      </c>
      <c r="W1623" s="2" t="s">
        <v>1104</v>
      </c>
      <c r="X1623" s="2" t="s">
        <v>9672</v>
      </c>
      <c r="Y1623" s="2" t="s">
        <v>9673</v>
      </c>
      <c r="Z1623" s="6"/>
      <c r="AA1623" s="2">
        <v>86502154</v>
      </c>
      <c r="AB1623" s="2" t="s">
        <v>642</v>
      </c>
      <c r="AC1623" s="2" t="s">
        <v>632</v>
      </c>
      <c r="AD1623" s="10"/>
      <c r="AE1623" s="11"/>
      <c r="AF1623" s="11">
        <v>86502154</v>
      </c>
      <c r="AG1623" s="11"/>
      <c r="AH1623" s="11"/>
      <c r="AI1623" s="11"/>
      <c r="AJ1623" s="11">
        <v>86502154</v>
      </c>
      <c r="AK1623" s="12">
        <v>1</v>
      </c>
      <c r="AL1623" s="12" t="s">
        <v>7377</v>
      </c>
      <c r="AM1623" s="2">
        <v>0</v>
      </c>
      <c r="AN1623" s="2">
        <v>0</v>
      </c>
      <c r="AO1623" s="2">
        <v>0</v>
      </c>
      <c r="AP1623" s="2">
        <v>1</v>
      </c>
      <c r="AQ1623" s="2">
        <v>0</v>
      </c>
      <c r="AR1623" s="2">
        <v>0</v>
      </c>
      <c r="AS1623" s="2">
        <v>0</v>
      </c>
      <c r="AT1623" s="2">
        <v>0</v>
      </c>
      <c r="BB1623" s="2" t="str">
        <f>+PROPER(BD[[#This Row],[PRIMER_APELLIDO]])</f>
        <v>Herrera</v>
      </c>
    </row>
    <row r="1624" spans="1:54" x14ac:dyDescent="0.25">
      <c r="A1624" s="2">
        <v>1623</v>
      </c>
      <c r="B1624" s="2">
        <v>19387</v>
      </c>
      <c r="C1624" s="5" t="s">
        <v>619</v>
      </c>
      <c r="D1624" s="2" t="s">
        <v>620</v>
      </c>
      <c r="E1624" s="6" t="s">
        <v>9674</v>
      </c>
      <c r="F1624" s="6">
        <v>16919815</v>
      </c>
      <c r="G1624" s="3">
        <v>44</v>
      </c>
      <c r="I1624" s="7"/>
      <c r="J1624" s="7"/>
      <c r="K1624" s="8">
        <v>43.717808219178082</v>
      </c>
      <c r="L1624" s="2" t="s">
        <v>1241</v>
      </c>
      <c r="M1624" s="2" t="s">
        <v>724</v>
      </c>
      <c r="N1624" s="2" t="s">
        <v>327</v>
      </c>
      <c r="O1624" s="2" t="s">
        <v>9675</v>
      </c>
      <c r="P1624" s="2" t="s">
        <v>626</v>
      </c>
      <c r="Q1624" s="2" t="s">
        <v>351</v>
      </c>
      <c r="R1624" s="9">
        <v>28839</v>
      </c>
      <c r="S1624" s="9">
        <v>28839</v>
      </c>
      <c r="U1624" s="2" t="s">
        <v>627</v>
      </c>
      <c r="W1624" s="2" t="s">
        <v>627</v>
      </c>
      <c r="X1624" s="2" t="s">
        <v>9676</v>
      </c>
      <c r="Y1624" s="2" t="s">
        <v>9677</v>
      </c>
      <c r="Z1624" s="6"/>
      <c r="AA1624" s="2">
        <v>22782131</v>
      </c>
      <c r="AB1624" s="2" t="s">
        <v>642</v>
      </c>
      <c r="AC1624" s="2" t="s">
        <v>632</v>
      </c>
      <c r="AD1624" s="10"/>
      <c r="AE1624" s="11"/>
      <c r="AF1624" s="11"/>
      <c r="AG1624" s="11"/>
      <c r="AH1624" s="11"/>
      <c r="AI1624" s="11"/>
      <c r="AJ1624" s="11"/>
      <c r="AK1624" s="12">
        <v>1</v>
      </c>
      <c r="AL1624" s="12" t="s">
        <v>7377</v>
      </c>
      <c r="AM1624" s="2">
        <v>0</v>
      </c>
      <c r="AN1624" s="2">
        <v>0</v>
      </c>
      <c r="AO1624" s="2">
        <v>0</v>
      </c>
      <c r="AP1624" s="2">
        <v>1</v>
      </c>
      <c r="AQ1624" s="2">
        <v>0</v>
      </c>
      <c r="AR1624" s="2">
        <v>0</v>
      </c>
      <c r="AS1624" s="2">
        <v>0</v>
      </c>
      <c r="AT1624" s="2">
        <v>0</v>
      </c>
      <c r="BB1624" s="2" t="str">
        <f>+PROPER(BD[[#This Row],[PRIMER_APELLIDO]])</f>
        <v>Marenco</v>
      </c>
    </row>
    <row r="1625" spans="1:54" x14ac:dyDescent="0.25">
      <c r="A1625" s="2">
        <v>1624</v>
      </c>
      <c r="B1625" s="2">
        <v>18372</v>
      </c>
      <c r="C1625" s="5" t="s">
        <v>619</v>
      </c>
      <c r="D1625" s="2" t="s">
        <v>620</v>
      </c>
      <c r="E1625" s="6" t="s">
        <v>9678</v>
      </c>
      <c r="F1625" s="6">
        <v>16169001</v>
      </c>
      <c r="G1625" s="3">
        <v>44</v>
      </c>
      <c r="I1625" s="7"/>
      <c r="J1625" s="7"/>
      <c r="K1625" s="8">
        <v>43.742465753424661</v>
      </c>
      <c r="L1625" s="2" t="s">
        <v>3217</v>
      </c>
      <c r="M1625" s="2" t="s">
        <v>904</v>
      </c>
      <c r="N1625" s="2" t="s">
        <v>363</v>
      </c>
      <c r="O1625" s="2" t="s">
        <v>216</v>
      </c>
      <c r="P1625" s="2" t="s">
        <v>649</v>
      </c>
      <c r="Q1625" s="2" t="s">
        <v>351</v>
      </c>
      <c r="R1625" s="9">
        <v>28830</v>
      </c>
      <c r="S1625" s="9">
        <v>28830</v>
      </c>
      <c r="T1625" s="2" t="s">
        <v>627</v>
      </c>
      <c r="U1625" s="2" t="s">
        <v>627</v>
      </c>
      <c r="V1625" s="2" t="s">
        <v>627</v>
      </c>
      <c r="W1625" s="2" t="s">
        <v>1498</v>
      </c>
      <c r="X1625" s="2" t="s">
        <v>9679</v>
      </c>
      <c r="Y1625" s="2" t="s">
        <v>9680</v>
      </c>
      <c r="Z1625" s="6">
        <v>87872381</v>
      </c>
      <c r="AA1625" s="2">
        <v>86308068</v>
      </c>
      <c r="AB1625" s="2" t="s">
        <v>654</v>
      </c>
      <c r="AC1625" s="2" t="s">
        <v>632</v>
      </c>
      <c r="AD1625" s="10">
        <v>87872381</v>
      </c>
      <c r="AE1625" s="11"/>
      <c r="AF1625" s="11">
        <v>86308068</v>
      </c>
      <c r="AG1625" s="11"/>
      <c r="AH1625" s="11"/>
      <c r="AI1625" s="11"/>
      <c r="AJ1625" s="11">
        <v>87872381</v>
      </c>
      <c r="AK1625" s="12">
        <v>2</v>
      </c>
      <c r="AL1625" s="12" t="s">
        <v>7377</v>
      </c>
      <c r="AM1625" s="2">
        <v>0</v>
      </c>
      <c r="AN1625" s="2">
        <v>0</v>
      </c>
      <c r="AO1625" s="2">
        <v>0</v>
      </c>
      <c r="AP1625" s="2">
        <v>1</v>
      </c>
      <c r="AQ1625" s="2">
        <v>0</v>
      </c>
      <c r="AR1625" s="2">
        <v>0</v>
      </c>
      <c r="AS1625" s="2">
        <v>0</v>
      </c>
      <c r="AT1625" s="2">
        <v>0</v>
      </c>
      <c r="AZ1625" s="2" t="s">
        <v>9681</v>
      </c>
      <c r="BB1625" s="2" t="str">
        <f>+PROPER(BD[[#This Row],[PRIMER_APELLIDO]])</f>
        <v>Delgado</v>
      </c>
    </row>
    <row r="1626" spans="1:54" x14ac:dyDescent="0.25">
      <c r="A1626" s="2">
        <v>1625</v>
      </c>
      <c r="B1626" s="2">
        <v>22011</v>
      </c>
      <c r="C1626" s="5" t="s">
        <v>619</v>
      </c>
      <c r="D1626" s="2" t="s">
        <v>620</v>
      </c>
      <c r="E1626" s="6" t="s">
        <v>9682</v>
      </c>
      <c r="F1626" s="6">
        <v>18947508</v>
      </c>
      <c r="G1626" s="3">
        <v>44</v>
      </c>
      <c r="I1626" s="7"/>
      <c r="J1626" s="7"/>
      <c r="K1626" s="8">
        <v>43.742465753424661</v>
      </c>
      <c r="L1626" s="2" t="s">
        <v>9683</v>
      </c>
      <c r="M1626" s="2" t="s">
        <v>724</v>
      </c>
      <c r="N1626" s="2" t="s">
        <v>10</v>
      </c>
      <c r="O1626" s="2" t="s">
        <v>5760</v>
      </c>
      <c r="P1626" s="2" t="s">
        <v>626</v>
      </c>
      <c r="Q1626" s="2" t="s">
        <v>351</v>
      </c>
      <c r="R1626" s="9">
        <v>28830</v>
      </c>
      <c r="S1626" s="9">
        <v>28830</v>
      </c>
      <c r="T1626" s="2" t="s">
        <v>176</v>
      </c>
      <c r="U1626" s="2" t="s">
        <v>1044</v>
      </c>
      <c r="V1626" s="2" t="s">
        <v>650</v>
      </c>
      <c r="W1626" s="2" t="s">
        <v>1045</v>
      </c>
      <c r="X1626" s="2" t="s">
        <v>9684</v>
      </c>
      <c r="Y1626" s="2" t="s">
        <v>9685</v>
      </c>
      <c r="Z1626" s="6">
        <v>85604856</v>
      </c>
      <c r="AA1626" s="2">
        <v>85604856</v>
      </c>
      <c r="AB1626" s="2" t="s">
        <v>654</v>
      </c>
      <c r="AC1626" s="2" t="s">
        <v>632</v>
      </c>
      <c r="AD1626" s="10">
        <v>85604856</v>
      </c>
      <c r="AE1626" s="11"/>
      <c r="AF1626" s="11">
        <v>85604856</v>
      </c>
      <c r="AG1626" s="11"/>
      <c r="AH1626" s="11"/>
      <c r="AI1626" s="11"/>
      <c r="AJ1626" s="11">
        <v>85604856</v>
      </c>
      <c r="AK1626" s="12">
        <v>2</v>
      </c>
      <c r="AL1626" s="12" t="s">
        <v>7377</v>
      </c>
      <c r="AM1626" s="2">
        <v>0</v>
      </c>
      <c r="AN1626" s="2">
        <v>0</v>
      </c>
      <c r="AO1626" s="2">
        <v>0</v>
      </c>
      <c r="AP1626" s="2">
        <v>1</v>
      </c>
      <c r="AQ1626" s="2">
        <v>0</v>
      </c>
      <c r="AR1626" s="2">
        <v>0</v>
      </c>
      <c r="AS1626" s="2">
        <v>0</v>
      </c>
      <c r="AT1626" s="2">
        <v>0</v>
      </c>
      <c r="BB1626" s="2" t="str">
        <f>+PROPER(BD[[#This Row],[PRIMER_APELLIDO]])</f>
        <v>Garcia</v>
      </c>
    </row>
    <row r="1627" spans="1:54" x14ac:dyDescent="0.25">
      <c r="A1627" s="2">
        <v>1626</v>
      </c>
      <c r="B1627" s="2">
        <v>30106</v>
      </c>
      <c r="C1627" s="5" t="s">
        <v>619</v>
      </c>
      <c r="D1627" s="2" t="s">
        <v>620</v>
      </c>
      <c r="E1627" s="6" t="s">
        <v>9686</v>
      </c>
      <c r="F1627" s="6"/>
      <c r="G1627" s="3">
        <v>44</v>
      </c>
      <c r="I1627" s="7"/>
      <c r="J1627" s="7"/>
      <c r="K1627" s="8">
        <v>43.745205479452054</v>
      </c>
      <c r="L1627" s="2" t="s">
        <v>4012</v>
      </c>
      <c r="M1627" s="2" t="s">
        <v>243</v>
      </c>
      <c r="N1627" s="2" t="s">
        <v>287</v>
      </c>
      <c r="O1627" s="2" t="s">
        <v>28</v>
      </c>
      <c r="P1627" s="2" t="s">
        <v>649</v>
      </c>
      <c r="Q1627" s="2" t="s">
        <v>351</v>
      </c>
      <c r="R1627" s="9">
        <v>28829</v>
      </c>
      <c r="S1627" s="9">
        <v>28829</v>
      </c>
      <c r="T1627" s="2" t="s">
        <v>659</v>
      </c>
      <c r="U1627" s="2" t="s">
        <v>659</v>
      </c>
      <c r="V1627" s="2" t="s">
        <v>659</v>
      </c>
      <c r="W1627" s="2" t="s">
        <v>659</v>
      </c>
      <c r="X1627" s="2" t="s">
        <v>9687</v>
      </c>
      <c r="Y1627" s="2" t="s">
        <v>9688</v>
      </c>
      <c r="Z1627" s="6">
        <v>89222000</v>
      </c>
      <c r="AA1627" s="2">
        <v>89222000</v>
      </c>
      <c r="AB1627" s="2" t="s">
        <v>654</v>
      </c>
      <c r="AC1627" s="2" t="s">
        <v>632</v>
      </c>
      <c r="AD1627" s="10">
        <v>89222000</v>
      </c>
      <c r="AE1627" s="11"/>
      <c r="AF1627" s="11">
        <v>89222000</v>
      </c>
      <c r="AG1627" s="11"/>
      <c r="AH1627" s="11"/>
      <c r="AI1627" s="11"/>
      <c r="AJ1627" s="11">
        <v>89222000</v>
      </c>
      <c r="AK1627" s="12">
        <v>2</v>
      </c>
      <c r="AL1627" s="12" t="s">
        <v>7377</v>
      </c>
      <c r="AM1627" s="2">
        <v>0</v>
      </c>
      <c r="AN1627" s="2">
        <v>0</v>
      </c>
      <c r="AO1627" s="2">
        <v>0</v>
      </c>
      <c r="AP1627" s="2">
        <v>1</v>
      </c>
      <c r="AQ1627" s="2">
        <v>0</v>
      </c>
      <c r="AR1627" s="2">
        <v>0</v>
      </c>
      <c r="AS1627" s="2">
        <v>0</v>
      </c>
      <c r="AT1627" s="2">
        <v>0</v>
      </c>
      <c r="AZ1627" s="2" t="s">
        <v>9689</v>
      </c>
      <c r="BB1627" s="2" t="str">
        <f>+PROPER(BD[[#This Row],[PRIMER_APELLIDO]])</f>
        <v>Bravo</v>
      </c>
    </row>
    <row r="1628" spans="1:54" x14ac:dyDescent="0.25">
      <c r="A1628" s="2">
        <v>1627</v>
      </c>
      <c r="B1628" s="2">
        <v>26531</v>
      </c>
      <c r="C1628" s="5" t="s">
        <v>619</v>
      </c>
      <c r="D1628" s="2" t="s">
        <v>620</v>
      </c>
      <c r="E1628" s="6" t="s">
        <v>9690</v>
      </c>
      <c r="F1628" s="6"/>
      <c r="G1628" s="3">
        <v>44</v>
      </c>
      <c r="I1628" s="7"/>
      <c r="J1628" s="7"/>
      <c r="K1628" s="8">
        <v>43.747945205479454</v>
      </c>
      <c r="L1628" s="2" t="s">
        <v>9691</v>
      </c>
      <c r="M1628" s="2" t="s">
        <v>9692</v>
      </c>
      <c r="N1628" s="2" t="s">
        <v>74</v>
      </c>
      <c r="O1628" s="2" t="s">
        <v>82</v>
      </c>
      <c r="P1628" s="2" t="s">
        <v>626</v>
      </c>
      <c r="Q1628" s="2" t="s">
        <v>351</v>
      </c>
      <c r="R1628" s="9">
        <v>28828</v>
      </c>
      <c r="S1628" s="9">
        <v>28828</v>
      </c>
      <c r="T1628" s="2" t="s">
        <v>669</v>
      </c>
      <c r="U1628" s="2" t="s">
        <v>669</v>
      </c>
      <c r="V1628" s="2" t="s">
        <v>669</v>
      </c>
      <c r="W1628" s="2" t="s">
        <v>669</v>
      </c>
      <c r="X1628" s="2" t="s">
        <v>9693</v>
      </c>
      <c r="Y1628" s="2" t="s">
        <v>9694</v>
      </c>
      <c r="Z1628" s="6">
        <v>83675472</v>
      </c>
      <c r="AA1628" s="2">
        <v>88848087</v>
      </c>
      <c r="AB1628" s="2" t="s">
        <v>631</v>
      </c>
      <c r="AC1628" s="2" t="s">
        <v>632</v>
      </c>
      <c r="AD1628" s="10">
        <v>83675472</v>
      </c>
      <c r="AE1628" s="11"/>
      <c r="AF1628" s="11">
        <v>88848087</v>
      </c>
      <c r="AG1628" s="11"/>
      <c r="AH1628" s="11"/>
      <c r="AI1628" s="11"/>
      <c r="AJ1628" s="11">
        <v>83675472</v>
      </c>
      <c r="AK1628" s="12">
        <v>2</v>
      </c>
      <c r="AL1628" s="12" t="s">
        <v>7377</v>
      </c>
      <c r="AM1628" s="2">
        <v>0</v>
      </c>
      <c r="AN1628" s="2">
        <v>0</v>
      </c>
      <c r="AO1628" s="2">
        <v>0</v>
      </c>
      <c r="AP1628" s="2">
        <v>1</v>
      </c>
      <c r="AQ1628" s="2">
        <v>0</v>
      </c>
      <c r="AR1628" s="2">
        <v>0</v>
      </c>
      <c r="AS1628" s="2">
        <v>0</v>
      </c>
      <c r="AT1628" s="2">
        <v>0</v>
      </c>
      <c r="AZ1628" s="2" t="s">
        <v>9695</v>
      </c>
      <c r="BB1628" s="2" t="str">
        <f>+PROPER(BD[[#This Row],[PRIMER_APELLIDO]])</f>
        <v>Reyes</v>
      </c>
    </row>
    <row r="1629" spans="1:54" x14ac:dyDescent="0.25">
      <c r="A1629" s="2">
        <v>1628</v>
      </c>
      <c r="B1629" s="2">
        <v>29829</v>
      </c>
      <c r="C1629" s="5" t="s">
        <v>619</v>
      </c>
      <c r="D1629" s="2" t="s">
        <v>620</v>
      </c>
      <c r="E1629" s="6" t="s">
        <v>9696</v>
      </c>
      <c r="F1629" s="6">
        <v>13299323</v>
      </c>
      <c r="G1629" s="3">
        <v>44</v>
      </c>
      <c r="I1629" s="7"/>
      <c r="J1629" s="7"/>
      <c r="K1629" s="8">
        <v>43.756164383561647</v>
      </c>
      <c r="L1629" s="2" t="s">
        <v>4485</v>
      </c>
      <c r="M1629" s="2" t="s">
        <v>961</v>
      </c>
      <c r="N1629" s="2" t="s">
        <v>14</v>
      </c>
      <c r="O1629" s="2" t="s">
        <v>11</v>
      </c>
      <c r="P1629" s="2" t="s">
        <v>626</v>
      </c>
      <c r="Q1629" s="2" t="s">
        <v>351</v>
      </c>
      <c r="R1629" s="9">
        <v>28825</v>
      </c>
      <c r="S1629" s="9">
        <v>28825</v>
      </c>
      <c r="T1629" s="2" t="s">
        <v>627</v>
      </c>
      <c r="U1629" s="2" t="s">
        <v>627</v>
      </c>
      <c r="V1629" s="2" t="s">
        <v>627</v>
      </c>
      <c r="W1629" s="2" t="s">
        <v>627</v>
      </c>
      <c r="X1629" s="2" t="s">
        <v>9697</v>
      </c>
      <c r="Y1629" s="2" t="s">
        <v>9698</v>
      </c>
      <c r="Z1629" s="6"/>
      <c r="AA1629" s="2">
        <v>84099675</v>
      </c>
      <c r="AB1629" s="2" t="s">
        <v>654</v>
      </c>
      <c r="AC1629" s="2" t="s">
        <v>632</v>
      </c>
      <c r="AD1629" s="10"/>
      <c r="AE1629" s="11"/>
      <c r="AF1629" s="11">
        <v>84099675</v>
      </c>
      <c r="AG1629" s="11"/>
      <c r="AH1629" s="11"/>
      <c r="AI1629" s="11"/>
      <c r="AJ1629" s="11">
        <v>84099675</v>
      </c>
      <c r="AK1629" s="12">
        <v>1</v>
      </c>
      <c r="AL1629" s="12" t="s">
        <v>7377</v>
      </c>
      <c r="AM1629" s="2">
        <v>0</v>
      </c>
      <c r="AN1629" s="2">
        <v>0</v>
      </c>
      <c r="AO1629" s="2">
        <v>0</v>
      </c>
      <c r="AP1629" s="2">
        <v>1</v>
      </c>
      <c r="AQ1629" s="2">
        <v>0</v>
      </c>
      <c r="AR1629" s="2">
        <v>0</v>
      </c>
      <c r="AS1629" s="2">
        <v>0</v>
      </c>
      <c r="AT1629" s="2">
        <v>0</v>
      </c>
      <c r="BB1629" s="2" t="str">
        <f>+PROPER(BD[[#This Row],[PRIMER_APELLIDO]])</f>
        <v>Gonzalez</v>
      </c>
    </row>
    <row r="1630" spans="1:54" x14ac:dyDescent="0.25">
      <c r="A1630" s="2">
        <v>1629</v>
      </c>
      <c r="B1630" s="2">
        <v>37317</v>
      </c>
      <c r="C1630" s="5" t="s">
        <v>619</v>
      </c>
      <c r="D1630" s="2" t="s">
        <v>620</v>
      </c>
      <c r="E1630" s="6" t="s">
        <v>9699</v>
      </c>
      <c r="F1630" s="6">
        <v>16158360</v>
      </c>
      <c r="G1630" s="3">
        <v>44</v>
      </c>
      <c r="I1630" s="7"/>
      <c r="J1630" s="7"/>
      <c r="K1630" s="8">
        <v>43.767123287671232</v>
      </c>
      <c r="L1630" s="2" t="s">
        <v>724</v>
      </c>
      <c r="M1630" s="2" t="s">
        <v>243</v>
      </c>
      <c r="N1630" s="2" t="s">
        <v>553</v>
      </c>
      <c r="O1630" s="2" t="s">
        <v>361</v>
      </c>
      <c r="P1630" s="2" t="s">
        <v>626</v>
      </c>
      <c r="Q1630" s="2" t="s">
        <v>351</v>
      </c>
      <c r="R1630" s="9">
        <v>28821</v>
      </c>
      <c r="S1630" s="9">
        <v>28821</v>
      </c>
      <c r="U1630" s="2" t="s">
        <v>627</v>
      </c>
      <c r="W1630" s="2" t="s">
        <v>627</v>
      </c>
      <c r="X1630" s="2" t="s">
        <v>9700</v>
      </c>
      <c r="Y1630" s="2" t="s">
        <v>9701</v>
      </c>
      <c r="Z1630" s="6">
        <v>84545883</v>
      </c>
      <c r="AB1630" s="2" t="s">
        <v>894</v>
      </c>
      <c r="AC1630" s="2" t="s">
        <v>632</v>
      </c>
      <c r="AD1630" s="10">
        <v>84545883</v>
      </c>
      <c r="AE1630" s="11"/>
      <c r="AF1630" s="11"/>
      <c r="AG1630" s="11"/>
      <c r="AH1630" s="11"/>
      <c r="AI1630" s="11"/>
      <c r="AJ1630" s="11">
        <v>84545883</v>
      </c>
      <c r="AK1630" s="12">
        <v>1</v>
      </c>
      <c r="AL1630" s="12" t="s">
        <v>7377</v>
      </c>
      <c r="AM1630" s="2">
        <v>0</v>
      </c>
      <c r="AN1630" s="2">
        <v>0</v>
      </c>
      <c r="AO1630" s="2">
        <v>0</v>
      </c>
      <c r="AP1630" s="2">
        <v>1</v>
      </c>
      <c r="AQ1630" s="2">
        <v>0</v>
      </c>
      <c r="AR1630" s="2">
        <v>0</v>
      </c>
      <c r="AS1630" s="2">
        <v>0</v>
      </c>
      <c r="AT1630" s="2">
        <v>0</v>
      </c>
      <c r="AZ1630" s="2" t="s">
        <v>9702</v>
      </c>
      <c r="BB1630" s="2" t="str">
        <f>+PROPER(BD[[#This Row],[PRIMER_APELLIDO]])</f>
        <v>Uriza</v>
      </c>
    </row>
    <row r="1631" spans="1:54" x14ac:dyDescent="0.25">
      <c r="A1631" s="2">
        <v>1630</v>
      </c>
      <c r="B1631" s="2">
        <v>27122</v>
      </c>
      <c r="C1631" s="5" t="s">
        <v>619</v>
      </c>
      <c r="D1631" s="2" t="s">
        <v>620</v>
      </c>
      <c r="E1631" s="6" t="s">
        <v>9703</v>
      </c>
      <c r="F1631" s="6">
        <v>22104401</v>
      </c>
      <c r="G1631" s="3">
        <v>44</v>
      </c>
      <c r="I1631" s="7"/>
      <c r="J1631" s="7"/>
      <c r="K1631" s="8">
        <v>43.775342465753425</v>
      </c>
      <c r="L1631" s="2" t="s">
        <v>738</v>
      </c>
      <c r="M1631" s="2" t="s">
        <v>648</v>
      </c>
      <c r="N1631" s="2" t="s">
        <v>24</v>
      </c>
      <c r="O1631" s="2" t="s">
        <v>517</v>
      </c>
      <c r="P1631" s="2" t="s">
        <v>649</v>
      </c>
      <c r="Q1631" s="2" t="s">
        <v>351</v>
      </c>
      <c r="R1631" s="9">
        <v>28818</v>
      </c>
      <c r="S1631" s="9">
        <v>28818</v>
      </c>
      <c r="T1631" s="2" t="s">
        <v>176</v>
      </c>
      <c r="U1631" s="2" t="s">
        <v>176</v>
      </c>
      <c r="V1631" s="2" t="s">
        <v>997</v>
      </c>
      <c r="W1631" s="2" t="s">
        <v>997</v>
      </c>
      <c r="X1631" s="2" t="s">
        <v>9704</v>
      </c>
      <c r="Y1631" s="2" t="s">
        <v>9705</v>
      </c>
      <c r="Z1631" s="6"/>
      <c r="AA1631" s="2" t="s">
        <v>9706</v>
      </c>
      <c r="AB1631" s="2" t="s">
        <v>654</v>
      </c>
      <c r="AC1631" s="2" t="s">
        <v>632</v>
      </c>
      <c r="AD1631" s="10"/>
      <c r="AE1631" s="11"/>
      <c r="AF1631" s="11"/>
      <c r="AG1631" s="11">
        <v>84483006</v>
      </c>
      <c r="AH1631" s="11">
        <v>86998110</v>
      </c>
      <c r="AI1631" s="11"/>
      <c r="AJ1631" s="11">
        <v>84483006</v>
      </c>
      <c r="AK1631" s="12">
        <v>3</v>
      </c>
      <c r="AL1631" s="12" t="s">
        <v>7377</v>
      </c>
      <c r="AM1631" s="2">
        <v>0</v>
      </c>
      <c r="AN1631" s="2">
        <v>0</v>
      </c>
      <c r="AO1631" s="2">
        <v>0</v>
      </c>
      <c r="AP1631" s="2">
        <v>1</v>
      </c>
      <c r="AQ1631" s="2">
        <v>0</v>
      </c>
      <c r="AR1631" s="2">
        <v>0</v>
      </c>
      <c r="AS1631" s="2">
        <v>0</v>
      </c>
      <c r="AT1631" s="2">
        <v>0</v>
      </c>
      <c r="BA1631" s="2" t="s">
        <v>9707</v>
      </c>
      <c r="BB1631" s="2" t="str">
        <f>+PROPER(BD[[#This Row],[PRIMER_APELLIDO]])</f>
        <v>Perez</v>
      </c>
    </row>
    <row r="1632" spans="1:54" x14ac:dyDescent="0.25">
      <c r="A1632" s="2">
        <v>1631</v>
      </c>
      <c r="B1632" s="2">
        <v>25007</v>
      </c>
      <c r="C1632" s="5" t="s">
        <v>619</v>
      </c>
      <c r="D1632" s="2" t="s">
        <v>620</v>
      </c>
      <c r="E1632" s="6" t="s">
        <v>9708</v>
      </c>
      <c r="F1632" s="6">
        <v>21186646</v>
      </c>
      <c r="G1632" s="3">
        <v>44</v>
      </c>
      <c r="I1632" s="7"/>
      <c r="J1632" s="7"/>
      <c r="K1632" s="8">
        <v>43.780821917808218</v>
      </c>
      <c r="L1632" s="2" t="s">
        <v>793</v>
      </c>
      <c r="M1632" s="2" t="s">
        <v>904</v>
      </c>
      <c r="N1632" s="2" t="s">
        <v>467</v>
      </c>
      <c r="O1632" s="2" t="s">
        <v>474</v>
      </c>
      <c r="P1632" s="2" t="s">
        <v>649</v>
      </c>
      <c r="Q1632" s="2" t="s">
        <v>351</v>
      </c>
      <c r="R1632" s="9">
        <v>28816</v>
      </c>
      <c r="S1632" s="9">
        <v>28816</v>
      </c>
      <c r="U1632" s="2" t="s">
        <v>133</v>
      </c>
      <c r="W1632" s="2" t="s">
        <v>869</v>
      </c>
      <c r="X1632" s="2" t="s">
        <v>9709</v>
      </c>
      <c r="Y1632" s="2" t="s">
        <v>9710</v>
      </c>
      <c r="Z1632" s="6"/>
      <c r="AA1632" s="2" t="s">
        <v>9711</v>
      </c>
      <c r="AB1632" s="2" t="s">
        <v>798</v>
      </c>
      <c r="AC1632" s="2" t="s">
        <v>632</v>
      </c>
      <c r="AD1632" s="10"/>
      <c r="AE1632" s="11"/>
      <c r="AF1632" s="11"/>
      <c r="AG1632" s="11">
        <v>89966386</v>
      </c>
      <c r="AH1632" s="11"/>
      <c r="AI1632" s="11"/>
      <c r="AJ1632" s="11">
        <v>89966386</v>
      </c>
      <c r="AK1632" s="12">
        <v>2</v>
      </c>
      <c r="AL1632" s="12" t="s">
        <v>7377</v>
      </c>
      <c r="AM1632" s="2">
        <v>0</v>
      </c>
      <c r="AN1632" s="2">
        <v>0</v>
      </c>
      <c r="AO1632" s="2">
        <v>0</v>
      </c>
      <c r="AP1632" s="2">
        <v>1</v>
      </c>
      <c r="AQ1632" s="2">
        <v>0</v>
      </c>
      <c r="AR1632" s="2">
        <v>0</v>
      </c>
      <c r="AS1632" s="2">
        <v>0</v>
      </c>
      <c r="AT1632" s="2">
        <v>0</v>
      </c>
      <c r="BB1632" s="2" t="str">
        <f>+PROPER(BD[[#This Row],[PRIMER_APELLIDO]])</f>
        <v>Jimenez</v>
      </c>
    </row>
    <row r="1633" spans="1:54" x14ac:dyDescent="0.25">
      <c r="A1633" s="2">
        <v>1632</v>
      </c>
      <c r="B1633" s="2">
        <v>24164</v>
      </c>
      <c r="C1633" s="5" t="s">
        <v>619</v>
      </c>
      <c r="D1633" s="2" t="s">
        <v>620</v>
      </c>
      <c r="E1633" s="6" t="s">
        <v>9712</v>
      </c>
      <c r="F1633" s="6">
        <v>18788907</v>
      </c>
      <c r="G1633" s="3">
        <v>44</v>
      </c>
      <c r="I1633" s="7"/>
      <c r="J1633" s="7"/>
      <c r="K1633" s="8">
        <v>43.783561643835618</v>
      </c>
      <c r="L1633" s="2" t="s">
        <v>1119</v>
      </c>
      <c r="M1633" s="2" t="s">
        <v>787</v>
      </c>
      <c r="N1633" s="2" t="s">
        <v>14</v>
      </c>
      <c r="O1633" s="2" t="s">
        <v>9713</v>
      </c>
      <c r="P1633" s="2" t="s">
        <v>626</v>
      </c>
      <c r="Q1633" s="2" t="s">
        <v>351</v>
      </c>
      <c r="R1633" s="9">
        <v>28815</v>
      </c>
      <c r="S1633" s="9">
        <v>28815</v>
      </c>
      <c r="T1633" s="2" t="s">
        <v>627</v>
      </c>
      <c r="U1633" s="2" t="s">
        <v>627</v>
      </c>
      <c r="V1633" s="2" t="s">
        <v>627</v>
      </c>
      <c r="W1633" s="2" t="s">
        <v>627</v>
      </c>
      <c r="X1633" s="2" t="s">
        <v>9714</v>
      </c>
      <c r="Y1633" s="2" t="s">
        <v>9715</v>
      </c>
      <c r="Z1633" s="6">
        <v>22777910</v>
      </c>
      <c r="AA1633" s="2" t="s">
        <v>9716</v>
      </c>
      <c r="AB1633" s="2" t="s">
        <v>642</v>
      </c>
      <c r="AC1633" s="2" t="s">
        <v>632</v>
      </c>
      <c r="AD1633" s="10"/>
      <c r="AE1633" s="11"/>
      <c r="AF1633" s="11"/>
      <c r="AG1633" s="11">
        <v>87442264</v>
      </c>
      <c r="AH1633" s="11"/>
      <c r="AI1633" s="11"/>
      <c r="AJ1633" s="11">
        <v>87442264</v>
      </c>
      <c r="AK1633" s="12">
        <v>3</v>
      </c>
      <c r="AL1633" s="12" t="s">
        <v>7377</v>
      </c>
      <c r="AM1633" s="2">
        <v>0</v>
      </c>
      <c r="AN1633" s="2">
        <v>0</v>
      </c>
      <c r="AO1633" s="2">
        <v>0</v>
      </c>
      <c r="AP1633" s="2">
        <v>1</v>
      </c>
      <c r="AQ1633" s="2">
        <v>0</v>
      </c>
      <c r="AR1633" s="2">
        <v>0</v>
      </c>
      <c r="AS1633" s="2">
        <v>0</v>
      </c>
      <c r="AT1633" s="2">
        <v>0</v>
      </c>
      <c r="AZ1633" s="2" t="s">
        <v>9717</v>
      </c>
      <c r="BA1633" s="2" t="s">
        <v>9717</v>
      </c>
      <c r="BB1633" s="2" t="str">
        <f>+PROPER(BD[[#This Row],[PRIMER_APELLIDO]])</f>
        <v>Gonzalez</v>
      </c>
    </row>
    <row r="1634" spans="1:54" x14ac:dyDescent="0.25">
      <c r="A1634" s="2">
        <v>1633</v>
      </c>
      <c r="B1634" s="2">
        <v>18422</v>
      </c>
      <c r="C1634" s="5" t="s">
        <v>619</v>
      </c>
      <c r="D1634" s="2" t="s">
        <v>620</v>
      </c>
      <c r="E1634" s="6" t="s">
        <v>9718</v>
      </c>
      <c r="F1634" s="6">
        <v>16615508</v>
      </c>
      <c r="G1634" s="3">
        <v>44</v>
      </c>
      <c r="I1634" s="7"/>
      <c r="J1634" s="7"/>
      <c r="K1634" s="8">
        <v>43.797260273972604</v>
      </c>
      <c r="L1634" s="2" t="s">
        <v>1850</v>
      </c>
      <c r="M1634" s="2" t="s">
        <v>2452</v>
      </c>
      <c r="N1634" s="2" t="s">
        <v>185</v>
      </c>
      <c r="O1634" s="2" t="s">
        <v>414</v>
      </c>
      <c r="P1634" s="2" t="s">
        <v>626</v>
      </c>
      <c r="Q1634" s="2" t="s">
        <v>351</v>
      </c>
      <c r="R1634" s="9">
        <v>28810</v>
      </c>
      <c r="S1634" s="9">
        <v>28810</v>
      </c>
      <c r="T1634" s="2" t="s">
        <v>627</v>
      </c>
      <c r="U1634" s="2" t="s">
        <v>627</v>
      </c>
      <c r="V1634" s="2" t="s">
        <v>627</v>
      </c>
      <c r="W1634" s="2" t="s">
        <v>627</v>
      </c>
      <c r="X1634" s="2" t="s">
        <v>9719</v>
      </c>
      <c r="Y1634" s="2" t="s">
        <v>9720</v>
      </c>
      <c r="Z1634" s="6"/>
      <c r="AA1634" s="2">
        <v>22496427</v>
      </c>
      <c r="AB1634" s="2" t="s">
        <v>642</v>
      </c>
      <c r="AC1634" s="2" t="s">
        <v>632</v>
      </c>
      <c r="AD1634" s="10"/>
      <c r="AE1634" s="11"/>
      <c r="AF1634" s="11"/>
      <c r="AG1634" s="11"/>
      <c r="AH1634" s="11"/>
      <c r="AI1634" s="11"/>
      <c r="AJ1634" s="11"/>
      <c r="AK1634" s="12">
        <v>1</v>
      </c>
      <c r="AL1634" s="12" t="s">
        <v>7377</v>
      </c>
      <c r="AM1634" s="2">
        <v>0</v>
      </c>
      <c r="AN1634" s="2">
        <v>0</v>
      </c>
      <c r="AO1634" s="2">
        <v>0</v>
      </c>
      <c r="AP1634" s="2">
        <v>1</v>
      </c>
      <c r="AQ1634" s="2">
        <v>0</v>
      </c>
      <c r="AR1634" s="2">
        <v>0</v>
      </c>
      <c r="AS1634" s="2">
        <v>0</v>
      </c>
      <c r="AT1634" s="2">
        <v>0</v>
      </c>
      <c r="BB1634" s="2" t="str">
        <f>+PROPER(BD[[#This Row],[PRIMER_APELLIDO]])</f>
        <v>Rodriguez</v>
      </c>
    </row>
    <row r="1635" spans="1:54" x14ac:dyDescent="0.25">
      <c r="A1635" s="2">
        <v>1634</v>
      </c>
      <c r="B1635" s="2">
        <v>30503</v>
      </c>
      <c r="C1635" s="5" t="s">
        <v>619</v>
      </c>
      <c r="D1635" s="2" t="s">
        <v>620</v>
      </c>
      <c r="E1635" s="6" t="s">
        <v>9721</v>
      </c>
      <c r="F1635" s="6">
        <v>21726819</v>
      </c>
      <c r="G1635" s="3">
        <v>44</v>
      </c>
      <c r="I1635" s="7"/>
      <c r="J1635" s="7"/>
      <c r="K1635" s="8">
        <v>43.81095890410959</v>
      </c>
      <c r="L1635" s="2" t="s">
        <v>9722</v>
      </c>
      <c r="M1635" s="2" t="s">
        <v>8891</v>
      </c>
      <c r="N1635" s="2" t="s">
        <v>554</v>
      </c>
      <c r="O1635" s="2" t="s">
        <v>163</v>
      </c>
      <c r="P1635" s="2" t="s">
        <v>626</v>
      </c>
      <c r="Q1635" s="2" t="s">
        <v>351</v>
      </c>
      <c r="R1635" s="9">
        <v>28805</v>
      </c>
      <c r="S1635" s="9">
        <v>28805</v>
      </c>
      <c r="T1635" s="2" t="s">
        <v>444</v>
      </c>
      <c r="U1635" s="2" t="s">
        <v>444</v>
      </c>
      <c r="V1635" s="2" t="s">
        <v>1136</v>
      </c>
      <c r="W1635" s="2" t="s">
        <v>1137</v>
      </c>
      <c r="X1635" s="2" t="s">
        <v>9723</v>
      </c>
      <c r="Y1635" s="2" t="s">
        <v>9724</v>
      </c>
      <c r="Z1635" s="6"/>
      <c r="AA1635" s="2">
        <v>88536933</v>
      </c>
      <c r="AB1635" s="2" t="s">
        <v>642</v>
      </c>
      <c r="AC1635" s="2" t="s">
        <v>632</v>
      </c>
      <c r="AD1635" s="10"/>
      <c r="AE1635" s="11"/>
      <c r="AF1635" s="11">
        <v>88536933</v>
      </c>
      <c r="AG1635" s="11"/>
      <c r="AH1635" s="11"/>
      <c r="AI1635" s="11"/>
      <c r="AJ1635" s="11">
        <v>88536933</v>
      </c>
      <c r="AK1635" s="12">
        <v>1</v>
      </c>
      <c r="AL1635" s="12" t="s">
        <v>7377</v>
      </c>
      <c r="AM1635" s="2">
        <v>0</v>
      </c>
      <c r="AN1635" s="2">
        <v>0</v>
      </c>
      <c r="AO1635" s="2">
        <v>0</v>
      </c>
      <c r="AP1635" s="2">
        <v>1</v>
      </c>
      <c r="AQ1635" s="2">
        <v>0</v>
      </c>
      <c r="AR1635" s="2">
        <v>0</v>
      </c>
      <c r="AS1635" s="2">
        <v>0</v>
      </c>
      <c r="AT1635" s="2">
        <v>0</v>
      </c>
      <c r="BB1635" s="2" t="str">
        <f>+PROPER(BD[[#This Row],[PRIMER_APELLIDO]])</f>
        <v>Matey</v>
      </c>
    </row>
    <row r="1636" spans="1:54" x14ac:dyDescent="0.25">
      <c r="A1636" s="2">
        <v>1635</v>
      </c>
      <c r="B1636" s="2">
        <v>20185</v>
      </c>
      <c r="C1636" s="5" t="s">
        <v>619</v>
      </c>
      <c r="D1636" s="2" t="s">
        <v>620</v>
      </c>
      <c r="E1636" s="6" t="s">
        <v>9725</v>
      </c>
      <c r="F1636" s="6"/>
      <c r="G1636" s="3">
        <v>44</v>
      </c>
      <c r="I1636" s="7"/>
      <c r="J1636" s="7"/>
      <c r="K1636" s="8">
        <v>43.813698630136983</v>
      </c>
      <c r="L1636" s="2" t="s">
        <v>4779</v>
      </c>
      <c r="M1636" s="2" t="s">
        <v>903</v>
      </c>
      <c r="N1636" s="2" t="s">
        <v>348</v>
      </c>
      <c r="O1636" s="2" t="s">
        <v>6798</v>
      </c>
      <c r="P1636" s="2" t="s">
        <v>649</v>
      </c>
      <c r="Q1636" s="2" t="s">
        <v>351</v>
      </c>
      <c r="R1636" s="9">
        <v>28804</v>
      </c>
      <c r="S1636" s="9">
        <v>28804</v>
      </c>
      <c r="U1636" s="2" t="s">
        <v>659</v>
      </c>
      <c r="W1636" s="2" t="s">
        <v>659</v>
      </c>
      <c r="X1636" s="2" t="s">
        <v>9726</v>
      </c>
      <c r="Y1636" s="2" t="s">
        <v>9727</v>
      </c>
      <c r="Z1636" s="6"/>
      <c r="AA1636" s="2">
        <v>27822078</v>
      </c>
      <c r="AB1636" s="2" t="s">
        <v>654</v>
      </c>
      <c r="AC1636" s="2" t="s">
        <v>632</v>
      </c>
      <c r="AD1636" s="10"/>
      <c r="AE1636" s="11"/>
      <c r="AF1636" s="11"/>
      <c r="AG1636" s="11"/>
      <c r="AH1636" s="11"/>
      <c r="AI1636" s="11"/>
      <c r="AJ1636" s="11"/>
      <c r="AK1636" s="12">
        <v>1</v>
      </c>
      <c r="AL1636" s="12" t="s">
        <v>7377</v>
      </c>
      <c r="AM1636" s="2">
        <v>0</v>
      </c>
      <c r="AN1636" s="2">
        <v>0</v>
      </c>
      <c r="AO1636" s="2">
        <v>0</v>
      </c>
      <c r="AP1636" s="2">
        <v>1</v>
      </c>
      <c r="AQ1636" s="2">
        <v>0</v>
      </c>
      <c r="AR1636" s="2">
        <v>0</v>
      </c>
      <c r="AS1636" s="2">
        <v>0</v>
      </c>
      <c r="AT1636" s="2">
        <v>0</v>
      </c>
      <c r="BA1636" s="2" t="s">
        <v>9728</v>
      </c>
      <c r="BB1636" s="2" t="str">
        <f>+PROPER(BD[[#This Row],[PRIMER_APELLIDO]])</f>
        <v>Sequeira</v>
      </c>
    </row>
    <row r="1637" spans="1:54" x14ac:dyDescent="0.25">
      <c r="A1637" s="2">
        <v>1636</v>
      </c>
      <c r="B1637" s="2">
        <v>20522</v>
      </c>
      <c r="C1637" s="5" t="s">
        <v>619</v>
      </c>
      <c r="D1637" s="2" t="s">
        <v>620</v>
      </c>
      <c r="E1637" s="6" t="s">
        <v>9729</v>
      </c>
      <c r="F1637" s="6"/>
      <c r="G1637" s="3">
        <v>44</v>
      </c>
      <c r="I1637" s="7"/>
      <c r="J1637" s="7"/>
      <c r="K1637" s="8">
        <v>43.830136986301369</v>
      </c>
      <c r="L1637" s="2" t="s">
        <v>1162</v>
      </c>
      <c r="M1637" s="2" t="s">
        <v>2529</v>
      </c>
      <c r="N1637" s="2" t="s">
        <v>233</v>
      </c>
      <c r="O1637" s="2" t="s">
        <v>397</v>
      </c>
      <c r="P1637" s="2" t="s">
        <v>626</v>
      </c>
      <c r="Q1637" s="2" t="s">
        <v>351</v>
      </c>
      <c r="R1637" s="9">
        <v>28798</v>
      </c>
      <c r="S1637" s="9">
        <v>28798</v>
      </c>
      <c r="T1637" s="2" t="s">
        <v>186</v>
      </c>
      <c r="U1637" s="2" t="s">
        <v>186</v>
      </c>
      <c r="V1637" s="2" t="s">
        <v>7039</v>
      </c>
      <c r="W1637" s="2" t="s">
        <v>7040</v>
      </c>
      <c r="X1637" s="2" t="s">
        <v>9730</v>
      </c>
      <c r="Y1637" s="2" t="s">
        <v>9731</v>
      </c>
      <c r="Z1637" s="6">
        <v>81762502</v>
      </c>
      <c r="AA1637" s="2" t="s">
        <v>9732</v>
      </c>
      <c r="AB1637" s="2" t="s">
        <v>654</v>
      </c>
      <c r="AC1637" s="2" t="s">
        <v>632</v>
      </c>
      <c r="AD1637" s="10">
        <v>81762502</v>
      </c>
      <c r="AE1637" s="11"/>
      <c r="AF1637" s="11">
        <v>81762502</v>
      </c>
      <c r="AG1637" s="11">
        <v>88741664</v>
      </c>
      <c r="AH1637" s="11"/>
      <c r="AI1637" s="11"/>
      <c r="AJ1637" s="11">
        <v>81762502</v>
      </c>
      <c r="AK1637" s="12">
        <v>3</v>
      </c>
      <c r="AL1637" s="12" t="s">
        <v>7377</v>
      </c>
      <c r="AM1637" s="2">
        <v>0</v>
      </c>
      <c r="AN1637" s="2">
        <v>0</v>
      </c>
      <c r="AO1637" s="2">
        <v>0</v>
      </c>
      <c r="AP1637" s="2">
        <v>1</v>
      </c>
      <c r="AQ1637" s="2">
        <v>0</v>
      </c>
      <c r="AR1637" s="2">
        <v>0</v>
      </c>
      <c r="AS1637" s="2">
        <v>0</v>
      </c>
      <c r="AT1637" s="2">
        <v>0</v>
      </c>
      <c r="AZ1637" s="2" t="s">
        <v>9733</v>
      </c>
      <c r="BB1637" s="2" t="str">
        <f>+PROPER(BD[[#This Row],[PRIMER_APELLIDO]])</f>
        <v>Esquivel</v>
      </c>
    </row>
    <row r="1638" spans="1:54" x14ac:dyDescent="0.25">
      <c r="A1638" s="2">
        <v>1637</v>
      </c>
      <c r="B1638" s="2">
        <v>26113</v>
      </c>
      <c r="C1638" s="5" t="s">
        <v>619</v>
      </c>
      <c r="D1638" s="2" t="s">
        <v>620</v>
      </c>
      <c r="E1638" s="6" t="s">
        <v>9734</v>
      </c>
      <c r="F1638" s="6">
        <v>12617957</v>
      </c>
      <c r="G1638" s="3">
        <v>44</v>
      </c>
      <c r="I1638" s="7"/>
      <c r="J1638" s="7"/>
      <c r="K1638" s="8">
        <v>43.835616438356162</v>
      </c>
      <c r="L1638" s="2" t="s">
        <v>675</v>
      </c>
      <c r="M1638" s="2" t="s">
        <v>787</v>
      </c>
      <c r="N1638" s="2" t="s">
        <v>471</v>
      </c>
      <c r="O1638" s="2" t="s">
        <v>302</v>
      </c>
      <c r="P1638" s="2" t="s">
        <v>626</v>
      </c>
      <c r="Q1638" s="2" t="s">
        <v>351</v>
      </c>
      <c r="R1638" s="9">
        <v>28796</v>
      </c>
      <c r="S1638" s="9">
        <v>28796</v>
      </c>
      <c r="T1638" s="2" t="s">
        <v>627</v>
      </c>
      <c r="U1638" s="2" t="s">
        <v>627</v>
      </c>
      <c r="V1638" s="2" t="s">
        <v>627</v>
      </c>
      <c r="W1638" s="2" t="s">
        <v>627</v>
      </c>
      <c r="X1638" s="2" t="s">
        <v>9735</v>
      </c>
      <c r="Y1638" s="2" t="s">
        <v>9736</v>
      </c>
      <c r="Z1638" s="6">
        <v>89201944</v>
      </c>
      <c r="AA1638" s="2">
        <v>89201944</v>
      </c>
      <c r="AB1638" s="2" t="s">
        <v>642</v>
      </c>
      <c r="AC1638" s="2" t="s">
        <v>632</v>
      </c>
      <c r="AD1638" s="10">
        <v>89201944</v>
      </c>
      <c r="AE1638" s="11"/>
      <c r="AF1638" s="11">
        <v>89201944</v>
      </c>
      <c r="AG1638" s="11"/>
      <c r="AH1638" s="11"/>
      <c r="AI1638" s="11"/>
      <c r="AJ1638" s="11">
        <v>89201944</v>
      </c>
      <c r="AK1638" s="12">
        <v>2</v>
      </c>
      <c r="AL1638" s="12" t="s">
        <v>7377</v>
      </c>
      <c r="AM1638" s="2">
        <v>0</v>
      </c>
      <c r="AN1638" s="2">
        <v>0</v>
      </c>
      <c r="AO1638" s="2">
        <v>0</v>
      </c>
      <c r="AP1638" s="2">
        <v>1</v>
      </c>
      <c r="AQ1638" s="2">
        <v>0</v>
      </c>
      <c r="AR1638" s="2">
        <v>0</v>
      </c>
      <c r="AS1638" s="2">
        <v>0</v>
      </c>
      <c r="AT1638" s="2">
        <v>0</v>
      </c>
      <c r="AZ1638" s="2" t="s">
        <v>9737</v>
      </c>
      <c r="BB1638" s="2" t="str">
        <f>+PROPER(BD[[#This Row],[PRIMER_APELLIDO]])</f>
        <v>Pichardo</v>
      </c>
    </row>
    <row r="1639" spans="1:54" x14ac:dyDescent="0.25">
      <c r="A1639" s="2">
        <v>1638</v>
      </c>
      <c r="B1639" s="2">
        <v>17707</v>
      </c>
      <c r="C1639" s="5" t="s">
        <v>619</v>
      </c>
      <c r="D1639" s="2" t="s">
        <v>620</v>
      </c>
      <c r="E1639" s="6" t="s">
        <v>9738</v>
      </c>
      <c r="F1639" s="6">
        <v>16761720</v>
      </c>
      <c r="G1639" s="3">
        <v>44</v>
      </c>
      <c r="I1639" s="7"/>
      <c r="J1639" s="7"/>
      <c r="K1639" s="8">
        <v>43.838356164383562</v>
      </c>
      <c r="L1639" s="2" t="s">
        <v>2634</v>
      </c>
      <c r="M1639" s="2" t="s">
        <v>961</v>
      </c>
      <c r="N1639" s="2" t="s">
        <v>113</v>
      </c>
      <c r="O1639" s="2" t="s">
        <v>212</v>
      </c>
      <c r="P1639" s="2" t="s">
        <v>626</v>
      </c>
      <c r="Q1639" s="2" t="s">
        <v>351</v>
      </c>
      <c r="R1639" s="9">
        <v>28795</v>
      </c>
      <c r="S1639" s="9">
        <v>28795</v>
      </c>
      <c r="T1639" s="2" t="s">
        <v>627</v>
      </c>
      <c r="U1639" s="2" t="s">
        <v>627</v>
      </c>
      <c r="V1639" s="2" t="s">
        <v>627</v>
      </c>
      <c r="W1639" s="2" t="s">
        <v>627</v>
      </c>
      <c r="X1639" s="2" t="s">
        <v>9739</v>
      </c>
      <c r="Y1639" s="2" t="s">
        <v>9740</v>
      </c>
      <c r="Z1639" s="6"/>
      <c r="AA1639" s="2" t="s">
        <v>9741</v>
      </c>
      <c r="AB1639" s="2" t="s">
        <v>654</v>
      </c>
      <c r="AC1639" s="2" t="s">
        <v>632</v>
      </c>
      <c r="AD1639" s="10"/>
      <c r="AE1639" s="11"/>
      <c r="AF1639" s="11"/>
      <c r="AG1639" s="11">
        <v>86588336</v>
      </c>
      <c r="AH1639" s="11"/>
      <c r="AI1639" s="11"/>
      <c r="AJ1639" s="11">
        <v>86588336</v>
      </c>
      <c r="AK1639" s="12">
        <v>2</v>
      </c>
      <c r="AL1639" s="12" t="s">
        <v>7377</v>
      </c>
      <c r="AM1639" s="2">
        <v>0</v>
      </c>
      <c r="AN1639" s="2">
        <v>0</v>
      </c>
      <c r="AO1639" s="2">
        <v>0</v>
      </c>
      <c r="AP1639" s="2">
        <v>1</v>
      </c>
      <c r="AQ1639" s="2">
        <v>0</v>
      </c>
      <c r="AR1639" s="2">
        <v>0</v>
      </c>
      <c r="AS1639" s="2">
        <v>0</v>
      </c>
      <c r="AT1639" s="2">
        <v>0</v>
      </c>
      <c r="BB1639" s="2" t="str">
        <f>+PROPER(BD[[#This Row],[PRIMER_APELLIDO]])</f>
        <v>Silva</v>
      </c>
    </row>
    <row r="1640" spans="1:54" x14ac:dyDescent="0.25">
      <c r="A1640" s="2">
        <v>1639</v>
      </c>
      <c r="B1640" s="2">
        <v>19177</v>
      </c>
      <c r="C1640" s="5" t="s">
        <v>619</v>
      </c>
      <c r="D1640" s="2" t="s">
        <v>620</v>
      </c>
      <c r="E1640" s="6" t="s">
        <v>9742</v>
      </c>
      <c r="F1640" s="6">
        <v>16907018</v>
      </c>
      <c r="G1640" s="3">
        <v>44</v>
      </c>
      <c r="I1640" s="7"/>
      <c r="J1640" s="7"/>
      <c r="K1640" s="8">
        <v>43.838356164383562</v>
      </c>
      <c r="L1640" s="2" t="s">
        <v>4501</v>
      </c>
      <c r="M1640" s="2" t="s">
        <v>904</v>
      </c>
      <c r="N1640" s="2" t="s">
        <v>187</v>
      </c>
      <c r="P1640" s="2" t="s">
        <v>649</v>
      </c>
      <c r="Q1640" s="2" t="s">
        <v>351</v>
      </c>
      <c r="R1640" s="9">
        <v>28795</v>
      </c>
      <c r="S1640" s="9">
        <v>28795</v>
      </c>
      <c r="T1640" s="2" t="s">
        <v>659</v>
      </c>
      <c r="U1640" s="2" t="s">
        <v>659</v>
      </c>
      <c r="V1640" s="2" t="s">
        <v>659</v>
      </c>
      <c r="W1640" s="2" t="s">
        <v>659</v>
      </c>
      <c r="X1640" s="2" t="s">
        <v>9743</v>
      </c>
      <c r="Y1640" s="2" t="s">
        <v>9744</v>
      </c>
      <c r="Z1640" s="6"/>
      <c r="AA1640" s="2">
        <v>27823938</v>
      </c>
      <c r="AB1640" s="2" t="s">
        <v>654</v>
      </c>
      <c r="AC1640" s="2" t="s">
        <v>632</v>
      </c>
      <c r="AD1640" s="10"/>
      <c r="AE1640" s="11"/>
      <c r="AF1640" s="11"/>
      <c r="AG1640" s="11"/>
      <c r="AH1640" s="11"/>
      <c r="AI1640" s="11"/>
      <c r="AJ1640" s="11"/>
      <c r="AK1640" s="12">
        <v>1</v>
      </c>
      <c r="AL1640" s="12" t="s">
        <v>7377</v>
      </c>
      <c r="AM1640" s="2">
        <v>0</v>
      </c>
      <c r="AN1640" s="2">
        <v>0</v>
      </c>
      <c r="AO1640" s="2">
        <v>0</v>
      </c>
      <c r="AP1640" s="2">
        <v>1</v>
      </c>
      <c r="AQ1640" s="2">
        <v>0</v>
      </c>
      <c r="AR1640" s="2">
        <v>0</v>
      </c>
      <c r="AS1640" s="2">
        <v>0</v>
      </c>
      <c r="AT1640" s="2">
        <v>0</v>
      </c>
      <c r="BB1640" s="2" t="str">
        <f>+PROPER(BD[[#This Row],[PRIMER_APELLIDO]])</f>
        <v>Pineda</v>
      </c>
    </row>
    <row r="1641" spans="1:54" x14ac:dyDescent="0.25">
      <c r="A1641" s="2">
        <v>1640</v>
      </c>
      <c r="B1641" s="2">
        <v>39175</v>
      </c>
      <c r="C1641" s="5" t="s">
        <v>619</v>
      </c>
      <c r="D1641" s="2" t="s">
        <v>620</v>
      </c>
      <c r="E1641" s="6" t="s">
        <v>9745</v>
      </c>
      <c r="F1641" s="6">
        <v>27695861</v>
      </c>
      <c r="G1641" s="3">
        <v>44</v>
      </c>
      <c r="I1641" s="7"/>
      <c r="J1641" s="7"/>
      <c r="K1641" s="8">
        <v>43.838356164383562</v>
      </c>
      <c r="L1641" s="2" t="s">
        <v>3653</v>
      </c>
      <c r="M1641" s="2" t="s">
        <v>676</v>
      </c>
      <c r="N1641" s="2" t="s">
        <v>114</v>
      </c>
      <c r="O1641" s="2" t="s">
        <v>191</v>
      </c>
      <c r="P1641" s="2" t="s">
        <v>626</v>
      </c>
      <c r="Q1641" s="2" t="s">
        <v>351</v>
      </c>
      <c r="R1641" s="9">
        <v>28795</v>
      </c>
      <c r="S1641" s="9">
        <v>28795</v>
      </c>
      <c r="T1641" s="2" t="s">
        <v>176</v>
      </c>
      <c r="U1641" s="2" t="s">
        <v>176</v>
      </c>
      <c r="V1641" s="2" t="s">
        <v>650</v>
      </c>
      <c r="W1641" s="2" t="s">
        <v>176</v>
      </c>
      <c r="X1641" s="2" t="s">
        <v>9746</v>
      </c>
      <c r="Y1641" s="2" t="s">
        <v>9747</v>
      </c>
      <c r="Z1641" s="6"/>
      <c r="AA1641" s="2">
        <v>88429193</v>
      </c>
      <c r="AB1641" s="2" t="s">
        <v>642</v>
      </c>
      <c r="AC1641" s="2" t="s">
        <v>632</v>
      </c>
      <c r="AD1641" s="10"/>
      <c r="AE1641" s="11"/>
      <c r="AF1641" s="11">
        <v>88429193</v>
      </c>
      <c r="AG1641" s="11"/>
      <c r="AH1641" s="11"/>
      <c r="AI1641" s="11"/>
      <c r="AJ1641" s="11">
        <v>88429193</v>
      </c>
      <c r="AK1641" s="12">
        <v>1</v>
      </c>
      <c r="AL1641" s="12" t="s">
        <v>7377</v>
      </c>
      <c r="AM1641" s="2">
        <v>0</v>
      </c>
      <c r="AN1641" s="2">
        <v>0</v>
      </c>
      <c r="AO1641" s="2">
        <v>0</v>
      </c>
      <c r="AP1641" s="2">
        <v>1</v>
      </c>
      <c r="AQ1641" s="2">
        <v>0</v>
      </c>
      <c r="AR1641" s="2">
        <v>0</v>
      </c>
      <c r="AS1641" s="2">
        <v>0</v>
      </c>
      <c r="AT1641" s="2">
        <v>0</v>
      </c>
      <c r="BB1641" s="2" t="str">
        <f>+PROPER(BD[[#This Row],[PRIMER_APELLIDO]])</f>
        <v>Salinas</v>
      </c>
    </row>
    <row r="1642" spans="1:54" x14ac:dyDescent="0.25">
      <c r="A1642" s="2">
        <v>1641</v>
      </c>
      <c r="B1642" s="2">
        <v>15077</v>
      </c>
      <c r="C1642" s="5" t="s">
        <v>619</v>
      </c>
      <c r="D1642" s="2" t="s">
        <v>620</v>
      </c>
      <c r="E1642" s="6" t="s">
        <v>9748</v>
      </c>
      <c r="F1642" s="6">
        <v>15313025</v>
      </c>
      <c r="G1642" s="3">
        <v>44</v>
      </c>
      <c r="I1642" s="7"/>
      <c r="J1642" s="7"/>
      <c r="K1642" s="8">
        <v>43.841095890410962</v>
      </c>
      <c r="L1642" s="2" t="s">
        <v>1614</v>
      </c>
      <c r="M1642" s="2" t="s">
        <v>9749</v>
      </c>
      <c r="N1642" s="2" t="s">
        <v>44</v>
      </c>
      <c r="O1642" s="2" t="s">
        <v>3171</v>
      </c>
      <c r="P1642" s="2" t="s">
        <v>626</v>
      </c>
      <c r="Q1642" s="2" t="s">
        <v>351</v>
      </c>
      <c r="R1642" s="9">
        <v>28794</v>
      </c>
      <c r="S1642" s="9">
        <v>28794</v>
      </c>
      <c r="U1642" s="2" t="s">
        <v>627</v>
      </c>
      <c r="W1642" s="2" t="s">
        <v>627</v>
      </c>
      <c r="X1642" s="2" t="s">
        <v>9750</v>
      </c>
      <c r="Y1642" s="2" t="s">
        <v>9751</v>
      </c>
      <c r="Z1642" s="6"/>
      <c r="AA1642" s="2" t="s">
        <v>9752</v>
      </c>
      <c r="AB1642" s="2" t="s">
        <v>642</v>
      </c>
      <c r="AC1642" s="2" t="s">
        <v>632</v>
      </c>
      <c r="AD1642" s="10"/>
      <c r="AE1642" s="11"/>
      <c r="AF1642" s="11"/>
      <c r="AG1642" s="11">
        <v>86387823</v>
      </c>
      <c r="AH1642" s="11"/>
      <c r="AI1642" s="11"/>
      <c r="AJ1642" s="11">
        <v>86387823</v>
      </c>
      <c r="AK1642" s="12">
        <v>2</v>
      </c>
      <c r="AL1642" s="12" t="s">
        <v>7377</v>
      </c>
      <c r="AM1642" s="2">
        <v>0</v>
      </c>
      <c r="AN1642" s="2">
        <v>0</v>
      </c>
      <c r="AO1642" s="2">
        <v>0</v>
      </c>
      <c r="AP1642" s="2">
        <v>1</v>
      </c>
      <c r="AQ1642" s="2">
        <v>0</v>
      </c>
      <c r="AR1642" s="2">
        <v>0</v>
      </c>
      <c r="AS1642" s="2">
        <v>0</v>
      </c>
      <c r="AT1642" s="2">
        <v>0</v>
      </c>
      <c r="BB1642" s="2" t="str">
        <f>+PROPER(BD[[#This Row],[PRIMER_APELLIDO]])</f>
        <v>Martinez</v>
      </c>
    </row>
    <row r="1643" spans="1:54" x14ac:dyDescent="0.25">
      <c r="A1643" s="2">
        <v>1642</v>
      </c>
      <c r="B1643" s="2">
        <v>21288</v>
      </c>
      <c r="C1643" s="5" t="s">
        <v>619</v>
      </c>
      <c r="D1643" s="2" t="s">
        <v>620</v>
      </c>
      <c r="E1643" s="6" t="s">
        <v>9753</v>
      </c>
      <c r="F1643" s="6">
        <v>17724571</v>
      </c>
      <c r="G1643" s="3">
        <v>44</v>
      </c>
      <c r="I1643" s="7"/>
      <c r="J1643" s="7"/>
      <c r="K1643" s="8">
        <v>43.841095890410962</v>
      </c>
      <c r="L1643" s="2" t="s">
        <v>7623</v>
      </c>
      <c r="M1643" s="2" t="s">
        <v>9754</v>
      </c>
      <c r="N1643" s="2" t="s">
        <v>14</v>
      </c>
      <c r="O1643" s="2" t="s">
        <v>63</v>
      </c>
      <c r="P1643" s="2" t="s">
        <v>626</v>
      </c>
      <c r="Q1643" s="2" t="s">
        <v>351</v>
      </c>
      <c r="R1643" s="9">
        <v>28794</v>
      </c>
      <c r="S1643" s="9">
        <v>28794</v>
      </c>
      <c r="T1643" s="2" t="s">
        <v>691</v>
      </c>
      <c r="U1643" s="2" t="s">
        <v>691</v>
      </c>
      <c r="V1643" s="2" t="s">
        <v>716</v>
      </c>
      <c r="W1643" s="2" t="s">
        <v>691</v>
      </c>
      <c r="X1643" s="2" t="s">
        <v>9755</v>
      </c>
      <c r="Y1643" s="2" t="s">
        <v>9756</v>
      </c>
      <c r="Z1643" s="6">
        <v>85349593</v>
      </c>
      <c r="AA1643" s="2" t="s">
        <v>9757</v>
      </c>
      <c r="AB1643" s="2" t="s">
        <v>642</v>
      </c>
      <c r="AC1643" s="2" t="s">
        <v>632</v>
      </c>
      <c r="AD1643" s="10">
        <v>85349593</v>
      </c>
      <c r="AE1643" s="11"/>
      <c r="AF1643" s="11"/>
      <c r="AG1643" s="11">
        <v>85349593</v>
      </c>
      <c r="AH1643" s="11"/>
      <c r="AI1643" s="11"/>
      <c r="AJ1643" s="11">
        <v>85349593</v>
      </c>
      <c r="AK1643" s="12">
        <v>3</v>
      </c>
      <c r="AL1643" s="12" t="s">
        <v>7377</v>
      </c>
      <c r="AM1643" s="2">
        <v>0</v>
      </c>
      <c r="AN1643" s="2">
        <v>0</v>
      </c>
      <c r="AO1643" s="2">
        <v>0</v>
      </c>
      <c r="AP1643" s="2">
        <v>1</v>
      </c>
      <c r="AQ1643" s="2">
        <v>0</v>
      </c>
      <c r="AR1643" s="2">
        <v>0</v>
      </c>
      <c r="AS1643" s="2">
        <v>0</v>
      </c>
      <c r="AT1643" s="2">
        <v>0</v>
      </c>
      <c r="AZ1643" s="2" t="s">
        <v>9758</v>
      </c>
      <c r="BB1643" s="2" t="str">
        <f>+PROPER(BD[[#This Row],[PRIMER_APELLIDO]])</f>
        <v>Gonzalez</v>
      </c>
    </row>
    <row r="1644" spans="1:54" x14ac:dyDescent="0.25">
      <c r="A1644" s="2">
        <v>1643</v>
      </c>
      <c r="B1644" s="2">
        <v>21652</v>
      </c>
      <c r="C1644" s="5" t="s">
        <v>619</v>
      </c>
      <c r="D1644" s="2" t="s">
        <v>620</v>
      </c>
      <c r="E1644" s="6" t="s">
        <v>9759</v>
      </c>
      <c r="F1644" s="6"/>
      <c r="G1644" s="3">
        <v>44</v>
      </c>
      <c r="I1644" s="7"/>
      <c r="J1644" s="7"/>
      <c r="K1644" s="8">
        <v>43.849315068493148</v>
      </c>
      <c r="L1644" s="2" t="s">
        <v>9760</v>
      </c>
      <c r="M1644" s="2" t="s">
        <v>8142</v>
      </c>
      <c r="N1644" s="2" t="s">
        <v>15</v>
      </c>
      <c r="O1644" s="2" t="s">
        <v>207</v>
      </c>
      <c r="P1644" s="2" t="s">
        <v>626</v>
      </c>
      <c r="Q1644" s="2" t="s">
        <v>351</v>
      </c>
      <c r="R1644" s="9">
        <v>28791</v>
      </c>
      <c r="S1644" s="9">
        <v>28791</v>
      </c>
      <c r="T1644" s="2" t="s">
        <v>186</v>
      </c>
      <c r="U1644" s="2" t="s">
        <v>627</v>
      </c>
      <c r="V1644" s="2" t="s">
        <v>1754</v>
      </c>
      <c r="W1644" s="2" t="s">
        <v>1026</v>
      </c>
      <c r="X1644" s="2" t="s">
        <v>9761</v>
      </c>
      <c r="Y1644" s="2" t="s">
        <v>9762</v>
      </c>
      <c r="Z1644" s="6">
        <v>83228297</v>
      </c>
      <c r="AA1644" s="2" t="s">
        <v>9763</v>
      </c>
      <c r="AB1644" s="2" t="s">
        <v>642</v>
      </c>
      <c r="AC1644" s="2" t="s">
        <v>632</v>
      </c>
      <c r="AD1644" s="10">
        <v>83228297</v>
      </c>
      <c r="AE1644" s="11"/>
      <c r="AF1644" s="11">
        <v>83228297</v>
      </c>
      <c r="AG1644" s="11">
        <v>88974273</v>
      </c>
      <c r="AH1644" s="11"/>
      <c r="AI1644" s="11"/>
      <c r="AJ1644" s="11">
        <v>83228297</v>
      </c>
      <c r="AK1644" s="12">
        <v>3</v>
      </c>
      <c r="AL1644" s="12" t="s">
        <v>7377</v>
      </c>
      <c r="AM1644" s="2">
        <v>0</v>
      </c>
      <c r="AN1644" s="2">
        <v>0</v>
      </c>
      <c r="AO1644" s="2">
        <v>0</v>
      </c>
      <c r="AP1644" s="2">
        <v>1</v>
      </c>
      <c r="AQ1644" s="2">
        <v>0</v>
      </c>
      <c r="AR1644" s="2">
        <v>0</v>
      </c>
      <c r="AS1644" s="2">
        <v>0</v>
      </c>
      <c r="AT1644" s="2">
        <v>0</v>
      </c>
      <c r="AZ1644" s="2" t="s">
        <v>9764</v>
      </c>
      <c r="BB1644" s="2" t="str">
        <f>+PROPER(BD[[#This Row],[PRIMER_APELLIDO]])</f>
        <v>Lopez</v>
      </c>
    </row>
    <row r="1645" spans="1:54" x14ac:dyDescent="0.25">
      <c r="A1645" s="2">
        <v>1644</v>
      </c>
      <c r="B1645" s="2">
        <v>47703</v>
      </c>
      <c r="C1645" s="5" t="s">
        <v>619</v>
      </c>
      <c r="D1645" s="2" t="s">
        <v>620</v>
      </c>
      <c r="E1645" s="6" t="s">
        <v>9765</v>
      </c>
      <c r="F1645" s="6">
        <v>13316136</v>
      </c>
      <c r="G1645" s="3">
        <v>44</v>
      </c>
      <c r="I1645" s="7"/>
      <c r="J1645" s="7"/>
      <c r="K1645" s="8">
        <v>43.887671232876713</v>
      </c>
      <c r="L1645" s="2" t="s">
        <v>4731</v>
      </c>
      <c r="M1645" s="2" t="s">
        <v>1348</v>
      </c>
      <c r="N1645" s="2" t="s">
        <v>84</v>
      </c>
      <c r="O1645" s="2" t="s">
        <v>232</v>
      </c>
      <c r="P1645" s="2" t="s">
        <v>626</v>
      </c>
      <c r="Q1645" s="2" t="s">
        <v>351</v>
      </c>
      <c r="R1645" s="9">
        <v>28777</v>
      </c>
      <c r="S1645" s="9">
        <v>28777</v>
      </c>
      <c r="T1645" s="2" t="s">
        <v>133</v>
      </c>
      <c r="U1645" s="2" t="s">
        <v>133</v>
      </c>
      <c r="V1645" s="2" t="s">
        <v>938</v>
      </c>
      <c r="W1645" s="2" t="s">
        <v>938</v>
      </c>
      <c r="X1645" s="2" t="s">
        <v>9766</v>
      </c>
      <c r="Y1645" s="2" t="s">
        <v>9767</v>
      </c>
      <c r="Z1645" s="6">
        <v>58324915</v>
      </c>
      <c r="AA1645" s="2">
        <v>57944511</v>
      </c>
      <c r="AB1645" s="2" t="s">
        <v>642</v>
      </c>
      <c r="AC1645" s="2" t="s">
        <v>632</v>
      </c>
      <c r="AD1645" s="10">
        <v>58324915</v>
      </c>
      <c r="AE1645" s="11"/>
      <c r="AF1645" s="11">
        <v>57944511</v>
      </c>
      <c r="AG1645" s="11"/>
      <c r="AH1645" s="11"/>
      <c r="AI1645" s="11"/>
      <c r="AJ1645" s="11">
        <v>58324915</v>
      </c>
      <c r="AK1645" s="12">
        <v>2</v>
      </c>
      <c r="AL1645" s="12" t="s">
        <v>7377</v>
      </c>
      <c r="AM1645" s="2">
        <v>0</v>
      </c>
      <c r="AN1645" s="2">
        <v>0</v>
      </c>
      <c r="AO1645" s="2">
        <v>0</v>
      </c>
      <c r="AP1645" s="2">
        <v>1</v>
      </c>
      <c r="AQ1645" s="2">
        <v>0</v>
      </c>
      <c r="AR1645" s="2">
        <v>0</v>
      </c>
      <c r="AS1645" s="2">
        <v>0</v>
      </c>
      <c r="AT1645" s="2">
        <v>0</v>
      </c>
      <c r="AZ1645" s="2" t="s">
        <v>9768</v>
      </c>
      <c r="BB1645" s="2" t="str">
        <f>+PROPER(BD[[#This Row],[PRIMER_APELLIDO]])</f>
        <v>Ruiz</v>
      </c>
    </row>
    <row r="1646" spans="1:54" x14ac:dyDescent="0.25">
      <c r="A1646" s="2">
        <v>1645</v>
      </c>
      <c r="B1646" s="2">
        <v>17266</v>
      </c>
      <c r="C1646" s="5" t="s">
        <v>619</v>
      </c>
      <c r="D1646" s="2" t="s">
        <v>620</v>
      </c>
      <c r="E1646" s="6" t="s">
        <v>9769</v>
      </c>
      <c r="F1646" s="6"/>
      <c r="G1646" s="3">
        <v>44</v>
      </c>
      <c r="I1646" s="7"/>
      <c r="J1646" s="7"/>
      <c r="K1646" s="8">
        <v>43.890410958904113</v>
      </c>
      <c r="L1646" s="2" t="s">
        <v>724</v>
      </c>
      <c r="M1646" s="2" t="s">
        <v>9770</v>
      </c>
      <c r="N1646" s="2" t="s">
        <v>481</v>
      </c>
      <c r="O1646" s="2" t="s">
        <v>56</v>
      </c>
      <c r="P1646" s="2" t="s">
        <v>626</v>
      </c>
      <c r="Q1646" s="2" t="s">
        <v>351</v>
      </c>
      <c r="R1646" s="9">
        <v>28776</v>
      </c>
      <c r="S1646" s="9">
        <v>28776</v>
      </c>
      <c r="T1646" s="2" t="s">
        <v>627</v>
      </c>
      <c r="U1646" s="2" t="s">
        <v>627</v>
      </c>
      <c r="V1646" s="2" t="s">
        <v>627</v>
      </c>
      <c r="W1646" s="2" t="s">
        <v>627</v>
      </c>
      <c r="X1646" s="2" t="s">
        <v>9771</v>
      </c>
      <c r="Y1646" s="2" t="s">
        <v>9772</v>
      </c>
      <c r="Z1646" s="6"/>
      <c r="AA1646" s="2" t="s">
        <v>9773</v>
      </c>
      <c r="AB1646" s="2" t="s">
        <v>654</v>
      </c>
      <c r="AC1646" s="2" t="s">
        <v>632</v>
      </c>
      <c r="AD1646" s="10"/>
      <c r="AE1646" s="11"/>
      <c r="AF1646" s="11"/>
      <c r="AG1646" s="11">
        <v>87684902</v>
      </c>
      <c r="AH1646" s="11"/>
      <c r="AI1646" s="11"/>
      <c r="AJ1646" s="11">
        <v>87684902</v>
      </c>
      <c r="AK1646" s="12">
        <v>2</v>
      </c>
      <c r="AL1646" s="12" t="s">
        <v>7377</v>
      </c>
      <c r="AM1646" s="2">
        <v>0</v>
      </c>
      <c r="AN1646" s="2">
        <v>0</v>
      </c>
      <c r="AO1646" s="2">
        <v>0</v>
      </c>
      <c r="AP1646" s="2">
        <v>1</v>
      </c>
      <c r="AQ1646" s="2">
        <v>0</v>
      </c>
      <c r="AR1646" s="2">
        <v>0</v>
      </c>
      <c r="AS1646" s="2">
        <v>0</v>
      </c>
      <c r="AT1646" s="2">
        <v>0</v>
      </c>
      <c r="BA1646" s="2" t="s">
        <v>9774</v>
      </c>
      <c r="BB1646" s="2" t="str">
        <f>+PROPER(BD[[#This Row],[PRIMER_APELLIDO]])</f>
        <v>Caldera</v>
      </c>
    </row>
    <row r="1647" spans="1:54" x14ac:dyDescent="0.25">
      <c r="A1647" s="2">
        <v>1646</v>
      </c>
      <c r="B1647" s="2">
        <v>20571</v>
      </c>
      <c r="C1647" s="5" t="s">
        <v>619</v>
      </c>
      <c r="D1647" s="2" t="s">
        <v>620</v>
      </c>
      <c r="E1647" s="6" t="s">
        <v>9775</v>
      </c>
      <c r="F1647" s="6">
        <v>17645454</v>
      </c>
      <c r="G1647" s="3">
        <v>44</v>
      </c>
      <c r="I1647" s="7"/>
      <c r="J1647" s="7"/>
      <c r="K1647" s="8">
        <v>43.904109589041099</v>
      </c>
      <c r="L1647" s="2" t="s">
        <v>9776</v>
      </c>
      <c r="M1647" s="2" t="s">
        <v>714</v>
      </c>
      <c r="N1647" s="2" t="s">
        <v>84</v>
      </c>
      <c r="O1647" s="2" t="s">
        <v>204</v>
      </c>
      <c r="P1647" s="2" t="s">
        <v>626</v>
      </c>
      <c r="Q1647" s="2" t="s">
        <v>351</v>
      </c>
      <c r="R1647" s="9">
        <v>28771</v>
      </c>
      <c r="S1647" s="9">
        <v>28771</v>
      </c>
      <c r="U1647" s="2" t="s">
        <v>740</v>
      </c>
      <c r="W1647" s="2" t="s">
        <v>740</v>
      </c>
      <c r="X1647" s="2" t="s">
        <v>9777</v>
      </c>
      <c r="Y1647" s="2" t="s">
        <v>9778</v>
      </c>
      <c r="Z1647" s="6"/>
      <c r="AA1647" s="2" t="s">
        <v>9779</v>
      </c>
      <c r="AB1647" s="2" t="s">
        <v>654</v>
      </c>
      <c r="AC1647" s="2" t="s">
        <v>632</v>
      </c>
      <c r="AD1647" s="10"/>
      <c r="AE1647" s="11"/>
      <c r="AF1647" s="11"/>
      <c r="AG1647" s="11">
        <v>77471290</v>
      </c>
      <c r="AH1647" s="11">
        <v>82522392</v>
      </c>
      <c r="AI1647" s="11"/>
      <c r="AJ1647" s="11">
        <v>77471290</v>
      </c>
      <c r="AK1647" s="12">
        <v>3</v>
      </c>
      <c r="AL1647" s="12" t="s">
        <v>7377</v>
      </c>
      <c r="AM1647" s="2">
        <v>0</v>
      </c>
      <c r="AN1647" s="2">
        <v>0</v>
      </c>
      <c r="AO1647" s="2">
        <v>0</v>
      </c>
      <c r="AP1647" s="2">
        <v>1</v>
      </c>
      <c r="AQ1647" s="2">
        <v>0</v>
      </c>
      <c r="AR1647" s="2">
        <v>0</v>
      </c>
      <c r="AS1647" s="2">
        <v>0</v>
      </c>
      <c r="AT1647" s="2">
        <v>0</v>
      </c>
      <c r="BA1647" s="2" t="s">
        <v>9780</v>
      </c>
      <c r="BB1647" s="2" t="str">
        <f>+PROPER(BD[[#This Row],[PRIMER_APELLIDO]])</f>
        <v>Ruiz</v>
      </c>
    </row>
    <row r="1648" spans="1:54" x14ac:dyDescent="0.25">
      <c r="A1648" s="2">
        <v>1647</v>
      </c>
      <c r="B1648" s="2">
        <v>18491</v>
      </c>
      <c r="C1648" s="5" t="s">
        <v>619</v>
      </c>
      <c r="D1648" s="2" t="s">
        <v>620</v>
      </c>
      <c r="E1648" s="6" t="s">
        <v>9781</v>
      </c>
      <c r="F1648" s="6">
        <v>16246612</v>
      </c>
      <c r="G1648" s="3">
        <v>44</v>
      </c>
      <c r="I1648" s="7"/>
      <c r="J1648" s="7"/>
      <c r="K1648" s="8">
        <v>43.915068493150685</v>
      </c>
      <c r="L1648" s="2" t="s">
        <v>1042</v>
      </c>
      <c r="M1648" s="2" t="s">
        <v>1163</v>
      </c>
      <c r="N1648" s="2" t="s">
        <v>10</v>
      </c>
      <c r="O1648" s="2" t="s">
        <v>11</v>
      </c>
      <c r="P1648" s="2" t="s">
        <v>626</v>
      </c>
      <c r="Q1648" s="2" t="s">
        <v>351</v>
      </c>
      <c r="R1648" s="9">
        <v>28767</v>
      </c>
      <c r="S1648" s="9">
        <v>28767</v>
      </c>
      <c r="T1648" s="2" t="s">
        <v>627</v>
      </c>
      <c r="U1648" s="2" t="s">
        <v>627</v>
      </c>
      <c r="V1648" s="2" t="s">
        <v>627</v>
      </c>
      <c r="W1648" s="2" t="s">
        <v>627</v>
      </c>
      <c r="X1648" s="2" t="s">
        <v>9782</v>
      </c>
      <c r="Y1648" s="2" t="s">
        <v>9783</v>
      </c>
      <c r="Z1648" s="6"/>
      <c r="AA1648" s="2" t="s">
        <v>9784</v>
      </c>
      <c r="AB1648" s="2" t="s">
        <v>642</v>
      </c>
      <c r="AC1648" s="2" t="s">
        <v>632</v>
      </c>
      <c r="AD1648" s="10"/>
      <c r="AE1648" s="11"/>
      <c r="AF1648" s="11"/>
      <c r="AG1648" s="11"/>
      <c r="AH1648" s="11"/>
      <c r="AI1648" s="11"/>
      <c r="AJ1648" s="11"/>
      <c r="AK1648" s="12">
        <v>2</v>
      </c>
      <c r="AL1648" s="12" t="s">
        <v>7377</v>
      </c>
      <c r="AM1648" s="2">
        <v>0</v>
      </c>
      <c r="AN1648" s="2">
        <v>0</v>
      </c>
      <c r="AO1648" s="2">
        <v>0</v>
      </c>
      <c r="AP1648" s="2">
        <v>1</v>
      </c>
      <c r="AQ1648" s="2">
        <v>0</v>
      </c>
      <c r="AR1648" s="2">
        <v>0</v>
      </c>
      <c r="AS1648" s="2">
        <v>0</v>
      </c>
      <c r="AT1648" s="2">
        <v>0</v>
      </c>
      <c r="BB1648" s="2" t="str">
        <f>+PROPER(BD[[#This Row],[PRIMER_APELLIDO]])</f>
        <v>Garcia</v>
      </c>
    </row>
    <row r="1649" spans="1:54" x14ac:dyDescent="0.25">
      <c r="A1649" s="2">
        <v>1648</v>
      </c>
      <c r="B1649" s="2">
        <v>57818</v>
      </c>
      <c r="C1649" s="5" t="s">
        <v>619</v>
      </c>
      <c r="D1649" s="2" t="s">
        <v>620</v>
      </c>
      <c r="E1649" s="6" t="s">
        <v>9785</v>
      </c>
      <c r="F1649" s="6"/>
      <c r="G1649" s="3">
        <v>44</v>
      </c>
      <c r="I1649" s="7"/>
      <c r="J1649" s="7"/>
      <c r="K1649" s="8">
        <v>43.920547945205477</v>
      </c>
      <c r="L1649" s="2" t="s">
        <v>3464</v>
      </c>
      <c r="M1649" s="2" t="s">
        <v>3218</v>
      </c>
      <c r="N1649" s="2" t="s">
        <v>266</v>
      </c>
      <c r="O1649" s="2" t="s">
        <v>121</v>
      </c>
      <c r="P1649" s="2" t="s">
        <v>649</v>
      </c>
      <c r="Q1649" s="2" t="s">
        <v>351</v>
      </c>
      <c r="R1649" s="9">
        <v>28765</v>
      </c>
      <c r="S1649" s="9">
        <v>28765</v>
      </c>
      <c r="T1649" s="2" t="s">
        <v>133</v>
      </c>
      <c r="U1649" s="2" t="s">
        <v>133</v>
      </c>
      <c r="V1649" s="2" t="s">
        <v>939</v>
      </c>
      <c r="W1649" s="2" t="s">
        <v>939</v>
      </c>
      <c r="X1649" s="2" t="s">
        <v>9786</v>
      </c>
      <c r="Y1649" s="2" t="s">
        <v>9787</v>
      </c>
      <c r="Z1649" s="6">
        <v>86033511</v>
      </c>
      <c r="AA1649" s="2">
        <v>86033511</v>
      </c>
      <c r="AB1649" s="2" t="s">
        <v>654</v>
      </c>
      <c r="AC1649" s="2" t="s">
        <v>632</v>
      </c>
      <c r="AD1649" s="10">
        <v>86033511</v>
      </c>
      <c r="AE1649" s="11"/>
      <c r="AF1649" s="11">
        <v>86033511</v>
      </c>
      <c r="AG1649" s="11"/>
      <c r="AH1649" s="11"/>
      <c r="AI1649" s="11"/>
      <c r="AJ1649" s="11">
        <v>86033511</v>
      </c>
      <c r="AK1649" s="12">
        <v>2</v>
      </c>
      <c r="AL1649" s="12" t="s">
        <v>7377</v>
      </c>
      <c r="AM1649" s="2">
        <v>0</v>
      </c>
      <c r="AN1649" s="2">
        <v>0</v>
      </c>
      <c r="AO1649" s="2">
        <v>0</v>
      </c>
      <c r="AP1649" s="2">
        <v>1</v>
      </c>
      <c r="AQ1649" s="2">
        <v>0</v>
      </c>
      <c r="AR1649" s="2">
        <v>0</v>
      </c>
      <c r="AS1649" s="2">
        <v>0</v>
      </c>
      <c r="AT1649" s="2">
        <v>0</v>
      </c>
      <c r="AZ1649" s="2" t="s">
        <v>9788</v>
      </c>
      <c r="BB1649" s="2" t="str">
        <f>+PROPER(BD[[#This Row],[PRIMER_APELLIDO]])</f>
        <v>Conrado</v>
      </c>
    </row>
    <row r="1650" spans="1:54" x14ac:dyDescent="0.25">
      <c r="A1650" s="2">
        <v>1649</v>
      </c>
      <c r="B1650" s="2">
        <v>17001</v>
      </c>
      <c r="C1650" s="5" t="s">
        <v>619</v>
      </c>
      <c r="D1650" s="2" t="s">
        <v>620</v>
      </c>
      <c r="E1650" s="6" t="s">
        <v>9789</v>
      </c>
      <c r="F1650" s="6">
        <v>16149173</v>
      </c>
      <c r="G1650" s="3">
        <v>44</v>
      </c>
      <c r="I1650" s="7"/>
      <c r="J1650" s="7"/>
      <c r="K1650" s="8">
        <v>43.923287671232877</v>
      </c>
      <c r="L1650" s="2" t="s">
        <v>860</v>
      </c>
      <c r="M1650" s="2" t="s">
        <v>724</v>
      </c>
      <c r="N1650" s="2" t="s">
        <v>108</v>
      </c>
      <c r="O1650" s="2" t="s">
        <v>9790</v>
      </c>
      <c r="P1650" s="2" t="s">
        <v>626</v>
      </c>
      <c r="Q1650" s="2" t="s">
        <v>351</v>
      </c>
      <c r="R1650" s="9">
        <v>28764</v>
      </c>
      <c r="S1650" s="9">
        <v>28764</v>
      </c>
      <c r="U1650" s="2" t="s">
        <v>176</v>
      </c>
      <c r="W1650" s="2" t="s">
        <v>176</v>
      </c>
      <c r="X1650" s="2" t="s">
        <v>9791</v>
      </c>
      <c r="Y1650" s="2" t="s">
        <v>9792</v>
      </c>
      <c r="Z1650" s="6"/>
      <c r="AA1650" s="2">
        <v>23116032</v>
      </c>
      <c r="AB1650" s="2" t="s">
        <v>654</v>
      </c>
      <c r="AC1650" s="2" t="s">
        <v>632</v>
      </c>
      <c r="AD1650" s="10"/>
      <c r="AE1650" s="11"/>
      <c r="AF1650" s="11"/>
      <c r="AG1650" s="11"/>
      <c r="AH1650" s="11"/>
      <c r="AI1650" s="11"/>
      <c r="AJ1650" s="11"/>
      <c r="AK1650" s="12">
        <v>1</v>
      </c>
      <c r="AL1650" s="12" t="s">
        <v>7377</v>
      </c>
      <c r="AM1650" s="2">
        <v>0</v>
      </c>
      <c r="AN1650" s="2">
        <v>0</v>
      </c>
      <c r="AO1650" s="2">
        <v>0</v>
      </c>
      <c r="AP1650" s="2">
        <v>1</v>
      </c>
      <c r="AQ1650" s="2">
        <v>0</v>
      </c>
      <c r="AR1650" s="2">
        <v>0</v>
      </c>
      <c r="AS1650" s="2">
        <v>0</v>
      </c>
      <c r="AT1650" s="2">
        <v>0</v>
      </c>
      <c r="BB1650" s="2" t="str">
        <f>+PROPER(BD[[#This Row],[PRIMER_APELLIDO]])</f>
        <v>Berrios</v>
      </c>
    </row>
    <row r="1651" spans="1:54" x14ac:dyDescent="0.25">
      <c r="A1651" s="2">
        <v>1650</v>
      </c>
      <c r="B1651" s="2">
        <v>19951</v>
      </c>
      <c r="C1651" s="5" t="s">
        <v>619</v>
      </c>
      <c r="D1651" s="2" t="s">
        <v>620</v>
      </c>
      <c r="E1651" s="6" t="s">
        <v>9793</v>
      </c>
      <c r="F1651" s="6">
        <v>13943415</v>
      </c>
      <c r="G1651" s="3">
        <v>44</v>
      </c>
      <c r="I1651" s="7"/>
      <c r="J1651" s="7"/>
      <c r="K1651" s="8">
        <v>43.923287671232877</v>
      </c>
      <c r="L1651" s="2" t="s">
        <v>4201</v>
      </c>
      <c r="M1651" s="2" t="s">
        <v>714</v>
      </c>
      <c r="N1651" s="2" t="s">
        <v>10</v>
      </c>
      <c r="O1651" s="2" t="s">
        <v>514</v>
      </c>
      <c r="P1651" s="2" t="s">
        <v>626</v>
      </c>
      <c r="Q1651" s="2" t="s">
        <v>351</v>
      </c>
      <c r="R1651" s="9">
        <v>28764</v>
      </c>
      <c r="S1651" s="9">
        <v>28764</v>
      </c>
      <c r="U1651" s="2" t="s">
        <v>627</v>
      </c>
      <c r="W1651" s="2" t="s">
        <v>627</v>
      </c>
      <c r="X1651" s="2" t="s">
        <v>9794</v>
      </c>
      <c r="Y1651" s="2" t="s">
        <v>9795</v>
      </c>
      <c r="Z1651" s="6"/>
      <c r="AA1651" s="2">
        <v>22664188</v>
      </c>
      <c r="AB1651" s="2" t="s">
        <v>642</v>
      </c>
      <c r="AC1651" s="2" t="s">
        <v>632</v>
      </c>
      <c r="AD1651" s="10"/>
      <c r="AE1651" s="11"/>
      <c r="AF1651" s="11"/>
      <c r="AG1651" s="11"/>
      <c r="AH1651" s="11"/>
      <c r="AI1651" s="11"/>
      <c r="AJ1651" s="11"/>
      <c r="AK1651" s="12">
        <v>1</v>
      </c>
      <c r="AL1651" s="12" t="s">
        <v>7377</v>
      </c>
      <c r="AM1651" s="2">
        <v>0</v>
      </c>
      <c r="AN1651" s="2">
        <v>0</v>
      </c>
      <c r="AO1651" s="2">
        <v>0</v>
      </c>
      <c r="AP1651" s="2">
        <v>1</v>
      </c>
      <c r="AQ1651" s="2">
        <v>0</v>
      </c>
      <c r="AR1651" s="2">
        <v>0</v>
      </c>
      <c r="AS1651" s="2">
        <v>0</v>
      </c>
      <c r="AT1651" s="2">
        <v>0</v>
      </c>
      <c r="BB1651" s="2" t="str">
        <f>+PROPER(BD[[#This Row],[PRIMER_APELLIDO]])</f>
        <v>Garcia</v>
      </c>
    </row>
    <row r="1652" spans="1:54" x14ac:dyDescent="0.25">
      <c r="A1652" s="2">
        <v>1651</v>
      </c>
      <c r="B1652" s="2">
        <v>17116</v>
      </c>
      <c r="C1652" s="5" t="s">
        <v>619</v>
      </c>
      <c r="D1652" s="2" t="s">
        <v>620</v>
      </c>
      <c r="E1652" s="6" t="s">
        <v>9796</v>
      </c>
      <c r="F1652" s="6">
        <v>15840729</v>
      </c>
      <c r="G1652" s="3">
        <v>44</v>
      </c>
      <c r="I1652" s="7"/>
      <c r="J1652" s="7"/>
      <c r="K1652" s="8">
        <v>43.947945205479449</v>
      </c>
      <c r="L1652" s="2" t="s">
        <v>5873</v>
      </c>
      <c r="M1652" s="2" t="s">
        <v>9797</v>
      </c>
      <c r="N1652" s="2" t="s">
        <v>211</v>
      </c>
      <c r="O1652" s="2" t="s">
        <v>126</v>
      </c>
      <c r="P1652" s="2" t="s">
        <v>626</v>
      </c>
      <c r="Q1652" s="2" t="s">
        <v>351</v>
      </c>
      <c r="R1652" s="9">
        <v>28755</v>
      </c>
      <c r="S1652" s="9">
        <v>28755</v>
      </c>
      <c r="T1652" s="2" t="s">
        <v>627</v>
      </c>
      <c r="U1652" s="2" t="s">
        <v>669</v>
      </c>
      <c r="V1652" s="2" t="s">
        <v>627</v>
      </c>
      <c r="W1652" s="2" t="s">
        <v>2427</v>
      </c>
      <c r="X1652" s="2" t="s">
        <v>9798</v>
      </c>
      <c r="Y1652" s="2" t="s">
        <v>9799</v>
      </c>
      <c r="Z1652" s="6">
        <v>85425656</v>
      </c>
      <c r="AA1652" s="2">
        <v>88541513</v>
      </c>
      <c r="AB1652" s="2" t="s">
        <v>642</v>
      </c>
      <c r="AC1652" s="2" t="s">
        <v>632</v>
      </c>
      <c r="AD1652" s="10">
        <v>85425656</v>
      </c>
      <c r="AE1652" s="11"/>
      <c r="AF1652" s="11">
        <v>88541513</v>
      </c>
      <c r="AG1652" s="11"/>
      <c r="AH1652" s="11"/>
      <c r="AI1652" s="11"/>
      <c r="AJ1652" s="11">
        <v>85425656</v>
      </c>
      <c r="AK1652" s="12">
        <v>2</v>
      </c>
      <c r="AL1652" s="12" t="s">
        <v>7377</v>
      </c>
      <c r="AM1652" s="2">
        <v>0</v>
      </c>
      <c r="AN1652" s="2">
        <v>0</v>
      </c>
      <c r="AO1652" s="2">
        <v>0</v>
      </c>
      <c r="AP1652" s="2">
        <v>1</v>
      </c>
      <c r="AQ1652" s="2">
        <v>0</v>
      </c>
      <c r="AR1652" s="2">
        <v>0</v>
      </c>
      <c r="AS1652" s="2">
        <v>0</v>
      </c>
      <c r="AT1652" s="2">
        <v>0</v>
      </c>
      <c r="AZ1652" s="2" t="s">
        <v>9800</v>
      </c>
      <c r="BB1652" s="2" t="str">
        <f>+PROPER(BD[[#This Row],[PRIMER_APELLIDO]])</f>
        <v>Soza</v>
      </c>
    </row>
    <row r="1653" spans="1:54" x14ac:dyDescent="0.25">
      <c r="A1653" s="2">
        <v>1652</v>
      </c>
      <c r="B1653" s="2">
        <v>18540</v>
      </c>
      <c r="C1653" s="5" t="s">
        <v>619</v>
      </c>
      <c r="D1653" s="2" t="s">
        <v>620</v>
      </c>
      <c r="E1653" s="6" t="s">
        <v>9801</v>
      </c>
      <c r="F1653" s="6">
        <v>17752699</v>
      </c>
      <c r="G1653" s="3">
        <v>44</v>
      </c>
      <c r="I1653" s="7"/>
      <c r="J1653" s="7"/>
      <c r="K1653" s="8">
        <v>43.950684931506849</v>
      </c>
      <c r="L1653" s="2" t="s">
        <v>3559</v>
      </c>
      <c r="M1653" s="2" t="s">
        <v>1626</v>
      </c>
      <c r="N1653" s="2" t="s">
        <v>271</v>
      </c>
      <c r="O1653" s="2" t="s">
        <v>4117</v>
      </c>
      <c r="P1653" s="2" t="s">
        <v>626</v>
      </c>
      <c r="Q1653" s="2" t="s">
        <v>351</v>
      </c>
      <c r="R1653" s="9">
        <v>28754</v>
      </c>
      <c r="S1653" s="9">
        <v>28754</v>
      </c>
      <c r="T1653" s="2" t="s">
        <v>627</v>
      </c>
      <c r="U1653" s="2" t="s">
        <v>627</v>
      </c>
      <c r="V1653" s="2" t="s">
        <v>627</v>
      </c>
      <c r="W1653" s="2" t="s">
        <v>627</v>
      </c>
      <c r="X1653" s="2" t="s">
        <v>9802</v>
      </c>
      <c r="Y1653" s="2" t="s">
        <v>9803</v>
      </c>
      <c r="Z1653" s="6"/>
      <c r="AA1653" s="2" t="s">
        <v>9804</v>
      </c>
      <c r="AB1653" s="2" t="s">
        <v>654</v>
      </c>
      <c r="AC1653" s="2" t="s">
        <v>632</v>
      </c>
      <c r="AD1653" s="10"/>
      <c r="AE1653" s="11"/>
      <c r="AF1653" s="11"/>
      <c r="AG1653" s="11">
        <v>88838721</v>
      </c>
      <c r="AH1653" s="11"/>
      <c r="AI1653" s="11"/>
      <c r="AJ1653" s="11">
        <v>88838721</v>
      </c>
      <c r="AK1653" s="12">
        <v>2</v>
      </c>
      <c r="AL1653" s="12" t="s">
        <v>7377</v>
      </c>
      <c r="AM1653" s="2">
        <v>0</v>
      </c>
      <c r="AN1653" s="2">
        <v>0</v>
      </c>
      <c r="AO1653" s="2">
        <v>0</v>
      </c>
      <c r="AP1653" s="2">
        <v>1</v>
      </c>
      <c r="AQ1653" s="2">
        <v>0</v>
      </c>
      <c r="AR1653" s="2">
        <v>0</v>
      </c>
      <c r="AS1653" s="2">
        <v>0</v>
      </c>
      <c r="AT1653" s="2">
        <v>0</v>
      </c>
      <c r="BA1653" s="2" t="s">
        <v>9805</v>
      </c>
      <c r="BB1653" s="2" t="str">
        <f>+PROPER(BD[[#This Row],[PRIMER_APELLIDO]])</f>
        <v>Arguello</v>
      </c>
    </row>
    <row r="1654" spans="1:54" x14ac:dyDescent="0.25">
      <c r="A1654" s="2">
        <v>1653</v>
      </c>
      <c r="B1654" s="2">
        <v>19278</v>
      </c>
      <c r="C1654" s="5" t="s">
        <v>619</v>
      </c>
      <c r="D1654" s="2" t="s">
        <v>620</v>
      </c>
      <c r="E1654" s="6" t="s">
        <v>9806</v>
      </c>
      <c r="F1654" s="6"/>
      <c r="G1654" s="3">
        <v>44</v>
      </c>
      <c r="I1654" s="7"/>
      <c r="J1654" s="7"/>
      <c r="K1654" s="8">
        <v>43.950684931506849</v>
      </c>
      <c r="L1654" s="2" t="s">
        <v>9807</v>
      </c>
      <c r="M1654" s="2" t="s">
        <v>904</v>
      </c>
      <c r="N1654" s="2" t="s">
        <v>555</v>
      </c>
      <c r="O1654" s="2" t="s">
        <v>407</v>
      </c>
      <c r="P1654" s="2" t="s">
        <v>649</v>
      </c>
      <c r="Q1654" s="2" t="s">
        <v>351</v>
      </c>
      <c r="R1654" s="9">
        <v>28754</v>
      </c>
      <c r="S1654" s="9">
        <v>28754</v>
      </c>
      <c r="T1654" s="2" t="s">
        <v>740</v>
      </c>
      <c r="U1654" s="2" t="s">
        <v>740</v>
      </c>
      <c r="V1654" s="2" t="s">
        <v>740</v>
      </c>
      <c r="W1654" s="2" t="s">
        <v>740</v>
      </c>
      <c r="X1654" s="2" t="s">
        <v>9808</v>
      </c>
      <c r="Y1654" s="2" t="s">
        <v>9809</v>
      </c>
      <c r="Z1654" s="6">
        <v>86342058</v>
      </c>
      <c r="AA1654" s="2" t="s">
        <v>9810</v>
      </c>
      <c r="AB1654" s="2" t="s">
        <v>654</v>
      </c>
      <c r="AC1654" s="2" t="s">
        <v>632</v>
      </c>
      <c r="AD1654" s="10">
        <v>86342058</v>
      </c>
      <c r="AE1654" s="11"/>
      <c r="AF1654" s="11"/>
      <c r="AG1654" s="11">
        <v>86342058</v>
      </c>
      <c r="AH1654" s="11">
        <v>85906947</v>
      </c>
      <c r="AI1654" s="11"/>
      <c r="AJ1654" s="11">
        <v>86342058</v>
      </c>
      <c r="AK1654" s="12">
        <v>4</v>
      </c>
      <c r="AL1654" s="12" t="s">
        <v>7377</v>
      </c>
      <c r="AM1654" s="2">
        <v>0</v>
      </c>
      <c r="AN1654" s="2">
        <v>0</v>
      </c>
      <c r="AO1654" s="2">
        <v>0</v>
      </c>
      <c r="AP1654" s="2">
        <v>1</v>
      </c>
      <c r="AQ1654" s="2">
        <v>0</v>
      </c>
      <c r="AR1654" s="2">
        <v>0</v>
      </c>
      <c r="AS1654" s="2">
        <v>0</v>
      </c>
      <c r="AT1654" s="2">
        <v>0</v>
      </c>
      <c r="AZ1654" s="2" t="s">
        <v>9811</v>
      </c>
      <c r="BB1654" s="2" t="str">
        <f>+PROPER(BD[[#This Row],[PRIMER_APELLIDO]])</f>
        <v>Arevalo</v>
      </c>
    </row>
    <row r="1655" spans="1:54" x14ac:dyDescent="0.25">
      <c r="A1655" s="2">
        <v>1654</v>
      </c>
      <c r="B1655" s="2">
        <v>18199</v>
      </c>
      <c r="C1655" s="5" t="s">
        <v>619</v>
      </c>
      <c r="D1655" s="2" t="s">
        <v>620</v>
      </c>
      <c r="E1655" s="6" t="s">
        <v>9812</v>
      </c>
      <c r="F1655" s="6">
        <v>16341960</v>
      </c>
      <c r="G1655" s="3">
        <v>44</v>
      </c>
      <c r="I1655" s="7"/>
      <c r="J1655" s="7"/>
      <c r="K1655" s="8">
        <v>43.956164383561642</v>
      </c>
      <c r="L1655" s="2" t="s">
        <v>9813</v>
      </c>
      <c r="M1655" s="2" t="s">
        <v>7897</v>
      </c>
      <c r="N1655" s="2" t="s">
        <v>512</v>
      </c>
      <c r="O1655" s="2" t="s">
        <v>287</v>
      </c>
      <c r="P1655" s="2" t="s">
        <v>626</v>
      </c>
      <c r="Q1655" s="2" t="s">
        <v>351</v>
      </c>
      <c r="R1655" s="9">
        <v>28752</v>
      </c>
      <c r="S1655" s="9">
        <v>28752</v>
      </c>
      <c r="T1655" s="2" t="s">
        <v>176</v>
      </c>
      <c r="U1655" s="2" t="s">
        <v>176</v>
      </c>
      <c r="V1655" s="2" t="s">
        <v>650</v>
      </c>
      <c r="W1655" s="2" t="s">
        <v>176</v>
      </c>
      <c r="X1655" s="2" t="s">
        <v>9814</v>
      </c>
      <c r="Y1655" s="2" t="s">
        <v>9815</v>
      </c>
      <c r="Z1655" s="6"/>
      <c r="AA1655" s="2" t="s">
        <v>9816</v>
      </c>
      <c r="AB1655" s="2" t="s">
        <v>654</v>
      </c>
      <c r="AC1655" s="2" t="s">
        <v>632</v>
      </c>
      <c r="AD1655" s="10"/>
      <c r="AE1655" s="11"/>
      <c r="AF1655" s="11"/>
      <c r="AG1655" s="11">
        <v>84371952</v>
      </c>
      <c r="AH1655" s="11"/>
      <c r="AI1655" s="11"/>
      <c r="AJ1655" s="11">
        <v>84371952</v>
      </c>
      <c r="AK1655" s="12">
        <v>2</v>
      </c>
      <c r="AL1655" s="12" t="s">
        <v>7377</v>
      </c>
      <c r="AM1655" s="2">
        <v>0</v>
      </c>
      <c r="AN1655" s="2">
        <v>0</v>
      </c>
      <c r="AO1655" s="2">
        <v>0</v>
      </c>
      <c r="AP1655" s="2">
        <v>1</v>
      </c>
      <c r="AQ1655" s="2">
        <v>0</v>
      </c>
      <c r="AR1655" s="2">
        <v>0</v>
      </c>
      <c r="AS1655" s="2">
        <v>0</v>
      </c>
      <c r="AT1655" s="2">
        <v>0</v>
      </c>
      <c r="BA1655" s="2" t="s">
        <v>9817</v>
      </c>
      <c r="BB1655" s="2" t="str">
        <f>+PROPER(BD[[#This Row],[PRIMER_APELLIDO]])</f>
        <v>Larios</v>
      </c>
    </row>
    <row r="1656" spans="1:54" x14ac:dyDescent="0.25">
      <c r="A1656" s="2">
        <v>1655</v>
      </c>
      <c r="B1656" s="2">
        <v>22876</v>
      </c>
      <c r="C1656" s="5" t="s">
        <v>619</v>
      </c>
      <c r="D1656" s="2" t="s">
        <v>620</v>
      </c>
      <c r="E1656" s="6" t="s">
        <v>9818</v>
      </c>
      <c r="F1656" s="6">
        <v>19842662</v>
      </c>
      <c r="G1656" s="3">
        <v>44</v>
      </c>
      <c r="I1656" s="7"/>
      <c r="J1656" s="7"/>
      <c r="K1656" s="8">
        <v>43.958904109589042</v>
      </c>
      <c r="L1656" s="2" t="s">
        <v>2305</v>
      </c>
      <c r="M1656" s="2" t="s">
        <v>1405</v>
      </c>
      <c r="N1656" s="2" t="s">
        <v>11</v>
      </c>
      <c r="O1656" s="2" t="s">
        <v>44</v>
      </c>
      <c r="P1656" s="2" t="s">
        <v>626</v>
      </c>
      <c r="Q1656" s="2" t="s">
        <v>351</v>
      </c>
      <c r="R1656" s="9">
        <v>28751</v>
      </c>
      <c r="S1656" s="9">
        <v>28751</v>
      </c>
      <c r="U1656" s="2" t="s">
        <v>732</v>
      </c>
      <c r="W1656" s="2" t="s">
        <v>848</v>
      </c>
      <c r="Y1656" s="2" t="s">
        <v>9819</v>
      </c>
      <c r="Z1656" s="6"/>
      <c r="AA1656" s="2">
        <v>84768025</v>
      </c>
      <c r="AB1656" s="2" t="s">
        <v>642</v>
      </c>
      <c r="AC1656" s="2" t="s">
        <v>632</v>
      </c>
      <c r="AD1656" s="10"/>
      <c r="AE1656" s="11"/>
      <c r="AF1656" s="11">
        <v>84768025</v>
      </c>
      <c r="AG1656" s="11"/>
      <c r="AH1656" s="11"/>
      <c r="AI1656" s="11"/>
      <c r="AJ1656" s="11">
        <v>84768025</v>
      </c>
      <c r="AK1656" s="12">
        <v>1</v>
      </c>
      <c r="AL1656" s="12" t="s">
        <v>7377</v>
      </c>
      <c r="AM1656" s="2">
        <v>0</v>
      </c>
      <c r="AN1656" s="2">
        <v>0</v>
      </c>
      <c r="AO1656" s="2">
        <v>0</v>
      </c>
      <c r="AP1656" s="2">
        <v>1</v>
      </c>
      <c r="AQ1656" s="2">
        <v>0</v>
      </c>
      <c r="AR1656" s="2">
        <v>0</v>
      </c>
      <c r="AS1656" s="2">
        <v>0</v>
      </c>
      <c r="AT1656" s="2">
        <v>0</v>
      </c>
      <c r="BA1656" s="2" t="s">
        <v>9820</v>
      </c>
      <c r="BB1656" s="2" t="str">
        <f>+PROPER(BD[[#This Row],[PRIMER_APELLIDO]])</f>
        <v>Hernandez</v>
      </c>
    </row>
    <row r="1657" spans="1:54" x14ac:dyDescent="0.25">
      <c r="A1657" s="2">
        <v>1656</v>
      </c>
      <c r="B1657" s="2">
        <v>19067</v>
      </c>
      <c r="C1657" s="5" t="s">
        <v>619</v>
      </c>
      <c r="D1657" s="2" t="s">
        <v>620</v>
      </c>
      <c r="E1657" s="6" t="s">
        <v>9821</v>
      </c>
      <c r="F1657" s="6">
        <v>15323662</v>
      </c>
      <c r="G1657" s="3">
        <v>44</v>
      </c>
      <c r="I1657" s="7"/>
      <c r="J1657" s="7"/>
      <c r="K1657" s="8">
        <v>43.9972602739726</v>
      </c>
      <c r="L1657" s="2" t="s">
        <v>1850</v>
      </c>
      <c r="M1657" s="2" t="s">
        <v>9822</v>
      </c>
      <c r="N1657" s="2" t="s">
        <v>110</v>
      </c>
      <c r="O1657" s="2" t="s">
        <v>2004</v>
      </c>
      <c r="P1657" s="2" t="s">
        <v>626</v>
      </c>
      <c r="Q1657" s="2" t="s">
        <v>351</v>
      </c>
      <c r="R1657" s="9">
        <v>28737</v>
      </c>
      <c r="S1657" s="9">
        <v>28737</v>
      </c>
      <c r="T1657" s="2" t="s">
        <v>627</v>
      </c>
      <c r="U1657" s="2" t="s">
        <v>627</v>
      </c>
      <c r="V1657" s="2" t="s">
        <v>627</v>
      </c>
      <c r="W1657" s="2" t="s">
        <v>627</v>
      </c>
      <c r="X1657" s="2" t="s">
        <v>9823</v>
      </c>
      <c r="Y1657" s="2" t="s">
        <v>9824</v>
      </c>
      <c r="Z1657" s="6">
        <v>88348947</v>
      </c>
      <c r="AA1657" s="2" t="s">
        <v>9825</v>
      </c>
      <c r="AB1657" s="2" t="s">
        <v>654</v>
      </c>
      <c r="AC1657" s="2" t="s">
        <v>632</v>
      </c>
      <c r="AD1657" s="10">
        <v>88348947</v>
      </c>
      <c r="AE1657" s="11"/>
      <c r="AF1657" s="11"/>
      <c r="AG1657" s="11">
        <v>88348947</v>
      </c>
      <c r="AH1657" s="11"/>
      <c r="AI1657" s="11"/>
      <c r="AJ1657" s="11">
        <v>88348947</v>
      </c>
      <c r="AK1657" s="12">
        <v>3</v>
      </c>
      <c r="AL1657" s="12" t="s">
        <v>7377</v>
      </c>
      <c r="AM1657" s="2">
        <v>0</v>
      </c>
      <c r="AN1657" s="2">
        <v>0</v>
      </c>
      <c r="AO1657" s="2">
        <v>0</v>
      </c>
      <c r="AP1657" s="2">
        <v>1</v>
      </c>
      <c r="AQ1657" s="2">
        <v>0</v>
      </c>
      <c r="AR1657" s="2">
        <v>0</v>
      </c>
      <c r="AS1657" s="2">
        <v>0</v>
      </c>
      <c r="AT1657" s="2">
        <v>0</v>
      </c>
      <c r="AZ1657" s="2" t="s">
        <v>9826</v>
      </c>
      <c r="BB1657" s="2" t="str">
        <f>+PROPER(BD[[#This Row],[PRIMER_APELLIDO]])</f>
        <v>Zuniga</v>
      </c>
    </row>
    <row r="1658" spans="1:54" x14ac:dyDescent="0.25">
      <c r="A1658" s="2">
        <v>1657</v>
      </c>
      <c r="B1658" s="2">
        <v>19942</v>
      </c>
      <c r="C1658" s="5" t="s">
        <v>619</v>
      </c>
      <c r="D1658" s="2" t="s">
        <v>620</v>
      </c>
      <c r="E1658" s="6" t="s">
        <v>9827</v>
      </c>
      <c r="F1658" s="6">
        <v>17153113</v>
      </c>
      <c r="G1658" s="3">
        <v>44</v>
      </c>
      <c r="I1658" s="7"/>
      <c r="J1658" s="7"/>
      <c r="K1658" s="8">
        <v>44.016438356164386</v>
      </c>
      <c r="L1658" s="2" t="s">
        <v>1471</v>
      </c>
      <c r="M1658" s="2" t="s">
        <v>9828</v>
      </c>
      <c r="N1658" s="2" t="s">
        <v>32</v>
      </c>
      <c r="O1658" s="2" t="s">
        <v>9829</v>
      </c>
      <c r="P1658" s="2" t="s">
        <v>626</v>
      </c>
      <c r="Q1658" s="2" t="s">
        <v>351</v>
      </c>
      <c r="R1658" s="9">
        <v>28730</v>
      </c>
      <c r="S1658" s="9">
        <v>28730</v>
      </c>
      <c r="T1658" s="2" t="s">
        <v>705</v>
      </c>
      <c r="U1658" s="2" t="s">
        <v>705</v>
      </c>
      <c r="V1658" s="2" t="s">
        <v>705</v>
      </c>
      <c r="W1658" s="2" t="s">
        <v>1860</v>
      </c>
      <c r="X1658" s="2" t="s">
        <v>9830</v>
      </c>
      <c r="Y1658" s="2" t="s">
        <v>9831</v>
      </c>
      <c r="Z1658" s="6">
        <v>83962099</v>
      </c>
      <c r="AA1658" s="2">
        <v>83962099</v>
      </c>
      <c r="AB1658" s="2" t="s">
        <v>642</v>
      </c>
      <c r="AC1658" s="2" t="s">
        <v>632</v>
      </c>
      <c r="AD1658" s="10">
        <v>83962099</v>
      </c>
      <c r="AE1658" s="11"/>
      <c r="AF1658" s="11">
        <v>83962099</v>
      </c>
      <c r="AG1658" s="11"/>
      <c r="AH1658" s="11"/>
      <c r="AI1658" s="11"/>
      <c r="AJ1658" s="11">
        <v>83962099</v>
      </c>
      <c r="AK1658" s="12">
        <v>2</v>
      </c>
      <c r="AL1658" s="12" t="s">
        <v>7377</v>
      </c>
      <c r="AM1658" s="2">
        <v>0</v>
      </c>
      <c r="AN1658" s="2">
        <v>0</v>
      </c>
      <c r="AO1658" s="2">
        <v>0</v>
      </c>
      <c r="AP1658" s="2">
        <v>1</v>
      </c>
      <c r="AQ1658" s="2">
        <v>0</v>
      </c>
      <c r="AR1658" s="2">
        <v>0</v>
      </c>
      <c r="AS1658" s="2">
        <v>0</v>
      </c>
      <c r="AT1658" s="2">
        <v>0</v>
      </c>
      <c r="AZ1658" s="2" t="s">
        <v>9832</v>
      </c>
      <c r="BB1658" s="2" t="str">
        <f>+PROPER(BD[[#This Row],[PRIMER_APELLIDO]])</f>
        <v>Cruz</v>
      </c>
    </row>
    <row r="1659" spans="1:54" x14ac:dyDescent="0.25">
      <c r="A1659" s="2">
        <v>1658</v>
      </c>
      <c r="B1659" s="2">
        <v>36115</v>
      </c>
      <c r="C1659" s="5" t="s">
        <v>619</v>
      </c>
      <c r="D1659" s="2" t="s">
        <v>620</v>
      </c>
      <c r="E1659" s="6" t="s">
        <v>9833</v>
      </c>
      <c r="F1659" s="6">
        <v>23309137</v>
      </c>
      <c r="G1659" s="3">
        <v>44</v>
      </c>
      <c r="I1659" s="7"/>
      <c r="J1659" s="7"/>
      <c r="K1659" s="8">
        <v>44.024657534246572</v>
      </c>
      <c r="L1659" s="2" t="s">
        <v>2164</v>
      </c>
      <c r="M1659" s="2" t="s">
        <v>1626</v>
      </c>
      <c r="N1659" s="2" t="s">
        <v>10</v>
      </c>
      <c r="O1659" s="2" t="s">
        <v>90</v>
      </c>
      <c r="P1659" s="2" t="s">
        <v>626</v>
      </c>
      <c r="Q1659" s="2" t="s">
        <v>351</v>
      </c>
      <c r="R1659" s="9">
        <v>28727</v>
      </c>
      <c r="S1659" s="9">
        <v>28727</v>
      </c>
      <c r="T1659" s="2" t="s">
        <v>740</v>
      </c>
      <c r="U1659" s="2" t="s">
        <v>1005</v>
      </c>
      <c r="V1659" s="2" t="s">
        <v>1334</v>
      </c>
      <c r="W1659" s="2" t="s">
        <v>1674</v>
      </c>
      <c r="X1659" s="2" t="s">
        <v>9834</v>
      </c>
      <c r="Y1659" s="2" t="s">
        <v>9835</v>
      </c>
      <c r="Z1659" s="6"/>
      <c r="AA1659" s="2">
        <v>83519934</v>
      </c>
      <c r="AB1659" s="2" t="s">
        <v>631</v>
      </c>
      <c r="AC1659" s="2" t="s">
        <v>632</v>
      </c>
      <c r="AD1659" s="10"/>
      <c r="AE1659" s="11"/>
      <c r="AF1659" s="11">
        <v>83519934</v>
      </c>
      <c r="AG1659" s="11"/>
      <c r="AH1659" s="11"/>
      <c r="AI1659" s="11"/>
      <c r="AJ1659" s="11">
        <v>83519934</v>
      </c>
      <c r="AK1659" s="12">
        <v>1</v>
      </c>
      <c r="AL1659" s="12" t="s">
        <v>7377</v>
      </c>
      <c r="AM1659" s="2">
        <v>0</v>
      </c>
      <c r="AN1659" s="2">
        <v>0</v>
      </c>
      <c r="AO1659" s="2">
        <v>0</v>
      </c>
      <c r="AP1659" s="2">
        <v>1</v>
      </c>
      <c r="AQ1659" s="2">
        <v>0</v>
      </c>
      <c r="AR1659" s="2">
        <v>0</v>
      </c>
      <c r="AS1659" s="2">
        <v>0</v>
      </c>
      <c r="AT1659" s="2">
        <v>0</v>
      </c>
      <c r="BA1659" s="2" t="s">
        <v>9836</v>
      </c>
      <c r="BB1659" s="2" t="str">
        <f>+PROPER(BD[[#This Row],[PRIMER_APELLIDO]])</f>
        <v>Garcia</v>
      </c>
    </row>
    <row r="1660" spans="1:54" x14ac:dyDescent="0.25">
      <c r="A1660" s="2">
        <v>1659</v>
      </c>
      <c r="B1660" s="2">
        <v>19889</v>
      </c>
      <c r="C1660" s="5" t="s">
        <v>619</v>
      </c>
      <c r="D1660" s="2" t="s">
        <v>620</v>
      </c>
      <c r="E1660" s="6" t="s">
        <v>9837</v>
      </c>
      <c r="F1660" s="6">
        <v>17009061</v>
      </c>
      <c r="G1660" s="3">
        <v>44</v>
      </c>
      <c r="I1660" s="7"/>
      <c r="J1660" s="7"/>
      <c r="K1660" s="8">
        <v>44.032876712328765</v>
      </c>
      <c r="L1660" s="2" t="s">
        <v>2716</v>
      </c>
      <c r="M1660" s="2" t="s">
        <v>975</v>
      </c>
      <c r="N1660" s="2" t="s">
        <v>10</v>
      </c>
      <c r="O1660" s="2" t="s">
        <v>9838</v>
      </c>
      <c r="P1660" s="2" t="s">
        <v>649</v>
      </c>
      <c r="Q1660" s="2" t="s">
        <v>351</v>
      </c>
      <c r="R1660" s="9">
        <v>28724</v>
      </c>
      <c r="S1660" s="9">
        <v>28724</v>
      </c>
      <c r="U1660" s="2" t="s">
        <v>627</v>
      </c>
      <c r="W1660" s="2" t="s">
        <v>627</v>
      </c>
      <c r="X1660" s="2" t="s">
        <v>9839</v>
      </c>
      <c r="Y1660" s="2" t="s">
        <v>9840</v>
      </c>
      <c r="Z1660" s="6"/>
      <c r="AA1660" s="2" t="s">
        <v>9841</v>
      </c>
      <c r="AB1660" s="2" t="s">
        <v>654</v>
      </c>
      <c r="AC1660" s="2" t="s">
        <v>632</v>
      </c>
      <c r="AD1660" s="10"/>
      <c r="AE1660" s="11"/>
      <c r="AF1660" s="11"/>
      <c r="AG1660" s="11"/>
      <c r="AH1660" s="11">
        <v>88899343</v>
      </c>
      <c r="AI1660" s="11"/>
      <c r="AJ1660" s="11"/>
      <c r="AK1660" s="12">
        <v>3</v>
      </c>
      <c r="AL1660" s="12" t="s">
        <v>7377</v>
      </c>
      <c r="AM1660" s="2">
        <v>0</v>
      </c>
      <c r="AN1660" s="2">
        <v>0</v>
      </c>
      <c r="AO1660" s="2">
        <v>0</v>
      </c>
      <c r="AP1660" s="2">
        <v>1</v>
      </c>
      <c r="AQ1660" s="2">
        <v>0</v>
      </c>
      <c r="AR1660" s="2">
        <v>0</v>
      </c>
      <c r="AS1660" s="2">
        <v>0</v>
      </c>
      <c r="AT1660" s="2">
        <v>0</v>
      </c>
      <c r="BB1660" s="2" t="str">
        <f>+PROPER(BD[[#This Row],[PRIMER_APELLIDO]])</f>
        <v>Garcia</v>
      </c>
    </row>
    <row r="1661" spans="1:54" x14ac:dyDescent="0.25">
      <c r="A1661" s="2">
        <v>1660</v>
      </c>
      <c r="B1661" s="2">
        <v>21395</v>
      </c>
      <c r="C1661" s="5" t="s">
        <v>619</v>
      </c>
      <c r="D1661" s="2" t="s">
        <v>620</v>
      </c>
      <c r="E1661" s="6" t="s">
        <v>9842</v>
      </c>
      <c r="F1661" s="6"/>
      <c r="G1661" s="3">
        <v>44</v>
      </c>
      <c r="I1661" s="7"/>
      <c r="J1661" s="7"/>
      <c r="K1661" s="8">
        <v>44.043835616438358</v>
      </c>
      <c r="L1661" s="2" t="s">
        <v>9843</v>
      </c>
      <c r="M1661" s="2" t="s">
        <v>4040</v>
      </c>
      <c r="N1661" s="2" t="s">
        <v>382</v>
      </c>
      <c r="O1661" s="2" t="s">
        <v>80</v>
      </c>
      <c r="P1661" s="2" t="s">
        <v>626</v>
      </c>
      <c r="Q1661" s="2" t="s">
        <v>351</v>
      </c>
      <c r="R1661" s="9">
        <v>28720</v>
      </c>
      <c r="S1661" s="9">
        <v>28720</v>
      </c>
      <c r="T1661" s="2" t="s">
        <v>627</v>
      </c>
      <c r="U1661" s="2" t="s">
        <v>627</v>
      </c>
      <c r="V1661" s="2" t="s">
        <v>627</v>
      </c>
      <c r="W1661" s="2" t="s">
        <v>627</v>
      </c>
      <c r="X1661" s="2" t="s">
        <v>9844</v>
      </c>
      <c r="Y1661" s="2" t="s">
        <v>9845</v>
      </c>
      <c r="Z1661" s="6">
        <v>88738431</v>
      </c>
      <c r="AA1661" s="2" t="s">
        <v>9846</v>
      </c>
      <c r="AB1661" s="2" t="s">
        <v>642</v>
      </c>
      <c r="AC1661" s="2" t="s">
        <v>632</v>
      </c>
      <c r="AD1661" s="10">
        <v>88738431</v>
      </c>
      <c r="AE1661" s="11"/>
      <c r="AF1661" s="11"/>
      <c r="AG1661" s="11">
        <v>22521250</v>
      </c>
      <c r="AH1661" s="11">
        <v>89280960</v>
      </c>
      <c r="AI1661" s="11"/>
      <c r="AJ1661" s="2">
        <v>88738431</v>
      </c>
      <c r="AK1661" s="12">
        <v>4</v>
      </c>
      <c r="AL1661" s="12" t="s">
        <v>7377</v>
      </c>
      <c r="AM1661" s="2">
        <v>0</v>
      </c>
      <c r="AN1661" s="2">
        <v>0</v>
      </c>
      <c r="AO1661" s="2">
        <v>0</v>
      </c>
      <c r="AP1661" s="2">
        <v>1</v>
      </c>
      <c r="AQ1661" s="2">
        <v>0</v>
      </c>
      <c r="AR1661" s="2">
        <v>0</v>
      </c>
      <c r="AS1661" s="2">
        <v>0</v>
      </c>
      <c r="AT1661" s="2">
        <v>0</v>
      </c>
      <c r="AZ1661" s="2" t="s">
        <v>9847</v>
      </c>
      <c r="BB1661" s="2" t="str">
        <f>+PROPER(BD[[#This Row],[PRIMER_APELLIDO]])</f>
        <v>Matamoros</v>
      </c>
    </row>
    <row r="1662" spans="1:54" x14ac:dyDescent="0.25">
      <c r="A1662" s="2">
        <v>1661</v>
      </c>
      <c r="B1662" s="2">
        <v>33487</v>
      </c>
      <c r="C1662" s="5" t="s">
        <v>619</v>
      </c>
      <c r="D1662" s="2" t="s">
        <v>620</v>
      </c>
      <c r="E1662" s="6" t="s">
        <v>9848</v>
      </c>
      <c r="F1662" s="6">
        <v>21680580</v>
      </c>
      <c r="G1662" s="3">
        <v>44</v>
      </c>
      <c r="I1662" s="7"/>
      <c r="J1662" s="7"/>
      <c r="K1662" s="8">
        <v>44.052054794520551</v>
      </c>
      <c r="L1662" s="2" t="s">
        <v>9849</v>
      </c>
      <c r="M1662" s="2" t="s">
        <v>724</v>
      </c>
      <c r="N1662" s="2" t="s">
        <v>196</v>
      </c>
      <c r="O1662" s="2" t="s">
        <v>126</v>
      </c>
      <c r="P1662" s="2" t="s">
        <v>626</v>
      </c>
      <c r="Q1662" s="2" t="s">
        <v>351</v>
      </c>
      <c r="R1662" s="9">
        <v>28717</v>
      </c>
      <c r="S1662" s="9">
        <v>28717</v>
      </c>
      <c r="T1662" s="2" t="s">
        <v>691</v>
      </c>
      <c r="U1662" s="2" t="s">
        <v>691</v>
      </c>
      <c r="V1662" s="2" t="s">
        <v>3571</v>
      </c>
      <c r="W1662" s="2" t="s">
        <v>691</v>
      </c>
      <c r="X1662" s="2" t="s">
        <v>9850</v>
      </c>
      <c r="Y1662" s="2" t="s">
        <v>9851</v>
      </c>
      <c r="Z1662" s="6">
        <v>89430490</v>
      </c>
      <c r="AA1662" s="2">
        <v>84497646</v>
      </c>
      <c r="AB1662" s="2" t="s">
        <v>642</v>
      </c>
      <c r="AC1662" s="2" t="s">
        <v>632</v>
      </c>
      <c r="AD1662" s="10">
        <v>89430490</v>
      </c>
      <c r="AE1662" s="11"/>
      <c r="AF1662" s="11">
        <v>84497646</v>
      </c>
      <c r="AG1662" s="11"/>
      <c r="AH1662" s="11"/>
      <c r="AI1662" s="11"/>
      <c r="AJ1662" s="11">
        <v>89430490</v>
      </c>
      <c r="AK1662" s="12">
        <v>2</v>
      </c>
      <c r="AL1662" s="12" t="s">
        <v>7377</v>
      </c>
      <c r="AM1662" s="2">
        <v>0</v>
      </c>
      <c r="AN1662" s="2">
        <v>0</v>
      </c>
      <c r="AO1662" s="2">
        <v>0</v>
      </c>
      <c r="AP1662" s="2">
        <v>1</v>
      </c>
      <c r="AQ1662" s="2">
        <v>0</v>
      </c>
      <c r="AR1662" s="2">
        <v>0</v>
      </c>
      <c r="AS1662" s="2">
        <v>0</v>
      </c>
      <c r="AT1662" s="2">
        <v>0</v>
      </c>
      <c r="AZ1662" s="2" t="s">
        <v>9852</v>
      </c>
      <c r="BB1662" s="2" t="str">
        <f>+PROPER(BD[[#This Row],[PRIMER_APELLIDO]])</f>
        <v>Alfaro</v>
      </c>
    </row>
    <row r="1663" spans="1:54" x14ac:dyDescent="0.25">
      <c r="A1663" s="2">
        <v>1662</v>
      </c>
      <c r="B1663" s="2">
        <v>15993</v>
      </c>
      <c r="C1663" s="5" t="s">
        <v>619</v>
      </c>
      <c r="D1663" s="2" t="s">
        <v>620</v>
      </c>
      <c r="E1663" s="6" t="s">
        <v>9853</v>
      </c>
      <c r="F1663" s="6">
        <v>15807201</v>
      </c>
      <c r="G1663" s="3">
        <v>44</v>
      </c>
      <c r="I1663" s="7"/>
      <c r="J1663" s="7"/>
      <c r="K1663" s="8">
        <v>44.063013698630137</v>
      </c>
      <c r="L1663" s="2" t="s">
        <v>5455</v>
      </c>
      <c r="M1663" s="2" t="s">
        <v>1626</v>
      </c>
      <c r="N1663" s="2" t="s">
        <v>126</v>
      </c>
      <c r="O1663" s="2" t="s">
        <v>79</v>
      </c>
      <c r="P1663" s="2" t="s">
        <v>626</v>
      </c>
      <c r="Q1663" s="2" t="s">
        <v>351</v>
      </c>
      <c r="R1663" s="9">
        <v>28713</v>
      </c>
      <c r="S1663" s="9">
        <v>28713</v>
      </c>
      <c r="T1663" s="2" t="s">
        <v>627</v>
      </c>
      <c r="U1663" s="2" t="s">
        <v>627</v>
      </c>
      <c r="V1663" s="2" t="s">
        <v>627</v>
      </c>
      <c r="W1663" s="2" t="s">
        <v>627</v>
      </c>
      <c r="X1663" s="2" t="s">
        <v>9854</v>
      </c>
      <c r="Y1663" s="2" t="s">
        <v>9855</v>
      </c>
      <c r="Z1663" s="6">
        <v>88214697</v>
      </c>
      <c r="AA1663" s="2">
        <v>88214697</v>
      </c>
      <c r="AB1663" s="2" t="s">
        <v>642</v>
      </c>
      <c r="AC1663" s="2" t="s">
        <v>632</v>
      </c>
      <c r="AD1663" s="10">
        <v>88214697</v>
      </c>
      <c r="AE1663" s="11"/>
      <c r="AF1663" s="11">
        <v>88214697</v>
      </c>
      <c r="AG1663" s="11"/>
      <c r="AH1663" s="11"/>
      <c r="AI1663" s="11"/>
      <c r="AJ1663" s="11">
        <v>88214697</v>
      </c>
      <c r="AK1663" s="12">
        <v>2</v>
      </c>
      <c r="AL1663" s="12" t="s">
        <v>7377</v>
      </c>
      <c r="AM1663" s="2">
        <v>0</v>
      </c>
      <c r="AN1663" s="2">
        <v>0</v>
      </c>
      <c r="AO1663" s="2">
        <v>0</v>
      </c>
      <c r="AP1663" s="2">
        <v>1</v>
      </c>
      <c r="AQ1663" s="2">
        <v>0</v>
      </c>
      <c r="AR1663" s="2">
        <v>0</v>
      </c>
      <c r="AS1663" s="2">
        <v>0</v>
      </c>
      <c r="AT1663" s="2">
        <v>0</v>
      </c>
      <c r="AZ1663" s="2" t="s">
        <v>9856</v>
      </c>
      <c r="BB1663" s="2" t="str">
        <f>+PROPER(BD[[#This Row],[PRIMER_APELLIDO]])</f>
        <v>Salgado</v>
      </c>
    </row>
    <row r="1664" spans="1:54" x14ac:dyDescent="0.25">
      <c r="A1664" s="2">
        <v>1663</v>
      </c>
      <c r="B1664" s="2">
        <v>18289</v>
      </c>
      <c r="C1664" s="5" t="s">
        <v>619</v>
      </c>
      <c r="D1664" s="2" t="s">
        <v>620</v>
      </c>
      <c r="E1664" s="6" t="s">
        <v>9857</v>
      </c>
      <c r="F1664" s="6">
        <v>24453743</v>
      </c>
      <c r="G1664" s="3">
        <v>44</v>
      </c>
      <c r="I1664" s="7"/>
      <c r="J1664" s="7"/>
      <c r="K1664" s="8">
        <v>44.06849315068493</v>
      </c>
      <c r="L1664" s="2" t="s">
        <v>1156</v>
      </c>
      <c r="N1664" s="2" t="s">
        <v>556</v>
      </c>
      <c r="O1664" s="2" t="s">
        <v>32</v>
      </c>
      <c r="P1664" s="2" t="s">
        <v>649</v>
      </c>
      <c r="Q1664" s="2" t="s">
        <v>351</v>
      </c>
      <c r="R1664" s="9">
        <v>28711</v>
      </c>
      <c r="S1664" s="9">
        <v>28711</v>
      </c>
      <c r="U1664" s="2" t="s">
        <v>691</v>
      </c>
      <c r="W1664" s="2" t="s">
        <v>691</v>
      </c>
      <c r="X1664" s="2" t="s">
        <v>9858</v>
      </c>
      <c r="Y1664" s="2" t="s">
        <v>9859</v>
      </c>
      <c r="Z1664" s="6"/>
      <c r="AA1664" s="2" t="s">
        <v>9860</v>
      </c>
      <c r="AB1664" s="2" t="s">
        <v>654</v>
      </c>
      <c r="AC1664" s="2" t="s">
        <v>632</v>
      </c>
      <c r="AD1664" s="10"/>
      <c r="AE1664" s="11"/>
      <c r="AF1664" s="11"/>
      <c r="AG1664" s="11">
        <v>82015090</v>
      </c>
      <c r="AH1664" s="11"/>
      <c r="AI1664" s="11"/>
      <c r="AJ1664" s="11">
        <v>82015090</v>
      </c>
      <c r="AK1664" s="12">
        <v>2</v>
      </c>
      <c r="AL1664" s="12" t="s">
        <v>7377</v>
      </c>
      <c r="AM1664" s="2">
        <v>0</v>
      </c>
      <c r="AN1664" s="2">
        <v>0</v>
      </c>
      <c r="AO1664" s="2">
        <v>0</v>
      </c>
      <c r="AP1664" s="2">
        <v>1</v>
      </c>
      <c r="AQ1664" s="2">
        <v>0</v>
      </c>
      <c r="AR1664" s="2">
        <v>0</v>
      </c>
      <c r="AS1664" s="2">
        <v>0</v>
      </c>
      <c r="AT1664" s="2">
        <v>0</v>
      </c>
      <c r="BB1664" s="2" t="str">
        <f>+PROPER(BD[[#This Row],[PRIMER_APELLIDO]])</f>
        <v>Briones</v>
      </c>
    </row>
    <row r="1665" spans="1:54" x14ac:dyDescent="0.25">
      <c r="A1665" s="2">
        <v>1664</v>
      </c>
      <c r="B1665" s="2">
        <v>32495</v>
      </c>
      <c r="C1665" s="5" t="s">
        <v>619</v>
      </c>
      <c r="D1665" s="2" t="s">
        <v>620</v>
      </c>
      <c r="E1665" s="6" t="s">
        <v>9861</v>
      </c>
      <c r="F1665" s="6">
        <v>21752753</v>
      </c>
      <c r="G1665" s="3">
        <v>44</v>
      </c>
      <c r="I1665" s="7"/>
      <c r="J1665" s="7"/>
      <c r="K1665" s="8">
        <v>44.06849315068493</v>
      </c>
      <c r="L1665" s="2" t="s">
        <v>9862</v>
      </c>
      <c r="M1665" s="2" t="s">
        <v>3295</v>
      </c>
      <c r="N1665" s="2" t="s">
        <v>44</v>
      </c>
      <c r="O1665" s="2" t="s">
        <v>9863</v>
      </c>
      <c r="P1665" s="2" t="s">
        <v>626</v>
      </c>
      <c r="Q1665" s="2" t="s">
        <v>351</v>
      </c>
      <c r="R1665" s="9">
        <v>28711</v>
      </c>
      <c r="S1665" s="9">
        <v>28711</v>
      </c>
      <c r="T1665" s="2" t="s">
        <v>1005</v>
      </c>
      <c r="U1665" s="2" t="s">
        <v>1005</v>
      </c>
      <c r="V1665" s="2" t="s">
        <v>4772</v>
      </c>
      <c r="W1665" s="2" t="s">
        <v>1006</v>
      </c>
      <c r="X1665" s="2" t="s">
        <v>9864</v>
      </c>
      <c r="Y1665" s="2" t="s">
        <v>9865</v>
      </c>
      <c r="Z1665" s="6" t="s">
        <v>9866</v>
      </c>
      <c r="AA1665" s="2">
        <v>84069347</v>
      </c>
      <c r="AB1665" s="2" t="s">
        <v>9867</v>
      </c>
      <c r="AC1665" s="2" t="s">
        <v>632</v>
      </c>
      <c r="AD1665" s="10">
        <v>84069347</v>
      </c>
      <c r="AE1665" s="11">
        <v>86183945</v>
      </c>
      <c r="AF1665" s="11">
        <v>84069347</v>
      </c>
      <c r="AG1665" s="11"/>
      <c r="AH1665" s="11"/>
      <c r="AI1665" s="11"/>
      <c r="AJ1665" s="11">
        <v>84069347</v>
      </c>
      <c r="AK1665" s="12">
        <v>3</v>
      </c>
      <c r="AL1665" s="12" t="s">
        <v>7377</v>
      </c>
      <c r="AM1665" s="2">
        <v>0</v>
      </c>
      <c r="AN1665" s="2">
        <v>0</v>
      </c>
      <c r="AO1665" s="2">
        <v>0</v>
      </c>
      <c r="AP1665" s="2">
        <v>1</v>
      </c>
      <c r="AQ1665" s="2">
        <v>0</v>
      </c>
      <c r="AR1665" s="2">
        <v>0</v>
      </c>
      <c r="AS1665" s="2">
        <v>0</v>
      </c>
      <c r="AT1665" s="2">
        <v>0</v>
      </c>
      <c r="AZ1665" s="2" t="s">
        <v>9868</v>
      </c>
      <c r="BA1665" s="2" t="s">
        <v>9868</v>
      </c>
      <c r="BB1665" s="2" t="str">
        <f>+PROPER(BD[[#This Row],[PRIMER_APELLIDO]])</f>
        <v>Martinez</v>
      </c>
    </row>
    <row r="1666" spans="1:54" x14ac:dyDescent="0.25">
      <c r="A1666" s="2">
        <v>1665</v>
      </c>
      <c r="B1666" s="2">
        <v>37630</v>
      </c>
      <c r="C1666" s="5" t="s">
        <v>619</v>
      </c>
      <c r="D1666" s="2" t="s">
        <v>620</v>
      </c>
      <c r="E1666" s="6" t="s">
        <v>9869</v>
      </c>
      <c r="F1666" s="6">
        <v>22236313</v>
      </c>
      <c r="G1666" s="3">
        <v>44</v>
      </c>
      <c r="I1666" s="7"/>
      <c r="J1666" s="7"/>
      <c r="K1666" s="8">
        <v>44.06849315068493</v>
      </c>
      <c r="L1666" s="2" t="s">
        <v>9870</v>
      </c>
      <c r="M1666" s="2" t="s">
        <v>1263</v>
      </c>
      <c r="N1666" s="2" t="s">
        <v>84</v>
      </c>
      <c r="O1666" s="2" t="s">
        <v>9039</v>
      </c>
      <c r="P1666" s="2" t="s">
        <v>626</v>
      </c>
      <c r="Q1666" s="2" t="s">
        <v>351</v>
      </c>
      <c r="R1666" s="9">
        <v>28711</v>
      </c>
      <c r="S1666" s="9">
        <v>28711</v>
      </c>
      <c r="U1666" s="2" t="s">
        <v>740</v>
      </c>
      <c r="W1666" s="2" t="s">
        <v>740</v>
      </c>
      <c r="X1666" s="2" t="s">
        <v>9871</v>
      </c>
      <c r="Y1666" s="2" t="s">
        <v>9872</v>
      </c>
      <c r="Z1666" s="6"/>
      <c r="AA1666" s="2">
        <v>25525852</v>
      </c>
      <c r="AB1666" s="2" t="s">
        <v>654</v>
      </c>
      <c r="AC1666" s="2" t="s">
        <v>632</v>
      </c>
      <c r="AD1666" s="10"/>
      <c r="AE1666" s="11"/>
      <c r="AF1666" s="11"/>
      <c r="AG1666" s="11"/>
      <c r="AH1666" s="11"/>
      <c r="AI1666" s="11"/>
      <c r="AJ1666" s="11"/>
      <c r="AK1666" s="12">
        <v>1</v>
      </c>
      <c r="AL1666" s="12" t="s">
        <v>7377</v>
      </c>
      <c r="AM1666" s="2">
        <v>0</v>
      </c>
      <c r="AN1666" s="2">
        <v>0</v>
      </c>
      <c r="AO1666" s="2">
        <v>0</v>
      </c>
      <c r="AP1666" s="2">
        <v>1</v>
      </c>
      <c r="AQ1666" s="2">
        <v>0</v>
      </c>
      <c r="AR1666" s="2">
        <v>0</v>
      </c>
      <c r="AS1666" s="2">
        <v>0</v>
      </c>
      <c r="AT1666" s="2">
        <v>0</v>
      </c>
      <c r="BB1666" s="2" t="str">
        <f>+PROPER(BD[[#This Row],[PRIMER_APELLIDO]])</f>
        <v>Ruiz</v>
      </c>
    </row>
    <row r="1667" spans="1:54" x14ac:dyDescent="0.25">
      <c r="A1667" s="2">
        <v>1666</v>
      </c>
      <c r="B1667" s="2">
        <v>19228</v>
      </c>
      <c r="C1667" s="5" t="s">
        <v>619</v>
      </c>
      <c r="D1667" s="2" t="s">
        <v>620</v>
      </c>
      <c r="E1667" s="6" t="s">
        <v>9873</v>
      </c>
      <c r="F1667" s="6">
        <v>16793905</v>
      </c>
      <c r="G1667" s="3">
        <v>44</v>
      </c>
      <c r="I1667" s="7"/>
      <c r="J1667" s="7"/>
      <c r="K1667" s="8">
        <v>44.082191780821915</v>
      </c>
      <c r="L1667" s="2" t="s">
        <v>9874</v>
      </c>
      <c r="M1667" s="2" t="s">
        <v>2740</v>
      </c>
      <c r="N1667" s="2" t="s">
        <v>407</v>
      </c>
      <c r="O1667" s="2" t="s">
        <v>394</v>
      </c>
      <c r="P1667" s="2" t="s">
        <v>649</v>
      </c>
      <c r="Q1667" s="2" t="s">
        <v>351</v>
      </c>
      <c r="R1667" s="9">
        <v>28706</v>
      </c>
      <c r="S1667" s="9">
        <v>28706</v>
      </c>
      <c r="T1667" s="2" t="s">
        <v>740</v>
      </c>
      <c r="U1667" s="2" t="s">
        <v>740</v>
      </c>
      <c r="V1667" s="2" t="s">
        <v>740</v>
      </c>
      <c r="W1667" s="2" t="s">
        <v>740</v>
      </c>
      <c r="X1667" s="2" t="s">
        <v>9875</v>
      </c>
      <c r="Y1667" s="2" t="s">
        <v>9876</v>
      </c>
      <c r="Z1667" s="6">
        <v>84117194</v>
      </c>
      <c r="AA1667" s="2" t="s">
        <v>9877</v>
      </c>
      <c r="AB1667" s="2" t="s">
        <v>654</v>
      </c>
      <c r="AC1667" s="2" t="s">
        <v>632</v>
      </c>
      <c r="AD1667" s="10">
        <v>84117194</v>
      </c>
      <c r="AE1667" s="11"/>
      <c r="AF1667" s="11"/>
      <c r="AG1667" s="11">
        <v>84117194</v>
      </c>
      <c r="AH1667" s="11"/>
      <c r="AI1667" s="11"/>
      <c r="AJ1667" s="11">
        <v>84117194</v>
      </c>
      <c r="AK1667" s="12">
        <v>3</v>
      </c>
      <c r="AL1667" s="12" t="s">
        <v>7377</v>
      </c>
      <c r="AM1667" s="2">
        <v>0</v>
      </c>
      <c r="AN1667" s="2">
        <v>0</v>
      </c>
      <c r="AO1667" s="2">
        <v>0</v>
      </c>
      <c r="AP1667" s="2">
        <v>1</v>
      </c>
      <c r="AQ1667" s="2">
        <v>0</v>
      </c>
      <c r="AR1667" s="2">
        <v>0</v>
      </c>
      <c r="AS1667" s="2">
        <v>0</v>
      </c>
      <c r="AT1667" s="2">
        <v>0</v>
      </c>
      <c r="AZ1667" s="2" t="s">
        <v>9878</v>
      </c>
      <c r="BB1667" s="2" t="str">
        <f>+PROPER(BD[[#This Row],[PRIMER_APELLIDO]])</f>
        <v>Bonilla</v>
      </c>
    </row>
    <row r="1668" spans="1:54" x14ac:dyDescent="0.25">
      <c r="A1668" s="2">
        <v>1667</v>
      </c>
      <c r="B1668" s="2">
        <v>22159</v>
      </c>
      <c r="C1668" s="5" t="s">
        <v>619</v>
      </c>
      <c r="D1668" s="2" t="s">
        <v>620</v>
      </c>
      <c r="E1668" s="6" t="s">
        <v>9879</v>
      </c>
      <c r="F1668" s="6"/>
      <c r="G1668" s="3">
        <v>44</v>
      </c>
      <c r="I1668" s="7"/>
      <c r="J1668" s="7"/>
      <c r="K1668" s="8">
        <v>44.082191780821915</v>
      </c>
      <c r="L1668" s="2" t="s">
        <v>724</v>
      </c>
      <c r="M1668" s="2" t="s">
        <v>769</v>
      </c>
      <c r="N1668" s="2" t="s">
        <v>105</v>
      </c>
      <c r="O1668" s="2" t="s">
        <v>24</v>
      </c>
      <c r="P1668" s="2" t="s">
        <v>626</v>
      </c>
      <c r="Q1668" s="2" t="s">
        <v>351</v>
      </c>
      <c r="R1668" s="9">
        <v>28706</v>
      </c>
      <c r="S1668" s="9">
        <v>28706</v>
      </c>
      <c r="T1668" s="2" t="s">
        <v>176</v>
      </c>
      <c r="U1668" s="2" t="s">
        <v>176</v>
      </c>
      <c r="V1668" s="2" t="s">
        <v>1796</v>
      </c>
      <c r="W1668" s="2" t="s">
        <v>1796</v>
      </c>
      <c r="X1668" s="2" t="s">
        <v>9880</v>
      </c>
      <c r="Y1668" s="2" t="s">
        <v>9881</v>
      </c>
      <c r="Z1668" s="6">
        <v>57394137</v>
      </c>
      <c r="AA1668" s="2">
        <v>57394139</v>
      </c>
      <c r="AB1668" s="2" t="s">
        <v>654</v>
      </c>
      <c r="AC1668" s="2" t="s">
        <v>632</v>
      </c>
      <c r="AD1668" s="10">
        <v>57394137</v>
      </c>
      <c r="AE1668" s="11"/>
      <c r="AF1668" s="11">
        <v>57394139</v>
      </c>
      <c r="AG1668" s="11"/>
      <c r="AH1668" s="11"/>
      <c r="AI1668" s="11"/>
      <c r="AJ1668" s="11">
        <v>57394137</v>
      </c>
      <c r="AK1668" s="12">
        <v>2</v>
      </c>
      <c r="AL1668" s="12" t="s">
        <v>7377</v>
      </c>
      <c r="AM1668" s="2">
        <v>0</v>
      </c>
      <c r="AN1668" s="2">
        <v>0</v>
      </c>
      <c r="AO1668" s="2">
        <v>0</v>
      </c>
      <c r="AP1668" s="2">
        <v>1</v>
      </c>
      <c r="AQ1668" s="2">
        <v>0</v>
      </c>
      <c r="AR1668" s="2">
        <v>0</v>
      </c>
      <c r="AS1668" s="2">
        <v>0</v>
      </c>
      <c r="AT1668" s="2">
        <v>0</v>
      </c>
      <c r="AZ1668" s="2" t="s">
        <v>9882</v>
      </c>
      <c r="BB1668" s="2" t="str">
        <f>+PROPER(BD[[#This Row],[PRIMER_APELLIDO]])</f>
        <v>Rojas</v>
      </c>
    </row>
    <row r="1669" spans="1:54" x14ac:dyDescent="0.25">
      <c r="A1669" s="2">
        <v>1668</v>
      </c>
      <c r="B1669" s="2">
        <v>30390</v>
      </c>
      <c r="C1669" s="5" t="s">
        <v>619</v>
      </c>
      <c r="D1669" s="2" t="s">
        <v>620</v>
      </c>
      <c r="E1669" s="6" t="s">
        <v>9883</v>
      </c>
      <c r="F1669" s="6">
        <v>21720253</v>
      </c>
      <c r="G1669" s="3">
        <v>44</v>
      </c>
      <c r="I1669" s="7"/>
      <c r="J1669" s="7"/>
      <c r="K1669" s="8">
        <v>44.104109589041094</v>
      </c>
      <c r="L1669" s="2" t="s">
        <v>2568</v>
      </c>
      <c r="M1669" s="2" t="s">
        <v>9884</v>
      </c>
      <c r="N1669" s="2" t="s">
        <v>557</v>
      </c>
      <c r="O1669" s="2" t="s">
        <v>5242</v>
      </c>
      <c r="P1669" s="2" t="s">
        <v>649</v>
      </c>
      <c r="Q1669" s="2" t="s">
        <v>351</v>
      </c>
      <c r="R1669" s="9">
        <v>28698</v>
      </c>
      <c r="S1669" s="9">
        <v>28698</v>
      </c>
      <c r="T1669" s="2" t="s">
        <v>732</v>
      </c>
      <c r="U1669" s="2" t="s">
        <v>627</v>
      </c>
      <c r="V1669" s="2" t="s">
        <v>732</v>
      </c>
      <c r="W1669" s="2" t="s">
        <v>627</v>
      </c>
      <c r="X1669" s="2" t="s">
        <v>9885</v>
      </c>
      <c r="Y1669" s="2" t="s">
        <v>9886</v>
      </c>
      <c r="Z1669" s="6"/>
      <c r="AA1669" s="2" t="s">
        <v>9887</v>
      </c>
      <c r="AB1669" s="2" t="s">
        <v>654</v>
      </c>
      <c r="AC1669" s="2" t="s">
        <v>632</v>
      </c>
      <c r="AD1669" s="10"/>
      <c r="AE1669" s="11"/>
      <c r="AF1669" s="11">
        <v>85669057</v>
      </c>
      <c r="AG1669" s="11">
        <v>83530226</v>
      </c>
      <c r="AH1669" s="11"/>
      <c r="AI1669" s="11"/>
      <c r="AJ1669" s="11">
        <v>85669057</v>
      </c>
      <c r="AK1669" s="12">
        <v>2</v>
      </c>
      <c r="AL1669" s="12" t="s">
        <v>7377</v>
      </c>
      <c r="AM1669" s="2">
        <v>0</v>
      </c>
      <c r="AN1669" s="2">
        <v>0</v>
      </c>
      <c r="AO1669" s="2">
        <v>0</v>
      </c>
      <c r="AP1669" s="2">
        <v>1</v>
      </c>
      <c r="AQ1669" s="2">
        <v>0</v>
      </c>
      <c r="AR1669" s="2">
        <v>0</v>
      </c>
      <c r="AS1669" s="2">
        <v>0</v>
      </c>
      <c r="AT1669" s="2">
        <v>0</v>
      </c>
      <c r="BB1669" s="2" t="str">
        <f>+PROPER(BD[[#This Row],[PRIMER_APELLIDO]])</f>
        <v>Putoy</v>
      </c>
    </row>
    <row r="1670" spans="1:54" x14ac:dyDescent="0.25">
      <c r="A1670" s="2">
        <v>1669</v>
      </c>
      <c r="B1670" s="2">
        <v>15974</v>
      </c>
      <c r="C1670" s="5" t="s">
        <v>619</v>
      </c>
      <c r="D1670" s="2" t="s">
        <v>620</v>
      </c>
      <c r="E1670" s="6" t="s">
        <v>9888</v>
      </c>
      <c r="F1670" s="6">
        <v>15785154</v>
      </c>
      <c r="G1670" s="3">
        <v>44</v>
      </c>
      <c r="I1670" s="7"/>
      <c r="J1670" s="7"/>
      <c r="K1670" s="8">
        <v>44.106849315068494</v>
      </c>
      <c r="L1670" s="2" t="s">
        <v>9889</v>
      </c>
      <c r="N1670" s="2" t="s">
        <v>79</v>
      </c>
      <c r="P1670" s="2" t="s">
        <v>626</v>
      </c>
      <c r="Q1670" s="2" t="s">
        <v>351</v>
      </c>
      <c r="R1670" s="9">
        <v>28697</v>
      </c>
      <c r="S1670" s="9">
        <v>28697</v>
      </c>
      <c r="T1670" s="2" t="s">
        <v>627</v>
      </c>
      <c r="U1670" s="2" t="s">
        <v>627</v>
      </c>
      <c r="V1670" s="2" t="s">
        <v>627</v>
      </c>
      <c r="W1670" s="2" t="s">
        <v>627</v>
      </c>
      <c r="X1670" s="2" t="s">
        <v>9890</v>
      </c>
      <c r="Y1670" s="2" t="s">
        <v>9891</v>
      </c>
      <c r="Z1670" s="6"/>
      <c r="AA1670" s="2" t="s">
        <v>9892</v>
      </c>
      <c r="AB1670" s="2" t="s">
        <v>654</v>
      </c>
      <c r="AC1670" s="2" t="s">
        <v>632</v>
      </c>
      <c r="AD1670" s="10"/>
      <c r="AE1670" s="11"/>
      <c r="AF1670" s="11"/>
      <c r="AG1670" s="11">
        <v>86791265</v>
      </c>
      <c r="AH1670" s="11">
        <v>86791245</v>
      </c>
      <c r="AI1670" s="11"/>
      <c r="AJ1670" s="11">
        <v>86791265</v>
      </c>
      <c r="AK1670" s="12">
        <v>3</v>
      </c>
      <c r="AL1670" s="12" t="s">
        <v>7377</v>
      </c>
      <c r="AM1670" s="2">
        <v>0</v>
      </c>
      <c r="AN1670" s="2">
        <v>0</v>
      </c>
      <c r="AO1670" s="2">
        <v>0</v>
      </c>
      <c r="AP1670" s="2">
        <v>1</v>
      </c>
      <c r="AQ1670" s="2">
        <v>0</v>
      </c>
      <c r="AR1670" s="2">
        <v>0</v>
      </c>
      <c r="AS1670" s="2">
        <v>0</v>
      </c>
      <c r="AT1670" s="2">
        <v>0</v>
      </c>
      <c r="BB1670" s="2" t="str">
        <f>+PROPER(BD[[#This Row],[PRIMER_APELLIDO]])</f>
        <v>Obando</v>
      </c>
    </row>
    <row r="1671" spans="1:54" x14ac:dyDescent="0.25">
      <c r="A1671" s="2">
        <v>1670</v>
      </c>
      <c r="B1671" s="2">
        <v>26504</v>
      </c>
      <c r="C1671" s="5" t="s">
        <v>619</v>
      </c>
      <c r="D1671" s="2" t="s">
        <v>620</v>
      </c>
      <c r="E1671" s="6" t="s">
        <v>9893</v>
      </c>
      <c r="F1671" s="6">
        <v>17143040</v>
      </c>
      <c r="G1671" s="3">
        <v>44</v>
      </c>
      <c r="I1671" s="7"/>
      <c r="J1671" s="7"/>
      <c r="K1671" s="8">
        <v>44.11780821917808</v>
      </c>
      <c r="L1671" s="2" t="s">
        <v>9894</v>
      </c>
      <c r="M1671" s="2" t="s">
        <v>2175</v>
      </c>
      <c r="N1671" s="2" t="s">
        <v>174</v>
      </c>
      <c r="O1671" s="2" t="s">
        <v>9895</v>
      </c>
      <c r="P1671" s="2" t="s">
        <v>649</v>
      </c>
      <c r="Q1671" s="2" t="s">
        <v>351</v>
      </c>
      <c r="R1671" s="9">
        <v>28693</v>
      </c>
      <c r="S1671" s="9">
        <v>28632</v>
      </c>
      <c r="U1671" s="2" t="s">
        <v>732</v>
      </c>
      <c r="W1671" s="2" t="s">
        <v>732</v>
      </c>
      <c r="X1671" s="2" t="s">
        <v>9896</v>
      </c>
      <c r="Y1671" s="2" t="s">
        <v>9897</v>
      </c>
      <c r="Z1671" s="6"/>
      <c r="AA1671" s="2">
        <v>22497864</v>
      </c>
      <c r="AB1671" s="2" t="s">
        <v>654</v>
      </c>
      <c r="AC1671" s="2" t="s">
        <v>632</v>
      </c>
      <c r="AD1671" s="10"/>
      <c r="AE1671" s="11"/>
      <c r="AF1671" s="11"/>
      <c r="AG1671" s="11"/>
      <c r="AH1671" s="11"/>
      <c r="AI1671" s="11"/>
      <c r="AJ1671" s="11"/>
      <c r="AK1671" s="12">
        <v>1</v>
      </c>
      <c r="AL1671" s="12" t="s">
        <v>7377</v>
      </c>
      <c r="AM1671" s="2">
        <v>0</v>
      </c>
      <c r="AN1671" s="2">
        <v>0</v>
      </c>
      <c r="AO1671" s="2">
        <v>0</v>
      </c>
      <c r="AP1671" s="2">
        <v>1</v>
      </c>
      <c r="AQ1671" s="2">
        <v>0</v>
      </c>
      <c r="AR1671" s="2">
        <v>0</v>
      </c>
      <c r="AS1671" s="2">
        <v>0</v>
      </c>
      <c r="AT1671" s="2">
        <v>0</v>
      </c>
      <c r="BB1671" s="2" t="str">
        <f>+PROPER(BD[[#This Row],[PRIMER_APELLIDO]])</f>
        <v>Arauz</v>
      </c>
    </row>
    <row r="1672" spans="1:54" x14ac:dyDescent="0.25">
      <c r="A1672" s="2">
        <v>1671</v>
      </c>
      <c r="B1672" s="2">
        <v>31316</v>
      </c>
      <c r="C1672" s="5" t="s">
        <v>619</v>
      </c>
      <c r="D1672" s="2" t="s">
        <v>620</v>
      </c>
      <c r="E1672" s="6" t="s">
        <v>9898</v>
      </c>
      <c r="F1672" s="6">
        <v>10685927</v>
      </c>
      <c r="G1672" s="3">
        <v>44</v>
      </c>
      <c r="I1672" s="7"/>
      <c r="J1672" s="7"/>
      <c r="K1672" s="8">
        <v>44.12054794520548</v>
      </c>
      <c r="L1672" s="2" t="s">
        <v>724</v>
      </c>
      <c r="M1672" s="2" t="s">
        <v>2662</v>
      </c>
      <c r="N1672" s="2" t="s">
        <v>275</v>
      </c>
      <c r="O1672" s="2" t="s">
        <v>3127</v>
      </c>
      <c r="P1672" s="2" t="s">
        <v>626</v>
      </c>
      <c r="Q1672" s="2" t="s">
        <v>351</v>
      </c>
      <c r="R1672" s="9">
        <v>28692</v>
      </c>
      <c r="S1672" s="9">
        <v>28692</v>
      </c>
      <c r="T1672" s="2" t="s">
        <v>627</v>
      </c>
      <c r="U1672" s="2" t="s">
        <v>627</v>
      </c>
      <c r="V1672" s="2" t="s">
        <v>627</v>
      </c>
      <c r="W1672" s="2" t="s">
        <v>627</v>
      </c>
      <c r="X1672" s="2" t="s">
        <v>9899</v>
      </c>
      <c r="Y1672" s="2" t="s">
        <v>9900</v>
      </c>
      <c r="Z1672" s="6">
        <v>89626742</v>
      </c>
      <c r="AA1672" s="2">
        <v>76924386</v>
      </c>
      <c r="AB1672" s="2" t="s">
        <v>631</v>
      </c>
      <c r="AC1672" s="2" t="s">
        <v>632</v>
      </c>
      <c r="AD1672" s="10">
        <v>89626742</v>
      </c>
      <c r="AE1672" s="11"/>
      <c r="AF1672" s="11">
        <v>76924386</v>
      </c>
      <c r="AG1672" s="11"/>
      <c r="AH1672" s="11"/>
      <c r="AI1672" s="11"/>
      <c r="AJ1672" s="11">
        <v>89626742</v>
      </c>
      <c r="AK1672" s="12">
        <v>2</v>
      </c>
      <c r="AL1672" s="12" t="s">
        <v>7377</v>
      </c>
      <c r="AM1672" s="2">
        <v>0</v>
      </c>
      <c r="AN1672" s="2">
        <v>0</v>
      </c>
      <c r="AO1672" s="2">
        <v>0</v>
      </c>
      <c r="AP1672" s="2">
        <v>1</v>
      </c>
      <c r="AQ1672" s="2">
        <v>0</v>
      </c>
      <c r="AR1672" s="2">
        <v>0</v>
      </c>
      <c r="AS1672" s="2">
        <v>0</v>
      </c>
      <c r="AT1672" s="2">
        <v>0</v>
      </c>
      <c r="AZ1672" s="2" t="s">
        <v>9901</v>
      </c>
      <c r="BB1672" s="2" t="str">
        <f>+PROPER(BD[[#This Row],[PRIMER_APELLIDO]])</f>
        <v>Guerrero</v>
      </c>
    </row>
    <row r="1673" spans="1:54" x14ac:dyDescent="0.25">
      <c r="A1673" s="2">
        <v>1672</v>
      </c>
      <c r="B1673" s="2">
        <v>20123</v>
      </c>
      <c r="C1673" s="5" t="s">
        <v>619</v>
      </c>
      <c r="D1673" s="2" t="s">
        <v>620</v>
      </c>
      <c r="E1673" s="6" t="s">
        <v>9902</v>
      </c>
      <c r="F1673" s="6">
        <v>20566522</v>
      </c>
      <c r="G1673" s="3">
        <v>44</v>
      </c>
      <c r="I1673" s="7"/>
      <c r="J1673" s="7"/>
      <c r="K1673" s="8">
        <v>44.123287671232873</v>
      </c>
      <c r="L1673" s="2" t="s">
        <v>9903</v>
      </c>
      <c r="M1673" s="2" t="s">
        <v>9904</v>
      </c>
      <c r="N1673" s="2" t="s">
        <v>14</v>
      </c>
      <c r="O1673" s="2" t="s">
        <v>3024</v>
      </c>
      <c r="P1673" s="2" t="s">
        <v>626</v>
      </c>
      <c r="Q1673" s="2" t="s">
        <v>351</v>
      </c>
      <c r="R1673" s="9">
        <v>28691</v>
      </c>
      <c r="S1673" s="9">
        <v>28691</v>
      </c>
      <c r="U1673" s="2" t="s">
        <v>627</v>
      </c>
      <c r="W1673" s="2" t="s">
        <v>627</v>
      </c>
      <c r="X1673" s="2" t="s">
        <v>9905</v>
      </c>
      <c r="Y1673" s="2" t="s">
        <v>9906</v>
      </c>
      <c r="Z1673" s="6"/>
      <c r="AA1673" s="2">
        <v>87518258</v>
      </c>
      <c r="AB1673" s="2" t="s">
        <v>642</v>
      </c>
      <c r="AC1673" s="2" t="s">
        <v>632</v>
      </c>
      <c r="AD1673" s="10"/>
      <c r="AE1673" s="11"/>
      <c r="AF1673" s="11">
        <v>87518258</v>
      </c>
      <c r="AG1673" s="11"/>
      <c r="AH1673" s="11"/>
      <c r="AI1673" s="11"/>
      <c r="AJ1673" s="11">
        <v>87518258</v>
      </c>
      <c r="AK1673" s="12">
        <v>1</v>
      </c>
      <c r="AL1673" s="12" t="s">
        <v>7377</v>
      </c>
      <c r="AM1673" s="2">
        <v>0</v>
      </c>
      <c r="AN1673" s="2">
        <v>0</v>
      </c>
      <c r="AO1673" s="2">
        <v>0</v>
      </c>
      <c r="AP1673" s="2">
        <v>1</v>
      </c>
      <c r="AQ1673" s="2">
        <v>0</v>
      </c>
      <c r="AR1673" s="2">
        <v>0</v>
      </c>
      <c r="AS1673" s="2">
        <v>0</v>
      </c>
      <c r="AT1673" s="2">
        <v>0</v>
      </c>
      <c r="BA1673" s="2" t="s">
        <v>9907</v>
      </c>
      <c r="BB1673" s="2" t="str">
        <f>+PROPER(BD[[#This Row],[PRIMER_APELLIDO]])</f>
        <v>Gonzalez</v>
      </c>
    </row>
    <row r="1674" spans="1:54" x14ac:dyDescent="0.25">
      <c r="A1674" s="2">
        <v>1673</v>
      </c>
      <c r="B1674" s="2">
        <v>18545</v>
      </c>
      <c r="C1674" s="5" t="s">
        <v>619</v>
      </c>
      <c r="D1674" s="2" t="s">
        <v>620</v>
      </c>
      <c r="E1674" s="6" t="s">
        <v>9908</v>
      </c>
      <c r="F1674" s="6">
        <v>16480508</v>
      </c>
      <c r="G1674" s="3">
        <v>44</v>
      </c>
      <c r="I1674" s="7"/>
      <c r="J1674" s="7"/>
      <c r="K1674" s="8">
        <v>44.131506849315066</v>
      </c>
      <c r="L1674" s="2" t="s">
        <v>243</v>
      </c>
      <c r="M1674" s="2" t="s">
        <v>961</v>
      </c>
      <c r="N1674" s="2" t="s">
        <v>463</v>
      </c>
      <c r="O1674" s="2" t="s">
        <v>203</v>
      </c>
      <c r="P1674" s="2" t="s">
        <v>649</v>
      </c>
      <c r="Q1674" s="2" t="s">
        <v>351</v>
      </c>
      <c r="R1674" s="9">
        <v>28688</v>
      </c>
      <c r="S1674" s="9">
        <v>28688</v>
      </c>
      <c r="T1674" s="2" t="s">
        <v>705</v>
      </c>
      <c r="U1674" s="2" t="s">
        <v>705</v>
      </c>
      <c r="V1674" s="2" t="s">
        <v>705</v>
      </c>
      <c r="W1674" s="2" t="s">
        <v>705</v>
      </c>
      <c r="X1674" s="2" t="s">
        <v>9909</v>
      </c>
      <c r="Y1674" s="2" t="s">
        <v>9910</v>
      </c>
      <c r="Z1674" s="6">
        <v>88050920</v>
      </c>
      <c r="AA1674" s="2" t="s">
        <v>9911</v>
      </c>
      <c r="AB1674" s="2" t="s">
        <v>654</v>
      </c>
      <c r="AC1674" s="2" t="s">
        <v>632</v>
      </c>
      <c r="AD1674" s="10">
        <v>88050920</v>
      </c>
      <c r="AE1674" s="11"/>
      <c r="AF1674" s="11">
        <v>88050920</v>
      </c>
      <c r="AG1674" s="11">
        <v>88893609</v>
      </c>
      <c r="AH1674" s="11"/>
      <c r="AI1674" s="11"/>
      <c r="AJ1674" s="11">
        <v>88050920</v>
      </c>
      <c r="AK1674" s="12">
        <v>3</v>
      </c>
      <c r="AL1674" s="12" t="s">
        <v>7377</v>
      </c>
      <c r="AM1674" s="2">
        <v>0</v>
      </c>
      <c r="AN1674" s="2">
        <v>0</v>
      </c>
      <c r="AO1674" s="2">
        <v>0</v>
      </c>
      <c r="AP1674" s="2">
        <v>1</v>
      </c>
      <c r="AQ1674" s="2">
        <v>0</v>
      </c>
      <c r="AR1674" s="2">
        <v>0</v>
      </c>
      <c r="AS1674" s="2">
        <v>0</v>
      </c>
      <c r="AT1674" s="2">
        <v>0</v>
      </c>
      <c r="AZ1674" s="2" t="s">
        <v>9912</v>
      </c>
      <c r="BB1674" s="2" t="str">
        <f>+PROPER(BD[[#This Row],[PRIMER_APELLIDO]])</f>
        <v>Quiroz</v>
      </c>
    </row>
    <row r="1675" spans="1:54" x14ac:dyDescent="0.25">
      <c r="A1675" s="2">
        <v>1674</v>
      </c>
      <c r="B1675" s="2">
        <v>17816</v>
      </c>
      <c r="C1675" s="5" t="s">
        <v>619</v>
      </c>
      <c r="D1675" s="2" t="s">
        <v>620</v>
      </c>
      <c r="E1675" s="6" t="s">
        <v>9913</v>
      </c>
      <c r="F1675" s="6">
        <v>16280881</v>
      </c>
      <c r="G1675" s="3">
        <v>44</v>
      </c>
      <c r="I1675" s="7"/>
      <c r="J1675" s="7"/>
      <c r="K1675" s="8">
        <v>44.136986301369866</v>
      </c>
      <c r="L1675" s="2" t="s">
        <v>747</v>
      </c>
      <c r="M1675" s="2" t="s">
        <v>1348</v>
      </c>
      <c r="N1675" s="2" t="s">
        <v>18</v>
      </c>
      <c r="O1675" s="2" t="s">
        <v>318</v>
      </c>
      <c r="P1675" s="2" t="s">
        <v>626</v>
      </c>
      <c r="Q1675" s="2" t="s">
        <v>351</v>
      </c>
      <c r="R1675" s="9">
        <v>28686</v>
      </c>
      <c r="S1675" s="9">
        <v>28686</v>
      </c>
      <c r="T1675" s="2" t="s">
        <v>740</v>
      </c>
      <c r="U1675" s="2" t="s">
        <v>740</v>
      </c>
      <c r="V1675" s="2" t="s">
        <v>740</v>
      </c>
      <c r="W1675" s="2" t="s">
        <v>740</v>
      </c>
      <c r="X1675" s="2" t="s">
        <v>9914</v>
      </c>
      <c r="Y1675" s="2" t="s">
        <v>9915</v>
      </c>
      <c r="Z1675" s="6">
        <v>88754348</v>
      </c>
      <c r="AB1675" s="2" t="s">
        <v>642</v>
      </c>
      <c r="AC1675" s="2" t="s">
        <v>632</v>
      </c>
      <c r="AD1675" s="10">
        <v>88754348</v>
      </c>
      <c r="AE1675" s="11"/>
      <c r="AF1675" s="11"/>
      <c r="AG1675" s="11"/>
      <c r="AH1675" s="11"/>
      <c r="AI1675" s="11"/>
      <c r="AJ1675" s="11">
        <v>88754348</v>
      </c>
      <c r="AK1675" s="12">
        <v>1</v>
      </c>
      <c r="AL1675" s="12" t="s">
        <v>7377</v>
      </c>
      <c r="AM1675" s="2">
        <v>0</v>
      </c>
      <c r="AN1675" s="2">
        <v>0</v>
      </c>
      <c r="AO1675" s="2">
        <v>0</v>
      </c>
      <c r="AP1675" s="2">
        <v>1</v>
      </c>
      <c r="AQ1675" s="2">
        <v>0</v>
      </c>
      <c r="AR1675" s="2">
        <v>0</v>
      </c>
      <c r="AS1675" s="2">
        <v>0</v>
      </c>
      <c r="AT1675" s="2">
        <v>0</v>
      </c>
      <c r="BB1675" s="2" t="str">
        <f>+PROPER(BD[[#This Row],[PRIMER_APELLIDO]])</f>
        <v>Alvarado</v>
      </c>
    </row>
    <row r="1676" spans="1:54" x14ac:dyDescent="0.25">
      <c r="A1676" s="2">
        <v>1675</v>
      </c>
      <c r="B1676" s="2">
        <v>22715</v>
      </c>
      <c r="C1676" s="5" t="s">
        <v>619</v>
      </c>
      <c r="D1676" s="2" t="s">
        <v>620</v>
      </c>
      <c r="E1676" s="6" t="s">
        <v>9916</v>
      </c>
      <c r="F1676" s="6">
        <v>19405487</v>
      </c>
      <c r="G1676" s="3">
        <v>44</v>
      </c>
      <c r="I1676" s="7"/>
      <c r="J1676" s="7"/>
      <c r="K1676" s="8">
        <v>44.156164383561645</v>
      </c>
      <c r="L1676" s="2" t="s">
        <v>860</v>
      </c>
      <c r="M1676" s="2" t="s">
        <v>667</v>
      </c>
      <c r="N1676" s="2" t="s">
        <v>38</v>
      </c>
      <c r="O1676" s="2" t="s">
        <v>474</v>
      </c>
      <c r="P1676" s="2" t="s">
        <v>626</v>
      </c>
      <c r="Q1676" s="2" t="s">
        <v>351</v>
      </c>
      <c r="R1676" s="9">
        <v>28679</v>
      </c>
      <c r="S1676" s="9">
        <v>28679</v>
      </c>
      <c r="U1676" s="2" t="s">
        <v>176</v>
      </c>
      <c r="W1676" s="2" t="s">
        <v>176</v>
      </c>
      <c r="X1676" s="2" t="s">
        <v>9917</v>
      </c>
      <c r="Y1676" s="2" t="s">
        <v>9918</v>
      </c>
      <c r="Z1676" s="6"/>
      <c r="AA1676" s="2">
        <v>83568910</v>
      </c>
      <c r="AB1676" s="2" t="s">
        <v>642</v>
      </c>
      <c r="AC1676" s="2" t="s">
        <v>632</v>
      </c>
      <c r="AD1676" s="10"/>
      <c r="AE1676" s="11"/>
      <c r="AF1676" s="11">
        <v>83568910</v>
      </c>
      <c r="AG1676" s="11"/>
      <c r="AH1676" s="11"/>
      <c r="AI1676" s="11"/>
      <c r="AJ1676" s="11">
        <v>83568910</v>
      </c>
      <c r="AK1676" s="12">
        <v>1</v>
      </c>
      <c r="AL1676" s="12" t="s">
        <v>7377</v>
      </c>
      <c r="AM1676" s="2">
        <v>0</v>
      </c>
      <c r="AN1676" s="2">
        <v>0</v>
      </c>
      <c r="AO1676" s="2">
        <v>0</v>
      </c>
      <c r="AP1676" s="2">
        <v>1</v>
      </c>
      <c r="AQ1676" s="2">
        <v>0</v>
      </c>
      <c r="AR1676" s="2">
        <v>0</v>
      </c>
      <c r="AS1676" s="2">
        <v>0</v>
      </c>
      <c r="AT1676" s="2">
        <v>0</v>
      </c>
      <c r="BB1676" s="2" t="str">
        <f>+PROPER(BD[[#This Row],[PRIMER_APELLIDO]])</f>
        <v>Ramirez</v>
      </c>
    </row>
    <row r="1677" spans="1:54" x14ac:dyDescent="0.25">
      <c r="A1677" s="2">
        <v>1676</v>
      </c>
      <c r="B1677" s="2">
        <v>27400</v>
      </c>
      <c r="C1677" s="5" t="s">
        <v>619</v>
      </c>
      <c r="D1677" s="2" t="s">
        <v>620</v>
      </c>
      <c r="E1677" s="6" t="s">
        <v>9919</v>
      </c>
      <c r="F1677" s="6">
        <v>18458763</v>
      </c>
      <c r="G1677" s="3">
        <v>44</v>
      </c>
      <c r="I1677" s="7"/>
      <c r="J1677" s="7"/>
      <c r="K1677" s="8">
        <v>44.158904109589038</v>
      </c>
      <c r="L1677" s="2" t="s">
        <v>6509</v>
      </c>
      <c r="M1677" s="2" t="s">
        <v>2661</v>
      </c>
      <c r="N1677" s="2" t="s">
        <v>250</v>
      </c>
      <c r="O1677" s="2" t="s">
        <v>428</v>
      </c>
      <c r="P1677" s="2" t="s">
        <v>626</v>
      </c>
      <c r="Q1677" s="2" t="s">
        <v>351</v>
      </c>
      <c r="R1677" s="9">
        <v>28678</v>
      </c>
      <c r="S1677" s="9">
        <v>28678</v>
      </c>
      <c r="U1677" s="2" t="s">
        <v>176</v>
      </c>
      <c r="W1677" s="2" t="s">
        <v>176</v>
      </c>
      <c r="Y1677" s="2" t="s">
        <v>9920</v>
      </c>
      <c r="Z1677" s="6"/>
      <c r="AA1677" s="2" t="s">
        <v>9921</v>
      </c>
      <c r="AB1677" s="2" t="s">
        <v>654</v>
      </c>
      <c r="AC1677" s="2" t="s">
        <v>632</v>
      </c>
      <c r="AD1677" s="10"/>
      <c r="AE1677" s="11"/>
      <c r="AF1677" s="11"/>
      <c r="AG1677" s="11">
        <v>86933843</v>
      </c>
      <c r="AH1677" s="11"/>
      <c r="AI1677" s="11"/>
      <c r="AJ1677" s="11">
        <v>86933843</v>
      </c>
      <c r="AK1677" s="12">
        <v>2</v>
      </c>
      <c r="AL1677" s="12" t="s">
        <v>7377</v>
      </c>
      <c r="AM1677" s="2">
        <v>0</v>
      </c>
      <c r="AN1677" s="2">
        <v>0</v>
      </c>
      <c r="AO1677" s="2">
        <v>0</v>
      </c>
      <c r="AP1677" s="2">
        <v>1</v>
      </c>
      <c r="AQ1677" s="2">
        <v>0</v>
      </c>
      <c r="AR1677" s="2">
        <v>0</v>
      </c>
      <c r="AS1677" s="2">
        <v>0</v>
      </c>
      <c r="AT1677" s="2">
        <v>0</v>
      </c>
      <c r="BB1677" s="2" t="str">
        <f>+PROPER(BD[[#This Row],[PRIMER_APELLIDO]])</f>
        <v>Mercado</v>
      </c>
    </row>
    <row r="1678" spans="1:54" x14ac:dyDescent="0.25">
      <c r="A1678" s="2">
        <v>1677</v>
      </c>
      <c r="B1678" s="2">
        <v>22162</v>
      </c>
      <c r="C1678" s="5" t="s">
        <v>619</v>
      </c>
      <c r="D1678" s="2" t="s">
        <v>620</v>
      </c>
      <c r="E1678" s="6" t="s">
        <v>9922</v>
      </c>
      <c r="F1678" s="6">
        <v>18940606</v>
      </c>
      <c r="G1678" s="3">
        <v>44</v>
      </c>
      <c r="I1678" s="7"/>
      <c r="J1678" s="7"/>
      <c r="K1678" s="8">
        <v>44.178082191780824</v>
      </c>
      <c r="L1678" s="2" t="s">
        <v>5091</v>
      </c>
      <c r="M1678" s="2" t="s">
        <v>1427</v>
      </c>
      <c r="N1678" s="2" t="s">
        <v>42</v>
      </c>
      <c r="O1678" s="2" t="s">
        <v>110</v>
      </c>
      <c r="P1678" s="2" t="s">
        <v>649</v>
      </c>
      <c r="Q1678" s="2" t="s">
        <v>351</v>
      </c>
      <c r="R1678" s="9">
        <v>28671</v>
      </c>
      <c r="S1678" s="9">
        <v>28671</v>
      </c>
      <c r="T1678" s="2" t="s">
        <v>176</v>
      </c>
      <c r="U1678" s="2" t="s">
        <v>1104</v>
      </c>
      <c r="V1678" s="2" t="s">
        <v>650</v>
      </c>
      <c r="W1678" s="2" t="s">
        <v>1104</v>
      </c>
      <c r="X1678" s="2" t="s">
        <v>9923</v>
      </c>
      <c r="Y1678" s="2" t="s">
        <v>9924</v>
      </c>
      <c r="Z1678" s="6">
        <v>57733086</v>
      </c>
      <c r="AA1678" s="2">
        <v>84314352</v>
      </c>
      <c r="AB1678" s="2" t="s">
        <v>654</v>
      </c>
      <c r="AC1678" s="2" t="s">
        <v>632</v>
      </c>
      <c r="AD1678" s="10">
        <v>57733086</v>
      </c>
      <c r="AE1678" s="11"/>
      <c r="AF1678" s="11">
        <v>84314352</v>
      </c>
      <c r="AG1678" s="11"/>
      <c r="AH1678" s="11"/>
      <c r="AI1678" s="11"/>
      <c r="AJ1678" s="11">
        <v>57733086</v>
      </c>
      <c r="AK1678" s="12">
        <v>2</v>
      </c>
      <c r="AL1678" s="12" t="s">
        <v>7377</v>
      </c>
      <c r="AM1678" s="2">
        <v>0</v>
      </c>
      <c r="AN1678" s="2">
        <v>0</v>
      </c>
      <c r="AO1678" s="2">
        <v>0</v>
      </c>
      <c r="AP1678" s="2">
        <v>1</v>
      </c>
      <c r="AQ1678" s="2">
        <v>0</v>
      </c>
      <c r="AR1678" s="2">
        <v>0</v>
      </c>
      <c r="AS1678" s="2">
        <v>0</v>
      </c>
      <c r="AT1678" s="2">
        <v>0</v>
      </c>
      <c r="AZ1678" s="2" t="s">
        <v>9925</v>
      </c>
      <c r="BB1678" s="2" t="str">
        <f>+PROPER(BD[[#This Row],[PRIMER_APELLIDO]])</f>
        <v>Acosta</v>
      </c>
    </row>
    <row r="1679" spans="1:54" x14ac:dyDescent="0.25">
      <c r="A1679" s="2">
        <v>1678</v>
      </c>
      <c r="B1679" s="2">
        <v>25389</v>
      </c>
      <c r="C1679" s="5" t="s">
        <v>619</v>
      </c>
      <c r="D1679" s="2" t="s">
        <v>620</v>
      </c>
      <c r="E1679" s="6" t="s">
        <v>9926</v>
      </c>
      <c r="F1679" s="6">
        <v>21046018</v>
      </c>
      <c r="G1679" s="3">
        <v>44</v>
      </c>
      <c r="I1679" s="7"/>
      <c r="J1679" s="7"/>
      <c r="K1679" s="8">
        <v>44.178082191780824</v>
      </c>
      <c r="L1679" s="2" t="s">
        <v>2568</v>
      </c>
      <c r="M1679" s="2" t="s">
        <v>904</v>
      </c>
      <c r="N1679" s="2" t="s">
        <v>44</v>
      </c>
      <c r="O1679" s="2" t="s">
        <v>443</v>
      </c>
      <c r="P1679" s="2" t="s">
        <v>649</v>
      </c>
      <c r="Q1679" s="2" t="s">
        <v>351</v>
      </c>
      <c r="R1679" s="9">
        <v>28671</v>
      </c>
      <c r="S1679" s="9">
        <v>28671</v>
      </c>
      <c r="T1679" s="2" t="s">
        <v>627</v>
      </c>
      <c r="U1679" s="2" t="s">
        <v>627</v>
      </c>
      <c r="V1679" s="2" t="s">
        <v>1459</v>
      </c>
      <c r="W1679" s="2" t="s">
        <v>1459</v>
      </c>
      <c r="X1679" s="2" t="s">
        <v>9927</v>
      </c>
      <c r="Y1679" s="2" t="s">
        <v>9928</v>
      </c>
      <c r="Z1679" s="6"/>
      <c r="AA1679" s="2">
        <v>89781885</v>
      </c>
      <c r="AB1679" s="2" t="s">
        <v>798</v>
      </c>
      <c r="AC1679" s="2" t="s">
        <v>632</v>
      </c>
      <c r="AD1679" s="10"/>
      <c r="AE1679" s="11"/>
      <c r="AF1679" s="11">
        <v>89781885</v>
      </c>
      <c r="AG1679" s="11"/>
      <c r="AH1679" s="11"/>
      <c r="AI1679" s="11"/>
      <c r="AJ1679" s="11">
        <v>89781885</v>
      </c>
      <c r="AK1679" s="12">
        <v>1</v>
      </c>
      <c r="AL1679" s="12" t="s">
        <v>7377</v>
      </c>
      <c r="AM1679" s="2">
        <v>0</v>
      </c>
      <c r="AN1679" s="2">
        <v>0</v>
      </c>
      <c r="AO1679" s="2">
        <v>0</v>
      </c>
      <c r="AP1679" s="2">
        <v>1</v>
      </c>
      <c r="AQ1679" s="2">
        <v>0</v>
      </c>
      <c r="AR1679" s="2">
        <v>0</v>
      </c>
      <c r="AS1679" s="2">
        <v>0</v>
      </c>
      <c r="AT1679" s="2">
        <v>0</v>
      </c>
      <c r="BB1679" s="2" t="str">
        <f>+PROPER(BD[[#This Row],[PRIMER_APELLIDO]])</f>
        <v>Martinez</v>
      </c>
    </row>
    <row r="1680" spans="1:54" x14ac:dyDescent="0.25">
      <c r="A1680" s="2">
        <v>1679</v>
      </c>
      <c r="B1680" s="2">
        <v>18503</v>
      </c>
      <c r="C1680" s="5" t="s">
        <v>619</v>
      </c>
      <c r="D1680" s="2" t="s">
        <v>620</v>
      </c>
      <c r="E1680" s="6" t="s">
        <v>9929</v>
      </c>
      <c r="F1680" s="6">
        <v>16942710</v>
      </c>
      <c r="G1680" s="3">
        <v>44</v>
      </c>
      <c r="I1680" s="7"/>
      <c r="J1680" s="7"/>
      <c r="K1680" s="8">
        <v>44.183561643835617</v>
      </c>
      <c r="L1680" s="2" t="s">
        <v>1692</v>
      </c>
      <c r="M1680" s="2" t="s">
        <v>975</v>
      </c>
      <c r="N1680" s="2" t="s">
        <v>396</v>
      </c>
      <c r="O1680" s="2" t="s">
        <v>88</v>
      </c>
      <c r="P1680" s="2" t="s">
        <v>649</v>
      </c>
      <c r="Q1680" s="2" t="s">
        <v>351</v>
      </c>
      <c r="R1680" s="9">
        <v>28669</v>
      </c>
      <c r="S1680" s="9">
        <v>28669</v>
      </c>
      <c r="T1680" s="2" t="s">
        <v>176</v>
      </c>
      <c r="U1680" s="2" t="s">
        <v>176</v>
      </c>
      <c r="V1680" s="2" t="s">
        <v>650</v>
      </c>
      <c r="W1680" s="2" t="s">
        <v>176</v>
      </c>
      <c r="X1680" s="2" t="s">
        <v>9930</v>
      </c>
      <c r="Y1680" s="2" t="s">
        <v>9931</v>
      </c>
      <c r="Z1680" s="6"/>
      <c r="AA1680" s="2" t="s">
        <v>9932</v>
      </c>
      <c r="AB1680" s="2" t="s">
        <v>654</v>
      </c>
      <c r="AC1680" s="2" t="s">
        <v>632</v>
      </c>
      <c r="AD1680" s="10"/>
      <c r="AE1680" s="11"/>
      <c r="AF1680" s="11"/>
      <c r="AG1680" s="11">
        <v>88145444</v>
      </c>
      <c r="AH1680" s="11"/>
      <c r="AI1680" s="11"/>
      <c r="AJ1680" s="11">
        <v>88145444</v>
      </c>
      <c r="AK1680" s="12">
        <v>2</v>
      </c>
      <c r="AL1680" s="12" t="s">
        <v>7377</v>
      </c>
      <c r="AM1680" s="2">
        <v>0</v>
      </c>
      <c r="AN1680" s="2">
        <v>0</v>
      </c>
      <c r="AO1680" s="2">
        <v>0</v>
      </c>
      <c r="AP1680" s="2">
        <v>1</v>
      </c>
      <c r="AQ1680" s="2">
        <v>0</v>
      </c>
      <c r="AR1680" s="2">
        <v>0</v>
      </c>
      <c r="AS1680" s="2">
        <v>0</v>
      </c>
      <c r="AT1680" s="2">
        <v>0</v>
      </c>
      <c r="BB1680" s="2" t="str">
        <f>+PROPER(BD[[#This Row],[PRIMER_APELLIDO]])</f>
        <v>Peralta</v>
      </c>
    </row>
    <row r="1681" spans="1:54" x14ac:dyDescent="0.25">
      <c r="A1681" s="2">
        <v>1680</v>
      </c>
      <c r="B1681" s="2">
        <v>20673</v>
      </c>
      <c r="C1681" s="5" t="s">
        <v>619</v>
      </c>
      <c r="D1681" s="2" t="s">
        <v>620</v>
      </c>
      <c r="E1681" s="6" t="s">
        <v>9933</v>
      </c>
      <c r="F1681" s="6"/>
      <c r="G1681" s="3">
        <v>44</v>
      </c>
      <c r="I1681" s="7"/>
      <c r="J1681" s="7"/>
      <c r="K1681" s="8">
        <v>44.186301369863017</v>
      </c>
      <c r="L1681" s="2" t="s">
        <v>1706</v>
      </c>
      <c r="M1681" s="2" t="s">
        <v>787</v>
      </c>
      <c r="N1681" s="2" t="s">
        <v>420</v>
      </c>
      <c r="O1681" s="2" t="s">
        <v>430</v>
      </c>
      <c r="P1681" s="2" t="s">
        <v>626</v>
      </c>
      <c r="Q1681" s="2" t="s">
        <v>351</v>
      </c>
      <c r="R1681" s="9">
        <v>28668</v>
      </c>
      <c r="S1681" s="9">
        <v>28668</v>
      </c>
      <c r="T1681" s="2" t="s">
        <v>691</v>
      </c>
      <c r="U1681" s="2" t="s">
        <v>691</v>
      </c>
      <c r="V1681" s="2" t="s">
        <v>716</v>
      </c>
      <c r="W1681" s="2" t="s">
        <v>691</v>
      </c>
      <c r="X1681" s="2" t="s">
        <v>9934</v>
      </c>
      <c r="Y1681" s="2" t="s">
        <v>9935</v>
      </c>
      <c r="Z1681" s="6">
        <v>84376006</v>
      </c>
      <c r="AA1681" s="2" t="s">
        <v>9936</v>
      </c>
      <c r="AB1681" s="2" t="s">
        <v>654</v>
      </c>
      <c r="AC1681" s="2" t="s">
        <v>632</v>
      </c>
      <c r="AD1681" s="10">
        <v>84376006</v>
      </c>
      <c r="AE1681" s="11"/>
      <c r="AF1681" s="11"/>
      <c r="AG1681" s="11">
        <v>84376006</v>
      </c>
      <c r="AH1681" s="11"/>
      <c r="AI1681" s="11"/>
      <c r="AJ1681" s="11">
        <v>84376006</v>
      </c>
      <c r="AK1681" s="12">
        <v>3</v>
      </c>
      <c r="AL1681" s="12" t="s">
        <v>7377</v>
      </c>
      <c r="AM1681" s="2">
        <v>0</v>
      </c>
      <c r="AN1681" s="2">
        <v>0</v>
      </c>
      <c r="AO1681" s="2">
        <v>0</v>
      </c>
      <c r="AP1681" s="2">
        <v>1</v>
      </c>
      <c r="AQ1681" s="2">
        <v>0</v>
      </c>
      <c r="AR1681" s="2">
        <v>0</v>
      </c>
      <c r="AS1681" s="2">
        <v>0</v>
      </c>
      <c r="AT1681" s="2">
        <v>0</v>
      </c>
      <c r="AZ1681" s="2" t="s">
        <v>9937</v>
      </c>
      <c r="BB1681" s="2" t="str">
        <f>+PROPER(BD[[#This Row],[PRIMER_APELLIDO]])</f>
        <v>Benavides</v>
      </c>
    </row>
    <row r="1682" spans="1:54" x14ac:dyDescent="0.25">
      <c r="A1682" s="2">
        <v>1681</v>
      </c>
      <c r="B1682" s="2">
        <v>21056</v>
      </c>
      <c r="C1682" s="5" t="s">
        <v>619</v>
      </c>
      <c r="D1682" s="2" t="s">
        <v>620</v>
      </c>
      <c r="E1682" s="6" t="s">
        <v>9938</v>
      </c>
      <c r="F1682" s="6">
        <v>18560536</v>
      </c>
      <c r="G1682" s="3">
        <v>44</v>
      </c>
      <c r="I1682" s="7"/>
      <c r="J1682" s="7"/>
      <c r="K1682" s="8">
        <v>44.197260273972603</v>
      </c>
      <c r="L1682" s="2" t="s">
        <v>1177</v>
      </c>
      <c r="M1682" s="2" t="s">
        <v>2269</v>
      </c>
      <c r="N1682" s="2" t="s">
        <v>20</v>
      </c>
      <c r="O1682" s="2" t="s">
        <v>90</v>
      </c>
      <c r="P1682" s="2" t="s">
        <v>626</v>
      </c>
      <c r="Q1682" s="2" t="s">
        <v>351</v>
      </c>
      <c r="R1682" s="9">
        <v>28664</v>
      </c>
      <c r="S1682" s="9">
        <v>28664</v>
      </c>
      <c r="T1682" s="2" t="s">
        <v>705</v>
      </c>
      <c r="U1682" s="2" t="s">
        <v>705</v>
      </c>
      <c r="V1682" s="2" t="s">
        <v>705</v>
      </c>
      <c r="W1682" s="2" t="s">
        <v>705</v>
      </c>
      <c r="X1682" s="2" t="s">
        <v>9939</v>
      </c>
      <c r="Y1682" s="2" t="s">
        <v>9940</v>
      </c>
      <c r="Z1682" s="6">
        <v>82140958</v>
      </c>
      <c r="AA1682" s="2" t="s">
        <v>9941</v>
      </c>
      <c r="AB1682" s="2" t="s">
        <v>642</v>
      </c>
      <c r="AC1682" s="2" t="s">
        <v>632</v>
      </c>
      <c r="AD1682" s="10">
        <v>82140958</v>
      </c>
      <c r="AE1682" s="11"/>
      <c r="AF1682" s="11"/>
      <c r="AG1682" s="11">
        <v>82140258</v>
      </c>
      <c r="AH1682" s="11"/>
      <c r="AI1682" s="11"/>
      <c r="AJ1682" s="11">
        <v>82140958</v>
      </c>
      <c r="AK1682" s="12">
        <v>3</v>
      </c>
      <c r="AL1682" s="12" t="s">
        <v>7377</v>
      </c>
      <c r="AM1682" s="2">
        <v>0</v>
      </c>
      <c r="AN1682" s="2">
        <v>0</v>
      </c>
      <c r="AO1682" s="2">
        <v>0</v>
      </c>
      <c r="AP1682" s="2">
        <v>1</v>
      </c>
      <c r="AQ1682" s="2">
        <v>0</v>
      </c>
      <c r="AR1682" s="2">
        <v>0</v>
      </c>
      <c r="AS1682" s="2">
        <v>0</v>
      </c>
      <c r="AT1682" s="2">
        <v>0</v>
      </c>
      <c r="BB1682" s="2" t="str">
        <f>+PROPER(BD[[#This Row],[PRIMER_APELLIDO]])</f>
        <v>Ney</v>
      </c>
    </row>
    <row r="1683" spans="1:54" x14ac:dyDescent="0.25">
      <c r="A1683" s="2">
        <v>1682</v>
      </c>
      <c r="B1683" s="2">
        <v>18305</v>
      </c>
      <c r="C1683" s="5" t="s">
        <v>619</v>
      </c>
      <c r="D1683" s="2" t="s">
        <v>620</v>
      </c>
      <c r="E1683" s="6" t="s">
        <v>9942</v>
      </c>
      <c r="F1683" s="6">
        <v>16386804</v>
      </c>
      <c r="G1683" s="3">
        <v>44</v>
      </c>
      <c r="I1683" s="7"/>
      <c r="J1683" s="7"/>
      <c r="K1683" s="8">
        <v>44.213698630136989</v>
      </c>
      <c r="L1683" s="2" t="s">
        <v>9943</v>
      </c>
      <c r="M1683" s="2" t="s">
        <v>1770</v>
      </c>
      <c r="N1683" s="2" t="s">
        <v>465</v>
      </c>
      <c r="O1683" s="2" t="s">
        <v>93</v>
      </c>
      <c r="P1683" s="2" t="s">
        <v>649</v>
      </c>
      <c r="Q1683" s="2" t="s">
        <v>351</v>
      </c>
      <c r="R1683" s="9">
        <v>28658</v>
      </c>
      <c r="S1683" s="9">
        <v>28658</v>
      </c>
      <c r="T1683" s="2" t="s">
        <v>627</v>
      </c>
      <c r="U1683" s="2" t="s">
        <v>176</v>
      </c>
      <c r="V1683" s="2" t="s">
        <v>627</v>
      </c>
      <c r="W1683" s="2" t="s">
        <v>176</v>
      </c>
      <c r="X1683" s="2" t="s">
        <v>9944</v>
      </c>
      <c r="Y1683" s="2" t="s">
        <v>9945</v>
      </c>
      <c r="Z1683" s="6">
        <v>85360745</v>
      </c>
      <c r="AB1683" s="2" t="s">
        <v>654</v>
      </c>
      <c r="AC1683" s="2" t="s">
        <v>632</v>
      </c>
      <c r="AD1683" s="10">
        <v>85360745</v>
      </c>
      <c r="AE1683" s="11"/>
      <c r="AF1683" s="11"/>
      <c r="AG1683" s="11"/>
      <c r="AH1683" s="11"/>
      <c r="AI1683" s="11"/>
      <c r="AJ1683" s="11">
        <v>85360745</v>
      </c>
      <c r="AK1683" s="12">
        <v>1</v>
      </c>
      <c r="AL1683" s="12" t="s">
        <v>7377</v>
      </c>
      <c r="AM1683" s="2">
        <v>0</v>
      </c>
      <c r="AN1683" s="2">
        <v>0</v>
      </c>
      <c r="AO1683" s="2">
        <v>0</v>
      </c>
      <c r="AP1683" s="2">
        <v>1</v>
      </c>
      <c r="AQ1683" s="2">
        <v>0</v>
      </c>
      <c r="AR1683" s="2">
        <v>0</v>
      </c>
      <c r="AS1683" s="2">
        <v>0</v>
      </c>
      <c r="AT1683" s="2">
        <v>0</v>
      </c>
      <c r="BB1683" s="2" t="str">
        <f>+PROPER(BD[[#This Row],[PRIMER_APELLIDO]])</f>
        <v>Sirias</v>
      </c>
    </row>
    <row r="1684" spans="1:54" x14ac:dyDescent="0.25">
      <c r="A1684" s="2">
        <v>1683</v>
      </c>
      <c r="B1684" s="2">
        <v>25494</v>
      </c>
      <c r="C1684" s="5" t="s">
        <v>619</v>
      </c>
      <c r="D1684" s="2" t="s">
        <v>620</v>
      </c>
      <c r="E1684" s="6" t="s">
        <v>9946</v>
      </c>
      <c r="F1684" s="6">
        <v>20480129</v>
      </c>
      <c r="G1684" s="3">
        <v>44</v>
      </c>
      <c r="I1684" s="7"/>
      <c r="J1684" s="7"/>
      <c r="K1684" s="8">
        <v>44.213698630136989</v>
      </c>
      <c r="L1684" s="2" t="s">
        <v>825</v>
      </c>
      <c r="M1684" s="2" t="s">
        <v>904</v>
      </c>
      <c r="N1684" s="2" t="s">
        <v>558</v>
      </c>
      <c r="O1684" s="2" t="s">
        <v>98</v>
      </c>
      <c r="P1684" s="2" t="s">
        <v>649</v>
      </c>
      <c r="Q1684" s="2" t="s">
        <v>351</v>
      </c>
      <c r="R1684" s="9">
        <v>28658</v>
      </c>
      <c r="S1684" s="9">
        <v>28658</v>
      </c>
      <c r="T1684" s="2" t="s">
        <v>732</v>
      </c>
      <c r="U1684" s="2" t="s">
        <v>732</v>
      </c>
      <c r="V1684" s="2" t="s">
        <v>732</v>
      </c>
      <c r="W1684" s="2" t="s">
        <v>732</v>
      </c>
      <c r="X1684" s="2" t="s">
        <v>9947</v>
      </c>
      <c r="Y1684" s="2" t="s">
        <v>9948</v>
      </c>
      <c r="Z1684" s="6"/>
      <c r="AA1684" s="2" t="s">
        <v>9949</v>
      </c>
      <c r="AB1684" s="2" t="s">
        <v>654</v>
      </c>
      <c r="AC1684" s="2" t="s">
        <v>632</v>
      </c>
      <c r="AD1684" s="10"/>
      <c r="AE1684" s="11"/>
      <c r="AF1684" s="11"/>
      <c r="AG1684" s="11">
        <v>81805147</v>
      </c>
      <c r="AH1684" s="11">
        <v>84157694</v>
      </c>
      <c r="AI1684" s="11"/>
      <c r="AJ1684" s="11">
        <v>81805147</v>
      </c>
      <c r="AK1684" s="12">
        <v>3</v>
      </c>
      <c r="AL1684" s="12" t="s">
        <v>7377</v>
      </c>
      <c r="AM1684" s="2">
        <v>0</v>
      </c>
      <c r="AN1684" s="2">
        <v>0</v>
      </c>
      <c r="AO1684" s="2">
        <v>0</v>
      </c>
      <c r="AP1684" s="2">
        <v>1</v>
      </c>
      <c r="AQ1684" s="2">
        <v>0</v>
      </c>
      <c r="AR1684" s="2">
        <v>0</v>
      </c>
      <c r="AS1684" s="2">
        <v>0</v>
      </c>
      <c r="AT1684" s="2">
        <v>0</v>
      </c>
      <c r="BB1684" s="2" t="str">
        <f>+PROPER(BD[[#This Row],[PRIMER_APELLIDO]])</f>
        <v>Cordoba</v>
      </c>
    </row>
    <row r="1685" spans="1:54" x14ac:dyDescent="0.25">
      <c r="A1685" s="2">
        <v>1684</v>
      </c>
      <c r="B1685" s="2">
        <v>26235</v>
      </c>
      <c r="C1685" s="5" t="s">
        <v>619</v>
      </c>
      <c r="D1685" s="2" t="s">
        <v>620</v>
      </c>
      <c r="E1685" s="6" t="s">
        <v>9950</v>
      </c>
      <c r="F1685" s="6">
        <v>13590947</v>
      </c>
      <c r="G1685" s="3">
        <v>44</v>
      </c>
      <c r="I1685" s="7"/>
      <c r="J1685" s="7"/>
      <c r="K1685" s="8">
        <v>44.243835616438353</v>
      </c>
      <c r="L1685" s="2" t="s">
        <v>9951</v>
      </c>
      <c r="M1685" s="2" t="s">
        <v>2551</v>
      </c>
      <c r="N1685" s="2" t="s">
        <v>459</v>
      </c>
      <c r="O1685" s="2" t="s">
        <v>25</v>
      </c>
      <c r="P1685" s="2" t="s">
        <v>626</v>
      </c>
      <c r="Q1685" s="2" t="s">
        <v>351</v>
      </c>
      <c r="R1685" s="9">
        <v>28647</v>
      </c>
      <c r="S1685" s="9">
        <v>28647</v>
      </c>
      <c r="T1685" s="2" t="s">
        <v>627</v>
      </c>
      <c r="U1685" s="2" t="s">
        <v>627</v>
      </c>
      <c r="V1685" s="2" t="s">
        <v>627</v>
      </c>
      <c r="W1685" s="2" t="s">
        <v>627</v>
      </c>
      <c r="X1685" s="2" t="s">
        <v>9952</v>
      </c>
      <c r="Y1685" s="2" t="s">
        <v>9953</v>
      </c>
      <c r="Z1685" s="6"/>
      <c r="AA1685" s="2" t="s">
        <v>9954</v>
      </c>
      <c r="AB1685" s="2" t="s">
        <v>654</v>
      </c>
      <c r="AC1685" s="2" t="s">
        <v>632</v>
      </c>
      <c r="AD1685" s="10"/>
      <c r="AE1685" s="11"/>
      <c r="AF1685" s="11">
        <v>84224342</v>
      </c>
      <c r="AG1685" s="11">
        <v>87128362</v>
      </c>
      <c r="AH1685" s="11"/>
      <c r="AI1685" s="11"/>
      <c r="AJ1685" s="11">
        <v>84224342</v>
      </c>
      <c r="AK1685" s="12">
        <v>2</v>
      </c>
      <c r="AL1685" s="12" t="s">
        <v>7377</v>
      </c>
      <c r="AM1685" s="2">
        <v>0</v>
      </c>
      <c r="AN1685" s="2">
        <v>0</v>
      </c>
      <c r="AO1685" s="2">
        <v>0</v>
      </c>
      <c r="AP1685" s="2">
        <v>1</v>
      </c>
      <c r="AQ1685" s="2">
        <v>0</v>
      </c>
      <c r="AR1685" s="2">
        <v>0</v>
      </c>
      <c r="AS1685" s="2">
        <v>0</v>
      </c>
      <c r="AT1685" s="2">
        <v>0</v>
      </c>
      <c r="BB1685" s="2" t="str">
        <f>+PROPER(BD[[#This Row],[PRIMER_APELLIDO]])</f>
        <v>Quintanilla</v>
      </c>
    </row>
    <row r="1686" spans="1:54" x14ac:dyDescent="0.25">
      <c r="A1686" s="2">
        <v>1685</v>
      </c>
      <c r="B1686" s="2">
        <v>19709</v>
      </c>
      <c r="C1686" s="5" t="s">
        <v>619</v>
      </c>
      <c r="D1686" s="2" t="s">
        <v>620</v>
      </c>
      <c r="E1686" s="6" t="s">
        <v>9955</v>
      </c>
      <c r="F1686" s="6">
        <v>17145466</v>
      </c>
      <c r="G1686" s="3">
        <v>44</v>
      </c>
      <c r="I1686" s="7"/>
      <c r="J1686" s="7"/>
      <c r="K1686" s="8">
        <v>44.252054794520546</v>
      </c>
      <c r="L1686" s="2" t="s">
        <v>1405</v>
      </c>
      <c r="M1686" s="2" t="s">
        <v>4297</v>
      </c>
      <c r="N1686" s="2" t="s">
        <v>18</v>
      </c>
      <c r="O1686" s="2" t="s">
        <v>58</v>
      </c>
      <c r="P1686" s="2" t="s">
        <v>626</v>
      </c>
      <c r="Q1686" s="2" t="s">
        <v>351</v>
      </c>
      <c r="R1686" s="9">
        <v>28644</v>
      </c>
      <c r="S1686" s="9">
        <v>28644</v>
      </c>
      <c r="T1686" s="2" t="s">
        <v>627</v>
      </c>
      <c r="U1686" s="2" t="s">
        <v>627</v>
      </c>
      <c r="V1686" s="2" t="s">
        <v>627</v>
      </c>
      <c r="W1686" s="2" t="s">
        <v>627</v>
      </c>
      <c r="X1686" s="2" t="s">
        <v>9956</v>
      </c>
      <c r="Y1686" s="2" t="s">
        <v>9957</v>
      </c>
      <c r="Z1686" s="6">
        <v>88802405</v>
      </c>
      <c r="AA1686" s="2" t="s">
        <v>9958</v>
      </c>
      <c r="AB1686" s="2" t="s">
        <v>642</v>
      </c>
      <c r="AC1686" s="2" t="s">
        <v>632</v>
      </c>
      <c r="AD1686" s="10">
        <v>88802405</v>
      </c>
      <c r="AE1686" s="11"/>
      <c r="AF1686" s="11"/>
      <c r="AG1686" s="11">
        <v>88802405</v>
      </c>
      <c r="AH1686" s="11">
        <v>89947829</v>
      </c>
      <c r="AI1686" s="11"/>
      <c r="AJ1686" s="11">
        <v>88802405</v>
      </c>
      <c r="AK1686" s="12">
        <v>4</v>
      </c>
      <c r="AL1686" s="12" t="s">
        <v>7377</v>
      </c>
      <c r="AM1686" s="2">
        <v>0</v>
      </c>
      <c r="AN1686" s="2">
        <v>0</v>
      </c>
      <c r="AO1686" s="2">
        <v>0</v>
      </c>
      <c r="AP1686" s="2">
        <v>1</v>
      </c>
      <c r="AQ1686" s="2">
        <v>0</v>
      </c>
      <c r="AR1686" s="2">
        <v>0</v>
      </c>
      <c r="AS1686" s="2">
        <v>0</v>
      </c>
      <c r="AT1686" s="2">
        <v>0</v>
      </c>
      <c r="AZ1686" s="2" t="s">
        <v>9959</v>
      </c>
      <c r="BB1686" s="2" t="str">
        <f>+PROPER(BD[[#This Row],[PRIMER_APELLIDO]])</f>
        <v>Alvarado</v>
      </c>
    </row>
    <row r="1687" spans="1:54" x14ac:dyDescent="0.25">
      <c r="A1687" s="2">
        <v>1686</v>
      </c>
      <c r="B1687" s="2">
        <v>17034</v>
      </c>
      <c r="C1687" s="5" t="s">
        <v>619</v>
      </c>
      <c r="D1687" s="2" t="s">
        <v>620</v>
      </c>
      <c r="E1687" s="6" t="s">
        <v>9960</v>
      </c>
      <c r="F1687" s="6">
        <v>15837707</v>
      </c>
      <c r="G1687" s="3">
        <v>44</v>
      </c>
      <c r="I1687" s="7"/>
      <c r="J1687" s="7"/>
      <c r="K1687" s="8">
        <v>44.260273972602739</v>
      </c>
      <c r="L1687" s="2" t="s">
        <v>6686</v>
      </c>
      <c r="M1687" s="2" t="s">
        <v>724</v>
      </c>
      <c r="N1687" s="2" t="s">
        <v>10</v>
      </c>
      <c r="O1687" s="2" t="s">
        <v>431</v>
      </c>
      <c r="P1687" s="2" t="s">
        <v>626</v>
      </c>
      <c r="Q1687" s="2" t="s">
        <v>351</v>
      </c>
      <c r="R1687" s="9">
        <v>28641</v>
      </c>
      <c r="S1687" s="9">
        <v>28641</v>
      </c>
      <c r="T1687" s="2" t="s">
        <v>740</v>
      </c>
      <c r="U1687" s="2" t="s">
        <v>740</v>
      </c>
      <c r="V1687" s="2" t="s">
        <v>740</v>
      </c>
      <c r="W1687" s="2" t="s">
        <v>740</v>
      </c>
      <c r="X1687" s="2" t="s">
        <v>9961</v>
      </c>
      <c r="Y1687" s="2" t="s">
        <v>9962</v>
      </c>
      <c r="Z1687" s="6"/>
      <c r="AA1687" s="2">
        <v>81715941</v>
      </c>
      <c r="AB1687" s="2" t="s">
        <v>654</v>
      </c>
      <c r="AC1687" s="2" t="s">
        <v>632</v>
      </c>
      <c r="AD1687" s="10"/>
      <c r="AE1687" s="11"/>
      <c r="AF1687" s="11">
        <v>81715941</v>
      </c>
      <c r="AG1687" s="11"/>
      <c r="AH1687" s="11"/>
      <c r="AI1687" s="11"/>
      <c r="AJ1687" s="11">
        <v>81715941</v>
      </c>
      <c r="AK1687" s="12">
        <v>1</v>
      </c>
      <c r="AL1687" s="12" t="s">
        <v>7377</v>
      </c>
      <c r="AM1687" s="2">
        <v>0</v>
      </c>
      <c r="AN1687" s="2">
        <v>0</v>
      </c>
      <c r="AO1687" s="2">
        <v>0</v>
      </c>
      <c r="AP1687" s="2">
        <v>1</v>
      </c>
      <c r="AQ1687" s="2">
        <v>0</v>
      </c>
      <c r="AR1687" s="2">
        <v>0</v>
      </c>
      <c r="AS1687" s="2">
        <v>0</v>
      </c>
      <c r="AT1687" s="2">
        <v>0</v>
      </c>
      <c r="BB1687" s="2" t="str">
        <f>+PROPER(BD[[#This Row],[PRIMER_APELLIDO]])</f>
        <v>Garcia</v>
      </c>
    </row>
    <row r="1688" spans="1:54" x14ac:dyDescent="0.25">
      <c r="A1688" s="2">
        <v>1687</v>
      </c>
      <c r="B1688" s="2">
        <v>18096</v>
      </c>
      <c r="C1688" s="5" t="s">
        <v>619</v>
      </c>
      <c r="D1688" s="2" t="s">
        <v>620</v>
      </c>
      <c r="E1688" s="6" t="s">
        <v>9963</v>
      </c>
      <c r="F1688" s="6">
        <v>17724623</v>
      </c>
      <c r="G1688" s="3">
        <v>44</v>
      </c>
      <c r="I1688" s="7"/>
      <c r="J1688" s="7"/>
      <c r="K1688" s="8">
        <v>44.273972602739725</v>
      </c>
      <c r="L1688" s="2" t="s">
        <v>1935</v>
      </c>
      <c r="M1688" s="2" t="s">
        <v>9964</v>
      </c>
      <c r="N1688" s="2" t="s">
        <v>428</v>
      </c>
      <c r="O1688" s="2" t="s">
        <v>105</v>
      </c>
      <c r="P1688" s="2" t="s">
        <v>626</v>
      </c>
      <c r="Q1688" s="2" t="s">
        <v>351</v>
      </c>
      <c r="R1688" s="9">
        <v>28636</v>
      </c>
      <c r="S1688" s="9">
        <v>28636</v>
      </c>
      <c r="T1688" s="2" t="s">
        <v>176</v>
      </c>
      <c r="U1688" s="2" t="s">
        <v>176</v>
      </c>
      <c r="V1688" s="2" t="s">
        <v>650</v>
      </c>
      <c r="W1688" s="2" t="s">
        <v>176</v>
      </c>
      <c r="Y1688" s="2" t="s">
        <v>9965</v>
      </c>
      <c r="Z1688" s="6"/>
      <c r="AA1688" s="2">
        <v>23112277</v>
      </c>
      <c r="AB1688" s="2" t="s">
        <v>654</v>
      </c>
      <c r="AC1688" s="2" t="s">
        <v>632</v>
      </c>
      <c r="AD1688" s="10"/>
      <c r="AE1688" s="11"/>
      <c r="AF1688" s="11"/>
      <c r="AG1688" s="11"/>
      <c r="AH1688" s="11"/>
      <c r="AI1688" s="11"/>
      <c r="AJ1688" s="11"/>
      <c r="AK1688" s="12">
        <v>1</v>
      </c>
      <c r="AL1688" s="12" t="s">
        <v>7377</v>
      </c>
      <c r="AM1688" s="2">
        <v>0</v>
      </c>
      <c r="AN1688" s="2">
        <v>0</v>
      </c>
      <c r="AO1688" s="2">
        <v>0</v>
      </c>
      <c r="AP1688" s="2">
        <v>1</v>
      </c>
      <c r="AQ1688" s="2">
        <v>0</v>
      </c>
      <c r="AR1688" s="2">
        <v>0</v>
      </c>
      <c r="AS1688" s="2">
        <v>0</v>
      </c>
      <c r="AT1688" s="2">
        <v>0</v>
      </c>
      <c r="BB1688" s="2" t="str">
        <f>+PROPER(BD[[#This Row],[PRIMER_APELLIDO]])</f>
        <v>Fonseca</v>
      </c>
    </row>
    <row r="1689" spans="1:54" x14ac:dyDescent="0.25">
      <c r="A1689" s="2">
        <v>1688</v>
      </c>
      <c r="B1689" s="2">
        <v>23271</v>
      </c>
      <c r="C1689" s="5" t="s">
        <v>619</v>
      </c>
      <c r="D1689" s="2" t="s">
        <v>620</v>
      </c>
      <c r="E1689" s="6" t="s">
        <v>9966</v>
      </c>
      <c r="F1689" s="6">
        <v>20794471</v>
      </c>
      <c r="G1689" s="3">
        <v>44</v>
      </c>
      <c r="I1689" s="7"/>
      <c r="J1689" s="7"/>
      <c r="K1689" s="8">
        <v>44.276712328767125</v>
      </c>
      <c r="L1689" s="2" t="s">
        <v>9967</v>
      </c>
      <c r="M1689" s="2" t="s">
        <v>1777</v>
      </c>
      <c r="N1689" s="2" t="s">
        <v>559</v>
      </c>
      <c r="O1689" s="2" t="s">
        <v>324</v>
      </c>
      <c r="P1689" s="2" t="s">
        <v>626</v>
      </c>
      <c r="Q1689" s="2" t="s">
        <v>351</v>
      </c>
      <c r="R1689" s="9">
        <v>28635</v>
      </c>
      <c r="S1689" s="9">
        <v>28635</v>
      </c>
      <c r="T1689" s="2" t="s">
        <v>627</v>
      </c>
      <c r="U1689" s="2" t="s">
        <v>780</v>
      </c>
      <c r="V1689" s="2" t="s">
        <v>627</v>
      </c>
      <c r="W1689" s="2" t="s">
        <v>781</v>
      </c>
      <c r="X1689" s="2" t="s">
        <v>9968</v>
      </c>
      <c r="Y1689" s="2" t="s">
        <v>9969</v>
      </c>
      <c r="Z1689" s="6">
        <v>83379495</v>
      </c>
      <c r="AA1689" s="2">
        <v>86927897</v>
      </c>
      <c r="AB1689" s="2" t="s">
        <v>642</v>
      </c>
      <c r="AC1689" s="2" t="s">
        <v>632</v>
      </c>
      <c r="AD1689" s="10">
        <v>83379495</v>
      </c>
      <c r="AE1689" s="11"/>
      <c r="AF1689" s="11">
        <v>86927897</v>
      </c>
      <c r="AG1689" s="11"/>
      <c r="AH1689" s="11"/>
      <c r="AI1689" s="11"/>
      <c r="AJ1689" s="11">
        <v>83379495</v>
      </c>
      <c r="AK1689" s="12">
        <v>2</v>
      </c>
      <c r="AL1689" s="12" t="s">
        <v>7377</v>
      </c>
      <c r="AM1689" s="2">
        <v>0</v>
      </c>
      <c r="AN1689" s="2">
        <v>0</v>
      </c>
      <c r="AO1689" s="2">
        <v>0</v>
      </c>
      <c r="AP1689" s="2">
        <v>1</v>
      </c>
      <c r="AQ1689" s="2">
        <v>0</v>
      </c>
      <c r="AR1689" s="2">
        <v>0</v>
      </c>
      <c r="AS1689" s="2">
        <v>0</v>
      </c>
      <c r="AT1689" s="2">
        <v>0</v>
      </c>
      <c r="AZ1689" s="2" t="s">
        <v>9970</v>
      </c>
      <c r="BB1689" s="2" t="str">
        <f>+PROPER(BD[[#This Row],[PRIMER_APELLIDO]])</f>
        <v>Berger</v>
      </c>
    </row>
    <row r="1690" spans="1:54" x14ac:dyDescent="0.25">
      <c r="A1690" s="2">
        <v>1689</v>
      </c>
      <c r="B1690" s="2">
        <v>67502</v>
      </c>
      <c r="C1690" s="5" t="s">
        <v>619</v>
      </c>
      <c r="D1690" s="2" t="s">
        <v>620</v>
      </c>
      <c r="E1690" s="6" t="s">
        <v>9971</v>
      </c>
      <c r="F1690" s="6"/>
      <c r="G1690" s="3">
        <v>44</v>
      </c>
      <c r="I1690" s="7"/>
      <c r="J1690" s="7"/>
      <c r="K1690" s="8">
        <v>44.295890410958904</v>
      </c>
      <c r="L1690" s="2" t="s">
        <v>7458</v>
      </c>
      <c r="M1690" s="2" t="s">
        <v>2176</v>
      </c>
      <c r="N1690" s="2" t="s">
        <v>232</v>
      </c>
      <c r="O1690" s="2" t="s">
        <v>9499</v>
      </c>
      <c r="P1690" s="2" t="s">
        <v>649</v>
      </c>
      <c r="Q1690" s="2" t="s">
        <v>351</v>
      </c>
      <c r="R1690" s="9">
        <v>28628</v>
      </c>
      <c r="S1690" s="9">
        <v>28628</v>
      </c>
      <c r="T1690" s="2" t="s">
        <v>133</v>
      </c>
      <c r="U1690" s="2" t="s">
        <v>133</v>
      </c>
      <c r="V1690" s="2" t="s">
        <v>869</v>
      </c>
      <c r="W1690" s="2" t="s">
        <v>869</v>
      </c>
      <c r="X1690" s="2" t="s">
        <v>9972</v>
      </c>
      <c r="Y1690" s="2" t="s">
        <v>9973</v>
      </c>
      <c r="Z1690" s="6">
        <v>87426514</v>
      </c>
      <c r="AA1690" s="2">
        <v>87426514</v>
      </c>
      <c r="AB1690" s="2" t="s">
        <v>654</v>
      </c>
      <c r="AC1690" s="2" t="s">
        <v>632</v>
      </c>
      <c r="AD1690" s="10">
        <v>87426514</v>
      </c>
      <c r="AE1690" s="11"/>
      <c r="AF1690" s="11">
        <v>87426514</v>
      </c>
      <c r="AG1690" s="11"/>
      <c r="AH1690" s="11"/>
      <c r="AI1690" s="11"/>
      <c r="AJ1690" s="11">
        <v>87426514</v>
      </c>
      <c r="AK1690" s="12">
        <v>2</v>
      </c>
      <c r="AL1690" s="12" t="s">
        <v>7377</v>
      </c>
      <c r="AM1690" s="2">
        <v>0</v>
      </c>
      <c r="AN1690" s="2">
        <v>0</v>
      </c>
      <c r="AO1690" s="2">
        <v>0</v>
      </c>
      <c r="AP1690" s="2">
        <v>1</v>
      </c>
      <c r="AQ1690" s="2">
        <v>0</v>
      </c>
      <c r="AR1690" s="2">
        <v>0</v>
      </c>
      <c r="AS1690" s="2">
        <v>0</v>
      </c>
      <c r="AT1690" s="2">
        <v>0</v>
      </c>
      <c r="AZ1690" s="2" t="s">
        <v>9974</v>
      </c>
      <c r="BB1690" s="2" t="str">
        <f>+PROPER(BD[[#This Row],[PRIMER_APELLIDO]])</f>
        <v>Campos</v>
      </c>
    </row>
    <row r="1691" spans="1:54" x14ac:dyDescent="0.25">
      <c r="A1691" s="2">
        <v>1690</v>
      </c>
      <c r="B1691" s="2">
        <v>67857</v>
      </c>
      <c r="C1691" s="5" t="s">
        <v>619</v>
      </c>
      <c r="D1691" s="2" t="s">
        <v>620</v>
      </c>
      <c r="E1691" s="6" t="s">
        <v>9975</v>
      </c>
      <c r="F1691" s="6"/>
      <c r="G1691" s="3">
        <v>44</v>
      </c>
      <c r="I1691" s="7"/>
      <c r="J1691" s="7"/>
      <c r="K1691" s="8">
        <v>44.30958904109589</v>
      </c>
      <c r="L1691" s="2" t="s">
        <v>9976</v>
      </c>
      <c r="M1691" s="2" t="s">
        <v>9977</v>
      </c>
      <c r="N1691" s="2" t="s">
        <v>560</v>
      </c>
      <c r="O1691" s="2" t="s">
        <v>114</v>
      </c>
      <c r="P1691" s="2" t="s">
        <v>626</v>
      </c>
      <c r="Q1691" s="2" t="s">
        <v>351</v>
      </c>
      <c r="R1691" s="9">
        <v>28623</v>
      </c>
      <c r="S1691" s="9">
        <v>28623</v>
      </c>
      <c r="T1691" s="2" t="s">
        <v>740</v>
      </c>
      <c r="U1691" s="2" t="s">
        <v>740</v>
      </c>
      <c r="V1691" s="2" t="s">
        <v>740</v>
      </c>
      <c r="W1691" s="2" t="s">
        <v>740</v>
      </c>
      <c r="X1691" s="2" t="s">
        <v>9978</v>
      </c>
      <c r="Y1691" s="2" t="s">
        <v>9979</v>
      </c>
      <c r="Z1691" s="6">
        <v>82421491</v>
      </c>
      <c r="AB1691" s="2" t="s">
        <v>894</v>
      </c>
      <c r="AC1691" s="2" t="s">
        <v>632</v>
      </c>
      <c r="AD1691" s="10">
        <v>82421491</v>
      </c>
      <c r="AE1691" s="11"/>
      <c r="AF1691" s="11"/>
      <c r="AG1691" s="11"/>
      <c r="AH1691" s="11"/>
      <c r="AI1691" s="11"/>
      <c r="AJ1691" s="11">
        <v>82421491</v>
      </c>
      <c r="AK1691" s="12">
        <v>1</v>
      </c>
      <c r="AL1691" s="12" t="s">
        <v>7377</v>
      </c>
      <c r="AM1691" s="2">
        <v>0</v>
      </c>
      <c r="AN1691" s="2">
        <v>0</v>
      </c>
      <c r="AO1691" s="2">
        <v>0</v>
      </c>
      <c r="AP1691" s="2">
        <v>1</v>
      </c>
      <c r="AQ1691" s="2">
        <v>0</v>
      </c>
      <c r="AR1691" s="2">
        <v>0</v>
      </c>
      <c r="AS1691" s="2">
        <v>0</v>
      </c>
      <c r="AT1691" s="2">
        <v>0</v>
      </c>
      <c r="AZ1691" s="2" t="s">
        <v>9980</v>
      </c>
      <c r="BB1691" s="2" t="str">
        <f>+PROPER(BD[[#This Row],[PRIMER_APELLIDO]])</f>
        <v>Maldonado</v>
      </c>
    </row>
    <row r="1692" spans="1:54" x14ac:dyDescent="0.25">
      <c r="A1692" s="2">
        <v>1691</v>
      </c>
      <c r="B1692" s="2">
        <v>15144</v>
      </c>
      <c r="C1692" s="5" t="s">
        <v>619</v>
      </c>
      <c r="D1692" s="2" t="s">
        <v>620</v>
      </c>
      <c r="E1692" s="6" t="s">
        <v>9981</v>
      </c>
      <c r="F1692" s="6">
        <v>15316299</v>
      </c>
      <c r="G1692" s="3">
        <v>44</v>
      </c>
      <c r="I1692" s="7"/>
      <c r="J1692" s="7"/>
      <c r="K1692" s="8">
        <v>44.31232876712329</v>
      </c>
      <c r="L1692" s="2" t="s">
        <v>9982</v>
      </c>
      <c r="M1692" s="2" t="s">
        <v>9983</v>
      </c>
      <c r="N1692" s="2" t="s">
        <v>287</v>
      </c>
      <c r="O1692" s="2" t="s">
        <v>9984</v>
      </c>
      <c r="P1692" s="2" t="s">
        <v>649</v>
      </c>
      <c r="Q1692" s="2" t="s">
        <v>351</v>
      </c>
      <c r="R1692" s="9">
        <v>28622</v>
      </c>
      <c r="S1692" s="9">
        <v>28622</v>
      </c>
      <c r="T1692" s="2" t="s">
        <v>176</v>
      </c>
      <c r="U1692" s="2" t="s">
        <v>627</v>
      </c>
      <c r="V1692" s="2" t="s">
        <v>650</v>
      </c>
      <c r="W1692" s="2" t="s">
        <v>627</v>
      </c>
      <c r="X1692" s="2" t="s">
        <v>9985</v>
      </c>
      <c r="Y1692" s="2" t="s">
        <v>9986</v>
      </c>
      <c r="Z1692" s="6"/>
      <c r="AA1692" s="2">
        <v>58127729</v>
      </c>
      <c r="AB1692" s="2" t="s">
        <v>654</v>
      </c>
      <c r="AC1692" s="2" t="s">
        <v>632</v>
      </c>
      <c r="AD1692" s="10"/>
      <c r="AE1692" s="11"/>
      <c r="AF1692" s="11">
        <v>58127729</v>
      </c>
      <c r="AG1692" s="11"/>
      <c r="AH1692" s="11"/>
      <c r="AI1692" s="11"/>
      <c r="AJ1692" s="11">
        <v>58127729</v>
      </c>
      <c r="AK1692" s="12">
        <v>1</v>
      </c>
      <c r="AL1692" s="12" t="s">
        <v>7377</v>
      </c>
      <c r="AM1692" s="2">
        <v>0</v>
      </c>
      <c r="AN1692" s="2">
        <v>0</v>
      </c>
      <c r="AO1692" s="2">
        <v>0</v>
      </c>
      <c r="AP1692" s="2">
        <v>1</v>
      </c>
      <c r="AQ1692" s="2">
        <v>0</v>
      </c>
      <c r="AR1692" s="2">
        <v>0</v>
      </c>
      <c r="AS1692" s="2">
        <v>0</v>
      </c>
      <c r="AT1692" s="2">
        <v>0</v>
      </c>
      <c r="BA1692" s="2" t="s">
        <v>9987</v>
      </c>
      <c r="BB1692" s="2" t="str">
        <f>+PROPER(BD[[#This Row],[PRIMER_APELLIDO]])</f>
        <v>Bravo</v>
      </c>
    </row>
    <row r="1693" spans="1:54" x14ac:dyDescent="0.25">
      <c r="A1693" s="2">
        <v>1692</v>
      </c>
      <c r="B1693" s="2">
        <v>19423</v>
      </c>
      <c r="C1693" s="5" t="s">
        <v>619</v>
      </c>
      <c r="D1693" s="2" t="s">
        <v>620</v>
      </c>
      <c r="E1693" s="6" t="s">
        <v>9988</v>
      </c>
      <c r="F1693" s="6">
        <v>16941962</v>
      </c>
      <c r="G1693" s="3">
        <v>44</v>
      </c>
      <c r="I1693" s="7"/>
      <c r="J1693" s="7"/>
      <c r="K1693" s="8">
        <v>44.315068493150683</v>
      </c>
      <c r="L1693" s="2" t="s">
        <v>825</v>
      </c>
      <c r="M1693" s="2" t="s">
        <v>826</v>
      </c>
      <c r="N1693" s="2" t="s">
        <v>90</v>
      </c>
      <c r="O1693" s="2" t="s">
        <v>11</v>
      </c>
      <c r="P1693" s="2" t="s">
        <v>649</v>
      </c>
      <c r="Q1693" s="2" t="s">
        <v>351</v>
      </c>
      <c r="R1693" s="9">
        <v>28621</v>
      </c>
      <c r="S1693" s="9">
        <v>28621</v>
      </c>
      <c r="T1693" s="2" t="s">
        <v>732</v>
      </c>
      <c r="U1693" s="2" t="s">
        <v>780</v>
      </c>
      <c r="V1693" s="2" t="s">
        <v>962</v>
      </c>
      <c r="W1693" s="2" t="s">
        <v>781</v>
      </c>
      <c r="X1693" s="2" t="s">
        <v>9989</v>
      </c>
      <c r="Y1693" s="2" t="s">
        <v>9990</v>
      </c>
      <c r="Z1693" s="6" t="s">
        <v>9991</v>
      </c>
      <c r="AA1693" s="2" t="s">
        <v>9992</v>
      </c>
      <c r="AB1693" s="2" t="s">
        <v>654</v>
      </c>
      <c r="AC1693" s="2" t="s">
        <v>632</v>
      </c>
      <c r="AD1693" s="10">
        <v>87310580</v>
      </c>
      <c r="AE1693" s="11">
        <v>89531880</v>
      </c>
      <c r="AF1693" s="11"/>
      <c r="AG1693" s="11">
        <v>87273980</v>
      </c>
      <c r="AH1693" s="11"/>
      <c r="AI1693" s="11"/>
      <c r="AJ1693" s="11">
        <v>87310580</v>
      </c>
      <c r="AK1693" s="12">
        <v>4</v>
      </c>
      <c r="AL1693" s="12" t="s">
        <v>7377</v>
      </c>
      <c r="AM1693" s="2">
        <v>0</v>
      </c>
      <c r="AN1693" s="2">
        <v>0</v>
      </c>
      <c r="AO1693" s="2">
        <v>0</v>
      </c>
      <c r="AP1693" s="2">
        <v>1</v>
      </c>
      <c r="AQ1693" s="2">
        <v>0</v>
      </c>
      <c r="AR1693" s="2">
        <v>0</v>
      </c>
      <c r="AS1693" s="2">
        <v>0</v>
      </c>
      <c r="AT1693" s="2">
        <v>0</v>
      </c>
      <c r="AZ1693" s="2" t="s">
        <v>9993</v>
      </c>
      <c r="BB1693" s="2" t="str">
        <f>+PROPER(BD[[#This Row],[PRIMER_APELLIDO]])</f>
        <v>Sanchez</v>
      </c>
    </row>
    <row r="1694" spans="1:54" x14ac:dyDescent="0.25">
      <c r="A1694" s="2">
        <v>1693</v>
      </c>
      <c r="B1694" s="2">
        <v>15887</v>
      </c>
      <c r="C1694" s="5" t="s">
        <v>619</v>
      </c>
      <c r="D1694" s="2" t="s">
        <v>620</v>
      </c>
      <c r="E1694" s="6" t="s">
        <v>9994</v>
      </c>
      <c r="F1694" s="6"/>
      <c r="G1694" s="3">
        <v>44</v>
      </c>
      <c r="I1694" s="7"/>
      <c r="J1694" s="7"/>
      <c r="K1694" s="8">
        <v>44.323287671232876</v>
      </c>
      <c r="L1694" s="2" t="s">
        <v>9995</v>
      </c>
      <c r="M1694" s="2" t="s">
        <v>1070</v>
      </c>
      <c r="N1694" s="2" t="s">
        <v>74</v>
      </c>
      <c r="O1694" s="2" t="s">
        <v>344</v>
      </c>
      <c r="P1694" s="2" t="s">
        <v>626</v>
      </c>
      <c r="Q1694" s="2" t="s">
        <v>351</v>
      </c>
      <c r="R1694" s="9">
        <v>28618</v>
      </c>
      <c r="S1694" s="9">
        <v>28618</v>
      </c>
      <c r="T1694" s="2" t="s">
        <v>176</v>
      </c>
      <c r="U1694" s="2" t="s">
        <v>176</v>
      </c>
      <c r="V1694" s="2" t="s">
        <v>650</v>
      </c>
      <c r="W1694" s="2" t="s">
        <v>176</v>
      </c>
      <c r="X1694" s="2" t="s">
        <v>9996</v>
      </c>
      <c r="Y1694" s="2" t="s">
        <v>9997</v>
      </c>
      <c r="Z1694" s="6">
        <v>86148834</v>
      </c>
      <c r="AA1694" s="2">
        <v>23116807</v>
      </c>
      <c r="AB1694" s="2" t="s">
        <v>654</v>
      </c>
      <c r="AC1694" s="2" t="s">
        <v>632</v>
      </c>
      <c r="AD1694" s="10">
        <v>86148834</v>
      </c>
      <c r="AE1694" s="11"/>
      <c r="AF1694" s="11"/>
      <c r="AG1694" s="11"/>
      <c r="AH1694" s="11"/>
      <c r="AI1694" s="11"/>
      <c r="AJ1694" s="11">
        <v>86148834</v>
      </c>
      <c r="AK1694" s="12">
        <v>2</v>
      </c>
      <c r="AL1694" s="12" t="s">
        <v>7377</v>
      </c>
      <c r="AM1694" s="2">
        <v>0</v>
      </c>
      <c r="AN1694" s="2">
        <v>0</v>
      </c>
      <c r="AO1694" s="2">
        <v>0</v>
      </c>
      <c r="AP1694" s="2">
        <v>1</v>
      </c>
      <c r="AQ1694" s="2">
        <v>0</v>
      </c>
      <c r="AR1694" s="2">
        <v>0</v>
      </c>
      <c r="AS1694" s="2">
        <v>0</v>
      </c>
      <c r="AT1694" s="2">
        <v>0</v>
      </c>
      <c r="AZ1694" s="2" t="s">
        <v>9998</v>
      </c>
      <c r="BB1694" s="2" t="str">
        <f>+PROPER(BD[[#This Row],[PRIMER_APELLIDO]])</f>
        <v>Reyes</v>
      </c>
    </row>
    <row r="1695" spans="1:54" x14ac:dyDescent="0.25">
      <c r="A1695" s="2">
        <v>1694</v>
      </c>
      <c r="B1695" s="2">
        <v>40885</v>
      </c>
      <c r="C1695" s="5" t="s">
        <v>619</v>
      </c>
      <c r="D1695" s="2" t="s">
        <v>620</v>
      </c>
      <c r="E1695" s="6" t="s">
        <v>9999</v>
      </c>
      <c r="F1695" s="6"/>
      <c r="G1695" s="3">
        <v>44</v>
      </c>
      <c r="I1695" s="7"/>
      <c r="J1695" s="7"/>
      <c r="K1695" s="8">
        <v>44.342465753424655</v>
      </c>
      <c r="L1695" s="2" t="s">
        <v>10000</v>
      </c>
      <c r="M1695" s="2" t="s">
        <v>243</v>
      </c>
      <c r="N1695" s="2" t="s">
        <v>182</v>
      </c>
      <c r="O1695" s="2" t="s">
        <v>100</v>
      </c>
      <c r="P1695" s="2" t="s">
        <v>649</v>
      </c>
      <c r="Q1695" s="2" t="s">
        <v>351</v>
      </c>
      <c r="R1695" s="9">
        <v>28611</v>
      </c>
      <c r="S1695" s="9">
        <v>28611</v>
      </c>
      <c r="T1695" s="2" t="s">
        <v>1104</v>
      </c>
      <c r="U1695" s="2" t="s">
        <v>1104</v>
      </c>
      <c r="V1695" s="2" t="s">
        <v>1738</v>
      </c>
      <c r="W1695" s="2" t="s">
        <v>1739</v>
      </c>
      <c r="X1695" s="2" t="s">
        <v>10001</v>
      </c>
      <c r="Y1695" s="2" t="s">
        <v>10002</v>
      </c>
      <c r="Z1695" s="6">
        <v>82018927</v>
      </c>
      <c r="AA1695" s="2" t="s">
        <v>10003</v>
      </c>
      <c r="AB1695" s="2" t="s">
        <v>10004</v>
      </c>
      <c r="AC1695" s="2" t="s">
        <v>632</v>
      </c>
      <c r="AD1695" s="10">
        <v>82018927</v>
      </c>
      <c r="AE1695" s="11"/>
      <c r="AF1695" s="11">
        <v>82018927</v>
      </c>
      <c r="AG1695" s="11">
        <v>89450933</v>
      </c>
      <c r="AH1695" s="11"/>
      <c r="AI1695" s="11"/>
      <c r="AJ1695" s="11">
        <v>82018927</v>
      </c>
      <c r="AK1695" s="12">
        <v>3</v>
      </c>
      <c r="AL1695" s="12" t="s">
        <v>7377</v>
      </c>
      <c r="AM1695" s="2">
        <v>0</v>
      </c>
      <c r="AN1695" s="2">
        <v>0</v>
      </c>
      <c r="AO1695" s="2">
        <v>0</v>
      </c>
      <c r="AP1695" s="2">
        <v>1</v>
      </c>
      <c r="AQ1695" s="2">
        <v>0</v>
      </c>
      <c r="AR1695" s="2">
        <v>0</v>
      </c>
      <c r="AS1695" s="2">
        <v>0</v>
      </c>
      <c r="AT1695" s="2">
        <v>0</v>
      </c>
      <c r="BB1695" s="2" t="str">
        <f>+PROPER(BD[[#This Row],[PRIMER_APELLIDO]])</f>
        <v>Rugama</v>
      </c>
    </row>
    <row r="1696" spans="1:54" x14ac:dyDescent="0.25">
      <c r="A1696" s="2">
        <v>1695</v>
      </c>
      <c r="B1696" s="2">
        <v>15213</v>
      </c>
      <c r="C1696" s="5" t="s">
        <v>619</v>
      </c>
      <c r="D1696" s="2" t="s">
        <v>620</v>
      </c>
      <c r="E1696" s="6" t="s">
        <v>10005</v>
      </c>
      <c r="F1696" s="6">
        <v>15222042</v>
      </c>
      <c r="G1696" s="3">
        <v>44</v>
      </c>
      <c r="I1696" s="7"/>
      <c r="J1696" s="7"/>
      <c r="K1696" s="8">
        <v>44.347945205479455</v>
      </c>
      <c r="L1696" s="2" t="s">
        <v>6072</v>
      </c>
      <c r="M1696" s="2" t="s">
        <v>1706</v>
      </c>
      <c r="N1696" s="2" t="s">
        <v>14</v>
      </c>
      <c r="O1696" s="2" t="s">
        <v>187</v>
      </c>
      <c r="P1696" s="2" t="s">
        <v>626</v>
      </c>
      <c r="Q1696" s="2" t="s">
        <v>351</v>
      </c>
      <c r="R1696" s="9">
        <v>28609</v>
      </c>
      <c r="S1696" s="9">
        <v>28609</v>
      </c>
      <c r="T1696" s="2" t="s">
        <v>659</v>
      </c>
      <c r="U1696" s="2" t="s">
        <v>659</v>
      </c>
      <c r="V1696" s="2" t="s">
        <v>659</v>
      </c>
      <c r="W1696" s="2" t="s">
        <v>659</v>
      </c>
      <c r="X1696" s="2" t="s">
        <v>10006</v>
      </c>
      <c r="Y1696" s="2" t="s">
        <v>10007</v>
      </c>
      <c r="Z1696" s="6">
        <v>84164949</v>
      </c>
      <c r="AA1696" s="2">
        <v>84164949</v>
      </c>
      <c r="AB1696" s="2" t="s">
        <v>654</v>
      </c>
      <c r="AC1696" s="2" t="s">
        <v>632</v>
      </c>
      <c r="AD1696" s="10">
        <v>84164949</v>
      </c>
      <c r="AE1696" s="11"/>
      <c r="AF1696" s="11">
        <v>84164949</v>
      </c>
      <c r="AG1696" s="11"/>
      <c r="AH1696" s="11"/>
      <c r="AI1696" s="11"/>
      <c r="AJ1696" s="11">
        <v>84164949</v>
      </c>
      <c r="AK1696" s="12">
        <v>2</v>
      </c>
      <c r="AL1696" s="12" t="s">
        <v>7377</v>
      </c>
      <c r="AM1696" s="2">
        <v>0</v>
      </c>
      <c r="AN1696" s="2">
        <v>0</v>
      </c>
      <c r="AO1696" s="2">
        <v>0</v>
      </c>
      <c r="AP1696" s="2">
        <v>1</v>
      </c>
      <c r="AQ1696" s="2">
        <v>0</v>
      </c>
      <c r="AR1696" s="2">
        <v>0</v>
      </c>
      <c r="AS1696" s="2">
        <v>0</v>
      </c>
      <c r="AT1696" s="2">
        <v>0</v>
      </c>
      <c r="AZ1696" s="2" t="s">
        <v>10008</v>
      </c>
      <c r="BB1696" s="2" t="str">
        <f>+PROPER(BD[[#This Row],[PRIMER_APELLIDO]])</f>
        <v>Gonzalez</v>
      </c>
    </row>
    <row r="1697" spans="1:54" x14ac:dyDescent="0.25">
      <c r="A1697" s="2">
        <v>1696</v>
      </c>
      <c r="B1697" s="2">
        <v>21236</v>
      </c>
      <c r="C1697" s="5" t="s">
        <v>619</v>
      </c>
      <c r="D1697" s="2" t="s">
        <v>620</v>
      </c>
      <c r="E1697" s="6" t="s">
        <v>10009</v>
      </c>
      <c r="F1697" s="6">
        <v>18560477</v>
      </c>
      <c r="G1697" s="3">
        <v>44</v>
      </c>
      <c r="I1697" s="7"/>
      <c r="J1697" s="7"/>
      <c r="K1697" s="8">
        <v>44.413698630136984</v>
      </c>
      <c r="L1697" s="2" t="s">
        <v>3255</v>
      </c>
      <c r="M1697" s="2" t="s">
        <v>10010</v>
      </c>
      <c r="N1697" s="2" t="s">
        <v>11</v>
      </c>
      <c r="O1697" s="2" t="s">
        <v>349</v>
      </c>
      <c r="P1697" s="2" t="s">
        <v>649</v>
      </c>
      <c r="Q1697" s="2" t="s">
        <v>351</v>
      </c>
      <c r="R1697" s="9">
        <v>28585</v>
      </c>
      <c r="S1697" s="9">
        <v>28585</v>
      </c>
      <c r="T1697" s="2" t="s">
        <v>176</v>
      </c>
      <c r="U1697" s="2" t="s">
        <v>176</v>
      </c>
      <c r="V1697" s="2" t="s">
        <v>748</v>
      </c>
      <c r="W1697" s="2" t="s">
        <v>748</v>
      </c>
      <c r="X1697" s="2" t="s">
        <v>10011</v>
      </c>
      <c r="Y1697" s="2" t="s">
        <v>10012</v>
      </c>
      <c r="Z1697" s="6">
        <v>78947968</v>
      </c>
      <c r="AA1697" s="2" t="s">
        <v>10013</v>
      </c>
      <c r="AB1697" s="2" t="s">
        <v>654</v>
      </c>
      <c r="AC1697" s="2" t="s">
        <v>632</v>
      </c>
      <c r="AD1697" s="10">
        <v>78947968</v>
      </c>
      <c r="AE1697" s="11"/>
      <c r="AF1697" s="11">
        <v>83313723</v>
      </c>
      <c r="AG1697" s="11">
        <v>84232180</v>
      </c>
      <c r="AH1697" s="11"/>
      <c r="AI1697" s="11"/>
      <c r="AJ1697" s="11">
        <v>78947968</v>
      </c>
      <c r="AK1697" s="12">
        <v>3</v>
      </c>
      <c r="AL1697" s="12" t="s">
        <v>7377</v>
      </c>
      <c r="AM1697" s="2">
        <v>0</v>
      </c>
      <c r="AN1697" s="2">
        <v>0</v>
      </c>
      <c r="AO1697" s="2">
        <v>0</v>
      </c>
      <c r="AP1697" s="2">
        <v>1</v>
      </c>
      <c r="AQ1697" s="2">
        <v>0</v>
      </c>
      <c r="AR1697" s="2">
        <v>0</v>
      </c>
      <c r="AS1697" s="2">
        <v>0</v>
      </c>
      <c r="AT1697" s="2">
        <v>0</v>
      </c>
      <c r="BB1697" s="2" t="str">
        <f>+PROPER(BD[[#This Row],[PRIMER_APELLIDO]])</f>
        <v>Hernandez</v>
      </c>
    </row>
    <row r="1698" spans="1:54" x14ac:dyDescent="0.25">
      <c r="A1698" s="2">
        <v>1697</v>
      </c>
      <c r="B1698" s="2">
        <v>21082</v>
      </c>
      <c r="C1698" s="5" t="s">
        <v>619</v>
      </c>
      <c r="D1698" s="2" t="s">
        <v>620</v>
      </c>
      <c r="E1698" s="6" t="s">
        <v>10014</v>
      </c>
      <c r="F1698" s="6"/>
      <c r="G1698" s="3">
        <v>44</v>
      </c>
      <c r="I1698" s="7"/>
      <c r="J1698" s="7"/>
      <c r="K1698" s="8">
        <v>44.416438356164385</v>
      </c>
      <c r="L1698" s="2" t="s">
        <v>10015</v>
      </c>
      <c r="M1698" s="2" t="s">
        <v>8754</v>
      </c>
      <c r="N1698" s="2" t="s">
        <v>475</v>
      </c>
      <c r="O1698" s="2" t="s">
        <v>27</v>
      </c>
      <c r="P1698" s="2" t="s">
        <v>649</v>
      </c>
      <c r="Q1698" s="2" t="s">
        <v>351</v>
      </c>
      <c r="R1698" s="9">
        <v>28584</v>
      </c>
      <c r="S1698" s="9">
        <v>28584</v>
      </c>
      <c r="T1698" s="2" t="s">
        <v>176</v>
      </c>
      <c r="U1698" s="2" t="s">
        <v>176</v>
      </c>
      <c r="V1698" s="2" t="s">
        <v>650</v>
      </c>
      <c r="W1698" s="2" t="s">
        <v>176</v>
      </c>
      <c r="X1698" s="2" t="s">
        <v>10016</v>
      </c>
      <c r="Y1698" s="2" t="s">
        <v>10017</v>
      </c>
      <c r="Z1698" s="6">
        <v>85101411</v>
      </c>
      <c r="AB1698" s="2" t="s">
        <v>654</v>
      </c>
      <c r="AC1698" s="2" t="s">
        <v>632</v>
      </c>
      <c r="AD1698" s="10">
        <v>85101411</v>
      </c>
      <c r="AE1698" s="11"/>
      <c r="AF1698" s="11"/>
      <c r="AG1698" s="11"/>
      <c r="AH1698" s="11"/>
      <c r="AI1698" s="11"/>
      <c r="AJ1698" s="11">
        <v>85101411</v>
      </c>
      <c r="AK1698" s="12">
        <v>1</v>
      </c>
      <c r="AL1698" s="12" t="s">
        <v>7377</v>
      </c>
      <c r="AM1698" s="2">
        <v>0</v>
      </c>
      <c r="AN1698" s="2">
        <v>0</v>
      </c>
      <c r="AO1698" s="2">
        <v>0</v>
      </c>
      <c r="AP1698" s="2">
        <v>1</v>
      </c>
      <c r="AQ1698" s="2">
        <v>0</v>
      </c>
      <c r="AR1698" s="2">
        <v>0</v>
      </c>
      <c r="AS1698" s="2">
        <v>0</v>
      </c>
      <c r="AT1698" s="2">
        <v>0</v>
      </c>
      <c r="AZ1698" s="2" t="s">
        <v>10018</v>
      </c>
      <c r="BB1698" s="2" t="str">
        <f>+PROPER(BD[[#This Row],[PRIMER_APELLIDO]])</f>
        <v>Rubi</v>
      </c>
    </row>
    <row r="1699" spans="1:54" x14ac:dyDescent="0.25">
      <c r="A1699" s="2">
        <v>1698</v>
      </c>
      <c r="B1699" s="2">
        <v>33007</v>
      </c>
      <c r="C1699" s="5" t="s">
        <v>619</v>
      </c>
      <c r="D1699" s="2" t="s">
        <v>620</v>
      </c>
      <c r="E1699" s="6" t="s">
        <v>10019</v>
      </c>
      <c r="F1699" s="6">
        <v>21739028</v>
      </c>
      <c r="G1699" s="3">
        <v>44</v>
      </c>
      <c r="I1699" s="7"/>
      <c r="J1699" s="7"/>
      <c r="K1699" s="8">
        <v>44.438356164383563</v>
      </c>
      <c r="L1699" s="2" t="s">
        <v>667</v>
      </c>
      <c r="M1699" s="2" t="s">
        <v>1170</v>
      </c>
      <c r="N1699" s="2" t="s">
        <v>413</v>
      </c>
      <c r="O1699" s="2" t="s">
        <v>287</v>
      </c>
      <c r="P1699" s="2" t="s">
        <v>626</v>
      </c>
      <c r="Q1699" s="2" t="s">
        <v>351</v>
      </c>
      <c r="R1699" s="9">
        <v>28576</v>
      </c>
      <c r="S1699" s="9">
        <v>28576</v>
      </c>
      <c r="T1699" s="2" t="s">
        <v>740</v>
      </c>
      <c r="U1699" s="2" t="s">
        <v>740</v>
      </c>
      <c r="V1699" s="2" t="s">
        <v>740</v>
      </c>
      <c r="W1699" s="2" t="s">
        <v>740</v>
      </c>
      <c r="X1699" s="2" t="s">
        <v>10020</v>
      </c>
      <c r="Y1699" s="2" t="s">
        <v>10021</v>
      </c>
      <c r="Z1699" s="6"/>
      <c r="AA1699" s="2">
        <v>86677318</v>
      </c>
      <c r="AB1699" s="2" t="s">
        <v>631</v>
      </c>
      <c r="AC1699" s="2" t="s">
        <v>632</v>
      </c>
      <c r="AD1699" s="10"/>
      <c r="AE1699" s="11"/>
      <c r="AF1699" s="11">
        <v>86677318</v>
      </c>
      <c r="AG1699" s="11"/>
      <c r="AH1699" s="11"/>
      <c r="AI1699" s="11"/>
      <c r="AJ1699" s="11">
        <v>86677318</v>
      </c>
      <c r="AK1699" s="12">
        <v>1</v>
      </c>
      <c r="AL1699" s="12" t="s">
        <v>7377</v>
      </c>
      <c r="AM1699" s="2">
        <v>0</v>
      </c>
      <c r="AN1699" s="2">
        <v>0</v>
      </c>
      <c r="AO1699" s="2">
        <v>0</v>
      </c>
      <c r="AP1699" s="2">
        <v>1</v>
      </c>
      <c r="AQ1699" s="2">
        <v>0</v>
      </c>
      <c r="AR1699" s="2">
        <v>0</v>
      </c>
      <c r="AS1699" s="2">
        <v>0</v>
      </c>
      <c r="AT1699" s="2">
        <v>0</v>
      </c>
      <c r="BB1699" s="2" t="str">
        <f>+PROPER(BD[[#This Row],[PRIMER_APELLIDO]])</f>
        <v>Cisneros</v>
      </c>
    </row>
    <row r="1700" spans="1:54" x14ac:dyDescent="0.25">
      <c r="A1700" s="2">
        <v>1699</v>
      </c>
      <c r="B1700" s="2">
        <v>19919</v>
      </c>
      <c r="C1700" s="5" t="s">
        <v>619</v>
      </c>
      <c r="D1700" s="2" t="s">
        <v>620</v>
      </c>
      <c r="E1700" s="6" t="s">
        <v>10022</v>
      </c>
      <c r="F1700" s="6">
        <v>18581205</v>
      </c>
      <c r="G1700" s="3">
        <v>44</v>
      </c>
      <c r="I1700" s="7"/>
      <c r="J1700" s="7"/>
      <c r="K1700" s="8">
        <v>44.446575342465756</v>
      </c>
      <c r="L1700" s="2" t="s">
        <v>7359</v>
      </c>
      <c r="M1700" s="2" t="s">
        <v>2806</v>
      </c>
      <c r="N1700" s="2" t="s">
        <v>561</v>
      </c>
      <c r="O1700" s="2" t="s">
        <v>24</v>
      </c>
      <c r="P1700" s="2" t="s">
        <v>626</v>
      </c>
      <c r="Q1700" s="2" t="s">
        <v>351</v>
      </c>
      <c r="R1700" s="9">
        <v>28573</v>
      </c>
      <c r="S1700" s="9">
        <v>28573</v>
      </c>
      <c r="T1700" s="2" t="s">
        <v>176</v>
      </c>
      <c r="U1700" s="2" t="s">
        <v>176</v>
      </c>
      <c r="V1700" s="2" t="s">
        <v>650</v>
      </c>
      <c r="W1700" s="2" t="s">
        <v>176</v>
      </c>
      <c r="X1700" s="2" t="s">
        <v>10023</v>
      </c>
      <c r="Y1700" s="2" t="s">
        <v>10024</v>
      </c>
      <c r="Z1700" s="6"/>
      <c r="AA1700" s="2" t="s">
        <v>10025</v>
      </c>
      <c r="AB1700" s="2" t="s">
        <v>654</v>
      </c>
      <c r="AC1700" s="2" t="s">
        <v>632</v>
      </c>
      <c r="AD1700" s="10"/>
      <c r="AE1700" s="11"/>
      <c r="AF1700" s="11"/>
      <c r="AG1700" s="11">
        <v>88301907</v>
      </c>
      <c r="AH1700" s="11"/>
      <c r="AI1700" s="11"/>
      <c r="AJ1700" s="11">
        <v>88301907</v>
      </c>
      <c r="AK1700" s="12">
        <v>2</v>
      </c>
      <c r="AL1700" s="12" t="s">
        <v>7377</v>
      </c>
      <c r="AM1700" s="2">
        <v>0</v>
      </c>
      <c r="AN1700" s="2">
        <v>0</v>
      </c>
      <c r="AO1700" s="2">
        <v>0</v>
      </c>
      <c r="AP1700" s="2">
        <v>1</v>
      </c>
      <c r="AQ1700" s="2">
        <v>0</v>
      </c>
      <c r="AR1700" s="2">
        <v>0</v>
      </c>
      <c r="AS1700" s="2">
        <v>0</v>
      </c>
      <c r="AT1700" s="2">
        <v>0</v>
      </c>
      <c r="BA1700" s="2" t="s">
        <v>10026</v>
      </c>
      <c r="BB1700" s="2" t="str">
        <f>+PROPER(BD[[#This Row],[PRIMER_APELLIDO]])</f>
        <v>Lemuz</v>
      </c>
    </row>
    <row r="1701" spans="1:54" x14ac:dyDescent="0.25">
      <c r="A1701" s="2">
        <v>1700</v>
      </c>
      <c r="B1701" s="2">
        <v>34365</v>
      </c>
      <c r="C1701" s="5" t="s">
        <v>619</v>
      </c>
      <c r="D1701" s="2" t="s">
        <v>620</v>
      </c>
      <c r="E1701" s="6" t="s">
        <v>10027</v>
      </c>
      <c r="F1701" s="6">
        <v>22189907</v>
      </c>
      <c r="G1701" s="3">
        <v>44</v>
      </c>
      <c r="I1701" s="7"/>
      <c r="J1701" s="7"/>
      <c r="K1701" s="8">
        <v>44.449315068493149</v>
      </c>
      <c r="L1701" s="2" t="s">
        <v>243</v>
      </c>
      <c r="M1701" s="2" t="s">
        <v>738</v>
      </c>
      <c r="N1701" s="2" t="s">
        <v>239</v>
      </c>
      <c r="O1701" s="2" t="s">
        <v>63</v>
      </c>
      <c r="P1701" s="2" t="s">
        <v>649</v>
      </c>
      <c r="Q1701" s="2" t="s">
        <v>351</v>
      </c>
      <c r="R1701" s="9">
        <v>28572</v>
      </c>
      <c r="S1701" s="9">
        <v>28572</v>
      </c>
      <c r="T1701" s="2" t="s">
        <v>1104</v>
      </c>
      <c r="U1701" s="2" t="s">
        <v>1104</v>
      </c>
      <c r="V1701" s="2" t="s">
        <v>1104</v>
      </c>
      <c r="W1701" s="2" t="s">
        <v>1104</v>
      </c>
      <c r="X1701" s="2" t="s">
        <v>10028</v>
      </c>
      <c r="Y1701" s="2" t="s">
        <v>10029</v>
      </c>
      <c r="Z1701" s="6">
        <v>88501305</v>
      </c>
      <c r="AA1701" s="2">
        <v>84265390</v>
      </c>
      <c r="AB1701" s="2" t="s">
        <v>654</v>
      </c>
      <c r="AC1701" s="2" t="s">
        <v>632</v>
      </c>
      <c r="AD1701" s="10">
        <v>88501305</v>
      </c>
      <c r="AE1701" s="11"/>
      <c r="AF1701" s="11">
        <v>84265390</v>
      </c>
      <c r="AG1701" s="11"/>
      <c r="AH1701" s="11"/>
      <c r="AI1701" s="11"/>
      <c r="AJ1701" s="11">
        <v>88501305</v>
      </c>
      <c r="AK1701" s="12">
        <v>2</v>
      </c>
      <c r="AL1701" s="12" t="s">
        <v>7377</v>
      </c>
      <c r="AM1701" s="2">
        <v>0</v>
      </c>
      <c r="AN1701" s="2">
        <v>0</v>
      </c>
      <c r="AO1701" s="2">
        <v>0</v>
      </c>
      <c r="AP1701" s="2">
        <v>1</v>
      </c>
      <c r="AQ1701" s="2">
        <v>0</v>
      </c>
      <c r="AR1701" s="2">
        <v>0</v>
      </c>
      <c r="AS1701" s="2">
        <v>0</v>
      </c>
      <c r="AT1701" s="2">
        <v>0</v>
      </c>
      <c r="AZ1701" s="2" t="s">
        <v>10030</v>
      </c>
      <c r="BB1701" s="2" t="str">
        <f>+PROPER(BD[[#This Row],[PRIMER_APELLIDO]])</f>
        <v>Vilchez</v>
      </c>
    </row>
    <row r="1702" spans="1:54" x14ac:dyDescent="0.25">
      <c r="A1702" s="2">
        <v>1701</v>
      </c>
      <c r="B1702" s="2">
        <v>23313</v>
      </c>
      <c r="C1702" s="5" t="s">
        <v>619</v>
      </c>
      <c r="D1702" s="2" t="s">
        <v>620</v>
      </c>
      <c r="E1702" s="6" t="s">
        <v>10031</v>
      </c>
      <c r="F1702" s="6"/>
      <c r="G1702" s="3">
        <v>44</v>
      </c>
      <c r="I1702" s="7"/>
      <c r="J1702" s="7"/>
      <c r="K1702" s="8">
        <v>44.465753424657535</v>
      </c>
      <c r="L1702" s="2" t="s">
        <v>3595</v>
      </c>
      <c r="M1702" s="2" t="s">
        <v>10032</v>
      </c>
      <c r="N1702" s="2" t="s">
        <v>112</v>
      </c>
      <c r="O1702" s="2" t="s">
        <v>171</v>
      </c>
      <c r="P1702" s="2" t="s">
        <v>649</v>
      </c>
      <c r="Q1702" s="2" t="s">
        <v>351</v>
      </c>
      <c r="R1702" s="9">
        <v>28566</v>
      </c>
      <c r="S1702" s="9">
        <v>28566</v>
      </c>
      <c r="T1702" s="2" t="s">
        <v>133</v>
      </c>
      <c r="U1702" s="2" t="s">
        <v>133</v>
      </c>
      <c r="V1702" s="2" t="s">
        <v>841</v>
      </c>
      <c r="W1702" s="2" t="s">
        <v>841</v>
      </c>
      <c r="X1702" s="2" t="s">
        <v>10033</v>
      </c>
      <c r="Y1702" s="2" t="s">
        <v>10034</v>
      </c>
      <c r="Z1702" s="6"/>
      <c r="AA1702" s="2">
        <v>78471434</v>
      </c>
      <c r="AB1702" s="2" t="s">
        <v>654</v>
      </c>
      <c r="AC1702" s="2" t="s">
        <v>632</v>
      </c>
      <c r="AD1702" s="10"/>
      <c r="AE1702" s="11"/>
      <c r="AF1702" s="11">
        <v>78471434</v>
      </c>
      <c r="AG1702" s="11"/>
      <c r="AH1702" s="11"/>
      <c r="AI1702" s="11"/>
      <c r="AJ1702" s="11">
        <v>78471434</v>
      </c>
      <c r="AK1702" s="12">
        <v>1</v>
      </c>
      <c r="AL1702" s="12" t="s">
        <v>7377</v>
      </c>
      <c r="AM1702" s="2">
        <v>0</v>
      </c>
      <c r="AN1702" s="2">
        <v>0</v>
      </c>
      <c r="AO1702" s="2">
        <v>0</v>
      </c>
      <c r="AP1702" s="2">
        <v>1</v>
      </c>
      <c r="AQ1702" s="2">
        <v>0</v>
      </c>
      <c r="AR1702" s="2">
        <v>0</v>
      </c>
      <c r="AS1702" s="2">
        <v>0</v>
      </c>
      <c r="AT1702" s="2">
        <v>0</v>
      </c>
      <c r="AZ1702" s="2" t="s">
        <v>10035</v>
      </c>
      <c r="BB1702" s="2" t="str">
        <f>+PROPER(BD[[#This Row],[PRIMER_APELLIDO]])</f>
        <v>Baltodano</v>
      </c>
    </row>
    <row r="1703" spans="1:54" x14ac:dyDescent="0.25">
      <c r="A1703" s="2">
        <v>1702</v>
      </c>
      <c r="B1703" s="2">
        <v>18345</v>
      </c>
      <c r="C1703" s="5" t="s">
        <v>619</v>
      </c>
      <c r="D1703" s="2" t="s">
        <v>620</v>
      </c>
      <c r="E1703" s="6" t="s">
        <v>10036</v>
      </c>
      <c r="F1703" s="6">
        <v>16316452</v>
      </c>
      <c r="G1703" s="3">
        <v>44</v>
      </c>
      <c r="I1703" s="7"/>
      <c r="J1703" s="7"/>
      <c r="K1703" s="8">
        <v>44.468493150684928</v>
      </c>
      <c r="L1703" s="2" t="s">
        <v>738</v>
      </c>
      <c r="M1703" s="2" t="s">
        <v>1596</v>
      </c>
      <c r="N1703" s="2" t="s">
        <v>562</v>
      </c>
      <c r="O1703" s="2" t="s">
        <v>53</v>
      </c>
      <c r="P1703" s="2" t="s">
        <v>649</v>
      </c>
      <c r="Q1703" s="2" t="s">
        <v>351</v>
      </c>
      <c r="R1703" s="9">
        <v>28565</v>
      </c>
      <c r="S1703" s="9">
        <v>28565</v>
      </c>
      <c r="T1703" s="2" t="s">
        <v>627</v>
      </c>
      <c r="U1703" s="2" t="s">
        <v>627</v>
      </c>
      <c r="V1703" s="2" t="s">
        <v>627</v>
      </c>
      <c r="W1703" s="2" t="s">
        <v>692</v>
      </c>
      <c r="X1703" s="2" t="s">
        <v>10037</v>
      </c>
      <c r="Y1703" s="2" t="s">
        <v>10038</v>
      </c>
      <c r="Z1703" s="6">
        <v>87867026</v>
      </c>
      <c r="AA1703" s="2" t="s">
        <v>10039</v>
      </c>
      <c r="AB1703" s="2" t="s">
        <v>654</v>
      </c>
      <c r="AC1703" s="2" t="s">
        <v>632</v>
      </c>
      <c r="AD1703" s="10">
        <v>87867026</v>
      </c>
      <c r="AE1703" s="11"/>
      <c r="AF1703" s="11">
        <v>86573755</v>
      </c>
      <c r="AG1703" s="11">
        <v>87867026</v>
      </c>
      <c r="AH1703" s="11"/>
      <c r="AI1703" s="11"/>
      <c r="AJ1703" s="11">
        <v>87867026</v>
      </c>
      <c r="AK1703" s="12">
        <v>3</v>
      </c>
      <c r="AL1703" s="12" t="s">
        <v>7377</v>
      </c>
      <c r="AM1703" s="2">
        <v>0</v>
      </c>
      <c r="AN1703" s="2">
        <v>0</v>
      </c>
      <c r="AO1703" s="2">
        <v>0</v>
      </c>
      <c r="AP1703" s="2">
        <v>1</v>
      </c>
      <c r="AQ1703" s="2">
        <v>0</v>
      </c>
      <c r="AR1703" s="2">
        <v>0</v>
      </c>
      <c r="AS1703" s="2">
        <v>0</v>
      </c>
      <c r="AT1703" s="2">
        <v>0</v>
      </c>
      <c r="BB1703" s="2" t="str">
        <f>+PROPER(BD[[#This Row],[PRIMER_APELLIDO]])</f>
        <v>Ambota</v>
      </c>
    </row>
    <row r="1704" spans="1:54" x14ac:dyDescent="0.25">
      <c r="A1704" s="2">
        <v>1703</v>
      </c>
      <c r="B1704" s="2">
        <v>17698</v>
      </c>
      <c r="C1704" s="5" t="s">
        <v>619</v>
      </c>
      <c r="D1704" s="2" t="s">
        <v>620</v>
      </c>
      <c r="E1704" s="6" t="s">
        <v>10040</v>
      </c>
      <c r="F1704" s="6"/>
      <c r="G1704" s="3">
        <v>44</v>
      </c>
      <c r="I1704" s="7"/>
      <c r="J1704" s="7"/>
      <c r="K1704" s="8">
        <v>44.479452054794521</v>
      </c>
      <c r="L1704" s="2" t="s">
        <v>739</v>
      </c>
      <c r="M1704" s="2" t="s">
        <v>243</v>
      </c>
      <c r="N1704" s="2" t="s">
        <v>24</v>
      </c>
      <c r="O1704" s="2" t="s">
        <v>121</v>
      </c>
      <c r="P1704" s="2" t="s">
        <v>649</v>
      </c>
      <c r="Q1704" s="2" t="s">
        <v>351</v>
      </c>
      <c r="R1704" s="9">
        <v>28561</v>
      </c>
      <c r="S1704" s="9">
        <v>28561</v>
      </c>
      <c r="T1704" s="2" t="s">
        <v>627</v>
      </c>
      <c r="U1704" s="2" t="s">
        <v>627</v>
      </c>
      <c r="V1704" s="2" t="s">
        <v>627</v>
      </c>
      <c r="W1704" s="2" t="s">
        <v>627</v>
      </c>
      <c r="X1704" s="2" t="s">
        <v>10041</v>
      </c>
      <c r="Y1704" s="2" t="s">
        <v>10042</v>
      </c>
      <c r="Z1704" s="6">
        <v>88557435</v>
      </c>
      <c r="AB1704" s="2" t="s">
        <v>654</v>
      </c>
      <c r="AC1704" s="2" t="s">
        <v>632</v>
      </c>
      <c r="AD1704" s="10">
        <v>88557435</v>
      </c>
      <c r="AE1704" s="11"/>
      <c r="AF1704" s="11"/>
      <c r="AG1704" s="11"/>
      <c r="AH1704" s="11"/>
      <c r="AI1704" s="11"/>
      <c r="AJ1704" s="11">
        <v>88557435</v>
      </c>
      <c r="AK1704" s="12">
        <v>1</v>
      </c>
      <c r="AL1704" s="12" t="s">
        <v>7377</v>
      </c>
      <c r="AM1704" s="2">
        <v>0</v>
      </c>
      <c r="AN1704" s="2">
        <v>0</v>
      </c>
      <c r="AO1704" s="2">
        <v>0</v>
      </c>
      <c r="AP1704" s="2">
        <v>1</v>
      </c>
      <c r="AQ1704" s="2">
        <v>0</v>
      </c>
      <c r="AR1704" s="2">
        <v>0</v>
      </c>
      <c r="AS1704" s="2">
        <v>0</v>
      </c>
      <c r="AT1704" s="2">
        <v>0</v>
      </c>
      <c r="AZ1704" s="2" t="s">
        <v>10043</v>
      </c>
      <c r="BB1704" s="2" t="str">
        <f>+PROPER(BD[[#This Row],[PRIMER_APELLIDO]])</f>
        <v>Perez</v>
      </c>
    </row>
    <row r="1705" spans="1:54" x14ac:dyDescent="0.25">
      <c r="A1705" s="2">
        <v>1704</v>
      </c>
      <c r="B1705" s="2">
        <v>24057</v>
      </c>
      <c r="C1705" s="5" t="s">
        <v>619</v>
      </c>
      <c r="D1705" s="2" t="s">
        <v>620</v>
      </c>
      <c r="E1705" s="6" t="s">
        <v>10044</v>
      </c>
      <c r="F1705" s="6">
        <v>19065775</v>
      </c>
      <c r="G1705" s="3">
        <v>44</v>
      </c>
      <c r="I1705" s="7"/>
      <c r="J1705" s="7"/>
      <c r="K1705" s="8">
        <v>44.479452054794521</v>
      </c>
      <c r="L1705" s="2" t="s">
        <v>2875</v>
      </c>
      <c r="M1705" s="2" t="s">
        <v>1962</v>
      </c>
      <c r="N1705" s="2" t="s">
        <v>15</v>
      </c>
      <c r="O1705" s="2" t="s">
        <v>171</v>
      </c>
      <c r="P1705" s="2" t="s">
        <v>626</v>
      </c>
      <c r="Q1705" s="2" t="s">
        <v>351</v>
      </c>
      <c r="R1705" s="9">
        <v>28561</v>
      </c>
      <c r="S1705" s="9">
        <v>28561</v>
      </c>
      <c r="T1705" s="2" t="s">
        <v>1191</v>
      </c>
      <c r="U1705" s="2" t="s">
        <v>1191</v>
      </c>
      <c r="V1705" s="2" t="s">
        <v>1300</v>
      </c>
      <c r="W1705" s="2" t="s">
        <v>1300</v>
      </c>
      <c r="X1705" s="2" t="s">
        <v>10045</v>
      </c>
      <c r="Y1705" s="2" t="s">
        <v>2291</v>
      </c>
      <c r="Z1705" s="6">
        <v>84352615</v>
      </c>
      <c r="AA1705" s="2">
        <v>86139290</v>
      </c>
      <c r="AB1705" s="2" t="s">
        <v>642</v>
      </c>
      <c r="AC1705" s="2" t="s">
        <v>632</v>
      </c>
      <c r="AD1705" s="10">
        <v>84352615</v>
      </c>
      <c r="AE1705" s="11"/>
      <c r="AF1705" s="11">
        <v>86139290</v>
      </c>
      <c r="AG1705" s="11"/>
      <c r="AH1705" s="11"/>
      <c r="AI1705" s="11"/>
      <c r="AJ1705" s="11">
        <v>84352615</v>
      </c>
      <c r="AK1705" s="12">
        <v>2</v>
      </c>
      <c r="AL1705" s="12" t="s">
        <v>7377</v>
      </c>
      <c r="AM1705" s="2">
        <v>0</v>
      </c>
      <c r="AN1705" s="2">
        <v>0</v>
      </c>
      <c r="AO1705" s="2">
        <v>0</v>
      </c>
      <c r="AP1705" s="2">
        <v>1</v>
      </c>
      <c r="AQ1705" s="2">
        <v>0</v>
      </c>
      <c r="AR1705" s="2">
        <v>0</v>
      </c>
      <c r="AS1705" s="2">
        <v>0</v>
      </c>
      <c r="AT1705" s="2">
        <v>0</v>
      </c>
      <c r="AZ1705" s="2" t="s">
        <v>10046</v>
      </c>
      <c r="BB1705" s="2" t="str">
        <f>+PROPER(BD[[#This Row],[PRIMER_APELLIDO]])</f>
        <v>Lopez</v>
      </c>
    </row>
    <row r="1706" spans="1:54" x14ac:dyDescent="0.25">
      <c r="A1706" s="2">
        <v>1705</v>
      </c>
      <c r="B1706" s="2">
        <v>14078</v>
      </c>
      <c r="C1706" s="5" t="s">
        <v>619</v>
      </c>
      <c r="D1706" s="2" t="s">
        <v>620</v>
      </c>
      <c r="E1706" s="6" t="s">
        <v>10047</v>
      </c>
      <c r="F1706" s="6">
        <v>15200833</v>
      </c>
      <c r="G1706" s="3">
        <v>44</v>
      </c>
      <c r="I1706" s="7"/>
      <c r="J1706" s="7"/>
      <c r="K1706" s="8">
        <v>44.484931506849314</v>
      </c>
      <c r="L1706" s="2" t="s">
        <v>10048</v>
      </c>
      <c r="M1706" s="2" t="s">
        <v>6706</v>
      </c>
      <c r="N1706" s="2" t="s">
        <v>349</v>
      </c>
      <c r="O1706" s="2" t="s">
        <v>14</v>
      </c>
      <c r="P1706" s="2" t="s">
        <v>626</v>
      </c>
      <c r="Q1706" s="2" t="s">
        <v>351</v>
      </c>
      <c r="R1706" s="9">
        <v>28559</v>
      </c>
      <c r="S1706" s="9">
        <v>28559</v>
      </c>
      <c r="T1706" s="2" t="s">
        <v>627</v>
      </c>
      <c r="U1706" s="2" t="s">
        <v>740</v>
      </c>
      <c r="V1706" s="2" t="s">
        <v>627</v>
      </c>
      <c r="W1706" s="2" t="s">
        <v>5278</v>
      </c>
      <c r="X1706" s="2" t="s">
        <v>10049</v>
      </c>
      <c r="Y1706" s="2" t="s">
        <v>10050</v>
      </c>
      <c r="Z1706" s="6">
        <v>85393798</v>
      </c>
      <c r="AB1706" s="2" t="s">
        <v>642</v>
      </c>
      <c r="AC1706" s="2" t="s">
        <v>632</v>
      </c>
      <c r="AD1706" s="10">
        <v>85393798</v>
      </c>
      <c r="AE1706" s="11"/>
      <c r="AF1706" s="11"/>
      <c r="AG1706" s="11"/>
      <c r="AH1706" s="11"/>
      <c r="AI1706" s="11"/>
      <c r="AJ1706" s="11">
        <v>85393798</v>
      </c>
      <c r="AK1706" s="12">
        <v>1</v>
      </c>
      <c r="AL1706" s="12" t="s">
        <v>7377</v>
      </c>
      <c r="AM1706" s="2">
        <v>0</v>
      </c>
      <c r="AN1706" s="2">
        <v>0</v>
      </c>
      <c r="AO1706" s="2">
        <v>0</v>
      </c>
      <c r="AP1706" s="2">
        <v>1</v>
      </c>
      <c r="AQ1706" s="2">
        <v>0</v>
      </c>
      <c r="AR1706" s="2">
        <v>0</v>
      </c>
      <c r="AS1706" s="2">
        <v>0</v>
      </c>
      <c r="AT1706" s="2">
        <v>0</v>
      </c>
      <c r="AZ1706" s="2" t="s">
        <v>10051</v>
      </c>
      <c r="BB1706" s="2" t="str">
        <f>+PROPER(BD[[#This Row],[PRIMER_APELLIDO]])</f>
        <v>Jiron</v>
      </c>
    </row>
    <row r="1707" spans="1:54" x14ac:dyDescent="0.25">
      <c r="A1707" s="2">
        <v>1706</v>
      </c>
      <c r="B1707" s="2">
        <v>20860</v>
      </c>
      <c r="C1707" s="5" t="s">
        <v>619</v>
      </c>
      <c r="D1707" s="2" t="s">
        <v>620</v>
      </c>
      <c r="E1707" s="6" t="s">
        <v>10052</v>
      </c>
      <c r="F1707" s="6">
        <v>17942852</v>
      </c>
      <c r="G1707" s="3">
        <v>44</v>
      </c>
      <c r="I1707" s="7"/>
      <c r="J1707" s="7"/>
      <c r="K1707" s="8">
        <v>44.484931506849314</v>
      </c>
      <c r="L1707" s="2" t="s">
        <v>3527</v>
      </c>
      <c r="M1707" s="2" t="s">
        <v>904</v>
      </c>
      <c r="N1707" s="2" t="s">
        <v>38</v>
      </c>
      <c r="P1707" s="2" t="s">
        <v>649</v>
      </c>
      <c r="Q1707" s="2" t="s">
        <v>351</v>
      </c>
      <c r="R1707" s="9">
        <v>28559</v>
      </c>
      <c r="S1707" s="9">
        <v>28559</v>
      </c>
      <c r="T1707" s="2" t="s">
        <v>780</v>
      </c>
      <c r="U1707" s="2" t="s">
        <v>780</v>
      </c>
      <c r="V1707" s="2" t="s">
        <v>781</v>
      </c>
      <c r="W1707" s="2" t="s">
        <v>781</v>
      </c>
      <c r="X1707" s="2" t="s">
        <v>10053</v>
      </c>
      <c r="Y1707" s="2" t="s">
        <v>10054</v>
      </c>
      <c r="Z1707" s="6">
        <v>83549974</v>
      </c>
      <c r="AA1707" s="2">
        <v>83549974</v>
      </c>
      <c r="AB1707" s="2" t="s">
        <v>654</v>
      </c>
      <c r="AC1707" s="2" t="s">
        <v>632</v>
      </c>
      <c r="AD1707" s="10">
        <v>83549974</v>
      </c>
      <c r="AE1707" s="11"/>
      <c r="AF1707" s="11">
        <v>83549974</v>
      </c>
      <c r="AG1707" s="11"/>
      <c r="AH1707" s="11"/>
      <c r="AI1707" s="11"/>
      <c r="AJ1707" s="11">
        <v>83549974</v>
      </c>
      <c r="AK1707" s="12">
        <v>2</v>
      </c>
      <c r="AL1707" s="12" t="s">
        <v>7377</v>
      </c>
      <c r="AM1707" s="2">
        <v>0</v>
      </c>
      <c r="AN1707" s="2">
        <v>0</v>
      </c>
      <c r="AO1707" s="2">
        <v>0</v>
      </c>
      <c r="AP1707" s="2">
        <v>1</v>
      </c>
      <c r="AQ1707" s="2">
        <v>0</v>
      </c>
      <c r="AR1707" s="2">
        <v>0</v>
      </c>
      <c r="AS1707" s="2">
        <v>0</v>
      </c>
      <c r="AT1707" s="2">
        <v>0</v>
      </c>
      <c r="AZ1707" s="2" t="s">
        <v>10055</v>
      </c>
      <c r="BB1707" s="2" t="str">
        <f>+PROPER(BD[[#This Row],[PRIMER_APELLIDO]])</f>
        <v>Ramirez</v>
      </c>
    </row>
    <row r="1708" spans="1:54" x14ac:dyDescent="0.25">
      <c r="A1708" s="2">
        <v>1707</v>
      </c>
      <c r="B1708" s="2">
        <v>21527</v>
      </c>
      <c r="C1708" s="5" t="s">
        <v>619</v>
      </c>
      <c r="D1708" s="2" t="s">
        <v>620</v>
      </c>
      <c r="E1708" s="6" t="s">
        <v>10056</v>
      </c>
      <c r="F1708" s="6">
        <v>18790067</v>
      </c>
      <c r="G1708" s="3">
        <v>44</v>
      </c>
      <c r="I1708" s="7"/>
      <c r="J1708" s="7"/>
      <c r="K1708" s="8">
        <v>44.484931506849314</v>
      </c>
      <c r="L1708" s="2" t="s">
        <v>2137</v>
      </c>
      <c r="M1708" s="2" t="s">
        <v>1626</v>
      </c>
      <c r="N1708" s="2" t="s">
        <v>105</v>
      </c>
      <c r="O1708" s="2" t="s">
        <v>467</v>
      </c>
      <c r="P1708" s="2" t="s">
        <v>626</v>
      </c>
      <c r="Q1708" s="2" t="s">
        <v>351</v>
      </c>
      <c r="R1708" s="9">
        <v>28559</v>
      </c>
      <c r="S1708" s="9">
        <v>28559</v>
      </c>
      <c r="T1708" s="2" t="s">
        <v>627</v>
      </c>
      <c r="U1708" s="2" t="s">
        <v>627</v>
      </c>
      <c r="V1708" s="2" t="s">
        <v>627</v>
      </c>
      <c r="W1708" s="2" t="s">
        <v>627</v>
      </c>
      <c r="X1708" s="2" t="s">
        <v>10057</v>
      </c>
      <c r="Y1708" s="2" t="s">
        <v>10058</v>
      </c>
      <c r="Z1708" s="6"/>
      <c r="AA1708" s="2">
        <v>22335125</v>
      </c>
      <c r="AB1708" s="2" t="s">
        <v>642</v>
      </c>
      <c r="AC1708" s="2" t="s">
        <v>632</v>
      </c>
      <c r="AD1708" s="10"/>
      <c r="AE1708" s="11"/>
      <c r="AF1708" s="11"/>
      <c r="AG1708" s="11"/>
      <c r="AH1708" s="11"/>
      <c r="AI1708" s="11"/>
      <c r="AJ1708" s="11"/>
      <c r="AK1708" s="12">
        <v>1</v>
      </c>
      <c r="AL1708" s="12" t="s">
        <v>7377</v>
      </c>
      <c r="AM1708" s="2">
        <v>0</v>
      </c>
      <c r="AN1708" s="2">
        <v>0</v>
      </c>
      <c r="AO1708" s="2">
        <v>0</v>
      </c>
      <c r="AP1708" s="2">
        <v>1</v>
      </c>
      <c r="AQ1708" s="2">
        <v>0</v>
      </c>
      <c r="AR1708" s="2">
        <v>0</v>
      </c>
      <c r="AS1708" s="2">
        <v>0</v>
      </c>
      <c r="AT1708" s="2">
        <v>0</v>
      </c>
      <c r="BB1708" s="2" t="str">
        <f>+PROPER(BD[[#This Row],[PRIMER_APELLIDO]])</f>
        <v>Rojas</v>
      </c>
    </row>
    <row r="1709" spans="1:54" x14ac:dyDescent="0.25">
      <c r="A1709" s="2">
        <v>1708</v>
      </c>
      <c r="B1709" s="2">
        <v>22607</v>
      </c>
      <c r="C1709" s="5" t="s">
        <v>619</v>
      </c>
      <c r="D1709" s="2" t="s">
        <v>620</v>
      </c>
      <c r="E1709" s="6" t="s">
        <v>10059</v>
      </c>
      <c r="F1709" s="6">
        <v>17155148</v>
      </c>
      <c r="G1709" s="3">
        <v>44</v>
      </c>
      <c r="I1709" s="7"/>
      <c r="J1709" s="7"/>
      <c r="K1709" s="8">
        <v>44.484931506849314</v>
      </c>
      <c r="L1709" s="2" t="s">
        <v>657</v>
      </c>
      <c r="M1709" s="2" t="s">
        <v>6397</v>
      </c>
      <c r="N1709" s="2" t="s">
        <v>275</v>
      </c>
      <c r="O1709" s="2" t="s">
        <v>482</v>
      </c>
      <c r="P1709" s="2" t="s">
        <v>626</v>
      </c>
      <c r="Q1709" s="2" t="s">
        <v>351</v>
      </c>
      <c r="R1709" s="9">
        <v>28559</v>
      </c>
      <c r="S1709" s="9">
        <v>28559</v>
      </c>
      <c r="U1709" s="2" t="s">
        <v>705</v>
      </c>
      <c r="W1709" s="2" t="s">
        <v>1014</v>
      </c>
      <c r="Y1709" s="2" t="s">
        <v>10060</v>
      </c>
      <c r="Z1709" s="6"/>
      <c r="AA1709" s="2">
        <v>83862947</v>
      </c>
      <c r="AB1709" s="2" t="s">
        <v>642</v>
      </c>
      <c r="AC1709" s="2" t="s">
        <v>632</v>
      </c>
      <c r="AD1709" s="10"/>
      <c r="AE1709" s="11"/>
      <c r="AF1709" s="11">
        <v>83862947</v>
      </c>
      <c r="AG1709" s="11"/>
      <c r="AH1709" s="11"/>
      <c r="AI1709" s="11"/>
      <c r="AJ1709" s="11">
        <v>83862947</v>
      </c>
      <c r="AK1709" s="12">
        <v>1</v>
      </c>
      <c r="AL1709" s="12" t="s">
        <v>7377</v>
      </c>
      <c r="AM1709" s="2">
        <v>0</v>
      </c>
      <c r="AN1709" s="2">
        <v>0</v>
      </c>
      <c r="AO1709" s="2">
        <v>0</v>
      </c>
      <c r="AP1709" s="2">
        <v>1</v>
      </c>
      <c r="AQ1709" s="2">
        <v>0</v>
      </c>
      <c r="AR1709" s="2">
        <v>0</v>
      </c>
      <c r="AS1709" s="2">
        <v>0</v>
      </c>
      <c r="AT1709" s="2">
        <v>0</v>
      </c>
      <c r="BB1709" s="2" t="str">
        <f>+PROPER(BD[[#This Row],[PRIMER_APELLIDO]])</f>
        <v>Guerrero</v>
      </c>
    </row>
    <row r="1710" spans="1:54" x14ac:dyDescent="0.25">
      <c r="A1710" s="2">
        <v>1709</v>
      </c>
      <c r="B1710" s="2">
        <v>21294</v>
      </c>
      <c r="C1710" s="5" t="s">
        <v>619</v>
      </c>
      <c r="D1710" s="2" t="s">
        <v>620</v>
      </c>
      <c r="E1710" s="6" t="s">
        <v>10061</v>
      </c>
      <c r="F1710" s="6">
        <v>20220206</v>
      </c>
      <c r="G1710" s="3">
        <v>44</v>
      </c>
      <c r="I1710" s="7"/>
      <c r="J1710" s="7"/>
      <c r="K1710" s="8">
        <v>44.490410958904107</v>
      </c>
      <c r="L1710" s="2" t="s">
        <v>10062</v>
      </c>
      <c r="M1710" s="2" t="s">
        <v>961</v>
      </c>
      <c r="N1710" s="2" t="s">
        <v>10</v>
      </c>
      <c r="O1710" s="2" t="s">
        <v>413</v>
      </c>
      <c r="P1710" s="2" t="s">
        <v>626</v>
      </c>
      <c r="Q1710" s="2" t="s">
        <v>351</v>
      </c>
      <c r="R1710" s="9">
        <v>28557</v>
      </c>
      <c r="S1710" s="9">
        <v>28557</v>
      </c>
      <c r="T1710" s="2" t="s">
        <v>627</v>
      </c>
      <c r="U1710" s="2" t="s">
        <v>627</v>
      </c>
      <c r="V1710" s="2" t="s">
        <v>627</v>
      </c>
      <c r="W1710" s="2" t="s">
        <v>627</v>
      </c>
      <c r="X1710" s="2" t="s">
        <v>10063</v>
      </c>
      <c r="Y1710" s="2" t="s">
        <v>10064</v>
      </c>
      <c r="Z1710" s="6">
        <v>81889501</v>
      </c>
      <c r="AA1710" s="2" t="s">
        <v>10065</v>
      </c>
      <c r="AB1710" s="2" t="s">
        <v>642</v>
      </c>
      <c r="AC1710" s="2" t="s">
        <v>632</v>
      </c>
      <c r="AD1710" s="10">
        <v>81889501</v>
      </c>
      <c r="AE1710" s="11"/>
      <c r="AF1710" s="11"/>
      <c r="AG1710" s="11"/>
      <c r="AH1710" s="11"/>
      <c r="AI1710" s="11"/>
      <c r="AJ1710" s="11">
        <v>81889501</v>
      </c>
      <c r="AK1710" s="12">
        <v>3</v>
      </c>
      <c r="AL1710" s="12" t="s">
        <v>7377</v>
      </c>
      <c r="AM1710" s="2">
        <v>0</v>
      </c>
      <c r="AN1710" s="2">
        <v>0</v>
      </c>
      <c r="AO1710" s="2">
        <v>0</v>
      </c>
      <c r="AP1710" s="2">
        <v>1</v>
      </c>
      <c r="AQ1710" s="2">
        <v>0</v>
      </c>
      <c r="AR1710" s="2">
        <v>0</v>
      </c>
      <c r="AS1710" s="2">
        <v>0</v>
      </c>
      <c r="AT1710" s="2">
        <v>0</v>
      </c>
      <c r="AZ1710" s="2" t="s">
        <v>10066</v>
      </c>
      <c r="BA1710" s="2" t="s">
        <v>10067</v>
      </c>
      <c r="BB1710" s="2" t="str">
        <f>+PROPER(BD[[#This Row],[PRIMER_APELLIDO]])</f>
        <v>Garcia</v>
      </c>
    </row>
    <row r="1711" spans="1:54" x14ac:dyDescent="0.25">
      <c r="A1711" s="2">
        <v>1710</v>
      </c>
      <c r="B1711" s="2">
        <v>20011</v>
      </c>
      <c r="C1711" s="5" t="s">
        <v>619</v>
      </c>
      <c r="D1711" s="2" t="s">
        <v>620</v>
      </c>
      <c r="E1711" s="6" t="s">
        <v>10068</v>
      </c>
      <c r="F1711" s="6">
        <v>17245539</v>
      </c>
      <c r="G1711" s="3">
        <v>44</v>
      </c>
      <c r="I1711" s="7"/>
      <c r="J1711" s="7"/>
      <c r="K1711" s="8">
        <v>44.493150684931507</v>
      </c>
      <c r="L1711" s="2" t="s">
        <v>2029</v>
      </c>
      <c r="M1711" s="2" t="s">
        <v>961</v>
      </c>
      <c r="N1711" s="2" t="s">
        <v>114</v>
      </c>
      <c r="O1711" s="2" t="s">
        <v>14</v>
      </c>
      <c r="P1711" s="2" t="s">
        <v>626</v>
      </c>
      <c r="Q1711" s="2" t="s">
        <v>351</v>
      </c>
      <c r="R1711" s="9">
        <v>28556</v>
      </c>
      <c r="S1711" s="9">
        <v>28556</v>
      </c>
      <c r="U1711" s="2" t="s">
        <v>627</v>
      </c>
      <c r="W1711" s="2" t="s">
        <v>627</v>
      </c>
      <c r="X1711" s="2" t="s">
        <v>10069</v>
      </c>
      <c r="Y1711" s="2" t="s">
        <v>10070</v>
      </c>
      <c r="Z1711" s="6"/>
      <c r="AA1711" s="2">
        <v>87866358</v>
      </c>
      <c r="AB1711" s="2" t="s">
        <v>642</v>
      </c>
      <c r="AC1711" s="2" t="s">
        <v>632</v>
      </c>
      <c r="AD1711" s="10"/>
      <c r="AE1711" s="11"/>
      <c r="AF1711" s="11">
        <v>87866358</v>
      </c>
      <c r="AG1711" s="11"/>
      <c r="AH1711" s="11"/>
      <c r="AI1711" s="11"/>
      <c r="AJ1711" s="11">
        <v>87866358</v>
      </c>
      <c r="AK1711" s="12">
        <v>1</v>
      </c>
      <c r="AL1711" s="12" t="s">
        <v>7377</v>
      </c>
      <c r="AM1711" s="2">
        <v>0</v>
      </c>
      <c r="AN1711" s="2">
        <v>0</v>
      </c>
      <c r="AO1711" s="2">
        <v>0</v>
      </c>
      <c r="AP1711" s="2">
        <v>1</v>
      </c>
      <c r="AQ1711" s="2">
        <v>0</v>
      </c>
      <c r="AR1711" s="2">
        <v>0</v>
      </c>
      <c r="AS1711" s="2">
        <v>0</v>
      </c>
      <c r="AT1711" s="2">
        <v>0</v>
      </c>
      <c r="BB1711" s="2" t="str">
        <f>+PROPER(BD[[#This Row],[PRIMER_APELLIDO]])</f>
        <v>Salinas</v>
      </c>
    </row>
    <row r="1712" spans="1:54" x14ac:dyDescent="0.25">
      <c r="A1712" s="2">
        <v>1711</v>
      </c>
      <c r="B1712" s="2">
        <v>25099</v>
      </c>
      <c r="C1712" s="5" t="s">
        <v>619</v>
      </c>
      <c r="D1712" s="2" t="s">
        <v>620</v>
      </c>
      <c r="E1712" s="6" t="s">
        <v>10071</v>
      </c>
      <c r="F1712" s="6">
        <v>21297308</v>
      </c>
      <c r="G1712" s="3">
        <v>44</v>
      </c>
      <c r="I1712" s="7"/>
      <c r="J1712" s="7"/>
      <c r="K1712" s="8">
        <v>44.5013698630137</v>
      </c>
      <c r="L1712" s="2" t="s">
        <v>10072</v>
      </c>
      <c r="N1712" s="2" t="s">
        <v>166</v>
      </c>
      <c r="O1712" s="2" t="s">
        <v>284</v>
      </c>
      <c r="P1712" s="2" t="s">
        <v>626</v>
      </c>
      <c r="Q1712" s="2" t="s">
        <v>351</v>
      </c>
      <c r="R1712" s="9">
        <v>28553</v>
      </c>
      <c r="S1712" s="9">
        <v>28553</v>
      </c>
      <c r="U1712" s="2" t="s">
        <v>669</v>
      </c>
      <c r="W1712" s="2" t="s">
        <v>670</v>
      </c>
      <c r="Y1712" s="2" t="s">
        <v>10073</v>
      </c>
      <c r="Z1712" s="6"/>
      <c r="AA1712" s="2" t="s">
        <v>10074</v>
      </c>
      <c r="AB1712" s="2" t="s">
        <v>642</v>
      </c>
      <c r="AC1712" s="2" t="s">
        <v>632</v>
      </c>
      <c r="AD1712" s="10"/>
      <c r="AE1712" s="11"/>
      <c r="AF1712" s="11"/>
      <c r="AG1712" s="11"/>
      <c r="AH1712" s="11">
        <v>89385954</v>
      </c>
      <c r="AI1712" s="11">
        <v>86917551</v>
      </c>
      <c r="AJ1712" s="11"/>
      <c r="AK1712" s="12">
        <v>4</v>
      </c>
      <c r="AL1712" s="12" t="s">
        <v>7377</v>
      </c>
      <c r="AM1712" s="2">
        <v>0</v>
      </c>
      <c r="AN1712" s="2">
        <v>0</v>
      </c>
      <c r="AO1712" s="2">
        <v>0</v>
      </c>
      <c r="AP1712" s="2">
        <v>1</v>
      </c>
      <c r="AQ1712" s="2">
        <v>0</v>
      </c>
      <c r="AR1712" s="2">
        <v>0</v>
      </c>
      <c r="AS1712" s="2">
        <v>0</v>
      </c>
      <c r="AT1712" s="2">
        <v>0</v>
      </c>
      <c r="BA1712" s="2" t="s">
        <v>10075</v>
      </c>
      <c r="BB1712" s="2" t="str">
        <f>+PROPER(BD[[#This Row],[PRIMER_APELLIDO]])</f>
        <v>Nuñez</v>
      </c>
    </row>
    <row r="1713" spans="1:54" x14ac:dyDescent="0.25">
      <c r="A1713" s="2">
        <v>1712</v>
      </c>
      <c r="B1713" s="2">
        <v>26268</v>
      </c>
      <c r="C1713" s="5" t="s">
        <v>619</v>
      </c>
      <c r="D1713" s="2" t="s">
        <v>620</v>
      </c>
      <c r="E1713" s="6" t="s">
        <v>10076</v>
      </c>
      <c r="F1713" s="6">
        <v>12294248</v>
      </c>
      <c r="G1713" s="3">
        <v>44</v>
      </c>
      <c r="I1713" s="7"/>
      <c r="J1713" s="7"/>
      <c r="K1713" s="8">
        <v>44.509589041095893</v>
      </c>
      <c r="L1713" s="2" t="s">
        <v>10077</v>
      </c>
      <c r="M1713" s="2" t="s">
        <v>1962</v>
      </c>
      <c r="N1713" s="2" t="s">
        <v>507</v>
      </c>
      <c r="O1713" s="2" t="s">
        <v>373</v>
      </c>
      <c r="P1713" s="2" t="s">
        <v>626</v>
      </c>
      <c r="Q1713" s="2" t="s">
        <v>351</v>
      </c>
      <c r="R1713" s="9">
        <v>28550</v>
      </c>
      <c r="S1713" s="9">
        <v>28550</v>
      </c>
      <c r="T1713" s="2" t="s">
        <v>627</v>
      </c>
      <c r="U1713" s="2" t="s">
        <v>627</v>
      </c>
      <c r="V1713" s="2" t="s">
        <v>627</v>
      </c>
      <c r="W1713" s="2" t="s">
        <v>627</v>
      </c>
      <c r="X1713" s="2" t="s">
        <v>10078</v>
      </c>
      <c r="Y1713" s="2" t="s">
        <v>10079</v>
      </c>
      <c r="Z1713" s="6">
        <v>83879359</v>
      </c>
      <c r="AA1713" s="2" t="s">
        <v>10080</v>
      </c>
      <c r="AB1713" s="2" t="s">
        <v>642</v>
      </c>
      <c r="AC1713" s="2" t="s">
        <v>632</v>
      </c>
      <c r="AD1713" s="10">
        <v>83879359</v>
      </c>
      <c r="AE1713" s="11"/>
      <c r="AF1713" s="11"/>
      <c r="AG1713" s="11">
        <v>83879359</v>
      </c>
      <c r="AH1713" s="11"/>
      <c r="AI1713" s="11"/>
      <c r="AJ1713" s="11">
        <v>83879359</v>
      </c>
      <c r="AK1713" s="12">
        <v>3</v>
      </c>
      <c r="AL1713" s="12" t="s">
        <v>7377</v>
      </c>
      <c r="AM1713" s="2">
        <v>0</v>
      </c>
      <c r="AN1713" s="2">
        <v>0</v>
      </c>
      <c r="AO1713" s="2">
        <v>0</v>
      </c>
      <c r="AP1713" s="2">
        <v>1</v>
      </c>
      <c r="AQ1713" s="2">
        <v>0</v>
      </c>
      <c r="AR1713" s="2">
        <v>0</v>
      </c>
      <c r="AS1713" s="2">
        <v>0</v>
      </c>
      <c r="AT1713" s="2">
        <v>0</v>
      </c>
      <c r="AZ1713" s="2" t="s">
        <v>10081</v>
      </c>
      <c r="BB1713" s="2" t="str">
        <f>+PROPER(BD[[#This Row],[PRIMER_APELLIDO]])</f>
        <v>Osorio</v>
      </c>
    </row>
    <row r="1714" spans="1:54" x14ac:dyDescent="0.25">
      <c r="A1714" s="2">
        <v>1713</v>
      </c>
      <c r="B1714" s="2">
        <v>17390</v>
      </c>
      <c r="C1714" s="5" t="s">
        <v>619</v>
      </c>
      <c r="D1714" s="2" t="s">
        <v>620</v>
      </c>
      <c r="E1714" s="6" t="s">
        <v>10082</v>
      </c>
      <c r="F1714" s="6"/>
      <c r="G1714" s="3">
        <v>44</v>
      </c>
      <c r="I1714" s="7"/>
      <c r="J1714" s="7"/>
      <c r="K1714" s="8">
        <v>44.517808219178079</v>
      </c>
      <c r="L1714" s="2" t="s">
        <v>1419</v>
      </c>
      <c r="M1714" s="2" t="s">
        <v>787</v>
      </c>
      <c r="N1714" s="2" t="s">
        <v>563</v>
      </c>
      <c r="O1714" s="2" t="s">
        <v>14</v>
      </c>
      <c r="P1714" s="2" t="s">
        <v>626</v>
      </c>
      <c r="Q1714" s="2" t="s">
        <v>351</v>
      </c>
      <c r="R1714" s="9">
        <v>28547</v>
      </c>
      <c r="S1714" s="9">
        <v>28547</v>
      </c>
      <c r="T1714" s="2" t="s">
        <v>133</v>
      </c>
      <c r="U1714" s="2" t="s">
        <v>133</v>
      </c>
      <c r="V1714" s="2" t="s">
        <v>869</v>
      </c>
      <c r="W1714" s="2" t="s">
        <v>869</v>
      </c>
      <c r="X1714" s="2" t="s">
        <v>10083</v>
      </c>
      <c r="Y1714" s="2" t="s">
        <v>10084</v>
      </c>
      <c r="Z1714" s="6">
        <v>86236903</v>
      </c>
      <c r="AA1714" s="2" t="s">
        <v>10085</v>
      </c>
      <c r="AB1714" s="2" t="s">
        <v>654</v>
      </c>
      <c r="AC1714" s="2" t="s">
        <v>632</v>
      </c>
      <c r="AD1714" s="10">
        <v>86236903</v>
      </c>
      <c r="AE1714" s="11"/>
      <c r="AF1714" s="11"/>
      <c r="AG1714" s="11">
        <v>86937705</v>
      </c>
      <c r="AH1714" s="11"/>
      <c r="AI1714" s="11"/>
      <c r="AJ1714" s="11">
        <v>86236903</v>
      </c>
      <c r="AK1714" s="12">
        <v>3</v>
      </c>
      <c r="AL1714" s="12" t="s">
        <v>7377</v>
      </c>
      <c r="AM1714" s="2">
        <v>0</v>
      </c>
      <c r="AN1714" s="2">
        <v>0</v>
      </c>
      <c r="AO1714" s="2">
        <v>0</v>
      </c>
      <c r="AP1714" s="2">
        <v>1</v>
      </c>
      <c r="AQ1714" s="2">
        <v>0</v>
      </c>
      <c r="AR1714" s="2">
        <v>0</v>
      </c>
      <c r="AS1714" s="2">
        <v>0</v>
      </c>
      <c r="AT1714" s="2">
        <v>0</v>
      </c>
      <c r="AZ1714" s="2" t="s">
        <v>10086</v>
      </c>
      <c r="BB1714" s="2" t="str">
        <f>+PROPER(BD[[#This Row],[PRIMER_APELLIDO]])</f>
        <v>Urrutia</v>
      </c>
    </row>
    <row r="1715" spans="1:54" x14ac:dyDescent="0.25">
      <c r="A1715" s="2">
        <v>1714</v>
      </c>
      <c r="B1715" s="2">
        <v>12944</v>
      </c>
      <c r="C1715" s="5" t="s">
        <v>619</v>
      </c>
      <c r="D1715" s="2" t="s">
        <v>620</v>
      </c>
      <c r="E1715" s="6" t="s">
        <v>10087</v>
      </c>
      <c r="F1715" s="6"/>
      <c r="G1715" s="3">
        <v>44</v>
      </c>
      <c r="I1715" s="7"/>
      <c r="J1715" s="7"/>
      <c r="K1715" s="8">
        <v>44.528767123287672</v>
      </c>
      <c r="L1715" s="2" t="s">
        <v>8709</v>
      </c>
      <c r="M1715" s="2" t="s">
        <v>3700</v>
      </c>
      <c r="N1715" s="2" t="s">
        <v>185</v>
      </c>
      <c r="O1715" s="2" t="s">
        <v>11</v>
      </c>
      <c r="P1715" s="2" t="s">
        <v>626</v>
      </c>
      <c r="Q1715" s="2" t="s">
        <v>351</v>
      </c>
      <c r="R1715" s="9">
        <v>28543</v>
      </c>
      <c r="S1715" s="9">
        <v>26717</v>
      </c>
      <c r="T1715" s="2" t="s">
        <v>627</v>
      </c>
      <c r="U1715" s="2" t="s">
        <v>627</v>
      </c>
      <c r="V1715" s="2" t="s">
        <v>627</v>
      </c>
      <c r="W1715" s="2" t="s">
        <v>627</v>
      </c>
      <c r="X1715" s="2" t="s">
        <v>10088</v>
      </c>
      <c r="Y1715" s="2" t="s">
        <v>10089</v>
      </c>
      <c r="Z1715" s="6"/>
      <c r="AA1715" s="2">
        <v>81111898</v>
      </c>
      <c r="AB1715" s="2" t="s">
        <v>654</v>
      </c>
      <c r="AC1715" s="2" t="s">
        <v>632</v>
      </c>
      <c r="AD1715" s="10"/>
      <c r="AE1715" s="11"/>
      <c r="AF1715" s="11">
        <v>81111898</v>
      </c>
      <c r="AG1715" s="11"/>
      <c r="AH1715" s="11"/>
      <c r="AI1715" s="11"/>
      <c r="AJ1715" s="11">
        <v>81111898</v>
      </c>
      <c r="AK1715" s="12">
        <v>1</v>
      </c>
      <c r="AL1715" s="12" t="s">
        <v>7377</v>
      </c>
      <c r="AM1715" s="2">
        <v>0</v>
      </c>
      <c r="AN1715" s="2">
        <v>0</v>
      </c>
      <c r="AO1715" s="2">
        <v>0</v>
      </c>
      <c r="AP1715" s="2">
        <v>1</v>
      </c>
      <c r="AQ1715" s="2">
        <v>0</v>
      </c>
      <c r="AR1715" s="2">
        <v>0</v>
      </c>
      <c r="AS1715" s="2">
        <v>0</v>
      </c>
      <c r="AT1715" s="2">
        <v>0</v>
      </c>
      <c r="BA1715" s="2" t="s">
        <v>10090</v>
      </c>
      <c r="BB1715" s="2" t="str">
        <f>+PROPER(BD[[#This Row],[PRIMER_APELLIDO]])</f>
        <v>Rodriguez</v>
      </c>
    </row>
    <row r="1716" spans="1:54" x14ac:dyDescent="0.25">
      <c r="A1716" s="2">
        <v>1715</v>
      </c>
      <c r="B1716" s="2">
        <v>17557</v>
      </c>
      <c r="C1716" s="5" t="s">
        <v>619</v>
      </c>
      <c r="D1716" s="2" t="s">
        <v>620</v>
      </c>
      <c r="E1716" s="6">
        <v>17557</v>
      </c>
      <c r="F1716" s="6"/>
      <c r="G1716" s="3">
        <v>44</v>
      </c>
      <c r="I1716" s="7"/>
      <c r="J1716" s="7"/>
      <c r="K1716" s="8">
        <v>44.545205479452058</v>
      </c>
      <c r="L1716" s="2" t="s">
        <v>860</v>
      </c>
      <c r="M1716" s="2" t="s">
        <v>3736</v>
      </c>
      <c r="N1716" s="2" t="s">
        <v>113</v>
      </c>
      <c r="O1716" s="2" t="s">
        <v>246</v>
      </c>
      <c r="P1716" s="2" t="s">
        <v>626</v>
      </c>
      <c r="Q1716" s="2" t="s">
        <v>351</v>
      </c>
      <c r="R1716" s="9">
        <v>28537</v>
      </c>
      <c r="T1716" s="2" t="s">
        <v>627</v>
      </c>
      <c r="V1716" s="2" t="s">
        <v>627</v>
      </c>
      <c r="X1716" s="2" t="s">
        <v>10091</v>
      </c>
      <c r="Z1716" s="6">
        <v>88232973</v>
      </c>
      <c r="AB1716" s="2" t="s">
        <v>654</v>
      </c>
      <c r="AC1716" s="2" t="s">
        <v>632</v>
      </c>
      <c r="AD1716" s="10">
        <v>88232973</v>
      </c>
      <c r="AE1716" s="11"/>
      <c r="AF1716" s="11"/>
      <c r="AG1716" s="11"/>
      <c r="AH1716" s="11"/>
      <c r="AI1716" s="11"/>
      <c r="AJ1716" s="11">
        <v>88232973</v>
      </c>
      <c r="AK1716" s="12">
        <v>1</v>
      </c>
      <c r="AL1716" s="12" t="s">
        <v>7377</v>
      </c>
      <c r="AM1716" s="2">
        <v>0</v>
      </c>
      <c r="AN1716" s="2">
        <v>0</v>
      </c>
      <c r="AO1716" s="2">
        <v>0</v>
      </c>
      <c r="AP1716" s="2">
        <v>1</v>
      </c>
      <c r="AQ1716" s="2">
        <v>0</v>
      </c>
      <c r="AR1716" s="2">
        <v>0</v>
      </c>
      <c r="AS1716" s="2">
        <v>0</v>
      </c>
      <c r="AT1716" s="2">
        <v>0</v>
      </c>
      <c r="AZ1716" s="2" t="s">
        <v>10092</v>
      </c>
      <c r="BB1716" s="2" t="str">
        <f>+PROPER(BD[[#This Row],[PRIMER_APELLIDO]])</f>
        <v>Silva</v>
      </c>
    </row>
    <row r="1717" spans="1:54" x14ac:dyDescent="0.25">
      <c r="A1717" s="2">
        <v>1716</v>
      </c>
      <c r="B1717" s="2">
        <v>28167</v>
      </c>
      <c r="C1717" s="5" t="s">
        <v>619</v>
      </c>
      <c r="D1717" s="2" t="s">
        <v>620</v>
      </c>
      <c r="E1717" s="6" t="s">
        <v>10093</v>
      </c>
      <c r="F1717" s="6">
        <v>21554746</v>
      </c>
      <c r="G1717" s="3">
        <v>44</v>
      </c>
      <c r="I1717" s="7"/>
      <c r="J1717" s="7"/>
      <c r="K1717" s="8">
        <v>44.583561643835615</v>
      </c>
      <c r="L1717" s="2" t="s">
        <v>1333</v>
      </c>
      <c r="M1717" s="2" t="s">
        <v>2446</v>
      </c>
      <c r="N1717" s="2" t="s">
        <v>164</v>
      </c>
      <c r="O1717" s="2" t="s">
        <v>201</v>
      </c>
      <c r="P1717" s="2" t="s">
        <v>626</v>
      </c>
      <c r="Q1717" s="2" t="s">
        <v>351</v>
      </c>
      <c r="R1717" s="9">
        <v>28523</v>
      </c>
      <c r="S1717" s="9">
        <v>28523</v>
      </c>
      <c r="U1717" s="2" t="s">
        <v>176</v>
      </c>
      <c r="W1717" s="2" t="s">
        <v>176</v>
      </c>
      <c r="X1717" s="2" t="s">
        <v>10094</v>
      </c>
      <c r="Y1717" s="2" t="s">
        <v>10095</v>
      </c>
      <c r="Z1717" s="6"/>
      <c r="AA1717" s="2">
        <v>84892903</v>
      </c>
      <c r="AB1717" s="2" t="s">
        <v>654</v>
      </c>
      <c r="AC1717" s="2" t="s">
        <v>632</v>
      </c>
      <c r="AD1717" s="10"/>
      <c r="AE1717" s="11"/>
      <c r="AF1717" s="11">
        <v>84892903</v>
      </c>
      <c r="AG1717" s="11"/>
      <c r="AH1717" s="11"/>
      <c r="AI1717" s="11"/>
      <c r="AJ1717" s="11">
        <v>84892903</v>
      </c>
      <c r="AK1717" s="12">
        <v>1</v>
      </c>
      <c r="AL1717" s="12" t="s">
        <v>7377</v>
      </c>
      <c r="AM1717" s="2">
        <v>0</v>
      </c>
      <c r="AN1717" s="2">
        <v>0</v>
      </c>
      <c r="AO1717" s="2">
        <v>0</v>
      </c>
      <c r="AP1717" s="2">
        <v>1</v>
      </c>
      <c r="AQ1717" s="2">
        <v>0</v>
      </c>
      <c r="AR1717" s="2">
        <v>0</v>
      </c>
      <c r="AS1717" s="2">
        <v>0</v>
      </c>
      <c r="AT1717" s="2">
        <v>0</v>
      </c>
      <c r="BB1717" s="2" t="str">
        <f>+PROPER(BD[[#This Row],[PRIMER_APELLIDO]])</f>
        <v>Rios</v>
      </c>
    </row>
    <row r="1718" spans="1:54" x14ac:dyDescent="0.25">
      <c r="A1718" s="2">
        <v>1717</v>
      </c>
      <c r="B1718" s="2">
        <v>15220</v>
      </c>
      <c r="C1718" s="5" t="s">
        <v>619</v>
      </c>
      <c r="D1718" s="2" t="s">
        <v>620</v>
      </c>
      <c r="E1718" s="6" t="s">
        <v>10096</v>
      </c>
      <c r="F1718" s="6">
        <v>16146992</v>
      </c>
      <c r="G1718" s="3">
        <v>44</v>
      </c>
      <c r="I1718" s="7"/>
      <c r="J1718" s="7"/>
      <c r="K1718" s="8">
        <v>44.62191780821918</v>
      </c>
      <c r="L1718" s="2" t="s">
        <v>10097</v>
      </c>
      <c r="M1718" s="2" t="s">
        <v>747</v>
      </c>
      <c r="N1718" s="2" t="s">
        <v>86</v>
      </c>
      <c r="O1718" s="2" t="s">
        <v>85</v>
      </c>
      <c r="P1718" s="2" t="s">
        <v>626</v>
      </c>
      <c r="Q1718" s="2" t="s">
        <v>351</v>
      </c>
      <c r="R1718" s="9">
        <v>28509</v>
      </c>
      <c r="S1718" s="9">
        <v>28509</v>
      </c>
      <c r="T1718" s="2" t="s">
        <v>1104</v>
      </c>
      <c r="U1718" s="2" t="s">
        <v>1104</v>
      </c>
      <c r="V1718" s="2" t="s">
        <v>2858</v>
      </c>
      <c r="W1718" s="2" t="s">
        <v>2859</v>
      </c>
      <c r="X1718" s="2" t="s">
        <v>10098</v>
      </c>
      <c r="Y1718" s="2" t="s">
        <v>10099</v>
      </c>
      <c r="Z1718" s="6"/>
      <c r="AA1718" s="2">
        <v>57966173</v>
      </c>
      <c r="AB1718" s="2" t="s">
        <v>654</v>
      </c>
      <c r="AC1718" s="2" t="s">
        <v>632</v>
      </c>
      <c r="AD1718" s="10"/>
      <c r="AE1718" s="11"/>
      <c r="AF1718" s="11">
        <v>57966173</v>
      </c>
      <c r="AG1718" s="11"/>
      <c r="AH1718" s="11"/>
      <c r="AI1718" s="11"/>
      <c r="AJ1718" s="11">
        <v>57966173</v>
      </c>
      <c r="AK1718" s="12">
        <v>1</v>
      </c>
      <c r="AL1718" s="12" t="s">
        <v>7377</v>
      </c>
      <c r="AM1718" s="2">
        <v>0</v>
      </c>
      <c r="AN1718" s="2">
        <v>0</v>
      </c>
      <c r="AO1718" s="2">
        <v>0</v>
      </c>
      <c r="AP1718" s="2">
        <v>1</v>
      </c>
      <c r="AQ1718" s="2">
        <v>0</v>
      </c>
      <c r="AR1718" s="2">
        <v>0</v>
      </c>
      <c r="AS1718" s="2">
        <v>0</v>
      </c>
      <c r="AT1718" s="2">
        <v>0</v>
      </c>
      <c r="BA1718" s="2" t="s">
        <v>10100</v>
      </c>
      <c r="BB1718" s="2" t="str">
        <f>+PROPER(BD[[#This Row],[PRIMER_APELLIDO]])</f>
        <v>Urbina</v>
      </c>
    </row>
    <row r="1719" spans="1:54" x14ac:dyDescent="0.25">
      <c r="A1719" s="2">
        <v>1718</v>
      </c>
      <c r="B1719" s="2">
        <v>17020</v>
      </c>
      <c r="C1719" s="5" t="s">
        <v>619</v>
      </c>
      <c r="D1719" s="2" t="s">
        <v>620</v>
      </c>
      <c r="E1719" s="6" t="s">
        <v>10101</v>
      </c>
      <c r="F1719" s="6"/>
      <c r="G1719" s="3">
        <v>44</v>
      </c>
      <c r="I1719" s="7"/>
      <c r="J1719" s="7"/>
      <c r="K1719" s="8">
        <v>44.62191780821918</v>
      </c>
      <c r="L1719" s="2" t="s">
        <v>860</v>
      </c>
      <c r="M1719" s="2" t="s">
        <v>1257</v>
      </c>
      <c r="N1719" s="2" t="s">
        <v>24</v>
      </c>
      <c r="O1719" s="2" t="s">
        <v>318</v>
      </c>
      <c r="P1719" s="2" t="s">
        <v>626</v>
      </c>
      <c r="Q1719" s="2" t="s">
        <v>351</v>
      </c>
      <c r="R1719" s="9">
        <v>28509</v>
      </c>
      <c r="S1719" s="9">
        <v>28509</v>
      </c>
      <c r="U1719" s="2" t="s">
        <v>627</v>
      </c>
      <c r="W1719" s="2" t="s">
        <v>627</v>
      </c>
      <c r="Y1719" s="2" t="s">
        <v>10102</v>
      </c>
      <c r="Z1719" s="6"/>
      <c r="AA1719" s="2">
        <v>88042124</v>
      </c>
      <c r="AB1719" s="2" t="s">
        <v>654</v>
      </c>
      <c r="AC1719" s="2" t="s">
        <v>632</v>
      </c>
      <c r="AD1719" s="10"/>
      <c r="AE1719" s="11"/>
      <c r="AF1719" s="11">
        <v>88042124</v>
      </c>
      <c r="AG1719" s="11"/>
      <c r="AH1719" s="11"/>
      <c r="AI1719" s="11"/>
      <c r="AJ1719" s="11">
        <v>88042124</v>
      </c>
      <c r="AK1719" s="12">
        <v>1</v>
      </c>
      <c r="AL1719" s="12" t="s">
        <v>7377</v>
      </c>
      <c r="AM1719" s="2">
        <v>0</v>
      </c>
      <c r="AN1719" s="2">
        <v>0</v>
      </c>
      <c r="AO1719" s="2">
        <v>0</v>
      </c>
      <c r="AP1719" s="2">
        <v>1</v>
      </c>
      <c r="AQ1719" s="2">
        <v>0</v>
      </c>
      <c r="AR1719" s="2">
        <v>0</v>
      </c>
      <c r="AS1719" s="2">
        <v>0</v>
      </c>
      <c r="AT1719" s="2">
        <v>0</v>
      </c>
      <c r="BB1719" s="2" t="str">
        <f>+PROPER(BD[[#This Row],[PRIMER_APELLIDO]])</f>
        <v>Perez</v>
      </c>
    </row>
    <row r="1720" spans="1:54" x14ac:dyDescent="0.25">
      <c r="A1720" s="2">
        <v>1719</v>
      </c>
      <c r="B1720" s="2">
        <v>17278</v>
      </c>
      <c r="C1720" s="5" t="s">
        <v>619</v>
      </c>
      <c r="D1720" s="2" t="s">
        <v>620</v>
      </c>
      <c r="E1720" s="6" t="s">
        <v>10103</v>
      </c>
      <c r="F1720" s="6"/>
      <c r="G1720" s="3">
        <v>44</v>
      </c>
      <c r="I1720" s="7"/>
      <c r="J1720" s="7"/>
      <c r="K1720" s="8">
        <v>44.624657534246573</v>
      </c>
      <c r="L1720" s="2" t="s">
        <v>5091</v>
      </c>
      <c r="M1720" s="2" t="s">
        <v>243</v>
      </c>
      <c r="N1720" s="2" t="s">
        <v>93</v>
      </c>
      <c r="O1720" s="2" t="s">
        <v>108</v>
      </c>
      <c r="P1720" s="2" t="s">
        <v>649</v>
      </c>
      <c r="Q1720" s="2" t="s">
        <v>351</v>
      </c>
      <c r="R1720" s="9">
        <v>28508</v>
      </c>
      <c r="S1720" s="9">
        <v>28508</v>
      </c>
      <c r="T1720" s="2" t="s">
        <v>627</v>
      </c>
      <c r="U1720" s="2" t="s">
        <v>627</v>
      </c>
      <c r="V1720" s="2" t="s">
        <v>627</v>
      </c>
      <c r="W1720" s="2" t="s">
        <v>2915</v>
      </c>
      <c r="X1720" s="2" t="s">
        <v>10104</v>
      </c>
      <c r="Y1720" s="2" t="s">
        <v>10105</v>
      </c>
      <c r="Z1720" s="6">
        <v>86605117</v>
      </c>
      <c r="AA1720" s="2" t="s">
        <v>10106</v>
      </c>
      <c r="AB1720" s="2" t="s">
        <v>654</v>
      </c>
      <c r="AC1720" s="2" t="s">
        <v>632</v>
      </c>
      <c r="AD1720" s="10">
        <v>86605117</v>
      </c>
      <c r="AE1720" s="11"/>
      <c r="AF1720" s="11"/>
      <c r="AG1720" s="11">
        <v>86605117</v>
      </c>
      <c r="AH1720" s="11"/>
      <c r="AI1720" s="11"/>
      <c r="AJ1720" s="11">
        <v>86605117</v>
      </c>
      <c r="AK1720" s="12">
        <v>3</v>
      </c>
      <c r="AL1720" s="12" t="s">
        <v>7377</v>
      </c>
      <c r="AM1720" s="2">
        <v>0</v>
      </c>
      <c r="AN1720" s="2">
        <v>0</v>
      </c>
      <c r="AO1720" s="2">
        <v>0</v>
      </c>
      <c r="AP1720" s="2">
        <v>1</v>
      </c>
      <c r="AQ1720" s="2">
        <v>0</v>
      </c>
      <c r="AR1720" s="2">
        <v>0</v>
      </c>
      <c r="AS1720" s="2">
        <v>0</v>
      </c>
      <c r="AT1720" s="2">
        <v>0</v>
      </c>
      <c r="AZ1720" s="2" t="s">
        <v>10107</v>
      </c>
      <c r="BB1720" s="2" t="str">
        <f>+PROPER(BD[[#This Row],[PRIMER_APELLIDO]])</f>
        <v>Valdivia</v>
      </c>
    </row>
    <row r="1721" spans="1:54" x14ac:dyDescent="0.25">
      <c r="A1721" s="2">
        <v>1720</v>
      </c>
      <c r="B1721" s="2">
        <v>24066</v>
      </c>
      <c r="C1721" s="5" t="s">
        <v>619</v>
      </c>
      <c r="D1721" s="2" t="s">
        <v>620</v>
      </c>
      <c r="E1721" s="6" t="s">
        <v>10108</v>
      </c>
      <c r="F1721" s="6">
        <v>20742704</v>
      </c>
      <c r="G1721" s="3">
        <v>44</v>
      </c>
      <c r="I1721" s="7"/>
      <c r="J1721" s="7"/>
      <c r="K1721" s="8">
        <v>44.646575342465752</v>
      </c>
      <c r="L1721" s="2" t="s">
        <v>8070</v>
      </c>
      <c r="M1721" s="2" t="s">
        <v>1070</v>
      </c>
      <c r="N1721" s="2" t="s">
        <v>348</v>
      </c>
      <c r="O1721" s="2" t="s">
        <v>280</v>
      </c>
      <c r="P1721" s="2" t="s">
        <v>626</v>
      </c>
      <c r="Q1721" s="2" t="s">
        <v>351</v>
      </c>
      <c r="R1721" s="9">
        <v>28500</v>
      </c>
      <c r="S1721" s="9">
        <v>28500</v>
      </c>
      <c r="T1721" s="2" t="s">
        <v>627</v>
      </c>
      <c r="U1721" s="2" t="s">
        <v>627</v>
      </c>
      <c r="V1721" s="2" t="s">
        <v>627</v>
      </c>
      <c r="W1721" s="2" t="s">
        <v>627</v>
      </c>
      <c r="X1721" s="2" t="s">
        <v>10109</v>
      </c>
      <c r="Y1721" s="2" t="s">
        <v>10110</v>
      </c>
      <c r="Z1721" s="6"/>
      <c r="AA1721" s="2" t="s">
        <v>10111</v>
      </c>
      <c r="AB1721" s="2" t="s">
        <v>642</v>
      </c>
      <c r="AC1721" s="2" t="s">
        <v>632</v>
      </c>
      <c r="AD1721" s="10"/>
      <c r="AE1721" s="11"/>
      <c r="AF1721" s="11"/>
      <c r="AG1721" s="11"/>
      <c r="AH1721" s="11">
        <v>22668425</v>
      </c>
      <c r="AI1721" s="11">
        <v>84654042</v>
      </c>
      <c r="AJ1721" s="11"/>
      <c r="AK1721" s="12">
        <v>4</v>
      </c>
      <c r="AL1721" s="12" t="s">
        <v>7377</v>
      </c>
      <c r="AM1721" s="2">
        <v>0</v>
      </c>
      <c r="AN1721" s="2">
        <v>0</v>
      </c>
      <c r="AO1721" s="2">
        <v>0</v>
      </c>
      <c r="AP1721" s="2">
        <v>1</v>
      </c>
      <c r="AQ1721" s="2">
        <v>0</v>
      </c>
      <c r="AR1721" s="2">
        <v>0</v>
      </c>
      <c r="AS1721" s="2">
        <v>0</v>
      </c>
      <c r="AT1721" s="2">
        <v>0</v>
      </c>
      <c r="BB1721" s="2" t="str">
        <f>+PROPER(BD[[#This Row],[PRIMER_APELLIDO]])</f>
        <v>Sequeira</v>
      </c>
    </row>
    <row r="1722" spans="1:54" x14ac:dyDescent="0.25">
      <c r="A1722" s="2">
        <v>1721</v>
      </c>
      <c r="B1722" s="2">
        <v>22146</v>
      </c>
      <c r="C1722" s="5" t="s">
        <v>619</v>
      </c>
      <c r="D1722" s="2" t="s">
        <v>620</v>
      </c>
      <c r="E1722" s="6" t="s">
        <v>10112</v>
      </c>
      <c r="F1722" s="6"/>
      <c r="G1722" s="3">
        <v>44</v>
      </c>
      <c r="I1722" s="7"/>
      <c r="J1722" s="7"/>
      <c r="K1722" s="8">
        <v>44.649315068493152</v>
      </c>
      <c r="L1722" s="2" t="s">
        <v>6658</v>
      </c>
      <c r="M1722" s="2" t="s">
        <v>243</v>
      </c>
      <c r="N1722" s="2" t="s">
        <v>203</v>
      </c>
      <c r="O1722" s="2" t="s">
        <v>19</v>
      </c>
      <c r="P1722" s="2" t="s">
        <v>649</v>
      </c>
      <c r="Q1722" s="2" t="s">
        <v>351</v>
      </c>
      <c r="R1722" s="9">
        <v>28499</v>
      </c>
      <c r="S1722" s="9">
        <v>28499</v>
      </c>
      <c r="T1722" s="2" t="s">
        <v>176</v>
      </c>
      <c r="U1722" s="2" t="s">
        <v>1044</v>
      </c>
      <c r="V1722" s="2" t="s">
        <v>650</v>
      </c>
      <c r="W1722" s="2" t="s">
        <v>10113</v>
      </c>
      <c r="X1722" s="2" t="s">
        <v>10114</v>
      </c>
      <c r="Y1722" s="2" t="s">
        <v>10115</v>
      </c>
      <c r="Z1722" s="6">
        <v>87386562</v>
      </c>
      <c r="AA1722" s="2">
        <v>83610808</v>
      </c>
      <c r="AB1722" s="2" t="s">
        <v>654</v>
      </c>
      <c r="AC1722" s="2" t="s">
        <v>632</v>
      </c>
      <c r="AD1722" s="10">
        <v>87386562</v>
      </c>
      <c r="AE1722" s="11"/>
      <c r="AF1722" s="11">
        <v>83610808</v>
      </c>
      <c r="AG1722" s="11"/>
      <c r="AH1722" s="11"/>
      <c r="AI1722" s="11"/>
      <c r="AJ1722" s="11">
        <v>87386562</v>
      </c>
      <c r="AK1722" s="12">
        <v>2</v>
      </c>
      <c r="AL1722" s="12" t="s">
        <v>7377</v>
      </c>
      <c r="AM1722" s="2">
        <v>0</v>
      </c>
      <c r="AN1722" s="2">
        <v>0</v>
      </c>
      <c r="AO1722" s="2">
        <v>0</v>
      </c>
      <c r="AP1722" s="2">
        <v>1</v>
      </c>
      <c r="AQ1722" s="2">
        <v>0</v>
      </c>
      <c r="AR1722" s="2">
        <v>0</v>
      </c>
      <c r="AS1722" s="2">
        <v>0</v>
      </c>
      <c r="AT1722" s="2">
        <v>0</v>
      </c>
      <c r="AZ1722" s="2" t="s">
        <v>10116</v>
      </c>
      <c r="BB1722" s="2" t="str">
        <f>+PROPER(BD[[#This Row],[PRIMER_APELLIDO]])</f>
        <v>Mendez</v>
      </c>
    </row>
    <row r="1723" spans="1:54" x14ac:dyDescent="0.25">
      <c r="A1723" s="2">
        <v>1722</v>
      </c>
      <c r="B1723" s="2">
        <v>18212</v>
      </c>
      <c r="C1723" s="5" t="s">
        <v>619</v>
      </c>
      <c r="D1723" s="2" t="s">
        <v>620</v>
      </c>
      <c r="E1723" s="6" t="s">
        <v>10117</v>
      </c>
      <c r="F1723" s="6">
        <v>20491161</v>
      </c>
      <c r="G1723" s="3">
        <v>44</v>
      </c>
      <c r="I1723" s="7"/>
      <c r="J1723" s="7"/>
      <c r="K1723" s="8">
        <v>44.652054794520545</v>
      </c>
      <c r="L1723" s="2" t="s">
        <v>1091</v>
      </c>
      <c r="M1723" s="2" t="s">
        <v>10118</v>
      </c>
      <c r="N1723" s="2" t="s">
        <v>100</v>
      </c>
      <c r="O1723" s="2" t="s">
        <v>198</v>
      </c>
      <c r="P1723" s="2" t="s">
        <v>626</v>
      </c>
      <c r="Q1723" s="2" t="s">
        <v>351</v>
      </c>
      <c r="R1723" s="9">
        <v>28498</v>
      </c>
      <c r="S1723" s="9">
        <v>28498</v>
      </c>
      <c r="T1723" s="2" t="s">
        <v>627</v>
      </c>
      <c r="U1723" s="2" t="s">
        <v>627</v>
      </c>
      <c r="V1723" s="2" t="s">
        <v>627</v>
      </c>
      <c r="W1723" s="2" t="s">
        <v>627</v>
      </c>
      <c r="X1723" s="2" t="s">
        <v>10119</v>
      </c>
      <c r="Y1723" s="2" t="s">
        <v>10120</v>
      </c>
      <c r="Z1723" s="6"/>
      <c r="AA1723" s="2">
        <v>88279122</v>
      </c>
      <c r="AB1723" s="2" t="s">
        <v>642</v>
      </c>
      <c r="AC1723" s="2" t="s">
        <v>632</v>
      </c>
      <c r="AD1723" s="10"/>
      <c r="AE1723" s="11"/>
      <c r="AF1723" s="11">
        <v>88279122</v>
      </c>
      <c r="AG1723" s="11"/>
      <c r="AH1723" s="11"/>
      <c r="AI1723" s="11"/>
      <c r="AJ1723" s="11">
        <v>88279122</v>
      </c>
      <c r="AK1723" s="12">
        <v>1</v>
      </c>
      <c r="AL1723" s="12" t="s">
        <v>7377</v>
      </c>
      <c r="AM1723" s="2">
        <v>0</v>
      </c>
      <c r="AN1723" s="2">
        <v>0</v>
      </c>
      <c r="AO1723" s="2">
        <v>0</v>
      </c>
      <c r="AP1723" s="2">
        <v>1</v>
      </c>
      <c r="AQ1723" s="2">
        <v>0</v>
      </c>
      <c r="AR1723" s="2">
        <v>0</v>
      </c>
      <c r="AS1723" s="2">
        <v>0</v>
      </c>
      <c r="AT1723" s="2">
        <v>0</v>
      </c>
      <c r="BB1723" s="2" t="str">
        <f>+PROPER(BD[[#This Row],[PRIMER_APELLIDO]])</f>
        <v>Castillo</v>
      </c>
    </row>
    <row r="1724" spans="1:54" x14ac:dyDescent="0.25">
      <c r="A1724" s="2">
        <v>1723</v>
      </c>
      <c r="B1724" s="2">
        <v>18418</v>
      </c>
      <c r="C1724" s="5" t="s">
        <v>619</v>
      </c>
      <c r="D1724" s="2" t="s">
        <v>620</v>
      </c>
      <c r="E1724" s="6" t="s">
        <v>10121</v>
      </c>
      <c r="F1724" s="6">
        <v>16933495</v>
      </c>
      <c r="G1724" s="3">
        <v>45</v>
      </c>
      <c r="I1724" s="7"/>
      <c r="J1724" s="7"/>
      <c r="K1724" s="8">
        <v>44.673972602739724</v>
      </c>
      <c r="L1724" s="2" t="s">
        <v>10122</v>
      </c>
      <c r="M1724" s="2" t="s">
        <v>6028</v>
      </c>
      <c r="N1724" s="2" t="s">
        <v>480</v>
      </c>
      <c r="P1724" s="2" t="s">
        <v>626</v>
      </c>
      <c r="Q1724" s="2" t="s">
        <v>351</v>
      </c>
      <c r="R1724" s="9">
        <v>28490</v>
      </c>
      <c r="S1724" s="9">
        <v>28490</v>
      </c>
      <c r="U1724" s="2" t="s">
        <v>929</v>
      </c>
      <c r="W1724" s="2" t="s">
        <v>1653</v>
      </c>
      <c r="X1724" s="2" t="s">
        <v>10123</v>
      </c>
      <c r="Y1724" s="2" t="s">
        <v>10124</v>
      </c>
      <c r="Z1724" s="6"/>
      <c r="AA1724" s="2" t="s">
        <v>10125</v>
      </c>
      <c r="AB1724" s="2" t="s">
        <v>642</v>
      </c>
      <c r="AC1724" s="2" t="s">
        <v>632</v>
      </c>
      <c r="AD1724" s="10"/>
      <c r="AE1724" s="11"/>
      <c r="AF1724" s="11"/>
      <c r="AG1724" s="11">
        <v>88362840</v>
      </c>
      <c r="AH1724" s="11"/>
      <c r="AI1724" s="11"/>
      <c r="AJ1724" s="11">
        <v>88362840</v>
      </c>
      <c r="AK1724" s="12">
        <v>2</v>
      </c>
      <c r="AL1724" s="12" t="s">
        <v>7377</v>
      </c>
      <c r="AM1724" s="2">
        <v>0</v>
      </c>
      <c r="AN1724" s="2">
        <v>0</v>
      </c>
      <c r="AO1724" s="2">
        <v>0</v>
      </c>
      <c r="AP1724" s="2">
        <v>1</v>
      </c>
      <c r="AQ1724" s="2">
        <v>0</v>
      </c>
      <c r="AR1724" s="2">
        <v>0</v>
      </c>
      <c r="AS1724" s="2">
        <v>0</v>
      </c>
      <c r="AT1724" s="2">
        <v>0</v>
      </c>
      <c r="BB1724" s="2" t="str">
        <f>+PROPER(BD[[#This Row],[PRIMER_APELLIDO]])</f>
        <v>Marin</v>
      </c>
    </row>
    <row r="1725" spans="1:54" x14ac:dyDescent="0.25">
      <c r="A1725" s="2">
        <v>1724</v>
      </c>
      <c r="B1725" s="2">
        <v>22731</v>
      </c>
      <c r="C1725" s="5" t="s">
        <v>619</v>
      </c>
      <c r="D1725" s="2" t="s">
        <v>620</v>
      </c>
      <c r="E1725" s="6" t="s">
        <v>10126</v>
      </c>
      <c r="F1725" s="6">
        <v>16294471</v>
      </c>
      <c r="G1725" s="3">
        <v>45</v>
      </c>
      <c r="I1725" s="7"/>
      <c r="J1725" s="7"/>
      <c r="K1725" s="8">
        <v>44.673972602739724</v>
      </c>
      <c r="L1725" s="2" t="s">
        <v>7458</v>
      </c>
      <c r="M1725" s="2" t="s">
        <v>4779</v>
      </c>
      <c r="N1725" s="2" t="s">
        <v>24</v>
      </c>
      <c r="O1725" s="2" t="s">
        <v>10127</v>
      </c>
      <c r="P1725" s="2" t="s">
        <v>649</v>
      </c>
      <c r="Q1725" s="2" t="s">
        <v>351</v>
      </c>
      <c r="R1725" s="9">
        <v>28490</v>
      </c>
      <c r="S1725" s="9">
        <v>28490</v>
      </c>
      <c r="U1725" s="2" t="s">
        <v>627</v>
      </c>
      <c r="W1725" s="2" t="s">
        <v>627</v>
      </c>
      <c r="X1725" s="2" t="s">
        <v>10128</v>
      </c>
      <c r="Y1725" s="2" t="s">
        <v>10129</v>
      </c>
      <c r="Z1725" s="6"/>
      <c r="AA1725" s="2">
        <v>88111103</v>
      </c>
      <c r="AB1725" s="2" t="s">
        <v>654</v>
      </c>
      <c r="AC1725" s="2" t="s">
        <v>632</v>
      </c>
      <c r="AD1725" s="10"/>
      <c r="AE1725" s="11"/>
      <c r="AF1725" s="11">
        <v>88111103</v>
      </c>
      <c r="AG1725" s="11"/>
      <c r="AH1725" s="11"/>
      <c r="AI1725" s="11"/>
      <c r="AJ1725" s="11">
        <v>88111103</v>
      </c>
      <c r="AK1725" s="12">
        <v>1</v>
      </c>
      <c r="AL1725" s="12" t="s">
        <v>7377</v>
      </c>
      <c r="AM1725" s="2">
        <v>0</v>
      </c>
      <c r="AN1725" s="2">
        <v>0</v>
      </c>
      <c r="AO1725" s="2">
        <v>0</v>
      </c>
      <c r="AP1725" s="2">
        <v>1</v>
      </c>
      <c r="AQ1725" s="2">
        <v>0</v>
      </c>
      <c r="AR1725" s="2">
        <v>0</v>
      </c>
      <c r="AS1725" s="2">
        <v>0</v>
      </c>
      <c r="AT1725" s="2">
        <v>0</v>
      </c>
      <c r="BB1725" s="2" t="str">
        <f>+PROPER(BD[[#This Row],[PRIMER_APELLIDO]])</f>
        <v>Perez</v>
      </c>
    </row>
    <row r="1726" spans="1:54" x14ac:dyDescent="0.25">
      <c r="A1726" s="2">
        <v>1725</v>
      </c>
      <c r="B1726" s="2">
        <v>39171</v>
      </c>
      <c r="C1726" s="5" t="s">
        <v>619</v>
      </c>
      <c r="D1726" s="2" t="s">
        <v>620</v>
      </c>
      <c r="E1726" s="6" t="s">
        <v>10130</v>
      </c>
      <c r="F1726" s="6">
        <v>23110504</v>
      </c>
      <c r="G1726" s="3">
        <v>45</v>
      </c>
      <c r="I1726" s="7"/>
      <c r="J1726" s="7"/>
      <c r="K1726" s="8">
        <v>44.679452054794524</v>
      </c>
      <c r="L1726" s="2" t="s">
        <v>6588</v>
      </c>
      <c r="N1726" s="2" t="s">
        <v>564</v>
      </c>
      <c r="O1726" s="2" t="s">
        <v>14</v>
      </c>
      <c r="P1726" s="2" t="s">
        <v>626</v>
      </c>
      <c r="Q1726" s="2" t="s">
        <v>351</v>
      </c>
      <c r="R1726" s="9">
        <v>28488</v>
      </c>
      <c r="S1726" s="9">
        <v>28488</v>
      </c>
      <c r="T1726" s="2" t="s">
        <v>669</v>
      </c>
      <c r="U1726" s="2" t="s">
        <v>627</v>
      </c>
      <c r="V1726" s="2" t="s">
        <v>670</v>
      </c>
      <c r="W1726" s="2" t="s">
        <v>627</v>
      </c>
      <c r="X1726" s="2" t="s">
        <v>10131</v>
      </c>
      <c r="Y1726" s="2" t="s">
        <v>10132</v>
      </c>
      <c r="Z1726" s="6"/>
      <c r="AA1726" s="2" t="s">
        <v>10133</v>
      </c>
      <c r="AB1726" s="2" t="s">
        <v>642</v>
      </c>
      <c r="AC1726" s="2" t="s">
        <v>632</v>
      </c>
      <c r="AD1726" s="10"/>
      <c r="AE1726" s="11"/>
      <c r="AF1726" s="11"/>
      <c r="AG1726" s="11">
        <v>85506589</v>
      </c>
      <c r="AH1726" s="11"/>
      <c r="AI1726" s="11"/>
      <c r="AJ1726" s="11">
        <v>85506589</v>
      </c>
      <c r="AK1726" s="12">
        <v>2</v>
      </c>
      <c r="AL1726" s="12" t="s">
        <v>7377</v>
      </c>
      <c r="AM1726" s="2">
        <v>0</v>
      </c>
      <c r="AN1726" s="2">
        <v>0</v>
      </c>
      <c r="AO1726" s="2">
        <v>0</v>
      </c>
      <c r="AP1726" s="2">
        <v>1</v>
      </c>
      <c r="AQ1726" s="2">
        <v>0</v>
      </c>
      <c r="AR1726" s="2">
        <v>0</v>
      </c>
      <c r="AS1726" s="2">
        <v>0</v>
      </c>
      <c r="AT1726" s="2">
        <v>0</v>
      </c>
      <c r="BB1726" s="2" t="str">
        <f>+PROPER(BD[[#This Row],[PRIMER_APELLIDO]])</f>
        <v>Oporta</v>
      </c>
    </row>
    <row r="1727" spans="1:54" x14ac:dyDescent="0.25">
      <c r="A1727" s="2">
        <v>1726</v>
      </c>
      <c r="B1727" s="2">
        <v>17104</v>
      </c>
      <c r="C1727" s="5" t="s">
        <v>619</v>
      </c>
      <c r="D1727" s="2" t="s">
        <v>620</v>
      </c>
      <c r="E1727" s="6" t="s">
        <v>10134</v>
      </c>
      <c r="F1727" s="6"/>
      <c r="G1727" s="3">
        <v>45</v>
      </c>
      <c r="I1727" s="7"/>
      <c r="J1727" s="7"/>
      <c r="K1727" s="8">
        <v>44.69315068493151</v>
      </c>
      <c r="L1727" s="2" t="s">
        <v>1850</v>
      </c>
      <c r="M1727" s="2" t="s">
        <v>1163</v>
      </c>
      <c r="N1727" s="2" t="s">
        <v>212</v>
      </c>
      <c r="O1727" s="2" t="s">
        <v>10</v>
      </c>
      <c r="P1727" s="2" t="s">
        <v>626</v>
      </c>
      <c r="Q1727" s="2" t="s">
        <v>351</v>
      </c>
      <c r="R1727" s="9">
        <v>28483</v>
      </c>
      <c r="S1727" s="9">
        <v>28483</v>
      </c>
      <c r="T1727" s="2" t="s">
        <v>176</v>
      </c>
      <c r="U1727" s="2" t="s">
        <v>176</v>
      </c>
      <c r="V1727" s="2" t="s">
        <v>650</v>
      </c>
      <c r="W1727" s="2" t="s">
        <v>176</v>
      </c>
      <c r="X1727" s="2" t="s">
        <v>10135</v>
      </c>
      <c r="Y1727" s="2" t="s">
        <v>10136</v>
      </c>
      <c r="Z1727" s="6">
        <v>87042214</v>
      </c>
      <c r="AB1727" s="2" t="s">
        <v>654</v>
      </c>
      <c r="AC1727" s="2" t="s">
        <v>632</v>
      </c>
      <c r="AD1727" s="10">
        <v>87042214</v>
      </c>
      <c r="AE1727" s="11"/>
      <c r="AF1727" s="11"/>
      <c r="AG1727" s="11"/>
      <c r="AH1727" s="11"/>
      <c r="AI1727" s="11"/>
      <c r="AJ1727" s="11">
        <v>87042214</v>
      </c>
      <c r="AK1727" s="12">
        <v>1</v>
      </c>
      <c r="AL1727" s="12" t="s">
        <v>7377</v>
      </c>
      <c r="AM1727" s="2">
        <v>0</v>
      </c>
      <c r="AN1727" s="2">
        <v>0</v>
      </c>
      <c r="AO1727" s="2">
        <v>0</v>
      </c>
      <c r="AP1727" s="2">
        <v>1</v>
      </c>
      <c r="AQ1727" s="2">
        <v>0</v>
      </c>
      <c r="AR1727" s="2">
        <v>0</v>
      </c>
      <c r="AS1727" s="2">
        <v>0</v>
      </c>
      <c r="AT1727" s="2">
        <v>0</v>
      </c>
      <c r="BB1727" s="2" t="str">
        <f>+PROPER(BD[[#This Row],[PRIMER_APELLIDO]])</f>
        <v>Corea</v>
      </c>
    </row>
    <row r="1728" spans="1:54" x14ac:dyDescent="0.25">
      <c r="A1728" s="2">
        <v>1727</v>
      </c>
      <c r="B1728" s="2">
        <v>20850</v>
      </c>
      <c r="C1728" s="5" t="s">
        <v>619</v>
      </c>
      <c r="D1728" s="2" t="s">
        <v>620</v>
      </c>
      <c r="E1728" s="6" t="s">
        <v>10137</v>
      </c>
      <c r="F1728" s="6"/>
      <c r="G1728" s="3">
        <v>45</v>
      </c>
      <c r="I1728" s="7"/>
      <c r="J1728" s="7"/>
      <c r="K1728" s="8">
        <v>44.706849315068496</v>
      </c>
      <c r="L1728" s="2" t="s">
        <v>675</v>
      </c>
      <c r="M1728" s="2" t="s">
        <v>1614</v>
      </c>
      <c r="N1728" s="2" t="s">
        <v>11</v>
      </c>
      <c r="O1728" s="2" t="s">
        <v>10138</v>
      </c>
      <c r="P1728" s="2" t="s">
        <v>626</v>
      </c>
      <c r="Q1728" s="2" t="s">
        <v>351</v>
      </c>
      <c r="R1728" s="9">
        <v>28478</v>
      </c>
      <c r="S1728" s="9">
        <v>28478</v>
      </c>
      <c r="T1728" s="2" t="s">
        <v>705</v>
      </c>
      <c r="U1728" s="2" t="s">
        <v>705</v>
      </c>
      <c r="V1728" s="2" t="s">
        <v>705</v>
      </c>
      <c r="W1728" s="2" t="s">
        <v>705</v>
      </c>
      <c r="X1728" s="2" t="s">
        <v>10139</v>
      </c>
      <c r="Y1728" s="2" t="s">
        <v>10140</v>
      </c>
      <c r="Z1728" s="6">
        <v>78083171</v>
      </c>
      <c r="AA1728" s="2" t="s">
        <v>10141</v>
      </c>
      <c r="AB1728" s="2" t="s">
        <v>642</v>
      </c>
      <c r="AC1728" s="2" t="s">
        <v>632</v>
      </c>
      <c r="AD1728" s="10">
        <v>78083171</v>
      </c>
      <c r="AE1728" s="11"/>
      <c r="AF1728" s="11"/>
      <c r="AG1728" s="11"/>
      <c r="AH1728" s="11"/>
      <c r="AI1728" s="11"/>
      <c r="AJ1728" s="11">
        <v>78083171</v>
      </c>
      <c r="AK1728" s="12">
        <v>3</v>
      </c>
      <c r="AL1728" s="12" t="s">
        <v>7377</v>
      </c>
      <c r="AM1728" s="2">
        <v>0</v>
      </c>
      <c r="AN1728" s="2">
        <v>0</v>
      </c>
      <c r="AO1728" s="2">
        <v>0</v>
      </c>
      <c r="AP1728" s="2">
        <v>1</v>
      </c>
      <c r="AQ1728" s="2">
        <v>0</v>
      </c>
      <c r="AR1728" s="2">
        <v>0</v>
      </c>
      <c r="AS1728" s="2">
        <v>0</v>
      </c>
      <c r="AT1728" s="2">
        <v>0</v>
      </c>
      <c r="AZ1728" s="2" t="s">
        <v>10142</v>
      </c>
      <c r="BB1728" s="2" t="str">
        <f>+PROPER(BD[[#This Row],[PRIMER_APELLIDO]])</f>
        <v>Hernandez</v>
      </c>
    </row>
    <row r="1729" spans="1:54" x14ac:dyDescent="0.25">
      <c r="A1729" s="2">
        <v>1728</v>
      </c>
      <c r="B1729" s="2">
        <v>24211</v>
      </c>
      <c r="C1729" s="5" t="s">
        <v>619</v>
      </c>
      <c r="D1729" s="2" t="s">
        <v>620</v>
      </c>
      <c r="E1729" s="6" t="s">
        <v>10143</v>
      </c>
      <c r="F1729" s="6">
        <v>21030891</v>
      </c>
      <c r="G1729" s="3">
        <v>45</v>
      </c>
      <c r="I1729" s="7"/>
      <c r="J1729" s="7"/>
      <c r="K1729" s="8">
        <v>44.709589041095889</v>
      </c>
      <c r="L1729" s="2" t="s">
        <v>10144</v>
      </c>
      <c r="M1729" s="2" t="s">
        <v>7143</v>
      </c>
      <c r="N1729" s="2" t="s">
        <v>44</v>
      </c>
      <c r="O1729" s="2" t="s">
        <v>10145</v>
      </c>
      <c r="P1729" s="2" t="s">
        <v>626</v>
      </c>
      <c r="Q1729" s="2" t="s">
        <v>351</v>
      </c>
      <c r="R1729" s="9">
        <v>28477</v>
      </c>
      <c r="S1729" s="9">
        <v>28477</v>
      </c>
      <c r="U1729" s="2" t="s">
        <v>176</v>
      </c>
      <c r="W1729" s="2" t="s">
        <v>176</v>
      </c>
      <c r="Y1729" s="2" t="s">
        <v>10146</v>
      </c>
      <c r="Z1729" s="6"/>
      <c r="AA1729" s="2" t="s">
        <v>10147</v>
      </c>
      <c r="AB1729" s="2" t="s">
        <v>654</v>
      </c>
      <c r="AC1729" s="2" t="s">
        <v>632</v>
      </c>
      <c r="AD1729" s="10"/>
      <c r="AE1729" s="11"/>
      <c r="AF1729" s="11"/>
      <c r="AG1729" s="11">
        <v>85059024</v>
      </c>
      <c r="AH1729" s="11"/>
      <c r="AI1729" s="11"/>
      <c r="AJ1729" s="11">
        <v>85059024</v>
      </c>
      <c r="AK1729" s="12">
        <v>2</v>
      </c>
      <c r="AL1729" s="12" t="s">
        <v>7377</v>
      </c>
      <c r="AM1729" s="2">
        <v>0</v>
      </c>
      <c r="AN1729" s="2">
        <v>0</v>
      </c>
      <c r="AO1729" s="2">
        <v>0</v>
      </c>
      <c r="AP1729" s="2">
        <v>1</v>
      </c>
      <c r="AQ1729" s="2">
        <v>0</v>
      </c>
      <c r="AR1729" s="2">
        <v>0</v>
      </c>
      <c r="AS1729" s="2">
        <v>0</v>
      </c>
      <c r="AT1729" s="2">
        <v>0</v>
      </c>
      <c r="BA1729" s="2" t="s">
        <v>10148</v>
      </c>
      <c r="BB1729" s="2" t="str">
        <f>+PROPER(BD[[#This Row],[PRIMER_APELLIDO]])</f>
        <v>Martinez</v>
      </c>
    </row>
    <row r="1730" spans="1:54" x14ac:dyDescent="0.25">
      <c r="A1730" s="2">
        <v>1729</v>
      </c>
      <c r="B1730" s="2">
        <v>19350</v>
      </c>
      <c r="C1730" s="5" t="s">
        <v>619</v>
      </c>
      <c r="D1730" s="2" t="s">
        <v>620</v>
      </c>
      <c r="E1730" s="6" t="s">
        <v>10149</v>
      </c>
      <c r="F1730" s="6">
        <v>16972579</v>
      </c>
      <c r="G1730" s="3">
        <v>45</v>
      </c>
      <c r="I1730" s="7"/>
      <c r="J1730" s="7"/>
      <c r="K1730" s="8">
        <v>44.720547945205482</v>
      </c>
      <c r="L1730" s="2" t="s">
        <v>825</v>
      </c>
      <c r="M1730" s="2" t="s">
        <v>1692</v>
      </c>
      <c r="N1730" s="2" t="s">
        <v>427</v>
      </c>
      <c r="O1730" s="2" t="s">
        <v>235</v>
      </c>
      <c r="P1730" s="2" t="s">
        <v>649</v>
      </c>
      <c r="Q1730" s="2" t="s">
        <v>351</v>
      </c>
      <c r="R1730" s="9">
        <v>28473</v>
      </c>
      <c r="S1730" s="9">
        <v>28473</v>
      </c>
      <c r="T1730" s="2" t="s">
        <v>691</v>
      </c>
      <c r="U1730" s="2" t="s">
        <v>691</v>
      </c>
      <c r="V1730" s="2" t="s">
        <v>2467</v>
      </c>
      <c r="W1730" s="2" t="s">
        <v>691</v>
      </c>
      <c r="X1730" s="2" t="s">
        <v>10150</v>
      </c>
      <c r="Y1730" s="2" t="s">
        <v>10151</v>
      </c>
      <c r="Z1730" s="6">
        <v>88548292</v>
      </c>
      <c r="AB1730" s="2" t="s">
        <v>654</v>
      </c>
      <c r="AC1730" s="2" t="s">
        <v>632</v>
      </c>
      <c r="AD1730" s="10">
        <v>88548292</v>
      </c>
      <c r="AE1730" s="11"/>
      <c r="AF1730" s="11"/>
      <c r="AG1730" s="11"/>
      <c r="AH1730" s="11"/>
      <c r="AI1730" s="11"/>
      <c r="AJ1730" s="11">
        <v>88548292</v>
      </c>
      <c r="AK1730" s="12">
        <v>1</v>
      </c>
      <c r="AL1730" s="12" t="s">
        <v>7377</v>
      </c>
      <c r="AM1730" s="2">
        <v>0</v>
      </c>
      <c r="AN1730" s="2">
        <v>0</v>
      </c>
      <c r="AO1730" s="2">
        <v>0</v>
      </c>
      <c r="AP1730" s="2">
        <v>1</v>
      </c>
      <c r="AQ1730" s="2">
        <v>0</v>
      </c>
      <c r="AR1730" s="2">
        <v>0</v>
      </c>
      <c r="AS1730" s="2">
        <v>0</v>
      </c>
      <c r="AT1730" s="2">
        <v>0</v>
      </c>
      <c r="BB1730" s="2" t="str">
        <f>+PROPER(BD[[#This Row],[PRIMER_APELLIDO]])</f>
        <v>Mairena</v>
      </c>
    </row>
    <row r="1731" spans="1:54" x14ac:dyDescent="0.25">
      <c r="A1731" s="2">
        <v>1730</v>
      </c>
      <c r="B1731" s="2">
        <v>22151</v>
      </c>
      <c r="C1731" s="5" t="s">
        <v>619</v>
      </c>
      <c r="D1731" s="2" t="s">
        <v>620</v>
      </c>
      <c r="E1731" s="6" t="s">
        <v>10152</v>
      </c>
      <c r="F1731" s="6"/>
      <c r="G1731" s="3">
        <v>45</v>
      </c>
      <c r="I1731" s="7"/>
      <c r="J1731" s="7"/>
      <c r="K1731" s="8">
        <v>44.750684931506846</v>
      </c>
      <c r="L1731" s="2" t="s">
        <v>860</v>
      </c>
      <c r="M1731" s="2" t="s">
        <v>4485</v>
      </c>
      <c r="N1731" s="2" t="s">
        <v>228</v>
      </c>
      <c r="O1731" s="2" t="s">
        <v>255</v>
      </c>
      <c r="P1731" s="2" t="s">
        <v>626</v>
      </c>
      <c r="Q1731" s="2" t="s">
        <v>351</v>
      </c>
      <c r="R1731" s="9">
        <v>28462</v>
      </c>
      <c r="S1731" s="9">
        <v>28462</v>
      </c>
      <c r="T1731" s="2" t="s">
        <v>659</v>
      </c>
      <c r="U1731" s="2" t="s">
        <v>1044</v>
      </c>
      <c r="V1731" s="2" t="s">
        <v>659</v>
      </c>
      <c r="W1731" s="2" t="s">
        <v>1838</v>
      </c>
      <c r="X1731" s="2" t="s">
        <v>10153</v>
      </c>
      <c r="Y1731" s="2" t="s">
        <v>10154</v>
      </c>
      <c r="Z1731" s="6">
        <v>88427485</v>
      </c>
      <c r="AA1731" s="2">
        <v>84227485</v>
      </c>
      <c r="AB1731" s="2" t="s">
        <v>654</v>
      </c>
      <c r="AC1731" s="2" t="s">
        <v>632</v>
      </c>
      <c r="AD1731" s="10">
        <v>88427485</v>
      </c>
      <c r="AE1731" s="11"/>
      <c r="AF1731" s="11">
        <v>84227485</v>
      </c>
      <c r="AG1731" s="11"/>
      <c r="AH1731" s="11"/>
      <c r="AI1731" s="11"/>
      <c r="AJ1731" s="11">
        <v>88427485</v>
      </c>
      <c r="AK1731" s="12">
        <v>2</v>
      </c>
      <c r="AL1731" s="12" t="s">
        <v>7377</v>
      </c>
      <c r="AM1731" s="2">
        <v>0</v>
      </c>
      <c r="AN1731" s="2">
        <v>0</v>
      </c>
      <c r="AO1731" s="2">
        <v>0</v>
      </c>
      <c r="AP1731" s="2">
        <v>1</v>
      </c>
      <c r="AQ1731" s="2">
        <v>0</v>
      </c>
      <c r="AR1731" s="2">
        <v>0</v>
      </c>
      <c r="AS1731" s="2">
        <v>0</v>
      </c>
      <c r="AT1731" s="2">
        <v>0</v>
      </c>
      <c r="BB1731" s="2" t="str">
        <f>+PROPER(BD[[#This Row],[PRIMER_APELLIDO]])</f>
        <v>Melendez</v>
      </c>
    </row>
    <row r="1732" spans="1:54" x14ac:dyDescent="0.25">
      <c r="A1732" s="2">
        <v>1731</v>
      </c>
      <c r="B1732" s="2">
        <v>18177</v>
      </c>
      <c r="C1732" s="5" t="s">
        <v>619</v>
      </c>
      <c r="D1732" s="2" t="s">
        <v>620</v>
      </c>
      <c r="E1732" s="6" t="s">
        <v>10155</v>
      </c>
      <c r="F1732" s="6">
        <v>16673049</v>
      </c>
      <c r="G1732" s="3">
        <v>45</v>
      </c>
      <c r="I1732" s="7"/>
      <c r="J1732" s="7"/>
      <c r="K1732" s="8">
        <v>44.758904109589039</v>
      </c>
      <c r="L1732" s="2" t="s">
        <v>243</v>
      </c>
      <c r="M1732" s="2" t="s">
        <v>1548</v>
      </c>
      <c r="N1732" s="2" t="s">
        <v>317</v>
      </c>
      <c r="O1732" s="2" t="s">
        <v>55</v>
      </c>
      <c r="P1732" s="2" t="s">
        <v>649</v>
      </c>
      <c r="Q1732" s="2" t="s">
        <v>351</v>
      </c>
      <c r="R1732" s="9">
        <v>28459</v>
      </c>
      <c r="S1732" s="9">
        <v>28459</v>
      </c>
      <c r="T1732" s="2" t="s">
        <v>176</v>
      </c>
      <c r="U1732" s="2" t="s">
        <v>444</v>
      </c>
      <c r="V1732" s="2" t="s">
        <v>650</v>
      </c>
      <c r="W1732" s="2" t="s">
        <v>764</v>
      </c>
      <c r="X1732" s="2" t="s">
        <v>10156</v>
      </c>
      <c r="Y1732" s="2" t="s">
        <v>10157</v>
      </c>
      <c r="Z1732" s="6">
        <v>84092309</v>
      </c>
      <c r="AA1732" s="2">
        <v>84092309</v>
      </c>
      <c r="AB1732" s="2" t="s">
        <v>654</v>
      </c>
      <c r="AC1732" s="2" t="s">
        <v>632</v>
      </c>
      <c r="AD1732" s="10">
        <v>84092309</v>
      </c>
      <c r="AE1732" s="11"/>
      <c r="AF1732" s="11">
        <v>84092309</v>
      </c>
      <c r="AG1732" s="11"/>
      <c r="AH1732" s="11"/>
      <c r="AI1732" s="11"/>
      <c r="AJ1732" s="11">
        <v>84092309</v>
      </c>
      <c r="AK1732" s="12">
        <v>2</v>
      </c>
      <c r="AL1732" s="12" t="s">
        <v>7377</v>
      </c>
      <c r="AM1732" s="2">
        <v>0</v>
      </c>
      <c r="AN1732" s="2">
        <v>0</v>
      </c>
      <c r="AO1732" s="2">
        <v>0</v>
      </c>
      <c r="AP1732" s="2">
        <v>1</v>
      </c>
      <c r="AQ1732" s="2">
        <v>0</v>
      </c>
      <c r="AR1732" s="2">
        <v>0</v>
      </c>
      <c r="AS1732" s="2">
        <v>0</v>
      </c>
      <c r="AT1732" s="2">
        <v>0</v>
      </c>
      <c r="AZ1732" s="2" t="s">
        <v>10158</v>
      </c>
      <c r="BB1732" s="2" t="str">
        <f>+PROPER(BD[[#This Row],[PRIMER_APELLIDO]])</f>
        <v>Saenz</v>
      </c>
    </row>
    <row r="1733" spans="1:54" x14ac:dyDescent="0.25">
      <c r="A1733" s="2">
        <v>1732</v>
      </c>
      <c r="B1733" s="2">
        <v>19510</v>
      </c>
      <c r="C1733" s="5" t="s">
        <v>619</v>
      </c>
      <c r="D1733" s="2" t="s">
        <v>620</v>
      </c>
      <c r="E1733" s="6" t="s">
        <v>10159</v>
      </c>
      <c r="F1733" s="6">
        <v>17269102</v>
      </c>
      <c r="G1733" s="3">
        <v>45</v>
      </c>
      <c r="I1733" s="7"/>
      <c r="J1733" s="7"/>
      <c r="K1733" s="8">
        <v>44.764383561643832</v>
      </c>
      <c r="L1733" s="2" t="s">
        <v>793</v>
      </c>
      <c r="M1733" s="2" t="s">
        <v>4190</v>
      </c>
      <c r="N1733" s="2" t="s">
        <v>255</v>
      </c>
      <c r="O1733" s="2" t="s">
        <v>10</v>
      </c>
      <c r="P1733" s="2" t="s">
        <v>649</v>
      </c>
      <c r="Q1733" s="2" t="s">
        <v>351</v>
      </c>
      <c r="R1733" s="9">
        <v>28457</v>
      </c>
      <c r="S1733" s="9">
        <v>28457</v>
      </c>
      <c r="T1733" s="2" t="s">
        <v>1044</v>
      </c>
      <c r="U1733" s="2" t="s">
        <v>1044</v>
      </c>
      <c r="V1733" s="2" t="s">
        <v>1045</v>
      </c>
      <c r="W1733" s="2" t="s">
        <v>1045</v>
      </c>
      <c r="X1733" s="2" t="s">
        <v>10160</v>
      </c>
      <c r="Y1733" s="2" t="s">
        <v>10161</v>
      </c>
      <c r="Z1733" s="6"/>
      <c r="AA1733" s="2">
        <v>87407291</v>
      </c>
      <c r="AB1733" s="2" t="s">
        <v>654</v>
      </c>
      <c r="AC1733" s="2" t="s">
        <v>632</v>
      </c>
      <c r="AD1733" s="10"/>
      <c r="AE1733" s="11"/>
      <c r="AF1733" s="11">
        <v>87407291</v>
      </c>
      <c r="AG1733" s="11"/>
      <c r="AH1733" s="11"/>
      <c r="AI1733" s="11"/>
      <c r="AJ1733" s="11">
        <v>87407291</v>
      </c>
      <c r="AK1733" s="12">
        <v>1</v>
      </c>
      <c r="AL1733" s="12" t="s">
        <v>7377</v>
      </c>
      <c r="AM1733" s="2">
        <v>0</v>
      </c>
      <c r="AN1733" s="2">
        <v>0</v>
      </c>
      <c r="AO1733" s="2">
        <v>0</v>
      </c>
      <c r="AP1733" s="2">
        <v>1</v>
      </c>
      <c r="AQ1733" s="2">
        <v>0</v>
      </c>
      <c r="AR1733" s="2">
        <v>0</v>
      </c>
      <c r="AS1733" s="2">
        <v>0</v>
      </c>
      <c r="AT1733" s="2">
        <v>0</v>
      </c>
      <c r="BB1733" s="2" t="str">
        <f>+PROPER(BD[[#This Row],[PRIMER_APELLIDO]])</f>
        <v>Aguirre</v>
      </c>
    </row>
    <row r="1734" spans="1:54" x14ac:dyDescent="0.25">
      <c r="A1734" s="2">
        <v>1733</v>
      </c>
      <c r="B1734" s="2">
        <v>19898</v>
      </c>
      <c r="C1734" s="5" t="s">
        <v>619</v>
      </c>
      <c r="D1734" s="2" t="s">
        <v>620</v>
      </c>
      <c r="E1734" s="6" t="s">
        <v>10162</v>
      </c>
      <c r="F1734" s="6">
        <v>17188645</v>
      </c>
      <c r="G1734" s="3">
        <v>45</v>
      </c>
      <c r="I1734" s="7"/>
      <c r="J1734" s="7"/>
      <c r="K1734" s="8">
        <v>44.772602739726025</v>
      </c>
      <c r="L1734" s="2" t="s">
        <v>10163</v>
      </c>
      <c r="M1734" s="2" t="s">
        <v>10164</v>
      </c>
      <c r="N1734" s="2" t="s">
        <v>84</v>
      </c>
      <c r="O1734" s="2" t="s">
        <v>185</v>
      </c>
      <c r="P1734" s="2" t="s">
        <v>649</v>
      </c>
      <c r="Q1734" s="2" t="s">
        <v>351</v>
      </c>
      <c r="R1734" s="9">
        <v>28454</v>
      </c>
      <c r="S1734" s="9">
        <v>28454</v>
      </c>
      <c r="T1734" s="2" t="s">
        <v>732</v>
      </c>
      <c r="U1734" s="2" t="s">
        <v>732</v>
      </c>
      <c r="V1734" s="2" t="s">
        <v>732</v>
      </c>
      <c r="W1734" s="2" t="s">
        <v>732</v>
      </c>
      <c r="X1734" s="2" t="s">
        <v>10165</v>
      </c>
      <c r="Y1734" s="2" t="s">
        <v>10166</v>
      </c>
      <c r="Z1734" s="6"/>
      <c r="AA1734" s="2">
        <v>25222336</v>
      </c>
      <c r="AB1734" s="2" t="s">
        <v>654</v>
      </c>
      <c r="AC1734" s="2" t="s">
        <v>632</v>
      </c>
      <c r="AD1734" s="10"/>
      <c r="AE1734" s="11"/>
      <c r="AF1734" s="11"/>
      <c r="AG1734" s="11"/>
      <c r="AH1734" s="11"/>
      <c r="AI1734" s="11"/>
      <c r="AJ1734" s="11"/>
      <c r="AK1734" s="12">
        <v>1</v>
      </c>
      <c r="AL1734" s="12" t="s">
        <v>7377</v>
      </c>
      <c r="AM1734" s="2">
        <v>0</v>
      </c>
      <c r="AN1734" s="2">
        <v>0</v>
      </c>
      <c r="AO1734" s="2">
        <v>0</v>
      </c>
      <c r="AP1734" s="2">
        <v>1</v>
      </c>
      <c r="AQ1734" s="2">
        <v>0</v>
      </c>
      <c r="AR1734" s="2">
        <v>0</v>
      </c>
      <c r="AS1734" s="2">
        <v>0</v>
      </c>
      <c r="AT1734" s="2">
        <v>0</v>
      </c>
      <c r="BA1734" s="2" t="s">
        <v>10167</v>
      </c>
      <c r="BB1734" s="2" t="str">
        <f>+PROPER(BD[[#This Row],[PRIMER_APELLIDO]])</f>
        <v>Ruiz</v>
      </c>
    </row>
    <row r="1735" spans="1:54" x14ac:dyDescent="0.25">
      <c r="A1735" s="2">
        <v>1734</v>
      </c>
      <c r="B1735" s="2">
        <v>18064</v>
      </c>
      <c r="C1735" s="5" t="s">
        <v>619</v>
      </c>
      <c r="D1735" s="2" t="s">
        <v>620</v>
      </c>
      <c r="E1735" s="6" t="s">
        <v>10168</v>
      </c>
      <c r="F1735" s="6">
        <v>16324268</v>
      </c>
      <c r="G1735" s="3">
        <v>45</v>
      </c>
      <c r="I1735" s="7"/>
      <c r="J1735" s="7"/>
      <c r="K1735" s="8">
        <v>44.783561643835618</v>
      </c>
      <c r="L1735" s="2" t="s">
        <v>1391</v>
      </c>
      <c r="M1735" s="2" t="s">
        <v>904</v>
      </c>
      <c r="N1735" s="2" t="s">
        <v>472</v>
      </c>
      <c r="O1735" s="2" t="s">
        <v>75</v>
      </c>
      <c r="P1735" s="2" t="s">
        <v>649</v>
      </c>
      <c r="Q1735" s="2" t="s">
        <v>351</v>
      </c>
      <c r="R1735" s="9">
        <v>28450</v>
      </c>
      <c r="S1735" s="9">
        <v>28450</v>
      </c>
      <c r="T1735" s="2" t="s">
        <v>627</v>
      </c>
      <c r="U1735" s="2" t="s">
        <v>627</v>
      </c>
      <c r="V1735" s="2" t="s">
        <v>627</v>
      </c>
      <c r="W1735" s="2" t="s">
        <v>627</v>
      </c>
      <c r="X1735" s="2" t="s">
        <v>10169</v>
      </c>
      <c r="Y1735" s="2" t="s">
        <v>10170</v>
      </c>
      <c r="Z1735" s="6">
        <v>83395551</v>
      </c>
      <c r="AA1735" s="2" t="s">
        <v>10171</v>
      </c>
      <c r="AB1735" s="2" t="s">
        <v>654</v>
      </c>
      <c r="AC1735" s="2" t="s">
        <v>632</v>
      </c>
      <c r="AD1735" s="10">
        <v>83395551</v>
      </c>
      <c r="AE1735" s="11"/>
      <c r="AF1735" s="11"/>
      <c r="AG1735" s="11">
        <v>83395551</v>
      </c>
      <c r="AH1735" s="11"/>
      <c r="AI1735" s="11"/>
      <c r="AJ1735" s="11">
        <v>83395551</v>
      </c>
      <c r="AK1735" s="12">
        <v>3</v>
      </c>
      <c r="AL1735" s="12" t="s">
        <v>7377</v>
      </c>
      <c r="AM1735" s="2">
        <v>0</v>
      </c>
      <c r="AN1735" s="2">
        <v>0</v>
      </c>
      <c r="AO1735" s="2">
        <v>0</v>
      </c>
      <c r="AP1735" s="2">
        <v>1</v>
      </c>
      <c r="AQ1735" s="2">
        <v>0</v>
      </c>
      <c r="AR1735" s="2">
        <v>0</v>
      </c>
      <c r="AS1735" s="2">
        <v>0</v>
      </c>
      <c r="AT1735" s="2">
        <v>0</v>
      </c>
      <c r="AZ1735" s="2" t="s">
        <v>10172</v>
      </c>
      <c r="BB1735" s="2" t="str">
        <f>+PROPER(BD[[#This Row],[PRIMER_APELLIDO]])</f>
        <v>Sarria</v>
      </c>
    </row>
    <row r="1736" spans="1:54" x14ac:dyDescent="0.25">
      <c r="A1736" s="2">
        <v>1735</v>
      </c>
      <c r="B1736" s="2">
        <v>24266</v>
      </c>
      <c r="C1736" s="5" t="s">
        <v>619</v>
      </c>
      <c r="D1736" s="2" t="s">
        <v>620</v>
      </c>
      <c r="E1736" s="6" t="s">
        <v>10173</v>
      </c>
      <c r="F1736" s="6">
        <v>21042155</v>
      </c>
      <c r="G1736" s="3">
        <v>45</v>
      </c>
      <c r="I1736" s="7"/>
      <c r="J1736" s="7"/>
      <c r="K1736" s="8">
        <v>44.783561643835618</v>
      </c>
      <c r="L1736" s="2" t="s">
        <v>4632</v>
      </c>
      <c r="M1736" s="2" t="s">
        <v>787</v>
      </c>
      <c r="N1736" s="2" t="s">
        <v>235</v>
      </c>
      <c r="O1736" s="2" t="s">
        <v>174</v>
      </c>
      <c r="P1736" s="2" t="s">
        <v>626</v>
      </c>
      <c r="Q1736" s="2" t="s">
        <v>351</v>
      </c>
      <c r="R1736" s="9">
        <v>28450</v>
      </c>
      <c r="S1736" s="9">
        <v>28450</v>
      </c>
      <c r="U1736" s="2" t="s">
        <v>176</v>
      </c>
      <c r="W1736" s="2" t="s">
        <v>3701</v>
      </c>
      <c r="Y1736" s="2" t="s">
        <v>10174</v>
      </c>
      <c r="Z1736" s="6"/>
      <c r="AA1736" s="2" t="s">
        <v>10175</v>
      </c>
      <c r="AB1736" s="2" t="s">
        <v>654</v>
      </c>
      <c r="AC1736" s="2" t="s">
        <v>632</v>
      </c>
      <c r="AD1736" s="10"/>
      <c r="AE1736" s="11"/>
      <c r="AF1736" s="11"/>
      <c r="AG1736" s="11">
        <v>84209352</v>
      </c>
      <c r="AH1736" s="11"/>
      <c r="AI1736" s="11"/>
      <c r="AJ1736" s="11">
        <v>84209352</v>
      </c>
      <c r="AK1736" s="12">
        <v>2</v>
      </c>
      <c r="AL1736" s="12" t="s">
        <v>7377</v>
      </c>
      <c r="AM1736" s="2">
        <v>0</v>
      </c>
      <c r="AN1736" s="2">
        <v>0</v>
      </c>
      <c r="AO1736" s="2">
        <v>0</v>
      </c>
      <c r="AP1736" s="2">
        <v>1</v>
      </c>
      <c r="AQ1736" s="2">
        <v>0</v>
      </c>
      <c r="AR1736" s="2">
        <v>0</v>
      </c>
      <c r="AS1736" s="2">
        <v>0</v>
      </c>
      <c r="AT1736" s="2">
        <v>0</v>
      </c>
      <c r="BB1736" s="2" t="str">
        <f>+PROPER(BD[[#This Row],[PRIMER_APELLIDO]])</f>
        <v>Espinoza</v>
      </c>
    </row>
    <row r="1737" spans="1:54" x14ac:dyDescent="0.25">
      <c r="A1737" s="2">
        <v>1736</v>
      </c>
      <c r="B1737" s="2">
        <v>54646</v>
      </c>
      <c r="C1737" s="5" t="s">
        <v>619</v>
      </c>
      <c r="D1737" s="2" t="s">
        <v>620</v>
      </c>
      <c r="E1737" s="6" t="s">
        <v>10176</v>
      </c>
      <c r="F1737" s="6"/>
      <c r="G1737" s="3">
        <v>45</v>
      </c>
      <c r="I1737" s="7"/>
      <c r="J1737" s="7"/>
      <c r="K1737" s="8">
        <v>44.789041095890411</v>
      </c>
      <c r="L1737" s="2" t="s">
        <v>10177</v>
      </c>
      <c r="M1737" s="2" t="s">
        <v>724</v>
      </c>
      <c r="N1737" s="2" t="s">
        <v>373</v>
      </c>
      <c r="O1737" s="2" t="s">
        <v>199</v>
      </c>
      <c r="P1737" s="2" t="s">
        <v>626</v>
      </c>
      <c r="Q1737" s="2" t="s">
        <v>351</v>
      </c>
      <c r="R1737" s="9">
        <v>28448</v>
      </c>
      <c r="S1737" s="9">
        <v>28448</v>
      </c>
      <c r="T1737" s="2" t="s">
        <v>691</v>
      </c>
      <c r="U1737" s="2" t="s">
        <v>691</v>
      </c>
      <c r="V1737" s="2" t="s">
        <v>716</v>
      </c>
      <c r="W1737" s="2" t="s">
        <v>691</v>
      </c>
      <c r="X1737" s="2" t="s">
        <v>10178</v>
      </c>
      <c r="Y1737" s="2" t="s">
        <v>10179</v>
      </c>
      <c r="Z1737" s="6">
        <v>78404744</v>
      </c>
      <c r="AA1737" s="2" t="s">
        <v>10180</v>
      </c>
      <c r="AB1737" s="2" t="s">
        <v>984</v>
      </c>
      <c r="AC1737" s="2" t="s">
        <v>632</v>
      </c>
      <c r="AD1737" s="10">
        <v>78404744</v>
      </c>
      <c r="AE1737" s="11"/>
      <c r="AF1737" s="11"/>
      <c r="AG1737" s="11">
        <v>89176459</v>
      </c>
      <c r="AH1737" s="11"/>
      <c r="AI1737" s="11"/>
      <c r="AJ1737" s="11">
        <v>78404744</v>
      </c>
      <c r="AK1737" s="12">
        <v>3</v>
      </c>
      <c r="AL1737" s="12" t="s">
        <v>7377</v>
      </c>
      <c r="AM1737" s="2">
        <v>0</v>
      </c>
      <c r="AN1737" s="2">
        <v>0</v>
      </c>
      <c r="AO1737" s="2">
        <v>0</v>
      </c>
      <c r="AP1737" s="2">
        <v>1</v>
      </c>
      <c r="AQ1737" s="2">
        <v>0</v>
      </c>
      <c r="AR1737" s="2">
        <v>0</v>
      </c>
      <c r="AS1737" s="2">
        <v>0</v>
      </c>
      <c r="AT1737" s="2">
        <v>0</v>
      </c>
      <c r="AZ1737" s="2" t="s">
        <v>10181</v>
      </c>
      <c r="BB1737" s="2" t="str">
        <f>+PROPER(BD[[#This Row],[PRIMER_APELLIDO]])</f>
        <v>Traña</v>
      </c>
    </row>
    <row r="1738" spans="1:54" x14ac:dyDescent="0.25">
      <c r="A1738" s="2">
        <v>1737</v>
      </c>
      <c r="B1738" s="2">
        <v>15323</v>
      </c>
      <c r="C1738" s="5" t="s">
        <v>619</v>
      </c>
      <c r="D1738" s="2" t="s">
        <v>620</v>
      </c>
      <c r="E1738" s="6" t="s">
        <v>10182</v>
      </c>
      <c r="F1738" s="6"/>
      <c r="G1738" s="3">
        <v>45</v>
      </c>
      <c r="I1738" s="7"/>
      <c r="J1738" s="7"/>
      <c r="K1738" s="8">
        <v>44.8</v>
      </c>
      <c r="L1738" s="2" t="s">
        <v>5791</v>
      </c>
      <c r="M1738" s="2" t="s">
        <v>1881</v>
      </c>
      <c r="N1738" s="2" t="s">
        <v>84</v>
      </c>
      <c r="O1738" s="2" t="s">
        <v>212</v>
      </c>
      <c r="P1738" s="2" t="s">
        <v>626</v>
      </c>
      <c r="Q1738" s="2" t="s">
        <v>351</v>
      </c>
      <c r="R1738" s="9">
        <v>28444</v>
      </c>
      <c r="S1738" s="9">
        <v>28444</v>
      </c>
      <c r="T1738" s="2" t="s">
        <v>627</v>
      </c>
      <c r="U1738" s="2" t="s">
        <v>627</v>
      </c>
      <c r="V1738" s="2" t="s">
        <v>627</v>
      </c>
      <c r="W1738" s="2" t="s">
        <v>627</v>
      </c>
      <c r="X1738" s="2" t="s">
        <v>10183</v>
      </c>
      <c r="Y1738" s="2" t="s">
        <v>10184</v>
      </c>
      <c r="Z1738" s="6">
        <v>88612117</v>
      </c>
      <c r="AA1738" s="2" t="s">
        <v>10185</v>
      </c>
      <c r="AB1738" s="2" t="s">
        <v>642</v>
      </c>
      <c r="AC1738" s="2" t="s">
        <v>632</v>
      </c>
      <c r="AD1738" s="10">
        <v>88612117</v>
      </c>
      <c r="AE1738" s="11"/>
      <c r="AF1738" s="11"/>
      <c r="AG1738" s="11">
        <v>88612117</v>
      </c>
      <c r="AH1738" s="11"/>
      <c r="AI1738" s="11"/>
      <c r="AJ1738" s="11">
        <v>88612117</v>
      </c>
      <c r="AK1738" s="12">
        <v>3</v>
      </c>
      <c r="AL1738" s="12" t="s">
        <v>7377</v>
      </c>
      <c r="AM1738" s="2">
        <v>0</v>
      </c>
      <c r="AN1738" s="2">
        <v>0</v>
      </c>
      <c r="AO1738" s="2">
        <v>0</v>
      </c>
      <c r="AP1738" s="2">
        <v>1</v>
      </c>
      <c r="AQ1738" s="2">
        <v>0</v>
      </c>
      <c r="AR1738" s="2">
        <v>0</v>
      </c>
      <c r="AS1738" s="2">
        <v>0</v>
      </c>
      <c r="AT1738" s="2">
        <v>0</v>
      </c>
      <c r="AZ1738" s="2" t="s">
        <v>10186</v>
      </c>
      <c r="BB1738" s="2" t="str">
        <f>+PROPER(BD[[#This Row],[PRIMER_APELLIDO]])</f>
        <v>Ruiz</v>
      </c>
    </row>
    <row r="1739" spans="1:54" x14ac:dyDescent="0.25">
      <c r="A1739" s="2">
        <v>1738</v>
      </c>
      <c r="B1739" s="2">
        <v>15430</v>
      </c>
      <c r="C1739" s="5" t="s">
        <v>619</v>
      </c>
      <c r="D1739" s="2" t="s">
        <v>620</v>
      </c>
      <c r="E1739" s="6" t="s">
        <v>10187</v>
      </c>
      <c r="F1739" s="6"/>
      <c r="G1739" s="3">
        <v>45</v>
      </c>
      <c r="I1739" s="7"/>
      <c r="J1739" s="7"/>
      <c r="K1739" s="8">
        <v>44.805479452054797</v>
      </c>
      <c r="L1739" s="2" t="s">
        <v>8709</v>
      </c>
      <c r="M1739" s="2" t="s">
        <v>2497</v>
      </c>
      <c r="N1739" s="2" t="s">
        <v>360</v>
      </c>
      <c r="O1739" s="2" t="s">
        <v>53</v>
      </c>
      <c r="P1739" s="2" t="s">
        <v>626</v>
      </c>
      <c r="Q1739" s="2" t="s">
        <v>351</v>
      </c>
      <c r="R1739" s="9">
        <v>28442</v>
      </c>
      <c r="S1739" s="9">
        <v>28442</v>
      </c>
      <c r="T1739" s="2" t="s">
        <v>705</v>
      </c>
      <c r="U1739" s="2" t="s">
        <v>705</v>
      </c>
      <c r="V1739" s="2" t="s">
        <v>705</v>
      </c>
      <c r="W1739" s="2" t="s">
        <v>705</v>
      </c>
      <c r="X1739" s="2" t="s">
        <v>10188</v>
      </c>
      <c r="Y1739" s="2" t="s">
        <v>10189</v>
      </c>
      <c r="Z1739" s="6">
        <v>83300680</v>
      </c>
      <c r="AA1739" s="2" t="s">
        <v>10190</v>
      </c>
      <c r="AB1739" s="2" t="s">
        <v>642</v>
      </c>
      <c r="AC1739" s="2" t="s">
        <v>632</v>
      </c>
      <c r="AD1739" s="10">
        <v>83300680</v>
      </c>
      <c r="AE1739" s="11"/>
      <c r="AF1739" s="11"/>
      <c r="AG1739" s="11">
        <v>83300680</v>
      </c>
      <c r="AH1739" s="11"/>
      <c r="AI1739" s="11"/>
      <c r="AJ1739" s="11">
        <v>83300680</v>
      </c>
      <c r="AK1739" s="12">
        <v>3</v>
      </c>
      <c r="AL1739" s="12" t="s">
        <v>7377</v>
      </c>
      <c r="AM1739" s="2">
        <v>0</v>
      </c>
      <c r="AN1739" s="2">
        <v>0</v>
      </c>
      <c r="AO1739" s="2">
        <v>0</v>
      </c>
      <c r="AP1739" s="2">
        <v>1</v>
      </c>
      <c r="AQ1739" s="2">
        <v>0</v>
      </c>
      <c r="AR1739" s="2">
        <v>0</v>
      </c>
      <c r="AS1739" s="2">
        <v>0</v>
      </c>
      <c r="AT1739" s="2">
        <v>0</v>
      </c>
      <c r="AZ1739" s="2" t="s">
        <v>10191</v>
      </c>
      <c r="BB1739" s="2" t="str">
        <f>+PROPER(BD[[#This Row],[PRIMER_APELLIDO]])</f>
        <v>Casco</v>
      </c>
    </row>
    <row r="1740" spans="1:54" x14ac:dyDescent="0.25">
      <c r="A1740" s="2">
        <v>1739</v>
      </c>
      <c r="B1740" s="2">
        <v>24150</v>
      </c>
      <c r="C1740" s="5" t="s">
        <v>619</v>
      </c>
      <c r="D1740" s="2" t="s">
        <v>620</v>
      </c>
      <c r="E1740" s="6" t="s">
        <v>10192</v>
      </c>
      <c r="F1740" s="6">
        <v>23399697</v>
      </c>
      <c r="G1740" s="3">
        <v>45</v>
      </c>
      <c r="I1740" s="7"/>
      <c r="J1740" s="7"/>
      <c r="K1740" s="8">
        <v>44.813698630136983</v>
      </c>
      <c r="L1740" s="2" t="s">
        <v>937</v>
      </c>
      <c r="M1740" s="2" t="s">
        <v>1176</v>
      </c>
      <c r="N1740" s="2" t="s">
        <v>82</v>
      </c>
      <c r="O1740" s="2" t="s">
        <v>9</v>
      </c>
      <c r="P1740" s="2" t="s">
        <v>626</v>
      </c>
      <c r="Q1740" s="2" t="s">
        <v>351</v>
      </c>
      <c r="R1740" s="9">
        <v>28439</v>
      </c>
      <c r="S1740" s="9">
        <v>28439</v>
      </c>
      <c r="T1740" s="2" t="s">
        <v>1104</v>
      </c>
      <c r="U1740" s="2" t="s">
        <v>1104</v>
      </c>
      <c r="V1740" s="2" t="s">
        <v>1104</v>
      </c>
      <c r="W1740" s="2" t="s">
        <v>1104</v>
      </c>
      <c r="X1740" s="2" t="s">
        <v>10193</v>
      </c>
      <c r="Y1740" s="2" t="s">
        <v>10194</v>
      </c>
      <c r="Z1740" s="6">
        <v>86315070</v>
      </c>
      <c r="AA1740" s="2" t="s">
        <v>10195</v>
      </c>
      <c r="AB1740" s="2" t="s">
        <v>654</v>
      </c>
      <c r="AC1740" s="2" t="s">
        <v>632</v>
      </c>
      <c r="AD1740" s="10">
        <v>86315070</v>
      </c>
      <c r="AE1740" s="11"/>
      <c r="AF1740" s="11"/>
      <c r="AG1740" s="11">
        <v>27724040</v>
      </c>
      <c r="AH1740" s="11">
        <v>86111630</v>
      </c>
      <c r="AI1740" s="11"/>
      <c r="AJ1740" s="11">
        <v>86315070</v>
      </c>
      <c r="AK1740" s="12">
        <v>4</v>
      </c>
      <c r="AL1740" s="12" t="s">
        <v>7377</v>
      </c>
      <c r="AM1740" s="2">
        <v>0</v>
      </c>
      <c r="AN1740" s="2">
        <v>0</v>
      </c>
      <c r="AO1740" s="2">
        <v>0</v>
      </c>
      <c r="AP1740" s="2">
        <v>1</v>
      </c>
      <c r="AQ1740" s="2">
        <v>0</v>
      </c>
      <c r="AR1740" s="2">
        <v>0</v>
      </c>
      <c r="AS1740" s="2">
        <v>0</v>
      </c>
      <c r="AT1740" s="2">
        <v>0</v>
      </c>
      <c r="BB1740" s="2" t="str">
        <f>+PROPER(BD[[#This Row],[PRIMER_APELLIDO]])</f>
        <v>Morales</v>
      </c>
    </row>
    <row r="1741" spans="1:54" x14ac:dyDescent="0.25">
      <c r="A1741" s="2">
        <v>1740</v>
      </c>
      <c r="B1741" s="2">
        <v>29159</v>
      </c>
      <c r="C1741" s="5" t="s">
        <v>619</v>
      </c>
      <c r="D1741" s="2" t="s">
        <v>620</v>
      </c>
      <c r="E1741" s="6" t="s">
        <v>10196</v>
      </c>
      <c r="F1741" s="6">
        <v>10549041</v>
      </c>
      <c r="G1741" s="3">
        <v>45</v>
      </c>
      <c r="I1741" s="7"/>
      <c r="J1741" s="7"/>
      <c r="K1741" s="8">
        <v>44.819178082191783</v>
      </c>
      <c r="L1741" s="2" t="s">
        <v>4731</v>
      </c>
      <c r="M1741" s="2" t="s">
        <v>4732</v>
      </c>
      <c r="N1741" s="2" t="s">
        <v>82</v>
      </c>
      <c r="O1741" s="2" t="s">
        <v>255</v>
      </c>
      <c r="P1741" s="2" t="s">
        <v>626</v>
      </c>
      <c r="Q1741" s="2" t="s">
        <v>351</v>
      </c>
      <c r="R1741" s="9">
        <v>28437</v>
      </c>
      <c r="S1741" s="9">
        <v>28437</v>
      </c>
      <c r="T1741" s="2" t="s">
        <v>929</v>
      </c>
      <c r="U1741" s="2" t="s">
        <v>929</v>
      </c>
      <c r="V1741" s="2" t="s">
        <v>1653</v>
      </c>
      <c r="W1741" s="2" t="s">
        <v>1653</v>
      </c>
      <c r="X1741" s="2" t="s">
        <v>10197</v>
      </c>
      <c r="Y1741" s="2" t="s">
        <v>10198</v>
      </c>
      <c r="Z1741" s="6"/>
      <c r="AA1741" s="2">
        <v>84017508</v>
      </c>
      <c r="AB1741" s="2" t="s">
        <v>654</v>
      </c>
      <c r="AC1741" s="2" t="s">
        <v>632</v>
      </c>
      <c r="AD1741" s="10"/>
      <c r="AE1741" s="11"/>
      <c r="AF1741" s="11">
        <v>84017508</v>
      </c>
      <c r="AG1741" s="11"/>
      <c r="AH1741" s="11"/>
      <c r="AI1741" s="11"/>
      <c r="AJ1741" s="11">
        <v>84017508</v>
      </c>
      <c r="AK1741" s="12">
        <v>1</v>
      </c>
      <c r="AL1741" s="12" t="s">
        <v>7377</v>
      </c>
      <c r="AM1741" s="2">
        <v>0</v>
      </c>
      <c r="AN1741" s="2">
        <v>0</v>
      </c>
      <c r="AO1741" s="2">
        <v>0</v>
      </c>
      <c r="AP1741" s="2">
        <v>1</v>
      </c>
      <c r="AQ1741" s="2">
        <v>0</v>
      </c>
      <c r="AR1741" s="2">
        <v>0</v>
      </c>
      <c r="AS1741" s="2">
        <v>0</v>
      </c>
      <c r="AT1741" s="2">
        <v>0</v>
      </c>
      <c r="BB1741" s="2" t="str">
        <f>+PROPER(BD[[#This Row],[PRIMER_APELLIDO]])</f>
        <v>Morales</v>
      </c>
    </row>
    <row r="1742" spans="1:54" x14ac:dyDescent="0.25">
      <c r="A1742" s="2">
        <v>1741</v>
      </c>
      <c r="B1742" s="2">
        <v>24697</v>
      </c>
      <c r="C1742" s="5" t="s">
        <v>619</v>
      </c>
      <c r="D1742" s="2" t="s">
        <v>620</v>
      </c>
      <c r="E1742" s="6" t="s">
        <v>10199</v>
      </c>
      <c r="F1742" s="6">
        <v>20947620</v>
      </c>
      <c r="G1742" s="3">
        <v>45</v>
      </c>
      <c r="I1742" s="7"/>
      <c r="J1742" s="7"/>
      <c r="K1742" s="8">
        <v>44.827397260273976</v>
      </c>
      <c r="L1742" s="2" t="s">
        <v>10200</v>
      </c>
      <c r="N1742" s="2" t="s">
        <v>90</v>
      </c>
      <c r="O1742" s="2" t="s">
        <v>315</v>
      </c>
      <c r="P1742" s="2" t="s">
        <v>626</v>
      </c>
      <c r="Q1742" s="2" t="s">
        <v>351</v>
      </c>
      <c r="R1742" s="9">
        <v>28434</v>
      </c>
      <c r="S1742" s="9">
        <v>28434</v>
      </c>
      <c r="T1742" s="2" t="s">
        <v>176</v>
      </c>
      <c r="U1742" s="2" t="s">
        <v>176</v>
      </c>
      <c r="V1742" s="2" t="s">
        <v>650</v>
      </c>
      <c r="W1742" s="2" t="s">
        <v>176</v>
      </c>
      <c r="X1742" s="2" t="s">
        <v>10201</v>
      </c>
      <c r="Y1742" s="2" t="s">
        <v>10202</v>
      </c>
      <c r="Z1742" s="6"/>
      <c r="AA1742" s="2" t="s">
        <v>10203</v>
      </c>
      <c r="AB1742" s="2" t="s">
        <v>654</v>
      </c>
      <c r="AC1742" s="2" t="s">
        <v>632</v>
      </c>
      <c r="AD1742" s="10"/>
      <c r="AE1742" s="11"/>
      <c r="AF1742" s="11"/>
      <c r="AG1742" s="11">
        <v>88434939</v>
      </c>
      <c r="AH1742" s="11"/>
      <c r="AI1742" s="11"/>
      <c r="AJ1742" s="11">
        <v>88434939</v>
      </c>
      <c r="AK1742" s="12">
        <v>2</v>
      </c>
      <c r="AL1742" s="12" t="s">
        <v>7377</v>
      </c>
      <c r="AM1742" s="2">
        <v>0</v>
      </c>
      <c r="AN1742" s="2">
        <v>0</v>
      </c>
      <c r="AO1742" s="2">
        <v>0</v>
      </c>
      <c r="AP1742" s="2">
        <v>1</v>
      </c>
      <c r="AQ1742" s="2">
        <v>0</v>
      </c>
      <c r="AR1742" s="2">
        <v>0</v>
      </c>
      <c r="AS1742" s="2">
        <v>0</v>
      </c>
      <c r="AT1742" s="2">
        <v>0</v>
      </c>
      <c r="BB1742" s="2" t="str">
        <f>+PROPER(BD[[#This Row],[PRIMER_APELLIDO]])</f>
        <v>Sanchez</v>
      </c>
    </row>
    <row r="1743" spans="1:54" x14ac:dyDescent="0.25">
      <c r="A1743" s="2">
        <v>1742</v>
      </c>
      <c r="B1743" s="2">
        <v>15104</v>
      </c>
      <c r="C1743" s="5" t="s">
        <v>619</v>
      </c>
      <c r="D1743" s="2" t="s">
        <v>620</v>
      </c>
      <c r="E1743" s="6" t="s">
        <v>10204</v>
      </c>
      <c r="F1743" s="6">
        <v>15221391</v>
      </c>
      <c r="G1743" s="3">
        <v>45</v>
      </c>
      <c r="I1743" s="7"/>
      <c r="J1743" s="7"/>
      <c r="K1743" s="8">
        <v>44.832876712328769</v>
      </c>
      <c r="L1743" s="2" t="s">
        <v>10205</v>
      </c>
      <c r="M1743" s="2" t="s">
        <v>3757</v>
      </c>
      <c r="N1743" s="2" t="s">
        <v>203</v>
      </c>
      <c r="O1743" s="2" t="s">
        <v>105</v>
      </c>
      <c r="P1743" s="2" t="s">
        <v>649</v>
      </c>
      <c r="Q1743" s="2" t="s">
        <v>351</v>
      </c>
      <c r="R1743" s="9">
        <v>28432</v>
      </c>
      <c r="S1743" s="9">
        <v>28432</v>
      </c>
      <c r="T1743" s="2" t="s">
        <v>176</v>
      </c>
      <c r="U1743" s="2" t="s">
        <v>176</v>
      </c>
      <c r="V1743" s="2" t="s">
        <v>650</v>
      </c>
      <c r="W1743" s="2" t="s">
        <v>176</v>
      </c>
      <c r="X1743" s="2" t="s">
        <v>10206</v>
      </c>
      <c r="Y1743" s="2" t="s">
        <v>10207</v>
      </c>
      <c r="Z1743" s="6"/>
      <c r="AA1743" s="2">
        <v>58523855</v>
      </c>
      <c r="AB1743" s="2" t="s">
        <v>654</v>
      </c>
      <c r="AC1743" s="2" t="s">
        <v>632</v>
      </c>
      <c r="AD1743" s="10"/>
      <c r="AE1743" s="11"/>
      <c r="AF1743" s="11">
        <v>58523855</v>
      </c>
      <c r="AG1743" s="11"/>
      <c r="AH1743" s="11"/>
      <c r="AI1743" s="11"/>
      <c r="AJ1743" s="11">
        <v>58523855</v>
      </c>
      <c r="AK1743" s="12">
        <v>1</v>
      </c>
      <c r="AL1743" s="12" t="s">
        <v>7377</v>
      </c>
      <c r="AM1743" s="2">
        <v>0</v>
      </c>
      <c r="AN1743" s="2">
        <v>0</v>
      </c>
      <c r="AO1743" s="2">
        <v>0</v>
      </c>
      <c r="AP1743" s="2">
        <v>1</v>
      </c>
      <c r="AQ1743" s="2">
        <v>0</v>
      </c>
      <c r="AR1743" s="2">
        <v>0</v>
      </c>
      <c r="AS1743" s="2">
        <v>0</v>
      </c>
      <c r="AT1743" s="2">
        <v>0</v>
      </c>
      <c r="BB1743" s="2" t="str">
        <f>+PROPER(BD[[#This Row],[PRIMER_APELLIDO]])</f>
        <v>Mendez</v>
      </c>
    </row>
    <row r="1744" spans="1:54" x14ac:dyDescent="0.25">
      <c r="A1744" s="2">
        <v>1743</v>
      </c>
      <c r="B1744" s="2">
        <v>15859</v>
      </c>
      <c r="C1744" s="5" t="s">
        <v>619</v>
      </c>
      <c r="D1744" s="2" t="s">
        <v>620</v>
      </c>
      <c r="E1744" s="6" t="s">
        <v>10208</v>
      </c>
      <c r="F1744" s="6">
        <v>16205994</v>
      </c>
      <c r="G1744" s="3">
        <v>45</v>
      </c>
      <c r="I1744" s="7"/>
      <c r="J1744" s="7"/>
      <c r="K1744" s="8">
        <v>44.832876712328769</v>
      </c>
      <c r="L1744" s="2" t="s">
        <v>4484</v>
      </c>
      <c r="N1744" s="2" t="s">
        <v>464</v>
      </c>
      <c r="O1744" s="2" t="s">
        <v>185</v>
      </c>
      <c r="P1744" s="2" t="s">
        <v>626</v>
      </c>
      <c r="Q1744" s="2" t="s">
        <v>351</v>
      </c>
      <c r="R1744" s="9">
        <v>28432</v>
      </c>
      <c r="S1744" s="9">
        <v>28432</v>
      </c>
      <c r="T1744" s="2" t="s">
        <v>705</v>
      </c>
      <c r="U1744" s="2" t="s">
        <v>705</v>
      </c>
      <c r="V1744" s="2" t="s">
        <v>705</v>
      </c>
      <c r="W1744" s="2" t="s">
        <v>705</v>
      </c>
      <c r="X1744" s="2" t="s">
        <v>10209</v>
      </c>
      <c r="Y1744" s="2" t="s">
        <v>10210</v>
      </c>
      <c r="Z1744" s="6">
        <v>88852537</v>
      </c>
      <c r="AA1744" s="2">
        <v>88852537</v>
      </c>
      <c r="AB1744" s="2" t="s">
        <v>642</v>
      </c>
      <c r="AC1744" s="2" t="s">
        <v>632</v>
      </c>
      <c r="AD1744" s="10">
        <v>88852537</v>
      </c>
      <c r="AE1744" s="11"/>
      <c r="AF1744" s="11">
        <v>88852537</v>
      </c>
      <c r="AG1744" s="11"/>
      <c r="AH1744" s="11"/>
      <c r="AI1744" s="11"/>
      <c r="AJ1744" s="11">
        <v>88852537</v>
      </c>
      <c r="AK1744" s="12">
        <v>2</v>
      </c>
      <c r="AL1744" s="12" t="s">
        <v>7377</v>
      </c>
      <c r="AM1744" s="2">
        <v>0</v>
      </c>
      <c r="AN1744" s="2">
        <v>0</v>
      </c>
      <c r="AO1744" s="2">
        <v>0</v>
      </c>
      <c r="AP1744" s="2">
        <v>1</v>
      </c>
      <c r="AQ1744" s="2">
        <v>0</v>
      </c>
      <c r="AR1744" s="2">
        <v>0</v>
      </c>
      <c r="AS1744" s="2">
        <v>0</v>
      </c>
      <c r="AT1744" s="2">
        <v>0</v>
      </c>
      <c r="AZ1744" s="2" t="s">
        <v>10211</v>
      </c>
      <c r="BB1744" s="2" t="str">
        <f>+PROPER(BD[[#This Row],[PRIMER_APELLIDO]])</f>
        <v>Oviedo</v>
      </c>
    </row>
    <row r="1745" spans="1:54" x14ac:dyDescent="0.25">
      <c r="A1745" s="2">
        <v>1744</v>
      </c>
      <c r="B1745" s="2">
        <v>49713</v>
      </c>
      <c r="C1745" s="5" t="s">
        <v>619</v>
      </c>
      <c r="D1745" s="2" t="s">
        <v>620</v>
      </c>
      <c r="E1745" s="6" t="s">
        <v>10212</v>
      </c>
      <c r="F1745" s="6">
        <v>15331447</v>
      </c>
      <c r="G1745" s="3">
        <v>45</v>
      </c>
      <c r="I1745" s="7"/>
      <c r="J1745" s="7"/>
      <c r="K1745" s="8">
        <v>44.832876712328769</v>
      </c>
      <c r="L1745" s="2" t="s">
        <v>1554</v>
      </c>
      <c r="M1745" s="2" t="s">
        <v>1480</v>
      </c>
      <c r="N1745" s="2" t="s">
        <v>467</v>
      </c>
      <c r="O1745" s="2" t="s">
        <v>428</v>
      </c>
      <c r="P1745" s="2" t="s">
        <v>649</v>
      </c>
      <c r="Q1745" s="2" t="s">
        <v>351</v>
      </c>
      <c r="R1745" s="9">
        <v>28432</v>
      </c>
      <c r="S1745" s="9">
        <v>28432</v>
      </c>
      <c r="T1745" s="2" t="s">
        <v>732</v>
      </c>
      <c r="U1745" s="2" t="s">
        <v>732</v>
      </c>
      <c r="V1745" s="2" t="s">
        <v>2793</v>
      </c>
      <c r="W1745" s="2" t="s">
        <v>2793</v>
      </c>
      <c r="X1745" s="2" t="s">
        <v>10213</v>
      </c>
      <c r="Y1745" s="2" t="s">
        <v>10214</v>
      </c>
      <c r="Z1745" s="6">
        <v>57140725</v>
      </c>
      <c r="AB1745" s="2" t="s">
        <v>654</v>
      </c>
      <c r="AC1745" s="2" t="s">
        <v>632</v>
      </c>
      <c r="AD1745" s="10">
        <v>57140725</v>
      </c>
      <c r="AE1745" s="11"/>
      <c r="AF1745" s="11"/>
      <c r="AG1745" s="11"/>
      <c r="AH1745" s="11"/>
      <c r="AI1745" s="11"/>
      <c r="AJ1745" s="11">
        <v>57140725</v>
      </c>
      <c r="AK1745" s="12">
        <v>1</v>
      </c>
      <c r="AL1745" s="12" t="s">
        <v>7377</v>
      </c>
      <c r="AM1745" s="2">
        <v>0</v>
      </c>
      <c r="AN1745" s="2">
        <v>0</v>
      </c>
      <c r="AO1745" s="2">
        <v>0</v>
      </c>
      <c r="AP1745" s="2">
        <v>1</v>
      </c>
      <c r="AQ1745" s="2">
        <v>0</v>
      </c>
      <c r="AR1745" s="2">
        <v>0</v>
      </c>
      <c r="AS1745" s="2">
        <v>0</v>
      </c>
      <c r="AT1745" s="2">
        <v>0</v>
      </c>
      <c r="BB1745" s="2" t="str">
        <f>+PROPER(BD[[#This Row],[PRIMER_APELLIDO]])</f>
        <v>Jimenez</v>
      </c>
    </row>
    <row r="1746" spans="1:54" x14ac:dyDescent="0.25">
      <c r="A1746" s="2">
        <v>1745</v>
      </c>
      <c r="B1746" s="2">
        <v>27241</v>
      </c>
      <c r="C1746" s="5" t="s">
        <v>619</v>
      </c>
      <c r="D1746" s="2" t="s">
        <v>620</v>
      </c>
      <c r="E1746" s="6" t="s">
        <v>10215</v>
      </c>
      <c r="F1746" s="6">
        <v>21553673</v>
      </c>
      <c r="G1746" s="3">
        <v>45</v>
      </c>
      <c r="I1746" s="7"/>
      <c r="J1746" s="7"/>
      <c r="K1746" s="8">
        <v>44.841095890410962</v>
      </c>
      <c r="L1746" s="2" t="s">
        <v>9648</v>
      </c>
      <c r="M1746" s="2" t="s">
        <v>1857</v>
      </c>
      <c r="N1746" s="2" t="s">
        <v>58</v>
      </c>
      <c r="O1746" s="2" t="s">
        <v>44</v>
      </c>
      <c r="P1746" s="2" t="s">
        <v>649</v>
      </c>
      <c r="Q1746" s="2" t="s">
        <v>351</v>
      </c>
      <c r="R1746" s="9">
        <v>28429</v>
      </c>
      <c r="S1746" s="9">
        <v>28429</v>
      </c>
      <c r="T1746" s="2" t="s">
        <v>691</v>
      </c>
      <c r="U1746" s="2" t="s">
        <v>691</v>
      </c>
      <c r="V1746" s="2" t="s">
        <v>1693</v>
      </c>
      <c r="W1746" s="2" t="s">
        <v>1693</v>
      </c>
      <c r="X1746" s="2" t="s">
        <v>10216</v>
      </c>
      <c r="Y1746" s="2" t="s">
        <v>10217</v>
      </c>
      <c r="Z1746" s="6">
        <v>86144242</v>
      </c>
      <c r="AA1746" s="2" t="s">
        <v>10218</v>
      </c>
      <c r="AB1746" s="2" t="s">
        <v>654</v>
      </c>
      <c r="AC1746" s="2" t="s">
        <v>632</v>
      </c>
      <c r="AD1746" s="10">
        <v>86144242</v>
      </c>
      <c r="AE1746" s="11"/>
      <c r="AF1746" s="11">
        <v>86644941</v>
      </c>
      <c r="AG1746" s="11">
        <v>86061541</v>
      </c>
      <c r="AH1746" s="11"/>
      <c r="AI1746" s="11"/>
      <c r="AJ1746" s="11">
        <v>86144242</v>
      </c>
      <c r="AK1746" s="12">
        <v>3</v>
      </c>
      <c r="AL1746" s="12" t="s">
        <v>7377</v>
      </c>
      <c r="AM1746" s="2">
        <v>0</v>
      </c>
      <c r="AN1746" s="2">
        <v>0</v>
      </c>
      <c r="AO1746" s="2">
        <v>0</v>
      </c>
      <c r="AP1746" s="2">
        <v>1</v>
      </c>
      <c r="AQ1746" s="2">
        <v>0</v>
      </c>
      <c r="AR1746" s="2">
        <v>0</v>
      </c>
      <c r="AS1746" s="2">
        <v>0</v>
      </c>
      <c r="AT1746" s="2">
        <v>0</v>
      </c>
      <c r="AZ1746" s="2" t="s">
        <v>10219</v>
      </c>
      <c r="BB1746" s="2" t="str">
        <f>+PROPER(BD[[#This Row],[PRIMER_APELLIDO]])</f>
        <v>Flores</v>
      </c>
    </row>
    <row r="1747" spans="1:54" x14ac:dyDescent="0.25">
      <c r="A1747" s="2">
        <v>1746</v>
      </c>
      <c r="B1747" s="2">
        <v>15907</v>
      </c>
      <c r="C1747" s="5" t="s">
        <v>619</v>
      </c>
      <c r="D1747" s="2" t="s">
        <v>620</v>
      </c>
      <c r="E1747" s="6" t="s">
        <v>10220</v>
      </c>
      <c r="F1747" s="6">
        <v>15697459</v>
      </c>
      <c r="G1747" s="3">
        <v>45</v>
      </c>
      <c r="I1747" s="7"/>
      <c r="J1747" s="7"/>
      <c r="K1747" s="8">
        <v>44.852054794520548</v>
      </c>
      <c r="L1747" s="2" t="s">
        <v>10221</v>
      </c>
      <c r="M1747" s="2" t="s">
        <v>724</v>
      </c>
      <c r="N1747" s="2" t="s">
        <v>253</v>
      </c>
      <c r="O1747" s="2" t="s">
        <v>140</v>
      </c>
      <c r="P1747" s="2" t="s">
        <v>626</v>
      </c>
      <c r="Q1747" s="2" t="s">
        <v>351</v>
      </c>
      <c r="R1747" s="9">
        <v>28425</v>
      </c>
      <c r="S1747" s="9">
        <v>28425</v>
      </c>
      <c r="U1747" s="2" t="s">
        <v>176</v>
      </c>
      <c r="W1747" s="2" t="s">
        <v>176</v>
      </c>
      <c r="X1747" s="2" t="s">
        <v>10222</v>
      </c>
      <c r="Y1747" s="2" t="s">
        <v>10223</v>
      </c>
      <c r="Z1747" s="6"/>
      <c r="AA1747" s="2">
        <v>23110934</v>
      </c>
      <c r="AB1747" s="2" t="s">
        <v>642</v>
      </c>
      <c r="AC1747" s="2" t="s">
        <v>632</v>
      </c>
      <c r="AD1747" s="10"/>
      <c r="AE1747" s="11"/>
      <c r="AF1747" s="11"/>
      <c r="AG1747" s="11"/>
      <c r="AH1747" s="11"/>
      <c r="AI1747" s="11"/>
      <c r="AJ1747" s="11"/>
      <c r="AK1747" s="12">
        <v>1</v>
      </c>
      <c r="AL1747" s="12" t="s">
        <v>7377</v>
      </c>
      <c r="AM1747" s="2">
        <v>0</v>
      </c>
      <c r="AN1747" s="2">
        <v>0</v>
      </c>
      <c r="AO1747" s="2">
        <v>0</v>
      </c>
      <c r="AP1747" s="2">
        <v>1</v>
      </c>
      <c r="AQ1747" s="2">
        <v>0</v>
      </c>
      <c r="AR1747" s="2">
        <v>0</v>
      </c>
      <c r="AS1747" s="2">
        <v>0</v>
      </c>
      <c r="AT1747" s="2">
        <v>0</v>
      </c>
      <c r="BB1747" s="2" t="str">
        <f>+PROPER(BD[[#This Row],[PRIMER_APELLIDO]])</f>
        <v>Betanco</v>
      </c>
    </row>
    <row r="1748" spans="1:54" x14ac:dyDescent="0.25">
      <c r="A1748" s="2">
        <v>1747</v>
      </c>
      <c r="B1748" s="2">
        <v>38338</v>
      </c>
      <c r="C1748" s="5" t="s">
        <v>619</v>
      </c>
      <c r="D1748" s="2" t="s">
        <v>620</v>
      </c>
      <c r="E1748" s="6" t="s">
        <v>10224</v>
      </c>
      <c r="F1748" s="6">
        <v>21055160</v>
      </c>
      <c r="G1748" s="3">
        <v>45</v>
      </c>
      <c r="I1748" s="7"/>
      <c r="J1748" s="7"/>
      <c r="K1748" s="8">
        <v>44.854794520547948</v>
      </c>
      <c r="L1748" s="2" t="s">
        <v>10225</v>
      </c>
      <c r="M1748" s="2" t="s">
        <v>961</v>
      </c>
      <c r="N1748" s="2" t="s">
        <v>58</v>
      </c>
      <c r="O1748" s="2" t="s">
        <v>18</v>
      </c>
      <c r="P1748" s="2" t="s">
        <v>626</v>
      </c>
      <c r="Q1748" s="2" t="s">
        <v>351</v>
      </c>
      <c r="R1748" s="9">
        <v>28424</v>
      </c>
      <c r="S1748" s="9">
        <v>28424</v>
      </c>
      <c r="T1748" s="2" t="s">
        <v>732</v>
      </c>
      <c r="U1748" s="2" t="s">
        <v>732</v>
      </c>
      <c r="V1748" s="2" t="s">
        <v>732</v>
      </c>
      <c r="W1748" s="2" t="s">
        <v>732</v>
      </c>
      <c r="X1748" s="2" t="s">
        <v>10226</v>
      </c>
      <c r="Y1748" s="2" t="s">
        <v>10227</v>
      </c>
      <c r="Z1748" s="6">
        <v>89818178</v>
      </c>
      <c r="AA1748" s="2" t="s">
        <v>10228</v>
      </c>
      <c r="AB1748" s="2" t="s">
        <v>642</v>
      </c>
      <c r="AC1748" s="2" t="s">
        <v>632</v>
      </c>
      <c r="AD1748" s="10">
        <v>89818178</v>
      </c>
      <c r="AE1748" s="11"/>
      <c r="AF1748" s="11"/>
      <c r="AG1748" s="11">
        <v>89818178</v>
      </c>
      <c r="AH1748" s="11"/>
      <c r="AI1748" s="11"/>
      <c r="AJ1748" s="11">
        <v>89818178</v>
      </c>
      <c r="AK1748" s="12">
        <v>3</v>
      </c>
      <c r="AL1748" s="12" t="s">
        <v>7377</v>
      </c>
      <c r="AM1748" s="2">
        <v>0</v>
      </c>
      <c r="AN1748" s="2">
        <v>0</v>
      </c>
      <c r="AO1748" s="2">
        <v>0</v>
      </c>
      <c r="AP1748" s="2">
        <v>1</v>
      </c>
      <c r="AQ1748" s="2">
        <v>0</v>
      </c>
      <c r="AR1748" s="2">
        <v>0</v>
      </c>
      <c r="AS1748" s="2">
        <v>0</v>
      </c>
      <c r="AT1748" s="2">
        <v>0</v>
      </c>
      <c r="AZ1748" s="2" t="s">
        <v>10229</v>
      </c>
      <c r="BB1748" s="2" t="str">
        <f>+PROPER(BD[[#This Row],[PRIMER_APELLIDO]])</f>
        <v>Flores</v>
      </c>
    </row>
    <row r="1749" spans="1:54" x14ac:dyDescent="0.25">
      <c r="A1749" s="2">
        <v>1748</v>
      </c>
      <c r="B1749" s="2">
        <v>24494</v>
      </c>
      <c r="C1749" s="5" t="s">
        <v>619</v>
      </c>
      <c r="D1749" s="2" t="s">
        <v>620</v>
      </c>
      <c r="E1749" s="6" t="s">
        <v>10230</v>
      </c>
      <c r="F1749" s="6">
        <v>18337817</v>
      </c>
      <c r="G1749" s="3">
        <v>45</v>
      </c>
      <c r="I1749" s="7"/>
      <c r="J1749" s="7"/>
      <c r="K1749" s="8">
        <v>44.868493150684934</v>
      </c>
      <c r="L1749" s="2" t="s">
        <v>860</v>
      </c>
      <c r="M1749" s="2" t="s">
        <v>1177</v>
      </c>
      <c r="N1749" s="2" t="s">
        <v>457</v>
      </c>
      <c r="O1749" s="2" t="s">
        <v>4084</v>
      </c>
      <c r="P1749" s="2" t="s">
        <v>626</v>
      </c>
      <c r="Q1749" s="2" t="s">
        <v>351</v>
      </c>
      <c r="R1749" s="9">
        <v>28419</v>
      </c>
      <c r="S1749" s="9">
        <v>28419</v>
      </c>
      <c r="U1749" s="2" t="s">
        <v>627</v>
      </c>
      <c r="W1749" s="2" t="s">
        <v>627</v>
      </c>
      <c r="X1749" s="2" t="s">
        <v>10231</v>
      </c>
      <c r="Y1749" s="2" t="s">
        <v>10232</v>
      </c>
      <c r="Z1749" s="6"/>
      <c r="AA1749" s="2" t="s">
        <v>10233</v>
      </c>
      <c r="AB1749" s="2" t="s">
        <v>642</v>
      </c>
      <c r="AC1749" s="2" t="s">
        <v>632</v>
      </c>
      <c r="AD1749" s="10"/>
      <c r="AE1749" s="11"/>
      <c r="AF1749" s="11"/>
      <c r="AG1749" s="11">
        <v>86860812</v>
      </c>
      <c r="AH1749" s="11"/>
      <c r="AI1749" s="11"/>
      <c r="AJ1749" s="11">
        <v>86860812</v>
      </c>
      <c r="AK1749" s="12">
        <v>2</v>
      </c>
      <c r="AL1749" s="12" t="s">
        <v>7377</v>
      </c>
      <c r="AM1749" s="2">
        <v>0</v>
      </c>
      <c r="AN1749" s="2">
        <v>0</v>
      </c>
      <c r="AO1749" s="2">
        <v>0</v>
      </c>
      <c r="AP1749" s="2">
        <v>1</v>
      </c>
      <c r="AQ1749" s="2">
        <v>0</v>
      </c>
      <c r="AR1749" s="2">
        <v>0</v>
      </c>
      <c r="AS1749" s="2">
        <v>0</v>
      </c>
      <c r="AT1749" s="2">
        <v>0</v>
      </c>
      <c r="BB1749" s="2" t="str">
        <f>+PROPER(BD[[#This Row],[PRIMER_APELLIDO]])</f>
        <v>Arias</v>
      </c>
    </row>
    <row r="1750" spans="1:54" x14ac:dyDescent="0.25">
      <c r="A1750" s="2">
        <v>1749</v>
      </c>
      <c r="B1750" s="2">
        <v>21955</v>
      </c>
      <c r="C1750" s="5" t="s">
        <v>619</v>
      </c>
      <c r="D1750" s="2" t="s">
        <v>620</v>
      </c>
      <c r="E1750" s="6" t="s">
        <v>10234</v>
      </c>
      <c r="F1750" s="6">
        <v>20918297</v>
      </c>
      <c r="G1750" s="3">
        <v>45</v>
      </c>
      <c r="I1750" s="7"/>
      <c r="J1750" s="7"/>
      <c r="K1750" s="8">
        <v>44.873972602739727</v>
      </c>
      <c r="L1750" s="2" t="s">
        <v>6376</v>
      </c>
      <c r="M1750" s="2" t="s">
        <v>7703</v>
      </c>
      <c r="N1750" s="2" t="s">
        <v>416</v>
      </c>
      <c r="O1750" s="2" t="s">
        <v>315</v>
      </c>
      <c r="P1750" s="2" t="s">
        <v>626</v>
      </c>
      <c r="Q1750" s="2" t="s">
        <v>351</v>
      </c>
      <c r="R1750" s="9">
        <v>28417</v>
      </c>
      <c r="S1750" s="9">
        <v>28417</v>
      </c>
      <c r="T1750" s="2" t="s">
        <v>627</v>
      </c>
      <c r="U1750" s="2" t="s">
        <v>627</v>
      </c>
      <c r="V1750" s="2" t="s">
        <v>627</v>
      </c>
      <c r="W1750" s="2" t="s">
        <v>627</v>
      </c>
      <c r="X1750" s="2" t="s">
        <v>10235</v>
      </c>
      <c r="Y1750" s="2" t="s">
        <v>10236</v>
      </c>
      <c r="Z1750" s="6"/>
      <c r="AA1750" s="2" t="s">
        <v>10237</v>
      </c>
      <c r="AB1750" s="2" t="s">
        <v>642</v>
      </c>
      <c r="AC1750" s="2" t="s">
        <v>632</v>
      </c>
      <c r="AD1750" s="10"/>
      <c r="AE1750" s="11"/>
      <c r="AF1750" s="11"/>
      <c r="AG1750" s="11">
        <v>86791515</v>
      </c>
      <c r="AH1750" s="11"/>
      <c r="AI1750" s="11"/>
      <c r="AJ1750" s="11">
        <v>86791515</v>
      </c>
      <c r="AK1750" s="12">
        <v>2</v>
      </c>
      <c r="AL1750" s="12" t="s">
        <v>7377</v>
      </c>
      <c r="AM1750" s="2">
        <v>0</v>
      </c>
      <c r="AN1750" s="2">
        <v>0</v>
      </c>
      <c r="AO1750" s="2">
        <v>0</v>
      </c>
      <c r="AP1750" s="2">
        <v>1</v>
      </c>
      <c r="AQ1750" s="2">
        <v>0</v>
      </c>
      <c r="AR1750" s="2">
        <v>0</v>
      </c>
      <c r="AS1750" s="2">
        <v>0</v>
      </c>
      <c r="AT1750" s="2">
        <v>0</v>
      </c>
      <c r="BB1750" s="2" t="str">
        <f>+PROPER(BD[[#This Row],[PRIMER_APELLIDO]])</f>
        <v>Quintana</v>
      </c>
    </row>
    <row r="1751" spans="1:54" x14ac:dyDescent="0.25">
      <c r="A1751" s="2">
        <v>1750</v>
      </c>
      <c r="B1751" s="2">
        <v>24177</v>
      </c>
      <c r="C1751" s="5" t="s">
        <v>619</v>
      </c>
      <c r="D1751" s="2" t="s">
        <v>620</v>
      </c>
      <c r="E1751" s="6" t="s">
        <v>10238</v>
      </c>
      <c r="F1751" s="6">
        <v>20109343</v>
      </c>
      <c r="G1751" s="3">
        <v>45</v>
      </c>
      <c r="I1751" s="7"/>
      <c r="J1751" s="7"/>
      <c r="K1751" s="8">
        <v>44.898630136986299</v>
      </c>
      <c r="L1751" s="2" t="s">
        <v>724</v>
      </c>
      <c r="M1751" s="2" t="s">
        <v>243</v>
      </c>
      <c r="N1751" s="2" t="s">
        <v>120</v>
      </c>
      <c r="O1751" s="2" t="s">
        <v>10</v>
      </c>
      <c r="P1751" s="2" t="s">
        <v>626</v>
      </c>
      <c r="Q1751" s="2" t="s">
        <v>351</v>
      </c>
      <c r="R1751" s="9">
        <v>28408</v>
      </c>
      <c r="S1751" s="9">
        <v>28408</v>
      </c>
      <c r="T1751" s="2" t="s">
        <v>627</v>
      </c>
      <c r="U1751" s="2" t="s">
        <v>627</v>
      </c>
      <c r="V1751" s="2" t="s">
        <v>627</v>
      </c>
      <c r="W1751" s="2" t="s">
        <v>627</v>
      </c>
      <c r="X1751" s="2" t="s">
        <v>10239</v>
      </c>
      <c r="Y1751" s="2" t="s">
        <v>10240</v>
      </c>
      <c r="Z1751" s="6">
        <v>88095995</v>
      </c>
      <c r="AA1751" s="2">
        <v>88095995</v>
      </c>
      <c r="AB1751" s="2" t="s">
        <v>642</v>
      </c>
      <c r="AC1751" s="2" t="s">
        <v>632</v>
      </c>
      <c r="AD1751" s="10">
        <v>88095995</v>
      </c>
      <c r="AE1751" s="11"/>
      <c r="AF1751" s="11">
        <v>88095995</v>
      </c>
      <c r="AG1751" s="11"/>
      <c r="AH1751" s="11"/>
      <c r="AI1751" s="11"/>
      <c r="AJ1751" s="11">
        <v>88095995</v>
      </c>
      <c r="AK1751" s="12">
        <v>2</v>
      </c>
      <c r="AL1751" s="12" t="s">
        <v>7377</v>
      </c>
      <c r="AM1751" s="2">
        <v>0</v>
      </c>
      <c r="AN1751" s="2">
        <v>0</v>
      </c>
      <c r="AO1751" s="2">
        <v>0</v>
      </c>
      <c r="AP1751" s="2">
        <v>1</v>
      </c>
      <c r="AQ1751" s="2">
        <v>0</v>
      </c>
      <c r="AR1751" s="2">
        <v>0</v>
      </c>
      <c r="AS1751" s="2">
        <v>0</v>
      </c>
      <c r="AT1751" s="2">
        <v>0</v>
      </c>
      <c r="AZ1751" s="2" t="s">
        <v>10241</v>
      </c>
      <c r="BA1751" s="2" t="s">
        <v>10242</v>
      </c>
      <c r="BB1751" s="2" t="str">
        <f>+PROPER(BD[[#This Row],[PRIMER_APELLIDO]])</f>
        <v>Baldizon</v>
      </c>
    </row>
    <row r="1752" spans="1:54" x14ac:dyDescent="0.25">
      <c r="A1752" s="2">
        <v>1751</v>
      </c>
      <c r="B1752" s="2">
        <v>20033</v>
      </c>
      <c r="C1752" s="5" t="s">
        <v>619</v>
      </c>
      <c r="D1752" s="2" t="s">
        <v>620</v>
      </c>
      <c r="E1752" s="6" t="s">
        <v>10243</v>
      </c>
      <c r="F1752" s="6">
        <v>17065065</v>
      </c>
      <c r="G1752" s="3">
        <v>45</v>
      </c>
      <c r="I1752" s="7"/>
      <c r="J1752" s="7"/>
      <c r="K1752" s="8">
        <v>44.909589041095892</v>
      </c>
      <c r="L1752" s="2" t="s">
        <v>2486</v>
      </c>
      <c r="M1752" s="2" t="s">
        <v>10244</v>
      </c>
      <c r="N1752" s="2" t="s">
        <v>91</v>
      </c>
      <c r="O1752" s="2" t="s">
        <v>6991</v>
      </c>
      <c r="P1752" s="2" t="s">
        <v>649</v>
      </c>
      <c r="Q1752" s="2" t="s">
        <v>351</v>
      </c>
      <c r="R1752" s="9">
        <v>28404</v>
      </c>
      <c r="S1752" s="9">
        <v>28404</v>
      </c>
      <c r="T1752" s="2" t="s">
        <v>691</v>
      </c>
      <c r="U1752" s="2" t="s">
        <v>627</v>
      </c>
      <c r="V1752" s="2" t="s">
        <v>1693</v>
      </c>
      <c r="W1752" s="2" t="s">
        <v>627</v>
      </c>
      <c r="X1752" s="2" t="s">
        <v>10245</v>
      </c>
      <c r="Y1752" s="2" t="s">
        <v>10246</v>
      </c>
      <c r="Z1752" s="6"/>
      <c r="AA1752" s="2">
        <v>22662765</v>
      </c>
      <c r="AB1752" s="2" t="s">
        <v>654</v>
      </c>
      <c r="AC1752" s="2" t="s">
        <v>632</v>
      </c>
      <c r="AD1752" s="10"/>
      <c r="AE1752" s="11"/>
      <c r="AF1752" s="11"/>
      <c r="AG1752" s="11"/>
      <c r="AH1752" s="11"/>
      <c r="AI1752" s="11"/>
      <c r="AJ1752" s="11"/>
      <c r="AK1752" s="12">
        <v>1</v>
      </c>
      <c r="AL1752" s="12" t="s">
        <v>7377</v>
      </c>
      <c r="AM1752" s="2">
        <v>0</v>
      </c>
      <c r="AN1752" s="2">
        <v>0</v>
      </c>
      <c r="AO1752" s="2">
        <v>0</v>
      </c>
      <c r="AP1752" s="2">
        <v>1</v>
      </c>
      <c r="AQ1752" s="2">
        <v>0</v>
      </c>
      <c r="AR1752" s="2">
        <v>0</v>
      </c>
      <c r="AS1752" s="2">
        <v>0</v>
      </c>
      <c r="AT1752" s="2">
        <v>0</v>
      </c>
      <c r="BB1752" s="2" t="str">
        <f>+PROPER(BD[[#This Row],[PRIMER_APELLIDO]])</f>
        <v>Diaz</v>
      </c>
    </row>
    <row r="1753" spans="1:54" x14ac:dyDescent="0.25">
      <c r="A1753" s="2">
        <v>1752</v>
      </c>
      <c r="B1753" s="2">
        <v>16924</v>
      </c>
      <c r="C1753" s="5" t="s">
        <v>619</v>
      </c>
      <c r="D1753" s="2" t="s">
        <v>620</v>
      </c>
      <c r="E1753" s="6" t="s">
        <v>10247</v>
      </c>
      <c r="F1753" s="6">
        <v>15909406</v>
      </c>
      <c r="G1753" s="3">
        <v>45</v>
      </c>
      <c r="I1753" s="7"/>
      <c r="J1753" s="7"/>
      <c r="K1753" s="8">
        <v>44.912328767123284</v>
      </c>
      <c r="L1753" s="2" t="s">
        <v>1162</v>
      </c>
      <c r="M1753" s="2" t="s">
        <v>10248</v>
      </c>
      <c r="N1753" s="2" t="s">
        <v>225</v>
      </c>
      <c r="O1753" s="2" t="s">
        <v>86</v>
      </c>
      <c r="P1753" s="2" t="s">
        <v>626</v>
      </c>
      <c r="Q1753" s="2" t="s">
        <v>351</v>
      </c>
      <c r="R1753" s="9">
        <v>28403</v>
      </c>
      <c r="S1753" s="9">
        <v>28403</v>
      </c>
      <c r="T1753" s="2" t="s">
        <v>627</v>
      </c>
      <c r="U1753" s="2" t="s">
        <v>627</v>
      </c>
      <c r="V1753" s="2" t="s">
        <v>627</v>
      </c>
      <c r="W1753" s="2" t="s">
        <v>627</v>
      </c>
      <c r="X1753" s="2" t="s">
        <v>10249</v>
      </c>
      <c r="Y1753" s="2" t="s">
        <v>10250</v>
      </c>
      <c r="Z1753" s="6">
        <v>84143553</v>
      </c>
      <c r="AA1753" s="2" t="s">
        <v>10251</v>
      </c>
      <c r="AB1753" s="2" t="s">
        <v>642</v>
      </c>
      <c r="AC1753" s="2" t="s">
        <v>632</v>
      </c>
      <c r="AD1753" s="10">
        <v>84143553</v>
      </c>
      <c r="AE1753" s="11"/>
      <c r="AF1753" s="11"/>
      <c r="AG1753" s="11">
        <v>87329827</v>
      </c>
      <c r="AH1753" s="11"/>
      <c r="AI1753" s="11"/>
      <c r="AJ1753" s="11">
        <v>84143553</v>
      </c>
      <c r="AK1753" s="12">
        <v>3</v>
      </c>
      <c r="AL1753" s="12" t="s">
        <v>7377</v>
      </c>
      <c r="AM1753" s="2">
        <v>0</v>
      </c>
      <c r="AN1753" s="2">
        <v>0</v>
      </c>
      <c r="AO1753" s="2">
        <v>0</v>
      </c>
      <c r="AP1753" s="2">
        <v>1</v>
      </c>
      <c r="AQ1753" s="2">
        <v>0</v>
      </c>
      <c r="AR1753" s="2">
        <v>0</v>
      </c>
      <c r="AS1753" s="2">
        <v>0</v>
      </c>
      <c r="AT1753" s="2">
        <v>0</v>
      </c>
      <c r="AZ1753" s="2" t="s">
        <v>10252</v>
      </c>
      <c r="BB1753" s="2" t="str">
        <f>+PROPER(BD[[#This Row],[PRIMER_APELLIDO]])</f>
        <v>Estrada</v>
      </c>
    </row>
    <row r="1754" spans="1:54" x14ac:dyDescent="0.25">
      <c r="A1754" s="2">
        <v>1753</v>
      </c>
      <c r="B1754" s="2">
        <v>22652</v>
      </c>
      <c r="C1754" s="5" t="s">
        <v>619</v>
      </c>
      <c r="D1754" s="2" t="s">
        <v>620</v>
      </c>
      <c r="E1754" s="6" t="s">
        <v>10253</v>
      </c>
      <c r="F1754" s="6">
        <v>19063186</v>
      </c>
      <c r="G1754" s="3">
        <v>45</v>
      </c>
      <c r="I1754" s="7"/>
      <c r="J1754" s="7"/>
      <c r="K1754" s="8">
        <v>44.917808219178085</v>
      </c>
      <c r="L1754" s="2" t="s">
        <v>3527</v>
      </c>
      <c r="M1754" s="2" t="s">
        <v>1058</v>
      </c>
      <c r="N1754" s="2" t="s">
        <v>18</v>
      </c>
      <c r="O1754" s="2" t="s">
        <v>151</v>
      </c>
      <c r="P1754" s="2" t="s">
        <v>649</v>
      </c>
      <c r="Q1754" s="2" t="s">
        <v>351</v>
      </c>
      <c r="R1754" s="9">
        <v>28401</v>
      </c>
      <c r="S1754" s="9">
        <v>28401</v>
      </c>
      <c r="T1754" s="2" t="s">
        <v>627</v>
      </c>
      <c r="U1754" s="2" t="s">
        <v>627</v>
      </c>
      <c r="V1754" s="2" t="s">
        <v>627</v>
      </c>
      <c r="W1754" s="2" t="s">
        <v>627</v>
      </c>
      <c r="X1754" s="2" t="s">
        <v>10254</v>
      </c>
      <c r="Y1754" s="2" t="s">
        <v>10255</v>
      </c>
      <c r="Z1754" s="6">
        <v>83656058</v>
      </c>
      <c r="AA1754" s="2">
        <v>22508182</v>
      </c>
      <c r="AB1754" s="2" t="s">
        <v>654</v>
      </c>
      <c r="AC1754" s="2" t="s">
        <v>632</v>
      </c>
      <c r="AD1754" s="10">
        <v>83656058</v>
      </c>
      <c r="AE1754" s="11"/>
      <c r="AF1754" s="11"/>
      <c r="AG1754" s="11"/>
      <c r="AH1754" s="11"/>
      <c r="AI1754" s="11"/>
      <c r="AJ1754" s="11">
        <v>83656058</v>
      </c>
      <c r="AK1754" s="12">
        <v>2</v>
      </c>
      <c r="AL1754" s="12" t="s">
        <v>7377</v>
      </c>
      <c r="AM1754" s="2">
        <v>0</v>
      </c>
      <c r="AN1754" s="2">
        <v>0</v>
      </c>
      <c r="AO1754" s="2">
        <v>0</v>
      </c>
      <c r="AP1754" s="2">
        <v>1</v>
      </c>
      <c r="AQ1754" s="2">
        <v>0</v>
      </c>
      <c r="AR1754" s="2">
        <v>0</v>
      </c>
      <c r="AS1754" s="2">
        <v>0</v>
      </c>
      <c r="AT1754" s="2">
        <v>0</v>
      </c>
      <c r="BB1754" s="2" t="str">
        <f>+PROPER(BD[[#This Row],[PRIMER_APELLIDO]])</f>
        <v>Alvarado</v>
      </c>
    </row>
    <row r="1755" spans="1:54" x14ac:dyDescent="0.25">
      <c r="A1755" s="2">
        <v>1754</v>
      </c>
      <c r="B1755" s="2">
        <v>44431</v>
      </c>
      <c r="C1755" s="5" t="s">
        <v>619</v>
      </c>
      <c r="D1755" s="2" t="s">
        <v>620</v>
      </c>
      <c r="E1755" s="6" t="s">
        <v>10256</v>
      </c>
      <c r="F1755" s="6">
        <v>23489147</v>
      </c>
      <c r="G1755" s="3">
        <v>45</v>
      </c>
      <c r="I1755" s="7"/>
      <c r="J1755" s="7"/>
      <c r="K1755" s="8">
        <v>44.923287671232877</v>
      </c>
      <c r="L1755" s="2" t="s">
        <v>9692</v>
      </c>
      <c r="M1755" s="2" t="s">
        <v>1176</v>
      </c>
      <c r="N1755" s="2" t="s">
        <v>565</v>
      </c>
      <c r="O1755" s="2" t="s">
        <v>10257</v>
      </c>
      <c r="P1755" s="2" t="s">
        <v>626</v>
      </c>
      <c r="Q1755" s="2" t="s">
        <v>351</v>
      </c>
      <c r="R1755" s="9">
        <v>28399</v>
      </c>
      <c r="S1755" s="9">
        <v>28399</v>
      </c>
      <c r="T1755" s="2" t="s">
        <v>627</v>
      </c>
      <c r="U1755" s="2" t="s">
        <v>627</v>
      </c>
      <c r="V1755" s="2" t="s">
        <v>627</v>
      </c>
      <c r="W1755" s="2" t="s">
        <v>627</v>
      </c>
      <c r="X1755" s="2" t="s">
        <v>10258</v>
      </c>
      <c r="Y1755" s="2" t="s">
        <v>10259</v>
      </c>
      <c r="Z1755" s="6" t="s">
        <v>10260</v>
      </c>
      <c r="AA1755" s="2">
        <v>89810903</v>
      </c>
      <c r="AB1755" s="2" t="s">
        <v>654</v>
      </c>
      <c r="AC1755" s="2" t="s">
        <v>632</v>
      </c>
      <c r="AD1755" s="10">
        <v>86073640</v>
      </c>
      <c r="AE1755" s="11">
        <v>89810903</v>
      </c>
      <c r="AF1755" s="11">
        <v>89810903</v>
      </c>
      <c r="AG1755" s="11"/>
      <c r="AH1755" s="11"/>
      <c r="AI1755" s="11"/>
      <c r="AJ1755" s="11">
        <v>86073640</v>
      </c>
      <c r="AK1755" s="12">
        <v>3</v>
      </c>
      <c r="AL1755" s="12" t="s">
        <v>7377</v>
      </c>
      <c r="AM1755" s="2">
        <v>0</v>
      </c>
      <c r="AN1755" s="2">
        <v>0</v>
      </c>
      <c r="AO1755" s="2">
        <v>0</v>
      </c>
      <c r="AP1755" s="2">
        <v>1</v>
      </c>
      <c r="AQ1755" s="2">
        <v>0</v>
      </c>
      <c r="AR1755" s="2">
        <v>0</v>
      </c>
      <c r="AS1755" s="2">
        <v>0</v>
      </c>
      <c r="AT1755" s="2">
        <v>0</v>
      </c>
      <c r="AZ1755" s="2" t="s">
        <v>10261</v>
      </c>
      <c r="BB1755" s="2" t="str">
        <f>+PROPER(BD[[#This Row],[PRIMER_APELLIDO]])</f>
        <v>Fletes</v>
      </c>
    </row>
    <row r="1756" spans="1:54" x14ac:dyDescent="0.25">
      <c r="A1756" s="2">
        <v>1755</v>
      </c>
      <c r="B1756" s="2">
        <v>17890</v>
      </c>
      <c r="C1756" s="5" t="s">
        <v>619</v>
      </c>
      <c r="D1756" s="2" t="s">
        <v>620</v>
      </c>
      <c r="E1756" s="6" t="s">
        <v>10262</v>
      </c>
      <c r="F1756" s="6">
        <v>16440704</v>
      </c>
      <c r="G1756" s="3">
        <v>45</v>
      </c>
      <c r="I1756" s="7"/>
      <c r="J1756" s="7"/>
      <c r="K1756" s="8">
        <v>44.934246575342463</v>
      </c>
      <c r="L1756" s="2" t="s">
        <v>2016</v>
      </c>
      <c r="M1756" s="2" t="s">
        <v>3464</v>
      </c>
      <c r="N1756" s="2" t="s">
        <v>203</v>
      </c>
      <c r="O1756" s="2" t="s">
        <v>319</v>
      </c>
      <c r="P1756" s="2" t="s">
        <v>649</v>
      </c>
      <c r="Q1756" s="2" t="s">
        <v>351</v>
      </c>
      <c r="R1756" s="9">
        <v>28395</v>
      </c>
      <c r="S1756" s="9">
        <v>28395</v>
      </c>
      <c r="T1756" s="2" t="s">
        <v>732</v>
      </c>
      <c r="U1756" s="2" t="s">
        <v>732</v>
      </c>
      <c r="V1756" s="2" t="s">
        <v>962</v>
      </c>
      <c r="W1756" s="2" t="s">
        <v>848</v>
      </c>
      <c r="X1756" s="2" t="s">
        <v>10263</v>
      </c>
      <c r="Y1756" s="2" t="s">
        <v>10264</v>
      </c>
      <c r="Z1756" s="6"/>
      <c r="AA1756" s="2" t="s">
        <v>10265</v>
      </c>
      <c r="AB1756" s="2" t="s">
        <v>654</v>
      </c>
      <c r="AC1756" s="2" t="s">
        <v>632</v>
      </c>
      <c r="AD1756" s="10"/>
      <c r="AE1756" s="11"/>
      <c r="AF1756" s="11">
        <v>77712622</v>
      </c>
      <c r="AG1756" s="11">
        <v>88891230</v>
      </c>
      <c r="AH1756" s="11"/>
      <c r="AI1756" s="11"/>
      <c r="AJ1756" s="11">
        <v>77712622</v>
      </c>
      <c r="AK1756" s="12">
        <v>2</v>
      </c>
      <c r="AL1756" s="12" t="s">
        <v>7377</v>
      </c>
      <c r="AM1756" s="2">
        <v>0</v>
      </c>
      <c r="AN1756" s="2">
        <v>0</v>
      </c>
      <c r="AO1756" s="2">
        <v>0</v>
      </c>
      <c r="AP1756" s="2">
        <v>1</v>
      </c>
      <c r="AQ1756" s="2">
        <v>0</v>
      </c>
      <c r="AR1756" s="2">
        <v>0</v>
      </c>
      <c r="AS1756" s="2">
        <v>0</v>
      </c>
      <c r="AT1756" s="2">
        <v>0</v>
      </c>
      <c r="BB1756" s="2" t="str">
        <f>+PROPER(BD[[#This Row],[PRIMER_APELLIDO]])</f>
        <v>Mendez</v>
      </c>
    </row>
    <row r="1757" spans="1:54" x14ac:dyDescent="0.25">
      <c r="A1757" s="2">
        <v>1756</v>
      </c>
      <c r="B1757" s="2">
        <v>20394</v>
      </c>
      <c r="C1757" s="5" t="s">
        <v>619</v>
      </c>
      <c r="D1757" s="2" t="s">
        <v>620</v>
      </c>
      <c r="E1757" s="6" t="s">
        <v>10266</v>
      </c>
      <c r="F1757" s="6">
        <v>17581606</v>
      </c>
      <c r="G1757" s="3">
        <v>45</v>
      </c>
      <c r="I1757" s="7"/>
      <c r="J1757" s="7"/>
      <c r="K1757" s="8">
        <v>44.947945205479449</v>
      </c>
      <c r="L1757" s="2" t="s">
        <v>10267</v>
      </c>
      <c r="M1757" s="2" t="s">
        <v>769</v>
      </c>
      <c r="N1757" s="2" t="s">
        <v>50</v>
      </c>
      <c r="O1757" s="2" t="s">
        <v>467</v>
      </c>
      <c r="P1757" s="2" t="s">
        <v>626</v>
      </c>
      <c r="Q1757" s="2" t="s">
        <v>351</v>
      </c>
      <c r="R1757" s="9">
        <v>28390</v>
      </c>
      <c r="S1757" s="9">
        <v>28390</v>
      </c>
      <c r="T1757" s="2" t="s">
        <v>176</v>
      </c>
      <c r="U1757" s="2" t="s">
        <v>176</v>
      </c>
      <c r="V1757" s="2" t="s">
        <v>650</v>
      </c>
      <c r="W1757" s="2" t="s">
        <v>176</v>
      </c>
      <c r="X1757" s="2" t="s">
        <v>10268</v>
      </c>
      <c r="Y1757" s="2" t="s">
        <v>10269</v>
      </c>
      <c r="Z1757" s="6"/>
      <c r="AA1757" s="2" t="s">
        <v>10270</v>
      </c>
      <c r="AB1757" s="2" t="s">
        <v>654</v>
      </c>
      <c r="AC1757" s="2" t="s">
        <v>632</v>
      </c>
      <c r="AD1757" s="10"/>
      <c r="AE1757" s="11"/>
      <c r="AF1757" s="11"/>
      <c r="AG1757" s="11">
        <v>87871448</v>
      </c>
      <c r="AH1757" s="11"/>
      <c r="AI1757" s="11"/>
      <c r="AJ1757" s="11">
        <v>87871448</v>
      </c>
      <c r="AK1757" s="12">
        <v>2</v>
      </c>
      <c r="AL1757" s="12" t="s">
        <v>7377</v>
      </c>
      <c r="AM1757" s="2">
        <v>0</v>
      </c>
      <c r="AN1757" s="2">
        <v>0</v>
      </c>
      <c r="AO1757" s="2">
        <v>0</v>
      </c>
      <c r="AP1757" s="2">
        <v>1</v>
      </c>
      <c r="AQ1757" s="2">
        <v>0</v>
      </c>
      <c r="AR1757" s="2">
        <v>0</v>
      </c>
      <c r="AS1757" s="2">
        <v>0</v>
      </c>
      <c r="AT1757" s="2">
        <v>0</v>
      </c>
      <c r="BA1757" s="2" t="s">
        <v>10271</v>
      </c>
      <c r="BB1757" s="2" t="str">
        <f>+PROPER(BD[[#This Row],[PRIMER_APELLIDO]])</f>
        <v>Somarriba</v>
      </c>
    </row>
    <row r="1758" spans="1:54" x14ac:dyDescent="0.25">
      <c r="A1758" s="2">
        <v>1757</v>
      </c>
      <c r="B1758" s="2">
        <v>24330</v>
      </c>
      <c r="C1758" s="5" t="s">
        <v>619</v>
      </c>
      <c r="D1758" s="2" t="s">
        <v>620</v>
      </c>
      <c r="E1758" s="6" t="s">
        <v>10272</v>
      </c>
      <c r="F1758" s="6">
        <v>20297280</v>
      </c>
      <c r="G1758" s="3">
        <v>41</v>
      </c>
      <c r="I1758" s="7"/>
      <c r="J1758" s="7"/>
      <c r="K1758" s="8">
        <v>44.956164383561642</v>
      </c>
      <c r="L1758" s="2" t="s">
        <v>724</v>
      </c>
      <c r="M1758" s="2" t="s">
        <v>961</v>
      </c>
      <c r="N1758" s="2" t="s">
        <v>121</v>
      </c>
      <c r="O1758" s="2" t="s">
        <v>174</v>
      </c>
      <c r="P1758" s="2" t="s">
        <v>626</v>
      </c>
      <c r="Q1758" s="2" t="s">
        <v>351</v>
      </c>
      <c r="R1758" s="9">
        <v>28387</v>
      </c>
      <c r="S1758" s="9">
        <v>29837</v>
      </c>
      <c r="U1758" s="2" t="s">
        <v>691</v>
      </c>
      <c r="W1758" s="2" t="s">
        <v>691</v>
      </c>
      <c r="Y1758" s="2" t="s">
        <v>10273</v>
      </c>
      <c r="Z1758" s="6"/>
      <c r="AA1758" s="2" t="s">
        <v>10274</v>
      </c>
      <c r="AB1758" s="2" t="s">
        <v>1030</v>
      </c>
      <c r="AC1758" s="2" t="s">
        <v>632</v>
      </c>
      <c r="AD1758" s="10"/>
      <c r="AE1758" s="11"/>
      <c r="AF1758" s="11"/>
      <c r="AG1758" s="11">
        <v>84079978</v>
      </c>
      <c r="AH1758" s="11"/>
      <c r="AI1758" s="11"/>
      <c r="AJ1758" s="11">
        <v>84079978</v>
      </c>
      <c r="AK1758" s="12">
        <v>2</v>
      </c>
      <c r="AL1758" s="12" t="s">
        <v>7377</v>
      </c>
      <c r="AM1758" s="2">
        <v>0</v>
      </c>
      <c r="AN1758" s="2">
        <v>0</v>
      </c>
      <c r="AO1758" s="2">
        <v>0</v>
      </c>
      <c r="AP1758" s="2">
        <v>1</v>
      </c>
      <c r="AQ1758" s="2">
        <v>0</v>
      </c>
      <c r="AR1758" s="2">
        <v>0</v>
      </c>
      <c r="AS1758" s="2">
        <v>0</v>
      </c>
      <c r="AT1758" s="2">
        <v>0</v>
      </c>
      <c r="BB1758" s="2" t="str">
        <f>+PROPER(BD[[#This Row],[PRIMER_APELLIDO]])</f>
        <v>Narvaez</v>
      </c>
    </row>
    <row r="1759" spans="1:54" x14ac:dyDescent="0.25">
      <c r="A1759" s="2">
        <v>1758</v>
      </c>
      <c r="B1759" s="2">
        <v>19597</v>
      </c>
      <c r="C1759" s="5" t="s">
        <v>619</v>
      </c>
      <c r="D1759" s="2" t="s">
        <v>620</v>
      </c>
      <c r="E1759" s="6" t="s">
        <v>10275</v>
      </c>
      <c r="F1759" s="6">
        <v>16982981</v>
      </c>
      <c r="G1759" s="3">
        <v>45</v>
      </c>
      <c r="I1759" s="7"/>
      <c r="J1759" s="7"/>
      <c r="K1759" s="8">
        <v>44.961643835616435</v>
      </c>
      <c r="L1759" s="2" t="s">
        <v>6915</v>
      </c>
      <c r="M1759" s="2" t="s">
        <v>10276</v>
      </c>
      <c r="N1759" s="2" t="s">
        <v>235</v>
      </c>
      <c r="P1759" s="2" t="s">
        <v>626</v>
      </c>
      <c r="Q1759" s="2" t="s">
        <v>351</v>
      </c>
      <c r="R1759" s="9">
        <v>28385</v>
      </c>
      <c r="S1759" s="9">
        <v>28385</v>
      </c>
      <c r="U1759" s="2" t="s">
        <v>176</v>
      </c>
      <c r="W1759" s="2" t="s">
        <v>176</v>
      </c>
      <c r="X1759" s="2" t="s">
        <v>10277</v>
      </c>
      <c r="Y1759" s="2" t="s">
        <v>10278</v>
      </c>
      <c r="Z1759" s="6"/>
      <c r="AA1759" s="2">
        <v>88453564</v>
      </c>
      <c r="AB1759" s="2" t="s">
        <v>654</v>
      </c>
      <c r="AC1759" s="2" t="s">
        <v>632</v>
      </c>
      <c r="AD1759" s="10"/>
      <c r="AE1759" s="11"/>
      <c r="AF1759" s="11">
        <v>88453564</v>
      </c>
      <c r="AG1759" s="11"/>
      <c r="AH1759" s="11"/>
      <c r="AI1759" s="11"/>
      <c r="AJ1759" s="11">
        <v>88453564</v>
      </c>
      <c r="AK1759" s="12">
        <v>1</v>
      </c>
      <c r="AL1759" s="12" t="s">
        <v>7377</v>
      </c>
      <c r="AM1759" s="2">
        <v>0</v>
      </c>
      <c r="AN1759" s="2">
        <v>0</v>
      </c>
      <c r="AO1759" s="2">
        <v>0</v>
      </c>
      <c r="AP1759" s="2">
        <v>1</v>
      </c>
      <c r="AQ1759" s="2">
        <v>0</v>
      </c>
      <c r="AR1759" s="2">
        <v>0</v>
      </c>
      <c r="AS1759" s="2">
        <v>0</v>
      </c>
      <c r="AT1759" s="2">
        <v>0</v>
      </c>
      <c r="BB1759" s="2" t="str">
        <f>+PROPER(BD[[#This Row],[PRIMER_APELLIDO]])</f>
        <v>Espinoza</v>
      </c>
    </row>
  </sheetData>
  <conditionalFormatting sqref="AE711 AE686 AE679 AE667 AE654 AE633 AE598 AE569 AE538 AE536 AE533 AE528 AE500 AE483 AE460 AE443 AE434 AE425:AE429 AE371 AE324 AE298:AE300 AE292:AE293 AE277:AE283 AE266 AE260:AE262 AE216 AE192 AE110 AD1:AG2 AG35 AD35 AD36:AG45 AE140 AE209 AE221:AE223 AE237:AE238 AE274 AD1760:AG1048576 AE722:AE726 AE275:AF276 AE249:AF259 AE239:AF247 AE234:AF236 AE224:AF230 AE215:AF215 AF214 AE210:AF212 AF148 AE149:AF191 AE141:AF147 AE111:AF139 AE49:AF83 AE85:AF109 AE84 AD7:AG12 AF6:AG6 AD4:AG5 AD3 AF3:AG3 AD21:AG22 AG19:AG20 AD19:AE20 AD14:AG18 AG13 AD13:AE13 AD24:AG34 AG23 AD23:AE23 AD48:AG48 AF46:AG47 AD46:AD47 AD49:AD118 AD120:AD136 AD138:AD172 AD174:AD212 AE193:AF208 AD214:AD1116 AE231:AE233 AE217:AF220 AE263:AF265 AE267:AF273 AE284:AF291 AE294:AF297 AE301:AF323 AE325:AF370 AE372:AF424 AE430:AF433 AE435:AF442 AE444:AF459 AE461:AF482 AE484:AF499 AE501:AF527 AE529:AF532 AE534:AF535 AE537:AF537 AE539:AF568 AE570:AF597 AE599:AF632 AE634:AF653 AE655:AF666 AE668:AF678 AE680:AF685 AE687:AF710 AE712:AF721 AE728:AE769 AE771:AE800 AE803:AE833 AE835:AE858 AE860:AE869 AE871:AE877 AE879:AE890 AE892:AE942 AE944:AE954 AE956 AE958:AE963 AE965 AE967:AE974 AE980:AE993 AE995 AE998:AE1013 AE1024:AE1027 AE1029:AE1116 AE1015:AE1021 AH1117:AK1759">
    <cfRule type="duplicateValues" dxfId="9" priority="1"/>
  </conditionalFormatting>
  <pageMargins left="0.7" right="0.7" top="0.75" bottom="0.75" header="0.3" footer="0.3"/>
  <pageSetup paperSize="0" orientation="portrait" horizontalDpi="300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DATOS</vt:lpstr>
      <vt:lpstr>Cargar imagen</vt:lpstr>
      <vt:lpstr>BD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JarezMedina</dc:creator>
  <cp:lastModifiedBy>Desarrollador</cp:lastModifiedBy>
  <dcterms:created xsi:type="dcterms:W3CDTF">2020-07-19T12:27:57Z</dcterms:created>
  <dcterms:modified xsi:type="dcterms:W3CDTF">2022-12-10T14:40:37Z</dcterms:modified>
</cp:coreProperties>
</file>